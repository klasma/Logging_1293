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46172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46172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46172</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46172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46172</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46172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46172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46172</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46172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46172</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46172</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46172</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46172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46172</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46172</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46172</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46172</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21659-2026</t>
        </is>
      </c>
      <c r="B19" s="1" t="n">
        <v>46149.4594212963</v>
      </c>
      <c r="C19" s="1" t="n">
        <v>46172</v>
      </c>
      <c r="D19" t="inlineStr">
        <is>
          <t>SKÅNE LÄN</t>
        </is>
      </c>
      <c r="E19" t="inlineStr">
        <is>
          <t>HÄSSLEHOLM</t>
        </is>
      </c>
      <c r="G19" t="n">
        <v>1.8</v>
      </c>
      <c r="H19" t="n">
        <v>2</v>
      </c>
      <c r="I19" t="n">
        <v>0</v>
      </c>
      <c r="J19" t="n">
        <v>0</v>
      </c>
      <c r="K19" t="n">
        <v>0</v>
      </c>
      <c r="L19" t="n">
        <v>0</v>
      </c>
      <c r="M19" t="n">
        <v>0</v>
      </c>
      <c r="N19" t="n">
        <v>0</v>
      </c>
      <c r="O19" t="n">
        <v>0</v>
      </c>
      <c r="P19" t="n">
        <v>0</v>
      </c>
      <c r="Q19" t="n">
        <v>2</v>
      </c>
      <c r="R19" s="2" t="inlineStr">
        <is>
          <t>Göktyta
Skogsduva</t>
        </is>
      </c>
      <c r="S19">
        <f>HYPERLINK("https://klasma.github.io/Logging_1293/artfynd/A 21659-2026 artfynd.xlsx", "A 21659-2026")</f>
        <v/>
      </c>
      <c r="T19">
        <f>HYPERLINK("https://klasma.github.io/Logging_1293/kartor/A 21659-2026 karta.png", "A 21659-2026")</f>
        <v/>
      </c>
      <c r="V19">
        <f>HYPERLINK("https://klasma.github.io/Logging_1293/klagomål/A 21659-2026 FSC-klagomål.docx", "A 21659-2026")</f>
        <v/>
      </c>
      <c r="W19">
        <f>HYPERLINK("https://klasma.github.io/Logging_1293/klagomålsmail/A 21659-2026 FSC-klagomål mail.docx", "A 21659-2026")</f>
        <v/>
      </c>
      <c r="X19">
        <f>HYPERLINK("https://klasma.github.io/Logging_1293/tillsyn/A 21659-2026 tillsynsbegäran.docx", "A 21659-2026")</f>
        <v/>
      </c>
      <c r="Y19">
        <f>HYPERLINK("https://klasma.github.io/Logging_1293/tillsynsmail/A 21659-2026 tillsynsbegäran mail.docx", "A 21659-2026")</f>
        <v/>
      </c>
      <c r="Z19">
        <f>HYPERLINK("https://klasma.github.io/Logging_1293/fåglar/A 21659-2026 prioriterade fågelarter.docx", "A 21659-2026")</f>
        <v/>
      </c>
    </row>
    <row r="20" ht="15" customHeight="1">
      <c r="A20" t="inlineStr">
        <is>
          <t>A 13705-2022</t>
        </is>
      </c>
      <c r="B20" s="1" t="n">
        <v>44648</v>
      </c>
      <c r="C20" s="1" t="n">
        <v>46172</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16107-2025</t>
        </is>
      </c>
      <c r="B21" s="1" t="n">
        <v>45750.34537037037</v>
      </c>
      <c r="C21" s="1" t="n">
        <v>46172</v>
      </c>
      <c r="D21" t="inlineStr">
        <is>
          <t>SKÅNE LÄN</t>
        </is>
      </c>
      <c r="E21" t="inlineStr">
        <is>
          <t>HÄSSLEHOLM</t>
        </is>
      </c>
      <c r="G21" t="n">
        <v>1.4</v>
      </c>
      <c r="H21" t="n">
        <v>1</v>
      </c>
      <c r="I21" t="n">
        <v>0</v>
      </c>
      <c r="J21" t="n">
        <v>1</v>
      </c>
      <c r="K21" t="n">
        <v>0</v>
      </c>
      <c r="L21" t="n">
        <v>0</v>
      </c>
      <c r="M21" t="n">
        <v>0</v>
      </c>
      <c r="N21" t="n">
        <v>0</v>
      </c>
      <c r="O21" t="n">
        <v>1</v>
      </c>
      <c r="P21" t="n">
        <v>0</v>
      </c>
      <c r="Q21" t="n">
        <v>1</v>
      </c>
      <c r="R21" s="2" t="inlineStr">
        <is>
          <t>Spillkråka</t>
        </is>
      </c>
      <c r="S21">
        <f>HYPERLINK("https://klasma.github.io/Logging_1293/artfynd/A 16107-2025 artfynd.xlsx", "A 16107-2025")</f>
        <v/>
      </c>
      <c r="T21">
        <f>HYPERLINK("https://klasma.github.io/Logging_1293/kartor/A 16107-2025 karta.png", "A 16107-2025")</f>
        <v/>
      </c>
      <c r="V21">
        <f>HYPERLINK("https://klasma.github.io/Logging_1293/klagomål/A 16107-2025 FSC-klagomål.docx", "A 16107-2025")</f>
        <v/>
      </c>
      <c r="W21">
        <f>HYPERLINK("https://klasma.github.io/Logging_1293/klagomålsmail/A 16107-2025 FSC-klagomål mail.docx", "A 16107-2025")</f>
        <v/>
      </c>
      <c r="X21">
        <f>HYPERLINK("https://klasma.github.io/Logging_1293/tillsyn/A 16107-2025 tillsynsbegäran.docx", "A 16107-2025")</f>
        <v/>
      </c>
      <c r="Y21">
        <f>HYPERLINK("https://klasma.github.io/Logging_1293/tillsynsmail/A 16107-2025 tillsynsbegäran mail.docx", "A 16107-2025")</f>
        <v/>
      </c>
      <c r="Z21">
        <f>HYPERLINK("https://klasma.github.io/Logging_1293/fåglar/A 16107-2025 prioriterade fågelarter.docx", "A 16107-2025")</f>
        <v/>
      </c>
    </row>
    <row r="22" ht="15" customHeight="1">
      <c r="A22" t="inlineStr">
        <is>
          <t>A 43874-2022</t>
        </is>
      </c>
      <c r="B22" s="1" t="n">
        <v>44838.44738425926</v>
      </c>
      <c r="C22" s="1" t="n">
        <v>46172</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46602-2023</t>
        </is>
      </c>
      <c r="B23" s="1" t="n">
        <v>45194</v>
      </c>
      <c r="C23" s="1" t="n">
        <v>46172</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9289-2025</t>
        </is>
      </c>
      <c r="B24" s="1" t="n">
        <v>45714</v>
      </c>
      <c r="C24" s="1" t="n">
        <v>46172</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40613-2025</t>
        </is>
      </c>
      <c r="B25" s="1" t="n">
        <v>45896</v>
      </c>
      <c r="C25" s="1" t="n">
        <v>46172</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4619-2025</t>
        </is>
      </c>
      <c r="B26" s="1" t="n">
        <v>45687</v>
      </c>
      <c r="C26" s="1" t="n">
        <v>46172</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49572-2022</t>
        </is>
      </c>
      <c r="B27" s="1" t="n">
        <v>44862.335</v>
      </c>
      <c r="C27" s="1" t="n">
        <v>46172</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61707-2024</t>
        </is>
      </c>
      <c r="B28" s="1" t="n">
        <v>45648.61747685185</v>
      </c>
      <c r="C28" s="1" t="n">
        <v>46172</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7862-2024</t>
        </is>
      </c>
      <c r="B29" s="1" t="n">
        <v>45348</v>
      </c>
      <c r="C29" s="1" t="n">
        <v>46172</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8223-2025</t>
        </is>
      </c>
      <c r="B30" s="1" t="n">
        <v>45708.46127314815</v>
      </c>
      <c r="C30" s="1" t="n">
        <v>46172</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14933-2023</t>
        </is>
      </c>
      <c r="B31" s="1" t="n">
        <v>45014</v>
      </c>
      <c r="C31" s="1" t="n">
        <v>46172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46172</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20280-2025</t>
        </is>
      </c>
      <c r="B33" s="1" t="n">
        <v>45774.38790509259</v>
      </c>
      <c r="C33" s="1" t="n">
        <v>46172</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57533-2025</t>
        </is>
      </c>
      <c r="B34" s="1" t="n">
        <v>45980.63923611111</v>
      </c>
      <c r="C34" s="1" t="n">
        <v>46172</v>
      </c>
      <c r="D34" t="inlineStr">
        <is>
          <t>SKÅNE LÄN</t>
        </is>
      </c>
      <c r="E34" t="inlineStr">
        <is>
          <t>HÄSSLEHOLM</t>
        </is>
      </c>
      <c r="G34" t="n">
        <v>0.9</v>
      </c>
      <c r="H34" t="n">
        <v>0</v>
      </c>
      <c r="I34" t="n">
        <v>1</v>
      </c>
      <c r="J34" t="n">
        <v>0</v>
      </c>
      <c r="K34" t="n">
        <v>0</v>
      </c>
      <c r="L34" t="n">
        <v>0</v>
      </c>
      <c r="M34" t="n">
        <v>0</v>
      </c>
      <c r="N34" t="n">
        <v>0</v>
      </c>
      <c r="O34" t="n">
        <v>0</v>
      </c>
      <c r="P34" t="n">
        <v>0</v>
      </c>
      <c r="Q34" t="n">
        <v>1</v>
      </c>
      <c r="R34" s="2" t="inlineStr">
        <is>
          <t>Strutbräken</t>
        </is>
      </c>
      <c r="S34">
        <f>HYPERLINK("https://klasma.github.io/Logging_1293/artfynd/A 57533-2025 artfynd.xlsx", "A 57533-2025")</f>
        <v/>
      </c>
      <c r="T34">
        <f>HYPERLINK("https://klasma.github.io/Logging_1293/kartor/A 57533-2025 karta.png", "A 57533-2025")</f>
        <v/>
      </c>
      <c r="V34">
        <f>HYPERLINK("https://klasma.github.io/Logging_1293/klagomål/A 57533-2025 FSC-klagomål.docx", "A 57533-2025")</f>
        <v/>
      </c>
      <c r="W34">
        <f>HYPERLINK("https://klasma.github.io/Logging_1293/klagomålsmail/A 57533-2025 FSC-klagomål mail.docx", "A 57533-2025")</f>
        <v/>
      </c>
      <c r="X34">
        <f>HYPERLINK("https://klasma.github.io/Logging_1293/tillsyn/A 57533-2025 tillsynsbegäran.docx", "A 57533-2025")</f>
        <v/>
      </c>
      <c r="Y34">
        <f>HYPERLINK("https://klasma.github.io/Logging_1293/tillsynsmail/A 57533-2025 tillsynsbegäran mail.docx", "A 57533-2025")</f>
        <v/>
      </c>
    </row>
    <row r="35" ht="15" customHeight="1">
      <c r="A35" t="inlineStr">
        <is>
          <t>A 6634-2024</t>
        </is>
      </c>
      <c r="B35" s="1" t="n">
        <v>45341</v>
      </c>
      <c r="C35" s="1" t="n">
        <v>46172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46172</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46172</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46172</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36690-2025</t>
        </is>
      </c>
      <c r="B39" s="1" t="n">
        <v>45873.42915509259</v>
      </c>
      <c r="C39" s="1" t="n">
        <v>46172</v>
      </c>
      <c r="D39" t="inlineStr">
        <is>
          <t>SKÅNE LÄN</t>
        </is>
      </c>
      <c r="E39" t="inlineStr">
        <is>
          <t>HÄSSLEHOLM</t>
        </is>
      </c>
      <c r="G39" t="n">
        <v>3.6</v>
      </c>
      <c r="H39" t="n">
        <v>0</v>
      </c>
      <c r="I39" t="n">
        <v>0</v>
      </c>
      <c r="J39" t="n">
        <v>0</v>
      </c>
      <c r="K39" t="n">
        <v>0</v>
      </c>
      <c r="L39" t="n">
        <v>1</v>
      </c>
      <c r="M39" t="n">
        <v>0</v>
      </c>
      <c r="N39" t="n">
        <v>0</v>
      </c>
      <c r="O39" t="n">
        <v>1</v>
      </c>
      <c r="P39" t="n">
        <v>1</v>
      </c>
      <c r="Q39" t="n">
        <v>1</v>
      </c>
      <c r="R39" s="2" t="inlineStr">
        <is>
          <t>Ask</t>
        </is>
      </c>
      <c r="S39">
        <f>HYPERLINK("https://klasma.github.io/Logging_1293/artfynd/A 36690-2025 artfynd.xlsx", "A 36690-2025")</f>
        <v/>
      </c>
      <c r="T39">
        <f>HYPERLINK("https://klasma.github.io/Logging_1293/kartor/A 36690-2025 karta.png", "A 36690-2025")</f>
        <v/>
      </c>
      <c r="V39">
        <f>HYPERLINK("https://klasma.github.io/Logging_1293/klagomål/A 36690-2025 FSC-klagomål.docx", "A 36690-2025")</f>
        <v/>
      </c>
      <c r="W39">
        <f>HYPERLINK("https://klasma.github.io/Logging_1293/klagomålsmail/A 36690-2025 FSC-klagomål mail.docx", "A 36690-2025")</f>
        <v/>
      </c>
      <c r="X39">
        <f>HYPERLINK("https://klasma.github.io/Logging_1293/tillsyn/A 36690-2025 tillsynsbegäran.docx", "A 36690-2025")</f>
        <v/>
      </c>
      <c r="Y39">
        <f>HYPERLINK("https://klasma.github.io/Logging_1293/tillsynsmail/A 36690-2025 tillsynsbegäran mail.docx", "A 36690-2025")</f>
        <v/>
      </c>
    </row>
    <row r="40" ht="15" customHeight="1">
      <c r="A40" t="inlineStr">
        <is>
          <t>A 13894-2026</t>
        </is>
      </c>
      <c r="B40" s="1" t="n">
        <v>46098</v>
      </c>
      <c r="C40" s="1" t="n">
        <v>46172</v>
      </c>
      <c r="D40" t="inlineStr">
        <is>
          <t>SKÅNE LÄN</t>
        </is>
      </c>
      <c r="E40" t="inlineStr">
        <is>
          <t>HÄSSLEHOLM</t>
        </is>
      </c>
      <c r="G40" t="n">
        <v>2.6</v>
      </c>
      <c r="H40" t="n">
        <v>1</v>
      </c>
      <c r="I40" t="n">
        <v>0</v>
      </c>
      <c r="J40" t="n">
        <v>1</v>
      </c>
      <c r="K40" t="n">
        <v>0</v>
      </c>
      <c r="L40" t="n">
        <v>0</v>
      </c>
      <c r="M40" t="n">
        <v>0</v>
      </c>
      <c r="N40" t="n">
        <v>0</v>
      </c>
      <c r="O40" t="n">
        <v>1</v>
      </c>
      <c r="P40" t="n">
        <v>0</v>
      </c>
      <c r="Q40" t="n">
        <v>1</v>
      </c>
      <c r="R40" s="2" t="inlineStr">
        <is>
          <t>Entita</t>
        </is>
      </c>
      <c r="S40">
        <f>HYPERLINK("https://klasma.github.io/Logging_1293/artfynd/A 13894-2026 artfynd.xlsx", "A 13894-2026")</f>
        <v/>
      </c>
      <c r="T40">
        <f>HYPERLINK("https://klasma.github.io/Logging_1293/kartor/A 13894-2026 karta.png", "A 13894-2026")</f>
        <v/>
      </c>
      <c r="V40">
        <f>HYPERLINK("https://klasma.github.io/Logging_1293/klagomål/A 13894-2026 FSC-klagomål.docx", "A 13894-2026")</f>
        <v/>
      </c>
      <c r="W40">
        <f>HYPERLINK("https://klasma.github.io/Logging_1293/klagomålsmail/A 13894-2026 FSC-klagomål mail.docx", "A 13894-2026")</f>
        <v/>
      </c>
      <c r="X40">
        <f>HYPERLINK("https://klasma.github.io/Logging_1293/tillsyn/A 13894-2026 tillsynsbegäran.docx", "A 13894-2026")</f>
        <v/>
      </c>
      <c r="Y40">
        <f>HYPERLINK("https://klasma.github.io/Logging_1293/tillsynsmail/A 13894-2026 tillsynsbegäran mail.docx", "A 13894-2026")</f>
        <v/>
      </c>
      <c r="Z40">
        <f>HYPERLINK("https://klasma.github.io/Logging_1293/fåglar/A 13894-2026 prioriterade fågelarter.docx", "A 13894-2026")</f>
        <v/>
      </c>
    </row>
    <row r="41" ht="15" customHeight="1">
      <c r="A41" t="inlineStr">
        <is>
          <t>A 37457-2022</t>
        </is>
      </c>
      <c r="B41" s="1" t="n">
        <v>44809</v>
      </c>
      <c r="C41" s="1" t="n">
        <v>46172</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46172</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46172</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55618-2022</t>
        </is>
      </c>
      <c r="B44" s="1" t="n">
        <v>44883</v>
      </c>
      <c r="C44" s="1" t="n">
        <v>46172</v>
      </c>
      <c r="D44" t="inlineStr">
        <is>
          <t>SKÅNE LÄN</t>
        </is>
      </c>
      <c r="E44" t="inlineStr">
        <is>
          <t>HÄSSLEHOLM</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46172</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46172</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46172</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46172</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46172</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46172</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46172</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46172</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46172</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46172</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46172</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46172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46172</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46172</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46172</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46172</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46172</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46172</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46172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46172</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58566-2021</t>
        </is>
      </c>
      <c r="B65" s="1" t="n">
        <v>44488.85538194444</v>
      </c>
      <c r="C65" s="1" t="n">
        <v>46172</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46172</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46172</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46172</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46172</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46172</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46172</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46172</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46172</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46172</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46172</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46172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46172</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26387-2022</t>
        </is>
      </c>
      <c r="B78" s="1" t="n">
        <v>44735.68328703703</v>
      </c>
      <c r="C78" s="1" t="n">
        <v>46172</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30992-2021</t>
        </is>
      </c>
      <c r="B79" s="1" t="n">
        <v>44366.36262731482</v>
      </c>
      <c r="C79" s="1" t="n">
        <v>46172</v>
      </c>
      <c r="D79" t="inlineStr">
        <is>
          <t>SKÅNE LÄN</t>
        </is>
      </c>
      <c r="E79" t="inlineStr">
        <is>
          <t>HÄSSLEHOLM</t>
        </is>
      </c>
      <c r="G79" t="n">
        <v>3.1</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46172</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44755-2021</t>
        </is>
      </c>
      <c r="B81" s="1" t="n">
        <v>44438</v>
      </c>
      <c r="C81" s="1" t="n">
        <v>46172</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44770-2021</t>
        </is>
      </c>
      <c r="B82" s="1" t="n">
        <v>44438</v>
      </c>
      <c r="C82" s="1" t="n">
        <v>46172</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46172</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46172</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46172</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46172</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46172</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61072-2021</t>
        </is>
      </c>
      <c r="B88" s="1" t="n">
        <v>44497.83344907407</v>
      </c>
      <c r="C88" s="1" t="n">
        <v>46172</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34982-2022</t>
        </is>
      </c>
      <c r="B89" s="1" t="n">
        <v>44796.69055555556</v>
      </c>
      <c r="C89" s="1" t="n">
        <v>46172</v>
      </c>
      <c r="D89" t="inlineStr">
        <is>
          <t>SKÅNE LÄN</t>
        </is>
      </c>
      <c r="E89" t="inlineStr">
        <is>
          <t>HÄSSLEHOLM</t>
        </is>
      </c>
      <c r="F89" t="inlineStr">
        <is>
          <t>Kyrkan</t>
        </is>
      </c>
      <c r="G89" t="n">
        <v>3.4</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46172</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55425-2022</t>
        </is>
      </c>
      <c r="B91" s="1" t="n">
        <v>44887.60577546297</v>
      </c>
      <c r="C91" s="1" t="n">
        <v>46172</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9292-2022</t>
        </is>
      </c>
      <c r="B92" s="1" t="n">
        <v>44616</v>
      </c>
      <c r="C92" s="1" t="n">
        <v>46172</v>
      </c>
      <c r="D92" t="inlineStr">
        <is>
          <t>SKÅNE LÄN</t>
        </is>
      </c>
      <c r="E92" t="inlineStr">
        <is>
          <t>HÄSSLEHOLM</t>
        </is>
      </c>
      <c r="G92" t="n">
        <v>1.6</v>
      </c>
      <c r="H92" t="n">
        <v>0</v>
      </c>
      <c r="I92" t="n">
        <v>0</v>
      </c>
      <c r="J92" t="n">
        <v>0</v>
      </c>
      <c r="K92" t="n">
        <v>0</v>
      </c>
      <c r="L92" t="n">
        <v>0</v>
      </c>
      <c r="M92" t="n">
        <v>0</v>
      </c>
      <c r="N92" t="n">
        <v>0</v>
      </c>
      <c r="O92" t="n">
        <v>0</v>
      </c>
      <c r="P92" t="n">
        <v>0</v>
      </c>
      <c r="Q92" t="n">
        <v>0</v>
      </c>
      <c r="R92" s="2" t="inlineStr"/>
    </row>
    <row r="93" ht="15" customHeight="1">
      <c r="A93" t="inlineStr">
        <is>
          <t>A 3277-2022</t>
        </is>
      </c>
      <c r="B93" s="1" t="n">
        <v>44584.41274305555</v>
      </c>
      <c r="C93" s="1" t="n">
        <v>46172</v>
      </c>
      <c r="D93" t="inlineStr">
        <is>
          <t>SKÅNE LÄN</t>
        </is>
      </c>
      <c r="E93" t="inlineStr">
        <is>
          <t>HÄSSLEHOLM</t>
        </is>
      </c>
      <c r="G93" t="n">
        <v>0.2</v>
      </c>
      <c r="H93" t="n">
        <v>0</v>
      </c>
      <c r="I93" t="n">
        <v>0</v>
      </c>
      <c r="J93" t="n">
        <v>0</v>
      </c>
      <c r="K93" t="n">
        <v>0</v>
      </c>
      <c r="L93" t="n">
        <v>0</v>
      </c>
      <c r="M93" t="n">
        <v>0</v>
      </c>
      <c r="N93" t="n">
        <v>0</v>
      </c>
      <c r="O93" t="n">
        <v>0</v>
      </c>
      <c r="P93" t="n">
        <v>0</v>
      </c>
      <c r="Q93" t="n">
        <v>0</v>
      </c>
      <c r="R93" s="2" t="inlineStr"/>
    </row>
    <row r="94" ht="15" customHeight="1">
      <c r="A94" t="inlineStr">
        <is>
          <t>A 4156-2022</t>
        </is>
      </c>
      <c r="B94" s="1" t="n">
        <v>44588</v>
      </c>
      <c r="C94" s="1" t="n">
        <v>46172</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44328-2021</t>
        </is>
      </c>
      <c r="B95" s="1" t="n">
        <v>44435</v>
      </c>
      <c r="C95" s="1" t="n">
        <v>46172</v>
      </c>
      <c r="D95" t="inlineStr">
        <is>
          <t>SKÅNE LÄN</t>
        </is>
      </c>
      <c r="E95" t="inlineStr">
        <is>
          <t>HÄSSLEHOLM</t>
        </is>
      </c>
      <c r="G95" t="n">
        <v>2.7</v>
      </c>
      <c r="H95" t="n">
        <v>0</v>
      </c>
      <c r="I95" t="n">
        <v>0</v>
      </c>
      <c r="J95" t="n">
        <v>0</v>
      </c>
      <c r="K95" t="n">
        <v>0</v>
      </c>
      <c r="L95" t="n">
        <v>0</v>
      </c>
      <c r="M95" t="n">
        <v>0</v>
      </c>
      <c r="N95" t="n">
        <v>0</v>
      </c>
      <c r="O95" t="n">
        <v>0</v>
      </c>
      <c r="P95" t="n">
        <v>0</v>
      </c>
      <c r="Q95" t="n">
        <v>0</v>
      </c>
      <c r="R95" s="2" t="inlineStr"/>
    </row>
    <row r="96" ht="15" customHeight="1">
      <c r="A96" t="inlineStr">
        <is>
          <t>A 34684-2021</t>
        </is>
      </c>
      <c r="B96" s="1" t="n">
        <v>44382</v>
      </c>
      <c r="C96" s="1" t="n">
        <v>46172</v>
      </c>
      <c r="D96" t="inlineStr">
        <is>
          <t>SKÅNE LÄN</t>
        </is>
      </c>
      <c r="E96" t="inlineStr">
        <is>
          <t>HÄSSLEHOLM</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74293-2021</t>
        </is>
      </c>
      <c r="B97" s="1" t="n">
        <v>44558</v>
      </c>
      <c r="C97" s="1" t="n">
        <v>46172</v>
      </c>
      <c r="D97" t="inlineStr">
        <is>
          <t>SKÅNE LÄN</t>
        </is>
      </c>
      <c r="E97" t="inlineStr">
        <is>
          <t>HÄSSLEHOLM</t>
        </is>
      </c>
      <c r="F97" t="inlineStr">
        <is>
          <t>Kyrkan</t>
        </is>
      </c>
      <c r="G97" t="n">
        <v>3.3</v>
      </c>
      <c r="H97" t="n">
        <v>0</v>
      </c>
      <c r="I97" t="n">
        <v>0</v>
      </c>
      <c r="J97" t="n">
        <v>0</v>
      </c>
      <c r="K97" t="n">
        <v>0</v>
      </c>
      <c r="L97" t="n">
        <v>0</v>
      </c>
      <c r="M97" t="n">
        <v>0</v>
      </c>
      <c r="N97" t="n">
        <v>0</v>
      </c>
      <c r="O97" t="n">
        <v>0</v>
      </c>
      <c r="P97" t="n">
        <v>0</v>
      </c>
      <c r="Q97" t="n">
        <v>0</v>
      </c>
      <c r="R97" s="2" t="inlineStr"/>
    </row>
    <row r="98" ht="15" customHeight="1">
      <c r="A98" t="inlineStr">
        <is>
          <t>A 46217-2022</t>
        </is>
      </c>
      <c r="B98" s="1" t="n">
        <v>44846</v>
      </c>
      <c r="C98" s="1" t="n">
        <v>46172</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41581-2021</t>
        </is>
      </c>
      <c r="B99" s="1" t="n">
        <v>44425.40167824074</v>
      </c>
      <c r="C99" s="1" t="n">
        <v>46172</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45349-2022</t>
        </is>
      </c>
      <c r="B100" s="1" t="n">
        <v>44844.6118287037</v>
      </c>
      <c r="C100" s="1" t="n">
        <v>46172</v>
      </c>
      <c r="D100" t="inlineStr">
        <is>
          <t>SKÅNE LÄN</t>
        </is>
      </c>
      <c r="E100" t="inlineStr">
        <is>
          <t>HÄSSLEHOLM</t>
        </is>
      </c>
      <c r="G100" t="n">
        <v>6.2</v>
      </c>
      <c r="H100" t="n">
        <v>0</v>
      </c>
      <c r="I100" t="n">
        <v>0</v>
      </c>
      <c r="J100" t="n">
        <v>0</v>
      </c>
      <c r="K100" t="n">
        <v>0</v>
      </c>
      <c r="L100" t="n">
        <v>0</v>
      </c>
      <c r="M100" t="n">
        <v>0</v>
      </c>
      <c r="N100" t="n">
        <v>0</v>
      </c>
      <c r="O100" t="n">
        <v>0</v>
      </c>
      <c r="P100" t="n">
        <v>0</v>
      </c>
      <c r="Q100" t="n">
        <v>0</v>
      </c>
      <c r="R100" s="2" t="inlineStr"/>
    </row>
    <row r="101" ht="15" customHeight="1">
      <c r="A101" t="inlineStr">
        <is>
          <t>A 15118-2022</t>
        </is>
      </c>
      <c r="B101" s="1" t="n">
        <v>44659</v>
      </c>
      <c r="C101" s="1" t="n">
        <v>46172</v>
      </c>
      <c r="D101" t="inlineStr">
        <is>
          <t>SKÅNE LÄN</t>
        </is>
      </c>
      <c r="E101" t="inlineStr">
        <is>
          <t>HÄSSLEHOLM</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43639-2021</t>
        </is>
      </c>
      <c r="B102" s="1" t="n">
        <v>44433</v>
      </c>
      <c r="C102" s="1" t="n">
        <v>46172</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3276-2022</t>
        </is>
      </c>
      <c r="B103" s="1" t="n">
        <v>44584.40916666666</v>
      </c>
      <c r="C103" s="1" t="n">
        <v>46172</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52461-2021</t>
        </is>
      </c>
      <c r="B104" s="1" t="n">
        <v>44466</v>
      </c>
      <c r="C104" s="1" t="n">
        <v>46172</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46172</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56431-2021</t>
        </is>
      </c>
      <c r="B106" s="1" t="n">
        <v>44480</v>
      </c>
      <c r="C106" s="1" t="n">
        <v>46172</v>
      </c>
      <c r="D106" t="inlineStr">
        <is>
          <t>SKÅNE LÄN</t>
        </is>
      </c>
      <c r="E106" t="inlineStr">
        <is>
          <t>HÄSSLEHOLM</t>
        </is>
      </c>
      <c r="F106" t="inlineStr">
        <is>
          <t>Kyrkan</t>
        </is>
      </c>
      <c r="G106" t="n">
        <v>0.9</v>
      </c>
      <c r="H106" t="n">
        <v>0</v>
      </c>
      <c r="I106" t="n">
        <v>0</v>
      </c>
      <c r="J106" t="n">
        <v>0</v>
      </c>
      <c r="K106" t="n">
        <v>0</v>
      </c>
      <c r="L106" t="n">
        <v>0</v>
      </c>
      <c r="M106" t="n">
        <v>0</v>
      </c>
      <c r="N106" t="n">
        <v>0</v>
      </c>
      <c r="O106" t="n">
        <v>0</v>
      </c>
      <c r="P106" t="n">
        <v>0</v>
      </c>
      <c r="Q106" t="n">
        <v>0</v>
      </c>
      <c r="R106" s="2" t="inlineStr"/>
    </row>
    <row r="107" ht="15" customHeight="1">
      <c r="A107" t="inlineStr">
        <is>
          <t>A 2858-2022</t>
        </is>
      </c>
      <c r="B107" s="1" t="n">
        <v>44581</v>
      </c>
      <c r="C107" s="1" t="n">
        <v>46172</v>
      </c>
      <c r="D107" t="inlineStr">
        <is>
          <t>SKÅNE LÄN</t>
        </is>
      </c>
      <c r="E107" t="inlineStr">
        <is>
          <t>HÄSSLEHOLM</t>
        </is>
      </c>
      <c r="F107" t="inlineStr">
        <is>
          <t>Övriga Aktiebolag</t>
        </is>
      </c>
      <c r="G107" t="n">
        <v>1.3</v>
      </c>
      <c r="H107" t="n">
        <v>0</v>
      </c>
      <c r="I107" t="n">
        <v>0</v>
      </c>
      <c r="J107" t="n">
        <v>0</v>
      </c>
      <c r="K107" t="n">
        <v>0</v>
      </c>
      <c r="L107" t="n">
        <v>0</v>
      </c>
      <c r="M107" t="n">
        <v>0</v>
      </c>
      <c r="N107" t="n">
        <v>0</v>
      </c>
      <c r="O107" t="n">
        <v>0</v>
      </c>
      <c r="P107" t="n">
        <v>0</v>
      </c>
      <c r="Q107" t="n">
        <v>0</v>
      </c>
      <c r="R107" s="2" t="inlineStr"/>
    </row>
    <row r="108" ht="15" customHeight="1">
      <c r="A108" t="inlineStr">
        <is>
          <t>A 5564-2022</t>
        </is>
      </c>
      <c r="B108" s="1" t="n">
        <v>44595</v>
      </c>
      <c r="C108" s="1" t="n">
        <v>46172</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37334-2021</t>
        </is>
      </c>
      <c r="B109" s="1" t="n">
        <v>44397.57800925926</v>
      </c>
      <c r="C109" s="1" t="n">
        <v>46172</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27959-2022</t>
        </is>
      </c>
      <c r="B110" s="1" t="n">
        <v>44744</v>
      </c>
      <c r="C110" s="1" t="n">
        <v>46172</v>
      </c>
      <c r="D110" t="inlineStr">
        <is>
          <t>SKÅNE LÄN</t>
        </is>
      </c>
      <c r="E110" t="inlineStr">
        <is>
          <t>HÄSSLEHOLM</t>
        </is>
      </c>
      <c r="G110" t="n">
        <v>3</v>
      </c>
      <c r="H110" t="n">
        <v>0</v>
      </c>
      <c r="I110" t="n">
        <v>0</v>
      </c>
      <c r="J110" t="n">
        <v>0</v>
      </c>
      <c r="K110" t="n">
        <v>0</v>
      </c>
      <c r="L110" t="n">
        <v>0</v>
      </c>
      <c r="M110" t="n">
        <v>0</v>
      </c>
      <c r="N110" t="n">
        <v>0</v>
      </c>
      <c r="O110" t="n">
        <v>0</v>
      </c>
      <c r="P110" t="n">
        <v>0</v>
      </c>
      <c r="Q110" t="n">
        <v>0</v>
      </c>
      <c r="R110" s="2" t="inlineStr"/>
    </row>
    <row r="111" ht="15" customHeight="1">
      <c r="A111" t="inlineStr">
        <is>
          <t>A 52567-2021</t>
        </is>
      </c>
      <c r="B111" s="1" t="n">
        <v>44466</v>
      </c>
      <c r="C111" s="1" t="n">
        <v>46172</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34027-2021</t>
        </is>
      </c>
      <c r="B112" s="1" t="n">
        <v>44379</v>
      </c>
      <c r="C112" s="1" t="n">
        <v>46172</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32792-2021</t>
        </is>
      </c>
      <c r="B113" s="1" t="n">
        <v>44375</v>
      </c>
      <c r="C113" s="1" t="n">
        <v>46172</v>
      </c>
      <c r="D113" t="inlineStr">
        <is>
          <t>SKÅNE LÄN</t>
        </is>
      </c>
      <c r="E113" t="inlineStr">
        <is>
          <t>HÄSSLEHOLM</t>
        </is>
      </c>
      <c r="G113" t="n">
        <v>1</v>
      </c>
      <c r="H113" t="n">
        <v>0</v>
      </c>
      <c r="I113" t="n">
        <v>0</v>
      </c>
      <c r="J113" t="n">
        <v>0</v>
      </c>
      <c r="K113" t="n">
        <v>0</v>
      </c>
      <c r="L113" t="n">
        <v>0</v>
      </c>
      <c r="M113" t="n">
        <v>0</v>
      </c>
      <c r="N113" t="n">
        <v>0</v>
      </c>
      <c r="O113" t="n">
        <v>0</v>
      </c>
      <c r="P113" t="n">
        <v>0</v>
      </c>
      <c r="Q113" t="n">
        <v>0</v>
      </c>
      <c r="R113" s="2" t="inlineStr"/>
    </row>
    <row r="114" ht="15" customHeight="1">
      <c r="A114" t="inlineStr">
        <is>
          <t>A 3167-2022</t>
        </is>
      </c>
      <c r="B114" s="1" t="n">
        <v>44582</v>
      </c>
      <c r="C114" s="1" t="n">
        <v>46172</v>
      </c>
      <c r="D114" t="inlineStr">
        <is>
          <t>SKÅNE LÄN</t>
        </is>
      </c>
      <c r="E114" t="inlineStr">
        <is>
          <t>HÄSSLEHOLM</t>
        </is>
      </c>
      <c r="F114" t="inlineStr">
        <is>
          <t>Kommuner</t>
        </is>
      </c>
      <c r="G114" t="n">
        <v>1.5</v>
      </c>
      <c r="H114" t="n">
        <v>0</v>
      </c>
      <c r="I114" t="n">
        <v>0</v>
      </c>
      <c r="J114" t="n">
        <v>0</v>
      </c>
      <c r="K114" t="n">
        <v>0</v>
      </c>
      <c r="L114" t="n">
        <v>0</v>
      </c>
      <c r="M114" t="n">
        <v>0</v>
      </c>
      <c r="N114" t="n">
        <v>0</v>
      </c>
      <c r="O114" t="n">
        <v>0</v>
      </c>
      <c r="P114" t="n">
        <v>0</v>
      </c>
      <c r="Q114" t="n">
        <v>0</v>
      </c>
      <c r="R114" s="2" t="inlineStr"/>
    </row>
    <row r="115" ht="15" customHeight="1">
      <c r="A115" t="inlineStr">
        <is>
          <t>A 74297-2021</t>
        </is>
      </c>
      <c r="B115" s="1" t="n">
        <v>44558</v>
      </c>
      <c r="C115" s="1" t="n">
        <v>46172</v>
      </c>
      <c r="D115" t="inlineStr">
        <is>
          <t>SKÅNE LÄN</t>
        </is>
      </c>
      <c r="E115" t="inlineStr">
        <is>
          <t>HÄSSLEHOLM</t>
        </is>
      </c>
      <c r="F115" t="inlineStr">
        <is>
          <t>Kyrkan</t>
        </is>
      </c>
      <c r="G115" t="n">
        <v>3.8</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46172</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46172</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68909-2021</t>
        </is>
      </c>
      <c r="B118" s="1" t="n">
        <v>44530.46730324074</v>
      </c>
      <c r="C118" s="1" t="n">
        <v>46172</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46172</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46172</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1535-2022</t>
        </is>
      </c>
      <c r="B121" s="1" t="n">
        <v>44573</v>
      </c>
      <c r="C121" s="1" t="n">
        <v>46172</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46172</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46172</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7904-2022</t>
        </is>
      </c>
      <c r="B124" s="1" t="n">
        <v>44607</v>
      </c>
      <c r="C124" s="1" t="n">
        <v>46172</v>
      </c>
      <c r="D124" t="inlineStr">
        <is>
          <t>SKÅNE LÄN</t>
        </is>
      </c>
      <c r="E124" t="inlineStr">
        <is>
          <t>HÄSSLEHOLM</t>
        </is>
      </c>
      <c r="F124" t="inlineStr">
        <is>
          <t>Kyrkan</t>
        </is>
      </c>
      <c r="G124" t="n">
        <v>3.9</v>
      </c>
      <c r="H124" t="n">
        <v>0</v>
      </c>
      <c r="I124" t="n">
        <v>0</v>
      </c>
      <c r="J124" t="n">
        <v>0</v>
      </c>
      <c r="K124" t="n">
        <v>0</v>
      </c>
      <c r="L124" t="n">
        <v>0</v>
      </c>
      <c r="M124" t="n">
        <v>0</v>
      </c>
      <c r="N124" t="n">
        <v>0</v>
      </c>
      <c r="O124" t="n">
        <v>0</v>
      </c>
      <c r="P124" t="n">
        <v>0</v>
      </c>
      <c r="Q124" t="n">
        <v>0</v>
      </c>
      <c r="R124" s="2" t="inlineStr"/>
    </row>
    <row r="125" ht="15" customHeight="1">
      <c r="A125" t="inlineStr">
        <is>
          <t>A 7250-2022</t>
        </is>
      </c>
      <c r="B125" s="1" t="n">
        <v>44606</v>
      </c>
      <c r="C125" s="1" t="n">
        <v>46172</v>
      </c>
      <c r="D125" t="inlineStr">
        <is>
          <t>SKÅNE LÄN</t>
        </is>
      </c>
      <c r="E125" t="inlineStr">
        <is>
          <t>HÄSSLEHOLM</t>
        </is>
      </c>
      <c r="F125" t="inlineStr">
        <is>
          <t>Övriga Aktiebolag</t>
        </is>
      </c>
      <c r="G125" t="n">
        <v>2.6</v>
      </c>
      <c r="H125" t="n">
        <v>0</v>
      </c>
      <c r="I125" t="n">
        <v>0</v>
      </c>
      <c r="J125" t="n">
        <v>0</v>
      </c>
      <c r="K125" t="n">
        <v>0</v>
      </c>
      <c r="L125" t="n">
        <v>0</v>
      </c>
      <c r="M125" t="n">
        <v>0</v>
      </c>
      <c r="N125" t="n">
        <v>0</v>
      </c>
      <c r="O125" t="n">
        <v>0</v>
      </c>
      <c r="P125" t="n">
        <v>0</v>
      </c>
      <c r="Q125" t="n">
        <v>0</v>
      </c>
      <c r="R125" s="2" t="inlineStr"/>
    </row>
    <row r="126" ht="15" customHeight="1">
      <c r="A126" t="inlineStr">
        <is>
          <t>A 51895-2021</t>
        </is>
      </c>
      <c r="B126" s="1" t="n">
        <v>44462</v>
      </c>
      <c r="C126" s="1" t="n">
        <v>46172</v>
      </c>
      <c r="D126" t="inlineStr">
        <is>
          <t>SKÅNE LÄN</t>
        </is>
      </c>
      <c r="E126" t="inlineStr">
        <is>
          <t>HÄSSLEHOLM</t>
        </is>
      </c>
      <c r="G126" t="n">
        <v>5.7</v>
      </c>
      <c r="H126" t="n">
        <v>0</v>
      </c>
      <c r="I126" t="n">
        <v>0</v>
      </c>
      <c r="J126" t="n">
        <v>0</v>
      </c>
      <c r="K126" t="n">
        <v>0</v>
      </c>
      <c r="L126" t="n">
        <v>0</v>
      </c>
      <c r="M126" t="n">
        <v>0</v>
      </c>
      <c r="N126" t="n">
        <v>0</v>
      </c>
      <c r="O126" t="n">
        <v>0</v>
      </c>
      <c r="P126" t="n">
        <v>0</v>
      </c>
      <c r="Q126" t="n">
        <v>0</v>
      </c>
      <c r="R126" s="2" t="inlineStr"/>
    </row>
    <row r="127" ht="15" customHeight="1">
      <c r="A127" t="inlineStr">
        <is>
          <t>A 2631-2022</t>
        </is>
      </c>
      <c r="B127" s="1" t="n">
        <v>44580</v>
      </c>
      <c r="C127" s="1" t="n">
        <v>46172</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219-2022</t>
        </is>
      </c>
      <c r="B128" s="1" t="n">
        <v>44564</v>
      </c>
      <c r="C128" s="1" t="n">
        <v>46172</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6048-2022</t>
        </is>
      </c>
      <c r="B129" s="1" t="n">
        <v>44599.5174537037</v>
      </c>
      <c r="C129" s="1" t="n">
        <v>46172</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15423-2022</t>
        </is>
      </c>
      <c r="B130" s="1" t="n">
        <v>44659</v>
      </c>
      <c r="C130" s="1" t="n">
        <v>46172</v>
      </c>
      <c r="D130" t="inlineStr">
        <is>
          <t>SKÅNE LÄN</t>
        </is>
      </c>
      <c r="E130" t="inlineStr">
        <is>
          <t>HÄSSLEHOLM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55412-2022</t>
        </is>
      </c>
      <c r="B131" s="1" t="n">
        <v>44882</v>
      </c>
      <c r="C131" s="1" t="n">
        <v>46172</v>
      </c>
      <c r="D131" t="inlineStr">
        <is>
          <t>SKÅNE LÄN</t>
        </is>
      </c>
      <c r="E131" t="inlineStr">
        <is>
          <t>HÄSSLEHOLM</t>
        </is>
      </c>
      <c r="F131" t="inlineStr">
        <is>
          <t>Övriga Aktiebolag</t>
        </is>
      </c>
      <c r="G131" t="n">
        <v>4</v>
      </c>
      <c r="H131" t="n">
        <v>0</v>
      </c>
      <c r="I131" t="n">
        <v>0</v>
      </c>
      <c r="J131" t="n">
        <v>0</v>
      </c>
      <c r="K131" t="n">
        <v>0</v>
      </c>
      <c r="L131" t="n">
        <v>0</v>
      </c>
      <c r="M131" t="n">
        <v>0</v>
      </c>
      <c r="N131" t="n">
        <v>0</v>
      </c>
      <c r="O131" t="n">
        <v>0</v>
      </c>
      <c r="P131" t="n">
        <v>0</v>
      </c>
      <c r="Q131" t="n">
        <v>0</v>
      </c>
      <c r="R131" s="2" t="inlineStr"/>
    </row>
    <row r="132" ht="15" customHeight="1">
      <c r="A132" t="inlineStr">
        <is>
          <t>A 53576-2022</t>
        </is>
      </c>
      <c r="B132" s="1" t="n">
        <v>44875</v>
      </c>
      <c r="C132" s="1" t="n">
        <v>46172</v>
      </c>
      <c r="D132" t="inlineStr">
        <is>
          <t>SKÅNE LÄN</t>
        </is>
      </c>
      <c r="E132" t="inlineStr">
        <is>
          <t>HÄSSLEHOLM</t>
        </is>
      </c>
      <c r="F132" t="inlineStr">
        <is>
          <t>Övriga Aktiebolag</t>
        </is>
      </c>
      <c r="G132" t="n">
        <v>1.2</v>
      </c>
      <c r="H132" t="n">
        <v>0</v>
      </c>
      <c r="I132" t="n">
        <v>0</v>
      </c>
      <c r="J132" t="n">
        <v>0</v>
      </c>
      <c r="K132" t="n">
        <v>0</v>
      </c>
      <c r="L132" t="n">
        <v>0</v>
      </c>
      <c r="M132" t="n">
        <v>0</v>
      </c>
      <c r="N132" t="n">
        <v>0</v>
      </c>
      <c r="O132" t="n">
        <v>0</v>
      </c>
      <c r="P132" t="n">
        <v>0</v>
      </c>
      <c r="Q132" t="n">
        <v>0</v>
      </c>
      <c r="R132" s="2" t="inlineStr"/>
    </row>
    <row r="133" ht="15" customHeight="1">
      <c r="A133" t="inlineStr">
        <is>
          <t>A 6253-2022</t>
        </is>
      </c>
      <c r="B133" s="1" t="n">
        <v>44600</v>
      </c>
      <c r="C133" s="1" t="n">
        <v>46172</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46172</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5091-2022</t>
        </is>
      </c>
      <c r="B135" s="1" t="n">
        <v>44593.85114583333</v>
      </c>
      <c r="C135" s="1" t="n">
        <v>46172</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46172</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46172</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60260-2021</t>
        </is>
      </c>
      <c r="B138" s="1" t="n">
        <v>44495</v>
      </c>
      <c r="C138" s="1" t="n">
        <v>46172</v>
      </c>
      <c r="D138" t="inlineStr">
        <is>
          <t>SKÅNE LÄN</t>
        </is>
      </c>
      <c r="E138" t="inlineStr">
        <is>
          <t>HÄSSLEHOLM</t>
        </is>
      </c>
      <c r="G138" t="n">
        <v>2.1</v>
      </c>
      <c r="H138" t="n">
        <v>0</v>
      </c>
      <c r="I138" t="n">
        <v>0</v>
      </c>
      <c r="J138" t="n">
        <v>0</v>
      </c>
      <c r="K138" t="n">
        <v>0</v>
      </c>
      <c r="L138" t="n">
        <v>0</v>
      </c>
      <c r="M138" t="n">
        <v>0</v>
      </c>
      <c r="N138" t="n">
        <v>0</v>
      </c>
      <c r="O138" t="n">
        <v>0</v>
      </c>
      <c r="P138" t="n">
        <v>0</v>
      </c>
      <c r="Q138" t="n">
        <v>0</v>
      </c>
      <c r="R138" s="2" t="inlineStr"/>
    </row>
    <row r="139" ht="15" customHeight="1">
      <c r="A139" t="inlineStr">
        <is>
          <t>A 15986-2022</t>
        </is>
      </c>
      <c r="B139" s="1" t="n">
        <v>44664</v>
      </c>
      <c r="C139" s="1" t="n">
        <v>46172</v>
      </c>
      <c r="D139" t="inlineStr">
        <is>
          <t>SKÅNE LÄN</t>
        </is>
      </c>
      <c r="E139" t="inlineStr">
        <is>
          <t>HÄSSLEHOLM</t>
        </is>
      </c>
      <c r="F139" t="inlineStr">
        <is>
          <t>Kyrkan</t>
        </is>
      </c>
      <c r="G139" t="n">
        <v>6</v>
      </c>
      <c r="H139" t="n">
        <v>0</v>
      </c>
      <c r="I139" t="n">
        <v>0</v>
      </c>
      <c r="J139" t="n">
        <v>0</v>
      </c>
      <c r="K139" t="n">
        <v>0</v>
      </c>
      <c r="L139" t="n">
        <v>0</v>
      </c>
      <c r="M139" t="n">
        <v>0</v>
      </c>
      <c r="N139" t="n">
        <v>0</v>
      </c>
      <c r="O139" t="n">
        <v>0</v>
      </c>
      <c r="P139" t="n">
        <v>0</v>
      </c>
      <c r="Q139" t="n">
        <v>0</v>
      </c>
      <c r="R139" s="2" t="inlineStr"/>
    </row>
    <row r="140" ht="15" customHeight="1">
      <c r="A140" t="inlineStr">
        <is>
          <t>A 51888-2021</t>
        </is>
      </c>
      <c r="B140" s="1" t="n">
        <v>44462</v>
      </c>
      <c r="C140" s="1" t="n">
        <v>46172</v>
      </c>
      <c r="D140" t="inlineStr">
        <is>
          <t>SKÅNE LÄN</t>
        </is>
      </c>
      <c r="E140" t="inlineStr">
        <is>
          <t>HÄSSLEHOLM</t>
        </is>
      </c>
      <c r="G140" t="n">
        <v>5.6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46172</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29143-2021</t>
        </is>
      </c>
      <c r="B142" s="1" t="n">
        <v>44358.6319212963</v>
      </c>
      <c r="C142" s="1" t="n">
        <v>46172</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418-2022</t>
        </is>
      </c>
      <c r="B143" s="1" t="n">
        <v>44565.84958333334</v>
      </c>
      <c r="C143" s="1" t="n">
        <v>46172</v>
      </c>
      <c r="D143" t="inlineStr">
        <is>
          <t>SKÅNE LÄN</t>
        </is>
      </c>
      <c r="E143" t="inlineStr">
        <is>
          <t>HÄSSLEHOLM</t>
        </is>
      </c>
      <c r="G143" t="n">
        <v>0</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46172</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354-2022</t>
        </is>
      </c>
      <c r="B145" s="1" t="n">
        <v>44565.62510416667</v>
      </c>
      <c r="C145" s="1" t="n">
        <v>46172</v>
      </c>
      <c r="D145" t="inlineStr">
        <is>
          <t>SKÅNE LÄN</t>
        </is>
      </c>
      <c r="E145" t="inlineStr">
        <is>
          <t>HÄSSLEHOLM</t>
        </is>
      </c>
      <c r="G145" t="n">
        <v>2.4</v>
      </c>
      <c r="H145" t="n">
        <v>0</v>
      </c>
      <c r="I145" t="n">
        <v>0</v>
      </c>
      <c r="J145" t="n">
        <v>0</v>
      </c>
      <c r="K145" t="n">
        <v>0</v>
      </c>
      <c r="L145" t="n">
        <v>0</v>
      </c>
      <c r="M145" t="n">
        <v>0</v>
      </c>
      <c r="N145" t="n">
        <v>0</v>
      </c>
      <c r="O145" t="n">
        <v>0</v>
      </c>
      <c r="P145" t="n">
        <v>0</v>
      </c>
      <c r="Q145" t="n">
        <v>0</v>
      </c>
      <c r="R145" s="2" t="inlineStr"/>
    </row>
    <row r="146" ht="15" customHeight="1">
      <c r="A146" t="inlineStr">
        <is>
          <t>A 26386-2022</t>
        </is>
      </c>
      <c r="B146" s="1" t="n">
        <v>44735.6803125</v>
      </c>
      <c r="C146" s="1" t="n">
        <v>46172</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46172</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7262-2022</t>
        </is>
      </c>
      <c r="B148" s="1" t="n">
        <v>44606</v>
      </c>
      <c r="C148" s="1" t="n">
        <v>46172</v>
      </c>
      <c r="D148" t="inlineStr">
        <is>
          <t>SKÅNE LÄN</t>
        </is>
      </c>
      <c r="E148" t="inlineStr">
        <is>
          <t>HÄSSLEHOLM</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46172</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46172</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46172</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46172</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11266-2025</t>
        </is>
      </c>
      <c r="B153" s="1" t="n">
        <v>45726</v>
      </c>
      <c r="C153" s="1" t="n">
        <v>46172</v>
      </c>
      <c r="D153" t="inlineStr">
        <is>
          <t>SKÅNE LÄN</t>
        </is>
      </c>
      <c r="E153" t="inlineStr">
        <is>
          <t>HÄSSLEHOLM</t>
        </is>
      </c>
      <c r="G153" t="n">
        <v>0.3</v>
      </c>
      <c r="H153" t="n">
        <v>0</v>
      </c>
      <c r="I153" t="n">
        <v>0</v>
      </c>
      <c r="J153" t="n">
        <v>0</v>
      </c>
      <c r="K153" t="n">
        <v>0</v>
      </c>
      <c r="L153" t="n">
        <v>0</v>
      </c>
      <c r="M153" t="n">
        <v>0</v>
      </c>
      <c r="N153" t="n">
        <v>0</v>
      </c>
      <c r="O153" t="n">
        <v>0</v>
      </c>
      <c r="P153" t="n">
        <v>0</v>
      </c>
      <c r="Q153" t="n">
        <v>0</v>
      </c>
      <c r="R153" s="2" t="inlineStr"/>
    </row>
    <row r="154" ht="15" customHeight="1">
      <c r="A154" t="inlineStr">
        <is>
          <t>A 64826-2021</t>
        </is>
      </c>
      <c r="B154" s="1" t="n">
        <v>44512.55935185185</v>
      </c>
      <c r="C154" s="1" t="n">
        <v>46172</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6414-2022</t>
        </is>
      </c>
      <c r="B155" s="1" t="n">
        <v>44600</v>
      </c>
      <c r="C155" s="1" t="n">
        <v>46172</v>
      </c>
      <c r="D155" t="inlineStr">
        <is>
          <t>SKÅNE LÄN</t>
        </is>
      </c>
      <c r="E155" t="inlineStr">
        <is>
          <t>HÄSSLEHOLM</t>
        </is>
      </c>
      <c r="G155" t="n">
        <v>2.9</v>
      </c>
      <c r="H155" t="n">
        <v>0</v>
      </c>
      <c r="I155" t="n">
        <v>0</v>
      </c>
      <c r="J155" t="n">
        <v>0</v>
      </c>
      <c r="K155" t="n">
        <v>0</v>
      </c>
      <c r="L155" t="n">
        <v>0</v>
      </c>
      <c r="M155" t="n">
        <v>0</v>
      </c>
      <c r="N155" t="n">
        <v>0</v>
      </c>
      <c r="O155" t="n">
        <v>0</v>
      </c>
      <c r="P155" t="n">
        <v>0</v>
      </c>
      <c r="Q155" t="n">
        <v>0</v>
      </c>
      <c r="R155" s="2" t="inlineStr"/>
    </row>
    <row r="156" ht="15" customHeight="1">
      <c r="A156" t="inlineStr">
        <is>
          <t>A 23967-2022</t>
        </is>
      </c>
      <c r="B156" s="1" t="n">
        <v>44722.74079861111</v>
      </c>
      <c r="C156" s="1" t="n">
        <v>46172</v>
      </c>
      <c r="D156" t="inlineStr">
        <is>
          <t>SKÅNE LÄN</t>
        </is>
      </c>
      <c r="E156" t="inlineStr">
        <is>
          <t>HÄSSLEHOLM</t>
        </is>
      </c>
      <c r="F156" t="inlineStr">
        <is>
          <t>Kyrkan</t>
        </is>
      </c>
      <c r="G156" t="n">
        <v>12.4</v>
      </c>
      <c r="H156" t="n">
        <v>0</v>
      </c>
      <c r="I156" t="n">
        <v>0</v>
      </c>
      <c r="J156" t="n">
        <v>0</v>
      </c>
      <c r="K156" t="n">
        <v>0</v>
      </c>
      <c r="L156" t="n">
        <v>0</v>
      </c>
      <c r="M156" t="n">
        <v>0</v>
      </c>
      <c r="N156" t="n">
        <v>0</v>
      </c>
      <c r="O156" t="n">
        <v>0</v>
      </c>
      <c r="P156" t="n">
        <v>0</v>
      </c>
      <c r="Q156" t="n">
        <v>0</v>
      </c>
      <c r="R156" s="2" t="inlineStr"/>
    </row>
    <row r="157" ht="15" customHeight="1">
      <c r="A157" t="inlineStr">
        <is>
          <t>A 32794-2021</t>
        </is>
      </c>
      <c r="B157" s="1" t="n">
        <v>44375</v>
      </c>
      <c r="C157" s="1" t="n">
        <v>46172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3855-2023</t>
        </is>
      </c>
      <c r="B158" s="1" t="n">
        <v>44951.69708333333</v>
      </c>
      <c r="C158" s="1" t="n">
        <v>46172</v>
      </c>
      <c r="D158" t="inlineStr">
        <is>
          <t>SKÅNE LÄN</t>
        </is>
      </c>
      <c r="E158" t="inlineStr">
        <is>
          <t>HÄSSLEHOLM</t>
        </is>
      </c>
      <c r="G158" t="n">
        <v>2.3</v>
      </c>
      <c r="H158" t="n">
        <v>0</v>
      </c>
      <c r="I158" t="n">
        <v>0</v>
      </c>
      <c r="J158" t="n">
        <v>0</v>
      </c>
      <c r="K158" t="n">
        <v>0</v>
      </c>
      <c r="L158" t="n">
        <v>0</v>
      </c>
      <c r="M158" t="n">
        <v>0</v>
      </c>
      <c r="N158" t="n">
        <v>0</v>
      </c>
      <c r="O158" t="n">
        <v>0</v>
      </c>
      <c r="P158" t="n">
        <v>0</v>
      </c>
      <c r="Q158" t="n">
        <v>0</v>
      </c>
      <c r="R158" s="2" t="inlineStr"/>
    </row>
    <row r="159" ht="15" customHeight="1">
      <c r="A159" t="inlineStr">
        <is>
          <t>A 33481-2024</t>
        </is>
      </c>
      <c r="B159" s="1" t="n">
        <v>45519</v>
      </c>
      <c r="C159" s="1" t="n">
        <v>46172</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8177-2022</t>
        </is>
      </c>
      <c r="B160" s="1" t="n">
        <v>44607</v>
      </c>
      <c r="C160" s="1" t="n">
        <v>46172</v>
      </c>
      <c r="D160" t="inlineStr">
        <is>
          <t>SKÅNE LÄN</t>
        </is>
      </c>
      <c r="E160" t="inlineStr">
        <is>
          <t>HÄSSLEHOLM</t>
        </is>
      </c>
      <c r="F160" t="inlineStr">
        <is>
          <t>Kyrkan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25464-2022</t>
        </is>
      </c>
      <c r="B161" s="1" t="n">
        <v>44729</v>
      </c>
      <c r="C161" s="1" t="n">
        <v>46172</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12843-2023</t>
        </is>
      </c>
      <c r="B162" s="1" t="n">
        <v>45001.48423611111</v>
      </c>
      <c r="C162" s="1" t="n">
        <v>46172</v>
      </c>
      <c r="D162" t="inlineStr">
        <is>
          <t>SKÅNE LÄN</t>
        </is>
      </c>
      <c r="E162" t="inlineStr">
        <is>
          <t>HÄSSLEHOLM</t>
        </is>
      </c>
      <c r="G162" t="n">
        <v>3.9</v>
      </c>
      <c r="H162" t="n">
        <v>0</v>
      </c>
      <c r="I162" t="n">
        <v>0</v>
      </c>
      <c r="J162" t="n">
        <v>0</v>
      </c>
      <c r="K162" t="n">
        <v>0</v>
      </c>
      <c r="L162" t="n">
        <v>0</v>
      </c>
      <c r="M162" t="n">
        <v>0</v>
      </c>
      <c r="N162" t="n">
        <v>0</v>
      </c>
      <c r="O162" t="n">
        <v>0</v>
      </c>
      <c r="P162" t="n">
        <v>0</v>
      </c>
      <c r="Q162" t="n">
        <v>0</v>
      </c>
      <c r="R162" s="2" t="inlineStr"/>
    </row>
    <row r="163" ht="15" customHeight="1">
      <c r="A163" t="inlineStr">
        <is>
          <t>A 1289-2024</t>
        </is>
      </c>
      <c r="B163" s="1" t="n">
        <v>45303.32234953704</v>
      </c>
      <c r="C163" s="1" t="n">
        <v>46172</v>
      </c>
      <c r="D163" t="inlineStr">
        <is>
          <t>SKÅNE LÄN</t>
        </is>
      </c>
      <c r="E163" t="inlineStr">
        <is>
          <t>HÄSSLEHOLM</t>
        </is>
      </c>
      <c r="G163" t="n">
        <v>4.6</v>
      </c>
      <c r="H163" t="n">
        <v>0</v>
      </c>
      <c r="I163" t="n">
        <v>0</v>
      </c>
      <c r="J163" t="n">
        <v>0</v>
      </c>
      <c r="K163" t="n">
        <v>0</v>
      </c>
      <c r="L163" t="n">
        <v>0</v>
      </c>
      <c r="M163" t="n">
        <v>0</v>
      </c>
      <c r="N163" t="n">
        <v>0</v>
      </c>
      <c r="O163" t="n">
        <v>0</v>
      </c>
      <c r="P163" t="n">
        <v>0</v>
      </c>
      <c r="Q163" t="n">
        <v>0</v>
      </c>
      <c r="R163" s="2" t="inlineStr"/>
    </row>
    <row r="164" ht="15" customHeight="1">
      <c r="A164" t="inlineStr">
        <is>
          <t>A 47647-2024</t>
        </is>
      </c>
      <c r="B164" s="1" t="n">
        <v>45588</v>
      </c>
      <c r="C164" s="1" t="n">
        <v>46172</v>
      </c>
      <c r="D164" t="inlineStr">
        <is>
          <t>SKÅNE LÄN</t>
        </is>
      </c>
      <c r="E164" t="inlineStr">
        <is>
          <t>HÄSSLEHOLM</t>
        </is>
      </c>
      <c r="G164" t="n">
        <v>6.5</v>
      </c>
      <c r="H164" t="n">
        <v>0</v>
      </c>
      <c r="I164" t="n">
        <v>0</v>
      </c>
      <c r="J164" t="n">
        <v>0</v>
      </c>
      <c r="K164" t="n">
        <v>0</v>
      </c>
      <c r="L164" t="n">
        <v>0</v>
      </c>
      <c r="M164" t="n">
        <v>0</v>
      </c>
      <c r="N164" t="n">
        <v>0</v>
      </c>
      <c r="O164" t="n">
        <v>0</v>
      </c>
      <c r="P164" t="n">
        <v>0</v>
      </c>
      <c r="Q164" t="n">
        <v>0</v>
      </c>
      <c r="R164" s="2" t="inlineStr"/>
    </row>
    <row r="165" ht="15" customHeight="1">
      <c r="A165" t="inlineStr">
        <is>
          <t>A 30344-2022</t>
        </is>
      </c>
      <c r="B165" s="1" t="n">
        <v>44760.50783564815</v>
      </c>
      <c r="C165" s="1" t="n">
        <v>46172</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54176-2022</t>
        </is>
      </c>
      <c r="B166" s="1" t="n">
        <v>44881</v>
      </c>
      <c r="C166" s="1" t="n">
        <v>46172</v>
      </c>
      <c r="D166" t="inlineStr">
        <is>
          <t>SKÅNE LÄN</t>
        </is>
      </c>
      <c r="E166" t="inlineStr">
        <is>
          <t>HÄSSLEHOLM</t>
        </is>
      </c>
      <c r="G166" t="n">
        <v>1.1</v>
      </c>
      <c r="H166" t="n">
        <v>0</v>
      </c>
      <c r="I166" t="n">
        <v>0</v>
      </c>
      <c r="J166" t="n">
        <v>0</v>
      </c>
      <c r="K166" t="n">
        <v>0</v>
      </c>
      <c r="L166" t="n">
        <v>0</v>
      </c>
      <c r="M166" t="n">
        <v>0</v>
      </c>
      <c r="N166" t="n">
        <v>0</v>
      </c>
      <c r="O166" t="n">
        <v>0</v>
      </c>
      <c r="P166" t="n">
        <v>0</v>
      </c>
      <c r="Q166" t="n">
        <v>0</v>
      </c>
      <c r="R166" s="2" t="inlineStr"/>
    </row>
    <row r="167" ht="15" customHeight="1">
      <c r="A167" t="inlineStr">
        <is>
          <t>A 2479-2024</t>
        </is>
      </c>
      <c r="B167" s="1" t="n">
        <v>45313.40148148148</v>
      </c>
      <c r="C167" s="1" t="n">
        <v>46172</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7152-2025</t>
        </is>
      </c>
      <c r="B168" s="1" t="n">
        <v>45702.3837037037</v>
      </c>
      <c r="C168" s="1" t="n">
        <v>46172</v>
      </c>
      <c r="D168" t="inlineStr">
        <is>
          <t>SKÅNE LÄN</t>
        </is>
      </c>
      <c r="E168" t="inlineStr">
        <is>
          <t>HÄSSLEHOLM</t>
        </is>
      </c>
      <c r="G168" t="n">
        <v>1.3</v>
      </c>
      <c r="H168" t="n">
        <v>0</v>
      </c>
      <c r="I168" t="n">
        <v>0</v>
      </c>
      <c r="J168" t="n">
        <v>0</v>
      </c>
      <c r="K168" t="n">
        <v>0</v>
      </c>
      <c r="L168" t="n">
        <v>0</v>
      </c>
      <c r="M168" t="n">
        <v>0</v>
      </c>
      <c r="N168" t="n">
        <v>0</v>
      </c>
      <c r="O168" t="n">
        <v>0</v>
      </c>
      <c r="P168" t="n">
        <v>0</v>
      </c>
      <c r="Q168" t="n">
        <v>0</v>
      </c>
      <c r="R168" s="2" t="inlineStr"/>
    </row>
    <row r="169" ht="15" customHeight="1">
      <c r="A169" t="inlineStr">
        <is>
          <t>A 7160-2025</t>
        </is>
      </c>
      <c r="B169" s="1" t="n">
        <v>45702.3875462963</v>
      </c>
      <c r="C169" s="1" t="n">
        <v>46172</v>
      </c>
      <c r="D169" t="inlineStr">
        <is>
          <t>SKÅNE LÄN</t>
        </is>
      </c>
      <c r="E169" t="inlineStr">
        <is>
          <t>HÄSSLEHOLM</t>
        </is>
      </c>
      <c r="G169" t="n">
        <v>2.5</v>
      </c>
      <c r="H169" t="n">
        <v>0</v>
      </c>
      <c r="I169" t="n">
        <v>0</v>
      </c>
      <c r="J169" t="n">
        <v>0</v>
      </c>
      <c r="K169" t="n">
        <v>0</v>
      </c>
      <c r="L169" t="n">
        <v>0</v>
      </c>
      <c r="M169" t="n">
        <v>0</v>
      </c>
      <c r="N169" t="n">
        <v>0</v>
      </c>
      <c r="O169" t="n">
        <v>0</v>
      </c>
      <c r="P169" t="n">
        <v>0</v>
      </c>
      <c r="Q169" t="n">
        <v>0</v>
      </c>
      <c r="R169" s="2" t="inlineStr"/>
    </row>
    <row r="170" ht="15" customHeight="1">
      <c r="A170" t="inlineStr">
        <is>
          <t>A 26397-2023</t>
        </is>
      </c>
      <c r="B170" s="1" t="n">
        <v>45087</v>
      </c>
      <c r="C170" s="1" t="n">
        <v>46172</v>
      </c>
      <c r="D170" t="inlineStr">
        <is>
          <t>SKÅNE LÄN</t>
        </is>
      </c>
      <c r="E170" t="inlineStr">
        <is>
          <t>HÄSSLEHOLM</t>
        </is>
      </c>
      <c r="G170" t="n">
        <v>1.7</v>
      </c>
      <c r="H170" t="n">
        <v>0</v>
      </c>
      <c r="I170" t="n">
        <v>0</v>
      </c>
      <c r="J170" t="n">
        <v>0</v>
      </c>
      <c r="K170" t="n">
        <v>0</v>
      </c>
      <c r="L170" t="n">
        <v>0</v>
      </c>
      <c r="M170" t="n">
        <v>0</v>
      </c>
      <c r="N170" t="n">
        <v>0</v>
      </c>
      <c r="O170" t="n">
        <v>0</v>
      </c>
      <c r="P170" t="n">
        <v>0</v>
      </c>
      <c r="Q170" t="n">
        <v>0</v>
      </c>
      <c r="R170" s="2" t="inlineStr"/>
    </row>
    <row r="171" ht="15" customHeight="1">
      <c r="A171" t="inlineStr">
        <is>
          <t>A 56527-2021</t>
        </is>
      </c>
      <c r="B171" s="1" t="n">
        <v>44480</v>
      </c>
      <c r="C171" s="1" t="n">
        <v>46172</v>
      </c>
      <c r="D171" t="inlineStr">
        <is>
          <t>SKÅNE LÄN</t>
        </is>
      </c>
      <c r="E171" t="inlineStr">
        <is>
          <t>HÄSSLEHOLM</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1119-2024</t>
        </is>
      </c>
      <c r="B172" s="1" t="n">
        <v>45302</v>
      </c>
      <c r="C172" s="1" t="n">
        <v>46172</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58888-2024</t>
        </is>
      </c>
      <c r="B173" s="1" t="n">
        <v>45636.45962962963</v>
      </c>
      <c r="C173" s="1" t="n">
        <v>46172</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27291-2023</t>
        </is>
      </c>
      <c r="B174" s="1" t="n">
        <v>45096</v>
      </c>
      <c r="C174" s="1" t="n">
        <v>46172</v>
      </c>
      <c r="D174" t="inlineStr">
        <is>
          <t>SKÅNE LÄN</t>
        </is>
      </c>
      <c r="E174" t="inlineStr">
        <is>
          <t>HÄSSLEHOLM</t>
        </is>
      </c>
      <c r="G174" t="n">
        <v>3.5</v>
      </c>
      <c r="H174" t="n">
        <v>0</v>
      </c>
      <c r="I174" t="n">
        <v>0</v>
      </c>
      <c r="J174" t="n">
        <v>0</v>
      </c>
      <c r="K174" t="n">
        <v>0</v>
      </c>
      <c r="L174" t="n">
        <v>0</v>
      </c>
      <c r="M174" t="n">
        <v>0</v>
      </c>
      <c r="N174" t="n">
        <v>0</v>
      </c>
      <c r="O174" t="n">
        <v>0</v>
      </c>
      <c r="P174" t="n">
        <v>0</v>
      </c>
      <c r="Q174" t="n">
        <v>0</v>
      </c>
      <c r="R174" s="2" t="inlineStr"/>
    </row>
    <row r="175" ht="15" customHeight="1">
      <c r="A175" t="inlineStr">
        <is>
          <t>A 16334-2024</t>
        </is>
      </c>
      <c r="B175" s="1" t="n">
        <v>45407.54856481482</v>
      </c>
      <c r="C175" s="1" t="n">
        <v>46172</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3663-2024</t>
        </is>
      </c>
      <c r="B176" s="1" t="n">
        <v>45321.34775462963</v>
      </c>
      <c r="C176" s="1" t="n">
        <v>46172</v>
      </c>
      <c r="D176" t="inlineStr">
        <is>
          <t>SKÅNE LÄN</t>
        </is>
      </c>
      <c r="E176" t="inlineStr">
        <is>
          <t>HÄSSLEHOLM</t>
        </is>
      </c>
      <c r="G176" t="n">
        <v>0.4</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46172</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46172</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46172</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441-2022</t>
        </is>
      </c>
      <c r="B180" s="1" t="n">
        <v>44565.97125</v>
      </c>
      <c r="C180" s="1" t="n">
        <v>46172</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5887-2025</t>
        </is>
      </c>
      <c r="B181" s="1" t="n">
        <v>45695.37925925926</v>
      </c>
      <c r="C181" s="1" t="n">
        <v>46172</v>
      </c>
      <c r="D181" t="inlineStr">
        <is>
          <t>SKÅNE LÄN</t>
        </is>
      </c>
      <c r="E181" t="inlineStr">
        <is>
          <t>HÄSSLEHOLM</t>
        </is>
      </c>
      <c r="G181" t="n">
        <v>4.8</v>
      </c>
      <c r="H181" t="n">
        <v>0</v>
      </c>
      <c r="I181" t="n">
        <v>0</v>
      </c>
      <c r="J181" t="n">
        <v>0</v>
      </c>
      <c r="K181" t="n">
        <v>0</v>
      </c>
      <c r="L181" t="n">
        <v>0</v>
      </c>
      <c r="M181" t="n">
        <v>0</v>
      </c>
      <c r="N181" t="n">
        <v>0</v>
      </c>
      <c r="O181" t="n">
        <v>0</v>
      </c>
      <c r="P181" t="n">
        <v>0</v>
      </c>
      <c r="Q181" t="n">
        <v>0</v>
      </c>
      <c r="R181" s="2" t="inlineStr"/>
    </row>
    <row r="182" ht="15" customHeight="1">
      <c r="A182" t="inlineStr">
        <is>
          <t>A 9393-2025</t>
        </is>
      </c>
      <c r="B182" s="1" t="n">
        <v>45715.36230324074</v>
      </c>
      <c r="C182" s="1" t="n">
        <v>46172</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15897-2025</t>
        </is>
      </c>
      <c r="B183" s="1" t="n">
        <v>45749.41598379629</v>
      </c>
      <c r="C183" s="1" t="n">
        <v>46172</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54982-2024</t>
        </is>
      </c>
      <c r="B184" s="1" t="n">
        <v>45620.7580787037</v>
      </c>
      <c r="C184" s="1" t="n">
        <v>46172</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61182-2024</t>
        </is>
      </c>
      <c r="B185" s="1" t="n">
        <v>45645</v>
      </c>
      <c r="C185" s="1" t="n">
        <v>46172</v>
      </c>
      <c r="D185" t="inlineStr">
        <is>
          <t>SKÅNE LÄN</t>
        </is>
      </c>
      <c r="E185" t="inlineStr">
        <is>
          <t>HÄSSLEHOLM</t>
        </is>
      </c>
      <c r="G185" t="n">
        <v>3.2</v>
      </c>
      <c r="H185" t="n">
        <v>0</v>
      </c>
      <c r="I185" t="n">
        <v>0</v>
      </c>
      <c r="J185" t="n">
        <v>0</v>
      </c>
      <c r="K185" t="n">
        <v>0</v>
      </c>
      <c r="L185" t="n">
        <v>0</v>
      </c>
      <c r="M185" t="n">
        <v>0</v>
      </c>
      <c r="N185" t="n">
        <v>0</v>
      </c>
      <c r="O185" t="n">
        <v>0</v>
      </c>
      <c r="P185" t="n">
        <v>0</v>
      </c>
      <c r="Q185" t="n">
        <v>0</v>
      </c>
      <c r="R185" s="2" t="inlineStr"/>
    </row>
    <row r="186" ht="15" customHeight="1">
      <c r="A186" t="inlineStr">
        <is>
          <t>A 23956-2023</t>
        </is>
      </c>
      <c r="B186" s="1" t="n">
        <v>45078.62302083334</v>
      </c>
      <c r="C186" s="1" t="n">
        <v>46172</v>
      </c>
      <c r="D186" t="inlineStr">
        <is>
          <t>SKÅNE LÄN</t>
        </is>
      </c>
      <c r="E186" t="inlineStr">
        <is>
          <t>HÄSSLEHOLM</t>
        </is>
      </c>
      <c r="G186" t="n">
        <v>0.1</v>
      </c>
      <c r="H186" t="n">
        <v>0</v>
      </c>
      <c r="I186" t="n">
        <v>0</v>
      </c>
      <c r="J186" t="n">
        <v>0</v>
      </c>
      <c r="K186" t="n">
        <v>0</v>
      </c>
      <c r="L186" t="n">
        <v>0</v>
      </c>
      <c r="M186" t="n">
        <v>0</v>
      </c>
      <c r="N186" t="n">
        <v>0</v>
      </c>
      <c r="O186" t="n">
        <v>0</v>
      </c>
      <c r="P186" t="n">
        <v>0</v>
      </c>
      <c r="Q186" t="n">
        <v>0</v>
      </c>
      <c r="R186" s="2" t="inlineStr"/>
    </row>
    <row r="187" ht="15" customHeight="1">
      <c r="A187" t="inlineStr">
        <is>
          <t>A 54874-2022</t>
        </is>
      </c>
      <c r="B187" s="1" t="n">
        <v>44881</v>
      </c>
      <c r="C187" s="1" t="n">
        <v>46172</v>
      </c>
      <c r="D187" t="inlineStr">
        <is>
          <t>SKÅNE LÄN</t>
        </is>
      </c>
      <c r="E187" t="inlineStr">
        <is>
          <t>HÄSSLEHOLM</t>
        </is>
      </c>
      <c r="G187" t="n">
        <v>8.1</v>
      </c>
      <c r="H187" t="n">
        <v>0</v>
      </c>
      <c r="I187" t="n">
        <v>0</v>
      </c>
      <c r="J187" t="n">
        <v>0</v>
      </c>
      <c r="K187" t="n">
        <v>0</v>
      </c>
      <c r="L187" t="n">
        <v>0</v>
      </c>
      <c r="M187" t="n">
        <v>0</v>
      </c>
      <c r="N187" t="n">
        <v>0</v>
      </c>
      <c r="O187" t="n">
        <v>0</v>
      </c>
      <c r="P187" t="n">
        <v>0</v>
      </c>
      <c r="Q187" t="n">
        <v>0</v>
      </c>
      <c r="R187" s="2" t="inlineStr"/>
    </row>
    <row r="188" ht="15" customHeight="1">
      <c r="A188" t="inlineStr">
        <is>
          <t>A 17152-2025</t>
        </is>
      </c>
      <c r="B188" s="1" t="n">
        <v>45756.33318287037</v>
      </c>
      <c r="C188" s="1" t="n">
        <v>46172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14674-2025</t>
        </is>
      </c>
      <c r="B189" s="1" t="n">
        <v>45742.55548611111</v>
      </c>
      <c r="C189" s="1" t="n">
        <v>46172</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34301-2024</t>
        </is>
      </c>
      <c r="B190" s="1" t="n">
        <v>45524</v>
      </c>
      <c r="C190" s="1" t="n">
        <v>46172</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27242-2022</t>
        </is>
      </c>
      <c r="B191" s="1" t="n">
        <v>44741</v>
      </c>
      <c r="C191" s="1" t="n">
        <v>46172</v>
      </c>
      <c r="D191" t="inlineStr">
        <is>
          <t>SKÅNE LÄN</t>
        </is>
      </c>
      <c r="E191" t="inlineStr">
        <is>
          <t>HÄSSLEHOLM</t>
        </is>
      </c>
      <c r="G191" t="n">
        <v>1.9</v>
      </c>
      <c r="H191" t="n">
        <v>0</v>
      </c>
      <c r="I191" t="n">
        <v>0</v>
      </c>
      <c r="J191" t="n">
        <v>0</v>
      </c>
      <c r="K191" t="n">
        <v>0</v>
      </c>
      <c r="L191" t="n">
        <v>0</v>
      </c>
      <c r="M191" t="n">
        <v>0</v>
      </c>
      <c r="N191" t="n">
        <v>0</v>
      </c>
      <c r="O191" t="n">
        <v>0</v>
      </c>
      <c r="P191" t="n">
        <v>0</v>
      </c>
      <c r="Q191" t="n">
        <v>0</v>
      </c>
      <c r="R191" s="2" t="inlineStr"/>
    </row>
    <row r="192" ht="15" customHeight="1">
      <c r="A192" t="inlineStr">
        <is>
          <t>A 14702-2025</t>
        </is>
      </c>
      <c r="B192" s="1" t="n">
        <v>45742.60403935185</v>
      </c>
      <c r="C192" s="1" t="n">
        <v>46172</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14255-2024</t>
        </is>
      </c>
      <c r="B193" s="1" t="n">
        <v>45393</v>
      </c>
      <c r="C193" s="1" t="n">
        <v>46172</v>
      </c>
      <c r="D193" t="inlineStr">
        <is>
          <t>SKÅNE LÄN</t>
        </is>
      </c>
      <c r="E193" t="inlineStr">
        <is>
          <t>HÄSSLEHOLM</t>
        </is>
      </c>
      <c r="G193" t="n">
        <v>11.9</v>
      </c>
      <c r="H193" t="n">
        <v>0</v>
      </c>
      <c r="I193" t="n">
        <v>0</v>
      </c>
      <c r="J193" t="n">
        <v>0</v>
      </c>
      <c r="K193" t="n">
        <v>0</v>
      </c>
      <c r="L193" t="n">
        <v>0</v>
      </c>
      <c r="M193" t="n">
        <v>0</v>
      </c>
      <c r="N193" t="n">
        <v>0</v>
      </c>
      <c r="O193" t="n">
        <v>0</v>
      </c>
      <c r="P193" t="n">
        <v>0</v>
      </c>
      <c r="Q193" t="n">
        <v>0</v>
      </c>
      <c r="R193" s="2" t="inlineStr"/>
    </row>
    <row r="194" ht="15" customHeight="1">
      <c r="A194" t="inlineStr">
        <is>
          <t>A 16388-2025</t>
        </is>
      </c>
      <c r="B194" s="1" t="n">
        <v>45751.42787037037</v>
      </c>
      <c r="C194" s="1" t="n">
        <v>46172</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23950-2023</t>
        </is>
      </c>
      <c r="B195" s="1" t="n">
        <v>45078.61771990741</v>
      </c>
      <c r="C195" s="1" t="n">
        <v>46172</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23952-2023</t>
        </is>
      </c>
      <c r="B196" s="1" t="n">
        <v>45078.62064814815</v>
      </c>
      <c r="C196" s="1" t="n">
        <v>46172</v>
      </c>
      <c r="D196" t="inlineStr">
        <is>
          <t>SKÅNE LÄN</t>
        </is>
      </c>
      <c r="E196" t="inlineStr">
        <is>
          <t>HÄSSLEHOLM</t>
        </is>
      </c>
      <c r="G196" t="n">
        <v>0.4</v>
      </c>
      <c r="H196" t="n">
        <v>0</v>
      </c>
      <c r="I196" t="n">
        <v>0</v>
      </c>
      <c r="J196" t="n">
        <v>0</v>
      </c>
      <c r="K196" t="n">
        <v>0</v>
      </c>
      <c r="L196" t="n">
        <v>0</v>
      </c>
      <c r="M196" t="n">
        <v>0</v>
      </c>
      <c r="N196" t="n">
        <v>0</v>
      </c>
      <c r="O196" t="n">
        <v>0</v>
      </c>
      <c r="P196" t="n">
        <v>0</v>
      </c>
      <c r="Q196" t="n">
        <v>0</v>
      </c>
      <c r="R196" s="2" t="inlineStr"/>
    </row>
    <row r="197" ht="15" customHeight="1">
      <c r="A197" t="inlineStr">
        <is>
          <t>A 61158-2022</t>
        </is>
      </c>
      <c r="B197" s="1" t="n">
        <v>44915.47112268519</v>
      </c>
      <c r="C197" s="1" t="n">
        <v>46172</v>
      </c>
      <c r="D197" t="inlineStr">
        <is>
          <t>SKÅNE LÄN</t>
        </is>
      </c>
      <c r="E197" t="inlineStr">
        <is>
          <t>HÄSSLEHOLM</t>
        </is>
      </c>
      <c r="G197" t="n">
        <v>8.4</v>
      </c>
      <c r="H197" t="n">
        <v>0</v>
      </c>
      <c r="I197" t="n">
        <v>0</v>
      </c>
      <c r="J197" t="n">
        <v>0</v>
      </c>
      <c r="K197" t="n">
        <v>0</v>
      </c>
      <c r="L197" t="n">
        <v>0</v>
      </c>
      <c r="M197" t="n">
        <v>0</v>
      </c>
      <c r="N197" t="n">
        <v>0</v>
      </c>
      <c r="O197" t="n">
        <v>0</v>
      </c>
      <c r="P197" t="n">
        <v>0</v>
      </c>
      <c r="Q197" t="n">
        <v>0</v>
      </c>
      <c r="R197" s="2" t="inlineStr"/>
    </row>
    <row r="198" ht="15" customHeight="1">
      <c r="A198" t="inlineStr">
        <is>
          <t>A 61186-2022</t>
        </is>
      </c>
      <c r="B198" s="1" t="n">
        <v>44915.50745370371</v>
      </c>
      <c r="C198" s="1" t="n">
        <v>46172</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35974-2022</t>
        </is>
      </c>
      <c r="B199" s="1" t="n">
        <v>44802</v>
      </c>
      <c r="C199" s="1" t="n">
        <v>46172</v>
      </c>
      <c r="D199" t="inlineStr">
        <is>
          <t>SKÅNE LÄN</t>
        </is>
      </c>
      <c r="E199" t="inlineStr">
        <is>
          <t>HÄSSLEHOLM</t>
        </is>
      </c>
      <c r="G199" t="n">
        <v>3.8</v>
      </c>
      <c r="H199" t="n">
        <v>0</v>
      </c>
      <c r="I199" t="n">
        <v>0</v>
      </c>
      <c r="J199" t="n">
        <v>0</v>
      </c>
      <c r="K199" t="n">
        <v>0</v>
      </c>
      <c r="L199" t="n">
        <v>0</v>
      </c>
      <c r="M199" t="n">
        <v>0</v>
      </c>
      <c r="N199" t="n">
        <v>0</v>
      </c>
      <c r="O199" t="n">
        <v>0</v>
      </c>
      <c r="P199" t="n">
        <v>0</v>
      </c>
      <c r="Q199" t="n">
        <v>0</v>
      </c>
      <c r="R199" s="2" t="inlineStr"/>
    </row>
    <row r="200" ht="15" customHeight="1">
      <c r="A200" t="inlineStr">
        <is>
          <t>A 62055-2023</t>
        </is>
      </c>
      <c r="B200" s="1" t="n">
        <v>45266.70287037037</v>
      </c>
      <c r="C200" s="1" t="n">
        <v>46172</v>
      </c>
      <c r="D200" t="inlineStr">
        <is>
          <t>SKÅNE LÄN</t>
        </is>
      </c>
      <c r="E200" t="inlineStr">
        <is>
          <t>HÄSSLEHOLM</t>
        </is>
      </c>
      <c r="G200" t="n">
        <v>5.2</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46172</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41874-2024</t>
        </is>
      </c>
      <c r="B202" s="1" t="n">
        <v>45561</v>
      </c>
      <c r="C202" s="1" t="n">
        <v>46172</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55284-2023</t>
        </is>
      </c>
      <c r="B203" s="1" t="n">
        <v>45237.74259259259</v>
      </c>
      <c r="C203" s="1" t="n">
        <v>46172</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12338-2024</t>
        </is>
      </c>
      <c r="B204" s="1" t="n">
        <v>45378.72869212963</v>
      </c>
      <c r="C204" s="1" t="n">
        <v>46172</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7890-2024</t>
        </is>
      </c>
      <c r="B205" s="1" t="n">
        <v>45350.40780092592</v>
      </c>
      <c r="C205" s="1" t="n">
        <v>46172</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33465-2024</t>
        </is>
      </c>
      <c r="B206" s="1" t="n">
        <v>45519.59619212963</v>
      </c>
      <c r="C206" s="1" t="n">
        <v>46172</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51893-2021</t>
        </is>
      </c>
      <c r="B207" s="1" t="n">
        <v>44462</v>
      </c>
      <c r="C207" s="1" t="n">
        <v>46172</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24241-2023</t>
        </is>
      </c>
      <c r="B208" s="1" t="n">
        <v>45079.61476851852</v>
      </c>
      <c r="C208" s="1" t="n">
        <v>46172</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15055-2023</t>
        </is>
      </c>
      <c r="B209" s="1" t="n">
        <v>45015</v>
      </c>
      <c r="C209" s="1" t="n">
        <v>46172</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26642-2023</t>
        </is>
      </c>
      <c r="B210" s="1" t="n">
        <v>45092.8975</v>
      </c>
      <c r="C210" s="1" t="n">
        <v>46172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55394-2022</t>
        </is>
      </c>
      <c r="B211" s="1" t="n">
        <v>44887.57112268519</v>
      </c>
      <c r="C211" s="1" t="n">
        <v>46172</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21310-2022</t>
        </is>
      </c>
      <c r="B212" s="1" t="n">
        <v>44705</v>
      </c>
      <c r="C212" s="1" t="n">
        <v>46172</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3500-2024</t>
        </is>
      </c>
      <c r="B213" s="1" t="n">
        <v>45320</v>
      </c>
      <c r="C213" s="1" t="n">
        <v>46172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34187-2023</t>
        </is>
      </c>
      <c r="B214" s="1" t="n">
        <v>45138</v>
      </c>
      <c r="C214" s="1" t="n">
        <v>46172</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58815-2023</t>
        </is>
      </c>
      <c r="B215" s="1" t="n">
        <v>45247</v>
      </c>
      <c r="C215" s="1" t="n">
        <v>46172</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33597-2023</t>
        </is>
      </c>
      <c r="B216" s="1" t="n">
        <v>45132</v>
      </c>
      <c r="C216" s="1" t="n">
        <v>46172</v>
      </c>
      <c r="D216" t="inlineStr">
        <is>
          <t>SKÅNE LÄN</t>
        </is>
      </c>
      <c r="E216" t="inlineStr">
        <is>
          <t>HÄSSLEHOLM</t>
        </is>
      </c>
      <c r="G216" t="n">
        <v>3.9</v>
      </c>
      <c r="H216" t="n">
        <v>0</v>
      </c>
      <c r="I216" t="n">
        <v>0</v>
      </c>
      <c r="J216" t="n">
        <v>0</v>
      </c>
      <c r="K216" t="n">
        <v>0</v>
      </c>
      <c r="L216" t="n">
        <v>0</v>
      </c>
      <c r="M216" t="n">
        <v>0</v>
      </c>
      <c r="N216" t="n">
        <v>0</v>
      </c>
      <c r="O216" t="n">
        <v>0</v>
      </c>
      <c r="P216" t="n">
        <v>0</v>
      </c>
      <c r="Q216" t="n">
        <v>0</v>
      </c>
      <c r="R216" s="2" t="inlineStr"/>
    </row>
    <row r="217" ht="15" customHeight="1">
      <c r="A217" t="inlineStr">
        <is>
          <t>A 33599-2023</t>
        </is>
      </c>
      <c r="B217" s="1" t="n">
        <v>45132</v>
      </c>
      <c r="C217" s="1" t="n">
        <v>46172</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27173-2024</t>
        </is>
      </c>
      <c r="B218" s="1" t="n">
        <v>45471.57048611111</v>
      </c>
      <c r="C218" s="1" t="n">
        <v>46172</v>
      </c>
      <c r="D218" t="inlineStr">
        <is>
          <t>SKÅNE LÄN</t>
        </is>
      </c>
      <c r="E218" t="inlineStr">
        <is>
          <t>HÄSSLEHOLM</t>
        </is>
      </c>
      <c r="G218" t="n">
        <v>1.8</v>
      </c>
      <c r="H218" t="n">
        <v>0</v>
      </c>
      <c r="I218" t="n">
        <v>0</v>
      </c>
      <c r="J218" t="n">
        <v>0</v>
      </c>
      <c r="K218" t="n">
        <v>0</v>
      </c>
      <c r="L218" t="n">
        <v>0</v>
      </c>
      <c r="M218" t="n">
        <v>0</v>
      </c>
      <c r="N218" t="n">
        <v>0</v>
      </c>
      <c r="O218" t="n">
        <v>0</v>
      </c>
      <c r="P218" t="n">
        <v>0</v>
      </c>
      <c r="Q218" t="n">
        <v>0</v>
      </c>
      <c r="R218" s="2" t="inlineStr"/>
    </row>
    <row r="219" ht="15" customHeight="1">
      <c r="A219" t="inlineStr">
        <is>
          <t>A 66321-2021</t>
        </is>
      </c>
      <c r="B219" s="1" t="n">
        <v>44518</v>
      </c>
      <c r="C219" s="1" t="n">
        <v>46172</v>
      </c>
      <c r="D219" t="inlineStr">
        <is>
          <t>SKÅNE LÄN</t>
        </is>
      </c>
      <c r="E219" t="inlineStr">
        <is>
          <t>HÄSSLEHOLM</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16668-2025</t>
        </is>
      </c>
      <c r="B220" s="1" t="n">
        <v>45754.43009259259</v>
      </c>
      <c r="C220" s="1" t="n">
        <v>46172</v>
      </c>
      <c r="D220" t="inlineStr">
        <is>
          <t>SKÅNE LÄN</t>
        </is>
      </c>
      <c r="E220" t="inlineStr">
        <is>
          <t>HÄSSLEHOLM</t>
        </is>
      </c>
      <c r="G220" t="n">
        <v>4</v>
      </c>
      <c r="H220" t="n">
        <v>0</v>
      </c>
      <c r="I220" t="n">
        <v>0</v>
      </c>
      <c r="J220" t="n">
        <v>0</v>
      </c>
      <c r="K220" t="n">
        <v>0</v>
      </c>
      <c r="L220" t="n">
        <v>0</v>
      </c>
      <c r="M220" t="n">
        <v>0</v>
      </c>
      <c r="N220" t="n">
        <v>0</v>
      </c>
      <c r="O220" t="n">
        <v>0</v>
      </c>
      <c r="P220" t="n">
        <v>0</v>
      </c>
      <c r="Q220" t="n">
        <v>0</v>
      </c>
      <c r="R220" s="2" t="inlineStr"/>
    </row>
    <row r="221" ht="15" customHeight="1">
      <c r="A221" t="inlineStr">
        <is>
          <t>A 23857-2024</t>
        </is>
      </c>
      <c r="B221" s="1" t="n">
        <v>45455</v>
      </c>
      <c r="C221" s="1" t="n">
        <v>46172</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31268-2024</t>
        </is>
      </c>
      <c r="B222" s="1" t="n">
        <v>45504</v>
      </c>
      <c r="C222" s="1" t="n">
        <v>46172</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10020-2024</t>
        </is>
      </c>
      <c r="B223" s="1" t="n">
        <v>45363.96944444445</v>
      </c>
      <c r="C223" s="1" t="n">
        <v>46172</v>
      </c>
      <c r="D223" t="inlineStr">
        <is>
          <t>SKÅNE LÄN</t>
        </is>
      </c>
      <c r="E223" t="inlineStr">
        <is>
          <t>HÄSSLEHOLM</t>
        </is>
      </c>
      <c r="G223" t="n">
        <v>5.3</v>
      </c>
      <c r="H223" t="n">
        <v>0</v>
      </c>
      <c r="I223" t="n">
        <v>0</v>
      </c>
      <c r="J223" t="n">
        <v>0</v>
      </c>
      <c r="K223" t="n">
        <v>0</v>
      </c>
      <c r="L223" t="n">
        <v>0</v>
      </c>
      <c r="M223" t="n">
        <v>0</v>
      </c>
      <c r="N223" t="n">
        <v>0</v>
      </c>
      <c r="O223" t="n">
        <v>0</v>
      </c>
      <c r="P223" t="n">
        <v>0</v>
      </c>
      <c r="Q223" t="n">
        <v>0</v>
      </c>
      <c r="R223" s="2" t="inlineStr"/>
    </row>
    <row r="224" ht="15" customHeight="1">
      <c r="A224" t="inlineStr">
        <is>
          <t>A 70087-2021</t>
        </is>
      </c>
      <c r="B224" s="1" t="n">
        <v>44533</v>
      </c>
      <c r="C224" s="1" t="n">
        <v>46172</v>
      </c>
      <c r="D224" t="inlineStr">
        <is>
          <t>SKÅNE LÄN</t>
        </is>
      </c>
      <c r="E224" t="inlineStr">
        <is>
          <t>HÄSSLEHOLM</t>
        </is>
      </c>
      <c r="G224" t="n">
        <v>5</v>
      </c>
      <c r="H224" t="n">
        <v>0</v>
      </c>
      <c r="I224" t="n">
        <v>0</v>
      </c>
      <c r="J224" t="n">
        <v>0</v>
      </c>
      <c r="K224" t="n">
        <v>0</v>
      </c>
      <c r="L224" t="n">
        <v>0</v>
      </c>
      <c r="M224" t="n">
        <v>0</v>
      </c>
      <c r="N224" t="n">
        <v>0</v>
      </c>
      <c r="O224" t="n">
        <v>0</v>
      </c>
      <c r="P224" t="n">
        <v>0</v>
      </c>
      <c r="Q224" t="n">
        <v>0</v>
      </c>
      <c r="R224" s="2" t="inlineStr"/>
    </row>
    <row r="225" ht="15" customHeight="1">
      <c r="A225" t="inlineStr">
        <is>
          <t>A 31255-2024</t>
        </is>
      </c>
      <c r="B225" s="1" t="n">
        <v>45503.69114583333</v>
      </c>
      <c r="C225" s="1" t="n">
        <v>46172</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51287-2022</t>
        </is>
      </c>
      <c r="B226" s="1" t="n">
        <v>44868.83146990741</v>
      </c>
      <c r="C226" s="1" t="n">
        <v>46172</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44697-2021</t>
        </is>
      </c>
      <c r="B227" s="1" t="n">
        <v>44438</v>
      </c>
      <c r="C227" s="1" t="n">
        <v>46172</v>
      </c>
      <c r="D227" t="inlineStr">
        <is>
          <t>SKÅNE LÄN</t>
        </is>
      </c>
      <c r="E227" t="inlineStr">
        <is>
          <t>HÄSSLEHOLM</t>
        </is>
      </c>
      <c r="G227" t="n">
        <v>4.8</v>
      </c>
      <c r="H227" t="n">
        <v>0</v>
      </c>
      <c r="I227" t="n">
        <v>0</v>
      </c>
      <c r="J227" t="n">
        <v>0</v>
      </c>
      <c r="K227" t="n">
        <v>0</v>
      </c>
      <c r="L227" t="n">
        <v>0</v>
      </c>
      <c r="M227" t="n">
        <v>0</v>
      </c>
      <c r="N227" t="n">
        <v>0</v>
      </c>
      <c r="O227" t="n">
        <v>0</v>
      </c>
      <c r="P227" t="n">
        <v>0</v>
      </c>
      <c r="Q227" t="n">
        <v>0</v>
      </c>
      <c r="R227" s="2" t="inlineStr"/>
    </row>
    <row r="228" ht="15" customHeight="1">
      <c r="A228" t="inlineStr">
        <is>
          <t>A 8433-2024</t>
        </is>
      </c>
      <c r="B228" s="1" t="n">
        <v>45353.48434027778</v>
      </c>
      <c r="C228" s="1" t="n">
        <v>46172</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48807-2021</t>
        </is>
      </c>
      <c r="B229" s="1" t="n">
        <v>44452</v>
      </c>
      <c r="C229" s="1" t="n">
        <v>46172</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28457-2024</t>
        </is>
      </c>
      <c r="B230" s="1" t="n">
        <v>45477.68884259259</v>
      </c>
      <c r="C230" s="1" t="n">
        <v>46172</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21867-2023</t>
        </is>
      </c>
      <c r="B231" s="1" t="n">
        <v>45063</v>
      </c>
      <c r="C231" s="1" t="n">
        <v>46172</v>
      </c>
      <c r="D231" t="inlineStr">
        <is>
          <t>SKÅNE LÄN</t>
        </is>
      </c>
      <c r="E231" t="inlineStr">
        <is>
          <t>HÄSSLEHOLM</t>
        </is>
      </c>
      <c r="G231" t="n">
        <v>7.6</v>
      </c>
      <c r="H231" t="n">
        <v>0</v>
      </c>
      <c r="I231" t="n">
        <v>0</v>
      </c>
      <c r="J231" t="n">
        <v>0</v>
      </c>
      <c r="K231" t="n">
        <v>0</v>
      </c>
      <c r="L231" t="n">
        <v>0</v>
      </c>
      <c r="M231" t="n">
        <v>0</v>
      </c>
      <c r="N231" t="n">
        <v>0</v>
      </c>
      <c r="O231" t="n">
        <v>0</v>
      </c>
      <c r="P231" t="n">
        <v>0</v>
      </c>
      <c r="Q231" t="n">
        <v>0</v>
      </c>
      <c r="R231" s="2" t="inlineStr"/>
    </row>
    <row r="232" ht="15" customHeight="1">
      <c r="A232" t="inlineStr">
        <is>
          <t>A 20494-2024</t>
        </is>
      </c>
      <c r="B232" s="1" t="n">
        <v>45435</v>
      </c>
      <c r="C232" s="1" t="n">
        <v>46172</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55454-2021</t>
        </is>
      </c>
      <c r="B233" s="1" t="n">
        <v>44475</v>
      </c>
      <c r="C233" s="1" t="n">
        <v>46172</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31572-2022</t>
        </is>
      </c>
      <c r="B234" s="1" t="n">
        <v>44775</v>
      </c>
      <c r="C234" s="1" t="n">
        <v>46172</v>
      </c>
      <c r="D234" t="inlineStr">
        <is>
          <t>SKÅNE LÄN</t>
        </is>
      </c>
      <c r="E234" t="inlineStr">
        <is>
          <t>HÄSSLEHOLM</t>
        </is>
      </c>
      <c r="F234" t="inlineStr">
        <is>
          <t>Kommuner</t>
        </is>
      </c>
      <c r="G234" t="n">
        <v>1.2</v>
      </c>
      <c r="H234" t="n">
        <v>0</v>
      </c>
      <c r="I234" t="n">
        <v>0</v>
      </c>
      <c r="J234" t="n">
        <v>0</v>
      </c>
      <c r="K234" t="n">
        <v>0</v>
      </c>
      <c r="L234" t="n">
        <v>0</v>
      </c>
      <c r="M234" t="n">
        <v>0</v>
      </c>
      <c r="N234" t="n">
        <v>0</v>
      </c>
      <c r="O234" t="n">
        <v>0</v>
      </c>
      <c r="P234" t="n">
        <v>0</v>
      </c>
      <c r="Q234" t="n">
        <v>0</v>
      </c>
      <c r="R234" s="2" t="inlineStr"/>
    </row>
    <row r="235" ht="15" customHeight="1">
      <c r="A235" t="inlineStr">
        <is>
          <t>A 4356-2024</t>
        </is>
      </c>
      <c r="B235" s="1" t="n">
        <v>45325.36195601852</v>
      </c>
      <c r="C235" s="1" t="n">
        <v>46172</v>
      </c>
      <c r="D235" t="inlineStr">
        <is>
          <t>SKÅNE LÄN</t>
        </is>
      </c>
      <c r="E235" t="inlineStr">
        <is>
          <t>HÄSSLEHOLM</t>
        </is>
      </c>
      <c r="G235" t="n">
        <v>3.2</v>
      </c>
      <c r="H235" t="n">
        <v>0</v>
      </c>
      <c r="I235" t="n">
        <v>0</v>
      </c>
      <c r="J235" t="n">
        <v>0</v>
      </c>
      <c r="K235" t="n">
        <v>0</v>
      </c>
      <c r="L235" t="n">
        <v>0</v>
      </c>
      <c r="M235" t="n">
        <v>0</v>
      </c>
      <c r="N235" t="n">
        <v>0</v>
      </c>
      <c r="O235" t="n">
        <v>0</v>
      </c>
      <c r="P235" t="n">
        <v>0</v>
      </c>
      <c r="Q235" t="n">
        <v>0</v>
      </c>
      <c r="R235" s="2" t="inlineStr"/>
    </row>
    <row r="236" ht="15" customHeight="1">
      <c r="A236" t="inlineStr">
        <is>
          <t>A 5284-2023</t>
        </is>
      </c>
      <c r="B236" s="1" t="n">
        <v>44959.50608796296</v>
      </c>
      <c r="C236" s="1" t="n">
        <v>46172</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5285-2023</t>
        </is>
      </c>
      <c r="B237" s="1" t="n">
        <v>44959.50783564815</v>
      </c>
      <c r="C237" s="1" t="n">
        <v>46172</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34888-2023</t>
        </is>
      </c>
      <c r="B238" s="1" t="n">
        <v>45142.388125</v>
      </c>
      <c r="C238" s="1" t="n">
        <v>46172</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13309-2025</t>
        </is>
      </c>
      <c r="B239" s="1" t="n">
        <v>45735.58512731481</v>
      </c>
      <c r="C239" s="1" t="n">
        <v>46172</v>
      </c>
      <c r="D239" t="inlineStr">
        <is>
          <t>SKÅNE LÄN</t>
        </is>
      </c>
      <c r="E239" t="inlineStr">
        <is>
          <t>HÄSSLEHOLM</t>
        </is>
      </c>
      <c r="G239" t="n">
        <v>1.2</v>
      </c>
      <c r="H239" t="n">
        <v>0</v>
      </c>
      <c r="I239" t="n">
        <v>0</v>
      </c>
      <c r="J239" t="n">
        <v>0</v>
      </c>
      <c r="K239" t="n">
        <v>0</v>
      </c>
      <c r="L239" t="n">
        <v>0</v>
      </c>
      <c r="M239" t="n">
        <v>0</v>
      </c>
      <c r="N239" t="n">
        <v>0</v>
      </c>
      <c r="O239" t="n">
        <v>0</v>
      </c>
      <c r="P239" t="n">
        <v>0</v>
      </c>
      <c r="Q239" t="n">
        <v>0</v>
      </c>
      <c r="R239" s="2" t="inlineStr"/>
    </row>
    <row r="240" ht="15" customHeight="1">
      <c r="A240" t="inlineStr">
        <is>
          <t>A 51752-2023</t>
        </is>
      </c>
      <c r="B240" s="1" t="n">
        <v>45222</v>
      </c>
      <c r="C240" s="1" t="n">
        <v>46172</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54435-2024</t>
        </is>
      </c>
      <c r="B241" s="1" t="n">
        <v>45617.49494212963</v>
      </c>
      <c r="C241" s="1" t="n">
        <v>46172</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58886-2024</t>
        </is>
      </c>
      <c r="B242" s="1" t="n">
        <v>45636.45380787037</v>
      </c>
      <c r="C242" s="1" t="n">
        <v>46172</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13087-2023</t>
        </is>
      </c>
      <c r="B243" s="1" t="n">
        <v>45001</v>
      </c>
      <c r="C243" s="1" t="n">
        <v>46172</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3480-2024</t>
        </is>
      </c>
      <c r="B244" s="1" t="n">
        <v>45320.43998842593</v>
      </c>
      <c r="C244" s="1" t="n">
        <v>46172</v>
      </c>
      <c r="D244" t="inlineStr">
        <is>
          <t>SKÅNE LÄN</t>
        </is>
      </c>
      <c r="E244" t="inlineStr">
        <is>
          <t>HÄSSLEHOLM</t>
        </is>
      </c>
      <c r="G244" t="n">
        <v>0.4</v>
      </c>
      <c r="H244" t="n">
        <v>0</v>
      </c>
      <c r="I244" t="n">
        <v>0</v>
      </c>
      <c r="J244" t="n">
        <v>0</v>
      </c>
      <c r="K244" t="n">
        <v>0</v>
      </c>
      <c r="L244" t="n">
        <v>0</v>
      </c>
      <c r="M244" t="n">
        <v>0</v>
      </c>
      <c r="N244" t="n">
        <v>0</v>
      </c>
      <c r="O244" t="n">
        <v>0</v>
      </c>
      <c r="P244" t="n">
        <v>0</v>
      </c>
      <c r="Q244" t="n">
        <v>0</v>
      </c>
      <c r="R244" s="2" t="inlineStr"/>
    </row>
    <row r="245" ht="15" customHeight="1">
      <c r="A245" t="inlineStr">
        <is>
          <t>A 5980-2024</t>
        </is>
      </c>
      <c r="B245" s="1" t="n">
        <v>45335</v>
      </c>
      <c r="C245" s="1" t="n">
        <v>46172</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32834-2024</t>
        </is>
      </c>
      <c r="B246" s="1" t="n">
        <v>45516.6025</v>
      </c>
      <c r="C246" s="1" t="n">
        <v>46172</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10802-2024</t>
        </is>
      </c>
      <c r="B247" s="1" t="n">
        <v>45369</v>
      </c>
      <c r="C247" s="1" t="n">
        <v>46172</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9397-2025</t>
        </is>
      </c>
      <c r="B248" s="1" t="n">
        <v>45715.37361111111</v>
      </c>
      <c r="C248" s="1" t="n">
        <v>46172</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59109-2023</t>
        </is>
      </c>
      <c r="B249" s="1" t="n">
        <v>45253.30819444444</v>
      </c>
      <c r="C249" s="1" t="n">
        <v>46172</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45653-2024</t>
        </is>
      </c>
      <c r="B250" s="1" t="n">
        <v>45579.48872685185</v>
      </c>
      <c r="C250" s="1" t="n">
        <v>46172</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20666-2023</t>
        </is>
      </c>
      <c r="B251" s="1" t="n">
        <v>45058.35664351852</v>
      </c>
      <c r="C251" s="1" t="n">
        <v>46172</v>
      </c>
      <c r="D251" t="inlineStr">
        <is>
          <t>SKÅNE LÄN</t>
        </is>
      </c>
      <c r="E251" t="inlineStr">
        <is>
          <t>HÄSSLEHOLM</t>
        </is>
      </c>
      <c r="F251" t="inlineStr">
        <is>
          <t>Kyrkan</t>
        </is>
      </c>
      <c r="G251" t="n">
        <v>1.3</v>
      </c>
      <c r="H251" t="n">
        <v>0</v>
      </c>
      <c r="I251" t="n">
        <v>0</v>
      </c>
      <c r="J251" t="n">
        <v>0</v>
      </c>
      <c r="K251" t="n">
        <v>0</v>
      </c>
      <c r="L251" t="n">
        <v>0</v>
      </c>
      <c r="M251" t="n">
        <v>0</v>
      </c>
      <c r="N251" t="n">
        <v>0</v>
      </c>
      <c r="O251" t="n">
        <v>0</v>
      </c>
      <c r="P251" t="n">
        <v>0</v>
      </c>
      <c r="Q251" t="n">
        <v>0</v>
      </c>
      <c r="R251" s="2" t="inlineStr"/>
    </row>
    <row r="252" ht="15" customHeight="1">
      <c r="A252" t="inlineStr">
        <is>
          <t>A 49384-2021</t>
        </is>
      </c>
      <c r="B252" s="1" t="n">
        <v>44454</v>
      </c>
      <c r="C252" s="1" t="n">
        <v>46172</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54462-2022</t>
        </is>
      </c>
      <c r="B253" s="1" t="n">
        <v>44882</v>
      </c>
      <c r="C253" s="1" t="n">
        <v>46172</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59028-2023</t>
        </is>
      </c>
      <c r="B254" s="1" t="n">
        <v>45252.67900462963</v>
      </c>
      <c r="C254" s="1" t="n">
        <v>46172</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25611-2024</t>
        </is>
      </c>
      <c r="B255" s="1" t="n">
        <v>45463</v>
      </c>
      <c r="C255" s="1" t="n">
        <v>46172</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7094-2023</t>
        </is>
      </c>
      <c r="B256" s="1" t="n">
        <v>44970.36958333333</v>
      </c>
      <c r="C256" s="1" t="n">
        <v>46172</v>
      </c>
      <c r="D256" t="inlineStr">
        <is>
          <t>SKÅNE LÄN</t>
        </is>
      </c>
      <c r="E256" t="inlineStr">
        <is>
          <t>HÄSSLEHOLM</t>
        </is>
      </c>
      <c r="G256" t="n">
        <v>3.6</v>
      </c>
      <c r="H256" t="n">
        <v>0</v>
      </c>
      <c r="I256" t="n">
        <v>0</v>
      </c>
      <c r="J256" t="n">
        <v>0</v>
      </c>
      <c r="K256" t="n">
        <v>0</v>
      </c>
      <c r="L256" t="n">
        <v>0</v>
      </c>
      <c r="M256" t="n">
        <v>0</v>
      </c>
      <c r="N256" t="n">
        <v>0</v>
      </c>
      <c r="O256" t="n">
        <v>0</v>
      </c>
      <c r="P256" t="n">
        <v>0</v>
      </c>
      <c r="Q256" t="n">
        <v>0</v>
      </c>
      <c r="R256" s="2" t="inlineStr"/>
    </row>
    <row r="257" ht="15" customHeight="1">
      <c r="A257" t="inlineStr">
        <is>
          <t>A 32100-2024</t>
        </is>
      </c>
      <c r="B257" s="1" t="n">
        <v>45511.41451388889</v>
      </c>
      <c r="C257" s="1" t="n">
        <v>46172</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8250-2023</t>
        </is>
      </c>
      <c r="B258" s="1" t="n">
        <v>44974</v>
      </c>
      <c r="C258" s="1" t="n">
        <v>46172</v>
      </c>
      <c r="D258" t="inlineStr">
        <is>
          <t>SKÅNE LÄN</t>
        </is>
      </c>
      <c r="E258" t="inlineStr">
        <is>
          <t>HÄSSLEHOLM</t>
        </is>
      </c>
      <c r="G258" t="n">
        <v>3</v>
      </c>
      <c r="H258" t="n">
        <v>0</v>
      </c>
      <c r="I258" t="n">
        <v>0</v>
      </c>
      <c r="J258" t="n">
        <v>0</v>
      </c>
      <c r="K258" t="n">
        <v>0</v>
      </c>
      <c r="L258" t="n">
        <v>0</v>
      </c>
      <c r="M258" t="n">
        <v>0</v>
      </c>
      <c r="N258" t="n">
        <v>0</v>
      </c>
      <c r="O258" t="n">
        <v>0</v>
      </c>
      <c r="P258" t="n">
        <v>0</v>
      </c>
      <c r="Q258" t="n">
        <v>0</v>
      </c>
      <c r="R258" s="2" t="inlineStr"/>
    </row>
    <row r="259" ht="15" customHeight="1">
      <c r="A259" t="inlineStr">
        <is>
          <t>A 10220-2023</t>
        </is>
      </c>
      <c r="B259" s="1" t="n">
        <v>44986.60916666667</v>
      </c>
      <c r="C259" s="1" t="n">
        <v>46172</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57079-2022</t>
        </is>
      </c>
      <c r="B260" s="1" t="n">
        <v>44895</v>
      </c>
      <c r="C260" s="1" t="n">
        <v>46172</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9322-2025</t>
        </is>
      </c>
      <c r="B261" s="1" t="n">
        <v>45714.72241898148</v>
      </c>
      <c r="C261" s="1" t="n">
        <v>46172</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35810-2023</t>
        </is>
      </c>
      <c r="B262" s="1" t="n">
        <v>45148.44046296296</v>
      </c>
      <c r="C262" s="1" t="n">
        <v>46172</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15698-2023</t>
        </is>
      </c>
      <c r="B263" s="1" t="n">
        <v>45021</v>
      </c>
      <c r="C263" s="1" t="n">
        <v>46172</v>
      </c>
      <c r="D263" t="inlineStr">
        <is>
          <t>SKÅNE LÄN</t>
        </is>
      </c>
      <c r="E263" t="inlineStr">
        <is>
          <t>HÄSSLEHOLM</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35833-2023</t>
        </is>
      </c>
      <c r="B264" s="1" t="n">
        <v>45148</v>
      </c>
      <c r="C264" s="1" t="n">
        <v>46172</v>
      </c>
      <c r="D264" t="inlineStr">
        <is>
          <t>SKÅNE LÄN</t>
        </is>
      </c>
      <c r="E264" t="inlineStr">
        <is>
          <t>HÄSSLEHOLM</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59556-2023</t>
        </is>
      </c>
      <c r="B265" s="1" t="n">
        <v>45254.56313657408</v>
      </c>
      <c r="C265" s="1" t="n">
        <v>46172</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20566-2023</t>
        </is>
      </c>
      <c r="B266" s="1" t="n">
        <v>45057</v>
      </c>
      <c r="C266" s="1" t="n">
        <v>46172</v>
      </c>
      <c r="D266" t="inlineStr">
        <is>
          <t>SKÅNE LÄN</t>
        </is>
      </c>
      <c r="E266" t="inlineStr">
        <is>
          <t>HÄSSLEHOLM</t>
        </is>
      </c>
      <c r="G266" t="n">
        <v>5.2</v>
      </c>
      <c r="H266" t="n">
        <v>0</v>
      </c>
      <c r="I266" t="n">
        <v>0</v>
      </c>
      <c r="J266" t="n">
        <v>0</v>
      </c>
      <c r="K266" t="n">
        <v>0</v>
      </c>
      <c r="L266" t="n">
        <v>0</v>
      </c>
      <c r="M266" t="n">
        <v>0</v>
      </c>
      <c r="N266" t="n">
        <v>0</v>
      </c>
      <c r="O266" t="n">
        <v>0</v>
      </c>
      <c r="P266" t="n">
        <v>0</v>
      </c>
      <c r="Q266" t="n">
        <v>0</v>
      </c>
      <c r="R266" s="2" t="inlineStr"/>
    </row>
    <row r="267" ht="15" customHeight="1">
      <c r="A267" t="inlineStr">
        <is>
          <t>A 53077-2022</t>
        </is>
      </c>
      <c r="B267" s="1" t="n">
        <v>44873</v>
      </c>
      <c r="C267" s="1" t="n">
        <v>46172</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45357-2022</t>
        </is>
      </c>
      <c r="B268" s="1" t="n">
        <v>44844.61952546296</v>
      </c>
      <c r="C268" s="1" t="n">
        <v>46172</v>
      </c>
      <c r="D268" t="inlineStr">
        <is>
          <t>SKÅNE LÄN</t>
        </is>
      </c>
      <c r="E268" t="inlineStr">
        <is>
          <t>HÄSSLEHOLM</t>
        </is>
      </c>
      <c r="G268" t="n">
        <v>5.8</v>
      </c>
      <c r="H268" t="n">
        <v>0</v>
      </c>
      <c r="I268" t="n">
        <v>0</v>
      </c>
      <c r="J268" t="n">
        <v>0</v>
      </c>
      <c r="K268" t="n">
        <v>0</v>
      </c>
      <c r="L268" t="n">
        <v>0</v>
      </c>
      <c r="M268" t="n">
        <v>0</v>
      </c>
      <c r="N268" t="n">
        <v>0</v>
      </c>
      <c r="O268" t="n">
        <v>0</v>
      </c>
      <c r="P268" t="n">
        <v>0</v>
      </c>
      <c r="Q268" t="n">
        <v>0</v>
      </c>
      <c r="R268" s="2" t="inlineStr"/>
    </row>
    <row r="269" ht="15" customHeight="1">
      <c r="A269" t="inlineStr">
        <is>
          <t>A 260-2024</t>
        </is>
      </c>
      <c r="B269" s="1" t="n">
        <v>45294</v>
      </c>
      <c r="C269" s="1" t="n">
        <v>46172</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34886-2023</t>
        </is>
      </c>
      <c r="B270" s="1" t="n">
        <v>45142.38450231482</v>
      </c>
      <c r="C270" s="1" t="n">
        <v>46172</v>
      </c>
      <c r="D270" t="inlineStr">
        <is>
          <t>SKÅNE LÄN</t>
        </is>
      </c>
      <c r="E270" t="inlineStr">
        <is>
          <t>HÄSSLEHOLM</t>
        </is>
      </c>
      <c r="G270" t="n">
        <v>1.3</v>
      </c>
      <c r="H270" t="n">
        <v>0</v>
      </c>
      <c r="I270" t="n">
        <v>0</v>
      </c>
      <c r="J270" t="n">
        <v>0</v>
      </c>
      <c r="K270" t="n">
        <v>0</v>
      </c>
      <c r="L270" t="n">
        <v>0</v>
      </c>
      <c r="M270" t="n">
        <v>0</v>
      </c>
      <c r="N270" t="n">
        <v>0</v>
      </c>
      <c r="O270" t="n">
        <v>0</v>
      </c>
      <c r="P270" t="n">
        <v>0</v>
      </c>
      <c r="Q270" t="n">
        <v>0</v>
      </c>
      <c r="R270" s="2" t="inlineStr"/>
    </row>
    <row r="271" ht="15" customHeight="1">
      <c r="A271" t="inlineStr">
        <is>
          <t>A 2596-2024</t>
        </is>
      </c>
      <c r="B271" s="1" t="n">
        <v>45313.69969907407</v>
      </c>
      <c r="C271" s="1" t="n">
        <v>46172</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40780-2022</t>
        </is>
      </c>
      <c r="B272" s="1" t="n">
        <v>44820</v>
      </c>
      <c r="C272" s="1" t="n">
        <v>46172</v>
      </c>
      <c r="D272" t="inlineStr">
        <is>
          <t>SKÅNE LÄN</t>
        </is>
      </c>
      <c r="E272" t="inlineStr">
        <is>
          <t>HÄSSLEHOLM</t>
        </is>
      </c>
      <c r="G272" t="n">
        <v>7.4</v>
      </c>
      <c r="H272" t="n">
        <v>0</v>
      </c>
      <c r="I272" t="n">
        <v>0</v>
      </c>
      <c r="J272" t="n">
        <v>0</v>
      </c>
      <c r="K272" t="n">
        <v>0</v>
      </c>
      <c r="L272" t="n">
        <v>0</v>
      </c>
      <c r="M272" t="n">
        <v>0</v>
      </c>
      <c r="N272" t="n">
        <v>0</v>
      </c>
      <c r="O272" t="n">
        <v>0</v>
      </c>
      <c r="P272" t="n">
        <v>0</v>
      </c>
      <c r="Q272" t="n">
        <v>0</v>
      </c>
      <c r="R272" s="2" t="inlineStr"/>
    </row>
    <row r="273" ht="15" customHeight="1">
      <c r="A273" t="inlineStr">
        <is>
          <t>A 6842-2023</t>
        </is>
      </c>
      <c r="B273" s="1" t="n">
        <v>44967</v>
      </c>
      <c r="C273" s="1" t="n">
        <v>46172</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48747-2022</t>
        </is>
      </c>
      <c r="B274" s="1" t="n">
        <v>44859</v>
      </c>
      <c r="C274" s="1" t="n">
        <v>46172</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45989-2021</t>
        </is>
      </c>
      <c r="B275" s="1" t="n">
        <v>44441.74627314815</v>
      </c>
      <c r="C275" s="1" t="n">
        <v>46172</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19744-2023</t>
        </is>
      </c>
      <c r="B276" s="1" t="n">
        <v>45051</v>
      </c>
      <c r="C276" s="1" t="n">
        <v>46172</v>
      </c>
      <c r="D276" t="inlineStr">
        <is>
          <t>SKÅNE LÄN</t>
        </is>
      </c>
      <c r="E276" t="inlineStr">
        <is>
          <t>HÄSSLEHOLM</t>
        </is>
      </c>
      <c r="G276" t="n">
        <v>0.4</v>
      </c>
      <c r="H276" t="n">
        <v>0</v>
      </c>
      <c r="I276" t="n">
        <v>0</v>
      </c>
      <c r="J276" t="n">
        <v>0</v>
      </c>
      <c r="K276" t="n">
        <v>0</v>
      </c>
      <c r="L276" t="n">
        <v>0</v>
      </c>
      <c r="M276" t="n">
        <v>0</v>
      </c>
      <c r="N276" t="n">
        <v>0</v>
      </c>
      <c r="O276" t="n">
        <v>0</v>
      </c>
      <c r="P276" t="n">
        <v>0</v>
      </c>
      <c r="Q276" t="n">
        <v>0</v>
      </c>
      <c r="R276" s="2" t="inlineStr"/>
    </row>
    <row r="277" ht="15" customHeight="1">
      <c r="A277" t="inlineStr">
        <is>
          <t>A 14655-2025</t>
        </is>
      </c>
      <c r="B277" s="1" t="n">
        <v>45742.5072337963</v>
      </c>
      <c r="C277" s="1" t="n">
        <v>46172</v>
      </c>
      <c r="D277" t="inlineStr">
        <is>
          <t>SKÅNE LÄN</t>
        </is>
      </c>
      <c r="E277" t="inlineStr">
        <is>
          <t>HÄSSLEHOLM</t>
        </is>
      </c>
      <c r="G277" t="n">
        <v>4.5</v>
      </c>
      <c r="H277" t="n">
        <v>0</v>
      </c>
      <c r="I277" t="n">
        <v>0</v>
      </c>
      <c r="J277" t="n">
        <v>0</v>
      </c>
      <c r="K277" t="n">
        <v>0</v>
      </c>
      <c r="L277" t="n">
        <v>0</v>
      </c>
      <c r="M277" t="n">
        <v>0</v>
      </c>
      <c r="N277" t="n">
        <v>0</v>
      </c>
      <c r="O277" t="n">
        <v>0</v>
      </c>
      <c r="P277" t="n">
        <v>0</v>
      </c>
      <c r="Q277" t="n">
        <v>0</v>
      </c>
      <c r="R277" s="2" t="inlineStr"/>
    </row>
    <row r="278" ht="15" customHeight="1">
      <c r="A278" t="inlineStr">
        <is>
          <t>A 14926-2024</t>
        </is>
      </c>
      <c r="B278" s="1" t="n">
        <v>45398</v>
      </c>
      <c r="C278" s="1" t="n">
        <v>46172</v>
      </c>
      <c r="D278" t="inlineStr">
        <is>
          <t>SKÅNE LÄN</t>
        </is>
      </c>
      <c r="E278" t="inlineStr">
        <is>
          <t>HÄSSLEHOLM</t>
        </is>
      </c>
      <c r="G278" t="n">
        <v>3.4</v>
      </c>
      <c r="H278" t="n">
        <v>0</v>
      </c>
      <c r="I278" t="n">
        <v>0</v>
      </c>
      <c r="J278" t="n">
        <v>0</v>
      </c>
      <c r="K278" t="n">
        <v>0</v>
      </c>
      <c r="L278" t="n">
        <v>0</v>
      </c>
      <c r="M278" t="n">
        <v>0</v>
      </c>
      <c r="N278" t="n">
        <v>0</v>
      </c>
      <c r="O278" t="n">
        <v>0</v>
      </c>
      <c r="P278" t="n">
        <v>0</v>
      </c>
      <c r="Q278" t="n">
        <v>0</v>
      </c>
      <c r="R278" s="2" t="inlineStr"/>
    </row>
    <row r="279" ht="15" customHeight="1">
      <c r="A279" t="inlineStr">
        <is>
          <t>A 60843-2022</t>
        </is>
      </c>
      <c r="B279" s="1" t="n">
        <v>44914</v>
      </c>
      <c r="C279" s="1" t="n">
        <v>46172</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5316-2023</t>
        </is>
      </c>
      <c r="B280" s="1" t="n">
        <v>44959</v>
      </c>
      <c r="C280" s="1" t="n">
        <v>46172</v>
      </c>
      <c r="D280" t="inlineStr">
        <is>
          <t>SKÅNE LÄN</t>
        </is>
      </c>
      <c r="E280" t="inlineStr">
        <is>
          <t>HÄSSLEHOLM</t>
        </is>
      </c>
      <c r="G280" t="n">
        <v>2.1</v>
      </c>
      <c r="H280" t="n">
        <v>0</v>
      </c>
      <c r="I280" t="n">
        <v>0</v>
      </c>
      <c r="J280" t="n">
        <v>0</v>
      </c>
      <c r="K280" t="n">
        <v>0</v>
      </c>
      <c r="L280" t="n">
        <v>0</v>
      </c>
      <c r="M280" t="n">
        <v>0</v>
      </c>
      <c r="N280" t="n">
        <v>0</v>
      </c>
      <c r="O280" t="n">
        <v>0</v>
      </c>
      <c r="P280" t="n">
        <v>0</v>
      </c>
      <c r="Q280" t="n">
        <v>0</v>
      </c>
      <c r="R280" s="2" t="inlineStr"/>
    </row>
    <row r="281" ht="15" customHeight="1">
      <c r="A281" t="inlineStr">
        <is>
          <t>A 61504-2022</t>
        </is>
      </c>
      <c r="B281" s="1" t="n">
        <v>44910</v>
      </c>
      <c r="C281" s="1" t="n">
        <v>46172</v>
      </c>
      <c r="D281" t="inlineStr">
        <is>
          <t>SKÅNE LÄN</t>
        </is>
      </c>
      <c r="E281" t="inlineStr">
        <is>
          <t>HÄSSLEHOLM</t>
        </is>
      </c>
      <c r="F281" t="inlineStr">
        <is>
          <t>Kyrkan</t>
        </is>
      </c>
      <c r="G281" t="n">
        <v>2.9</v>
      </c>
      <c r="H281" t="n">
        <v>0</v>
      </c>
      <c r="I281" t="n">
        <v>0</v>
      </c>
      <c r="J281" t="n">
        <v>0</v>
      </c>
      <c r="K281" t="n">
        <v>0</v>
      </c>
      <c r="L281" t="n">
        <v>0</v>
      </c>
      <c r="M281" t="n">
        <v>0</v>
      </c>
      <c r="N281" t="n">
        <v>0</v>
      </c>
      <c r="O281" t="n">
        <v>0</v>
      </c>
      <c r="P281" t="n">
        <v>0</v>
      </c>
      <c r="Q281" t="n">
        <v>0</v>
      </c>
      <c r="R281" s="2" t="inlineStr"/>
    </row>
    <row r="282" ht="15" customHeight="1">
      <c r="A282" t="inlineStr">
        <is>
          <t>A 50899-2024</t>
        </is>
      </c>
      <c r="B282" s="1" t="n">
        <v>45602.68584490741</v>
      </c>
      <c r="C282" s="1" t="n">
        <v>46172</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19739-2023</t>
        </is>
      </c>
      <c r="B283" s="1" t="n">
        <v>45051</v>
      </c>
      <c r="C283" s="1" t="n">
        <v>46172</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52968-2022</t>
        </is>
      </c>
      <c r="B284" s="1" t="n">
        <v>44875</v>
      </c>
      <c r="C284" s="1" t="n">
        <v>46172</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13198-2025</t>
        </is>
      </c>
      <c r="B285" s="1" t="n">
        <v>45735</v>
      </c>
      <c r="C285" s="1" t="n">
        <v>46172</v>
      </c>
      <c r="D285" t="inlineStr">
        <is>
          <t>SKÅNE LÄN</t>
        </is>
      </c>
      <c r="E285" t="inlineStr">
        <is>
          <t>HÄSSLEHOLM</t>
        </is>
      </c>
      <c r="G285" t="n">
        <v>0.7</v>
      </c>
      <c r="H285" t="n">
        <v>0</v>
      </c>
      <c r="I285" t="n">
        <v>0</v>
      </c>
      <c r="J285" t="n">
        <v>0</v>
      </c>
      <c r="K285" t="n">
        <v>0</v>
      </c>
      <c r="L285" t="n">
        <v>0</v>
      </c>
      <c r="M285" t="n">
        <v>0</v>
      </c>
      <c r="N285" t="n">
        <v>0</v>
      </c>
      <c r="O285" t="n">
        <v>0</v>
      </c>
      <c r="P285" t="n">
        <v>0</v>
      </c>
      <c r="Q285" t="n">
        <v>0</v>
      </c>
      <c r="R285" s="2" t="inlineStr"/>
    </row>
    <row r="286" ht="15" customHeight="1">
      <c r="A286" t="inlineStr">
        <is>
          <t>A 59763-2022</t>
        </is>
      </c>
      <c r="B286" s="1" t="n">
        <v>44900</v>
      </c>
      <c r="C286" s="1" t="n">
        <v>46172</v>
      </c>
      <c r="D286" t="inlineStr">
        <is>
          <t>SKÅNE LÄN</t>
        </is>
      </c>
      <c r="E286" t="inlineStr">
        <is>
          <t>HÄSSLEHOLM</t>
        </is>
      </c>
      <c r="F286" t="inlineStr">
        <is>
          <t>Övriga Aktiebolag</t>
        </is>
      </c>
      <c r="G286" t="n">
        <v>1.2</v>
      </c>
      <c r="H286" t="n">
        <v>0</v>
      </c>
      <c r="I286" t="n">
        <v>0</v>
      </c>
      <c r="J286" t="n">
        <v>0</v>
      </c>
      <c r="K286" t="n">
        <v>0</v>
      </c>
      <c r="L286" t="n">
        <v>0</v>
      </c>
      <c r="M286" t="n">
        <v>0</v>
      </c>
      <c r="N286" t="n">
        <v>0</v>
      </c>
      <c r="O286" t="n">
        <v>0</v>
      </c>
      <c r="P286" t="n">
        <v>0</v>
      </c>
      <c r="Q286" t="n">
        <v>0</v>
      </c>
      <c r="R286" s="2" t="inlineStr"/>
    </row>
    <row r="287" ht="15" customHeight="1">
      <c r="A287" t="inlineStr">
        <is>
          <t>A 64884-2023</t>
        </is>
      </c>
      <c r="B287" s="1" t="n">
        <v>45282.57809027778</v>
      </c>
      <c r="C287" s="1" t="n">
        <v>46172</v>
      </c>
      <c r="D287" t="inlineStr">
        <is>
          <t>SKÅNE LÄN</t>
        </is>
      </c>
      <c r="E287" t="inlineStr">
        <is>
          <t>HÄSSLEHOLM</t>
        </is>
      </c>
      <c r="G287" t="n">
        <v>4.6</v>
      </c>
      <c r="H287" t="n">
        <v>0</v>
      </c>
      <c r="I287" t="n">
        <v>0</v>
      </c>
      <c r="J287" t="n">
        <v>0</v>
      </c>
      <c r="K287" t="n">
        <v>0</v>
      </c>
      <c r="L287" t="n">
        <v>0</v>
      </c>
      <c r="M287" t="n">
        <v>0</v>
      </c>
      <c r="N287" t="n">
        <v>0</v>
      </c>
      <c r="O287" t="n">
        <v>0</v>
      </c>
      <c r="P287" t="n">
        <v>0</v>
      </c>
      <c r="Q287" t="n">
        <v>0</v>
      </c>
      <c r="R287" s="2" t="inlineStr"/>
    </row>
    <row r="288" ht="15" customHeight="1">
      <c r="A288" t="inlineStr">
        <is>
          <t>A 3364-2023</t>
        </is>
      </c>
      <c r="B288" s="1" t="n">
        <v>44949</v>
      </c>
      <c r="C288" s="1" t="n">
        <v>46172</v>
      </c>
      <c r="D288" t="inlineStr">
        <is>
          <t>SKÅNE LÄN</t>
        </is>
      </c>
      <c r="E288" t="inlineStr">
        <is>
          <t>HÄSSLEHOLM</t>
        </is>
      </c>
      <c r="G288" t="n">
        <v>5.1</v>
      </c>
      <c r="H288" t="n">
        <v>0</v>
      </c>
      <c r="I288" t="n">
        <v>0</v>
      </c>
      <c r="J288" t="n">
        <v>0</v>
      </c>
      <c r="K288" t="n">
        <v>0</v>
      </c>
      <c r="L288" t="n">
        <v>0</v>
      </c>
      <c r="M288" t="n">
        <v>0</v>
      </c>
      <c r="N288" t="n">
        <v>0</v>
      </c>
      <c r="O288" t="n">
        <v>0</v>
      </c>
      <c r="P288" t="n">
        <v>0</v>
      </c>
      <c r="Q288" t="n">
        <v>0</v>
      </c>
      <c r="R288" s="2" t="inlineStr"/>
    </row>
    <row r="289" ht="15" customHeight="1">
      <c r="A289" t="inlineStr">
        <is>
          <t>A 52642-2021</t>
        </is>
      </c>
      <c r="B289" s="1" t="n">
        <v>44466.64298611111</v>
      </c>
      <c r="C289" s="1" t="n">
        <v>46172</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48112-2024</t>
        </is>
      </c>
      <c r="B290" s="1" t="n">
        <v>45589.6295949074</v>
      </c>
      <c r="C290" s="1" t="n">
        <v>46172</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50616-2023</t>
        </is>
      </c>
      <c r="B291" s="1" t="n">
        <v>45210</v>
      </c>
      <c r="C291" s="1" t="n">
        <v>46172</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45361-2023</t>
        </is>
      </c>
      <c r="B292" s="1" t="n">
        <v>45192.49068287037</v>
      </c>
      <c r="C292" s="1" t="n">
        <v>46172</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6310-2025</t>
        </is>
      </c>
      <c r="B293" s="1" t="n">
        <v>45698</v>
      </c>
      <c r="C293" s="1" t="n">
        <v>46172</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15562-2024</t>
        </is>
      </c>
      <c r="B294" s="1" t="n">
        <v>45401.64975694445</v>
      </c>
      <c r="C294" s="1" t="n">
        <v>46172</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16474-2025</t>
        </is>
      </c>
      <c r="B295" s="1" t="n">
        <v>45751.56834490741</v>
      </c>
      <c r="C295" s="1" t="n">
        <v>46172</v>
      </c>
      <c r="D295" t="inlineStr">
        <is>
          <t>SKÅNE LÄN</t>
        </is>
      </c>
      <c r="E295" t="inlineStr">
        <is>
          <t>HÄSSLEHOLM</t>
        </is>
      </c>
      <c r="G295" t="n">
        <v>5.9</v>
      </c>
      <c r="H295" t="n">
        <v>0</v>
      </c>
      <c r="I295" t="n">
        <v>0</v>
      </c>
      <c r="J295" t="n">
        <v>0</v>
      </c>
      <c r="K295" t="n">
        <v>0</v>
      </c>
      <c r="L295" t="n">
        <v>0</v>
      </c>
      <c r="M295" t="n">
        <v>0</v>
      </c>
      <c r="N295" t="n">
        <v>0</v>
      </c>
      <c r="O295" t="n">
        <v>0</v>
      </c>
      <c r="P295" t="n">
        <v>0</v>
      </c>
      <c r="Q295" t="n">
        <v>0</v>
      </c>
      <c r="R295" s="2" t="inlineStr"/>
    </row>
    <row r="296" ht="15" customHeight="1">
      <c r="A296" t="inlineStr">
        <is>
          <t>A 49107-2023</t>
        </is>
      </c>
      <c r="B296" s="1" t="n">
        <v>45210.44337962963</v>
      </c>
      <c r="C296" s="1" t="n">
        <v>46172</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48097-2024</t>
        </is>
      </c>
      <c r="B297" s="1" t="n">
        <v>45589.61413194444</v>
      </c>
      <c r="C297" s="1" t="n">
        <v>46172</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60846-2022</t>
        </is>
      </c>
      <c r="B298" s="1" t="n">
        <v>44914</v>
      </c>
      <c r="C298" s="1" t="n">
        <v>46172</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42776-2021</t>
        </is>
      </c>
      <c r="B299" s="1" t="n">
        <v>44428</v>
      </c>
      <c r="C299" s="1" t="n">
        <v>46172</v>
      </c>
      <c r="D299" t="inlineStr">
        <is>
          <t>SKÅNE LÄN</t>
        </is>
      </c>
      <c r="E299" t="inlineStr">
        <is>
          <t>HÄSSLEHOLM</t>
        </is>
      </c>
      <c r="G299" t="n">
        <v>3.2</v>
      </c>
      <c r="H299" t="n">
        <v>0</v>
      </c>
      <c r="I299" t="n">
        <v>0</v>
      </c>
      <c r="J299" t="n">
        <v>0</v>
      </c>
      <c r="K299" t="n">
        <v>0</v>
      </c>
      <c r="L299" t="n">
        <v>0</v>
      </c>
      <c r="M299" t="n">
        <v>0</v>
      </c>
      <c r="N299" t="n">
        <v>0</v>
      </c>
      <c r="O299" t="n">
        <v>0</v>
      </c>
      <c r="P299" t="n">
        <v>0</v>
      </c>
      <c r="Q299" t="n">
        <v>0</v>
      </c>
      <c r="R299" s="2" t="inlineStr"/>
    </row>
    <row r="300" ht="15" customHeight="1">
      <c r="A300" t="inlineStr">
        <is>
          <t>A 28071-2023</t>
        </is>
      </c>
      <c r="B300" s="1" t="n">
        <v>45099.37755787037</v>
      </c>
      <c r="C300" s="1" t="n">
        <v>46172</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23946-2023</t>
        </is>
      </c>
      <c r="B301" s="1" t="n">
        <v>45078.61601851852</v>
      </c>
      <c r="C301" s="1" t="n">
        <v>46172</v>
      </c>
      <c r="D301" t="inlineStr">
        <is>
          <t>SKÅNE LÄN</t>
        </is>
      </c>
      <c r="E301" t="inlineStr">
        <is>
          <t>HÄSSLEHOLM</t>
        </is>
      </c>
      <c r="G301" t="n">
        <v>0.2</v>
      </c>
      <c r="H301" t="n">
        <v>0</v>
      </c>
      <c r="I301" t="n">
        <v>0</v>
      </c>
      <c r="J301" t="n">
        <v>0</v>
      </c>
      <c r="K301" t="n">
        <v>0</v>
      </c>
      <c r="L301" t="n">
        <v>0</v>
      </c>
      <c r="M301" t="n">
        <v>0</v>
      </c>
      <c r="N301" t="n">
        <v>0</v>
      </c>
      <c r="O301" t="n">
        <v>0</v>
      </c>
      <c r="P301" t="n">
        <v>0</v>
      </c>
      <c r="Q301" t="n">
        <v>0</v>
      </c>
      <c r="R301" s="2" t="inlineStr"/>
    </row>
    <row r="302" ht="15" customHeight="1">
      <c r="A302" t="inlineStr">
        <is>
          <t>A 65235-2021</t>
        </is>
      </c>
      <c r="B302" s="1" t="n">
        <v>44515</v>
      </c>
      <c r="C302" s="1" t="n">
        <v>46172</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41459-2022</t>
        </is>
      </c>
      <c r="B303" s="1" t="n">
        <v>44826.93372685185</v>
      </c>
      <c r="C303" s="1" t="n">
        <v>46172</v>
      </c>
      <c r="D303" t="inlineStr">
        <is>
          <t>SKÅNE LÄN</t>
        </is>
      </c>
      <c r="E303" t="inlineStr">
        <is>
          <t>HÄSSLEHOLM</t>
        </is>
      </c>
      <c r="G303" t="n">
        <v>2.3</v>
      </c>
      <c r="H303" t="n">
        <v>0</v>
      </c>
      <c r="I303" t="n">
        <v>0</v>
      </c>
      <c r="J303" t="n">
        <v>0</v>
      </c>
      <c r="K303" t="n">
        <v>0</v>
      </c>
      <c r="L303" t="n">
        <v>0</v>
      </c>
      <c r="M303" t="n">
        <v>0</v>
      </c>
      <c r="N303" t="n">
        <v>0</v>
      </c>
      <c r="O303" t="n">
        <v>0</v>
      </c>
      <c r="P303" t="n">
        <v>0</v>
      </c>
      <c r="Q303" t="n">
        <v>0</v>
      </c>
      <c r="R303" s="2" t="inlineStr"/>
    </row>
    <row r="304" ht="15" customHeight="1">
      <c r="A304" t="inlineStr">
        <is>
          <t>A 13549-2025</t>
        </is>
      </c>
      <c r="B304" s="1" t="n">
        <v>45736</v>
      </c>
      <c r="C304" s="1" t="n">
        <v>46172</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51245-2023</t>
        </is>
      </c>
      <c r="B305" s="1" t="n">
        <v>45212</v>
      </c>
      <c r="C305" s="1" t="n">
        <v>46172</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31934-2024</t>
        </is>
      </c>
      <c r="B306" s="1" t="n">
        <v>45510.41177083334</v>
      </c>
      <c r="C306" s="1" t="n">
        <v>46172</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14700-2023</t>
        </is>
      </c>
      <c r="B307" s="1" t="n">
        <v>45014.38376157408</v>
      </c>
      <c r="C307" s="1" t="n">
        <v>46172</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21494-2023</t>
        </is>
      </c>
      <c r="B308" s="1" t="n">
        <v>45063</v>
      </c>
      <c r="C308" s="1" t="n">
        <v>46172</v>
      </c>
      <c r="D308" t="inlineStr">
        <is>
          <t>SKÅNE LÄN</t>
        </is>
      </c>
      <c r="E308" t="inlineStr">
        <is>
          <t>HÄSSLEHOLM</t>
        </is>
      </c>
      <c r="G308" t="n">
        <v>3.7</v>
      </c>
      <c r="H308" t="n">
        <v>0</v>
      </c>
      <c r="I308" t="n">
        <v>0</v>
      </c>
      <c r="J308" t="n">
        <v>0</v>
      </c>
      <c r="K308" t="n">
        <v>0</v>
      </c>
      <c r="L308" t="n">
        <v>0</v>
      </c>
      <c r="M308" t="n">
        <v>0</v>
      </c>
      <c r="N308" t="n">
        <v>0</v>
      </c>
      <c r="O308" t="n">
        <v>0</v>
      </c>
      <c r="P308" t="n">
        <v>0</v>
      </c>
      <c r="Q308" t="n">
        <v>0</v>
      </c>
      <c r="R308" s="2" t="inlineStr"/>
    </row>
    <row r="309" ht="15" customHeight="1">
      <c r="A309" t="inlineStr">
        <is>
          <t>A 21495-2023</t>
        </is>
      </c>
      <c r="B309" s="1" t="n">
        <v>45063</v>
      </c>
      <c r="C309" s="1" t="n">
        <v>46172</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39915-2023</t>
        </is>
      </c>
      <c r="B310" s="1" t="n">
        <v>45168.4684375</v>
      </c>
      <c r="C310" s="1" t="n">
        <v>46172</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29847-2024</t>
        </is>
      </c>
      <c r="B311" s="1" t="n">
        <v>45485.6278587963</v>
      </c>
      <c r="C311" s="1" t="n">
        <v>46172</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59429-2023</t>
        </is>
      </c>
      <c r="B312" s="1" t="n">
        <v>45254.2875</v>
      </c>
      <c r="C312" s="1" t="n">
        <v>46172</v>
      </c>
      <c r="D312" t="inlineStr">
        <is>
          <t>SKÅNE LÄN</t>
        </is>
      </c>
      <c r="E312" t="inlineStr">
        <is>
          <t>HÄSSLEHOLM</t>
        </is>
      </c>
      <c r="G312" t="n">
        <v>0</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45054.68476851852</v>
      </c>
      <c r="C313" s="1" t="n">
        <v>46172</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60959-2022</t>
        </is>
      </c>
      <c r="B314" s="1" t="n">
        <v>44914.64777777778</v>
      </c>
      <c r="C314" s="1" t="n">
        <v>46172</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8619-2023</t>
        </is>
      </c>
      <c r="B315" s="1" t="n">
        <v>44977.81979166667</v>
      </c>
      <c r="C315" s="1" t="n">
        <v>46172</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9543-2025</t>
        </is>
      </c>
      <c r="B316" s="1" t="n">
        <v>45715</v>
      </c>
      <c r="C316" s="1" t="n">
        <v>46172</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22384-2024</t>
        </is>
      </c>
      <c r="B317" s="1" t="n">
        <v>45446.65592592592</v>
      </c>
      <c r="C317" s="1" t="n">
        <v>46172</v>
      </c>
      <c r="D317" t="inlineStr">
        <is>
          <t>SKÅNE LÄN</t>
        </is>
      </c>
      <c r="E317" t="inlineStr">
        <is>
          <t>HÄSSLEHOLM</t>
        </is>
      </c>
      <c r="G317" t="n">
        <v>2.4</v>
      </c>
      <c r="H317" t="n">
        <v>0</v>
      </c>
      <c r="I317" t="n">
        <v>0</v>
      </c>
      <c r="J317" t="n">
        <v>0</v>
      </c>
      <c r="K317" t="n">
        <v>0</v>
      </c>
      <c r="L317" t="n">
        <v>0</v>
      </c>
      <c r="M317" t="n">
        <v>0</v>
      </c>
      <c r="N317" t="n">
        <v>0</v>
      </c>
      <c r="O317" t="n">
        <v>0</v>
      </c>
      <c r="P317" t="n">
        <v>0</v>
      </c>
      <c r="Q317" t="n">
        <v>0</v>
      </c>
      <c r="R317" s="2" t="inlineStr"/>
    </row>
    <row r="318" ht="15" customHeight="1">
      <c r="A318" t="inlineStr">
        <is>
          <t>A 42906-2022</t>
        </is>
      </c>
      <c r="B318" s="1" t="n">
        <v>44833</v>
      </c>
      <c r="C318" s="1" t="n">
        <v>46172</v>
      </c>
      <c r="D318" t="inlineStr">
        <is>
          <t>SKÅNE LÄN</t>
        </is>
      </c>
      <c r="E318" t="inlineStr">
        <is>
          <t>HÄSSLEHOLM</t>
        </is>
      </c>
      <c r="G318" t="n">
        <v>1.1</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46172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31931-2024</t>
        </is>
      </c>
      <c r="B320" s="1" t="n">
        <v>45510.40878472223</v>
      </c>
      <c r="C320" s="1" t="n">
        <v>46172</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62167-2022</t>
        </is>
      </c>
      <c r="B321" s="1" t="n">
        <v>44915</v>
      </c>
      <c r="C321" s="1" t="n">
        <v>46172</v>
      </c>
      <c r="D321" t="inlineStr">
        <is>
          <t>SKÅNE LÄN</t>
        </is>
      </c>
      <c r="E321" t="inlineStr">
        <is>
          <t>HÄSSLEHOLM</t>
        </is>
      </c>
      <c r="F321" t="inlineStr">
        <is>
          <t>Kyrkan</t>
        </is>
      </c>
      <c r="G321" t="n">
        <v>3.1</v>
      </c>
      <c r="H321" t="n">
        <v>0</v>
      </c>
      <c r="I321" t="n">
        <v>0</v>
      </c>
      <c r="J321" t="n">
        <v>0</v>
      </c>
      <c r="K321" t="n">
        <v>0</v>
      </c>
      <c r="L321" t="n">
        <v>0</v>
      </c>
      <c r="M321" t="n">
        <v>0</v>
      </c>
      <c r="N321" t="n">
        <v>0</v>
      </c>
      <c r="O321" t="n">
        <v>0</v>
      </c>
      <c r="P321" t="n">
        <v>0</v>
      </c>
      <c r="Q321" t="n">
        <v>0</v>
      </c>
      <c r="R321" s="2" t="inlineStr"/>
    </row>
    <row r="322" ht="15" customHeight="1">
      <c r="A322" t="inlineStr">
        <is>
          <t>A 3349-2023</t>
        </is>
      </c>
      <c r="B322" s="1" t="n">
        <v>44949</v>
      </c>
      <c r="C322" s="1" t="n">
        <v>46172</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15133-2023</t>
        </is>
      </c>
      <c r="B323" s="1" t="n">
        <v>45016</v>
      </c>
      <c r="C323" s="1" t="n">
        <v>46172</v>
      </c>
      <c r="D323" t="inlineStr">
        <is>
          <t>SKÅNE LÄN</t>
        </is>
      </c>
      <c r="E323" t="inlineStr">
        <is>
          <t>HÄSSLEHOLM</t>
        </is>
      </c>
      <c r="G323" t="n">
        <v>7.8</v>
      </c>
      <c r="H323" t="n">
        <v>0</v>
      </c>
      <c r="I323" t="n">
        <v>0</v>
      </c>
      <c r="J323" t="n">
        <v>0</v>
      </c>
      <c r="K323" t="n">
        <v>0</v>
      </c>
      <c r="L323" t="n">
        <v>0</v>
      </c>
      <c r="M323" t="n">
        <v>0</v>
      </c>
      <c r="N323" t="n">
        <v>0</v>
      </c>
      <c r="O323" t="n">
        <v>0</v>
      </c>
      <c r="P323" t="n">
        <v>0</v>
      </c>
      <c r="Q323" t="n">
        <v>0</v>
      </c>
      <c r="R323" s="2" t="inlineStr"/>
    </row>
    <row r="324" ht="15" customHeight="1">
      <c r="A324" t="inlineStr">
        <is>
          <t>A 34883-2023</t>
        </is>
      </c>
      <c r="B324" s="1" t="n">
        <v>45142.37902777778</v>
      </c>
      <c r="C324" s="1" t="n">
        <v>46172</v>
      </c>
      <c r="D324" t="inlineStr">
        <is>
          <t>SKÅNE LÄN</t>
        </is>
      </c>
      <c r="E324" t="inlineStr">
        <is>
          <t>HÄSSLEHOLM</t>
        </is>
      </c>
      <c r="G324" t="n">
        <v>2.5</v>
      </c>
      <c r="H324" t="n">
        <v>0</v>
      </c>
      <c r="I324" t="n">
        <v>0</v>
      </c>
      <c r="J324" t="n">
        <v>0</v>
      </c>
      <c r="K324" t="n">
        <v>0</v>
      </c>
      <c r="L324" t="n">
        <v>0</v>
      </c>
      <c r="M324" t="n">
        <v>0</v>
      </c>
      <c r="N324" t="n">
        <v>0</v>
      </c>
      <c r="O324" t="n">
        <v>0</v>
      </c>
      <c r="P324" t="n">
        <v>0</v>
      </c>
      <c r="Q324" t="n">
        <v>0</v>
      </c>
      <c r="R324" s="2" t="inlineStr"/>
    </row>
    <row r="325" ht="15" customHeight="1">
      <c r="A325" t="inlineStr">
        <is>
          <t>A 62234-2022</t>
        </is>
      </c>
      <c r="B325" s="1" t="n">
        <v>44922</v>
      </c>
      <c r="C325" s="1" t="n">
        <v>46172</v>
      </c>
      <c r="D325" t="inlineStr">
        <is>
          <t>SKÅNE LÄN</t>
        </is>
      </c>
      <c r="E325" t="inlineStr">
        <is>
          <t>HÄSSLEHOLM</t>
        </is>
      </c>
      <c r="G325" t="n">
        <v>1.3</v>
      </c>
      <c r="H325" t="n">
        <v>0</v>
      </c>
      <c r="I325" t="n">
        <v>0</v>
      </c>
      <c r="J325" t="n">
        <v>0</v>
      </c>
      <c r="K325" t="n">
        <v>0</v>
      </c>
      <c r="L325" t="n">
        <v>0</v>
      </c>
      <c r="M325" t="n">
        <v>0</v>
      </c>
      <c r="N325" t="n">
        <v>0</v>
      </c>
      <c r="O325" t="n">
        <v>0</v>
      </c>
      <c r="P325" t="n">
        <v>0</v>
      </c>
      <c r="Q325" t="n">
        <v>0</v>
      </c>
      <c r="R325" s="2" t="inlineStr"/>
    </row>
    <row r="326" ht="15" customHeight="1">
      <c r="A326" t="inlineStr">
        <is>
          <t>A 20187-2023</t>
        </is>
      </c>
      <c r="B326" s="1" t="n">
        <v>45055.57027777778</v>
      </c>
      <c r="C326" s="1" t="n">
        <v>46172</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51571-2023</t>
        </is>
      </c>
      <c r="B327" s="1" t="n">
        <v>45222</v>
      </c>
      <c r="C327" s="1" t="n">
        <v>46172</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34299-2024</t>
        </is>
      </c>
      <c r="B328" s="1" t="n">
        <v>45524</v>
      </c>
      <c r="C328" s="1" t="n">
        <v>46172</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49181-2024</t>
        </is>
      </c>
      <c r="B329" s="1" t="n">
        <v>45595</v>
      </c>
      <c r="C329" s="1" t="n">
        <v>46172</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58618-2024</t>
        </is>
      </c>
      <c r="B330" s="1" t="n">
        <v>45635.56150462963</v>
      </c>
      <c r="C330" s="1" t="n">
        <v>46172</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32794-2023</t>
        </is>
      </c>
      <c r="B331" s="1" t="n">
        <v>45124.40446759259</v>
      </c>
      <c r="C331" s="1" t="n">
        <v>46172</v>
      </c>
      <c r="D331" t="inlineStr">
        <is>
          <t>SKÅNE LÄN</t>
        </is>
      </c>
      <c r="E331" t="inlineStr">
        <is>
          <t>HÄSSLEHOLM</t>
        </is>
      </c>
      <c r="G331" t="n">
        <v>1.8</v>
      </c>
      <c r="H331" t="n">
        <v>0</v>
      </c>
      <c r="I331" t="n">
        <v>0</v>
      </c>
      <c r="J331" t="n">
        <v>0</v>
      </c>
      <c r="K331" t="n">
        <v>0</v>
      </c>
      <c r="L331" t="n">
        <v>0</v>
      </c>
      <c r="M331" t="n">
        <v>0</v>
      </c>
      <c r="N331" t="n">
        <v>0</v>
      </c>
      <c r="O331" t="n">
        <v>0</v>
      </c>
      <c r="P331" t="n">
        <v>0</v>
      </c>
      <c r="Q331" t="n">
        <v>0</v>
      </c>
      <c r="R331" s="2" t="inlineStr"/>
    </row>
    <row r="332" ht="15" customHeight="1">
      <c r="A332" t="inlineStr">
        <is>
          <t>A 61436-2024</t>
        </is>
      </c>
      <c r="B332" s="1" t="n">
        <v>45646.46329861111</v>
      </c>
      <c r="C332" s="1" t="n">
        <v>46172</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37300-2023</t>
        </is>
      </c>
      <c r="B333" s="1" t="n">
        <v>45156</v>
      </c>
      <c r="C333" s="1" t="n">
        <v>46172</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46185-2022</t>
        </is>
      </c>
      <c r="B334" s="1" t="n">
        <v>44847</v>
      </c>
      <c r="C334" s="1" t="n">
        <v>46172</v>
      </c>
      <c r="D334" t="inlineStr">
        <is>
          <t>SKÅNE LÄN</t>
        </is>
      </c>
      <c r="E334" t="inlineStr">
        <is>
          <t>HÄSSLEHOLM</t>
        </is>
      </c>
      <c r="G334" t="n">
        <v>16.8</v>
      </c>
      <c r="H334" t="n">
        <v>0</v>
      </c>
      <c r="I334" t="n">
        <v>0</v>
      </c>
      <c r="J334" t="n">
        <v>0</v>
      </c>
      <c r="K334" t="n">
        <v>0</v>
      </c>
      <c r="L334" t="n">
        <v>0</v>
      </c>
      <c r="M334" t="n">
        <v>0</v>
      </c>
      <c r="N334" t="n">
        <v>0</v>
      </c>
      <c r="O334" t="n">
        <v>0</v>
      </c>
      <c r="P334" t="n">
        <v>0</v>
      </c>
      <c r="Q334" t="n">
        <v>0</v>
      </c>
      <c r="R334" s="2" t="inlineStr"/>
    </row>
    <row r="335" ht="15" customHeight="1">
      <c r="A335" t="inlineStr">
        <is>
          <t>A 35644-2023</t>
        </is>
      </c>
      <c r="B335" s="1" t="n">
        <v>45147</v>
      </c>
      <c r="C335" s="1" t="n">
        <v>46172</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18623-2023</t>
        </is>
      </c>
      <c r="B336" s="1" t="n">
        <v>45043</v>
      </c>
      <c r="C336" s="1" t="n">
        <v>46172</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33873-2021</t>
        </is>
      </c>
      <c r="B337" s="1" t="n">
        <v>44378</v>
      </c>
      <c r="C337" s="1" t="n">
        <v>46172</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15053-2023</t>
        </is>
      </c>
      <c r="B338" s="1" t="n">
        <v>45015</v>
      </c>
      <c r="C338" s="1" t="n">
        <v>46172</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3123-2023</t>
        </is>
      </c>
      <c r="B339" s="1" t="n">
        <v>44946.4925</v>
      </c>
      <c r="C339" s="1" t="n">
        <v>46172</v>
      </c>
      <c r="D339" t="inlineStr">
        <is>
          <t>SKÅNE LÄN</t>
        </is>
      </c>
      <c r="E339" t="inlineStr">
        <is>
          <t>HÄSSLEHOLM</t>
        </is>
      </c>
      <c r="G339" t="n">
        <v>3.5</v>
      </c>
      <c r="H339" t="n">
        <v>0</v>
      </c>
      <c r="I339" t="n">
        <v>0</v>
      </c>
      <c r="J339" t="n">
        <v>0</v>
      </c>
      <c r="K339" t="n">
        <v>0</v>
      </c>
      <c r="L339" t="n">
        <v>0</v>
      </c>
      <c r="M339" t="n">
        <v>0</v>
      </c>
      <c r="N339" t="n">
        <v>0</v>
      </c>
      <c r="O339" t="n">
        <v>0</v>
      </c>
      <c r="P339" t="n">
        <v>0</v>
      </c>
      <c r="Q339" t="n">
        <v>0</v>
      </c>
      <c r="R339" s="2" t="inlineStr"/>
    </row>
    <row r="340" ht="15" customHeight="1">
      <c r="A340" t="inlineStr">
        <is>
          <t>A 3126-2023</t>
        </is>
      </c>
      <c r="B340" s="1" t="n">
        <v>44946.49570601852</v>
      </c>
      <c r="C340" s="1" t="n">
        <v>46172</v>
      </c>
      <c r="D340" t="inlineStr">
        <is>
          <t>SKÅNE LÄN</t>
        </is>
      </c>
      <c r="E340" t="inlineStr">
        <is>
          <t>HÄSSLEHOLM</t>
        </is>
      </c>
      <c r="G340" t="n">
        <v>2.2</v>
      </c>
      <c r="H340" t="n">
        <v>0</v>
      </c>
      <c r="I340" t="n">
        <v>0</v>
      </c>
      <c r="J340" t="n">
        <v>0</v>
      </c>
      <c r="K340" t="n">
        <v>0</v>
      </c>
      <c r="L340" t="n">
        <v>0</v>
      </c>
      <c r="M340" t="n">
        <v>0</v>
      </c>
      <c r="N340" t="n">
        <v>0</v>
      </c>
      <c r="O340" t="n">
        <v>0</v>
      </c>
      <c r="P340" t="n">
        <v>0</v>
      </c>
      <c r="Q340" t="n">
        <v>0</v>
      </c>
      <c r="R340" s="2" t="inlineStr"/>
    </row>
    <row r="341" ht="15" customHeight="1">
      <c r="A341" t="inlineStr">
        <is>
          <t>A 9302-2025</t>
        </is>
      </c>
      <c r="B341" s="1" t="n">
        <v>45714.67233796296</v>
      </c>
      <c r="C341" s="1" t="n">
        <v>46172</v>
      </c>
      <c r="D341" t="inlineStr">
        <is>
          <t>SKÅNE LÄN</t>
        </is>
      </c>
      <c r="E341" t="inlineStr">
        <is>
          <t>HÄSSLEHOLM</t>
        </is>
      </c>
      <c r="G341" t="n">
        <v>2.6</v>
      </c>
      <c r="H341" t="n">
        <v>0</v>
      </c>
      <c r="I341" t="n">
        <v>0</v>
      </c>
      <c r="J341" t="n">
        <v>0</v>
      </c>
      <c r="K341" t="n">
        <v>0</v>
      </c>
      <c r="L341" t="n">
        <v>0</v>
      </c>
      <c r="M341" t="n">
        <v>0</v>
      </c>
      <c r="N341" t="n">
        <v>0</v>
      </c>
      <c r="O341" t="n">
        <v>0</v>
      </c>
      <c r="P341" t="n">
        <v>0</v>
      </c>
      <c r="Q341" t="n">
        <v>0</v>
      </c>
      <c r="R341" s="2" t="inlineStr"/>
    </row>
    <row r="342" ht="15" customHeight="1">
      <c r="A342" t="inlineStr">
        <is>
          <t>A 9697-2023</t>
        </is>
      </c>
      <c r="B342" s="1" t="n">
        <v>44984</v>
      </c>
      <c r="C342" s="1" t="n">
        <v>46172</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47907-2021</t>
        </is>
      </c>
      <c r="B343" s="1" t="n">
        <v>44448</v>
      </c>
      <c r="C343" s="1" t="n">
        <v>46172</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1197-2024</t>
        </is>
      </c>
      <c r="B344" s="1" t="n">
        <v>45302</v>
      </c>
      <c r="C344" s="1" t="n">
        <v>46172</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13712-2025</t>
        </is>
      </c>
      <c r="B345" s="1" t="n">
        <v>45737</v>
      </c>
      <c r="C345" s="1" t="n">
        <v>46172</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37318-2024</t>
        </is>
      </c>
      <c r="B346" s="1" t="n">
        <v>45540</v>
      </c>
      <c r="C346" s="1" t="n">
        <v>46172</v>
      </c>
      <c r="D346" t="inlineStr">
        <is>
          <t>SKÅNE LÄN</t>
        </is>
      </c>
      <c r="E346" t="inlineStr">
        <is>
          <t>HÄSSLEHOLM</t>
        </is>
      </c>
      <c r="G346" t="n">
        <v>3.9</v>
      </c>
      <c r="H346" t="n">
        <v>0</v>
      </c>
      <c r="I346" t="n">
        <v>0</v>
      </c>
      <c r="J346" t="n">
        <v>0</v>
      </c>
      <c r="K346" t="n">
        <v>0</v>
      </c>
      <c r="L346" t="n">
        <v>0</v>
      </c>
      <c r="M346" t="n">
        <v>0</v>
      </c>
      <c r="N346" t="n">
        <v>0</v>
      </c>
      <c r="O346" t="n">
        <v>0</v>
      </c>
      <c r="P346" t="n">
        <v>0</v>
      </c>
      <c r="Q346" t="n">
        <v>0</v>
      </c>
      <c r="R346" s="2" t="inlineStr"/>
    </row>
    <row r="347" ht="15" customHeight="1">
      <c r="A347" t="inlineStr">
        <is>
          <t>A 49950-2023</t>
        </is>
      </c>
      <c r="B347" s="1" t="n">
        <v>45215</v>
      </c>
      <c r="C347" s="1" t="n">
        <v>46172</v>
      </c>
      <c r="D347" t="inlineStr">
        <is>
          <t>SKÅNE LÄN</t>
        </is>
      </c>
      <c r="E347" t="inlineStr">
        <is>
          <t>HÄSSLEHOLM</t>
        </is>
      </c>
      <c r="G347" t="n">
        <v>1</v>
      </c>
      <c r="H347" t="n">
        <v>0</v>
      </c>
      <c r="I347" t="n">
        <v>0</v>
      </c>
      <c r="J347" t="n">
        <v>0</v>
      </c>
      <c r="K347" t="n">
        <v>0</v>
      </c>
      <c r="L347" t="n">
        <v>0</v>
      </c>
      <c r="M347" t="n">
        <v>0</v>
      </c>
      <c r="N347" t="n">
        <v>0</v>
      </c>
      <c r="O347" t="n">
        <v>0</v>
      </c>
      <c r="P347" t="n">
        <v>0</v>
      </c>
      <c r="Q347" t="n">
        <v>0</v>
      </c>
      <c r="R347" s="2" t="inlineStr"/>
    </row>
    <row r="348" ht="15" customHeight="1">
      <c r="A348" t="inlineStr">
        <is>
          <t>A 37324-2024</t>
        </is>
      </c>
      <c r="B348" s="1" t="n">
        <v>45540.50104166667</v>
      </c>
      <c r="C348" s="1" t="n">
        <v>46172</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41694-2024</t>
        </is>
      </c>
      <c r="B349" s="1" t="n">
        <v>45560.68341435185</v>
      </c>
      <c r="C349" s="1" t="n">
        <v>46172</v>
      </c>
      <c r="D349" t="inlineStr">
        <is>
          <t>SKÅNE LÄN</t>
        </is>
      </c>
      <c r="E349" t="inlineStr">
        <is>
          <t>HÄSSLEHOLM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57656-2022</t>
        </is>
      </c>
      <c r="B350" s="1" t="n">
        <v>44897.4325925926</v>
      </c>
      <c r="C350" s="1" t="n">
        <v>46172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32881-2024</t>
        </is>
      </c>
      <c r="B351" s="1" t="n">
        <v>45516</v>
      </c>
      <c r="C351" s="1" t="n">
        <v>46172</v>
      </c>
      <c r="D351" t="inlineStr">
        <is>
          <t>SKÅNE LÄN</t>
        </is>
      </c>
      <c r="E351" t="inlineStr">
        <is>
          <t>HÄSSLEHOLM</t>
        </is>
      </c>
      <c r="G351" t="n">
        <v>6.3</v>
      </c>
      <c r="H351" t="n">
        <v>0</v>
      </c>
      <c r="I351" t="n">
        <v>0</v>
      </c>
      <c r="J351" t="n">
        <v>0</v>
      </c>
      <c r="K351" t="n">
        <v>0</v>
      </c>
      <c r="L351" t="n">
        <v>0</v>
      </c>
      <c r="M351" t="n">
        <v>0</v>
      </c>
      <c r="N351" t="n">
        <v>0</v>
      </c>
      <c r="O351" t="n">
        <v>0</v>
      </c>
      <c r="P351" t="n">
        <v>0</v>
      </c>
      <c r="Q351" t="n">
        <v>0</v>
      </c>
      <c r="R351" s="2" t="inlineStr"/>
    </row>
    <row r="352" ht="15" customHeight="1">
      <c r="A352" t="inlineStr">
        <is>
          <t>A 36795-2023</t>
        </is>
      </c>
      <c r="B352" s="1" t="n">
        <v>45154.38245370371</v>
      </c>
      <c r="C352" s="1" t="n">
        <v>46172</v>
      </c>
      <c r="D352" t="inlineStr">
        <is>
          <t>SKÅNE LÄN</t>
        </is>
      </c>
      <c r="E352" t="inlineStr">
        <is>
          <t>HÄSSLEHOLM</t>
        </is>
      </c>
      <c r="G352" t="n">
        <v>0.9</v>
      </c>
      <c r="H352" t="n">
        <v>0</v>
      </c>
      <c r="I352" t="n">
        <v>0</v>
      </c>
      <c r="J352" t="n">
        <v>0</v>
      </c>
      <c r="K352" t="n">
        <v>0</v>
      </c>
      <c r="L352" t="n">
        <v>0</v>
      </c>
      <c r="M352" t="n">
        <v>0</v>
      </c>
      <c r="N352" t="n">
        <v>0</v>
      </c>
      <c r="O352" t="n">
        <v>0</v>
      </c>
      <c r="P352" t="n">
        <v>0</v>
      </c>
      <c r="Q352" t="n">
        <v>0</v>
      </c>
      <c r="R352" s="2" t="inlineStr"/>
    </row>
    <row r="353" ht="15" customHeight="1">
      <c r="A353" t="inlineStr">
        <is>
          <t>A 46942-2024</t>
        </is>
      </c>
      <c r="B353" s="1" t="n">
        <v>45585.6684375</v>
      </c>
      <c r="C353" s="1" t="n">
        <v>46172</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23860-2024</t>
        </is>
      </c>
      <c r="B354" s="1" t="n">
        <v>45455</v>
      </c>
      <c r="C354" s="1" t="n">
        <v>46172</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23864-2024</t>
        </is>
      </c>
      <c r="B355" s="1" t="n">
        <v>45455</v>
      </c>
      <c r="C355" s="1" t="n">
        <v>46172</v>
      </c>
      <c r="D355" t="inlineStr">
        <is>
          <t>SKÅNE LÄN</t>
        </is>
      </c>
      <c r="E355" t="inlineStr">
        <is>
          <t>HÄSSLEHOLM</t>
        </is>
      </c>
      <c r="G355" t="n">
        <v>6.2</v>
      </c>
      <c r="H355" t="n">
        <v>0</v>
      </c>
      <c r="I355" t="n">
        <v>0</v>
      </c>
      <c r="J355" t="n">
        <v>0</v>
      </c>
      <c r="K355" t="n">
        <v>0</v>
      </c>
      <c r="L355" t="n">
        <v>0</v>
      </c>
      <c r="M355" t="n">
        <v>0</v>
      </c>
      <c r="N355" t="n">
        <v>0</v>
      </c>
      <c r="O355" t="n">
        <v>0</v>
      </c>
      <c r="P355" t="n">
        <v>0</v>
      </c>
      <c r="Q355" t="n">
        <v>0</v>
      </c>
      <c r="R355" s="2" t="inlineStr"/>
    </row>
    <row r="356" ht="15" customHeight="1">
      <c r="A356" t="inlineStr">
        <is>
          <t>A 42232-2022</t>
        </is>
      </c>
      <c r="B356" s="1" t="n">
        <v>44830.77591435185</v>
      </c>
      <c r="C356" s="1" t="n">
        <v>46172</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7192-2025</t>
        </is>
      </c>
      <c r="B357" s="1" t="n">
        <v>45702.44746527778</v>
      </c>
      <c r="C357" s="1" t="n">
        <v>46172</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43696-2024</t>
        </is>
      </c>
      <c r="B358" s="1" t="n">
        <v>45569.58855324074</v>
      </c>
      <c r="C358" s="1" t="n">
        <v>46172</v>
      </c>
      <c r="D358" t="inlineStr">
        <is>
          <t>SKÅNE LÄN</t>
        </is>
      </c>
      <c r="E358" t="inlineStr">
        <is>
          <t>HÄSSLEHOLM</t>
        </is>
      </c>
      <c r="G358" t="n">
        <v>2.9</v>
      </c>
      <c r="H358" t="n">
        <v>0</v>
      </c>
      <c r="I358" t="n">
        <v>0</v>
      </c>
      <c r="J358" t="n">
        <v>0</v>
      </c>
      <c r="K358" t="n">
        <v>0</v>
      </c>
      <c r="L358" t="n">
        <v>0</v>
      </c>
      <c r="M358" t="n">
        <v>0</v>
      </c>
      <c r="N358" t="n">
        <v>0</v>
      </c>
      <c r="O358" t="n">
        <v>0</v>
      </c>
      <c r="P358" t="n">
        <v>0</v>
      </c>
      <c r="Q358" t="n">
        <v>0</v>
      </c>
      <c r="R358" s="2" t="inlineStr"/>
    </row>
    <row r="359" ht="15" customHeight="1">
      <c r="A359" t="inlineStr">
        <is>
          <t>A 36706-2022</t>
        </is>
      </c>
      <c r="B359" s="1" t="n">
        <v>44805.32891203704</v>
      </c>
      <c r="C359" s="1" t="n">
        <v>46172</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22594-2024</t>
        </is>
      </c>
      <c r="B360" s="1" t="n">
        <v>45447.60892361111</v>
      </c>
      <c r="C360" s="1" t="n">
        <v>46172</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11798-2022</t>
        </is>
      </c>
      <c r="B361" s="1" t="n">
        <v>44634.64900462963</v>
      </c>
      <c r="C361" s="1" t="n">
        <v>46172</v>
      </c>
      <c r="D361" t="inlineStr">
        <is>
          <t>SKÅNE LÄN</t>
        </is>
      </c>
      <c r="E361" t="inlineStr">
        <is>
          <t>HÄSSLEHOLM</t>
        </is>
      </c>
      <c r="G361" t="n">
        <v>2.8</v>
      </c>
      <c r="H361" t="n">
        <v>0</v>
      </c>
      <c r="I361" t="n">
        <v>0</v>
      </c>
      <c r="J361" t="n">
        <v>0</v>
      </c>
      <c r="K361" t="n">
        <v>0</v>
      </c>
      <c r="L361" t="n">
        <v>0</v>
      </c>
      <c r="M361" t="n">
        <v>0</v>
      </c>
      <c r="N361" t="n">
        <v>0</v>
      </c>
      <c r="O361" t="n">
        <v>0</v>
      </c>
      <c r="P361" t="n">
        <v>0</v>
      </c>
      <c r="Q361" t="n">
        <v>0</v>
      </c>
      <c r="R361" s="2" t="inlineStr"/>
    </row>
    <row r="362" ht="15" customHeight="1">
      <c r="A362" t="inlineStr">
        <is>
          <t>A 56881-2021</t>
        </is>
      </c>
      <c r="B362" s="1" t="n">
        <v>44481</v>
      </c>
      <c r="C362" s="1" t="n">
        <v>46172</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25213-2023</t>
        </is>
      </c>
      <c r="B363" s="1" t="n">
        <v>45086.60010416667</v>
      </c>
      <c r="C363" s="1" t="n">
        <v>46172</v>
      </c>
      <c r="D363" t="inlineStr">
        <is>
          <t>SKÅNE LÄN</t>
        </is>
      </c>
      <c r="E363" t="inlineStr">
        <is>
          <t>HÄSSLEHOLM</t>
        </is>
      </c>
      <c r="G363" t="n">
        <v>7.2</v>
      </c>
      <c r="H363" t="n">
        <v>0</v>
      </c>
      <c r="I363" t="n">
        <v>0</v>
      </c>
      <c r="J363" t="n">
        <v>0</v>
      </c>
      <c r="K363" t="n">
        <v>0</v>
      </c>
      <c r="L363" t="n">
        <v>0</v>
      </c>
      <c r="M363" t="n">
        <v>0</v>
      </c>
      <c r="N363" t="n">
        <v>0</v>
      </c>
      <c r="O363" t="n">
        <v>0</v>
      </c>
      <c r="P363" t="n">
        <v>0</v>
      </c>
      <c r="Q363" t="n">
        <v>0</v>
      </c>
      <c r="R363" s="2" t="inlineStr"/>
    </row>
    <row r="364" ht="15" customHeight="1">
      <c r="A364" t="inlineStr">
        <is>
          <t>A 13673-2023</t>
        </is>
      </c>
      <c r="B364" s="1" t="n">
        <v>45006.87957175926</v>
      </c>
      <c r="C364" s="1" t="n">
        <v>46172</v>
      </c>
      <c r="D364" t="inlineStr">
        <is>
          <t>SKÅNE LÄN</t>
        </is>
      </c>
      <c r="E364" t="inlineStr">
        <is>
          <t>HÄSSLEHOLM</t>
        </is>
      </c>
      <c r="G364" t="n">
        <v>3.2</v>
      </c>
      <c r="H364" t="n">
        <v>0</v>
      </c>
      <c r="I364" t="n">
        <v>0</v>
      </c>
      <c r="J364" t="n">
        <v>0</v>
      </c>
      <c r="K364" t="n">
        <v>0</v>
      </c>
      <c r="L364" t="n">
        <v>0</v>
      </c>
      <c r="M364" t="n">
        <v>0</v>
      </c>
      <c r="N364" t="n">
        <v>0</v>
      </c>
      <c r="O364" t="n">
        <v>0</v>
      </c>
      <c r="P364" t="n">
        <v>0</v>
      </c>
      <c r="Q364" t="n">
        <v>0</v>
      </c>
      <c r="R364" s="2" t="inlineStr"/>
    </row>
    <row r="365" ht="15" customHeight="1">
      <c r="A365" t="inlineStr">
        <is>
          <t>A 37038-2022</t>
        </is>
      </c>
      <c r="B365" s="1" t="n">
        <v>44806.44232638889</v>
      </c>
      <c r="C365" s="1" t="n">
        <v>46172</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18063-2023</t>
        </is>
      </c>
      <c r="B366" s="1" t="n">
        <v>45040.62850694444</v>
      </c>
      <c r="C366" s="1" t="n">
        <v>46172</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38306-2022</t>
        </is>
      </c>
      <c r="B367" s="1" t="n">
        <v>44812.57515046297</v>
      </c>
      <c r="C367" s="1" t="n">
        <v>46172</v>
      </c>
      <c r="D367" t="inlineStr">
        <is>
          <t>SKÅNE LÄN</t>
        </is>
      </c>
      <c r="E367" t="inlineStr">
        <is>
          <t>HÄSSLEHOLM</t>
        </is>
      </c>
      <c r="G367" t="n">
        <v>2.2</v>
      </c>
      <c r="H367" t="n">
        <v>0</v>
      </c>
      <c r="I367" t="n">
        <v>0</v>
      </c>
      <c r="J367" t="n">
        <v>0</v>
      </c>
      <c r="K367" t="n">
        <v>0</v>
      </c>
      <c r="L367" t="n">
        <v>0</v>
      </c>
      <c r="M367" t="n">
        <v>0</v>
      </c>
      <c r="N367" t="n">
        <v>0</v>
      </c>
      <c r="O367" t="n">
        <v>0</v>
      </c>
      <c r="P367" t="n">
        <v>0</v>
      </c>
      <c r="Q367" t="n">
        <v>0</v>
      </c>
      <c r="R367" s="2" t="inlineStr"/>
    </row>
    <row r="368" ht="15" customHeight="1">
      <c r="A368" t="inlineStr">
        <is>
          <t>A 5894-2023</t>
        </is>
      </c>
      <c r="B368" s="1" t="n">
        <v>44963.65148148148</v>
      </c>
      <c r="C368" s="1" t="n">
        <v>46172</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38712-2024</t>
        </is>
      </c>
      <c r="B369" s="1" t="n">
        <v>45547</v>
      </c>
      <c r="C369" s="1" t="n">
        <v>46172</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9502-2023</t>
        </is>
      </c>
      <c r="B370" s="1" t="n">
        <v>44981.63278935185</v>
      </c>
      <c r="C370" s="1" t="n">
        <v>46172</v>
      </c>
      <c r="D370" t="inlineStr">
        <is>
          <t>SKÅNE LÄN</t>
        </is>
      </c>
      <c r="E370" t="inlineStr">
        <is>
          <t>HÄSSLEHOLM</t>
        </is>
      </c>
      <c r="G370" t="n">
        <v>0.4</v>
      </c>
      <c r="H370" t="n">
        <v>0</v>
      </c>
      <c r="I370" t="n">
        <v>0</v>
      </c>
      <c r="J370" t="n">
        <v>0</v>
      </c>
      <c r="K370" t="n">
        <v>0</v>
      </c>
      <c r="L370" t="n">
        <v>0</v>
      </c>
      <c r="M370" t="n">
        <v>0</v>
      </c>
      <c r="N370" t="n">
        <v>0</v>
      </c>
      <c r="O370" t="n">
        <v>0</v>
      </c>
      <c r="P370" t="n">
        <v>0</v>
      </c>
      <c r="Q370" t="n">
        <v>0</v>
      </c>
      <c r="R370" s="2" t="inlineStr"/>
    </row>
    <row r="371" ht="15" customHeight="1">
      <c r="A371" t="inlineStr">
        <is>
          <t>A 61524-2022</t>
        </is>
      </c>
      <c r="B371" s="1" t="n">
        <v>44910</v>
      </c>
      <c r="C371" s="1" t="n">
        <v>46172</v>
      </c>
      <c r="D371" t="inlineStr">
        <is>
          <t>SKÅNE LÄN</t>
        </is>
      </c>
      <c r="E371" t="inlineStr">
        <is>
          <t>HÄSSLEHOLM</t>
        </is>
      </c>
      <c r="F371" t="inlineStr">
        <is>
          <t>Kyrkan</t>
        </is>
      </c>
      <c r="G371" t="n">
        <v>2.1</v>
      </c>
      <c r="H371" t="n">
        <v>0</v>
      </c>
      <c r="I371" t="n">
        <v>0</v>
      </c>
      <c r="J371" t="n">
        <v>0</v>
      </c>
      <c r="K371" t="n">
        <v>0</v>
      </c>
      <c r="L371" t="n">
        <v>0</v>
      </c>
      <c r="M371" t="n">
        <v>0</v>
      </c>
      <c r="N371" t="n">
        <v>0</v>
      </c>
      <c r="O371" t="n">
        <v>0</v>
      </c>
      <c r="P371" t="n">
        <v>0</v>
      </c>
      <c r="Q371" t="n">
        <v>0</v>
      </c>
      <c r="R371" s="2" t="inlineStr"/>
    </row>
    <row r="372" ht="15" customHeight="1">
      <c r="A372" t="inlineStr">
        <is>
          <t>A 13310-2025</t>
        </is>
      </c>
      <c r="B372" s="1" t="n">
        <v>45735.58814814815</v>
      </c>
      <c r="C372" s="1" t="n">
        <v>46172</v>
      </c>
      <c r="D372" t="inlineStr">
        <is>
          <t>SKÅNE LÄN</t>
        </is>
      </c>
      <c r="E372" t="inlineStr">
        <is>
          <t>HÄSSLEHOLM</t>
        </is>
      </c>
      <c r="G372" t="n">
        <v>2</v>
      </c>
      <c r="H372" t="n">
        <v>0</v>
      </c>
      <c r="I372" t="n">
        <v>0</v>
      </c>
      <c r="J372" t="n">
        <v>0</v>
      </c>
      <c r="K372" t="n">
        <v>0</v>
      </c>
      <c r="L372" t="n">
        <v>0</v>
      </c>
      <c r="M372" t="n">
        <v>0</v>
      </c>
      <c r="N372" t="n">
        <v>0</v>
      </c>
      <c r="O372" t="n">
        <v>0</v>
      </c>
      <c r="P372" t="n">
        <v>0</v>
      </c>
      <c r="Q372" t="n">
        <v>0</v>
      </c>
      <c r="R372" s="2" t="inlineStr"/>
    </row>
    <row r="373" ht="15" customHeight="1">
      <c r="A373" t="inlineStr">
        <is>
          <t>A 61578-2023</t>
        </is>
      </c>
      <c r="B373" s="1" t="n">
        <v>45265.47399305556</v>
      </c>
      <c r="C373" s="1" t="n">
        <v>46172</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34342-2021</t>
        </is>
      </c>
      <c r="B374" s="1" t="n">
        <v>44379</v>
      </c>
      <c r="C374" s="1" t="n">
        <v>46172</v>
      </c>
      <c r="D374" t="inlineStr">
        <is>
          <t>SKÅNE LÄN</t>
        </is>
      </c>
      <c r="E374" t="inlineStr">
        <is>
          <t>HÄSSLEHOLM</t>
        </is>
      </c>
      <c r="G374" t="n">
        <v>7</v>
      </c>
      <c r="H374" t="n">
        <v>0</v>
      </c>
      <c r="I374" t="n">
        <v>0</v>
      </c>
      <c r="J374" t="n">
        <v>0</v>
      </c>
      <c r="K374" t="n">
        <v>0</v>
      </c>
      <c r="L374" t="n">
        <v>0</v>
      </c>
      <c r="M374" t="n">
        <v>0</v>
      </c>
      <c r="N374" t="n">
        <v>0</v>
      </c>
      <c r="O374" t="n">
        <v>0</v>
      </c>
      <c r="P374" t="n">
        <v>0</v>
      </c>
      <c r="Q374" t="n">
        <v>0</v>
      </c>
      <c r="R374" s="2" t="inlineStr"/>
    </row>
    <row r="375" ht="15" customHeight="1">
      <c r="A375" t="inlineStr">
        <is>
          <t>A 1557-2023</t>
        </is>
      </c>
      <c r="B375" s="1" t="n">
        <v>44937</v>
      </c>
      <c r="C375" s="1" t="n">
        <v>46172</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25542-2024</t>
        </is>
      </c>
      <c r="B376" s="1" t="n">
        <v>45463</v>
      </c>
      <c r="C376" s="1" t="n">
        <v>46172</v>
      </c>
      <c r="D376" t="inlineStr">
        <is>
          <t>SKÅNE LÄN</t>
        </is>
      </c>
      <c r="E376" t="inlineStr">
        <is>
          <t>HÄSSLEHOLM</t>
        </is>
      </c>
      <c r="G376" t="n">
        <v>6.9</v>
      </c>
      <c r="H376" t="n">
        <v>0</v>
      </c>
      <c r="I376" t="n">
        <v>0</v>
      </c>
      <c r="J376" t="n">
        <v>0</v>
      </c>
      <c r="K376" t="n">
        <v>0</v>
      </c>
      <c r="L376" t="n">
        <v>0</v>
      </c>
      <c r="M376" t="n">
        <v>0</v>
      </c>
      <c r="N376" t="n">
        <v>0</v>
      </c>
      <c r="O376" t="n">
        <v>0</v>
      </c>
      <c r="P376" t="n">
        <v>0</v>
      </c>
      <c r="Q376" t="n">
        <v>0</v>
      </c>
      <c r="R376" s="2" t="inlineStr"/>
    </row>
    <row r="377" ht="15" customHeight="1">
      <c r="A377" t="inlineStr">
        <is>
          <t>A 48046-2023</t>
        </is>
      </c>
      <c r="B377" s="1" t="n">
        <v>45204.85201388889</v>
      </c>
      <c r="C377" s="1" t="n">
        <v>46172</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3746-2024</t>
        </is>
      </c>
      <c r="B378" s="1" t="n">
        <v>45321.50745370371</v>
      </c>
      <c r="C378" s="1" t="n">
        <v>46172</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9239-2025</t>
        </is>
      </c>
      <c r="B379" s="1" t="n">
        <v>45714</v>
      </c>
      <c r="C379" s="1" t="n">
        <v>46172</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42370-2023</t>
        </is>
      </c>
      <c r="B380" s="1" t="n">
        <v>45180</v>
      </c>
      <c r="C380" s="1" t="n">
        <v>46172</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57649-2022</t>
        </is>
      </c>
      <c r="B381" s="1" t="n">
        <v>44897.42755787037</v>
      </c>
      <c r="C381" s="1" t="n">
        <v>46172</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57749-2023</t>
        </is>
      </c>
      <c r="B382" s="1" t="n">
        <v>45246</v>
      </c>
      <c r="C382" s="1" t="n">
        <v>46172</v>
      </c>
      <c r="D382" t="inlineStr">
        <is>
          <t>SKÅNE LÄN</t>
        </is>
      </c>
      <c r="E382" t="inlineStr">
        <is>
          <t>HÄSSLEHOLM</t>
        </is>
      </c>
      <c r="G382" t="n">
        <v>2.7</v>
      </c>
      <c r="H382" t="n">
        <v>0</v>
      </c>
      <c r="I382" t="n">
        <v>0</v>
      </c>
      <c r="J382" t="n">
        <v>0</v>
      </c>
      <c r="K382" t="n">
        <v>0</v>
      </c>
      <c r="L382" t="n">
        <v>0</v>
      </c>
      <c r="M382" t="n">
        <v>0</v>
      </c>
      <c r="N382" t="n">
        <v>0</v>
      </c>
      <c r="O382" t="n">
        <v>0</v>
      </c>
      <c r="P382" t="n">
        <v>0</v>
      </c>
      <c r="Q382" t="n">
        <v>0</v>
      </c>
      <c r="R382" s="2" t="inlineStr"/>
    </row>
    <row r="383" ht="15" customHeight="1">
      <c r="A383" t="inlineStr">
        <is>
          <t>A 57665-2022</t>
        </is>
      </c>
      <c r="B383" s="1" t="n">
        <v>44897.4494212963</v>
      </c>
      <c r="C383" s="1" t="n">
        <v>46172</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57676-2022</t>
        </is>
      </c>
      <c r="B384" s="1" t="n">
        <v>44897</v>
      </c>
      <c r="C384" s="1" t="n">
        <v>46172</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14145-2023</t>
        </is>
      </c>
      <c r="B385" s="1" t="n">
        <v>45009</v>
      </c>
      <c r="C385" s="1" t="n">
        <v>46172</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8244-2023</t>
        </is>
      </c>
      <c r="B386" s="1" t="n">
        <v>44974</v>
      </c>
      <c r="C386" s="1" t="n">
        <v>46172</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8246-2023</t>
        </is>
      </c>
      <c r="B387" s="1" t="n">
        <v>44974</v>
      </c>
      <c r="C387" s="1" t="n">
        <v>46172</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12584-2025</t>
        </is>
      </c>
      <c r="B388" s="1" t="n">
        <v>45732</v>
      </c>
      <c r="C388" s="1" t="n">
        <v>46172</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1538-2024</t>
        </is>
      </c>
      <c r="B389" s="1" t="n">
        <v>45306</v>
      </c>
      <c r="C389" s="1" t="n">
        <v>46172</v>
      </c>
      <c r="D389" t="inlineStr">
        <is>
          <t>SKÅNE LÄN</t>
        </is>
      </c>
      <c r="E389" t="inlineStr">
        <is>
          <t>HÄSSLEHOLM</t>
        </is>
      </c>
      <c r="G389" t="n">
        <v>4.8</v>
      </c>
      <c r="H389" t="n">
        <v>0</v>
      </c>
      <c r="I389" t="n">
        <v>0</v>
      </c>
      <c r="J389" t="n">
        <v>0</v>
      </c>
      <c r="K389" t="n">
        <v>0</v>
      </c>
      <c r="L389" t="n">
        <v>0</v>
      </c>
      <c r="M389" t="n">
        <v>0</v>
      </c>
      <c r="N389" t="n">
        <v>0</v>
      </c>
      <c r="O389" t="n">
        <v>0</v>
      </c>
      <c r="P389" t="n">
        <v>0</v>
      </c>
      <c r="Q389" t="n">
        <v>0</v>
      </c>
      <c r="R389" s="2" t="inlineStr"/>
    </row>
    <row r="390" ht="15" customHeight="1">
      <c r="A390" t="inlineStr">
        <is>
          <t>A 25606-2024</t>
        </is>
      </c>
      <c r="B390" s="1" t="n">
        <v>45463.63179398148</v>
      </c>
      <c r="C390" s="1" t="n">
        <v>46172</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11422-2025</t>
        </is>
      </c>
      <c r="B391" s="1" t="n">
        <v>45726</v>
      </c>
      <c r="C391" s="1" t="n">
        <v>46172</v>
      </c>
      <c r="D391" t="inlineStr">
        <is>
          <t>SKÅNE LÄN</t>
        </is>
      </c>
      <c r="E391" t="inlineStr">
        <is>
          <t>HÄSSLEHOLM</t>
        </is>
      </c>
      <c r="G391" t="n">
        <v>14.9</v>
      </c>
      <c r="H391" t="n">
        <v>0</v>
      </c>
      <c r="I391" t="n">
        <v>0</v>
      </c>
      <c r="J391" t="n">
        <v>0</v>
      </c>
      <c r="K391" t="n">
        <v>0</v>
      </c>
      <c r="L391" t="n">
        <v>0</v>
      </c>
      <c r="M391" t="n">
        <v>0</v>
      </c>
      <c r="N391" t="n">
        <v>0</v>
      </c>
      <c r="O391" t="n">
        <v>0</v>
      </c>
      <c r="P391" t="n">
        <v>0</v>
      </c>
      <c r="Q391" t="n">
        <v>0</v>
      </c>
      <c r="R391" s="2" t="inlineStr"/>
    </row>
    <row r="392" ht="15" customHeight="1">
      <c r="A392" t="inlineStr">
        <is>
          <t>A 3135-2023</t>
        </is>
      </c>
      <c r="B392" s="1" t="n">
        <v>44946.51672453704</v>
      </c>
      <c r="C392" s="1" t="n">
        <v>46172</v>
      </c>
      <c r="D392" t="inlineStr">
        <is>
          <t>SKÅNE LÄN</t>
        </is>
      </c>
      <c r="E392" t="inlineStr">
        <is>
          <t>HÄSSLEHOLM</t>
        </is>
      </c>
      <c r="G392" t="n">
        <v>7.2</v>
      </c>
      <c r="H392" t="n">
        <v>0</v>
      </c>
      <c r="I392" t="n">
        <v>0</v>
      </c>
      <c r="J392" t="n">
        <v>0</v>
      </c>
      <c r="K392" t="n">
        <v>0</v>
      </c>
      <c r="L392" t="n">
        <v>0</v>
      </c>
      <c r="M392" t="n">
        <v>0</v>
      </c>
      <c r="N392" t="n">
        <v>0</v>
      </c>
      <c r="O392" t="n">
        <v>0</v>
      </c>
      <c r="P392" t="n">
        <v>0</v>
      </c>
      <c r="Q392" t="n">
        <v>0</v>
      </c>
      <c r="R392" s="2" t="inlineStr"/>
    </row>
    <row r="393" ht="15" customHeight="1">
      <c r="A393" t="inlineStr">
        <is>
          <t>A 7604-2024</t>
        </is>
      </c>
      <c r="B393" s="1" t="n">
        <v>45348</v>
      </c>
      <c r="C393" s="1" t="n">
        <v>46172</v>
      </c>
      <c r="D393" t="inlineStr">
        <is>
          <t>SKÅNE LÄN</t>
        </is>
      </c>
      <c r="E393" t="inlineStr">
        <is>
          <t>HÄSSLEHOLM</t>
        </is>
      </c>
      <c r="G393" t="n">
        <v>11.1</v>
      </c>
      <c r="H393" t="n">
        <v>0</v>
      </c>
      <c r="I393" t="n">
        <v>0</v>
      </c>
      <c r="J393" t="n">
        <v>0</v>
      </c>
      <c r="K393" t="n">
        <v>0</v>
      </c>
      <c r="L393" t="n">
        <v>0</v>
      </c>
      <c r="M393" t="n">
        <v>0</v>
      </c>
      <c r="N393" t="n">
        <v>0</v>
      </c>
      <c r="O393" t="n">
        <v>0</v>
      </c>
      <c r="P393" t="n">
        <v>0</v>
      </c>
      <c r="Q393" t="n">
        <v>0</v>
      </c>
      <c r="R393" s="2" t="inlineStr"/>
    </row>
    <row r="394" ht="15" customHeight="1">
      <c r="A394" t="inlineStr">
        <is>
          <t>A 29853-2024</t>
        </is>
      </c>
      <c r="B394" s="1" t="n">
        <v>45485.65844907407</v>
      </c>
      <c r="C394" s="1" t="n">
        <v>46172</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29287-2023</t>
        </is>
      </c>
      <c r="B395" s="1" t="n">
        <v>45098</v>
      </c>
      <c r="C395" s="1" t="n">
        <v>46172</v>
      </c>
      <c r="D395" t="inlineStr">
        <is>
          <t>SKÅNE LÄN</t>
        </is>
      </c>
      <c r="E395" t="inlineStr">
        <is>
          <t>HÄSSLEHOLM</t>
        </is>
      </c>
      <c r="G395" t="n">
        <v>5.7</v>
      </c>
      <c r="H395" t="n">
        <v>0</v>
      </c>
      <c r="I395" t="n">
        <v>0</v>
      </c>
      <c r="J395" t="n">
        <v>0</v>
      </c>
      <c r="K395" t="n">
        <v>0</v>
      </c>
      <c r="L395" t="n">
        <v>0</v>
      </c>
      <c r="M395" t="n">
        <v>0</v>
      </c>
      <c r="N395" t="n">
        <v>0</v>
      </c>
      <c r="O395" t="n">
        <v>0</v>
      </c>
      <c r="P395" t="n">
        <v>0</v>
      </c>
      <c r="Q395" t="n">
        <v>0</v>
      </c>
      <c r="R395" s="2" t="inlineStr"/>
    </row>
    <row r="396" ht="15" customHeight="1">
      <c r="A396" t="inlineStr">
        <is>
          <t>A 5992-2022</t>
        </is>
      </c>
      <c r="B396" s="1" t="n">
        <v>44599</v>
      </c>
      <c r="C396" s="1" t="n">
        <v>46172</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26403-2024</t>
        </is>
      </c>
      <c r="B397" s="1" t="n">
        <v>45469.44505787037</v>
      </c>
      <c r="C397" s="1" t="n">
        <v>46172</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26403-2024</t>
        </is>
      </c>
      <c r="B398" s="1" t="n">
        <v>45469.44505787037</v>
      </c>
      <c r="C398" s="1" t="n">
        <v>46172</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9556-2025</t>
        </is>
      </c>
      <c r="B399" s="1" t="n">
        <v>45714</v>
      </c>
      <c r="C399" s="1" t="n">
        <v>46172</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25324-2024</t>
        </is>
      </c>
      <c r="B400" s="1" t="n">
        <v>45462.804375</v>
      </c>
      <c r="C400" s="1" t="n">
        <v>46172</v>
      </c>
      <c r="D400" t="inlineStr">
        <is>
          <t>SKÅNE LÄN</t>
        </is>
      </c>
      <c r="E400" t="inlineStr">
        <is>
          <t>HÄSSLEHOLM</t>
        </is>
      </c>
      <c r="G400" t="n">
        <v>0.2</v>
      </c>
      <c r="H400" t="n">
        <v>0</v>
      </c>
      <c r="I400" t="n">
        <v>0</v>
      </c>
      <c r="J400" t="n">
        <v>0</v>
      </c>
      <c r="K400" t="n">
        <v>0</v>
      </c>
      <c r="L400" t="n">
        <v>0</v>
      </c>
      <c r="M400" t="n">
        <v>0</v>
      </c>
      <c r="N400" t="n">
        <v>0</v>
      </c>
      <c r="O400" t="n">
        <v>0</v>
      </c>
      <c r="P400" t="n">
        <v>0</v>
      </c>
      <c r="Q400" t="n">
        <v>0</v>
      </c>
      <c r="R400" s="2" t="inlineStr"/>
    </row>
    <row r="401" ht="15" customHeight="1">
      <c r="A401" t="inlineStr">
        <is>
          <t>A 8803-2023</t>
        </is>
      </c>
      <c r="B401" s="1" t="n">
        <v>44978.61712962963</v>
      </c>
      <c r="C401" s="1" t="n">
        <v>46172</v>
      </c>
      <c r="D401" t="inlineStr">
        <is>
          <t>SKÅNE LÄN</t>
        </is>
      </c>
      <c r="E401" t="inlineStr">
        <is>
          <t>HÄSSLEHOLM</t>
        </is>
      </c>
      <c r="G401" t="n">
        <v>1.1</v>
      </c>
      <c r="H401" t="n">
        <v>0</v>
      </c>
      <c r="I401" t="n">
        <v>0</v>
      </c>
      <c r="J401" t="n">
        <v>0</v>
      </c>
      <c r="K401" t="n">
        <v>0</v>
      </c>
      <c r="L401" t="n">
        <v>0</v>
      </c>
      <c r="M401" t="n">
        <v>0</v>
      </c>
      <c r="N401" t="n">
        <v>0</v>
      </c>
      <c r="O401" t="n">
        <v>0</v>
      </c>
      <c r="P401" t="n">
        <v>0</v>
      </c>
      <c r="Q401" t="n">
        <v>0</v>
      </c>
      <c r="R401" s="2" t="inlineStr"/>
    </row>
    <row r="402" ht="15" customHeight="1">
      <c r="A402" t="inlineStr">
        <is>
          <t>A 14939-2023</t>
        </is>
      </c>
      <c r="B402" s="1" t="n">
        <v>45014</v>
      </c>
      <c r="C402" s="1" t="n">
        <v>46172</v>
      </c>
      <c r="D402" t="inlineStr">
        <is>
          <t>SKÅNE LÄN</t>
        </is>
      </c>
      <c r="E402" t="inlineStr">
        <is>
          <t>HÄSSLEHOLM</t>
        </is>
      </c>
      <c r="G402" t="n">
        <v>0.9</v>
      </c>
      <c r="H402" t="n">
        <v>0</v>
      </c>
      <c r="I402" t="n">
        <v>0</v>
      </c>
      <c r="J402" t="n">
        <v>0</v>
      </c>
      <c r="K402" t="n">
        <v>0</v>
      </c>
      <c r="L402" t="n">
        <v>0</v>
      </c>
      <c r="M402" t="n">
        <v>0</v>
      </c>
      <c r="N402" t="n">
        <v>0</v>
      </c>
      <c r="O402" t="n">
        <v>0</v>
      </c>
      <c r="P402" t="n">
        <v>0</v>
      </c>
      <c r="Q402" t="n">
        <v>0</v>
      </c>
      <c r="R402" s="2" t="inlineStr"/>
    </row>
    <row r="403" ht="15" customHeight="1">
      <c r="A403" t="inlineStr">
        <is>
          <t>A 13345-2025</t>
        </is>
      </c>
      <c r="B403" s="1" t="n">
        <v>45735.63017361111</v>
      </c>
      <c r="C403" s="1" t="n">
        <v>46172</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34342-2021</t>
        </is>
      </c>
      <c r="B404" s="1" t="n">
        <v>44379</v>
      </c>
      <c r="C404" s="1" t="n">
        <v>46172</v>
      </c>
      <c r="D404" t="inlineStr">
        <is>
          <t>SKÅNE LÄN</t>
        </is>
      </c>
      <c r="E404" t="inlineStr">
        <is>
          <t>HÄSSLEHOLM</t>
        </is>
      </c>
      <c r="G404" t="n">
        <v>7</v>
      </c>
      <c r="H404" t="n">
        <v>0</v>
      </c>
      <c r="I404" t="n">
        <v>0</v>
      </c>
      <c r="J404" t="n">
        <v>0</v>
      </c>
      <c r="K404" t="n">
        <v>0</v>
      </c>
      <c r="L404" t="n">
        <v>0</v>
      </c>
      <c r="M404" t="n">
        <v>0</v>
      </c>
      <c r="N404" t="n">
        <v>0</v>
      </c>
      <c r="O404" t="n">
        <v>0</v>
      </c>
      <c r="P404" t="n">
        <v>0</v>
      </c>
      <c r="Q404" t="n">
        <v>0</v>
      </c>
      <c r="R404" s="2" t="inlineStr"/>
    </row>
    <row r="405" ht="15" customHeight="1">
      <c r="A405" t="inlineStr">
        <is>
          <t>A 4809-2025</t>
        </is>
      </c>
      <c r="B405" s="1" t="n">
        <v>45688.60148148148</v>
      </c>
      <c r="C405" s="1" t="n">
        <v>46172</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12780-2024</t>
        </is>
      </c>
      <c r="B406" s="1" t="n">
        <v>45384.59726851852</v>
      </c>
      <c r="C406" s="1" t="n">
        <v>46172</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9375-2023</t>
        </is>
      </c>
      <c r="B407" s="1" t="n">
        <v>44981</v>
      </c>
      <c r="C407" s="1" t="n">
        <v>46172</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3507-2024</t>
        </is>
      </c>
      <c r="B408" s="1" t="n">
        <v>45320.4906712963</v>
      </c>
      <c r="C408" s="1" t="n">
        <v>46172</v>
      </c>
      <c r="D408" t="inlineStr">
        <is>
          <t>SKÅNE LÄN</t>
        </is>
      </c>
      <c r="E408" t="inlineStr">
        <is>
          <t>HÄSSLEHOLM</t>
        </is>
      </c>
      <c r="G408" t="n">
        <v>6.4</v>
      </c>
      <c r="H408" t="n">
        <v>0</v>
      </c>
      <c r="I408" t="n">
        <v>0</v>
      </c>
      <c r="J408" t="n">
        <v>0</v>
      </c>
      <c r="K408" t="n">
        <v>0</v>
      </c>
      <c r="L408" t="n">
        <v>0</v>
      </c>
      <c r="M408" t="n">
        <v>0</v>
      </c>
      <c r="N408" t="n">
        <v>0</v>
      </c>
      <c r="O408" t="n">
        <v>0</v>
      </c>
      <c r="P408" t="n">
        <v>0</v>
      </c>
      <c r="Q408" t="n">
        <v>0</v>
      </c>
      <c r="R408" s="2" t="inlineStr"/>
    </row>
    <row r="409" ht="15" customHeight="1">
      <c r="A409" t="inlineStr">
        <is>
          <t>A 4945-2022</t>
        </is>
      </c>
      <c r="B409" s="1" t="n">
        <v>44593</v>
      </c>
      <c r="C409" s="1" t="n">
        <v>46172</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49111-2023</t>
        </is>
      </c>
      <c r="B410" s="1" t="n">
        <v>45210.44464120371</v>
      </c>
      <c r="C410" s="1" t="n">
        <v>46172</v>
      </c>
      <c r="D410" t="inlineStr">
        <is>
          <t>SKÅNE LÄN</t>
        </is>
      </c>
      <c r="E410" t="inlineStr">
        <is>
          <t>HÄSSLEHOLM</t>
        </is>
      </c>
      <c r="G410" t="n">
        <v>0.2</v>
      </c>
      <c r="H410" t="n">
        <v>0</v>
      </c>
      <c r="I410" t="n">
        <v>0</v>
      </c>
      <c r="J410" t="n">
        <v>0</v>
      </c>
      <c r="K410" t="n">
        <v>0</v>
      </c>
      <c r="L410" t="n">
        <v>0</v>
      </c>
      <c r="M410" t="n">
        <v>0</v>
      </c>
      <c r="N410" t="n">
        <v>0</v>
      </c>
      <c r="O410" t="n">
        <v>0</v>
      </c>
      <c r="P410" t="n">
        <v>0</v>
      </c>
      <c r="Q410" t="n">
        <v>0</v>
      </c>
      <c r="R410" s="2" t="inlineStr"/>
    </row>
    <row r="411" ht="15" customHeight="1">
      <c r="A411" t="inlineStr">
        <is>
          <t>A 61178-2022</t>
        </is>
      </c>
      <c r="B411" s="1" t="n">
        <v>44915</v>
      </c>
      <c r="C411" s="1" t="n">
        <v>46172</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61185-2022</t>
        </is>
      </c>
      <c r="B412" s="1" t="n">
        <v>44915</v>
      </c>
      <c r="C412" s="1" t="n">
        <v>46172</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16860-2025</t>
        </is>
      </c>
      <c r="B413" s="1" t="n">
        <v>45751</v>
      </c>
      <c r="C413" s="1" t="n">
        <v>46172</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58915-2023</t>
        </is>
      </c>
      <c r="B414" s="1" t="n">
        <v>45250</v>
      </c>
      <c r="C414" s="1" t="n">
        <v>46172</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30006-2023</t>
        </is>
      </c>
      <c r="B415" s="1" t="n">
        <v>45109.79962962963</v>
      </c>
      <c r="C415" s="1" t="n">
        <v>46172</v>
      </c>
      <c r="D415" t="inlineStr">
        <is>
          <t>SKÅNE LÄN</t>
        </is>
      </c>
      <c r="E415" t="inlineStr">
        <is>
          <t>HÄSSLEHOLM</t>
        </is>
      </c>
      <c r="G415" t="n">
        <v>1.7</v>
      </c>
      <c r="H415" t="n">
        <v>0</v>
      </c>
      <c r="I415" t="n">
        <v>0</v>
      </c>
      <c r="J415" t="n">
        <v>0</v>
      </c>
      <c r="K415" t="n">
        <v>0</v>
      </c>
      <c r="L415" t="n">
        <v>0</v>
      </c>
      <c r="M415" t="n">
        <v>0</v>
      </c>
      <c r="N415" t="n">
        <v>0</v>
      </c>
      <c r="O415" t="n">
        <v>0</v>
      </c>
      <c r="P415" t="n">
        <v>0</v>
      </c>
      <c r="Q415" t="n">
        <v>0</v>
      </c>
      <c r="R415" s="2" t="inlineStr"/>
    </row>
    <row r="416" ht="15" customHeight="1">
      <c r="A416" t="inlineStr">
        <is>
          <t>A 15508-2023</t>
        </is>
      </c>
      <c r="B416" s="1" t="n">
        <v>45020.50045138889</v>
      </c>
      <c r="C416" s="1" t="n">
        <v>46172</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49167-2022</t>
        </is>
      </c>
      <c r="B417" s="1" t="n">
        <v>44860</v>
      </c>
      <c r="C417" s="1" t="n">
        <v>46172</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12558-2023</t>
        </is>
      </c>
      <c r="B418" s="1" t="n">
        <v>45000.36103009259</v>
      </c>
      <c r="C418" s="1" t="n">
        <v>46172</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4119-2024</t>
        </is>
      </c>
      <c r="B419" s="1" t="n">
        <v>45323.67920138889</v>
      </c>
      <c r="C419" s="1" t="n">
        <v>46172</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57963-2023</t>
        </is>
      </c>
      <c r="B420" s="1" t="n">
        <v>45247.57732638889</v>
      </c>
      <c r="C420" s="1" t="n">
        <v>46172</v>
      </c>
      <c r="D420" t="inlineStr">
        <is>
          <t>SKÅNE LÄN</t>
        </is>
      </c>
      <c r="E420" t="inlineStr">
        <is>
          <t>HÄSSLEHOLM</t>
        </is>
      </c>
      <c r="G420" t="n">
        <v>4.6</v>
      </c>
      <c r="H420" t="n">
        <v>0</v>
      </c>
      <c r="I420" t="n">
        <v>0</v>
      </c>
      <c r="J420" t="n">
        <v>0</v>
      </c>
      <c r="K420" t="n">
        <v>0</v>
      </c>
      <c r="L420" t="n">
        <v>0</v>
      </c>
      <c r="M420" t="n">
        <v>0</v>
      </c>
      <c r="N420" t="n">
        <v>0</v>
      </c>
      <c r="O420" t="n">
        <v>0</v>
      </c>
      <c r="P420" t="n">
        <v>0</v>
      </c>
      <c r="Q420" t="n">
        <v>0</v>
      </c>
      <c r="R420" s="2" t="inlineStr"/>
    </row>
    <row r="421" ht="15" customHeight="1">
      <c r="A421" t="inlineStr">
        <is>
          <t>A 6835-2023</t>
        </is>
      </c>
      <c r="B421" s="1" t="n">
        <v>44967</v>
      </c>
      <c r="C421" s="1" t="n">
        <v>46172</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47757-2024</t>
        </is>
      </c>
      <c r="B422" s="1" t="n">
        <v>45588.55075231481</v>
      </c>
      <c r="C422" s="1" t="n">
        <v>46172</v>
      </c>
      <c r="D422" t="inlineStr">
        <is>
          <t>SKÅNE LÄN</t>
        </is>
      </c>
      <c r="E422" t="inlineStr">
        <is>
          <t>HÄSSLEHOLM</t>
        </is>
      </c>
      <c r="G422" t="n">
        <v>5.5</v>
      </c>
      <c r="H422" t="n">
        <v>0</v>
      </c>
      <c r="I422" t="n">
        <v>0</v>
      </c>
      <c r="J422" t="n">
        <v>0</v>
      </c>
      <c r="K422" t="n">
        <v>0</v>
      </c>
      <c r="L422" t="n">
        <v>0</v>
      </c>
      <c r="M422" t="n">
        <v>0</v>
      </c>
      <c r="N422" t="n">
        <v>0</v>
      </c>
      <c r="O422" t="n">
        <v>0</v>
      </c>
      <c r="P422" t="n">
        <v>0</v>
      </c>
      <c r="Q422" t="n">
        <v>0</v>
      </c>
      <c r="R422" s="2" t="inlineStr"/>
    </row>
    <row r="423" ht="15" customHeight="1">
      <c r="A423" t="inlineStr">
        <is>
          <t>A 16550-2025</t>
        </is>
      </c>
      <c r="B423" s="1" t="n">
        <v>45751.69412037037</v>
      </c>
      <c r="C423" s="1" t="n">
        <v>46172</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57033-2022</t>
        </is>
      </c>
      <c r="B424" s="1" t="n">
        <v>44895.31270833333</v>
      </c>
      <c r="C424" s="1" t="n">
        <v>46172</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35845-2022</t>
        </is>
      </c>
      <c r="B425" s="1" t="n">
        <v>44802</v>
      </c>
      <c r="C425" s="1" t="n">
        <v>46172</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26536-2022</t>
        </is>
      </c>
      <c r="B426" s="1" t="n">
        <v>44739.45496527778</v>
      </c>
      <c r="C426" s="1" t="n">
        <v>46172</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25057-2024</t>
        </is>
      </c>
      <c r="B427" s="1" t="n">
        <v>45462</v>
      </c>
      <c r="C427" s="1" t="n">
        <v>46172</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22140-2023</t>
        </is>
      </c>
      <c r="B428" s="1" t="n">
        <v>45065</v>
      </c>
      <c r="C428" s="1" t="n">
        <v>46172</v>
      </c>
      <c r="D428" t="inlineStr">
        <is>
          <t>SKÅNE LÄN</t>
        </is>
      </c>
      <c r="E428" t="inlineStr">
        <is>
          <t>HÄSSLEHOLM</t>
        </is>
      </c>
      <c r="G428" t="n">
        <v>6.7</v>
      </c>
      <c r="H428" t="n">
        <v>0</v>
      </c>
      <c r="I428" t="n">
        <v>0</v>
      </c>
      <c r="J428" t="n">
        <v>0</v>
      </c>
      <c r="K428" t="n">
        <v>0</v>
      </c>
      <c r="L428" t="n">
        <v>0</v>
      </c>
      <c r="M428" t="n">
        <v>0</v>
      </c>
      <c r="N428" t="n">
        <v>0</v>
      </c>
      <c r="O428" t="n">
        <v>0</v>
      </c>
      <c r="P428" t="n">
        <v>0</v>
      </c>
      <c r="Q428" t="n">
        <v>0</v>
      </c>
      <c r="R428" s="2" t="inlineStr"/>
    </row>
    <row r="429" ht="15" customHeight="1">
      <c r="A429" t="inlineStr">
        <is>
          <t>A 7653-2024</t>
        </is>
      </c>
      <c r="B429" s="1" t="n">
        <v>45348.69043981482</v>
      </c>
      <c r="C429" s="1" t="n">
        <v>46172</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7494-2023</t>
        </is>
      </c>
      <c r="B430" s="1" t="n">
        <v>44971.70835648148</v>
      </c>
      <c r="C430" s="1" t="n">
        <v>46172</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24679-2023</t>
        </is>
      </c>
      <c r="B431" s="1" t="n">
        <v>45084</v>
      </c>
      <c r="C431" s="1" t="n">
        <v>46172</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10115-2024</t>
        </is>
      </c>
      <c r="B432" s="1" t="n">
        <v>45364.55339120371</v>
      </c>
      <c r="C432" s="1" t="n">
        <v>46172</v>
      </c>
      <c r="D432" t="inlineStr">
        <is>
          <t>SKÅNE LÄN</t>
        </is>
      </c>
      <c r="E432" t="inlineStr">
        <is>
          <t>HÄSSLEHOLM</t>
        </is>
      </c>
      <c r="G432" t="n">
        <v>7</v>
      </c>
      <c r="H432" t="n">
        <v>0</v>
      </c>
      <c r="I432" t="n">
        <v>0</v>
      </c>
      <c r="J432" t="n">
        <v>0</v>
      </c>
      <c r="K432" t="n">
        <v>0</v>
      </c>
      <c r="L432" t="n">
        <v>0</v>
      </c>
      <c r="M432" t="n">
        <v>0</v>
      </c>
      <c r="N432" t="n">
        <v>0</v>
      </c>
      <c r="O432" t="n">
        <v>0</v>
      </c>
      <c r="P432" t="n">
        <v>0</v>
      </c>
      <c r="Q432" t="n">
        <v>0</v>
      </c>
      <c r="R432" s="2" t="inlineStr"/>
    </row>
    <row r="433" ht="15" customHeight="1">
      <c r="A433" t="inlineStr">
        <is>
          <t>A 49219-2021</t>
        </is>
      </c>
      <c r="B433" s="1" t="n">
        <v>44454</v>
      </c>
      <c r="C433" s="1" t="n">
        <v>46172</v>
      </c>
      <c r="D433" t="inlineStr">
        <is>
          <t>SKÅNE LÄN</t>
        </is>
      </c>
      <c r="E433" t="inlineStr">
        <is>
          <t>HÄSSLEHOLM</t>
        </is>
      </c>
      <c r="G433" t="n">
        <v>7.8</v>
      </c>
      <c r="H433" t="n">
        <v>0</v>
      </c>
      <c r="I433" t="n">
        <v>0</v>
      </c>
      <c r="J433" t="n">
        <v>0</v>
      </c>
      <c r="K433" t="n">
        <v>0</v>
      </c>
      <c r="L433" t="n">
        <v>0</v>
      </c>
      <c r="M433" t="n">
        <v>0</v>
      </c>
      <c r="N433" t="n">
        <v>0</v>
      </c>
      <c r="O433" t="n">
        <v>0</v>
      </c>
      <c r="P433" t="n">
        <v>0</v>
      </c>
      <c r="Q433" t="n">
        <v>0</v>
      </c>
      <c r="R433" s="2" t="inlineStr"/>
    </row>
    <row r="434" ht="15" customHeight="1">
      <c r="A434" t="inlineStr">
        <is>
          <t>A 5890-2023</t>
        </is>
      </c>
      <c r="B434" s="1" t="n">
        <v>44963.64527777778</v>
      </c>
      <c r="C434" s="1" t="n">
        <v>46172</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12936-2025</t>
        </is>
      </c>
      <c r="B435" s="1" t="n">
        <v>45734</v>
      </c>
      <c r="C435" s="1" t="n">
        <v>46172</v>
      </c>
      <c r="D435" t="inlineStr">
        <is>
          <t>SKÅNE LÄN</t>
        </is>
      </c>
      <c r="E435" t="inlineStr">
        <is>
          <t>HÄSSLEHOLM</t>
        </is>
      </c>
      <c r="G435" t="n">
        <v>1.7</v>
      </c>
      <c r="H435" t="n">
        <v>0</v>
      </c>
      <c r="I435" t="n">
        <v>0</v>
      </c>
      <c r="J435" t="n">
        <v>0</v>
      </c>
      <c r="K435" t="n">
        <v>0</v>
      </c>
      <c r="L435" t="n">
        <v>0</v>
      </c>
      <c r="M435" t="n">
        <v>0</v>
      </c>
      <c r="N435" t="n">
        <v>0</v>
      </c>
      <c r="O435" t="n">
        <v>0</v>
      </c>
      <c r="P435" t="n">
        <v>0</v>
      </c>
      <c r="Q435" t="n">
        <v>0</v>
      </c>
      <c r="R435" s="2" t="inlineStr"/>
    </row>
    <row r="436" ht="15" customHeight="1">
      <c r="A436" t="inlineStr">
        <is>
          <t>A 56062-2024</t>
        </is>
      </c>
      <c r="B436" s="1" t="n">
        <v>45624.37105324074</v>
      </c>
      <c r="C436" s="1" t="n">
        <v>46172</v>
      </c>
      <c r="D436" t="inlineStr">
        <is>
          <t>SKÅNE LÄN</t>
        </is>
      </c>
      <c r="E436" t="inlineStr">
        <is>
          <t>HÄSSLEHOLM</t>
        </is>
      </c>
      <c r="F436" t="inlineStr">
        <is>
          <t>Övriga Aktiebolag</t>
        </is>
      </c>
      <c r="G436" t="n">
        <v>0.6</v>
      </c>
      <c r="H436" t="n">
        <v>0</v>
      </c>
      <c r="I436" t="n">
        <v>0</v>
      </c>
      <c r="J436" t="n">
        <v>0</v>
      </c>
      <c r="K436" t="n">
        <v>0</v>
      </c>
      <c r="L436" t="n">
        <v>0</v>
      </c>
      <c r="M436" t="n">
        <v>0</v>
      </c>
      <c r="N436" t="n">
        <v>0</v>
      </c>
      <c r="O436" t="n">
        <v>0</v>
      </c>
      <c r="P436" t="n">
        <v>0</v>
      </c>
      <c r="Q436" t="n">
        <v>0</v>
      </c>
      <c r="R436" s="2" t="inlineStr"/>
    </row>
    <row r="437" ht="15" customHeight="1">
      <c r="A437" t="inlineStr">
        <is>
          <t>A 61934-2023</t>
        </is>
      </c>
      <c r="B437" s="1" t="n">
        <v>45266.54125</v>
      </c>
      <c r="C437" s="1" t="n">
        <v>46172</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41209-2023</t>
        </is>
      </c>
      <c r="B438" s="1" t="n">
        <v>45174.43481481481</v>
      </c>
      <c r="C438" s="1" t="n">
        <v>46172</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1560-2023</t>
        </is>
      </c>
      <c r="B439" s="1" t="n">
        <v>44937</v>
      </c>
      <c r="C439" s="1" t="n">
        <v>46172</v>
      </c>
      <c r="D439" t="inlineStr">
        <is>
          <t>SKÅNE LÄN</t>
        </is>
      </c>
      <c r="E439" t="inlineStr">
        <is>
          <t>HÄSSLEHOLM</t>
        </is>
      </c>
      <c r="G439" t="n">
        <v>6.8</v>
      </c>
      <c r="H439" t="n">
        <v>0</v>
      </c>
      <c r="I439" t="n">
        <v>0</v>
      </c>
      <c r="J439" t="n">
        <v>0</v>
      </c>
      <c r="K439" t="n">
        <v>0</v>
      </c>
      <c r="L439" t="n">
        <v>0</v>
      </c>
      <c r="M439" t="n">
        <v>0</v>
      </c>
      <c r="N439" t="n">
        <v>0</v>
      </c>
      <c r="O439" t="n">
        <v>0</v>
      </c>
      <c r="P439" t="n">
        <v>0</v>
      </c>
      <c r="Q439" t="n">
        <v>0</v>
      </c>
      <c r="R439" s="2" t="inlineStr"/>
    </row>
    <row r="440" ht="15" customHeight="1">
      <c r="A440" t="inlineStr">
        <is>
          <t>A 57275-2023</t>
        </is>
      </c>
      <c r="B440" s="1" t="n">
        <v>45245.58886574074</v>
      </c>
      <c r="C440" s="1" t="n">
        <v>46172</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21328-2023</t>
        </is>
      </c>
      <c r="B441" s="1" t="n">
        <v>45062</v>
      </c>
      <c r="C441" s="1" t="n">
        <v>46172</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28599-2024</t>
        </is>
      </c>
      <c r="B442" s="1" t="n">
        <v>45478.4247800926</v>
      </c>
      <c r="C442" s="1" t="n">
        <v>46172</v>
      </c>
      <c r="D442" t="inlineStr">
        <is>
          <t>SKÅNE LÄN</t>
        </is>
      </c>
      <c r="E442" t="inlineStr">
        <is>
          <t>HÄSSLEHOLM</t>
        </is>
      </c>
      <c r="G442" t="n">
        <v>8.6</v>
      </c>
      <c r="H442" t="n">
        <v>0</v>
      </c>
      <c r="I442" t="n">
        <v>0</v>
      </c>
      <c r="J442" t="n">
        <v>0</v>
      </c>
      <c r="K442" t="n">
        <v>0</v>
      </c>
      <c r="L442" t="n">
        <v>0</v>
      </c>
      <c r="M442" t="n">
        <v>0</v>
      </c>
      <c r="N442" t="n">
        <v>0</v>
      </c>
      <c r="O442" t="n">
        <v>0</v>
      </c>
      <c r="P442" t="n">
        <v>0</v>
      </c>
      <c r="Q442" t="n">
        <v>0</v>
      </c>
      <c r="R442" s="2" t="inlineStr"/>
    </row>
    <row r="443" ht="15" customHeight="1">
      <c r="A443" t="inlineStr">
        <is>
          <t>A 12570-2023</t>
        </is>
      </c>
      <c r="B443" s="1" t="n">
        <v>44999</v>
      </c>
      <c r="C443" s="1" t="n">
        <v>46172</v>
      </c>
      <c r="D443" t="inlineStr">
        <is>
          <t>SKÅNE LÄN</t>
        </is>
      </c>
      <c r="E443" t="inlineStr">
        <is>
          <t>HÄSSLEHOLM</t>
        </is>
      </c>
      <c r="G443" t="n">
        <v>3.4</v>
      </c>
      <c r="H443" t="n">
        <v>0</v>
      </c>
      <c r="I443" t="n">
        <v>0</v>
      </c>
      <c r="J443" t="n">
        <v>0</v>
      </c>
      <c r="K443" t="n">
        <v>0</v>
      </c>
      <c r="L443" t="n">
        <v>0</v>
      </c>
      <c r="M443" t="n">
        <v>0</v>
      </c>
      <c r="N443" t="n">
        <v>0</v>
      </c>
      <c r="O443" t="n">
        <v>0</v>
      </c>
      <c r="P443" t="n">
        <v>0</v>
      </c>
      <c r="Q443" t="n">
        <v>0</v>
      </c>
      <c r="R443" s="2" t="inlineStr"/>
    </row>
    <row r="444" ht="15" customHeight="1">
      <c r="A444" t="inlineStr">
        <is>
          <t>A 53302-2022</t>
        </is>
      </c>
      <c r="B444" s="1" t="n">
        <v>44877</v>
      </c>
      <c r="C444" s="1" t="n">
        <v>46172</v>
      </c>
      <c r="D444" t="inlineStr">
        <is>
          <t>SKÅNE LÄN</t>
        </is>
      </c>
      <c r="E444" t="inlineStr">
        <is>
          <t>HÄSSLEHOLM</t>
        </is>
      </c>
      <c r="G444" t="n">
        <v>0.1</v>
      </c>
      <c r="H444" t="n">
        <v>0</v>
      </c>
      <c r="I444" t="n">
        <v>0</v>
      </c>
      <c r="J444" t="n">
        <v>0</v>
      </c>
      <c r="K444" t="n">
        <v>0</v>
      </c>
      <c r="L444" t="n">
        <v>0</v>
      </c>
      <c r="M444" t="n">
        <v>0</v>
      </c>
      <c r="N444" t="n">
        <v>0</v>
      </c>
      <c r="O444" t="n">
        <v>0</v>
      </c>
      <c r="P444" t="n">
        <v>0</v>
      </c>
      <c r="Q444" t="n">
        <v>0</v>
      </c>
      <c r="R444" s="2" t="inlineStr"/>
    </row>
    <row r="445" ht="15" customHeight="1">
      <c r="A445" t="inlineStr">
        <is>
          <t>A 27991-2024</t>
        </is>
      </c>
      <c r="B445" s="1" t="n">
        <v>45476</v>
      </c>
      <c r="C445" s="1" t="n">
        <v>46172</v>
      </c>
      <c r="D445" t="inlineStr">
        <is>
          <t>SKÅNE LÄN</t>
        </is>
      </c>
      <c r="E445" t="inlineStr">
        <is>
          <t>HÄSSLEHOLM</t>
        </is>
      </c>
      <c r="G445" t="n">
        <v>5.8</v>
      </c>
      <c r="H445" t="n">
        <v>0</v>
      </c>
      <c r="I445" t="n">
        <v>0</v>
      </c>
      <c r="J445" t="n">
        <v>0</v>
      </c>
      <c r="K445" t="n">
        <v>0</v>
      </c>
      <c r="L445" t="n">
        <v>0</v>
      </c>
      <c r="M445" t="n">
        <v>0</v>
      </c>
      <c r="N445" t="n">
        <v>0</v>
      </c>
      <c r="O445" t="n">
        <v>0</v>
      </c>
      <c r="P445" t="n">
        <v>0</v>
      </c>
      <c r="Q445" t="n">
        <v>0</v>
      </c>
      <c r="R445" s="2" t="inlineStr"/>
    </row>
    <row r="446" ht="15" customHeight="1">
      <c r="A446" t="inlineStr">
        <is>
          <t>A 25219-2023</t>
        </is>
      </c>
      <c r="B446" s="1" t="n">
        <v>45086.60541666667</v>
      </c>
      <c r="C446" s="1" t="n">
        <v>46172</v>
      </c>
      <c r="D446" t="inlineStr">
        <is>
          <t>SKÅNE LÄN</t>
        </is>
      </c>
      <c r="E446" t="inlineStr">
        <is>
          <t>HÄSSLEHOLM</t>
        </is>
      </c>
      <c r="G446" t="n">
        <v>6.9</v>
      </c>
      <c r="H446" t="n">
        <v>0</v>
      </c>
      <c r="I446" t="n">
        <v>0</v>
      </c>
      <c r="J446" t="n">
        <v>0</v>
      </c>
      <c r="K446" t="n">
        <v>0</v>
      </c>
      <c r="L446" t="n">
        <v>0</v>
      </c>
      <c r="M446" t="n">
        <v>0</v>
      </c>
      <c r="N446" t="n">
        <v>0</v>
      </c>
      <c r="O446" t="n">
        <v>0</v>
      </c>
      <c r="P446" t="n">
        <v>0</v>
      </c>
      <c r="Q446" t="n">
        <v>0</v>
      </c>
      <c r="R446" s="2" t="inlineStr"/>
    </row>
    <row r="447" ht="15" customHeight="1">
      <c r="A447" t="inlineStr">
        <is>
          <t>A 31946-2023</t>
        </is>
      </c>
      <c r="B447" s="1" t="n">
        <v>45119.35158564815</v>
      </c>
      <c r="C447" s="1" t="n">
        <v>46172</v>
      </c>
      <c r="D447" t="inlineStr">
        <is>
          <t>SKÅNE LÄN</t>
        </is>
      </c>
      <c r="E447" t="inlineStr">
        <is>
          <t>HÄSSLEHOLM</t>
        </is>
      </c>
      <c r="G447" t="n">
        <v>0.3</v>
      </c>
      <c r="H447" t="n">
        <v>0</v>
      </c>
      <c r="I447" t="n">
        <v>0</v>
      </c>
      <c r="J447" t="n">
        <v>0</v>
      </c>
      <c r="K447" t="n">
        <v>0</v>
      </c>
      <c r="L447" t="n">
        <v>0</v>
      </c>
      <c r="M447" t="n">
        <v>0</v>
      </c>
      <c r="N447" t="n">
        <v>0</v>
      </c>
      <c r="O447" t="n">
        <v>0</v>
      </c>
      <c r="P447" t="n">
        <v>0</v>
      </c>
      <c r="Q447" t="n">
        <v>0</v>
      </c>
      <c r="R447" s="2" t="inlineStr"/>
    </row>
    <row r="448" ht="15" customHeight="1">
      <c r="A448" t="inlineStr">
        <is>
          <t>A 39366-2025</t>
        </is>
      </c>
      <c r="B448" s="1" t="n">
        <v>45889</v>
      </c>
      <c r="C448" s="1" t="n">
        <v>46172</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16121-2025</t>
        </is>
      </c>
      <c r="B449" s="1" t="n">
        <v>45750.40384259259</v>
      </c>
      <c r="C449" s="1" t="n">
        <v>46172</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11446-2025</t>
        </is>
      </c>
      <c r="B450" s="1" t="n">
        <v>45726</v>
      </c>
      <c r="C450" s="1" t="n">
        <v>46172</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7306-2025</t>
        </is>
      </c>
      <c r="B451" s="1" t="n">
        <v>45702</v>
      </c>
      <c r="C451" s="1" t="n">
        <v>46172</v>
      </c>
      <c r="D451" t="inlineStr">
        <is>
          <t>SKÅNE LÄN</t>
        </is>
      </c>
      <c r="E451" t="inlineStr">
        <is>
          <t>HÄSSLEHOLM</t>
        </is>
      </c>
      <c r="F451" t="inlineStr">
        <is>
          <t>Övriga Aktiebolag</t>
        </is>
      </c>
      <c r="G451" t="n">
        <v>3.3</v>
      </c>
      <c r="H451" t="n">
        <v>0</v>
      </c>
      <c r="I451" t="n">
        <v>0</v>
      </c>
      <c r="J451" t="n">
        <v>0</v>
      </c>
      <c r="K451" t="n">
        <v>0</v>
      </c>
      <c r="L451" t="n">
        <v>0</v>
      </c>
      <c r="M451" t="n">
        <v>0</v>
      </c>
      <c r="N451" t="n">
        <v>0</v>
      </c>
      <c r="O451" t="n">
        <v>0</v>
      </c>
      <c r="P451" t="n">
        <v>0</v>
      </c>
      <c r="Q451" t="n">
        <v>0</v>
      </c>
      <c r="R451" s="2" t="inlineStr"/>
    </row>
    <row r="452" ht="15" customHeight="1">
      <c r="A452" t="inlineStr">
        <is>
          <t>A 7308-2025</t>
        </is>
      </c>
      <c r="B452" s="1" t="n">
        <v>45702</v>
      </c>
      <c r="C452" s="1" t="n">
        <v>46172</v>
      </c>
      <c r="D452" t="inlineStr">
        <is>
          <t>SKÅNE LÄN</t>
        </is>
      </c>
      <c r="E452" t="inlineStr">
        <is>
          <t>HÄSSLEHOLM</t>
        </is>
      </c>
      <c r="F452" t="inlineStr">
        <is>
          <t>Övriga Aktiebolag</t>
        </is>
      </c>
      <c r="G452" t="n">
        <v>4.8</v>
      </c>
      <c r="H452" t="n">
        <v>0</v>
      </c>
      <c r="I452" t="n">
        <v>0</v>
      </c>
      <c r="J452" t="n">
        <v>0</v>
      </c>
      <c r="K452" t="n">
        <v>0</v>
      </c>
      <c r="L452" t="n">
        <v>0</v>
      </c>
      <c r="M452" t="n">
        <v>0</v>
      </c>
      <c r="N452" t="n">
        <v>0</v>
      </c>
      <c r="O452" t="n">
        <v>0</v>
      </c>
      <c r="P452" t="n">
        <v>0</v>
      </c>
      <c r="Q452" t="n">
        <v>0</v>
      </c>
      <c r="R452" s="2" t="inlineStr"/>
    </row>
    <row r="453" ht="15" customHeight="1">
      <c r="A453" t="inlineStr">
        <is>
          <t>A 58250-2024</t>
        </is>
      </c>
      <c r="B453" s="1" t="n">
        <v>45632.55643518519</v>
      </c>
      <c r="C453" s="1" t="n">
        <v>46172</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48798-2023</t>
        </is>
      </c>
      <c r="B454" s="1" t="n">
        <v>45209.25318287037</v>
      </c>
      <c r="C454" s="1" t="n">
        <v>46172</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48844-2023</t>
        </is>
      </c>
      <c r="B455" s="1" t="n">
        <v>45209</v>
      </c>
      <c r="C455" s="1" t="n">
        <v>46172</v>
      </c>
      <c r="D455" t="inlineStr">
        <is>
          <t>SKÅNE LÄN</t>
        </is>
      </c>
      <c r="E455" t="inlineStr">
        <is>
          <t>HÄSSLEHOLM</t>
        </is>
      </c>
      <c r="G455" t="n">
        <v>4</v>
      </c>
      <c r="H455" t="n">
        <v>0</v>
      </c>
      <c r="I455" t="n">
        <v>0</v>
      </c>
      <c r="J455" t="n">
        <v>0</v>
      </c>
      <c r="K455" t="n">
        <v>0</v>
      </c>
      <c r="L455" t="n">
        <v>0</v>
      </c>
      <c r="M455" t="n">
        <v>0</v>
      </c>
      <c r="N455" t="n">
        <v>0</v>
      </c>
      <c r="O455" t="n">
        <v>0</v>
      </c>
      <c r="P455" t="n">
        <v>0</v>
      </c>
      <c r="Q455" t="n">
        <v>0</v>
      </c>
      <c r="R455" s="2" t="inlineStr"/>
    </row>
    <row r="456" ht="15" customHeight="1">
      <c r="A456" t="inlineStr">
        <is>
          <t>A 48877-2024</t>
        </is>
      </c>
      <c r="B456" s="1" t="n">
        <v>45594.31729166667</v>
      </c>
      <c r="C456" s="1" t="n">
        <v>46172</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54671-2022</t>
        </is>
      </c>
      <c r="B457" s="1" t="n">
        <v>44883</v>
      </c>
      <c r="C457" s="1" t="n">
        <v>46172</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45984-2021</t>
        </is>
      </c>
      <c r="B458" s="1" t="n">
        <v>44441</v>
      </c>
      <c r="C458" s="1" t="n">
        <v>46172</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8378-2023</t>
        </is>
      </c>
      <c r="B459" s="1" t="n">
        <v>44971</v>
      </c>
      <c r="C459" s="1" t="n">
        <v>46172</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40739-2024</t>
        </is>
      </c>
      <c r="B460" s="1" t="n">
        <v>45558</v>
      </c>
      <c r="C460" s="1" t="n">
        <v>46172</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11715-2023</t>
        </is>
      </c>
      <c r="B461" s="1" t="n">
        <v>44992</v>
      </c>
      <c r="C461" s="1" t="n">
        <v>46172</v>
      </c>
      <c r="D461" t="inlineStr">
        <is>
          <t>SKÅNE LÄN</t>
        </is>
      </c>
      <c r="E461" t="inlineStr">
        <is>
          <t>HÄSSLEHOLM</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38888-2023</t>
        </is>
      </c>
      <c r="B462" s="1" t="n">
        <v>45161</v>
      </c>
      <c r="C462" s="1" t="n">
        <v>46172</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13932-2023</t>
        </is>
      </c>
      <c r="B463" s="1" t="n">
        <v>45008.43935185186</v>
      </c>
      <c r="C463" s="1" t="n">
        <v>46172</v>
      </c>
      <c r="D463" t="inlineStr">
        <is>
          <t>SKÅNE LÄN</t>
        </is>
      </c>
      <c r="E463" t="inlineStr">
        <is>
          <t>HÄSSLEHOLM</t>
        </is>
      </c>
      <c r="G463" t="n">
        <v>3.3</v>
      </c>
      <c r="H463" t="n">
        <v>0</v>
      </c>
      <c r="I463" t="n">
        <v>0</v>
      </c>
      <c r="J463" t="n">
        <v>0</v>
      </c>
      <c r="K463" t="n">
        <v>0</v>
      </c>
      <c r="L463" t="n">
        <v>0</v>
      </c>
      <c r="M463" t="n">
        <v>0</v>
      </c>
      <c r="N463" t="n">
        <v>0</v>
      </c>
      <c r="O463" t="n">
        <v>0</v>
      </c>
      <c r="P463" t="n">
        <v>0</v>
      </c>
      <c r="Q463" t="n">
        <v>0</v>
      </c>
      <c r="R463" s="2" t="inlineStr"/>
    </row>
    <row r="464" ht="15" customHeight="1">
      <c r="A464" t="inlineStr">
        <is>
          <t>A 4734-2025</t>
        </is>
      </c>
      <c r="B464" s="1" t="n">
        <v>45688.44030092593</v>
      </c>
      <c r="C464" s="1" t="n">
        <v>46172</v>
      </c>
      <c r="D464" t="inlineStr">
        <is>
          <t>SKÅNE LÄN</t>
        </is>
      </c>
      <c r="E464" t="inlineStr">
        <is>
          <t>HÄSSLEHOLM</t>
        </is>
      </c>
      <c r="G464" t="n">
        <v>19.6</v>
      </c>
      <c r="H464" t="n">
        <v>0</v>
      </c>
      <c r="I464" t="n">
        <v>0</v>
      </c>
      <c r="J464" t="n">
        <v>0</v>
      </c>
      <c r="K464" t="n">
        <v>0</v>
      </c>
      <c r="L464" t="n">
        <v>0</v>
      </c>
      <c r="M464" t="n">
        <v>0</v>
      </c>
      <c r="N464" t="n">
        <v>0</v>
      </c>
      <c r="O464" t="n">
        <v>0</v>
      </c>
      <c r="P464" t="n">
        <v>0</v>
      </c>
      <c r="Q464" t="n">
        <v>0</v>
      </c>
      <c r="R464" s="2" t="inlineStr"/>
    </row>
    <row r="465" ht="15" customHeight="1">
      <c r="A465" t="inlineStr">
        <is>
          <t>A 35889-2023</t>
        </is>
      </c>
      <c r="B465" s="1" t="n">
        <v>45148</v>
      </c>
      <c r="C465" s="1" t="n">
        <v>46172</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35894-2023</t>
        </is>
      </c>
      <c r="B466" s="1" t="n">
        <v>45148</v>
      </c>
      <c r="C466" s="1" t="n">
        <v>46172</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45299-2024</t>
        </is>
      </c>
      <c r="B467" s="1" t="n">
        <v>45576.40599537037</v>
      </c>
      <c r="C467" s="1" t="n">
        <v>46172</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24776-2025</t>
        </is>
      </c>
      <c r="B468" s="1" t="n">
        <v>45799.40640046296</v>
      </c>
      <c r="C468" s="1" t="n">
        <v>46172</v>
      </c>
      <c r="D468" t="inlineStr">
        <is>
          <t>SKÅNE LÄN</t>
        </is>
      </c>
      <c r="E468" t="inlineStr">
        <is>
          <t>HÄSSLEHOLM</t>
        </is>
      </c>
      <c r="G468" t="n">
        <v>5.4</v>
      </c>
      <c r="H468" t="n">
        <v>0</v>
      </c>
      <c r="I468" t="n">
        <v>0</v>
      </c>
      <c r="J468" t="n">
        <v>0</v>
      </c>
      <c r="K468" t="n">
        <v>0</v>
      </c>
      <c r="L468" t="n">
        <v>0</v>
      </c>
      <c r="M468" t="n">
        <v>0</v>
      </c>
      <c r="N468" t="n">
        <v>0</v>
      </c>
      <c r="O468" t="n">
        <v>0</v>
      </c>
      <c r="P468" t="n">
        <v>0</v>
      </c>
      <c r="Q468" t="n">
        <v>0</v>
      </c>
      <c r="R468" s="2" t="inlineStr"/>
    </row>
    <row r="469" ht="15" customHeight="1">
      <c r="A469" t="inlineStr">
        <is>
          <t>A 39453-2025</t>
        </is>
      </c>
      <c r="B469" s="1" t="n">
        <v>45889</v>
      </c>
      <c r="C469" s="1" t="n">
        <v>46172</v>
      </c>
      <c r="D469" t="inlineStr">
        <is>
          <t>SKÅNE LÄN</t>
        </is>
      </c>
      <c r="E469" t="inlineStr">
        <is>
          <t>HÄSSLEHOLM</t>
        </is>
      </c>
      <c r="G469" t="n">
        <v>2.5</v>
      </c>
      <c r="H469" t="n">
        <v>0</v>
      </c>
      <c r="I469" t="n">
        <v>0</v>
      </c>
      <c r="J469" t="n">
        <v>0</v>
      </c>
      <c r="K469" t="n">
        <v>0</v>
      </c>
      <c r="L469" t="n">
        <v>0</v>
      </c>
      <c r="M469" t="n">
        <v>0</v>
      </c>
      <c r="N469" t="n">
        <v>0</v>
      </c>
      <c r="O469" t="n">
        <v>0</v>
      </c>
      <c r="P469" t="n">
        <v>0</v>
      </c>
      <c r="Q469" t="n">
        <v>0</v>
      </c>
      <c r="R469" s="2" t="inlineStr"/>
    </row>
    <row r="470" ht="15" customHeight="1">
      <c r="A470" t="inlineStr">
        <is>
          <t>A 25176-2024</t>
        </is>
      </c>
      <c r="B470" s="1" t="n">
        <v>45462.54582175926</v>
      </c>
      <c r="C470" s="1" t="n">
        <v>46172</v>
      </c>
      <c r="D470" t="inlineStr">
        <is>
          <t>SKÅNE LÄN</t>
        </is>
      </c>
      <c r="E470" t="inlineStr">
        <is>
          <t>HÄSSLEHOLM</t>
        </is>
      </c>
      <c r="G470" t="n">
        <v>3.8</v>
      </c>
      <c r="H470" t="n">
        <v>0</v>
      </c>
      <c r="I470" t="n">
        <v>0</v>
      </c>
      <c r="J470" t="n">
        <v>0</v>
      </c>
      <c r="K470" t="n">
        <v>0</v>
      </c>
      <c r="L470" t="n">
        <v>0</v>
      </c>
      <c r="M470" t="n">
        <v>0</v>
      </c>
      <c r="N470" t="n">
        <v>0</v>
      </c>
      <c r="O470" t="n">
        <v>0</v>
      </c>
      <c r="P470" t="n">
        <v>0</v>
      </c>
      <c r="Q470" t="n">
        <v>0</v>
      </c>
      <c r="R470" s="2" t="inlineStr"/>
    </row>
    <row r="471" ht="15" customHeight="1">
      <c r="A471" t="inlineStr">
        <is>
          <t>A 44741-2023</t>
        </is>
      </c>
      <c r="B471" s="1" t="n">
        <v>45190.38804398148</v>
      </c>
      <c r="C471" s="1" t="n">
        <v>46172</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7476-2025</t>
        </is>
      </c>
      <c r="B472" s="1" t="n">
        <v>45702</v>
      </c>
      <c r="C472" s="1" t="n">
        <v>46172</v>
      </c>
      <c r="D472" t="inlineStr">
        <is>
          <t>SKÅNE LÄN</t>
        </is>
      </c>
      <c r="E472" t="inlineStr">
        <is>
          <t>HÄSSLEHOLM</t>
        </is>
      </c>
      <c r="F472" t="inlineStr">
        <is>
          <t>Övriga Aktiebolag</t>
        </is>
      </c>
      <c r="G472" t="n">
        <v>2.1</v>
      </c>
      <c r="H472" t="n">
        <v>0</v>
      </c>
      <c r="I472" t="n">
        <v>0</v>
      </c>
      <c r="J472" t="n">
        <v>0</v>
      </c>
      <c r="K472" t="n">
        <v>0</v>
      </c>
      <c r="L472" t="n">
        <v>0</v>
      </c>
      <c r="M472" t="n">
        <v>0</v>
      </c>
      <c r="N472" t="n">
        <v>0</v>
      </c>
      <c r="O472" t="n">
        <v>0</v>
      </c>
      <c r="P472" t="n">
        <v>0</v>
      </c>
      <c r="Q472" t="n">
        <v>0</v>
      </c>
      <c r="R472" s="2" t="inlineStr"/>
    </row>
    <row r="473" ht="15" customHeight="1">
      <c r="A473" t="inlineStr">
        <is>
          <t>A 7513-2025</t>
        </is>
      </c>
      <c r="B473" s="1" t="n">
        <v>45702</v>
      </c>
      <c r="C473" s="1" t="n">
        <v>46172</v>
      </c>
      <c r="D473" t="inlineStr">
        <is>
          <t>SKÅNE LÄN</t>
        </is>
      </c>
      <c r="E473" t="inlineStr">
        <is>
          <t>HÄSSLEHOLM</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39934-2025</t>
        </is>
      </c>
      <c r="B474" s="1" t="n">
        <v>45891.71465277778</v>
      </c>
      <c r="C474" s="1" t="n">
        <v>46172</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31161-2024</t>
        </is>
      </c>
      <c r="B475" s="1" t="n">
        <v>45503</v>
      </c>
      <c r="C475" s="1" t="n">
        <v>46172</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45398-2024</t>
        </is>
      </c>
      <c r="B476" s="1" t="n">
        <v>45576.56260416667</v>
      </c>
      <c r="C476" s="1" t="n">
        <v>46172</v>
      </c>
      <c r="D476" t="inlineStr">
        <is>
          <t>SKÅNE LÄN</t>
        </is>
      </c>
      <c r="E476" t="inlineStr">
        <is>
          <t>HÄSSLEHOLM</t>
        </is>
      </c>
      <c r="G476" t="n">
        <v>4.2</v>
      </c>
      <c r="H476" t="n">
        <v>0</v>
      </c>
      <c r="I476" t="n">
        <v>0</v>
      </c>
      <c r="J476" t="n">
        <v>0</v>
      </c>
      <c r="K476" t="n">
        <v>0</v>
      </c>
      <c r="L476" t="n">
        <v>0</v>
      </c>
      <c r="M476" t="n">
        <v>0</v>
      </c>
      <c r="N476" t="n">
        <v>0</v>
      </c>
      <c r="O476" t="n">
        <v>0</v>
      </c>
      <c r="P476" t="n">
        <v>0</v>
      </c>
      <c r="Q476" t="n">
        <v>0</v>
      </c>
      <c r="R476" s="2" t="inlineStr"/>
    </row>
    <row r="477" ht="15" customHeight="1">
      <c r="A477" t="inlineStr">
        <is>
          <t>A 4140-2023</t>
        </is>
      </c>
      <c r="B477" s="1" t="n">
        <v>44953</v>
      </c>
      <c r="C477" s="1" t="n">
        <v>46172</v>
      </c>
      <c r="D477" t="inlineStr">
        <is>
          <t>SKÅNE LÄN</t>
        </is>
      </c>
      <c r="E477" t="inlineStr">
        <is>
          <t>HÄSSLEHOLM</t>
        </is>
      </c>
      <c r="G477" t="n">
        <v>10.6</v>
      </c>
      <c r="H477" t="n">
        <v>0</v>
      </c>
      <c r="I477" t="n">
        <v>0</v>
      </c>
      <c r="J477" t="n">
        <v>0</v>
      </c>
      <c r="K477" t="n">
        <v>0</v>
      </c>
      <c r="L477" t="n">
        <v>0</v>
      </c>
      <c r="M477" t="n">
        <v>0</v>
      </c>
      <c r="N477" t="n">
        <v>0</v>
      </c>
      <c r="O477" t="n">
        <v>0</v>
      </c>
      <c r="P477" t="n">
        <v>0</v>
      </c>
      <c r="Q477" t="n">
        <v>0</v>
      </c>
      <c r="R477" s="2" t="inlineStr"/>
    </row>
    <row r="478" ht="15" customHeight="1">
      <c r="A478" t="inlineStr">
        <is>
          <t>A 22157-2024</t>
        </is>
      </c>
      <c r="B478" s="1" t="n">
        <v>45445.85290509259</v>
      </c>
      <c r="C478" s="1" t="n">
        <v>46172</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39457-2025</t>
        </is>
      </c>
      <c r="B479" s="1" t="n">
        <v>45889.76887731482</v>
      </c>
      <c r="C479" s="1" t="n">
        <v>46172</v>
      </c>
      <c r="D479" t="inlineStr">
        <is>
          <t>SKÅNE LÄN</t>
        </is>
      </c>
      <c r="E479" t="inlineStr">
        <is>
          <t>HÄSSLEHOLM</t>
        </is>
      </c>
      <c r="G479" t="n">
        <v>6.6</v>
      </c>
      <c r="H479" t="n">
        <v>0</v>
      </c>
      <c r="I479" t="n">
        <v>0</v>
      </c>
      <c r="J479" t="n">
        <v>0</v>
      </c>
      <c r="K479" t="n">
        <v>0</v>
      </c>
      <c r="L479" t="n">
        <v>0</v>
      </c>
      <c r="M479" t="n">
        <v>0</v>
      </c>
      <c r="N479" t="n">
        <v>0</v>
      </c>
      <c r="O479" t="n">
        <v>0</v>
      </c>
      <c r="P479" t="n">
        <v>0</v>
      </c>
      <c r="Q479" t="n">
        <v>0</v>
      </c>
      <c r="R479" s="2" t="inlineStr"/>
    </row>
    <row r="480" ht="15" customHeight="1">
      <c r="A480" t="inlineStr">
        <is>
          <t>A 13316-2023</t>
        </is>
      </c>
      <c r="B480" s="1" t="n">
        <v>45005.39013888889</v>
      </c>
      <c r="C480" s="1" t="n">
        <v>46172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13358-2023</t>
        </is>
      </c>
      <c r="B481" s="1" t="n">
        <v>45005</v>
      </c>
      <c r="C481" s="1" t="n">
        <v>46172</v>
      </c>
      <c r="D481" t="inlineStr">
        <is>
          <t>SKÅNE LÄN</t>
        </is>
      </c>
      <c r="E481" t="inlineStr">
        <is>
          <t>HÄSSLEHOLM</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50000-2023</t>
        </is>
      </c>
      <c r="B482" s="1" t="n">
        <v>45215.4434837963</v>
      </c>
      <c r="C482" s="1" t="n">
        <v>46172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39937-2025</t>
        </is>
      </c>
      <c r="B483" s="1" t="n">
        <v>45891.73162037037</v>
      </c>
      <c r="C483" s="1" t="n">
        <v>46172</v>
      </c>
      <c r="D483" t="inlineStr">
        <is>
          <t>SKÅNE LÄN</t>
        </is>
      </c>
      <c r="E483" t="inlineStr">
        <is>
          <t>HÄSSLEHOLM</t>
        </is>
      </c>
      <c r="G483" t="n">
        <v>4.5</v>
      </c>
      <c r="H483" t="n">
        <v>0</v>
      </c>
      <c r="I483" t="n">
        <v>0</v>
      </c>
      <c r="J483" t="n">
        <v>0</v>
      </c>
      <c r="K483" t="n">
        <v>0</v>
      </c>
      <c r="L483" t="n">
        <v>0</v>
      </c>
      <c r="M483" t="n">
        <v>0</v>
      </c>
      <c r="N483" t="n">
        <v>0</v>
      </c>
      <c r="O483" t="n">
        <v>0</v>
      </c>
      <c r="P483" t="n">
        <v>0</v>
      </c>
      <c r="Q483" t="n">
        <v>0</v>
      </c>
      <c r="R483" s="2" t="inlineStr"/>
    </row>
    <row r="484" ht="15" customHeight="1">
      <c r="A484" t="inlineStr">
        <is>
          <t>A 3245-2022</t>
        </is>
      </c>
      <c r="B484" s="1" t="n">
        <v>44583.39136574074</v>
      </c>
      <c r="C484" s="1" t="n">
        <v>46172</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417-2022</t>
        </is>
      </c>
      <c r="B485" s="1" t="n">
        <v>44565.84615740741</v>
      </c>
      <c r="C485" s="1" t="n">
        <v>46172</v>
      </c>
      <c r="D485" t="inlineStr">
        <is>
          <t>SKÅNE LÄN</t>
        </is>
      </c>
      <c r="E485" t="inlineStr">
        <is>
          <t>HÄSSLEHOLM</t>
        </is>
      </c>
      <c r="G485" t="n">
        <v>0</v>
      </c>
      <c r="H485" t="n">
        <v>0</v>
      </c>
      <c r="I485" t="n">
        <v>0</v>
      </c>
      <c r="J485" t="n">
        <v>0</v>
      </c>
      <c r="K485" t="n">
        <v>0</v>
      </c>
      <c r="L485" t="n">
        <v>0</v>
      </c>
      <c r="M485" t="n">
        <v>0</v>
      </c>
      <c r="N485" t="n">
        <v>0</v>
      </c>
      <c r="O485" t="n">
        <v>0</v>
      </c>
      <c r="P485" t="n">
        <v>0</v>
      </c>
      <c r="Q485" t="n">
        <v>0</v>
      </c>
      <c r="R485" s="2" t="inlineStr"/>
    </row>
    <row r="486" ht="15" customHeight="1">
      <c r="A486" t="inlineStr">
        <is>
          <t>A 51040-2024</t>
        </is>
      </c>
      <c r="B486" s="1" t="n">
        <v>45603.43222222223</v>
      </c>
      <c r="C486" s="1" t="n">
        <v>46172</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50249-2024</t>
        </is>
      </c>
      <c r="B487" s="1" t="n">
        <v>45600.56866898148</v>
      </c>
      <c r="C487" s="1" t="n">
        <v>46172</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38228-2021</t>
        </is>
      </c>
      <c r="B488" s="1" t="n">
        <v>44405</v>
      </c>
      <c r="C488" s="1" t="n">
        <v>46172</v>
      </c>
      <c r="D488" t="inlineStr">
        <is>
          <t>SKÅNE LÄN</t>
        </is>
      </c>
      <c r="E488" t="inlineStr">
        <is>
          <t>HÄSSLEHOLM</t>
        </is>
      </c>
      <c r="G488" t="n">
        <v>2.8</v>
      </c>
      <c r="H488" t="n">
        <v>0</v>
      </c>
      <c r="I488" t="n">
        <v>0</v>
      </c>
      <c r="J488" t="n">
        <v>0</v>
      </c>
      <c r="K488" t="n">
        <v>0</v>
      </c>
      <c r="L488" t="n">
        <v>0</v>
      </c>
      <c r="M488" t="n">
        <v>0</v>
      </c>
      <c r="N488" t="n">
        <v>0</v>
      </c>
      <c r="O488" t="n">
        <v>0</v>
      </c>
      <c r="P488" t="n">
        <v>0</v>
      </c>
      <c r="Q488" t="n">
        <v>0</v>
      </c>
      <c r="R488" s="2" t="inlineStr"/>
    </row>
    <row r="489" ht="15" customHeight="1">
      <c r="A489" t="inlineStr">
        <is>
          <t>A 54326-2022</t>
        </is>
      </c>
      <c r="B489" s="1" t="n">
        <v>44882.42965277778</v>
      </c>
      <c r="C489" s="1" t="n">
        <v>46172</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54174-2022</t>
        </is>
      </c>
      <c r="B490" s="1" t="n">
        <v>44881</v>
      </c>
      <c r="C490" s="1" t="n">
        <v>46172</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3248-2022</t>
        </is>
      </c>
      <c r="B491" s="1" t="n">
        <v>44583</v>
      </c>
      <c r="C491" s="1" t="n">
        <v>46172</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38376-2022</t>
        </is>
      </c>
      <c r="B492" s="1" t="n">
        <v>44812</v>
      </c>
      <c r="C492" s="1" t="n">
        <v>46172</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9555-2025</t>
        </is>
      </c>
      <c r="B493" s="1" t="n">
        <v>45714</v>
      </c>
      <c r="C493" s="1" t="n">
        <v>46172</v>
      </c>
      <c r="D493" t="inlineStr">
        <is>
          <t>SKÅNE LÄN</t>
        </is>
      </c>
      <c r="E493" t="inlineStr">
        <is>
          <t>HÄSSLEHOLM</t>
        </is>
      </c>
      <c r="G493" t="n">
        <v>5.4</v>
      </c>
      <c r="H493" t="n">
        <v>0</v>
      </c>
      <c r="I493" t="n">
        <v>0</v>
      </c>
      <c r="J493" t="n">
        <v>0</v>
      </c>
      <c r="K493" t="n">
        <v>0</v>
      </c>
      <c r="L493" t="n">
        <v>0</v>
      </c>
      <c r="M493" t="n">
        <v>0</v>
      </c>
      <c r="N493" t="n">
        <v>0</v>
      </c>
      <c r="O493" t="n">
        <v>0</v>
      </c>
      <c r="P493" t="n">
        <v>0</v>
      </c>
      <c r="Q493" t="n">
        <v>0</v>
      </c>
      <c r="R493" s="2" t="inlineStr"/>
    </row>
    <row r="494" ht="15" customHeight="1">
      <c r="A494" t="inlineStr">
        <is>
          <t>A 25538-2024</t>
        </is>
      </c>
      <c r="B494" s="1" t="n">
        <v>45463</v>
      </c>
      <c r="C494" s="1" t="n">
        <v>46172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40241-2025</t>
        </is>
      </c>
      <c r="B495" s="1" t="n">
        <v>45894.87251157407</v>
      </c>
      <c r="C495" s="1" t="n">
        <v>46172</v>
      </c>
      <c r="D495" t="inlineStr">
        <is>
          <t>SKÅNE LÄN</t>
        </is>
      </c>
      <c r="E495" t="inlineStr">
        <is>
          <t>HÄSSLEHOLM</t>
        </is>
      </c>
      <c r="G495" t="n">
        <v>3.8</v>
      </c>
      <c r="H495" t="n">
        <v>0</v>
      </c>
      <c r="I495" t="n">
        <v>0</v>
      </c>
      <c r="J495" t="n">
        <v>0</v>
      </c>
      <c r="K495" t="n">
        <v>0</v>
      </c>
      <c r="L495" t="n">
        <v>0</v>
      </c>
      <c r="M495" t="n">
        <v>0</v>
      </c>
      <c r="N495" t="n">
        <v>0</v>
      </c>
      <c r="O495" t="n">
        <v>0</v>
      </c>
      <c r="P495" t="n">
        <v>0</v>
      </c>
      <c r="Q495" t="n">
        <v>0</v>
      </c>
      <c r="R495" s="2" t="inlineStr"/>
    </row>
    <row r="496" ht="15" customHeight="1">
      <c r="A496" t="inlineStr">
        <is>
          <t>A 54659-2023</t>
        </is>
      </c>
      <c r="B496" s="1" t="n">
        <v>45235</v>
      </c>
      <c r="C496" s="1" t="n">
        <v>46172</v>
      </c>
      <c r="D496" t="inlineStr">
        <is>
          <t>SKÅNE LÄN</t>
        </is>
      </c>
      <c r="E496" t="inlineStr">
        <is>
          <t>HÄSSLEHOLM</t>
        </is>
      </c>
      <c r="G496" t="n">
        <v>5</v>
      </c>
      <c r="H496" t="n">
        <v>0</v>
      </c>
      <c r="I496" t="n">
        <v>0</v>
      </c>
      <c r="J496" t="n">
        <v>0</v>
      </c>
      <c r="K496" t="n">
        <v>0</v>
      </c>
      <c r="L496" t="n">
        <v>0</v>
      </c>
      <c r="M496" t="n">
        <v>0</v>
      </c>
      <c r="N496" t="n">
        <v>0</v>
      </c>
      <c r="O496" t="n">
        <v>0</v>
      </c>
      <c r="P496" t="n">
        <v>0</v>
      </c>
      <c r="Q496" t="n">
        <v>0</v>
      </c>
      <c r="R496" s="2" t="inlineStr"/>
    </row>
    <row r="497" ht="15" customHeight="1">
      <c r="A497" t="inlineStr">
        <is>
          <t>A 36733-2023</t>
        </is>
      </c>
      <c r="B497" s="1" t="n">
        <v>45153.69989583334</v>
      </c>
      <c r="C497" s="1" t="n">
        <v>46172</v>
      </c>
      <c r="D497" t="inlineStr">
        <is>
          <t>SKÅNE LÄN</t>
        </is>
      </c>
      <c r="E497" t="inlineStr">
        <is>
          <t>HÄSSLEHOLM</t>
        </is>
      </c>
      <c r="G497" t="n">
        <v>4.8</v>
      </c>
      <c r="H497" t="n">
        <v>0</v>
      </c>
      <c r="I497" t="n">
        <v>0</v>
      </c>
      <c r="J497" t="n">
        <v>0</v>
      </c>
      <c r="K497" t="n">
        <v>0</v>
      </c>
      <c r="L497" t="n">
        <v>0</v>
      </c>
      <c r="M497" t="n">
        <v>0</v>
      </c>
      <c r="N497" t="n">
        <v>0</v>
      </c>
      <c r="O497" t="n">
        <v>0</v>
      </c>
      <c r="P497" t="n">
        <v>0</v>
      </c>
      <c r="Q497" t="n">
        <v>0</v>
      </c>
      <c r="R497" s="2" t="inlineStr"/>
    </row>
    <row r="498" ht="15" customHeight="1">
      <c r="A498" t="inlineStr">
        <is>
          <t>A 15036-2024</t>
        </is>
      </c>
      <c r="B498" s="1" t="n">
        <v>45399.48100694444</v>
      </c>
      <c r="C498" s="1" t="n">
        <v>46172</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60509-2023</t>
        </is>
      </c>
      <c r="B499" s="1" t="n">
        <v>45259</v>
      </c>
      <c r="C499" s="1" t="n">
        <v>46172</v>
      </c>
      <c r="D499" t="inlineStr">
        <is>
          <t>SKÅNE LÄN</t>
        </is>
      </c>
      <c r="E499" t="inlineStr">
        <is>
          <t>HÄSSLEHOLM</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9709-2023</t>
        </is>
      </c>
      <c r="B500" s="1" t="n">
        <v>44984.48376157408</v>
      </c>
      <c r="C500" s="1" t="n">
        <v>46172</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1562-2023</t>
        </is>
      </c>
      <c r="B501" s="1" t="n">
        <v>44937.60450231482</v>
      </c>
      <c r="C501" s="1" t="n">
        <v>46172</v>
      </c>
      <c r="D501" t="inlineStr">
        <is>
          <t>SKÅNE LÄN</t>
        </is>
      </c>
      <c r="E501" t="inlineStr">
        <is>
          <t>HÄSSLEHOLM</t>
        </is>
      </c>
      <c r="G501" t="n">
        <v>2.7</v>
      </c>
      <c r="H501" t="n">
        <v>0</v>
      </c>
      <c r="I501" t="n">
        <v>0</v>
      </c>
      <c r="J501" t="n">
        <v>0</v>
      </c>
      <c r="K501" t="n">
        <v>0</v>
      </c>
      <c r="L501" t="n">
        <v>0</v>
      </c>
      <c r="M501" t="n">
        <v>0</v>
      </c>
      <c r="N501" t="n">
        <v>0</v>
      </c>
      <c r="O501" t="n">
        <v>0</v>
      </c>
      <c r="P501" t="n">
        <v>0</v>
      </c>
      <c r="Q501" t="n">
        <v>0</v>
      </c>
      <c r="R501" s="2" t="inlineStr"/>
    </row>
    <row r="502" ht="15" customHeight="1">
      <c r="A502" t="inlineStr">
        <is>
          <t>A 45220-2023</t>
        </is>
      </c>
      <c r="B502" s="1" t="n">
        <v>45191</v>
      </c>
      <c r="C502" s="1" t="n">
        <v>46172</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9615-2025</t>
        </is>
      </c>
      <c r="B503" s="1" t="n">
        <v>45715</v>
      </c>
      <c r="C503" s="1" t="n">
        <v>46172</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32967-2023</t>
        </is>
      </c>
      <c r="B504" s="1" t="n">
        <v>45125</v>
      </c>
      <c r="C504" s="1" t="n">
        <v>46172</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32968-2023</t>
        </is>
      </c>
      <c r="B505" s="1" t="n">
        <v>45125</v>
      </c>
      <c r="C505" s="1" t="n">
        <v>46172</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10277-2023</t>
        </is>
      </c>
      <c r="B506" s="1" t="n">
        <v>44986</v>
      </c>
      <c r="C506" s="1" t="n">
        <v>46172</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10290-2023</t>
        </is>
      </c>
      <c r="B507" s="1" t="n">
        <v>44986</v>
      </c>
      <c r="C507" s="1" t="n">
        <v>46172</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8524-2024</t>
        </is>
      </c>
      <c r="B508" s="1" t="n">
        <v>45355.48570601852</v>
      </c>
      <c r="C508" s="1" t="n">
        <v>46172</v>
      </c>
      <c r="D508" t="inlineStr">
        <is>
          <t>SKÅNE LÄN</t>
        </is>
      </c>
      <c r="E508" t="inlineStr">
        <is>
          <t>HÄSSLEHOLM</t>
        </is>
      </c>
      <c r="G508" t="n">
        <v>4</v>
      </c>
      <c r="H508" t="n">
        <v>0</v>
      </c>
      <c r="I508" t="n">
        <v>0</v>
      </c>
      <c r="J508" t="n">
        <v>0</v>
      </c>
      <c r="K508" t="n">
        <v>0</v>
      </c>
      <c r="L508" t="n">
        <v>0</v>
      </c>
      <c r="M508" t="n">
        <v>0</v>
      </c>
      <c r="N508" t="n">
        <v>0</v>
      </c>
      <c r="O508" t="n">
        <v>0</v>
      </c>
      <c r="P508" t="n">
        <v>0</v>
      </c>
      <c r="Q508" t="n">
        <v>0</v>
      </c>
      <c r="R508" s="2" t="inlineStr"/>
    </row>
    <row r="509" ht="15" customHeight="1">
      <c r="A509" t="inlineStr">
        <is>
          <t>A 59030-2024</t>
        </is>
      </c>
      <c r="B509" s="1" t="n">
        <v>45636.68916666666</v>
      </c>
      <c r="C509" s="1" t="n">
        <v>46172</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48663-2024</t>
        </is>
      </c>
      <c r="B510" s="1" t="n">
        <v>45593.48892361111</v>
      </c>
      <c r="C510" s="1" t="n">
        <v>46172</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23987-2024</t>
        </is>
      </c>
      <c r="B511" s="1" t="n">
        <v>45456</v>
      </c>
      <c r="C511" s="1" t="n">
        <v>46172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4042-2023</t>
        </is>
      </c>
      <c r="B512" s="1" t="n">
        <v>44952.59950231481</v>
      </c>
      <c r="C512" s="1" t="n">
        <v>46172</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35237-2023</t>
        </is>
      </c>
      <c r="B513" s="1" t="n">
        <v>45145.74532407407</v>
      </c>
      <c r="C513" s="1" t="n">
        <v>46172</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31160-2024</t>
        </is>
      </c>
      <c r="B514" s="1" t="n">
        <v>45503</v>
      </c>
      <c r="C514" s="1" t="n">
        <v>46172</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5054-2022</t>
        </is>
      </c>
      <c r="B515" s="1" t="n">
        <v>44593.69065972222</v>
      </c>
      <c r="C515" s="1" t="n">
        <v>46172</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31391-2023</t>
        </is>
      </c>
      <c r="B516" s="1" t="n">
        <v>45114.56143518518</v>
      </c>
      <c r="C516" s="1" t="n">
        <v>46172</v>
      </c>
      <c r="D516" t="inlineStr">
        <is>
          <t>SKÅNE LÄN</t>
        </is>
      </c>
      <c r="E516" t="inlineStr">
        <is>
          <t>HÄSSLEHOLM</t>
        </is>
      </c>
      <c r="G516" t="n">
        <v>3.1</v>
      </c>
      <c r="H516" t="n">
        <v>0</v>
      </c>
      <c r="I516" t="n">
        <v>0</v>
      </c>
      <c r="J516" t="n">
        <v>0</v>
      </c>
      <c r="K516" t="n">
        <v>0</v>
      </c>
      <c r="L516" t="n">
        <v>0</v>
      </c>
      <c r="M516" t="n">
        <v>0</v>
      </c>
      <c r="N516" t="n">
        <v>0</v>
      </c>
      <c r="O516" t="n">
        <v>0</v>
      </c>
      <c r="P516" t="n">
        <v>0</v>
      </c>
      <c r="Q516" t="n">
        <v>0</v>
      </c>
      <c r="R516" s="2" t="inlineStr"/>
    </row>
    <row r="517" ht="15" customHeight="1">
      <c r="A517" t="inlineStr">
        <is>
          <t>A 23723-2023</t>
        </is>
      </c>
      <c r="B517" s="1" t="n">
        <v>45077</v>
      </c>
      <c r="C517" s="1" t="n">
        <v>46172</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57967-2023</t>
        </is>
      </c>
      <c r="B518" s="1" t="n">
        <v>45247.57984953704</v>
      </c>
      <c r="C518" s="1" t="n">
        <v>46172</v>
      </c>
      <c r="D518" t="inlineStr">
        <is>
          <t>SKÅNE LÄN</t>
        </is>
      </c>
      <c r="E518" t="inlineStr">
        <is>
          <t>HÄSSLEHOLM</t>
        </is>
      </c>
      <c r="G518" t="n">
        <v>8.6</v>
      </c>
      <c r="H518" t="n">
        <v>0</v>
      </c>
      <c r="I518" t="n">
        <v>0</v>
      </c>
      <c r="J518" t="n">
        <v>0</v>
      </c>
      <c r="K518" t="n">
        <v>0</v>
      </c>
      <c r="L518" t="n">
        <v>0</v>
      </c>
      <c r="M518" t="n">
        <v>0</v>
      </c>
      <c r="N518" t="n">
        <v>0</v>
      </c>
      <c r="O518" t="n">
        <v>0</v>
      </c>
      <c r="P518" t="n">
        <v>0</v>
      </c>
      <c r="Q518" t="n">
        <v>0</v>
      </c>
      <c r="R518" s="2" t="inlineStr"/>
    </row>
    <row r="519" ht="15" customHeight="1">
      <c r="A519" t="inlineStr">
        <is>
          <t>A 62041-2022</t>
        </is>
      </c>
      <c r="B519" s="1" t="n">
        <v>44918.55743055556</v>
      </c>
      <c r="C519" s="1" t="n">
        <v>46172</v>
      </c>
      <c r="D519" t="inlineStr">
        <is>
          <t>SKÅNE LÄN</t>
        </is>
      </c>
      <c r="E519" t="inlineStr">
        <is>
          <t>HÄSSLEHOLM</t>
        </is>
      </c>
      <c r="G519" t="n">
        <v>2.8</v>
      </c>
      <c r="H519" t="n">
        <v>0</v>
      </c>
      <c r="I519" t="n">
        <v>0</v>
      </c>
      <c r="J519" t="n">
        <v>0</v>
      </c>
      <c r="K519" t="n">
        <v>0</v>
      </c>
      <c r="L519" t="n">
        <v>0</v>
      </c>
      <c r="M519" t="n">
        <v>0</v>
      </c>
      <c r="N519" t="n">
        <v>0</v>
      </c>
      <c r="O519" t="n">
        <v>0</v>
      </c>
      <c r="P519" t="n">
        <v>0</v>
      </c>
      <c r="Q519" t="n">
        <v>0</v>
      </c>
      <c r="R519" s="2" t="inlineStr"/>
    </row>
    <row r="520" ht="15" customHeight="1">
      <c r="A520" t="inlineStr">
        <is>
          <t>A 31933-2024</t>
        </is>
      </c>
      <c r="B520" s="1" t="n">
        <v>45510.41123842593</v>
      </c>
      <c r="C520" s="1" t="n">
        <v>46172</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31581-2023</t>
        </is>
      </c>
      <c r="B521" s="1" t="n">
        <v>45117.45165509259</v>
      </c>
      <c r="C521" s="1" t="n">
        <v>46172</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7153-2025</t>
        </is>
      </c>
      <c r="B522" s="1" t="n">
        <v>45702.38512731482</v>
      </c>
      <c r="C522" s="1" t="n">
        <v>46172</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12468-2024</t>
        </is>
      </c>
      <c r="B523" s="1" t="n">
        <v>45379</v>
      </c>
      <c r="C523" s="1" t="n">
        <v>46172</v>
      </c>
      <c r="D523" t="inlineStr">
        <is>
          <t>SKÅNE LÄN</t>
        </is>
      </c>
      <c r="E523" t="inlineStr">
        <is>
          <t>HÄSSLEHOLM</t>
        </is>
      </c>
      <c r="G523" t="n">
        <v>15.5</v>
      </c>
      <c r="H523" t="n">
        <v>0</v>
      </c>
      <c r="I523" t="n">
        <v>0</v>
      </c>
      <c r="J523" t="n">
        <v>0</v>
      </c>
      <c r="K523" t="n">
        <v>0</v>
      </c>
      <c r="L523" t="n">
        <v>0</v>
      </c>
      <c r="M523" t="n">
        <v>0</v>
      </c>
      <c r="N523" t="n">
        <v>0</v>
      </c>
      <c r="O523" t="n">
        <v>0</v>
      </c>
      <c r="P523" t="n">
        <v>0</v>
      </c>
      <c r="Q523" t="n">
        <v>0</v>
      </c>
      <c r="R523" s="2" t="inlineStr"/>
    </row>
    <row r="524" ht="15" customHeight="1">
      <c r="A524" t="inlineStr">
        <is>
          <t>A 55303-2024</t>
        </is>
      </c>
      <c r="B524" s="1" t="n">
        <v>45621.6434837963</v>
      </c>
      <c r="C524" s="1" t="n">
        <v>46172</v>
      </c>
      <c r="D524" t="inlineStr">
        <is>
          <t>SKÅNE LÄN</t>
        </is>
      </c>
      <c r="E524" t="inlineStr">
        <is>
          <t>HÄSSLEHOLM</t>
        </is>
      </c>
      <c r="G524" t="n">
        <v>3.3</v>
      </c>
      <c r="H524" t="n">
        <v>0</v>
      </c>
      <c r="I524" t="n">
        <v>0</v>
      </c>
      <c r="J524" t="n">
        <v>0</v>
      </c>
      <c r="K524" t="n">
        <v>0</v>
      </c>
      <c r="L524" t="n">
        <v>0</v>
      </c>
      <c r="M524" t="n">
        <v>0</v>
      </c>
      <c r="N524" t="n">
        <v>0</v>
      </c>
      <c r="O524" t="n">
        <v>0</v>
      </c>
      <c r="P524" t="n">
        <v>0</v>
      </c>
      <c r="Q524" t="n">
        <v>0</v>
      </c>
      <c r="R524" s="2" t="inlineStr"/>
    </row>
    <row r="525" ht="15" customHeight="1">
      <c r="A525" t="inlineStr">
        <is>
          <t>A 1553-2023</t>
        </is>
      </c>
      <c r="B525" s="1" t="n">
        <v>44937</v>
      </c>
      <c r="C525" s="1" t="n">
        <v>46172</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41400-2025</t>
        </is>
      </c>
      <c r="B526" s="1" t="n">
        <v>45901</v>
      </c>
      <c r="C526" s="1" t="n">
        <v>46172</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22690-2022</t>
        </is>
      </c>
      <c r="B527" s="1" t="n">
        <v>44714.5421875</v>
      </c>
      <c r="C527" s="1" t="n">
        <v>46172</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40202-2022</t>
        </is>
      </c>
      <c r="B528" s="1" t="n">
        <v>44820.60614583334</v>
      </c>
      <c r="C528" s="1" t="n">
        <v>46172</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41401-2025</t>
        </is>
      </c>
      <c r="B529" s="1" t="n">
        <v>45901</v>
      </c>
      <c r="C529" s="1" t="n">
        <v>46172</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53897-2023</t>
        </is>
      </c>
      <c r="B530" s="1" t="n">
        <v>45231.53934027778</v>
      </c>
      <c r="C530" s="1" t="n">
        <v>46172</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1170-2025</t>
        </is>
      </c>
      <c r="B531" s="1" t="n">
        <v>45667.29226851852</v>
      </c>
      <c r="C531" s="1" t="n">
        <v>46172</v>
      </c>
      <c r="D531" t="inlineStr">
        <is>
          <t>SKÅNE LÄN</t>
        </is>
      </c>
      <c r="E531" t="inlineStr">
        <is>
          <t>HÄSSLEHOLM</t>
        </is>
      </c>
      <c r="G531" t="n">
        <v>4.3</v>
      </c>
      <c r="H531" t="n">
        <v>0</v>
      </c>
      <c r="I531" t="n">
        <v>0</v>
      </c>
      <c r="J531" t="n">
        <v>0</v>
      </c>
      <c r="K531" t="n">
        <v>0</v>
      </c>
      <c r="L531" t="n">
        <v>0</v>
      </c>
      <c r="M531" t="n">
        <v>0</v>
      </c>
      <c r="N531" t="n">
        <v>0</v>
      </c>
      <c r="O531" t="n">
        <v>0</v>
      </c>
      <c r="P531" t="n">
        <v>0</v>
      </c>
      <c r="Q531" t="n">
        <v>0</v>
      </c>
      <c r="R531" s="2" t="inlineStr"/>
    </row>
    <row r="532" ht="15" customHeight="1">
      <c r="A532" t="inlineStr">
        <is>
          <t>A 4382-2023</t>
        </is>
      </c>
      <c r="B532" s="1" t="n">
        <v>44955.61152777778</v>
      </c>
      <c r="C532" s="1" t="n">
        <v>46172</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22132-2024</t>
        </is>
      </c>
      <c r="B533" s="1" t="n">
        <v>45444.37234953704</v>
      </c>
      <c r="C533" s="1" t="n">
        <v>46172</v>
      </c>
      <c r="D533" t="inlineStr">
        <is>
          <t>SKÅNE LÄN</t>
        </is>
      </c>
      <c r="E533" t="inlineStr">
        <is>
          <t>HÄSSLEHOLM</t>
        </is>
      </c>
      <c r="G533" t="n">
        <v>3.1</v>
      </c>
      <c r="H533" t="n">
        <v>0</v>
      </c>
      <c r="I533" t="n">
        <v>0</v>
      </c>
      <c r="J533" t="n">
        <v>0</v>
      </c>
      <c r="K533" t="n">
        <v>0</v>
      </c>
      <c r="L533" t="n">
        <v>0</v>
      </c>
      <c r="M533" t="n">
        <v>0</v>
      </c>
      <c r="N533" t="n">
        <v>0</v>
      </c>
      <c r="O533" t="n">
        <v>0</v>
      </c>
      <c r="P533" t="n">
        <v>0</v>
      </c>
      <c r="Q533" t="n">
        <v>0</v>
      </c>
      <c r="R533" s="2" t="inlineStr"/>
    </row>
    <row r="534" ht="15" customHeight="1">
      <c r="A534" t="inlineStr">
        <is>
          <t>A 48771-2024</t>
        </is>
      </c>
      <c r="B534" s="1" t="n">
        <v>45593.61284722222</v>
      </c>
      <c r="C534" s="1" t="n">
        <v>46172</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12344-2023</t>
        </is>
      </c>
      <c r="B535" s="1" t="n">
        <v>44999</v>
      </c>
      <c r="C535" s="1" t="n">
        <v>46172</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52608-2023</t>
        </is>
      </c>
      <c r="B536" s="1" t="n">
        <v>45219</v>
      </c>
      <c r="C536" s="1" t="n">
        <v>46172</v>
      </c>
      <c r="D536" t="inlineStr">
        <is>
          <t>SKÅNE LÄN</t>
        </is>
      </c>
      <c r="E536" t="inlineStr">
        <is>
          <t>HÄSSLEHOLM</t>
        </is>
      </c>
      <c r="F536" t="inlineStr">
        <is>
          <t>Övriga Aktiebolag</t>
        </is>
      </c>
      <c r="G536" t="n">
        <v>2.1</v>
      </c>
      <c r="H536" t="n">
        <v>0</v>
      </c>
      <c r="I536" t="n">
        <v>0</v>
      </c>
      <c r="J536" t="n">
        <v>0</v>
      </c>
      <c r="K536" t="n">
        <v>0</v>
      </c>
      <c r="L536" t="n">
        <v>0</v>
      </c>
      <c r="M536" t="n">
        <v>0</v>
      </c>
      <c r="N536" t="n">
        <v>0</v>
      </c>
      <c r="O536" t="n">
        <v>0</v>
      </c>
      <c r="P536" t="n">
        <v>0</v>
      </c>
      <c r="Q536" t="n">
        <v>0</v>
      </c>
      <c r="R536" s="2" t="inlineStr"/>
    </row>
    <row r="537" ht="15" customHeight="1">
      <c r="A537" t="inlineStr">
        <is>
          <t>A 32210-2024</t>
        </is>
      </c>
      <c r="B537" s="1" t="n">
        <v>45511.67777777778</v>
      </c>
      <c r="C537" s="1" t="n">
        <v>46172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2743-2023</t>
        </is>
      </c>
      <c r="B538" s="1" t="n">
        <v>44944</v>
      </c>
      <c r="C538" s="1" t="n">
        <v>46172</v>
      </c>
      <c r="D538" t="inlineStr">
        <is>
          <t>SKÅNE LÄN</t>
        </is>
      </c>
      <c r="E538" t="inlineStr">
        <is>
          <t>HÄSSLEHOLM</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8749-2024</t>
        </is>
      </c>
      <c r="B539" s="1" t="n">
        <v>45356.50387731481</v>
      </c>
      <c r="C539" s="1" t="n">
        <v>46172</v>
      </c>
      <c r="D539" t="inlineStr">
        <is>
          <t>SKÅNE LÄN</t>
        </is>
      </c>
      <c r="E539" t="inlineStr">
        <is>
          <t>HÄSSLEHOLM</t>
        </is>
      </c>
      <c r="G539" t="n">
        <v>2.9</v>
      </c>
      <c r="H539" t="n">
        <v>0</v>
      </c>
      <c r="I539" t="n">
        <v>0</v>
      </c>
      <c r="J539" t="n">
        <v>0</v>
      </c>
      <c r="K539" t="n">
        <v>0</v>
      </c>
      <c r="L539" t="n">
        <v>0</v>
      </c>
      <c r="M539" t="n">
        <v>0</v>
      </c>
      <c r="N539" t="n">
        <v>0</v>
      </c>
      <c r="O539" t="n">
        <v>0</v>
      </c>
      <c r="P539" t="n">
        <v>0</v>
      </c>
      <c r="Q539" t="n">
        <v>0</v>
      </c>
      <c r="R539" s="2" t="inlineStr"/>
    </row>
    <row r="540" ht="15" customHeight="1">
      <c r="A540" t="inlineStr">
        <is>
          <t>A 8752-2024</t>
        </is>
      </c>
      <c r="B540" s="1" t="n">
        <v>45356</v>
      </c>
      <c r="C540" s="1" t="n">
        <v>46172</v>
      </c>
      <c r="D540" t="inlineStr">
        <is>
          <t>SKÅNE LÄN</t>
        </is>
      </c>
      <c r="E540" t="inlineStr">
        <is>
          <t>HÄSSLEHOLM</t>
        </is>
      </c>
      <c r="G540" t="n">
        <v>3.4</v>
      </c>
      <c r="H540" t="n">
        <v>0</v>
      </c>
      <c r="I540" t="n">
        <v>0</v>
      </c>
      <c r="J540" t="n">
        <v>0</v>
      </c>
      <c r="K540" t="n">
        <v>0</v>
      </c>
      <c r="L540" t="n">
        <v>0</v>
      </c>
      <c r="M540" t="n">
        <v>0</v>
      </c>
      <c r="N540" t="n">
        <v>0</v>
      </c>
      <c r="O540" t="n">
        <v>0</v>
      </c>
      <c r="P540" t="n">
        <v>0</v>
      </c>
      <c r="Q540" t="n">
        <v>0</v>
      </c>
      <c r="R540" s="2" t="inlineStr"/>
    </row>
    <row r="541" ht="15" customHeight="1">
      <c r="A541" t="inlineStr">
        <is>
          <t>A 8759-2024</t>
        </is>
      </c>
      <c r="B541" s="1" t="n">
        <v>45356.52271990741</v>
      </c>
      <c r="C541" s="1" t="n">
        <v>46172</v>
      </c>
      <c r="D541" t="inlineStr">
        <is>
          <t>SKÅNE LÄN</t>
        </is>
      </c>
      <c r="E541" t="inlineStr">
        <is>
          <t>HÄSSLEHOLM</t>
        </is>
      </c>
      <c r="G541" t="n">
        <v>5.7</v>
      </c>
      <c r="H541" t="n">
        <v>0</v>
      </c>
      <c r="I541" t="n">
        <v>0</v>
      </c>
      <c r="J541" t="n">
        <v>0</v>
      </c>
      <c r="K541" t="n">
        <v>0</v>
      </c>
      <c r="L541" t="n">
        <v>0</v>
      </c>
      <c r="M541" t="n">
        <v>0</v>
      </c>
      <c r="N541" t="n">
        <v>0</v>
      </c>
      <c r="O541" t="n">
        <v>0</v>
      </c>
      <c r="P541" t="n">
        <v>0</v>
      </c>
      <c r="Q541" t="n">
        <v>0</v>
      </c>
      <c r="R541" s="2" t="inlineStr"/>
    </row>
    <row r="542" ht="15" customHeight="1">
      <c r="A542" t="inlineStr">
        <is>
          <t>A 48624-2021</t>
        </is>
      </c>
      <c r="B542" s="1" t="n">
        <v>44452</v>
      </c>
      <c r="C542" s="1" t="n">
        <v>46172</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27954-2022</t>
        </is>
      </c>
      <c r="B543" s="1" t="n">
        <v>44743</v>
      </c>
      <c r="C543" s="1" t="n">
        <v>46172</v>
      </c>
      <c r="D543" t="inlineStr">
        <is>
          <t>SKÅNE LÄN</t>
        </is>
      </c>
      <c r="E543" t="inlineStr">
        <is>
          <t>HÄSSLEHOLM</t>
        </is>
      </c>
      <c r="G543" t="n">
        <v>9.4</v>
      </c>
      <c r="H543" t="n">
        <v>0</v>
      </c>
      <c r="I543" t="n">
        <v>0</v>
      </c>
      <c r="J543" t="n">
        <v>0</v>
      </c>
      <c r="K543" t="n">
        <v>0</v>
      </c>
      <c r="L543" t="n">
        <v>0</v>
      </c>
      <c r="M543" t="n">
        <v>0</v>
      </c>
      <c r="N543" t="n">
        <v>0</v>
      </c>
      <c r="O543" t="n">
        <v>0</v>
      </c>
      <c r="P543" t="n">
        <v>0</v>
      </c>
      <c r="Q543" t="n">
        <v>0</v>
      </c>
      <c r="R543" s="2" t="inlineStr"/>
    </row>
    <row r="544" ht="15" customHeight="1">
      <c r="A544" t="inlineStr">
        <is>
          <t>A 20493-2024</t>
        </is>
      </c>
      <c r="B544" s="1" t="n">
        <v>45435</v>
      </c>
      <c r="C544" s="1" t="n">
        <v>46172</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41873-2023</t>
        </is>
      </c>
      <c r="B545" s="1" t="n">
        <v>45176</v>
      </c>
      <c r="C545" s="1" t="n">
        <v>46172</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59434-2023</t>
        </is>
      </c>
      <c r="B546" s="1" t="n">
        <v>45254.30440972222</v>
      </c>
      <c r="C546" s="1" t="n">
        <v>46172</v>
      </c>
      <c r="D546" t="inlineStr">
        <is>
          <t>SKÅNE LÄN</t>
        </is>
      </c>
      <c r="E546" t="inlineStr">
        <is>
          <t>HÄSSLEHOLM</t>
        </is>
      </c>
      <c r="G546" t="n">
        <v>3.6</v>
      </c>
      <c r="H546" t="n">
        <v>0</v>
      </c>
      <c r="I546" t="n">
        <v>0</v>
      </c>
      <c r="J546" t="n">
        <v>0</v>
      </c>
      <c r="K546" t="n">
        <v>0</v>
      </c>
      <c r="L546" t="n">
        <v>0</v>
      </c>
      <c r="M546" t="n">
        <v>0</v>
      </c>
      <c r="N546" t="n">
        <v>0</v>
      </c>
      <c r="O546" t="n">
        <v>0</v>
      </c>
      <c r="P546" t="n">
        <v>0</v>
      </c>
      <c r="Q546" t="n">
        <v>0</v>
      </c>
      <c r="R546" s="2" t="inlineStr"/>
    </row>
    <row r="547" ht="15" customHeight="1">
      <c r="A547" t="inlineStr">
        <is>
          <t>A 41998-2021</t>
        </is>
      </c>
      <c r="B547" s="1" t="n">
        <v>44425</v>
      </c>
      <c r="C547" s="1" t="n">
        <v>46172</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2290-2024</t>
        </is>
      </c>
      <c r="B548" s="1" t="n">
        <v>45310</v>
      </c>
      <c r="C548" s="1" t="n">
        <v>46172</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35712-2024</t>
        </is>
      </c>
      <c r="B549" s="1" t="n">
        <v>45532</v>
      </c>
      <c r="C549" s="1" t="n">
        <v>46172</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61691-2021</t>
        </is>
      </c>
      <c r="B550" s="1" t="n">
        <v>44501</v>
      </c>
      <c r="C550" s="1" t="n">
        <v>46172</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61197-2024</t>
        </is>
      </c>
      <c r="B551" s="1" t="n">
        <v>45645.63184027778</v>
      </c>
      <c r="C551" s="1" t="n">
        <v>46172</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33067-2024</t>
        </is>
      </c>
      <c r="B552" s="1" t="n">
        <v>45517.6520949074</v>
      </c>
      <c r="C552" s="1" t="n">
        <v>46172</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42520-2025</t>
        </is>
      </c>
      <c r="B553" s="1" t="n">
        <v>45905.54846064815</v>
      </c>
      <c r="C553" s="1" t="n">
        <v>46172</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28236-2022</t>
        </is>
      </c>
      <c r="B554" s="1" t="n">
        <v>44746</v>
      </c>
      <c r="C554" s="1" t="n">
        <v>46172</v>
      </c>
      <c r="D554" t="inlineStr">
        <is>
          <t>SKÅNE LÄN</t>
        </is>
      </c>
      <c r="E554" t="inlineStr">
        <is>
          <t>HÄSSLEHOLM</t>
        </is>
      </c>
      <c r="G554" t="n">
        <v>3.5</v>
      </c>
      <c r="H554" t="n">
        <v>0</v>
      </c>
      <c r="I554" t="n">
        <v>0</v>
      </c>
      <c r="J554" t="n">
        <v>0</v>
      </c>
      <c r="K554" t="n">
        <v>0</v>
      </c>
      <c r="L554" t="n">
        <v>0</v>
      </c>
      <c r="M554" t="n">
        <v>0</v>
      </c>
      <c r="N554" t="n">
        <v>0</v>
      </c>
      <c r="O554" t="n">
        <v>0</v>
      </c>
      <c r="P554" t="n">
        <v>0</v>
      </c>
      <c r="Q554" t="n">
        <v>0</v>
      </c>
      <c r="R554" s="2" t="inlineStr"/>
    </row>
    <row r="555" ht="15" customHeight="1">
      <c r="A555" t="inlineStr">
        <is>
          <t>A 6165-2023</t>
        </is>
      </c>
      <c r="B555" s="1" t="n">
        <v>44964.67114583333</v>
      </c>
      <c r="C555" s="1" t="n">
        <v>46172</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57647-2024</t>
        </is>
      </c>
      <c r="B556" s="1" t="n">
        <v>45630</v>
      </c>
      <c r="C556" s="1" t="n">
        <v>46172</v>
      </c>
      <c r="D556" t="inlineStr">
        <is>
          <t>SKÅNE LÄN</t>
        </is>
      </c>
      <c r="E556" t="inlineStr">
        <is>
          <t>HÄSSLEHOLM</t>
        </is>
      </c>
      <c r="G556" t="n">
        <v>2.9</v>
      </c>
      <c r="H556" t="n">
        <v>0</v>
      </c>
      <c r="I556" t="n">
        <v>0</v>
      </c>
      <c r="J556" t="n">
        <v>0</v>
      </c>
      <c r="K556" t="n">
        <v>0</v>
      </c>
      <c r="L556" t="n">
        <v>0</v>
      </c>
      <c r="M556" t="n">
        <v>0</v>
      </c>
      <c r="N556" t="n">
        <v>0</v>
      </c>
      <c r="O556" t="n">
        <v>0</v>
      </c>
      <c r="P556" t="n">
        <v>0</v>
      </c>
      <c r="Q556" t="n">
        <v>0</v>
      </c>
      <c r="R556" s="2" t="inlineStr"/>
    </row>
    <row r="557" ht="15" customHeight="1">
      <c r="A557" t="inlineStr">
        <is>
          <t>A 61625-2022</t>
        </is>
      </c>
      <c r="B557" s="1" t="n">
        <v>44916</v>
      </c>
      <c r="C557" s="1" t="n">
        <v>46172</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20564-2023</t>
        </is>
      </c>
      <c r="B558" s="1" t="n">
        <v>45057</v>
      </c>
      <c r="C558" s="1" t="n">
        <v>46172</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38829-2024</t>
        </is>
      </c>
      <c r="B559" s="1" t="n">
        <v>45547.57247685185</v>
      </c>
      <c r="C559" s="1" t="n">
        <v>46172</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46641-2023</t>
        </is>
      </c>
      <c r="B560" s="1" t="n">
        <v>45198.44523148148</v>
      </c>
      <c r="C560" s="1" t="n">
        <v>46172</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33938-2023</t>
        </is>
      </c>
      <c r="B561" s="1" t="n">
        <v>45124</v>
      </c>
      <c r="C561" s="1" t="n">
        <v>46172</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8239-2025</t>
        </is>
      </c>
      <c r="B562" s="1" t="n">
        <v>45708.47984953703</v>
      </c>
      <c r="C562" s="1" t="n">
        <v>46172</v>
      </c>
      <c r="D562" t="inlineStr">
        <is>
          <t>SKÅNE LÄN</t>
        </is>
      </c>
      <c r="E562" t="inlineStr">
        <is>
          <t>HÄSSLEHOLM</t>
        </is>
      </c>
      <c r="G562" t="n">
        <v>2.7</v>
      </c>
      <c r="H562" t="n">
        <v>0</v>
      </c>
      <c r="I562" t="n">
        <v>0</v>
      </c>
      <c r="J562" t="n">
        <v>0</v>
      </c>
      <c r="K562" t="n">
        <v>0</v>
      </c>
      <c r="L562" t="n">
        <v>0</v>
      </c>
      <c r="M562" t="n">
        <v>0</v>
      </c>
      <c r="N562" t="n">
        <v>0</v>
      </c>
      <c r="O562" t="n">
        <v>0</v>
      </c>
      <c r="P562" t="n">
        <v>0</v>
      </c>
      <c r="Q562" t="n">
        <v>0</v>
      </c>
      <c r="R562" s="2" t="inlineStr"/>
    </row>
    <row r="563" ht="15" customHeight="1">
      <c r="A563" t="inlineStr">
        <is>
          <t>A 46645-2023</t>
        </is>
      </c>
      <c r="B563" s="1" t="n">
        <v>45198.44686342592</v>
      </c>
      <c r="C563" s="1" t="n">
        <v>46172</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61533-2022</t>
        </is>
      </c>
      <c r="B564" s="1" t="n">
        <v>44910</v>
      </c>
      <c r="C564" s="1" t="n">
        <v>46172</v>
      </c>
      <c r="D564" t="inlineStr">
        <is>
          <t>SKÅNE LÄN</t>
        </is>
      </c>
      <c r="E564" t="inlineStr">
        <is>
          <t>HÄSSLEHOLM</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13890-2024</t>
        </is>
      </c>
      <c r="B565" s="1" t="n">
        <v>45391</v>
      </c>
      <c r="C565" s="1" t="n">
        <v>46172</v>
      </c>
      <c r="D565" t="inlineStr">
        <is>
          <t>SKÅNE LÄN</t>
        </is>
      </c>
      <c r="E565" t="inlineStr">
        <is>
          <t>HÄSSLEHOLM</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55218-2023</t>
        </is>
      </c>
      <c r="B566" s="1" t="n">
        <v>45237</v>
      </c>
      <c r="C566" s="1" t="n">
        <v>46172</v>
      </c>
      <c r="D566" t="inlineStr">
        <is>
          <t>SKÅNE LÄN</t>
        </is>
      </c>
      <c r="E566" t="inlineStr">
        <is>
          <t>HÄSSLEHOLM</t>
        </is>
      </c>
      <c r="G566" t="n">
        <v>2</v>
      </c>
      <c r="H566" t="n">
        <v>0</v>
      </c>
      <c r="I566" t="n">
        <v>0</v>
      </c>
      <c r="J566" t="n">
        <v>0</v>
      </c>
      <c r="K566" t="n">
        <v>0</v>
      </c>
      <c r="L566" t="n">
        <v>0</v>
      </c>
      <c r="M566" t="n">
        <v>0</v>
      </c>
      <c r="N566" t="n">
        <v>0</v>
      </c>
      <c r="O566" t="n">
        <v>0</v>
      </c>
      <c r="P566" t="n">
        <v>0</v>
      </c>
      <c r="Q566" t="n">
        <v>0</v>
      </c>
      <c r="R566" s="2" t="inlineStr"/>
    </row>
    <row r="567" ht="15" customHeight="1">
      <c r="A567" t="inlineStr">
        <is>
          <t>A 31986-2023</t>
        </is>
      </c>
      <c r="B567" s="1" t="n">
        <v>45119</v>
      </c>
      <c r="C567" s="1" t="n">
        <v>46172</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62044-2022</t>
        </is>
      </c>
      <c r="B568" s="1" t="n">
        <v>44918.55976851852</v>
      </c>
      <c r="C568" s="1" t="n">
        <v>46172</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6619-2024</t>
        </is>
      </c>
      <c r="B569" s="1" t="n">
        <v>45341.6021412037</v>
      </c>
      <c r="C569" s="1" t="n">
        <v>46172</v>
      </c>
      <c r="D569" t="inlineStr">
        <is>
          <t>SKÅNE LÄN</t>
        </is>
      </c>
      <c r="E569" t="inlineStr">
        <is>
          <t>HÄSSLEHOLM</t>
        </is>
      </c>
      <c r="G569" t="n">
        <v>1</v>
      </c>
      <c r="H569" t="n">
        <v>0</v>
      </c>
      <c r="I569" t="n">
        <v>0</v>
      </c>
      <c r="J569" t="n">
        <v>0</v>
      </c>
      <c r="K569" t="n">
        <v>0</v>
      </c>
      <c r="L569" t="n">
        <v>0</v>
      </c>
      <c r="M569" t="n">
        <v>0</v>
      </c>
      <c r="N569" t="n">
        <v>0</v>
      </c>
      <c r="O569" t="n">
        <v>0</v>
      </c>
      <c r="P569" t="n">
        <v>0</v>
      </c>
      <c r="Q569" t="n">
        <v>0</v>
      </c>
      <c r="R569" s="2" t="inlineStr"/>
    </row>
    <row r="570" ht="15" customHeight="1">
      <c r="A570" t="inlineStr">
        <is>
          <t>A 46288-2023</t>
        </is>
      </c>
      <c r="B570" s="1" t="n">
        <v>45197.30221064815</v>
      </c>
      <c r="C570" s="1" t="n">
        <v>46172</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49106-2023</t>
        </is>
      </c>
      <c r="B571" s="1" t="n">
        <v>45210</v>
      </c>
      <c r="C571" s="1" t="n">
        <v>46172</v>
      </c>
      <c r="D571" t="inlineStr">
        <is>
          <t>SKÅNE LÄN</t>
        </is>
      </c>
      <c r="E571" t="inlineStr">
        <is>
          <t>HÄSSLEHOLM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10409-2024</t>
        </is>
      </c>
      <c r="B572" s="1" t="n">
        <v>45365.6978125</v>
      </c>
      <c r="C572" s="1" t="n">
        <v>46172</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47248-2023</t>
        </is>
      </c>
      <c r="B573" s="1" t="n">
        <v>45202</v>
      </c>
      <c r="C573" s="1" t="n">
        <v>46172</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52341-2023</t>
        </is>
      </c>
      <c r="B574" s="1" t="n">
        <v>45224.67006944444</v>
      </c>
      <c r="C574" s="1" t="n">
        <v>46172</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20990-2023</t>
        </is>
      </c>
      <c r="B575" s="1" t="n">
        <v>45061.46186342592</v>
      </c>
      <c r="C575" s="1" t="n">
        <v>46172</v>
      </c>
      <c r="D575" t="inlineStr">
        <is>
          <t>SKÅNE LÄN</t>
        </is>
      </c>
      <c r="E575" t="inlineStr">
        <is>
          <t>HÄSSLEHOLM</t>
        </is>
      </c>
      <c r="G575" t="n">
        <v>2.8</v>
      </c>
      <c r="H575" t="n">
        <v>0</v>
      </c>
      <c r="I575" t="n">
        <v>0</v>
      </c>
      <c r="J575" t="n">
        <v>0</v>
      </c>
      <c r="K575" t="n">
        <v>0</v>
      </c>
      <c r="L575" t="n">
        <v>0</v>
      </c>
      <c r="M575" t="n">
        <v>0</v>
      </c>
      <c r="N575" t="n">
        <v>0</v>
      </c>
      <c r="O575" t="n">
        <v>0</v>
      </c>
      <c r="P575" t="n">
        <v>0</v>
      </c>
      <c r="Q575" t="n">
        <v>0</v>
      </c>
      <c r="R575" s="2" t="inlineStr"/>
    </row>
    <row r="576" ht="15" customHeight="1">
      <c r="A576" t="inlineStr">
        <is>
          <t>A 677-2024</t>
        </is>
      </c>
      <c r="B576" s="1" t="n">
        <v>45300</v>
      </c>
      <c r="C576" s="1" t="n">
        <v>46172</v>
      </c>
      <c r="D576" t="inlineStr">
        <is>
          <t>SKÅNE LÄN</t>
        </is>
      </c>
      <c r="E576" t="inlineStr">
        <is>
          <t>HÄSSLEHOLM</t>
        </is>
      </c>
      <c r="G576" t="n">
        <v>6.8</v>
      </c>
      <c r="H576" t="n">
        <v>0</v>
      </c>
      <c r="I576" t="n">
        <v>0</v>
      </c>
      <c r="J576" t="n">
        <v>0</v>
      </c>
      <c r="K576" t="n">
        <v>0</v>
      </c>
      <c r="L576" t="n">
        <v>0</v>
      </c>
      <c r="M576" t="n">
        <v>0</v>
      </c>
      <c r="N576" t="n">
        <v>0</v>
      </c>
      <c r="O576" t="n">
        <v>0</v>
      </c>
      <c r="P576" t="n">
        <v>0</v>
      </c>
      <c r="Q576" t="n">
        <v>0</v>
      </c>
      <c r="R576" s="2" t="inlineStr"/>
    </row>
    <row r="577" ht="15" customHeight="1">
      <c r="A577" t="inlineStr">
        <is>
          <t>A 54171-2022</t>
        </is>
      </c>
      <c r="B577" s="1" t="n">
        <v>44881</v>
      </c>
      <c r="C577" s="1" t="n">
        <v>46172</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27464-2022</t>
        </is>
      </c>
      <c r="B578" s="1" t="n">
        <v>44742.58704861111</v>
      </c>
      <c r="C578" s="1" t="n">
        <v>46172</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57277-2023</t>
        </is>
      </c>
      <c r="B579" s="1" t="n">
        <v>45245.59104166667</v>
      </c>
      <c r="C579" s="1" t="n">
        <v>46172</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43516-2025</t>
        </is>
      </c>
      <c r="B580" s="1" t="n">
        <v>45911</v>
      </c>
      <c r="C580" s="1" t="n">
        <v>46172</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6798-2025</t>
        </is>
      </c>
      <c r="B581" s="1" t="n">
        <v>45700.668125</v>
      </c>
      <c r="C581" s="1" t="n">
        <v>46172</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43332-2025</t>
        </is>
      </c>
      <c r="B582" s="1" t="n">
        <v>45910.70217592592</v>
      </c>
      <c r="C582" s="1" t="n">
        <v>46172</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10752-2025</t>
        </is>
      </c>
      <c r="B583" s="1" t="n">
        <v>45722</v>
      </c>
      <c r="C583" s="1" t="n">
        <v>46172</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43333-2025</t>
        </is>
      </c>
      <c r="B584" s="1" t="n">
        <v>45910</v>
      </c>
      <c r="C584" s="1" t="n">
        <v>46172</v>
      </c>
      <c r="D584" t="inlineStr">
        <is>
          <t>SKÅNE LÄN</t>
        </is>
      </c>
      <c r="E584" t="inlineStr">
        <is>
          <t>HÄSSLEHOLM</t>
        </is>
      </c>
      <c r="G584" t="n">
        <v>10.1</v>
      </c>
      <c r="H584" t="n">
        <v>0</v>
      </c>
      <c r="I584" t="n">
        <v>0</v>
      </c>
      <c r="J584" t="n">
        <v>0</v>
      </c>
      <c r="K584" t="n">
        <v>0</v>
      </c>
      <c r="L584" t="n">
        <v>0</v>
      </c>
      <c r="M584" t="n">
        <v>0</v>
      </c>
      <c r="N584" t="n">
        <v>0</v>
      </c>
      <c r="O584" t="n">
        <v>0</v>
      </c>
      <c r="P584" t="n">
        <v>0</v>
      </c>
      <c r="Q584" t="n">
        <v>0</v>
      </c>
      <c r="R584" s="2" t="inlineStr"/>
    </row>
    <row r="585" ht="15" customHeight="1">
      <c r="A585" t="inlineStr">
        <is>
          <t>A 43869-2025</t>
        </is>
      </c>
      <c r="B585" s="1" t="n">
        <v>45912.66452546296</v>
      </c>
      <c r="C585" s="1" t="n">
        <v>46172</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43741-2025</t>
        </is>
      </c>
      <c r="B586" s="1" t="n">
        <v>45912.45541666666</v>
      </c>
      <c r="C586" s="1" t="n">
        <v>46172</v>
      </c>
      <c r="D586" t="inlineStr">
        <is>
          <t>SKÅNE LÄN</t>
        </is>
      </c>
      <c r="E586" t="inlineStr">
        <is>
          <t>HÄSSLEHOLM</t>
        </is>
      </c>
      <c r="G586" t="n">
        <v>4.3</v>
      </c>
      <c r="H586" t="n">
        <v>0</v>
      </c>
      <c r="I586" t="n">
        <v>0</v>
      </c>
      <c r="J586" t="n">
        <v>0</v>
      </c>
      <c r="K586" t="n">
        <v>0</v>
      </c>
      <c r="L586" t="n">
        <v>0</v>
      </c>
      <c r="M586" t="n">
        <v>0</v>
      </c>
      <c r="N586" t="n">
        <v>0</v>
      </c>
      <c r="O586" t="n">
        <v>0</v>
      </c>
      <c r="P586" t="n">
        <v>0</v>
      </c>
      <c r="Q586" t="n">
        <v>0</v>
      </c>
      <c r="R586" s="2" t="inlineStr"/>
    </row>
    <row r="587" ht="15" customHeight="1">
      <c r="A587" t="inlineStr">
        <is>
          <t>A 35150-2023</t>
        </is>
      </c>
      <c r="B587" s="1" t="n">
        <v>45145</v>
      </c>
      <c r="C587" s="1" t="n">
        <v>46172</v>
      </c>
      <c r="D587" t="inlineStr">
        <is>
          <t>SKÅNE LÄN</t>
        </is>
      </c>
      <c r="E587" t="inlineStr">
        <is>
          <t>HÄSSLEHOLM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14008-2023</t>
        </is>
      </c>
      <c r="B588" s="1" t="n">
        <v>45008.56725694444</v>
      </c>
      <c r="C588" s="1" t="n">
        <v>46172</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18041-2023</t>
        </is>
      </c>
      <c r="B589" s="1" t="n">
        <v>45040</v>
      </c>
      <c r="C589" s="1" t="n">
        <v>46172</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315-2022</t>
        </is>
      </c>
      <c r="B590" s="1" t="n">
        <v>44565.55630787037</v>
      </c>
      <c r="C590" s="1" t="n">
        <v>46172</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49250-2022</t>
        </is>
      </c>
      <c r="B591" s="1" t="n">
        <v>44858</v>
      </c>
      <c r="C591" s="1" t="n">
        <v>46172</v>
      </c>
      <c r="D591" t="inlineStr">
        <is>
          <t>SKÅNE LÄN</t>
        </is>
      </c>
      <c r="E591" t="inlineStr">
        <is>
          <t>HÄSSLEHOLM</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42372-2024</t>
        </is>
      </c>
      <c r="B592" s="1" t="n">
        <v>45564.5127199074</v>
      </c>
      <c r="C592" s="1" t="n">
        <v>46172</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20872-2025</t>
        </is>
      </c>
      <c r="B593" s="1" t="n">
        <v>45777.34688657407</v>
      </c>
      <c r="C593" s="1" t="n">
        <v>46172</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43738-2025</t>
        </is>
      </c>
      <c r="B594" s="1" t="n">
        <v>45912.45037037037</v>
      </c>
      <c r="C594" s="1" t="n">
        <v>46172</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17138-2025</t>
        </is>
      </c>
      <c r="B595" s="1" t="n">
        <v>45755.80378472222</v>
      </c>
      <c r="C595" s="1" t="n">
        <v>46172</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27197-2021</t>
        </is>
      </c>
      <c r="B596" s="1" t="n">
        <v>44350</v>
      </c>
      <c r="C596" s="1" t="n">
        <v>46172</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45222-2023</t>
        </is>
      </c>
      <c r="B597" s="1" t="n">
        <v>45191</v>
      </c>
      <c r="C597" s="1" t="n">
        <v>46172</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57695-2023</t>
        </is>
      </c>
      <c r="B598" s="1" t="n">
        <v>45246</v>
      </c>
      <c r="C598" s="1" t="n">
        <v>46172</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35890-2023</t>
        </is>
      </c>
      <c r="B599" s="1" t="n">
        <v>45148</v>
      </c>
      <c r="C599" s="1" t="n">
        <v>46172</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35895-2023</t>
        </is>
      </c>
      <c r="B600" s="1" t="n">
        <v>45148</v>
      </c>
      <c r="C600" s="1" t="n">
        <v>46172</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61569-2023</t>
        </is>
      </c>
      <c r="B601" s="1" t="n">
        <v>45265</v>
      </c>
      <c r="C601" s="1" t="n">
        <v>46172</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12162-2023</t>
        </is>
      </c>
      <c r="B602" s="1" t="n">
        <v>44998.49619212963</v>
      </c>
      <c r="C602" s="1" t="n">
        <v>46172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52235-2021</t>
        </is>
      </c>
      <c r="B603" s="1" t="n">
        <v>44463.60085648148</v>
      </c>
      <c r="C603" s="1" t="n">
        <v>46172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44624-2025</t>
        </is>
      </c>
      <c r="B604" s="1" t="n">
        <v>45917.47152777778</v>
      </c>
      <c r="C604" s="1" t="n">
        <v>46172</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44611-2025</t>
        </is>
      </c>
      <c r="B605" s="1" t="n">
        <v>45917.45109953704</v>
      </c>
      <c r="C605" s="1" t="n">
        <v>46172</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13347-2025</t>
        </is>
      </c>
      <c r="B606" s="1" t="n">
        <v>45735.63175925926</v>
      </c>
      <c r="C606" s="1" t="n">
        <v>46172</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44330-2025</t>
        </is>
      </c>
      <c r="B607" s="1" t="n">
        <v>45916.42120370371</v>
      </c>
      <c r="C607" s="1" t="n">
        <v>46172</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44523-2025</t>
        </is>
      </c>
      <c r="B608" s="1" t="n">
        <v>45916</v>
      </c>
      <c r="C608" s="1" t="n">
        <v>46172</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4916-2024</t>
        </is>
      </c>
      <c r="B609" s="1" t="n">
        <v>45329</v>
      </c>
      <c r="C609" s="1" t="n">
        <v>46172</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54471-2023</t>
        </is>
      </c>
      <c r="B610" s="1" t="n">
        <v>45233.4640162037</v>
      </c>
      <c r="C610" s="1" t="n">
        <v>46172</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27175-2024</t>
        </is>
      </c>
      <c r="B611" s="1" t="n">
        <v>45471.57111111111</v>
      </c>
      <c r="C611" s="1" t="n">
        <v>46172</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44515-2025</t>
        </is>
      </c>
      <c r="B612" s="1" t="n">
        <v>45916.7062037037</v>
      </c>
      <c r="C612" s="1" t="n">
        <v>46172</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44616-2025</t>
        </is>
      </c>
      <c r="B613" s="1" t="n">
        <v>45917.45572916666</v>
      </c>
      <c r="C613" s="1" t="n">
        <v>46172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54658-2023</t>
        </is>
      </c>
      <c r="B614" s="1" t="n">
        <v>45235</v>
      </c>
      <c r="C614" s="1" t="n">
        <v>46172</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44614-2025</t>
        </is>
      </c>
      <c r="B615" s="1" t="n">
        <v>45917.45422453704</v>
      </c>
      <c r="C615" s="1" t="n">
        <v>46172</v>
      </c>
      <c r="D615" t="inlineStr">
        <is>
          <t>SKÅNE LÄN</t>
        </is>
      </c>
      <c r="E615" t="inlineStr">
        <is>
          <t>HÄSSLEHOLM</t>
        </is>
      </c>
      <c r="G615" t="n">
        <v>5.4</v>
      </c>
      <c r="H615" t="n">
        <v>0</v>
      </c>
      <c r="I615" t="n">
        <v>0</v>
      </c>
      <c r="J615" t="n">
        <v>0</v>
      </c>
      <c r="K615" t="n">
        <v>0</v>
      </c>
      <c r="L615" t="n">
        <v>0</v>
      </c>
      <c r="M615" t="n">
        <v>0</v>
      </c>
      <c r="N615" t="n">
        <v>0</v>
      </c>
      <c r="O615" t="n">
        <v>0</v>
      </c>
      <c r="P615" t="n">
        <v>0</v>
      </c>
      <c r="Q615" t="n">
        <v>0</v>
      </c>
      <c r="R615" s="2" t="inlineStr"/>
    </row>
    <row r="616" ht="15" customHeight="1">
      <c r="A616" t="inlineStr">
        <is>
          <t>A 50607-2023</t>
        </is>
      </c>
      <c r="B616" s="1" t="n">
        <v>45210</v>
      </c>
      <c r="C616" s="1" t="n">
        <v>46172</v>
      </c>
      <c r="D616" t="inlineStr">
        <is>
          <t>SKÅNE LÄN</t>
        </is>
      </c>
      <c r="E616" t="inlineStr">
        <is>
          <t>HÄSSLEHOLM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45176-2025</t>
        </is>
      </c>
      <c r="B617" s="1" t="n">
        <v>45919.52307870371</v>
      </c>
      <c r="C617" s="1" t="n">
        <v>46172</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23666-2023</t>
        </is>
      </c>
      <c r="B618" s="1" t="n">
        <v>45077</v>
      </c>
      <c r="C618" s="1" t="n">
        <v>46172</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38148-2022</t>
        </is>
      </c>
      <c r="B619" s="1" t="n">
        <v>44811</v>
      </c>
      <c r="C619" s="1" t="n">
        <v>46172</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31944-2023</t>
        </is>
      </c>
      <c r="B620" s="1" t="n">
        <v>45119.34895833334</v>
      </c>
      <c r="C620" s="1" t="n">
        <v>46172</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45221-2025</t>
        </is>
      </c>
      <c r="B621" s="1" t="n">
        <v>45919.57760416667</v>
      </c>
      <c r="C621" s="1" t="n">
        <v>46172</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1706-2025</t>
        </is>
      </c>
      <c r="B622" s="1" t="n">
        <v>45670</v>
      </c>
      <c r="C622" s="1" t="n">
        <v>46172</v>
      </c>
      <c r="D622" t="inlineStr">
        <is>
          <t>SKÅNE LÄN</t>
        </is>
      </c>
      <c r="E622" t="inlineStr">
        <is>
          <t>HÄSSLEHOLM</t>
        </is>
      </c>
      <c r="G622" t="n">
        <v>5</v>
      </c>
      <c r="H622" t="n">
        <v>0</v>
      </c>
      <c r="I622" t="n">
        <v>0</v>
      </c>
      <c r="J622" t="n">
        <v>0</v>
      </c>
      <c r="K622" t="n">
        <v>0</v>
      </c>
      <c r="L622" t="n">
        <v>0</v>
      </c>
      <c r="M622" t="n">
        <v>0</v>
      </c>
      <c r="N622" t="n">
        <v>0</v>
      </c>
      <c r="O622" t="n">
        <v>0</v>
      </c>
      <c r="P622" t="n">
        <v>0</v>
      </c>
      <c r="Q622" t="n">
        <v>0</v>
      </c>
      <c r="R622" s="2" t="inlineStr"/>
    </row>
    <row r="623" ht="15" customHeight="1">
      <c r="A623" t="inlineStr">
        <is>
          <t>A 3726-2024</t>
        </is>
      </c>
      <c r="B623" s="1" t="n">
        <v>45321</v>
      </c>
      <c r="C623" s="1" t="n">
        <v>46172</v>
      </c>
      <c r="D623" t="inlineStr">
        <is>
          <t>SKÅNE LÄN</t>
        </is>
      </c>
      <c r="E623" t="inlineStr">
        <is>
          <t>HÄSSLEHOLM</t>
        </is>
      </c>
      <c r="G623" t="n">
        <v>0.3</v>
      </c>
      <c r="H623" t="n">
        <v>0</v>
      </c>
      <c r="I623" t="n">
        <v>0</v>
      </c>
      <c r="J623" t="n">
        <v>0</v>
      </c>
      <c r="K623" t="n">
        <v>0</v>
      </c>
      <c r="L623" t="n">
        <v>0</v>
      </c>
      <c r="M623" t="n">
        <v>0</v>
      </c>
      <c r="N623" t="n">
        <v>0</v>
      </c>
      <c r="O623" t="n">
        <v>0</v>
      </c>
      <c r="P623" t="n">
        <v>0</v>
      </c>
      <c r="Q623" t="n">
        <v>0</v>
      </c>
      <c r="R623" s="2" t="inlineStr"/>
    </row>
    <row r="624" ht="15" customHeight="1">
      <c r="A624" t="inlineStr">
        <is>
          <t>A 53085-2022</t>
        </is>
      </c>
      <c r="B624" s="1" t="n">
        <v>44873</v>
      </c>
      <c r="C624" s="1" t="n">
        <v>46172</v>
      </c>
      <c r="D624" t="inlineStr">
        <is>
          <t>SKÅNE LÄN</t>
        </is>
      </c>
      <c r="E624" t="inlineStr">
        <is>
          <t>HÄSSLEHOLM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28211-2022</t>
        </is>
      </c>
      <c r="B625" s="1" t="n">
        <v>44746</v>
      </c>
      <c r="C625" s="1" t="n">
        <v>46172</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45273-2025</t>
        </is>
      </c>
      <c r="B626" s="1" t="n">
        <v>45919.70486111111</v>
      </c>
      <c r="C626" s="1" t="n">
        <v>46172</v>
      </c>
      <c r="D626" t="inlineStr">
        <is>
          <t>SKÅNE LÄN</t>
        </is>
      </c>
      <c r="E626" t="inlineStr">
        <is>
          <t>HÄSSLEHOLM</t>
        </is>
      </c>
      <c r="G626" t="n">
        <v>4.4</v>
      </c>
      <c r="H626" t="n">
        <v>0</v>
      </c>
      <c r="I626" t="n">
        <v>0</v>
      </c>
      <c r="J626" t="n">
        <v>0</v>
      </c>
      <c r="K626" t="n">
        <v>0</v>
      </c>
      <c r="L626" t="n">
        <v>0</v>
      </c>
      <c r="M626" t="n">
        <v>0</v>
      </c>
      <c r="N626" t="n">
        <v>0</v>
      </c>
      <c r="O626" t="n">
        <v>0</v>
      </c>
      <c r="P626" t="n">
        <v>0</v>
      </c>
      <c r="Q626" t="n">
        <v>0</v>
      </c>
      <c r="R626" s="2" t="inlineStr"/>
    </row>
    <row r="627" ht="15" customHeight="1">
      <c r="A627" t="inlineStr">
        <is>
          <t>A 45084-2025</t>
        </is>
      </c>
      <c r="B627" s="1" t="n">
        <v>45918</v>
      </c>
      <c r="C627" s="1" t="n">
        <v>46172</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15990-2023</t>
        </is>
      </c>
      <c r="B628" s="1" t="n">
        <v>45023.39584490741</v>
      </c>
      <c r="C628" s="1" t="n">
        <v>46172</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55056-2021</t>
        </is>
      </c>
      <c r="B629" s="1" t="n">
        <v>44474.62072916667</v>
      </c>
      <c r="C629" s="1" t="n">
        <v>46172</v>
      </c>
      <c r="D629" t="inlineStr">
        <is>
          <t>SKÅNE LÄN</t>
        </is>
      </c>
      <c r="E629" t="inlineStr">
        <is>
          <t>HÄSSLEHOLM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26207-2021</t>
        </is>
      </c>
      <c r="B630" s="1" t="n">
        <v>44347</v>
      </c>
      <c r="C630" s="1" t="n">
        <v>46172</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62199-2022</t>
        </is>
      </c>
      <c r="B631" s="1" t="n">
        <v>44915</v>
      </c>
      <c r="C631" s="1" t="n">
        <v>46172</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9098-2022</t>
        </is>
      </c>
      <c r="B632" s="1" t="n">
        <v>44615</v>
      </c>
      <c r="C632" s="1" t="n">
        <v>46172</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19151-2023</t>
        </is>
      </c>
      <c r="B633" s="1" t="n">
        <v>45044</v>
      </c>
      <c r="C633" s="1" t="n">
        <v>46172</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13544-2025</t>
        </is>
      </c>
      <c r="B634" s="1" t="n">
        <v>45736</v>
      </c>
      <c r="C634" s="1" t="n">
        <v>46172</v>
      </c>
      <c r="D634" t="inlineStr">
        <is>
          <t>SKÅNE LÄN</t>
        </is>
      </c>
      <c r="E634" t="inlineStr">
        <is>
          <t>HÄSSLEHOLM</t>
        </is>
      </c>
      <c r="G634" t="n">
        <v>2.5</v>
      </c>
      <c r="H634" t="n">
        <v>0</v>
      </c>
      <c r="I634" t="n">
        <v>0</v>
      </c>
      <c r="J634" t="n">
        <v>0</v>
      </c>
      <c r="K634" t="n">
        <v>0</v>
      </c>
      <c r="L634" t="n">
        <v>0</v>
      </c>
      <c r="M634" t="n">
        <v>0</v>
      </c>
      <c r="N634" t="n">
        <v>0</v>
      </c>
      <c r="O634" t="n">
        <v>0</v>
      </c>
      <c r="P634" t="n">
        <v>0</v>
      </c>
      <c r="Q634" t="n">
        <v>0</v>
      </c>
      <c r="R634" s="2" t="inlineStr"/>
    </row>
    <row r="635" ht="15" customHeight="1">
      <c r="A635" t="inlineStr">
        <is>
          <t>A 8755-2024</t>
        </is>
      </c>
      <c r="B635" s="1" t="n">
        <v>45356</v>
      </c>
      <c r="C635" s="1" t="n">
        <v>46172</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8760-2024</t>
        </is>
      </c>
      <c r="B636" s="1" t="n">
        <v>45356.53420138889</v>
      </c>
      <c r="C636" s="1" t="n">
        <v>46172</v>
      </c>
      <c r="D636" t="inlineStr">
        <is>
          <t>SKÅNE LÄN</t>
        </is>
      </c>
      <c r="E636" t="inlineStr">
        <is>
          <t>HÄSSLEHOLM</t>
        </is>
      </c>
      <c r="G636" t="n">
        <v>6.1</v>
      </c>
      <c r="H636" t="n">
        <v>0</v>
      </c>
      <c r="I636" t="n">
        <v>0</v>
      </c>
      <c r="J636" t="n">
        <v>0</v>
      </c>
      <c r="K636" t="n">
        <v>0</v>
      </c>
      <c r="L636" t="n">
        <v>0</v>
      </c>
      <c r="M636" t="n">
        <v>0</v>
      </c>
      <c r="N636" t="n">
        <v>0</v>
      </c>
      <c r="O636" t="n">
        <v>0</v>
      </c>
      <c r="P636" t="n">
        <v>0</v>
      </c>
      <c r="Q636" t="n">
        <v>0</v>
      </c>
      <c r="R636" s="2" t="inlineStr"/>
    </row>
    <row r="637" ht="15" customHeight="1">
      <c r="A637" t="inlineStr">
        <is>
          <t>A 45496-2025</t>
        </is>
      </c>
      <c r="B637" s="1" t="n">
        <v>45922</v>
      </c>
      <c r="C637" s="1" t="n">
        <v>46172</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2688-2024</t>
        </is>
      </c>
      <c r="B638" s="1" t="n">
        <v>45314</v>
      </c>
      <c r="C638" s="1" t="n">
        <v>46172</v>
      </c>
      <c r="D638" t="inlineStr">
        <is>
          <t>SKÅNE LÄN</t>
        </is>
      </c>
      <c r="E638" t="inlineStr">
        <is>
          <t>HÄSSLEHOLM</t>
        </is>
      </c>
      <c r="F638" t="inlineStr">
        <is>
          <t>Övriga Aktiebolag</t>
        </is>
      </c>
      <c r="G638" t="n">
        <v>2.8</v>
      </c>
      <c r="H638" t="n">
        <v>0</v>
      </c>
      <c r="I638" t="n">
        <v>0</v>
      </c>
      <c r="J638" t="n">
        <v>0</v>
      </c>
      <c r="K638" t="n">
        <v>0</v>
      </c>
      <c r="L638" t="n">
        <v>0</v>
      </c>
      <c r="M638" t="n">
        <v>0</v>
      </c>
      <c r="N638" t="n">
        <v>0</v>
      </c>
      <c r="O638" t="n">
        <v>0</v>
      </c>
      <c r="P638" t="n">
        <v>0</v>
      </c>
      <c r="Q638" t="n">
        <v>0</v>
      </c>
      <c r="R638" s="2" t="inlineStr"/>
    </row>
    <row r="639" ht="15" customHeight="1">
      <c r="A639" t="inlineStr">
        <is>
          <t>A 45495-2025</t>
        </is>
      </c>
      <c r="B639" s="1" t="n">
        <v>45922.56369212963</v>
      </c>
      <c r="C639" s="1" t="n">
        <v>46172</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29850-2024</t>
        </is>
      </c>
      <c r="B640" s="1" t="n">
        <v>45485.64620370371</v>
      </c>
      <c r="C640" s="1" t="n">
        <v>46172</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45314-2025</t>
        </is>
      </c>
      <c r="B641" s="1" t="n">
        <v>45921.81738425926</v>
      </c>
      <c r="C641" s="1" t="n">
        <v>46172</v>
      </c>
      <c r="D641" t="inlineStr">
        <is>
          <t>SKÅNE LÄN</t>
        </is>
      </c>
      <c r="E641" t="inlineStr">
        <is>
          <t>HÄSSLEHOLM</t>
        </is>
      </c>
      <c r="G641" t="n">
        <v>2.4</v>
      </c>
      <c r="H641" t="n">
        <v>0</v>
      </c>
      <c r="I641" t="n">
        <v>0</v>
      </c>
      <c r="J641" t="n">
        <v>0</v>
      </c>
      <c r="K641" t="n">
        <v>0</v>
      </c>
      <c r="L641" t="n">
        <v>0</v>
      </c>
      <c r="M641" t="n">
        <v>0</v>
      </c>
      <c r="N641" t="n">
        <v>0</v>
      </c>
      <c r="O641" t="n">
        <v>0</v>
      </c>
      <c r="P641" t="n">
        <v>0</v>
      </c>
      <c r="Q641" t="n">
        <v>0</v>
      </c>
      <c r="R641" s="2" t="inlineStr"/>
    </row>
    <row r="642" ht="15" customHeight="1">
      <c r="A642" t="inlineStr">
        <is>
          <t>A 45763-2025</t>
        </is>
      </c>
      <c r="B642" s="1" t="n">
        <v>45923.51778935185</v>
      </c>
      <c r="C642" s="1" t="n">
        <v>46172</v>
      </c>
      <c r="D642" t="inlineStr">
        <is>
          <t>SKÅNE LÄN</t>
        </is>
      </c>
      <c r="E642" t="inlineStr">
        <is>
          <t>HÄSSLEHOLM</t>
        </is>
      </c>
      <c r="G642" t="n">
        <v>4.8</v>
      </c>
      <c r="H642" t="n">
        <v>0</v>
      </c>
      <c r="I642" t="n">
        <v>0</v>
      </c>
      <c r="J642" t="n">
        <v>0</v>
      </c>
      <c r="K642" t="n">
        <v>0</v>
      </c>
      <c r="L642" t="n">
        <v>0</v>
      </c>
      <c r="M642" t="n">
        <v>0</v>
      </c>
      <c r="N642" t="n">
        <v>0</v>
      </c>
      <c r="O642" t="n">
        <v>0</v>
      </c>
      <c r="P642" t="n">
        <v>0</v>
      </c>
      <c r="Q642" t="n">
        <v>0</v>
      </c>
      <c r="R642" s="2" t="inlineStr"/>
    </row>
    <row r="643" ht="15" customHeight="1">
      <c r="A643" t="inlineStr">
        <is>
          <t>A 45764-2025</t>
        </is>
      </c>
      <c r="B643" s="1" t="n">
        <v>45923.52037037037</v>
      </c>
      <c r="C643" s="1" t="n">
        <v>46172</v>
      </c>
      <c r="D643" t="inlineStr">
        <is>
          <t>SKÅNE LÄN</t>
        </is>
      </c>
      <c r="E643" t="inlineStr">
        <is>
          <t>HÄSSLEHOLM</t>
        </is>
      </c>
      <c r="G643" t="n">
        <v>6.3</v>
      </c>
      <c r="H643" t="n">
        <v>0</v>
      </c>
      <c r="I643" t="n">
        <v>0</v>
      </c>
      <c r="J643" t="n">
        <v>0</v>
      </c>
      <c r="K643" t="n">
        <v>0</v>
      </c>
      <c r="L643" t="n">
        <v>0</v>
      </c>
      <c r="M643" t="n">
        <v>0</v>
      </c>
      <c r="N643" t="n">
        <v>0</v>
      </c>
      <c r="O643" t="n">
        <v>0</v>
      </c>
      <c r="P643" t="n">
        <v>0</v>
      </c>
      <c r="Q643" t="n">
        <v>0</v>
      </c>
      <c r="R643" s="2" t="inlineStr"/>
    </row>
    <row r="644" ht="15" customHeight="1">
      <c r="A644" t="inlineStr">
        <is>
          <t>A 33257-2024</t>
        </is>
      </c>
      <c r="B644" s="1" t="n">
        <v>45518</v>
      </c>
      <c r="C644" s="1" t="n">
        <v>46172</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30007-2023</t>
        </is>
      </c>
      <c r="B645" s="1" t="n">
        <v>45109.80349537037</v>
      </c>
      <c r="C645" s="1" t="n">
        <v>46172</v>
      </c>
      <c r="D645" t="inlineStr">
        <is>
          <t>SKÅNE LÄN</t>
        </is>
      </c>
      <c r="E645" t="inlineStr">
        <is>
          <t>HÄSSLEHOLM</t>
        </is>
      </c>
      <c r="G645" t="n">
        <v>2.2</v>
      </c>
      <c r="H645" t="n">
        <v>0</v>
      </c>
      <c r="I645" t="n">
        <v>0</v>
      </c>
      <c r="J645" t="n">
        <v>0</v>
      </c>
      <c r="K645" t="n">
        <v>0</v>
      </c>
      <c r="L645" t="n">
        <v>0</v>
      </c>
      <c r="M645" t="n">
        <v>0</v>
      </c>
      <c r="N645" t="n">
        <v>0</v>
      </c>
      <c r="O645" t="n">
        <v>0</v>
      </c>
      <c r="P645" t="n">
        <v>0</v>
      </c>
      <c r="Q645" t="n">
        <v>0</v>
      </c>
      <c r="R645" s="2" t="inlineStr"/>
    </row>
    <row r="646" ht="15" customHeight="1">
      <c r="A646" t="inlineStr">
        <is>
          <t>A 45443-2025</t>
        </is>
      </c>
      <c r="B646" s="1" t="n">
        <v>45920</v>
      </c>
      <c r="C646" s="1" t="n">
        <v>46172</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45458-2025</t>
        </is>
      </c>
      <c r="B647" s="1" t="n">
        <v>45920</v>
      </c>
      <c r="C647" s="1" t="n">
        <v>46172</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45465-2025</t>
        </is>
      </c>
      <c r="B648" s="1" t="n">
        <v>45920</v>
      </c>
      <c r="C648" s="1" t="n">
        <v>46172</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45414-2025</t>
        </is>
      </c>
      <c r="B649" s="1" t="n">
        <v>45920</v>
      </c>
      <c r="C649" s="1" t="n">
        <v>46172</v>
      </c>
      <c r="D649" t="inlineStr">
        <is>
          <t>SKÅNE LÄN</t>
        </is>
      </c>
      <c r="E649" t="inlineStr">
        <is>
          <t>HÄSSLEHOLM</t>
        </is>
      </c>
      <c r="G649" t="n">
        <v>14.7</v>
      </c>
      <c r="H649" t="n">
        <v>0</v>
      </c>
      <c r="I649" t="n">
        <v>0</v>
      </c>
      <c r="J649" t="n">
        <v>0</v>
      </c>
      <c r="K649" t="n">
        <v>0</v>
      </c>
      <c r="L649" t="n">
        <v>0</v>
      </c>
      <c r="M649" t="n">
        <v>0</v>
      </c>
      <c r="N649" t="n">
        <v>0</v>
      </c>
      <c r="O649" t="n">
        <v>0</v>
      </c>
      <c r="P649" t="n">
        <v>0</v>
      </c>
      <c r="Q649" t="n">
        <v>0</v>
      </c>
      <c r="R649" s="2" t="inlineStr"/>
    </row>
    <row r="650" ht="15" customHeight="1">
      <c r="A650" t="inlineStr">
        <is>
          <t>A 4187-2023</t>
        </is>
      </c>
      <c r="B650" s="1" t="n">
        <v>44953</v>
      </c>
      <c r="C650" s="1" t="n">
        <v>46172</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29994-2023</t>
        </is>
      </c>
      <c r="B651" s="1" t="n">
        <v>45109.60038194444</v>
      </c>
      <c r="C651" s="1" t="n">
        <v>46172</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42231-2022</t>
        </is>
      </c>
      <c r="B652" s="1" t="n">
        <v>44830.77003472222</v>
      </c>
      <c r="C652" s="1" t="n">
        <v>46172</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45683-2025</t>
        </is>
      </c>
      <c r="B653" s="1" t="n">
        <v>45923.37590277778</v>
      </c>
      <c r="C653" s="1" t="n">
        <v>46172</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45516-2025</t>
        </is>
      </c>
      <c r="B654" s="1" t="n">
        <v>45922</v>
      </c>
      <c r="C654" s="1" t="n">
        <v>46172</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45514-2025</t>
        </is>
      </c>
      <c r="B655" s="1" t="n">
        <v>45922</v>
      </c>
      <c r="C655" s="1" t="n">
        <v>46172</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11121-2023</t>
        </is>
      </c>
      <c r="B656" s="1" t="n">
        <v>44986</v>
      </c>
      <c r="C656" s="1" t="n">
        <v>46172</v>
      </c>
      <c r="D656" t="inlineStr">
        <is>
          <t>SKÅNE LÄN</t>
        </is>
      </c>
      <c r="E656" t="inlineStr">
        <is>
          <t>HÄSSLEHOLM</t>
        </is>
      </c>
      <c r="F656" t="inlineStr">
        <is>
          <t>Kommuner</t>
        </is>
      </c>
      <c r="G656" t="n">
        <v>5.8</v>
      </c>
      <c r="H656" t="n">
        <v>0</v>
      </c>
      <c r="I656" t="n">
        <v>0</v>
      </c>
      <c r="J656" t="n">
        <v>0</v>
      </c>
      <c r="K656" t="n">
        <v>0</v>
      </c>
      <c r="L656" t="n">
        <v>0</v>
      </c>
      <c r="M656" t="n">
        <v>0</v>
      </c>
      <c r="N656" t="n">
        <v>0</v>
      </c>
      <c r="O656" t="n">
        <v>0</v>
      </c>
      <c r="P656" t="n">
        <v>0</v>
      </c>
      <c r="Q656" t="n">
        <v>0</v>
      </c>
      <c r="R656" s="2" t="inlineStr"/>
    </row>
    <row r="657" ht="15" customHeight="1">
      <c r="A657" t="inlineStr">
        <is>
          <t>A 11116-2023</t>
        </is>
      </c>
      <c r="B657" s="1" t="n">
        <v>44986</v>
      </c>
      <c r="C657" s="1" t="n">
        <v>46172</v>
      </c>
      <c r="D657" t="inlineStr">
        <is>
          <t>SKÅNE LÄN</t>
        </is>
      </c>
      <c r="E657" t="inlineStr">
        <is>
          <t>HÄSSLEHOLM</t>
        </is>
      </c>
      <c r="F657" t="inlineStr">
        <is>
          <t>Kommuner</t>
        </is>
      </c>
      <c r="G657" t="n">
        <v>15.1</v>
      </c>
      <c r="H657" t="n">
        <v>0</v>
      </c>
      <c r="I657" t="n">
        <v>0</v>
      </c>
      <c r="J657" t="n">
        <v>0</v>
      </c>
      <c r="K657" t="n">
        <v>0</v>
      </c>
      <c r="L657" t="n">
        <v>0</v>
      </c>
      <c r="M657" t="n">
        <v>0</v>
      </c>
      <c r="N657" t="n">
        <v>0</v>
      </c>
      <c r="O657" t="n">
        <v>0</v>
      </c>
      <c r="P657" t="n">
        <v>0</v>
      </c>
      <c r="Q657" t="n">
        <v>0</v>
      </c>
      <c r="R657" s="2" t="inlineStr"/>
    </row>
    <row r="658" ht="15" customHeight="1">
      <c r="A658" t="inlineStr">
        <is>
          <t>A 45762-2025</t>
        </is>
      </c>
      <c r="B658" s="1" t="n">
        <v>45923.51548611111</v>
      </c>
      <c r="C658" s="1" t="n">
        <v>46172</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59390-2021</t>
        </is>
      </c>
      <c r="B659" s="1" t="n">
        <v>44490</v>
      </c>
      <c r="C659" s="1" t="n">
        <v>46172</v>
      </c>
      <c r="D659" t="inlineStr">
        <is>
          <t>SKÅNE LÄN</t>
        </is>
      </c>
      <c r="E659" t="inlineStr">
        <is>
          <t>HÄSSLEHOLM</t>
        </is>
      </c>
      <c r="G659" t="n">
        <v>7.1</v>
      </c>
      <c r="H659" t="n">
        <v>0</v>
      </c>
      <c r="I659" t="n">
        <v>0</v>
      </c>
      <c r="J659" t="n">
        <v>0</v>
      </c>
      <c r="K659" t="n">
        <v>0</v>
      </c>
      <c r="L659" t="n">
        <v>0</v>
      </c>
      <c r="M659" t="n">
        <v>0</v>
      </c>
      <c r="N659" t="n">
        <v>0</v>
      </c>
      <c r="O659" t="n">
        <v>0</v>
      </c>
      <c r="P659" t="n">
        <v>0</v>
      </c>
      <c r="Q659" t="n">
        <v>0</v>
      </c>
      <c r="R659" s="2" t="inlineStr"/>
    </row>
    <row r="660" ht="15" customHeight="1">
      <c r="A660" t="inlineStr">
        <is>
          <t>A 24865-2024</t>
        </is>
      </c>
      <c r="B660" s="1" t="n">
        <v>45461.48974537037</v>
      </c>
      <c r="C660" s="1" t="n">
        <v>46172</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58272-2024</t>
        </is>
      </c>
      <c r="B661" s="1" t="n">
        <v>45632.57025462963</v>
      </c>
      <c r="C661" s="1" t="n">
        <v>46172</v>
      </c>
      <c r="D661" t="inlineStr">
        <is>
          <t>SKÅNE LÄN</t>
        </is>
      </c>
      <c r="E661" t="inlineStr">
        <is>
          <t>HÄSSLEHOLM</t>
        </is>
      </c>
      <c r="G661" t="n">
        <v>2.3</v>
      </c>
      <c r="H661" t="n">
        <v>0</v>
      </c>
      <c r="I661" t="n">
        <v>0</v>
      </c>
      <c r="J661" t="n">
        <v>0</v>
      </c>
      <c r="K661" t="n">
        <v>0</v>
      </c>
      <c r="L661" t="n">
        <v>0</v>
      </c>
      <c r="M661" t="n">
        <v>0</v>
      </c>
      <c r="N661" t="n">
        <v>0</v>
      </c>
      <c r="O661" t="n">
        <v>0</v>
      </c>
      <c r="P661" t="n">
        <v>0</v>
      </c>
      <c r="Q661" t="n">
        <v>0</v>
      </c>
      <c r="R661" s="2" t="inlineStr"/>
    </row>
    <row r="662" ht="15" customHeight="1">
      <c r="A662" t="inlineStr">
        <is>
          <t>A 9668-2025</t>
        </is>
      </c>
      <c r="B662" s="1" t="n">
        <v>45716</v>
      </c>
      <c r="C662" s="1" t="n">
        <v>46172</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18580-2023</t>
        </is>
      </c>
      <c r="B663" s="1" t="n">
        <v>45043.37037037037</v>
      </c>
      <c r="C663" s="1" t="n">
        <v>46172</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9611-2025</t>
        </is>
      </c>
      <c r="B664" s="1" t="n">
        <v>45715</v>
      </c>
      <c r="C664" s="1" t="n">
        <v>46172</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24906-2022</t>
        </is>
      </c>
      <c r="B665" s="1" t="n">
        <v>44728</v>
      </c>
      <c r="C665" s="1" t="n">
        <v>46172</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9678-2025</t>
        </is>
      </c>
      <c r="B666" s="1" t="n">
        <v>45716</v>
      </c>
      <c r="C666" s="1" t="n">
        <v>46172</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3890-2024</t>
        </is>
      </c>
      <c r="B667" s="1" t="n">
        <v>45322.45366898148</v>
      </c>
      <c r="C667" s="1" t="n">
        <v>46172</v>
      </c>
      <c r="D667" t="inlineStr">
        <is>
          <t>SKÅNE LÄN</t>
        </is>
      </c>
      <c r="E667" t="inlineStr">
        <is>
          <t>HÄSSLEHOLM</t>
        </is>
      </c>
      <c r="G667" t="n">
        <v>3</v>
      </c>
      <c r="H667" t="n">
        <v>0</v>
      </c>
      <c r="I667" t="n">
        <v>0</v>
      </c>
      <c r="J667" t="n">
        <v>0</v>
      </c>
      <c r="K667" t="n">
        <v>0</v>
      </c>
      <c r="L667" t="n">
        <v>0</v>
      </c>
      <c r="M667" t="n">
        <v>0</v>
      </c>
      <c r="N667" t="n">
        <v>0</v>
      </c>
      <c r="O667" t="n">
        <v>0</v>
      </c>
      <c r="P667" t="n">
        <v>0</v>
      </c>
      <c r="Q667" t="n">
        <v>0</v>
      </c>
      <c r="R667" s="2" t="inlineStr"/>
    </row>
    <row r="668" ht="15" customHeight="1">
      <c r="A668" t="inlineStr">
        <is>
          <t>A 15800-2025</t>
        </is>
      </c>
      <c r="B668" s="1" t="n">
        <v>45748.64831018518</v>
      </c>
      <c r="C668" s="1" t="n">
        <v>46172</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3452-2023</t>
        </is>
      </c>
      <c r="B669" s="1" t="n">
        <v>44949</v>
      </c>
      <c r="C669" s="1" t="n">
        <v>46172</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50525-2024</t>
        </is>
      </c>
      <c r="B670" s="1" t="n">
        <v>45601</v>
      </c>
      <c r="C670" s="1" t="n">
        <v>46172</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260-2024</t>
        </is>
      </c>
      <c r="B671" s="1" t="n">
        <v>45294</v>
      </c>
      <c r="C671" s="1" t="n">
        <v>46172</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5016-2024</t>
        </is>
      </c>
      <c r="B672" s="1" t="n">
        <v>45329</v>
      </c>
      <c r="C672" s="1" t="n">
        <v>46172</v>
      </c>
      <c r="D672" t="inlineStr">
        <is>
          <t>SKÅNE LÄN</t>
        </is>
      </c>
      <c r="E672" t="inlineStr">
        <is>
          <t>HÄSSLEHOLM</t>
        </is>
      </c>
      <c r="G672" t="n">
        <v>3.2</v>
      </c>
      <c r="H672" t="n">
        <v>0</v>
      </c>
      <c r="I672" t="n">
        <v>0</v>
      </c>
      <c r="J672" t="n">
        <v>0</v>
      </c>
      <c r="K672" t="n">
        <v>0</v>
      </c>
      <c r="L672" t="n">
        <v>0</v>
      </c>
      <c r="M672" t="n">
        <v>0</v>
      </c>
      <c r="N672" t="n">
        <v>0</v>
      </c>
      <c r="O672" t="n">
        <v>0</v>
      </c>
      <c r="P672" t="n">
        <v>0</v>
      </c>
      <c r="Q672" t="n">
        <v>0</v>
      </c>
      <c r="R672" s="2" t="inlineStr"/>
    </row>
    <row r="673" ht="15" customHeight="1">
      <c r="A673" t="inlineStr">
        <is>
          <t>A 11603-2025</t>
        </is>
      </c>
      <c r="B673" s="1" t="n">
        <v>45727</v>
      </c>
      <c r="C673" s="1" t="n">
        <v>46172</v>
      </c>
      <c r="D673" t="inlineStr">
        <is>
          <t>SKÅNE LÄN</t>
        </is>
      </c>
      <c r="E673" t="inlineStr">
        <is>
          <t>HÄSSLEHOLM</t>
        </is>
      </c>
      <c r="G673" t="n">
        <v>5.6</v>
      </c>
      <c r="H673" t="n">
        <v>0</v>
      </c>
      <c r="I673" t="n">
        <v>0</v>
      </c>
      <c r="J673" t="n">
        <v>0</v>
      </c>
      <c r="K673" t="n">
        <v>0</v>
      </c>
      <c r="L673" t="n">
        <v>0</v>
      </c>
      <c r="M673" t="n">
        <v>0</v>
      </c>
      <c r="N673" t="n">
        <v>0</v>
      </c>
      <c r="O673" t="n">
        <v>0</v>
      </c>
      <c r="P673" t="n">
        <v>0</v>
      </c>
      <c r="Q673" t="n">
        <v>0</v>
      </c>
      <c r="R673" s="2" t="inlineStr"/>
    </row>
    <row r="674" ht="15" customHeight="1">
      <c r="A674" t="inlineStr">
        <is>
          <t>A 46786-2025</t>
        </is>
      </c>
      <c r="B674" s="1" t="n">
        <v>45926.64484953704</v>
      </c>
      <c r="C674" s="1" t="n">
        <v>46172</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13897-2024</t>
        </is>
      </c>
      <c r="B675" s="1" t="n">
        <v>45391</v>
      </c>
      <c r="C675" s="1" t="n">
        <v>46172</v>
      </c>
      <c r="D675" t="inlineStr">
        <is>
          <t>SKÅNE LÄN</t>
        </is>
      </c>
      <c r="E675" t="inlineStr">
        <is>
          <t>HÄSSLEHOLM</t>
        </is>
      </c>
      <c r="F675" t="inlineStr">
        <is>
          <t>Kommuner</t>
        </is>
      </c>
      <c r="G675" t="n">
        <v>4</v>
      </c>
      <c r="H675" t="n">
        <v>0</v>
      </c>
      <c r="I675" t="n">
        <v>0</v>
      </c>
      <c r="J675" t="n">
        <v>0</v>
      </c>
      <c r="K675" t="n">
        <v>0</v>
      </c>
      <c r="L675" t="n">
        <v>0</v>
      </c>
      <c r="M675" t="n">
        <v>0</v>
      </c>
      <c r="N675" t="n">
        <v>0</v>
      </c>
      <c r="O675" t="n">
        <v>0</v>
      </c>
      <c r="P675" t="n">
        <v>0</v>
      </c>
      <c r="Q675" t="n">
        <v>0</v>
      </c>
      <c r="R675" s="2" t="inlineStr"/>
    </row>
    <row r="676" ht="15" customHeight="1">
      <c r="A676" t="inlineStr">
        <is>
          <t>A 56355-2023</t>
        </is>
      </c>
      <c r="B676" s="1" t="n">
        <v>45243.3702662037</v>
      </c>
      <c r="C676" s="1" t="n">
        <v>46172</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47126-2025</t>
        </is>
      </c>
      <c r="B677" s="1" t="n">
        <v>45929.685625</v>
      </c>
      <c r="C677" s="1" t="n">
        <v>46172</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47127-2025</t>
        </is>
      </c>
      <c r="B678" s="1" t="n">
        <v>45929.6893287037</v>
      </c>
      <c r="C678" s="1" t="n">
        <v>46172</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25206-2023</t>
        </is>
      </c>
      <c r="B679" s="1" t="n">
        <v>45086.59318287037</v>
      </c>
      <c r="C679" s="1" t="n">
        <v>46172</v>
      </c>
      <c r="D679" t="inlineStr">
        <is>
          <t>SKÅNE LÄN</t>
        </is>
      </c>
      <c r="E679" t="inlineStr">
        <is>
          <t>HÄSSLEHOLM</t>
        </is>
      </c>
      <c r="G679" t="n">
        <v>2.9</v>
      </c>
      <c r="H679" t="n">
        <v>0</v>
      </c>
      <c r="I679" t="n">
        <v>0</v>
      </c>
      <c r="J679" t="n">
        <v>0</v>
      </c>
      <c r="K679" t="n">
        <v>0</v>
      </c>
      <c r="L679" t="n">
        <v>0</v>
      </c>
      <c r="M679" t="n">
        <v>0</v>
      </c>
      <c r="N679" t="n">
        <v>0</v>
      </c>
      <c r="O679" t="n">
        <v>0</v>
      </c>
      <c r="P679" t="n">
        <v>0</v>
      </c>
      <c r="Q679" t="n">
        <v>0</v>
      </c>
      <c r="R679" s="2" t="inlineStr"/>
    </row>
    <row r="680" ht="15" customHeight="1">
      <c r="A680" t="inlineStr">
        <is>
          <t>A 25221-2023</t>
        </is>
      </c>
      <c r="B680" s="1" t="n">
        <v>45086.60842592592</v>
      </c>
      <c r="C680" s="1" t="n">
        <v>46172</v>
      </c>
      <c r="D680" t="inlineStr">
        <is>
          <t>SKÅNE LÄN</t>
        </is>
      </c>
      <c r="E680" t="inlineStr">
        <is>
          <t>HÄSSLEHOLM</t>
        </is>
      </c>
      <c r="G680" t="n">
        <v>2.5</v>
      </c>
      <c r="H680" t="n">
        <v>0</v>
      </c>
      <c r="I680" t="n">
        <v>0</v>
      </c>
      <c r="J680" t="n">
        <v>0</v>
      </c>
      <c r="K680" t="n">
        <v>0</v>
      </c>
      <c r="L680" t="n">
        <v>0</v>
      </c>
      <c r="M680" t="n">
        <v>0</v>
      </c>
      <c r="N680" t="n">
        <v>0</v>
      </c>
      <c r="O680" t="n">
        <v>0</v>
      </c>
      <c r="P680" t="n">
        <v>0</v>
      </c>
      <c r="Q680" t="n">
        <v>0</v>
      </c>
      <c r="R680" s="2" t="inlineStr"/>
    </row>
    <row r="681" ht="15" customHeight="1">
      <c r="A681" t="inlineStr">
        <is>
          <t>A 57272-2023</t>
        </is>
      </c>
      <c r="B681" s="1" t="n">
        <v>45245</v>
      </c>
      <c r="C681" s="1" t="n">
        <v>46172</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13856-2025</t>
        </is>
      </c>
      <c r="B682" s="1" t="n">
        <v>45737.57289351852</v>
      </c>
      <c r="C682" s="1" t="n">
        <v>46172</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59246-2024</t>
        </is>
      </c>
      <c r="B683" s="1" t="n">
        <v>45636</v>
      </c>
      <c r="C683" s="1" t="n">
        <v>46172</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20800-2023</t>
        </is>
      </c>
      <c r="B684" s="1" t="n">
        <v>45058.61640046296</v>
      </c>
      <c r="C684" s="1" t="n">
        <v>46172</v>
      </c>
      <c r="D684" t="inlineStr">
        <is>
          <t>SKÅNE LÄN</t>
        </is>
      </c>
      <c r="E684" t="inlineStr">
        <is>
          <t>HÄSSLEHOLM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46761-2025</t>
        </is>
      </c>
      <c r="B685" s="1" t="n">
        <v>45926.62289351852</v>
      </c>
      <c r="C685" s="1" t="n">
        <v>46172</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11019-2025</t>
        </is>
      </c>
      <c r="B686" s="1" t="n">
        <v>45723</v>
      </c>
      <c r="C686" s="1" t="n">
        <v>46172</v>
      </c>
      <c r="D686" t="inlineStr">
        <is>
          <t>SKÅNE LÄN</t>
        </is>
      </c>
      <c r="E686" t="inlineStr">
        <is>
          <t>HÄSSLEHOLM</t>
        </is>
      </c>
      <c r="G686" t="n">
        <v>3.2</v>
      </c>
      <c r="H686" t="n">
        <v>0</v>
      </c>
      <c r="I686" t="n">
        <v>0</v>
      </c>
      <c r="J686" t="n">
        <v>0</v>
      </c>
      <c r="K686" t="n">
        <v>0</v>
      </c>
      <c r="L686" t="n">
        <v>0</v>
      </c>
      <c r="M686" t="n">
        <v>0</v>
      </c>
      <c r="N686" t="n">
        <v>0</v>
      </c>
      <c r="O686" t="n">
        <v>0</v>
      </c>
      <c r="P686" t="n">
        <v>0</v>
      </c>
      <c r="Q686" t="n">
        <v>0</v>
      </c>
      <c r="R686" s="2" t="inlineStr"/>
    </row>
    <row r="687" ht="15" customHeight="1">
      <c r="A687" t="inlineStr">
        <is>
          <t>A 46855-2025</t>
        </is>
      </c>
      <c r="B687" s="1" t="n">
        <v>45928.88497685185</v>
      </c>
      <c r="C687" s="1" t="n">
        <v>46172</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46605-2025</t>
        </is>
      </c>
      <c r="B688" s="1" t="n">
        <v>45926.41214120371</v>
      </c>
      <c r="C688" s="1" t="n">
        <v>46172</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11681-2023</t>
        </is>
      </c>
      <c r="B689" s="1" t="n">
        <v>44992</v>
      </c>
      <c r="C689" s="1" t="n">
        <v>46172</v>
      </c>
      <c r="D689" t="inlineStr">
        <is>
          <t>SKÅNE LÄN</t>
        </is>
      </c>
      <c r="E689" t="inlineStr">
        <is>
          <t>HÄSSLEHOLM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48889-2024</t>
        </is>
      </c>
      <c r="B690" s="1" t="n">
        <v>45594.33754629629</v>
      </c>
      <c r="C690" s="1" t="n">
        <v>46172</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33927-2021</t>
        </is>
      </c>
      <c r="B691" s="1" t="n">
        <v>44378</v>
      </c>
      <c r="C691" s="1" t="n">
        <v>46172</v>
      </c>
      <c r="D691" t="inlineStr">
        <is>
          <t>SKÅNE LÄN</t>
        </is>
      </c>
      <c r="E691" t="inlineStr">
        <is>
          <t>HÄSSLEHOLM</t>
        </is>
      </c>
      <c r="G691" t="n">
        <v>16.7</v>
      </c>
      <c r="H691" t="n">
        <v>0</v>
      </c>
      <c r="I691" t="n">
        <v>0</v>
      </c>
      <c r="J691" t="n">
        <v>0</v>
      </c>
      <c r="K691" t="n">
        <v>0</v>
      </c>
      <c r="L691" t="n">
        <v>0</v>
      </c>
      <c r="M691" t="n">
        <v>0</v>
      </c>
      <c r="N691" t="n">
        <v>0</v>
      </c>
      <c r="O691" t="n">
        <v>0</v>
      </c>
      <c r="P691" t="n">
        <v>0</v>
      </c>
      <c r="Q691" t="n">
        <v>0</v>
      </c>
      <c r="R691" s="2" t="inlineStr"/>
    </row>
    <row r="692" ht="15" customHeight="1">
      <c r="A692" t="inlineStr">
        <is>
          <t>A 7305-2025</t>
        </is>
      </c>
      <c r="B692" s="1" t="n">
        <v>45702</v>
      </c>
      <c r="C692" s="1" t="n">
        <v>46172</v>
      </c>
      <c r="D692" t="inlineStr">
        <is>
          <t>SKÅNE LÄN</t>
        </is>
      </c>
      <c r="E692" t="inlineStr">
        <is>
          <t>HÄSSLEHOLM</t>
        </is>
      </c>
      <c r="F692" t="inlineStr">
        <is>
          <t>Övriga Aktiebolag</t>
        </is>
      </c>
      <c r="G692" t="n">
        <v>2.2</v>
      </c>
      <c r="H692" t="n">
        <v>0</v>
      </c>
      <c r="I692" t="n">
        <v>0</v>
      </c>
      <c r="J692" t="n">
        <v>0</v>
      </c>
      <c r="K692" t="n">
        <v>0</v>
      </c>
      <c r="L692" t="n">
        <v>0</v>
      </c>
      <c r="M692" t="n">
        <v>0</v>
      </c>
      <c r="N692" t="n">
        <v>0</v>
      </c>
      <c r="O692" t="n">
        <v>0</v>
      </c>
      <c r="P692" t="n">
        <v>0</v>
      </c>
      <c r="Q692" t="n">
        <v>0</v>
      </c>
      <c r="R692" s="2" t="inlineStr"/>
    </row>
    <row r="693" ht="15" customHeight="1">
      <c r="A693" t="inlineStr">
        <is>
          <t>A 8263-2025</t>
        </is>
      </c>
      <c r="B693" s="1" t="n">
        <v>45708.50398148148</v>
      </c>
      <c r="C693" s="1" t="n">
        <v>46172</v>
      </c>
      <c r="D693" t="inlineStr">
        <is>
          <t>SKÅNE LÄN</t>
        </is>
      </c>
      <c r="E693" t="inlineStr">
        <is>
          <t>HÄSSLEHOLM</t>
        </is>
      </c>
      <c r="G693" t="n">
        <v>2.9</v>
      </c>
      <c r="H693" t="n">
        <v>0</v>
      </c>
      <c r="I693" t="n">
        <v>0</v>
      </c>
      <c r="J693" t="n">
        <v>0</v>
      </c>
      <c r="K693" t="n">
        <v>0</v>
      </c>
      <c r="L693" t="n">
        <v>0</v>
      </c>
      <c r="M693" t="n">
        <v>0</v>
      </c>
      <c r="N693" t="n">
        <v>0</v>
      </c>
      <c r="O693" t="n">
        <v>0</v>
      </c>
      <c r="P693" t="n">
        <v>0</v>
      </c>
      <c r="Q693" t="n">
        <v>0</v>
      </c>
      <c r="R693" s="2" t="inlineStr"/>
    </row>
    <row r="694" ht="15" customHeight="1">
      <c r="A694" t="inlineStr">
        <is>
          <t>A 29275-2023</t>
        </is>
      </c>
      <c r="B694" s="1" t="n">
        <v>45105</v>
      </c>
      <c r="C694" s="1" t="n">
        <v>46172</v>
      </c>
      <c r="D694" t="inlineStr">
        <is>
          <t>SKÅNE LÄN</t>
        </is>
      </c>
      <c r="E694" t="inlineStr">
        <is>
          <t>HÄSSLEHOLM</t>
        </is>
      </c>
      <c r="G694" t="n">
        <v>2.1</v>
      </c>
      <c r="H694" t="n">
        <v>0</v>
      </c>
      <c r="I694" t="n">
        <v>0</v>
      </c>
      <c r="J694" t="n">
        <v>0</v>
      </c>
      <c r="K694" t="n">
        <v>0</v>
      </c>
      <c r="L694" t="n">
        <v>0</v>
      </c>
      <c r="M694" t="n">
        <v>0</v>
      </c>
      <c r="N694" t="n">
        <v>0</v>
      </c>
      <c r="O694" t="n">
        <v>0</v>
      </c>
      <c r="P694" t="n">
        <v>0</v>
      </c>
      <c r="Q694" t="n">
        <v>0</v>
      </c>
      <c r="R694" s="2" t="inlineStr"/>
    </row>
    <row r="695" ht="15" customHeight="1">
      <c r="A695" t="inlineStr">
        <is>
          <t>A 5116-2023</t>
        </is>
      </c>
      <c r="B695" s="1" t="n">
        <v>44958.67546296296</v>
      </c>
      <c r="C695" s="1" t="n">
        <v>46172</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21206-2025</t>
        </is>
      </c>
      <c r="B696" s="1" t="n">
        <v>45779.48318287037</v>
      </c>
      <c r="C696" s="1" t="n">
        <v>46172</v>
      </c>
      <c r="D696" t="inlineStr">
        <is>
          <t>SKÅNE LÄN</t>
        </is>
      </c>
      <c r="E696" t="inlineStr">
        <is>
          <t>HÄSSLEHOLM</t>
        </is>
      </c>
      <c r="G696" t="n">
        <v>2.2</v>
      </c>
      <c r="H696" t="n">
        <v>0</v>
      </c>
      <c r="I696" t="n">
        <v>0</v>
      </c>
      <c r="J696" t="n">
        <v>0</v>
      </c>
      <c r="K696" t="n">
        <v>0</v>
      </c>
      <c r="L696" t="n">
        <v>0</v>
      </c>
      <c r="M696" t="n">
        <v>0</v>
      </c>
      <c r="N696" t="n">
        <v>0</v>
      </c>
      <c r="O696" t="n">
        <v>0</v>
      </c>
      <c r="P696" t="n">
        <v>0</v>
      </c>
      <c r="Q696" t="n">
        <v>0</v>
      </c>
      <c r="R696" s="2" t="inlineStr"/>
    </row>
    <row r="697" ht="15" customHeight="1">
      <c r="A697" t="inlineStr">
        <is>
          <t>A 13018-2024</t>
        </is>
      </c>
      <c r="B697" s="1" t="n">
        <v>45385.58274305556</v>
      </c>
      <c r="C697" s="1" t="n">
        <v>46172</v>
      </c>
      <c r="D697" t="inlineStr">
        <is>
          <t>SKÅNE LÄN</t>
        </is>
      </c>
      <c r="E697" t="inlineStr">
        <is>
          <t>HÄSSLEHOLM</t>
        </is>
      </c>
      <c r="G697" t="n">
        <v>4.8</v>
      </c>
      <c r="H697" t="n">
        <v>0</v>
      </c>
      <c r="I697" t="n">
        <v>0</v>
      </c>
      <c r="J697" t="n">
        <v>0</v>
      </c>
      <c r="K697" t="n">
        <v>0</v>
      </c>
      <c r="L697" t="n">
        <v>0</v>
      </c>
      <c r="M697" t="n">
        <v>0</v>
      </c>
      <c r="N697" t="n">
        <v>0</v>
      </c>
      <c r="O697" t="n">
        <v>0</v>
      </c>
      <c r="P697" t="n">
        <v>0</v>
      </c>
      <c r="Q697" t="n">
        <v>0</v>
      </c>
      <c r="R697" s="2" t="inlineStr"/>
    </row>
    <row r="698" ht="15" customHeight="1">
      <c r="A698" t="inlineStr">
        <is>
          <t>A 42364-2023</t>
        </is>
      </c>
      <c r="B698" s="1" t="n">
        <v>45180.54754629629</v>
      </c>
      <c r="C698" s="1" t="n">
        <v>46172</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54408-2024</t>
        </is>
      </c>
      <c r="B699" s="1" t="n">
        <v>45617.47263888889</v>
      </c>
      <c r="C699" s="1" t="n">
        <v>46172</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25726-2025</t>
        </is>
      </c>
      <c r="B700" s="1" t="n">
        <v>45803</v>
      </c>
      <c r="C700" s="1" t="n">
        <v>46172</v>
      </c>
      <c r="D700" t="inlineStr">
        <is>
          <t>SKÅNE LÄN</t>
        </is>
      </c>
      <c r="E700" t="inlineStr">
        <is>
          <t>HÄSSLEHOLM</t>
        </is>
      </c>
      <c r="G700" t="n">
        <v>5.5</v>
      </c>
      <c r="H700" t="n">
        <v>0</v>
      </c>
      <c r="I700" t="n">
        <v>0</v>
      </c>
      <c r="J700" t="n">
        <v>0</v>
      </c>
      <c r="K700" t="n">
        <v>0</v>
      </c>
      <c r="L700" t="n">
        <v>0</v>
      </c>
      <c r="M700" t="n">
        <v>0</v>
      </c>
      <c r="N700" t="n">
        <v>0</v>
      </c>
      <c r="O700" t="n">
        <v>0</v>
      </c>
      <c r="P700" t="n">
        <v>0</v>
      </c>
      <c r="Q700" t="n">
        <v>0</v>
      </c>
      <c r="R700" s="2" t="inlineStr"/>
    </row>
    <row r="701" ht="15" customHeight="1">
      <c r="A701" t="inlineStr">
        <is>
          <t>A 22595-2024</t>
        </is>
      </c>
      <c r="B701" s="1" t="n">
        <v>45447.61053240741</v>
      </c>
      <c r="C701" s="1" t="n">
        <v>46172</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47259-2025</t>
        </is>
      </c>
      <c r="B702" s="1" t="n">
        <v>45930</v>
      </c>
      <c r="C702" s="1" t="n">
        <v>46172</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47473-2025</t>
        </is>
      </c>
      <c r="B703" s="1" t="n">
        <v>45930.67763888889</v>
      </c>
      <c r="C703" s="1" t="n">
        <v>46172</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60704-2023</t>
        </is>
      </c>
      <c r="B704" s="1" t="n">
        <v>45260.51340277777</v>
      </c>
      <c r="C704" s="1" t="n">
        <v>46172</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5780-2024</t>
        </is>
      </c>
      <c r="B705" s="1" t="n">
        <v>45335.41983796296</v>
      </c>
      <c r="C705" s="1" t="n">
        <v>46172</v>
      </c>
      <c r="D705" t="inlineStr">
        <is>
          <t>SKÅNE LÄN</t>
        </is>
      </c>
      <c r="E705" t="inlineStr">
        <is>
          <t>HÄSSLEHOLM</t>
        </is>
      </c>
      <c r="G705" t="n">
        <v>2.5</v>
      </c>
      <c r="H705" t="n">
        <v>0</v>
      </c>
      <c r="I705" t="n">
        <v>0</v>
      </c>
      <c r="J705" t="n">
        <v>0</v>
      </c>
      <c r="K705" t="n">
        <v>0</v>
      </c>
      <c r="L705" t="n">
        <v>0</v>
      </c>
      <c r="M705" t="n">
        <v>0</v>
      </c>
      <c r="N705" t="n">
        <v>0</v>
      </c>
      <c r="O705" t="n">
        <v>0</v>
      </c>
      <c r="P705" t="n">
        <v>0</v>
      </c>
      <c r="Q705" t="n">
        <v>0</v>
      </c>
      <c r="R705" s="2" t="inlineStr"/>
    </row>
    <row r="706" ht="15" customHeight="1">
      <c r="A706" t="inlineStr">
        <is>
          <t>A 47466-2025</t>
        </is>
      </c>
      <c r="B706" s="1" t="n">
        <v>45930.66677083333</v>
      </c>
      <c r="C706" s="1" t="n">
        <v>46172</v>
      </c>
      <c r="D706" t="inlineStr">
        <is>
          <t>SKÅNE LÄN</t>
        </is>
      </c>
      <c r="E706" t="inlineStr">
        <is>
          <t>HÄSSLEHOLM</t>
        </is>
      </c>
      <c r="G706" t="n">
        <v>1.8</v>
      </c>
      <c r="H706" t="n">
        <v>0</v>
      </c>
      <c r="I706" t="n">
        <v>0</v>
      </c>
      <c r="J706" t="n">
        <v>0</v>
      </c>
      <c r="K706" t="n">
        <v>0</v>
      </c>
      <c r="L706" t="n">
        <v>0</v>
      </c>
      <c r="M706" t="n">
        <v>0</v>
      </c>
      <c r="N706" t="n">
        <v>0</v>
      </c>
      <c r="O706" t="n">
        <v>0</v>
      </c>
      <c r="P706" t="n">
        <v>0</v>
      </c>
      <c r="Q706" t="n">
        <v>0</v>
      </c>
      <c r="R706" s="2" t="inlineStr"/>
    </row>
    <row r="707" ht="15" customHeight="1">
      <c r="A707" t="inlineStr">
        <is>
          <t>A 48184-2025</t>
        </is>
      </c>
      <c r="B707" s="1" t="n">
        <v>45933.46131944445</v>
      </c>
      <c r="C707" s="1" t="n">
        <v>46172</v>
      </c>
      <c r="D707" t="inlineStr">
        <is>
          <t>SKÅNE LÄN</t>
        </is>
      </c>
      <c r="E707" t="inlineStr">
        <is>
          <t>HÄSSLEHOLM</t>
        </is>
      </c>
      <c r="G707" t="n">
        <v>3</v>
      </c>
      <c r="H707" t="n">
        <v>0</v>
      </c>
      <c r="I707" t="n">
        <v>0</v>
      </c>
      <c r="J707" t="n">
        <v>0</v>
      </c>
      <c r="K707" t="n">
        <v>0</v>
      </c>
      <c r="L707" t="n">
        <v>0</v>
      </c>
      <c r="M707" t="n">
        <v>0</v>
      </c>
      <c r="N707" t="n">
        <v>0</v>
      </c>
      <c r="O707" t="n">
        <v>0</v>
      </c>
      <c r="P707" t="n">
        <v>0</v>
      </c>
      <c r="Q707" t="n">
        <v>0</v>
      </c>
      <c r="R707" s="2" t="inlineStr"/>
    </row>
    <row r="708" ht="15" customHeight="1">
      <c r="A708" t="inlineStr">
        <is>
          <t>A 48185-2025</t>
        </is>
      </c>
      <c r="B708" s="1" t="n">
        <v>45933.46434027778</v>
      </c>
      <c r="C708" s="1" t="n">
        <v>46172</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7481-2023</t>
        </is>
      </c>
      <c r="B709" s="1" t="n">
        <v>44971</v>
      </c>
      <c r="C709" s="1" t="n">
        <v>46172</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20279-2025</t>
        </is>
      </c>
      <c r="B710" s="1" t="n">
        <v>45774.38643518519</v>
      </c>
      <c r="C710" s="1" t="n">
        <v>46172</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59431-2023</t>
        </is>
      </c>
      <c r="B711" s="1" t="n">
        <v>45254.29207175926</v>
      </c>
      <c r="C711" s="1" t="n">
        <v>46172</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59433-2023</t>
        </is>
      </c>
      <c r="B712" s="1" t="n">
        <v>45254.29768518519</v>
      </c>
      <c r="C712" s="1" t="n">
        <v>46172</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59728-2022</t>
        </is>
      </c>
      <c r="B713" s="1" t="n">
        <v>44900</v>
      </c>
      <c r="C713" s="1" t="n">
        <v>46172</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55416-2021</t>
        </is>
      </c>
      <c r="B714" s="1" t="n">
        <v>44475</v>
      </c>
      <c r="C714" s="1" t="n">
        <v>46172</v>
      </c>
      <c r="D714" t="inlineStr">
        <is>
          <t>SKÅNE LÄN</t>
        </is>
      </c>
      <c r="E714" t="inlineStr">
        <is>
          <t>HÄSSLEHOLM</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23683-2023</t>
        </is>
      </c>
      <c r="B715" s="1" t="n">
        <v>45077</v>
      </c>
      <c r="C715" s="1" t="n">
        <v>46172</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4579-2025</t>
        </is>
      </c>
      <c r="B716" s="1" t="n">
        <v>45687.5009375</v>
      </c>
      <c r="C716" s="1" t="n">
        <v>46172</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21141-2024</t>
        </is>
      </c>
      <c r="B717" s="1" t="n">
        <v>45440.39012731481</v>
      </c>
      <c r="C717" s="1" t="n">
        <v>46172</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2663-2023</t>
        </is>
      </c>
      <c r="B718" s="1" t="n">
        <v>44942</v>
      </c>
      <c r="C718" s="1" t="n">
        <v>46172</v>
      </c>
      <c r="D718" t="inlineStr">
        <is>
          <t>SKÅNE LÄN</t>
        </is>
      </c>
      <c r="E718" t="inlineStr">
        <is>
          <t>HÄSSLEHOLM</t>
        </is>
      </c>
      <c r="F718" t="inlineStr">
        <is>
          <t>Kyrkan</t>
        </is>
      </c>
      <c r="G718" t="n">
        <v>0.8</v>
      </c>
      <c r="H718" t="n">
        <v>0</v>
      </c>
      <c r="I718" t="n">
        <v>0</v>
      </c>
      <c r="J718" t="n">
        <v>0</v>
      </c>
      <c r="K718" t="n">
        <v>0</v>
      </c>
      <c r="L718" t="n">
        <v>0</v>
      </c>
      <c r="M718" t="n">
        <v>0</v>
      </c>
      <c r="N718" t="n">
        <v>0</v>
      </c>
      <c r="O718" t="n">
        <v>0</v>
      </c>
      <c r="P718" t="n">
        <v>0</v>
      </c>
      <c r="Q718" t="n">
        <v>0</v>
      </c>
      <c r="R718" s="2" t="inlineStr"/>
    </row>
    <row r="719" ht="15" customHeight="1">
      <c r="A719" t="inlineStr">
        <is>
          <t>A 49379-2021</t>
        </is>
      </c>
      <c r="B719" s="1" t="n">
        <v>44454</v>
      </c>
      <c r="C719" s="1" t="n">
        <v>46172</v>
      </c>
      <c r="D719" t="inlineStr">
        <is>
          <t>SKÅNE LÄN</t>
        </is>
      </c>
      <c r="E719" t="inlineStr">
        <is>
          <t>HÄSSLEHOLM</t>
        </is>
      </c>
      <c r="G719" t="n">
        <v>1.4</v>
      </c>
      <c r="H719" t="n">
        <v>0</v>
      </c>
      <c r="I719" t="n">
        <v>0</v>
      </c>
      <c r="J719" t="n">
        <v>0</v>
      </c>
      <c r="K719" t="n">
        <v>0</v>
      </c>
      <c r="L719" t="n">
        <v>0</v>
      </c>
      <c r="M719" t="n">
        <v>0</v>
      </c>
      <c r="N719" t="n">
        <v>0</v>
      </c>
      <c r="O719" t="n">
        <v>0</v>
      </c>
      <c r="P719" t="n">
        <v>0</v>
      </c>
      <c r="Q719" t="n">
        <v>0</v>
      </c>
      <c r="R719" s="2" t="inlineStr"/>
    </row>
    <row r="720" ht="15" customHeight="1">
      <c r="A720" t="inlineStr">
        <is>
          <t>A 23172-2022</t>
        </is>
      </c>
      <c r="B720" s="1" t="n">
        <v>44719</v>
      </c>
      <c r="C720" s="1" t="n">
        <v>46172</v>
      </c>
      <c r="D720" t="inlineStr">
        <is>
          <t>SKÅNE LÄN</t>
        </is>
      </c>
      <c r="E720" t="inlineStr">
        <is>
          <t>HÄSSLEHOLM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23173-2022</t>
        </is>
      </c>
      <c r="B721" s="1" t="n">
        <v>44719.72155092593</v>
      </c>
      <c r="C721" s="1" t="n">
        <v>46172</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36240-2023</t>
        </is>
      </c>
      <c r="B722" s="1" t="n">
        <v>45150.89295138889</v>
      </c>
      <c r="C722" s="1" t="n">
        <v>46172</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13851-2025</t>
        </is>
      </c>
      <c r="B723" s="1" t="n">
        <v>45737.56777777777</v>
      </c>
      <c r="C723" s="1" t="n">
        <v>46172</v>
      </c>
      <c r="D723" t="inlineStr">
        <is>
          <t>SKÅNE LÄN</t>
        </is>
      </c>
      <c r="E723" t="inlineStr">
        <is>
          <t>HÄSSLEHOLM</t>
        </is>
      </c>
      <c r="G723" t="n">
        <v>3</v>
      </c>
      <c r="H723" t="n">
        <v>0</v>
      </c>
      <c r="I723" t="n">
        <v>0</v>
      </c>
      <c r="J723" t="n">
        <v>0</v>
      </c>
      <c r="K723" t="n">
        <v>0</v>
      </c>
      <c r="L723" t="n">
        <v>0</v>
      </c>
      <c r="M723" t="n">
        <v>0</v>
      </c>
      <c r="N723" t="n">
        <v>0</v>
      </c>
      <c r="O723" t="n">
        <v>0</v>
      </c>
      <c r="P723" t="n">
        <v>0</v>
      </c>
      <c r="Q723" t="n">
        <v>0</v>
      </c>
      <c r="R723" s="2" t="inlineStr"/>
    </row>
    <row r="724" ht="15" customHeight="1">
      <c r="A724" t="inlineStr">
        <is>
          <t>A 12469-2023</t>
        </is>
      </c>
      <c r="B724" s="1" t="n">
        <v>44999.62109953703</v>
      </c>
      <c r="C724" s="1" t="n">
        <v>46172</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17492-2025</t>
        </is>
      </c>
      <c r="B725" s="1" t="n">
        <v>45747</v>
      </c>
      <c r="C725" s="1" t="n">
        <v>46172</v>
      </c>
      <c r="D725" t="inlineStr">
        <is>
          <t>SKÅNE LÄN</t>
        </is>
      </c>
      <c r="E725" t="inlineStr">
        <is>
          <t>HÄSSLEHOLM</t>
        </is>
      </c>
      <c r="G725" t="n">
        <v>1.4</v>
      </c>
      <c r="H725" t="n">
        <v>0</v>
      </c>
      <c r="I725" t="n">
        <v>0</v>
      </c>
      <c r="J725" t="n">
        <v>0</v>
      </c>
      <c r="K725" t="n">
        <v>0</v>
      </c>
      <c r="L725" t="n">
        <v>0</v>
      </c>
      <c r="M725" t="n">
        <v>0</v>
      </c>
      <c r="N725" t="n">
        <v>0</v>
      </c>
      <c r="O725" t="n">
        <v>0</v>
      </c>
      <c r="P725" t="n">
        <v>0</v>
      </c>
      <c r="Q725" t="n">
        <v>0</v>
      </c>
      <c r="R725" s="2" t="inlineStr"/>
    </row>
    <row r="726" ht="15" customHeight="1">
      <c r="A726" t="inlineStr">
        <is>
          <t>A 48722-2025</t>
        </is>
      </c>
      <c r="B726" s="1" t="n">
        <v>45935</v>
      </c>
      <c r="C726" s="1" t="n">
        <v>46172</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45400-2022</t>
        </is>
      </c>
      <c r="B727" s="1" t="n">
        <v>44844.713125</v>
      </c>
      <c r="C727" s="1" t="n">
        <v>46172</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50664-2023</t>
        </is>
      </c>
      <c r="B728" s="1" t="n">
        <v>45217</v>
      </c>
      <c r="C728" s="1" t="n">
        <v>46172</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42428-2022</t>
        </is>
      </c>
      <c r="B729" s="1" t="n">
        <v>44831</v>
      </c>
      <c r="C729" s="1" t="n">
        <v>46172</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13961-2023</t>
        </is>
      </c>
      <c r="B730" s="1" t="n">
        <v>45008</v>
      </c>
      <c r="C730" s="1" t="n">
        <v>46172</v>
      </c>
      <c r="D730" t="inlineStr">
        <is>
          <t>SKÅNE LÄN</t>
        </is>
      </c>
      <c r="E730" t="inlineStr">
        <is>
          <t>HÄSSLEHOLM</t>
        </is>
      </c>
      <c r="G730" t="n">
        <v>3.8</v>
      </c>
      <c r="H730" t="n">
        <v>0</v>
      </c>
      <c r="I730" t="n">
        <v>0</v>
      </c>
      <c r="J730" t="n">
        <v>0</v>
      </c>
      <c r="K730" t="n">
        <v>0</v>
      </c>
      <c r="L730" t="n">
        <v>0</v>
      </c>
      <c r="M730" t="n">
        <v>0</v>
      </c>
      <c r="N730" t="n">
        <v>0</v>
      </c>
      <c r="O730" t="n">
        <v>0</v>
      </c>
      <c r="P730" t="n">
        <v>0</v>
      </c>
      <c r="Q730" t="n">
        <v>0</v>
      </c>
      <c r="R730" s="2" t="inlineStr"/>
    </row>
    <row r="731" ht="15" customHeight="1">
      <c r="A731" t="inlineStr">
        <is>
          <t>A 49135-2025</t>
        </is>
      </c>
      <c r="B731" s="1" t="n">
        <v>45938.00990740741</v>
      </c>
      <c r="C731" s="1" t="n">
        <v>46172</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49136-2025</t>
        </is>
      </c>
      <c r="B732" s="1" t="n">
        <v>45938.01277777777</v>
      </c>
      <c r="C732" s="1" t="n">
        <v>46172</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49137-2025</t>
        </is>
      </c>
      <c r="B733" s="1" t="n">
        <v>45938.05672453704</v>
      </c>
      <c r="C733" s="1" t="n">
        <v>46172</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62171-2022</t>
        </is>
      </c>
      <c r="B734" s="1" t="n">
        <v>44915</v>
      </c>
      <c r="C734" s="1" t="n">
        <v>46172</v>
      </c>
      <c r="D734" t="inlineStr">
        <is>
          <t>SKÅNE LÄN</t>
        </is>
      </c>
      <c r="E734" t="inlineStr">
        <is>
          <t>HÄSSLEHOLM</t>
        </is>
      </c>
      <c r="F734" t="inlineStr">
        <is>
          <t>Kyrkan</t>
        </is>
      </c>
      <c r="G734" t="n">
        <v>9</v>
      </c>
      <c r="H734" t="n">
        <v>0</v>
      </c>
      <c r="I734" t="n">
        <v>0</v>
      </c>
      <c r="J734" t="n">
        <v>0</v>
      </c>
      <c r="K734" t="n">
        <v>0</v>
      </c>
      <c r="L734" t="n">
        <v>0</v>
      </c>
      <c r="M734" t="n">
        <v>0</v>
      </c>
      <c r="N734" t="n">
        <v>0</v>
      </c>
      <c r="O734" t="n">
        <v>0</v>
      </c>
      <c r="P734" t="n">
        <v>0</v>
      </c>
      <c r="Q734" t="n">
        <v>0</v>
      </c>
      <c r="R734" s="2" t="inlineStr"/>
    </row>
    <row r="735" ht="15" customHeight="1">
      <c r="A735" t="inlineStr">
        <is>
          <t>A 7581-2023</t>
        </is>
      </c>
      <c r="B735" s="1" t="n">
        <v>44972.39556712963</v>
      </c>
      <c r="C735" s="1" t="n">
        <v>46172</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48191-2021</t>
        </is>
      </c>
      <c r="B736" s="1" t="n">
        <v>44449</v>
      </c>
      <c r="C736" s="1" t="n">
        <v>46172</v>
      </c>
      <c r="D736" t="inlineStr">
        <is>
          <t>SKÅNE LÄN</t>
        </is>
      </c>
      <c r="E736" t="inlineStr">
        <is>
          <t>HÄSSLEHOLM</t>
        </is>
      </c>
      <c r="G736" t="n">
        <v>6</v>
      </c>
      <c r="H736" t="n">
        <v>0</v>
      </c>
      <c r="I736" t="n">
        <v>0</v>
      </c>
      <c r="J736" t="n">
        <v>0</v>
      </c>
      <c r="K736" t="n">
        <v>0</v>
      </c>
      <c r="L736" t="n">
        <v>0</v>
      </c>
      <c r="M736" t="n">
        <v>0</v>
      </c>
      <c r="N736" t="n">
        <v>0</v>
      </c>
      <c r="O736" t="n">
        <v>0</v>
      </c>
      <c r="P736" t="n">
        <v>0</v>
      </c>
      <c r="Q736" t="n">
        <v>0</v>
      </c>
      <c r="R736" s="2" t="inlineStr"/>
    </row>
    <row r="737" ht="15" customHeight="1">
      <c r="A737" t="inlineStr">
        <is>
          <t>A 21091-2025</t>
        </is>
      </c>
      <c r="B737" s="1" t="n">
        <v>45777</v>
      </c>
      <c r="C737" s="1" t="n">
        <v>46172</v>
      </c>
      <c r="D737" t="inlineStr">
        <is>
          <t>SKÅNE LÄN</t>
        </is>
      </c>
      <c r="E737" t="inlineStr">
        <is>
          <t>HÄSSLEHOLM</t>
        </is>
      </c>
      <c r="G737" t="n">
        <v>3.4</v>
      </c>
      <c r="H737" t="n">
        <v>0</v>
      </c>
      <c r="I737" t="n">
        <v>0</v>
      </c>
      <c r="J737" t="n">
        <v>0</v>
      </c>
      <c r="K737" t="n">
        <v>0</v>
      </c>
      <c r="L737" t="n">
        <v>0</v>
      </c>
      <c r="M737" t="n">
        <v>0</v>
      </c>
      <c r="N737" t="n">
        <v>0</v>
      </c>
      <c r="O737" t="n">
        <v>0</v>
      </c>
      <c r="P737" t="n">
        <v>0</v>
      </c>
      <c r="Q737" t="n">
        <v>0</v>
      </c>
      <c r="R737" s="2" t="inlineStr"/>
    </row>
    <row r="738" ht="15" customHeight="1">
      <c r="A738" t="inlineStr">
        <is>
          <t>A 5282-2023</t>
        </is>
      </c>
      <c r="B738" s="1" t="n">
        <v>44959.50471064815</v>
      </c>
      <c r="C738" s="1" t="n">
        <v>46172</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56956-2024</t>
        </is>
      </c>
      <c r="B739" s="1" t="n">
        <v>45626</v>
      </c>
      <c r="C739" s="1" t="n">
        <v>46172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52548-2023</t>
        </is>
      </c>
      <c r="B740" s="1" t="n">
        <v>45218</v>
      </c>
      <c r="C740" s="1" t="n">
        <v>46172</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12503-2022</t>
        </is>
      </c>
      <c r="B741" s="1" t="n">
        <v>44638</v>
      </c>
      <c r="C741" s="1" t="n">
        <v>46172</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35711-2024</t>
        </is>
      </c>
      <c r="B742" s="1" t="n">
        <v>45532</v>
      </c>
      <c r="C742" s="1" t="n">
        <v>46172</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9485-2023</t>
        </is>
      </c>
      <c r="B743" s="1" t="n">
        <v>44981.60901620371</v>
      </c>
      <c r="C743" s="1" t="n">
        <v>46172</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56490-2021</t>
        </is>
      </c>
      <c r="B744" s="1" t="n">
        <v>44480</v>
      </c>
      <c r="C744" s="1" t="n">
        <v>46172</v>
      </c>
      <c r="D744" t="inlineStr">
        <is>
          <t>SKÅNE LÄN</t>
        </is>
      </c>
      <c r="E744" t="inlineStr">
        <is>
          <t>HÄSSLEHOLM</t>
        </is>
      </c>
      <c r="F744" t="inlineStr">
        <is>
          <t>Kyrkan</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46172</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61929-2023</t>
        </is>
      </c>
      <c r="B746" s="1" t="n">
        <v>45266</v>
      </c>
      <c r="C746" s="1" t="n">
        <v>46172</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13555-2025</t>
        </is>
      </c>
      <c r="B747" s="1" t="n">
        <v>45736</v>
      </c>
      <c r="C747" s="1" t="n">
        <v>46172</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61680-2022</t>
        </is>
      </c>
      <c r="B748" s="1" t="n">
        <v>44917.36372685185</v>
      </c>
      <c r="C748" s="1" t="n">
        <v>46172</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49845-2025</t>
        </is>
      </c>
      <c r="B749" s="1" t="n">
        <v>45940.48015046296</v>
      </c>
      <c r="C749" s="1" t="n">
        <v>46172</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61489-2024</t>
        </is>
      </c>
      <c r="B750" s="1" t="n">
        <v>45646.54875</v>
      </c>
      <c r="C750" s="1" t="n">
        <v>46172</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44940-2023</t>
        </is>
      </c>
      <c r="B751" s="1" t="n">
        <v>45190.68653935185</v>
      </c>
      <c r="C751" s="1" t="n">
        <v>46172</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317-2025</t>
        </is>
      </c>
      <c r="B752" s="1" t="n">
        <v>45660</v>
      </c>
      <c r="C752" s="1" t="n">
        <v>46172</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21638-2025</t>
        </is>
      </c>
      <c r="B753" s="1" t="n">
        <v>45783.43087962963</v>
      </c>
      <c r="C753" s="1" t="n">
        <v>46172</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25533-2024</t>
        </is>
      </c>
      <c r="B754" s="1" t="n">
        <v>45463</v>
      </c>
      <c r="C754" s="1" t="n">
        <v>46172</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61498-2022</t>
        </is>
      </c>
      <c r="B755" s="1" t="n">
        <v>44910</v>
      </c>
      <c r="C755" s="1" t="n">
        <v>46172</v>
      </c>
      <c r="D755" t="inlineStr">
        <is>
          <t>SKÅNE LÄN</t>
        </is>
      </c>
      <c r="E755" t="inlineStr">
        <is>
          <t>HÄSSLEHOLM</t>
        </is>
      </c>
      <c r="F755" t="inlineStr">
        <is>
          <t>Kyrkan</t>
        </is>
      </c>
      <c r="G755" t="n">
        <v>3.2</v>
      </c>
      <c r="H755" t="n">
        <v>0</v>
      </c>
      <c r="I755" t="n">
        <v>0</v>
      </c>
      <c r="J755" t="n">
        <v>0</v>
      </c>
      <c r="K755" t="n">
        <v>0</v>
      </c>
      <c r="L755" t="n">
        <v>0</v>
      </c>
      <c r="M755" t="n">
        <v>0</v>
      </c>
      <c r="N755" t="n">
        <v>0</v>
      </c>
      <c r="O755" t="n">
        <v>0</v>
      </c>
      <c r="P755" t="n">
        <v>0</v>
      </c>
      <c r="Q755" t="n">
        <v>0</v>
      </c>
      <c r="R755" s="2" t="inlineStr"/>
    </row>
    <row r="756" ht="15" customHeight="1">
      <c r="A756" t="inlineStr">
        <is>
          <t>A 17699-2024</t>
        </is>
      </c>
      <c r="B756" s="1" t="n">
        <v>45418.46094907408</v>
      </c>
      <c r="C756" s="1" t="n">
        <v>46172</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17702-2024</t>
        </is>
      </c>
      <c r="B757" s="1" t="n">
        <v>45418.46534722222</v>
      </c>
      <c r="C757" s="1" t="n">
        <v>46172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22696-2023</t>
        </is>
      </c>
      <c r="B758" s="1" t="n">
        <v>45071.69464120371</v>
      </c>
      <c r="C758" s="1" t="n">
        <v>46172</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1886-2025</t>
        </is>
      </c>
      <c r="B759" s="1" t="n">
        <v>45671</v>
      </c>
      <c r="C759" s="1" t="n">
        <v>46172</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15536-2025</t>
        </is>
      </c>
      <c r="B760" s="1" t="n">
        <v>45747</v>
      </c>
      <c r="C760" s="1" t="n">
        <v>46172</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6101-2022</t>
        </is>
      </c>
      <c r="B761" s="1" t="n">
        <v>44599.63016203704</v>
      </c>
      <c r="C761" s="1" t="n">
        <v>46172</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24904-2025</t>
        </is>
      </c>
      <c r="B762" s="1" t="n">
        <v>45799</v>
      </c>
      <c r="C762" s="1" t="n">
        <v>46172</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52337-2023</t>
        </is>
      </c>
      <c r="B763" s="1" t="n">
        <v>45224.66359953704</v>
      </c>
      <c r="C763" s="1" t="n">
        <v>46172</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16951-2025</t>
        </is>
      </c>
      <c r="B764" s="1" t="n">
        <v>45755</v>
      </c>
      <c r="C764" s="1" t="n">
        <v>46172</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23955-2023</t>
        </is>
      </c>
      <c r="B765" s="1" t="n">
        <v>45078.62217592593</v>
      </c>
      <c r="C765" s="1" t="n">
        <v>46172</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10897-2023</t>
        </is>
      </c>
      <c r="B766" s="1" t="n">
        <v>44985</v>
      </c>
      <c r="C766" s="1" t="n">
        <v>46172</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16614-2025</t>
        </is>
      </c>
      <c r="B767" s="1" t="n">
        <v>45754.283125</v>
      </c>
      <c r="C767" s="1" t="n">
        <v>46172</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3888-2024</t>
        </is>
      </c>
      <c r="B768" s="1" t="n">
        <v>45322.45089120371</v>
      </c>
      <c r="C768" s="1" t="n">
        <v>46172</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3889-2024</t>
        </is>
      </c>
      <c r="B769" s="1" t="n">
        <v>45322.45234953704</v>
      </c>
      <c r="C769" s="1" t="n">
        <v>46172</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3294-2025</t>
        </is>
      </c>
      <c r="B770" s="1" t="n">
        <v>45679.64125</v>
      </c>
      <c r="C770" s="1" t="n">
        <v>46172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50571-2023</t>
        </is>
      </c>
      <c r="B771" s="1" t="n">
        <v>45217.38359953704</v>
      </c>
      <c r="C771" s="1" t="n">
        <v>46172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9669-2025</t>
        </is>
      </c>
      <c r="B772" s="1" t="n">
        <v>45716.32921296296</v>
      </c>
      <c r="C772" s="1" t="n">
        <v>46172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18908-2023</t>
        </is>
      </c>
      <c r="B773" s="1" t="n">
        <v>45044</v>
      </c>
      <c r="C773" s="1" t="n">
        <v>46172</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31995-2023</t>
        </is>
      </c>
      <c r="B774" s="1" t="n">
        <v>45107</v>
      </c>
      <c r="C774" s="1" t="n">
        <v>46172</v>
      </c>
      <c r="D774" t="inlineStr">
        <is>
          <t>SKÅNE LÄN</t>
        </is>
      </c>
      <c r="E774" t="inlineStr">
        <is>
          <t>HÄSSLEHOLM</t>
        </is>
      </c>
      <c r="G774" t="n">
        <v>7.3</v>
      </c>
      <c r="H774" t="n">
        <v>0</v>
      </c>
      <c r="I774" t="n">
        <v>0</v>
      </c>
      <c r="J774" t="n">
        <v>0</v>
      </c>
      <c r="K774" t="n">
        <v>0</v>
      </c>
      <c r="L774" t="n">
        <v>0</v>
      </c>
      <c r="M774" t="n">
        <v>0</v>
      </c>
      <c r="N774" t="n">
        <v>0</v>
      </c>
      <c r="O774" t="n">
        <v>0</v>
      </c>
      <c r="P774" t="n">
        <v>0</v>
      </c>
      <c r="Q774" t="n">
        <v>0</v>
      </c>
      <c r="R774" s="2" t="inlineStr"/>
    </row>
    <row r="775" ht="15" customHeight="1">
      <c r="A775" t="inlineStr">
        <is>
          <t>A 31998-2023</t>
        </is>
      </c>
      <c r="B775" s="1" t="n">
        <v>45119</v>
      </c>
      <c r="C775" s="1" t="n">
        <v>46172</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10028-2024</t>
        </is>
      </c>
      <c r="B776" s="1" t="n">
        <v>45363.97292824074</v>
      </c>
      <c r="C776" s="1" t="n">
        <v>46172</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13084-2025</t>
        </is>
      </c>
      <c r="B777" s="1" t="n">
        <v>45734</v>
      </c>
      <c r="C777" s="1" t="n">
        <v>46172</v>
      </c>
      <c r="D777" t="inlineStr">
        <is>
          <t>SKÅNE LÄN</t>
        </is>
      </c>
      <c r="E777" t="inlineStr">
        <is>
          <t>HÄSSLEHOLM</t>
        </is>
      </c>
      <c r="G777" t="n">
        <v>2.3</v>
      </c>
      <c r="H777" t="n">
        <v>0</v>
      </c>
      <c r="I777" t="n">
        <v>0</v>
      </c>
      <c r="J777" t="n">
        <v>0</v>
      </c>
      <c r="K777" t="n">
        <v>0</v>
      </c>
      <c r="L777" t="n">
        <v>0</v>
      </c>
      <c r="M777" t="n">
        <v>0</v>
      </c>
      <c r="N777" t="n">
        <v>0</v>
      </c>
      <c r="O777" t="n">
        <v>0</v>
      </c>
      <c r="P777" t="n">
        <v>0</v>
      </c>
      <c r="Q777" t="n">
        <v>0</v>
      </c>
      <c r="R777" s="2" t="inlineStr"/>
    </row>
    <row r="778" ht="15" customHeight="1">
      <c r="A778" t="inlineStr">
        <is>
          <t>A 7150-2025</t>
        </is>
      </c>
      <c r="B778" s="1" t="n">
        <v>45702.38239583333</v>
      </c>
      <c r="C778" s="1" t="n">
        <v>46172</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49824-2024</t>
        </is>
      </c>
      <c r="B779" s="1" t="n">
        <v>45597</v>
      </c>
      <c r="C779" s="1" t="n">
        <v>46172</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16285-2025</t>
        </is>
      </c>
      <c r="B780" s="1" t="n">
        <v>45751.30045138889</v>
      </c>
      <c r="C780" s="1" t="n">
        <v>46172</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50676-2025</t>
        </is>
      </c>
      <c r="B781" s="1" t="n">
        <v>45945</v>
      </c>
      <c r="C781" s="1" t="n">
        <v>46172</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50678-2025</t>
        </is>
      </c>
      <c r="B782" s="1" t="n">
        <v>45945</v>
      </c>
      <c r="C782" s="1" t="n">
        <v>46172</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20185-2023</t>
        </is>
      </c>
      <c r="B783" s="1" t="n">
        <v>45055.56795138889</v>
      </c>
      <c r="C783" s="1" t="n">
        <v>46172</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50677-2025</t>
        </is>
      </c>
      <c r="B784" s="1" t="n">
        <v>45945</v>
      </c>
      <c r="C784" s="1" t="n">
        <v>46172</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46000-2021</t>
        </is>
      </c>
      <c r="B785" s="1" t="n">
        <v>44441</v>
      </c>
      <c r="C785" s="1" t="n">
        <v>46172</v>
      </c>
      <c r="D785" t="inlineStr">
        <is>
          <t>SKÅNE LÄN</t>
        </is>
      </c>
      <c r="E785" t="inlineStr">
        <is>
          <t>HÄSSLEHOLM</t>
        </is>
      </c>
      <c r="G785" t="n">
        <v>1.6</v>
      </c>
      <c r="H785" t="n">
        <v>0</v>
      </c>
      <c r="I785" t="n">
        <v>0</v>
      </c>
      <c r="J785" t="n">
        <v>0</v>
      </c>
      <c r="K785" t="n">
        <v>0</v>
      </c>
      <c r="L785" t="n">
        <v>0</v>
      </c>
      <c r="M785" t="n">
        <v>0</v>
      </c>
      <c r="N785" t="n">
        <v>0</v>
      </c>
      <c r="O785" t="n">
        <v>0</v>
      </c>
      <c r="P785" t="n">
        <v>0</v>
      </c>
      <c r="Q785" t="n">
        <v>0</v>
      </c>
      <c r="R785" s="2" t="inlineStr"/>
    </row>
    <row r="786" ht="15" customHeight="1">
      <c r="A786" t="inlineStr">
        <is>
          <t>A 50834-2025</t>
        </is>
      </c>
      <c r="B786" s="1" t="n">
        <v>45946.55746527778</v>
      </c>
      <c r="C786" s="1" t="n">
        <v>46172</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44915.48543981482</v>
      </c>
      <c r="C787" s="1" t="n">
        <v>46172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51024-2025</t>
        </is>
      </c>
      <c r="B788" s="1" t="n">
        <v>45947.395</v>
      </c>
      <c r="C788" s="1" t="n">
        <v>46172</v>
      </c>
      <c r="D788" t="inlineStr">
        <is>
          <t>SKÅNE LÄN</t>
        </is>
      </c>
      <c r="E788" t="inlineStr">
        <is>
          <t>HÄSSLEHOLM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4009-2024</t>
        </is>
      </c>
      <c r="B789" s="1" t="n">
        <v>45323</v>
      </c>
      <c r="C789" s="1" t="n">
        <v>46172</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10928-2024</t>
        </is>
      </c>
      <c r="B790" s="1" t="n">
        <v>45370</v>
      </c>
      <c r="C790" s="1" t="n">
        <v>46172</v>
      </c>
      <c r="D790" t="inlineStr">
        <is>
          <t>SKÅNE LÄN</t>
        </is>
      </c>
      <c r="E790" t="inlineStr">
        <is>
          <t>HÄSSLEHOLM</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10944-2024</t>
        </is>
      </c>
      <c r="B791" s="1" t="n">
        <v>45370</v>
      </c>
      <c r="C791" s="1" t="n">
        <v>46172</v>
      </c>
      <c r="D791" t="inlineStr">
        <is>
          <t>SKÅNE LÄN</t>
        </is>
      </c>
      <c r="E791" t="inlineStr">
        <is>
          <t>HÄSSLEHOLM</t>
        </is>
      </c>
      <c r="F791" t="inlineStr">
        <is>
          <t>Övriga Aktiebolag</t>
        </is>
      </c>
      <c r="G791" t="n">
        <v>2.6</v>
      </c>
      <c r="H791" t="n">
        <v>0</v>
      </c>
      <c r="I791" t="n">
        <v>0</v>
      </c>
      <c r="J791" t="n">
        <v>0</v>
      </c>
      <c r="K791" t="n">
        <v>0</v>
      </c>
      <c r="L791" t="n">
        <v>0</v>
      </c>
      <c r="M791" t="n">
        <v>0</v>
      </c>
      <c r="N791" t="n">
        <v>0</v>
      </c>
      <c r="O791" t="n">
        <v>0</v>
      </c>
      <c r="P791" t="n">
        <v>0</v>
      </c>
      <c r="Q791" t="n">
        <v>0</v>
      </c>
      <c r="R791" s="2" t="inlineStr"/>
    </row>
    <row r="792" ht="15" customHeight="1">
      <c r="A792" t="inlineStr">
        <is>
          <t>A 50839-2025</t>
        </is>
      </c>
      <c r="B792" s="1" t="n">
        <v>45946</v>
      </c>
      <c r="C792" s="1" t="n">
        <v>46172</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43629-2023</t>
        </is>
      </c>
      <c r="B793" s="1" t="n">
        <v>45184</v>
      </c>
      <c r="C793" s="1" t="n">
        <v>46172</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50829-2025</t>
        </is>
      </c>
      <c r="B794" s="1" t="n">
        <v>45946.55309027778</v>
      </c>
      <c r="C794" s="1" t="n">
        <v>46172</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6087-2025</t>
        </is>
      </c>
      <c r="B795" s="1" t="n">
        <v>45697.69782407407</v>
      </c>
      <c r="C795" s="1" t="n">
        <v>46172</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33466-2024</t>
        </is>
      </c>
      <c r="B796" s="1" t="n">
        <v>45519</v>
      </c>
      <c r="C796" s="1" t="n">
        <v>46172</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13990-2022</t>
        </is>
      </c>
      <c r="B797" s="1" t="n">
        <v>44650</v>
      </c>
      <c r="C797" s="1" t="n">
        <v>46172</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6612-2024</t>
        </is>
      </c>
      <c r="B798" s="1" t="n">
        <v>45341.58859953703</v>
      </c>
      <c r="C798" s="1" t="n">
        <v>46172</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51097-2025</t>
        </is>
      </c>
      <c r="B799" s="1" t="n">
        <v>45947.48018518519</v>
      </c>
      <c r="C799" s="1" t="n">
        <v>46172</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39111-2023</t>
        </is>
      </c>
      <c r="B800" s="1" t="n">
        <v>45164.87140046297</v>
      </c>
      <c r="C800" s="1" t="n">
        <v>46172</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51597-2025</t>
        </is>
      </c>
      <c r="B801" s="1" t="n">
        <v>45951.37163194444</v>
      </c>
      <c r="C801" s="1" t="n">
        <v>46172</v>
      </c>
      <c r="D801" t="inlineStr">
        <is>
          <t>SKÅNE LÄN</t>
        </is>
      </c>
      <c r="E801" t="inlineStr">
        <is>
          <t>HÄSSLEHOLM</t>
        </is>
      </c>
      <c r="G801" t="n">
        <v>3.5</v>
      </c>
      <c r="H801" t="n">
        <v>0</v>
      </c>
      <c r="I801" t="n">
        <v>0</v>
      </c>
      <c r="J801" t="n">
        <v>0</v>
      </c>
      <c r="K801" t="n">
        <v>0</v>
      </c>
      <c r="L801" t="n">
        <v>0</v>
      </c>
      <c r="M801" t="n">
        <v>0</v>
      </c>
      <c r="N801" t="n">
        <v>0</v>
      </c>
      <c r="O801" t="n">
        <v>0</v>
      </c>
      <c r="P801" t="n">
        <v>0</v>
      </c>
      <c r="Q801" t="n">
        <v>0</v>
      </c>
      <c r="R801" s="2" t="inlineStr"/>
    </row>
    <row r="802" ht="15" customHeight="1">
      <c r="A802" t="inlineStr">
        <is>
          <t>A 51795-2025</t>
        </is>
      </c>
      <c r="B802" s="1" t="n">
        <v>45951</v>
      </c>
      <c r="C802" s="1" t="n">
        <v>46172</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51796-2025</t>
        </is>
      </c>
      <c r="B803" s="1" t="n">
        <v>45951.74546296296</v>
      </c>
      <c r="C803" s="1" t="n">
        <v>46172</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26879-2024</t>
        </is>
      </c>
      <c r="B804" s="1" t="n">
        <v>45470</v>
      </c>
      <c r="C804" s="1" t="n">
        <v>46172</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51640-2025</t>
        </is>
      </c>
      <c r="B805" s="1" t="n">
        <v>45951.44361111111</v>
      </c>
      <c r="C805" s="1" t="n">
        <v>46172</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50564-2023</t>
        </is>
      </c>
      <c r="B806" s="1" t="n">
        <v>45217.37957175926</v>
      </c>
      <c r="C806" s="1" t="n">
        <v>46172</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54473-2023</t>
        </is>
      </c>
      <c r="B807" s="1" t="n">
        <v>45233</v>
      </c>
      <c r="C807" s="1" t="n">
        <v>46172</v>
      </c>
      <c r="D807" t="inlineStr">
        <is>
          <t>SKÅNE LÄN</t>
        </is>
      </c>
      <c r="E807" t="inlineStr">
        <is>
          <t>HÄSSLEHOLM</t>
        </is>
      </c>
      <c r="G807" t="n">
        <v>24.5</v>
      </c>
      <c r="H807" t="n">
        <v>0</v>
      </c>
      <c r="I807" t="n">
        <v>0</v>
      </c>
      <c r="J807" t="n">
        <v>0</v>
      </c>
      <c r="K807" t="n">
        <v>0</v>
      </c>
      <c r="L807" t="n">
        <v>0</v>
      </c>
      <c r="M807" t="n">
        <v>0</v>
      </c>
      <c r="N807" t="n">
        <v>0</v>
      </c>
      <c r="O807" t="n">
        <v>0</v>
      </c>
      <c r="P807" t="n">
        <v>0</v>
      </c>
      <c r="Q807" t="n">
        <v>0</v>
      </c>
      <c r="R807" s="2" t="inlineStr"/>
    </row>
    <row r="808" ht="15" customHeight="1">
      <c r="A808" t="inlineStr">
        <is>
          <t>A 11240-2023</t>
        </is>
      </c>
      <c r="B808" s="1" t="n">
        <v>44992</v>
      </c>
      <c r="C808" s="1" t="n">
        <v>46172</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43061-2024</t>
        </is>
      </c>
      <c r="B809" s="1" t="n">
        <v>45567</v>
      </c>
      <c r="C809" s="1" t="n">
        <v>46172</v>
      </c>
      <c r="D809" t="inlineStr">
        <is>
          <t>SKÅNE LÄN</t>
        </is>
      </c>
      <c r="E809" t="inlineStr">
        <is>
          <t>HÄSSLEHOLM</t>
        </is>
      </c>
      <c r="G809" t="n">
        <v>4.5</v>
      </c>
      <c r="H809" t="n">
        <v>0</v>
      </c>
      <c r="I809" t="n">
        <v>0</v>
      </c>
      <c r="J809" t="n">
        <v>0</v>
      </c>
      <c r="K809" t="n">
        <v>0</v>
      </c>
      <c r="L809" t="n">
        <v>0</v>
      </c>
      <c r="M809" t="n">
        <v>0</v>
      </c>
      <c r="N809" t="n">
        <v>0</v>
      </c>
      <c r="O809" t="n">
        <v>0</v>
      </c>
      <c r="P809" t="n">
        <v>0</v>
      </c>
      <c r="Q809" t="n">
        <v>0</v>
      </c>
      <c r="R809" s="2" t="inlineStr"/>
    </row>
    <row r="810" ht="15" customHeight="1">
      <c r="A810" t="inlineStr">
        <is>
          <t>A 16108-2025</t>
        </is>
      </c>
      <c r="B810" s="1" t="n">
        <v>45750.34667824074</v>
      </c>
      <c r="C810" s="1" t="n">
        <v>46172</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54171-2021</t>
        </is>
      </c>
      <c r="B811" s="1" t="n">
        <v>44470</v>
      </c>
      <c r="C811" s="1" t="n">
        <v>46172</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48326-2023</t>
        </is>
      </c>
      <c r="B812" s="1" t="n">
        <v>45205</v>
      </c>
      <c r="C812" s="1" t="n">
        <v>46172</v>
      </c>
      <c r="D812" t="inlineStr">
        <is>
          <t>SKÅNE LÄN</t>
        </is>
      </c>
      <c r="E812" t="inlineStr">
        <is>
          <t>HÄSSLEHOLM</t>
        </is>
      </c>
      <c r="G812" t="n">
        <v>12.7</v>
      </c>
      <c r="H812" t="n">
        <v>0</v>
      </c>
      <c r="I812" t="n">
        <v>0</v>
      </c>
      <c r="J812" t="n">
        <v>0</v>
      </c>
      <c r="K812" t="n">
        <v>0</v>
      </c>
      <c r="L812" t="n">
        <v>0</v>
      </c>
      <c r="M812" t="n">
        <v>0</v>
      </c>
      <c r="N812" t="n">
        <v>0</v>
      </c>
      <c r="O812" t="n">
        <v>0</v>
      </c>
      <c r="P812" t="n">
        <v>0</v>
      </c>
      <c r="Q812" t="n">
        <v>0</v>
      </c>
      <c r="R812" s="2" t="inlineStr"/>
    </row>
    <row r="813" ht="15" customHeight="1">
      <c r="A813" t="inlineStr">
        <is>
          <t>A 24640-2023</t>
        </is>
      </c>
      <c r="B813" s="1" t="n">
        <v>45084.43181712963</v>
      </c>
      <c r="C813" s="1" t="n">
        <v>46172</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60851-2024</t>
        </is>
      </c>
      <c r="B814" s="1" t="n">
        <v>45644.66182870371</v>
      </c>
      <c r="C814" s="1" t="n">
        <v>46172</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51618-2024</t>
        </is>
      </c>
      <c r="B815" s="1" t="n">
        <v>45604.82615740741</v>
      </c>
      <c r="C815" s="1" t="n">
        <v>46172</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21625-2025</t>
        </is>
      </c>
      <c r="B816" s="1" t="n">
        <v>45783.41252314814</v>
      </c>
      <c r="C816" s="1" t="n">
        <v>46172</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52126-2025</t>
        </is>
      </c>
      <c r="B817" s="1" t="n">
        <v>45952.72109953704</v>
      </c>
      <c r="C817" s="1" t="n">
        <v>46172</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54518-2022</t>
        </is>
      </c>
      <c r="B818" s="1" t="n">
        <v>44882</v>
      </c>
      <c r="C818" s="1" t="n">
        <v>46172</v>
      </c>
      <c r="D818" t="inlineStr">
        <is>
          <t>SKÅNE LÄN</t>
        </is>
      </c>
      <c r="E818" t="inlineStr">
        <is>
          <t>HÄSSLEHOLM</t>
        </is>
      </c>
      <c r="F818" t="inlineStr">
        <is>
          <t>Övriga Aktiebolag</t>
        </is>
      </c>
      <c r="G818" t="n">
        <v>6.8</v>
      </c>
      <c r="H818" t="n">
        <v>0</v>
      </c>
      <c r="I818" t="n">
        <v>0</v>
      </c>
      <c r="J818" t="n">
        <v>0</v>
      </c>
      <c r="K818" t="n">
        <v>0</v>
      </c>
      <c r="L818" t="n">
        <v>0</v>
      </c>
      <c r="M818" t="n">
        <v>0</v>
      </c>
      <c r="N818" t="n">
        <v>0</v>
      </c>
      <c r="O818" t="n">
        <v>0</v>
      </c>
      <c r="P818" t="n">
        <v>0</v>
      </c>
      <c r="Q818" t="n">
        <v>0</v>
      </c>
      <c r="R818" s="2" t="inlineStr"/>
    </row>
    <row r="819" ht="15" customHeight="1">
      <c r="A819" t="inlineStr">
        <is>
          <t>A 57491-2024</t>
        </is>
      </c>
      <c r="B819" s="1" t="n">
        <v>45629</v>
      </c>
      <c r="C819" s="1" t="n">
        <v>46172</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52912-2022</t>
        </is>
      </c>
      <c r="B820" s="1" t="n">
        <v>44872</v>
      </c>
      <c r="C820" s="1" t="n">
        <v>46172</v>
      </c>
      <c r="D820" t="inlineStr">
        <is>
          <t>SKÅNE LÄN</t>
        </is>
      </c>
      <c r="E820" t="inlineStr">
        <is>
          <t>HÄSSLEHOLM</t>
        </is>
      </c>
      <c r="G820" t="n">
        <v>4.7</v>
      </c>
      <c r="H820" t="n">
        <v>0</v>
      </c>
      <c r="I820" t="n">
        <v>0</v>
      </c>
      <c r="J820" t="n">
        <v>0</v>
      </c>
      <c r="K820" t="n">
        <v>0</v>
      </c>
      <c r="L820" t="n">
        <v>0</v>
      </c>
      <c r="M820" t="n">
        <v>0</v>
      </c>
      <c r="N820" t="n">
        <v>0</v>
      </c>
      <c r="O820" t="n">
        <v>0</v>
      </c>
      <c r="P820" t="n">
        <v>0</v>
      </c>
      <c r="Q820" t="n">
        <v>0</v>
      </c>
      <c r="R820" s="2" t="inlineStr"/>
    </row>
    <row r="821" ht="15" customHeight="1">
      <c r="A821" t="inlineStr">
        <is>
          <t>A 16950-2025</t>
        </is>
      </c>
      <c r="B821" s="1" t="n">
        <v>45755</v>
      </c>
      <c r="C821" s="1" t="n">
        <v>46172</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27502-2023</t>
        </is>
      </c>
      <c r="B822" s="1" t="n">
        <v>45092</v>
      </c>
      <c r="C822" s="1" t="n">
        <v>46172</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8249-2023</t>
        </is>
      </c>
      <c r="B823" s="1" t="n">
        <v>44974</v>
      </c>
      <c r="C823" s="1" t="n">
        <v>46172</v>
      </c>
      <c r="D823" t="inlineStr">
        <is>
          <t>SKÅNE LÄN</t>
        </is>
      </c>
      <c r="E823" t="inlineStr">
        <is>
          <t>HÄSSLEHOLM</t>
        </is>
      </c>
      <c r="G823" t="n">
        <v>5.8</v>
      </c>
      <c r="H823" t="n">
        <v>0</v>
      </c>
      <c r="I823" t="n">
        <v>0</v>
      </c>
      <c r="J823" t="n">
        <v>0</v>
      </c>
      <c r="K823" t="n">
        <v>0</v>
      </c>
      <c r="L823" t="n">
        <v>0</v>
      </c>
      <c r="M823" t="n">
        <v>0</v>
      </c>
      <c r="N823" t="n">
        <v>0</v>
      </c>
      <c r="O823" t="n">
        <v>0</v>
      </c>
      <c r="P823" t="n">
        <v>0</v>
      </c>
      <c r="Q823" t="n">
        <v>0</v>
      </c>
      <c r="R823" s="2" t="inlineStr"/>
    </row>
    <row r="824" ht="15" customHeight="1">
      <c r="A824" t="inlineStr">
        <is>
          <t>A 6836-2023</t>
        </is>
      </c>
      <c r="B824" s="1" t="n">
        <v>44967</v>
      </c>
      <c r="C824" s="1" t="n">
        <v>46172</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6845-2023</t>
        </is>
      </c>
      <c r="B825" s="1" t="n">
        <v>44967</v>
      </c>
      <c r="C825" s="1" t="n">
        <v>46172</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47840-2023</t>
        </is>
      </c>
      <c r="B826" s="1" t="n">
        <v>45204</v>
      </c>
      <c r="C826" s="1" t="n">
        <v>46172</v>
      </c>
      <c r="D826" t="inlineStr">
        <is>
          <t>SKÅNE LÄN</t>
        </is>
      </c>
      <c r="E826" t="inlineStr">
        <is>
          <t>HÄSSLEHOLM</t>
        </is>
      </c>
      <c r="G826" t="n">
        <v>2.4</v>
      </c>
      <c r="H826" t="n">
        <v>0</v>
      </c>
      <c r="I826" t="n">
        <v>0</v>
      </c>
      <c r="J826" t="n">
        <v>0</v>
      </c>
      <c r="K826" t="n">
        <v>0</v>
      </c>
      <c r="L826" t="n">
        <v>0</v>
      </c>
      <c r="M826" t="n">
        <v>0</v>
      </c>
      <c r="N826" t="n">
        <v>0</v>
      </c>
      <c r="O826" t="n">
        <v>0</v>
      </c>
      <c r="P826" t="n">
        <v>0</v>
      </c>
      <c r="Q826" t="n">
        <v>0</v>
      </c>
      <c r="R826" s="2" t="inlineStr"/>
    </row>
    <row r="827" ht="15" customHeight="1">
      <c r="A827" t="inlineStr">
        <is>
          <t>A 62277-2023</t>
        </is>
      </c>
      <c r="B827" s="1" t="n">
        <v>45266</v>
      </c>
      <c r="C827" s="1" t="n">
        <v>46172</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53887-2023</t>
        </is>
      </c>
      <c r="B828" s="1" t="n">
        <v>45231.52675925926</v>
      </c>
      <c r="C828" s="1" t="n">
        <v>46172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34369-2023</t>
        </is>
      </c>
      <c r="B829" s="1" t="n">
        <v>45139.47817129629</v>
      </c>
      <c r="C829" s="1" t="n">
        <v>46172</v>
      </c>
      <c r="D829" t="inlineStr">
        <is>
          <t>SKÅNE LÄN</t>
        </is>
      </c>
      <c r="E829" t="inlineStr">
        <is>
          <t>HÄSSLEHOLM</t>
        </is>
      </c>
      <c r="G829" t="n">
        <v>2</v>
      </c>
      <c r="H829" t="n">
        <v>0</v>
      </c>
      <c r="I829" t="n">
        <v>0</v>
      </c>
      <c r="J829" t="n">
        <v>0</v>
      </c>
      <c r="K829" t="n">
        <v>0</v>
      </c>
      <c r="L829" t="n">
        <v>0</v>
      </c>
      <c r="M829" t="n">
        <v>0</v>
      </c>
      <c r="N829" t="n">
        <v>0</v>
      </c>
      <c r="O829" t="n">
        <v>0</v>
      </c>
      <c r="P829" t="n">
        <v>0</v>
      </c>
      <c r="Q829" t="n">
        <v>0</v>
      </c>
      <c r="R829" s="2" t="inlineStr"/>
    </row>
    <row r="830" ht="15" customHeight="1">
      <c r="A830" t="inlineStr">
        <is>
          <t>A 34834-2023</t>
        </is>
      </c>
      <c r="B830" s="1" t="n">
        <v>45141.7199537037</v>
      </c>
      <c r="C830" s="1" t="n">
        <v>46172</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48627-2023</t>
        </is>
      </c>
      <c r="B831" s="1" t="n">
        <v>45208.57371527778</v>
      </c>
      <c r="C831" s="1" t="n">
        <v>46172</v>
      </c>
      <c r="D831" t="inlineStr">
        <is>
          <t>SKÅNE LÄN</t>
        </is>
      </c>
      <c r="E831" t="inlineStr">
        <is>
          <t>HÄSSLEHOLM</t>
        </is>
      </c>
      <c r="G831" t="n">
        <v>1.9</v>
      </c>
      <c r="H831" t="n">
        <v>0</v>
      </c>
      <c r="I831" t="n">
        <v>0</v>
      </c>
      <c r="J831" t="n">
        <v>0</v>
      </c>
      <c r="K831" t="n">
        <v>0</v>
      </c>
      <c r="L831" t="n">
        <v>0</v>
      </c>
      <c r="M831" t="n">
        <v>0</v>
      </c>
      <c r="N831" t="n">
        <v>0</v>
      </c>
      <c r="O831" t="n">
        <v>0</v>
      </c>
      <c r="P831" t="n">
        <v>0</v>
      </c>
      <c r="Q831" t="n">
        <v>0</v>
      </c>
      <c r="R831" s="2" t="inlineStr"/>
    </row>
    <row r="832" ht="15" customHeight="1">
      <c r="A832" t="inlineStr">
        <is>
          <t>A 11607-2025</t>
        </is>
      </c>
      <c r="B832" s="1" t="n">
        <v>45727</v>
      </c>
      <c r="C832" s="1" t="n">
        <v>46172</v>
      </c>
      <c r="D832" t="inlineStr">
        <is>
          <t>SKÅNE LÄN</t>
        </is>
      </c>
      <c r="E832" t="inlineStr">
        <is>
          <t>HÄSSLEHOLM</t>
        </is>
      </c>
      <c r="G832" t="n">
        <v>4.1</v>
      </c>
      <c r="H832" t="n">
        <v>0</v>
      </c>
      <c r="I832" t="n">
        <v>0</v>
      </c>
      <c r="J832" t="n">
        <v>0</v>
      </c>
      <c r="K832" t="n">
        <v>0</v>
      </c>
      <c r="L832" t="n">
        <v>0</v>
      </c>
      <c r="M832" t="n">
        <v>0</v>
      </c>
      <c r="N832" t="n">
        <v>0</v>
      </c>
      <c r="O832" t="n">
        <v>0</v>
      </c>
      <c r="P832" t="n">
        <v>0</v>
      </c>
      <c r="Q832" t="n">
        <v>0</v>
      </c>
      <c r="R832" s="2" t="inlineStr"/>
    </row>
    <row r="833" ht="15" customHeight="1">
      <c r="A833" t="inlineStr">
        <is>
          <t>A 720-2025</t>
        </is>
      </c>
      <c r="B833" s="1" t="n">
        <v>45665.3744212963</v>
      </c>
      <c r="C833" s="1" t="n">
        <v>46172</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7818-2024</t>
        </is>
      </c>
      <c r="B834" s="1" t="n">
        <v>45349.68872685185</v>
      </c>
      <c r="C834" s="1" t="n">
        <v>46172</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21329-2023</t>
        </is>
      </c>
      <c r="B835" s="1" t="n">
        <v>45062</v>
      </c>
      <c r="C835" s="1" t="n">
        <v>46172</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12182-2025</t>
        </is>
      </c>
      <c r="B836" s="1" t="n">
        <v>45729</v>
      </c>
      <c r="C836" s="1" t="n">
        <v>46172</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53020-2025</t>
        </is>
      </c>
      <c r="B837" s="1" t="n">
        <v>45957.90707175926</v>
      </c>
      <c r="C837" s="1" t="n">
        <v>46172</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1543-2024</t>
        </is>
      </c>
      <c r="B838" s="1" t="n">
        <v>45306</v>
      </c>
      <c r="C838" s="1" t="n">
        <v>46172</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53424-2025</t>
        </is>
      </c>
      <c r="B839" s="1" t="n">
        <v>45959</v>
      </c>
      <c r="C839" s="1" t="n">
        <v>46172</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18800-2023</t>
        </is>
      </c>
      <c r="B840" s="1" t="n">
        <v>45044</v>
      </c>
      <c r="C840" s="1" t="n">
        <v>46172</v>
      </c>
      <c r="D840" t="inlineStr">
        <is>
          <t>SKÅNE LÄN</t>
        </is>
      </c>
      <c r="E840" t="inlineStr">
        <is>
          <t>HÄSSLEHOLM</t>
        </is>
      </c>
      <c r="G840" t="n">
        <v>1.1</v>
      </c>
      <c r="H840" t="n">
        <v>0</v>
      </c>
      <c r="I840" t="n">
        <v>0</v>
      </c>
      <c r="J840" t="n">
        <v>0</v>
      </c>
      <c r="K840" t="n">
        <v>0</v>
      </c>
      <c r="L840" t="n">
        <v>0</v>
      </c>
      <c r="M840" t="n">
        <v>0</v>
      </c>
      <c r="N840" t="n">
        <v>0</v>
      </c>
      <c r="O840" t="n">
        <v>0</v>
      </c>
      <c r="P840" t="n">
        <v>0</v>
      </c>
      <c r="Q840" t="n">
        <v>0</v>
      </c>
      <c r="R840" s="2" t="inlineStr"/>
    </row>
    <row r="841" ht="15" customHeight="1">
      <c r="A841" t="inlineStr">
        <is>
          <t>A 53018-2025</t>
        </is>
      </c>
      <c r="B841" s="1" t="n">
        <v>45957.90064814815</v>
      </c>
      <c r="C841" s="1" t="n">
        <v>46172</v>
      </c>
      <c r="D841" t="inlineStr">
        <is>
          <t>SKÅNE LÄN</t>
        </is>
      </c>
      <c r="E841" t="inlineStr">
        <is>
          <t>HÄSSLEHOLM</t>
        </is>
      </c>
      <c r="G841" t="n">
        <v>2.2</v>
      </c>
      <c r="H841" t="n">
        <v>0</v>
      </c>
      <c r="I841" t="n">
        <v>0</v>
      </c>
      <c r="J841" t="n">
        <v>0</v>
      </c>
      <c r="K841" t="n">
        <v>0</v>
      </c>
      <c r="L841" t="n">
        <v>0</v>
      </c>
      <c r="M841" t="n">
        <v>0</v>
      </c>
      <c r="N841" t="n">
        <v>0</v>
      </c>
      <c r="O841" t="n">
        <v>0</v>
      </c>
      <c r="P841" t="n">
        <v>0</v>
      </c>
      <c r="Q841" t="n">
        <v>0</v>
      </c>
      <c r="R841" s="2" t="inlineStr"/>
    </row>
    <row r="842" ht="15" customHeight="1">
      <c r="A842" t="inlineStr">
        <is>
          <t>A 53056-2025</t>
        </is>
      </c>
      <c r="B842" s="1" t="n">
        <v>45958.36518518518</v>
      </c>
      <c r="C842" s="1" t="n">
        <v>46172</v>
      </c>
      <c r="D842" t="inlineStr">
        <is>
          <t>SKÅNE LÄN</t>
        </is>
      </c>
      <c r="E842" t="inlineStr">
        <is>
          <t>HÄSSLEHOLM</t>
        </is>
      </c>
      <c r="G842" t="n">
        <v>1.5</v>
      </c>
      <c r="H842" t="n">
        <v>0</v>
      </c>
      <c r="I842" t="n">
        <v>0</v>
      </c>
      <c r="J842" t="n">
        <v>0</v>
      </c>
      <c r="K842" t="n">
        <v>0</v>
      </c>
      <c r="L842" t="n">
        <v>0</v>
      </c>
      <c r="M842" t="n">
        <v>0</v>
      </c>
      <c r="N842" t="n">
        <v>0</v>
      </c>
      <c r="O842" t="n">
        <v>0</v>
      </c>
      <c r="P842" t="n">
        <v>0</v>
      </c>
      <c r="Q842" t="n">
        <v>0</v>
      </c>
      <c r="R842" s="2" t="inlineStr"/>
    </row>
    <row r="843" ht="15" customHeight="1">
      <c r="A843" t="inlineStr">
        <is>
          <t>A 60848-2022</t>
        </is>
      </c>
      <c r="B843" s="1" t="n">
        <v>44914</v>
      </c>
      <c r="C843" s="1" t="n">
        <v>46172</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44964.66871527778</v>
      </c>
      <c r="C844" s="1" t="n">
        <v>46172</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13149-2024</t>
        </is>
      </c>
      <c r="B845" s="1" t="n">
        <v>45386</v>
      </c>
      <c r="C845" s="1" t="n">
        <v>46172</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45392-2024</t>
        </is>
      </c>
      <c r="B846" s="1" t="n">
        <v>45576.55008101852</v>
      </c>
      <c r="C846" s="1" t="n">
        <v>46172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16454-2023</t>
        </is>
      </c>
      <c r="B847" s="1" t="n">
        <v>45029.48425925926</v>
      </c>
      <c r="C847" s="1" t="n">
        <v>46172</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29845-2024</t>
        </is>
      </c>
      <c r="B848" s="1" t="n">
        <v>45485.6212037037</v>
      </c>
      <c r="C848" s="1" t="n">
        <v>46172</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25077-2024</t>
        </is>
      </c>
      <c r="B849" s="1" t="n">
        <v>45462</v>
      </c>
      <c r="C849" s="1" t="n">
        <v>46172</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17335-2024</t>
        </is>
      </c>
      <c r="B850" s="1" t="n">
        <v>45414.5687962963</v>
      </c>
      <c r="C850" s="1" t="n">
        <v>46172</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1703-2025</t>
        </is>
      </c>
      <c r="B851" s="1" t="n">
        <v>45670.80732638889</v>
      </c>
      <c r="C851" s="1" t="n">
        <v>46172</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22535-2024</t>
        </is>
      </c>
      <c r="B852" s="1" t="n">
        <v>45447</v>
      </c>
      <c r="C852" s="1" t="n">
        <v>46172</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24246-2023</t>
        </is>
      </c>
      <c r="B853" s="1" t="n">
        <v>45079</v>
      </c>
      <c r="C853" s="1" t="n">
        <v>46172</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24249-2023</t>
        </is>
      </c>
      <c r="B854" s="1" t="n">
        <v>45079.62466435185</v>
      </c>
      <c r="C854" s="1" t="n">
        <v>46172</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15060-2023</t>
        </is>
      </c>
      <c r="B855" s="1" t="n">
        <v>45015.69832175926</v>
      </c>
      <c r="C855" s="1" t="n">
        <v>46172</v>
      </c>
      <c r="D855" t="inlineStr">
        <is>
          <t>SKÅNE LÄN</t>
        </is>
      </c>
      <c r="E855" t="inlineStr">
        <is>
          <t>HÄSSLEHOLM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4787-2023</t>
        </is>
      </c>
      <c r="B856" s="1" t="n">
        <v>44957.60079861111</v>
      </c>
      <c r="C856" s="1" t="n">
        <v>46172</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4788-2023</t>
        </is>
      </c>
      <c r="B857" s="1" t="n">
        <v>44957.60130787037</v>
      </c>
      <c r="C857" s="1" t="n">
        <v>46172</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31989-2024</t>
        </is>
      </c>
      <c r="B858" s="1" t="n">
        <v>45510.58085648148</v>
      </c>
      <c r="C858" s="1" t="n">
        <v>46172</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34348-2022</t>
        </is>
      </c>
      <c r="B859" s="1" t="n">
        <v>44792</v>
      </c>
      <c r="C859" s="1" t="n">
        <v>46172</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1120-2024</t>
        </is>
      </c>
      <c r="B860" s="1" t="n">
        <v>45302.4452662037</v>
      </c>
      <c r="C860" s="1" t="n">
        <v>46172</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45399-2022</t>
        </is>
      </c>
      <c r="B861" s="1" t="n">
        <v>44844.70513888889</v>
      </c>
      <c r="C861" s="1" t="n">
        <v>46172</v>
      </c>
      <c r="D861" t="inlineStr">
        <is>
          <t>SKÅNE LÄN</t>
        </is>
      </c>
      <c r="E861" t="inlineStr">
        <is>
          <t>HÄSSLEHOLM</t>
        </is>
      </c>
      <c r="G861" t="n">
        <v>0</v>
      </c>
      <c r="H861" t="n">
        <v>0</v>
      </c>
      <c r="I861" t="n">
        <v>0</v>
      </c>
      <c r="J861" t="n">
        <v>0</v>
      </c>
      <c r="K861" t="n">
        <v>0</v>
      </c>
      <c r="L861" t="n">
        <v>0</v>
      </c>
      <c r="M861" t="n">
        <v>0</v>
      </c>
      <c r="N861" t="n">
        <v>0</v>
      </c>
      <c r="O861" t="n">
        <v>0</v>
      </c>
      <c r="P861" t="n">
        <v>0</v>
      </c>
      <c r="Q861" t="n">
        <v>0</v>
      </c>
      <c r="R861" s="2" t="inlineStr"/>
    </row>
    <row r="862" ht="15" customHeight="1">
      <c r="A862" t="inlineStr">
        <is>
          <t>A 35640-2023</t>
        </is>
      </c>
      <c r="B862" s="1" t="n">
        <v>45147</v>
      </c>
      <c r="C862" s="1" t="n">
        <v>46172</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60973-2024</t>
        </is>
      </c>
      <c r="B863" s="1" t="n">
        <v>45644</v>
      </c>
      <c r="C863" s="1" t="n">
        <v>46172</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2681-2024</t>
        </is>
      </c>
      <c r="B864" s="1" t="n">
        <v>45314</v>
      </c>
      <c r="C864" s="1" t="n">
        <v>46172</v>
      </c>
      <c r="D864" t="inlineStr">
        <is>
          <t>SKÅNE LÄN</t>
        </is>
      </c>
      <c r="E864" t="inlineStr">
        <is>
          <t>HÄSSLEHOLM</t>
        </is>
      </c>
      <c r="F864" t="inlineStr">
        <is>
          <t>Övriga Aktiebolag</t>
        </is>
      </c>
      <c r="G864" t="n">
        <v>1.4</v>
      </c>
      <c r="H864" t="n">
        <v>0</v>
      </c>
      <c r="I864" t="n">
        <v>0</v>
      </c>
      <c r="J864" t="n">
        <v>0</v>
      </c>
      <c r="K864" t="n">
        <v>0</v>
      </c>
      <c r="L864" t="n">
        <v>0</v>
      </c>
      <c r="M864" t="n">
        <v>0</v>
      </c>
      <c r="N864" t="n">
        <v>0</v>
      </c>
      <c r="O864" t="n">
        <v>0</v>
      </c>
      <c r="P864" t="n">
        <v>0</v>
      </c>
      <c r="Q864" t="n">
        <v>0</v>
      </c>
      <c r="R864" s="2" t="inlineStr"/>
    </row>
    <row r="865" ht="15" customHeight="1">
      <c r="A865" t="inlineStr">
        <is>
          <t>A 27478-2023</t>
        </is>
      </c>
      <c r="B865" s="1" t="n">
        <v>45092</v>
      </c>
      <c r="C865" s="1" t="n">
        <v>46172</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37898-2021</t>
        </is>
      </c>
      <c r="B866" s="1" t="n">
        <v>44403</v>
      </c>
      <c r="C866" s="1" t="n">
        <v>46172</v>
      </c>
      <c r="D866" t="inlineStr">
        <is>
          <t>SKÅNE LÄN</t>
        </is>
      </c>
      <c r="E866" t="inlineStr">
        <is>
          <t>HÄSSLEHOLM</t>
        </is>
      </c>
      <c r="F866" t="inlineStr">
        <is>
          <t>Kommuner</t>
        </is>
      </c>
      <c r="G866" t="n">
        <v>8.4</v>
      </c>
      <c r="H866" t="n">
        <v>0</v>
      </c>
      <c r="I866" t="n">
        <v>0</v>
      </c>
      <c r="J866" t="n">
        <v>0</v>
      </c>
      <c r="K866" t="n">
        <v>0</v>
      </c>
      <c r="L866" t="n">
        <v>0</v>
      </c>
      <c r="M866" t="n">
        <v>0</v>
      </c>
      <c r="N866" t="n">
        <v>0</v>
      </c>
      <c r="O866" t="n">
        <v>0</v>
      </c>
      <c r="P866" t="n">
        <v>0</v>
      </c>
      <c r="Q866" t="n">
        <v>0</v>
      </c>
      <c r="R866" s="2" t="inlineStr"/>
    </row>
    <row r="867" ht="15" customHeight="1">
      <c r="A867" t="inlineStr">
        <is>
          <t>A 26641-2023</t>
        </is>
      </c>
      <c r="B867" s="1" t="n">
        <v>45092.89619212963</v>
      </c>
      <c r="C867" s="1" t="n">
        <v>46172</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27177-2024</t>
        </is>
      </c>
      <c r="B868" s="1" t="n">
        <v>45471.57201388889</v>
      </c>
      <c r="C868" s="1" t="n">
        <v>46172</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47161-2025</t>
        </is>
      </c>
      <c r="B869" s="1" t="n">
        <v>45929</v>
      </c>
      <c r="C869" s="1" t="n">
        <v>46172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49219-2024</t>
        </is>
      </c>
      <c r="B870" s="1" t="n">
        <v>45595.40923611111</v>
      </c>
      <c r="C870" s="1" t="n">
        <v>46172</v>
      </c>
      <c r="D870" t="inlineStr">
        <is>
          <t>SKÅNE LÄN</t>
        </is>
      </c>
      <c r="E870" t="inlineStr">
        <is>
          <t>HÄSSLEHOLM</t>
        </is>
      </c>
      <c r="G870" t="n">
        <v>1.8</v>
      </c>
      <c r="H870" t="n">
        <v>0</v>
      </c>
      <c r="I870" t="n">
        <v>0</v>
      </c>
      <c r="J870" t="n">
        <v>0</v>
      </c>
      <c r="K870" t="n">
        <v>0</v>
      </c>
      <c r="L870" t="n">
        <v>0</v>
      </c>
      <c r="M870" t="n">
        <v>0</v>
      </c>
      <c r="N870" t="n">
        <v>0</v>
      </c>
      <c r="O870" t="n">
        <v>0</v>
      </c>
      <c r="P870" t="n">
        <v>0</v>
      </c>
      <c r="Q870" t="n">
        <v>0</v>
      </c>
      <c r="R870" s="2" t="inlineStr"/>
    </row>
    <row r="871" ht="15" customHeight="1">
      <c r="A871" t="inlineStr">
        <is>
          <t>A 13646-2024</t>
        </is>
      </c>
      <c r="B871" s="1" t="n">
        <v>45387</v>
      </c>
      <c r="C871" s="1" t="n">
        <v>46172</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4750-2024</t>
        </is>
      </c>
      <c r="B872" s="1" t="n">
        <v>45328</v>
      </c>
      <c r="C872" s="1" t="n">
        <v>46172</v>
      </c>
      <c r="D872" t="inlineStr">
        <is>
          <t>SKÅNE LÄN</t>
        </is>
      </c>
      <c r="E872" t="inlineStr">
        <is>
          <t>HÄSSLEHOLM</t>
        </is>
      </c>
      <c r="G872" t="n">
        <v>0.3</v>
      </c>
      <c r="H872" t="n">
        <v>0</v>
      </c>
      <c r="I872" t="n">
        <v>0</v>
      </c>
      <c r="J872" t="n">
        <v>0</v>
      </c>
      <c r="K872" t="n">
        <v>0</v>
      </c>
      <c r="L872" t="n">
        <v>0</v>
      </c>
      <c r="M872" t="n">
        <v>0</v>
      </c>
      <c r="N872" t="n">
        <v>0</v>
      </c>
      <c r="O872" t="n">
        <v>0</v>
      </c>
      <c r="P872" t="n">
        <v>0</v>
      </c>
      <c r="Q872" t="n">
        <v>0</v>
      </c>
      <c r="R872" s="2" t="inlineStr"/>
    </row>
    <row r="873" ht="15" customHeight="1">
      <c r="A873" t="inlineStr">
        <is>
          <t>A 53466-2024</t>
        </is>
      </c>
      <c r="B873" s="1" t="n">
        <v>45614.55304398148</v>
      </c>
      <c r="C873" s="1" t="n">
        <v>46172</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16397-2022</t>
        </is>
      </c>
      <c r="B874" s="1" t="n">
        <v>44671</v>
      </c>
      <c r="C874" s="1" t="n">
        <v>46172</v>
      </c>
      <c r="D874" t="inlineStr">
        <is>
          <t>SKÅNE LÄN</t>
        </is>
      </c>
      <c r="E874" t="inlineStr">
        <is>
          <t>HÄSSLEHOLM</t>
        </is>
      </c>
      <c r="G874" t="n">
        <v>2.7</v>
      </c>
      <c r="H874" t="n">
        <v>0</v>
      </c>
      <c r="I874" t="n">
        <v>0</v>
      </c>
      <c r="J874" t="n">
        <v>0</v>
      </c>
      <c r="K874" t="n">
        <v>0</v>
      </c>
      <c r="L874" t="n">
        <v>0</v>
      </c>
      <c r="M874" t="n">
        <v>0</v>
      </c>
      <c r="N874" t="n">
        <v>0</v>
      </c>
      <c r="O874" t="n">
        <v>0</v>
      </c>
      <c r="P874" t="n">
        <v>0</v>
      </c>
      <c r="Q874" t="n">
        <v>0</v>
      </c>
      <c r="R874" s="2" t="inlineStr"/>
    </row>
    <row r="875" ht="15" customHeight="1">
      <c r="A875" t="inlineStr">
        <is>
          <t>A 16398-2022</t>
        </is>
      </c>
      <c r="B875" s="1" t="n">
        <v>44671</v>
      </c>
      <c r="C875" s="1" t="n">
        <v>46172</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61533-2024</t>
        </is>
      </c>
      <c r="B876" s="1" t="n">
        <v>45646</v>
      </c>
      <c r="C876" s="1" t="n">
        <v>46172</v>
      </c>
      <c r="D876" t="inlineStr">
        <is>
          <t>SKÅNE LÄN</t>
        </is>
      </c>
      <c r="E876" t="inlineStr">
        <is>
          <t>HÄSSLEHOLM</t>
        </is>
      </c>
      <c r="G876" t="n">
        <v>4.5</v>
      </c>
      <c r="H876" t="n">
        <v>0</v>
      </c>
      <c r="I876" t="n">
        <v>0</v>
      </c>
      <c r="J876" t="n">
        <v>0</v>
      </c>
      <c r="K876" t="n">
        <v>0</v>
      </c>
      <c r="L876" t="n">
        <v>0</v>
      </c>
      <c r="M876" t="n">
        <v>0</v>
      </c>
      <c r="N876" t="n">
        <v>0</v>
      </c>
      <c r="O876" t="n">
        <v>0</v>
      </c>
      <c r="P876" t="n">
        <v>0</v>
      </c>
      <c r="Q876" t="n">
        <v>0</v>
      </c>
      <c r="R876" s="2" t="inlineStr"/>
    </row>
    <row r="877" ht="15" customHeight="1">
      <c r="A877" t="inlineStr">
        <is>
          <t>A 58891-2022</t>
        </is>
      </c>
      <c r="B877" s="1" t="n">
        <v>44896</v>
      </c>
      <c r="C877" s="1" t="n">
        <v>46172</v>
      </c>
      <c r="D877" t="inlineStr">
        <is>
          <t>SKÅNE LÄN</t>
        </is>
      </c>
      <c r="E877" t="inlineStr">
        <is>
          <t>HÄSSLEHOLM</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4512-2024</t>
        </is>
      </c>
      <c r="B878" s="1" t="n">
        <v>45327.6312962963</v>
      </c>
      <c r="C878" s="1" t="n">
        <v>46172</v>
      </c>
      <c r="D878" t="inlineStr">
        <is>
          <t>SKÅNE LÄN</t>
        </is>
      </c>
      <c r="E878" t="inlineStr">
        <is>
          <t>HÄSSLEHOLM</t>
        </is>
      </c>
      <c r="G878" t="n">
        <v>2</v>
      </c>
      <c r="H878" t="n">
        <v>0</v>
      </c>
      <c r="I878" t="n">
        <v>0</v>
      </c>
      <c r="J878" t="n">
        <v>0</v>
      </c>
      <c r="K878" t="n">
        <v>0</v>
      </c>
      <c r="L878" t="n">
        <v>0</v>
      </c>
      <c r="M878" t="n">
        <v>0</v>
      </c>
      <c r="N878" t="n">
        <v>0</v>
      </c>
      <c r="O878" t="n">
        <v>0</v>
      </c>
      <c r="P878" t="n">
        <v>0</v>
      </c>
      <c r="Q878" t="n">
        <v>0</v>
      </c>
      <c r="R878" s="2" t="inlineStr"/>
    </row>
    <row r="879" ht="15" customHeight="1">
      <c r="A879" t="inlineStr">
        <is>
          <t>A 15512-2025</t>
        </is>
      </c>
      <c r="B879" s="1" t="n">
        <v>45747</v>
      </c>
      <c r="C879" s="1" t="n">
        <v>46172</v>
      </c>
      <c r="D879" t="inlineStr">
        <is>
          <t>SKÅNE LÄN</t>
        </is>
      </c>
      <c r="E879" t="inlineStr">
        <is>
          <t>HÄSSLEHOLM</t>
        </is>
      </c>
      <c r="G879" t="n">
        <v>3.5</v>
      </c>
      <c r="H879" t="n">
        <v>0</v>
      </c>
      <c r="I879" t="n">
        <v>0</v>
      </c>
      <c r="J879" t="n">
        <v>0</v>
      </c>
      <c r="K879" t="n">
        <v>0</v>
      </c>
      <c r="L879" t="n">
        <v>0</v>
      </c>
      <c r="M879" t="n">
        <v>0</v>
      </c>
      <c r="N879" t="n">
        <v>0</v>
      </c>
      <c r="O879" t="n">
        <v>0</v>
      </c>
      <c r="P879" t="n">
        <v>0</v>
      </c>
      <c r="Q879" t="n">
        <v>0</v>
      </c>
      <c r="R879" s="2" t="inlineStr"/>
    </row>
    <row r="880" ht="15" customHeight="1">
      <c r="A880" t="inlineStr">
        <is>
          <t>A 19735-2023</t>
        </is>
      </c>
      <c r="B880" s="1" t="n">
        <v>45051.52199074074</v>
      </c>
      <c r="C880" s="1" t="n">
        <v>46172</v>
      </c>
      <c r="D880" t="inlineStr">
        <is>
          <t>SKÅNE LÄN</t>
        </is>
      </c>
      <c r="E880" t="inlineStr">
        <is>
          <t>HÄSSLEHOLM</t>
        </is>
      </c>
      <c r="G880" t="n">
        <v>4</v>
      </c>
      <c r="H880" t="n">
        <v>0</v>
      </c>
      <c r="I880" t="n">
        <v>0</v>
      </c>
      <c r="J880" t="n">
        <v>0</v>
      </c>
      <c r="K880" t="n">
        <v>0</v>
      </c>
      <c r="L880" t="n">
        <v>0</v>
      </c>
      <c r="M880" t="n">
        <v>0</v>
      </c>
      <c r="N880" t="n">
        <v>0</v>
      </c>
      <c r="O880" t="n">
        <v>0</v>
      </c>
      <c r="P880" t="n">
        <v>0</v>
      </c>
      <c r="Q880" t="n">
        <v>0</v>
      </c>
      <c r="R880" s="2" t="inlineStr"/>
    </row>
    <row r="881" ht="15" customHeight="1">
      <c r="A881" t="inlineStr">
        <is>
          <t>A 36568-2024</t>
        </is>
      </c>
      <c r="B881" s="1" t="n">
        <v>45537</v>
      </c>
      <c r="C881" s="1" t="n">
        <v>46172</v>
      </c>
      <c r="D881" t="inlineStr">
        <is>
          <t>SKÅNE LÄN</t>
        </is>
      </c>
      <c r="E881" t="inlineStr">
        <is>
          <t>HÄSSLEHOLM</t>
        </is>
      </c>
      <c r="G881" t="n">
        <v>4.3</v>
      </c>
      <c r="H881" t="n">
        <v>0</v>
      </c>
      <c r="I881" t="n">
        <v>0</v>
      </c>
      <c r="J881" t="n">
        <v>0</v>
      </c>
      <c r="K881" t="n">
        <v>0</v>
      </c>
      <c r="L881" t="n">
        <v>0</v>
      </c>
      <c r="M881" t="n">
        <v>0</v>
      </c>
      <c r="N881" t="n">
        <v>0</v>
      </c>
      <c r="O881" t="n">
        <v>0</v>
      </c>
      <c r="P881" t="n">
        <v>0</v>
      </c>
      <c r="Q881" t="n">
        <v>0</v>
      </c>
      <c r="R881" s="2" t="inlineStr"/>
    </row>
    <row r="882" ht="15" customHeight="1">
      <c r="A882" t="inlineStr">
        <is>
          <t>A 39044-2024</t>
        </is>
      </c>
      <c r="B882" s="1" t="n">
        <v>45548.47707175926</v>
      </c>
      <c r="C882" s="1" t="n">
        <v>46172</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9323-2025</t>
        </is>
      </c>
      <c r="B883" s="1" t="n">
        <v>45714.73532407408</v>
      </c>
      <c r="C883" s="1" t="n">
        <v>46172</v>
      </c>
      <c r="D883" t="inlineStr">
        <is>
          <t>SKÅNE LÄN</t>
        </is>
      </c>
      <c r="E883" t="inlineStr">
        <is>
          <t>HÄSSLEHOLM</t>
        </is>
      </c>
      <c r="G883" t="n">
        <v>5.2</v>
      </c>
      <c r="H883" t="n">
        <v>0</v>
      </c>
      <c r="I883" t="n">
        <v>0</v>
      </c>
      <c r="J883" t="n">
        <v>0</v>
      </c>
      <c r="K883" t="n">
        <v>0</v>
      </c>
      <c r="L883" t="n">
        <v>0</v>
      </c>
      <c r="M883" t="n">
        <v>0</v>
      </c>
      <c r="N883" t="n">
        <v>0</v>
      </c>
      <c r="O883" t="n">
        <v>0</v>
      </c>
      <c r="P883" t="n">
        <v>0</v>
      </c>
      <c r="Q883" t="n">
        <v>0</v>
      </c>
      <c r="R883" s="2" t="inlineStr"/>
    </row>
    <row r="884" ht="15" customHeight="1">
      <c r="A884" t="inlineStr">
        <is>
          <t>A 19593-2023</t>
        </is>
      </c>
      <c r="B884" s="1" t="n">
        <v>45050.75895833333</v>
      </c>
      <c r="C884" s="1" t="n">
        <v>46172</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2490-2024</t>
        </is>
      </c>
      <c r="B885" s="1" t="n">
        <v>45313.43649305555</v>
      </c>
      <c r="C885" s="1" t="n">
        <v>46172</v>
      </c>
      <c r="D885" t="inlineStr">
        <is>
          <t>SKÅNE LÄN</t>
        </is>
      </c>
      <c r="E885" t="inlineStr">
        <is>
          <t>HÄSSLEHOLM</t>
        </is>
      </c>
      <c r="G885" t="n">
        <v>4</v>
      </c>
      <c r="H885" t="n">
        <v>0</v>
      </c>
      <c r="I885" t="n">
        <v>0</v>
      </c>
      <c r="J885" t="n">
        <v>0</v>
      </c>
      <c r="K885" t="n">
        <v>0</v>
      </c>
      <c r="L885" t="n">
        <v>0</v>
      </c>
      <c r="M885" t="n">
        <v>0</v>
      </c>
      <c r="N885" t="n">
        <v>0</v>
      </c>
      <c r="O885" t="n">
        <v>0</v>
      </c>
      <c r="P885" t="n">
        <v>0</v>
      </c>
      <c r="Q885" t="n">
        <v>0</v>
      </c>
      <c r="R885" s="2" t="inlineStr"/>
    </row>
    <row r="886" ht="15" customHeight="1">
      <c r="A886" t="inlineStr">
        <is>
          <t>A 54771-2025</t>
        </is>
      </c>
      <c r="B886" s="1" t="n">
        <v>45966.60829861111</v>
      </c>
      <c r="C886" s="1" t="n">
        <v>46172</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54664-2025</t>
        </is>
      </c>
      <c r="B887" s="1" t="n">
        <v>45966.40738425926</v>
      </c>
      <c r="C887" s="1" t="n">
        <v>46172</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61537-2024</t>
        </is>
      </c>
      <c r="B888" s="1" t="n">
        <v>45646</v>
      </c>
      <c r="C888" s="1" t="n">
        <v>46172</v>
      </c>
      <c r="D888" t="inlineStr">
        <is>
          <t>SKÅNE LÄN</t>
        </is>
      </c>
      <c r="E888" t="inlineStr">
        <is>
          <t>HÄSSLEHOLM</t>
        </is>
      </c>
      <c r="G888" t="n">
        <v>3.7</v>
      </c>
      <c r="H888" t="n">
        <v>0</v>
      </c>
      <c r="I888" t="n">
        <v>0</v>
      </c>
      <c r="J888" t="n">
        <v>0</v>
      </c>
      <c r="K888" t="n">
        <v>0</v>
      </c>
      <c r="L888" t="n">
        <v>0</v>
      </c>
      <c r="M888" t="n">
        <v>0</v>
      </c>
      <c r="N888" t="n">
        <v>0</v>
      </c>
      <c r="O888" t="n">
        <v>0</v>
      </c>
      <c r="P888" t="n">
        <v>0</v>
      </c>
      <c r="Q888" t="n">
        <v>0</v>
      </c>
      <c r="R888" s="2" t="inlineStr"/>
    </row>
    <row r="889" ht="15" customHeight="1">
      <c r="A889" t="inlineStr">
        <is>
          <t>A 16017-2023</t>
        </is>
      </c>
      <c r="B889" s="1" t="n">
        <v>45026</v>
      </c>
      <c r="C889" s="1" t="n">
        <v>46172</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54763-2025</t>
        </is>
      </c>
      <c r="B890" s="1" t="n">
        <v>45966.60167824074</v>
      </c>
      <c r="C890" s="1" t="n">
        <v>46172</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19020-2024</t>
        </is>
      </c>
      <c r="B891" s="1" t="n">
        <v>45427.66167824074</v>
      </c>
      <c r="C891" s="1" t="n">
        <v>46172</v>
      </c>
      <c r="D891" t="inlineStr">
        <is>
          <t>SKÅNE LÄN</t>
        </is>
      </c>
      <c r="E891" t="inlineStr">
        <is>
          <t>HÄSSLEHOLM</t>
        </is>
      </c>
      <c r="G891" t="n">
        <v>2.3</v>
      </c>
      <c r="H891" t="n">
        <v>0</v>
      </c>
      <c r="I891" t="n">
        <v>0</v>
      </c>
      <c r="J891" t="n">
        <v>0</v>
      </c>
      <c r="K891" t="n">
        <v>0</v>
      </c>
      <c r="L891" t="n">
        <v>0</v>
      </c>
      <c r="M891" t="n">
        <v>0</v>
      </c>
      <c r="N891" t="n">
        <v>0</v>
      </c>
      <c r="O891" t="n">
        <v>0</v>
      </c>
      <c r="P891" t="n">
        <v>0</v>
      </c>
      <c r="Q891" t="n">
        <v>0</v>
      </c>
      <c r="R891" s="2" t="inlineStr"/>
    </row>
    <row r="892" ht="15" customHeight="1">
      <c r="A892" t="inlineStr">
        <is>
          <t>A 40734-2024</t>
        </is>
      </c>
      <c r="B892" s="1" t="n">
        <v>45558</v>
      </c>
      <c r="C892" s="1" t="n">
        <v>46172</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40738-2024</t>
        </is>
      </c>
      <c r="B893" s="1" t="n">
        <v>45558</v>
      </c>
      <c r="C893" s="1" t="n">
        <v>46172</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27297-2023</t>
        </is>
      </c>
      <c r="B894" s="1" t="n">
        <v>45096</v>
      </c>
      <c r="C894" s="1" t="n">
        <v>46172</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49199-2024</t>
        </is>
      </c>
      <c r="B895" s="1" t="n">
        <v>45595</v>
      </c>
      <c r="C895" s="1" t="n">
        <v>46172</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34890-2023</t>
        </is>
      </c>
      <c r="B896" s="1" t="n">
        <v>45142.39475694444</v>
      </c>
      <c r="C896" s="1" t="n">
        <v>46172</v>
      </c>
      <c r="D896" t="inlineStr">
        <is>
          <t>SKÅNE LÄN</t>
        </is>
      </c>
      <c r="E896" t="inlineStr">
        <is>
          <t>HÄSSLEHOLM</t>
        </is>
      </c>
      <c r="G896" t="n">
        <v>4</v>
      </c>
      <c r="H896" t="n">
        <v>0</v>
      </c>
      <c r="I896" t="n">
        <v>0</v>
      </c>
      <c r="J896" t="n">
        <v>0</v>
      </c>
      <c r="K896" t="n">
        <v>0</v>
      </c>
      <c r="L896" t="n">
        <v>0</v>
      </c>
      <c r="M896" t="n">
        <v>0</v>
      </c>
      <c r="N896" t="n">
        <v>0</v>
      </c>
      <c r="O896" t="n">
        <v>0</v>
      </c>
      <c r="P896" t="n">
        <v>0</v>
      </c>
      <c r="Q896" t="n">
        <v>0</v>
      </c>
      <c r="R896" s="2" t="inlineStr"/>
    </row>
    <row r="897" ht="15" customHeight="1">
      <c r="A897" t="inlineStr">
        <is>
          <t>A 524-2024</t>
        </is>
      </c>
      <c r="B897" s="1" t="n">
        <v>45299</v>
      </c>
      <c r="C897" s="1" t="n">
        <v>46172</v>
      </c>
      <c r="D897" t="inlineStr">
        <is>
          <t>SKÅNE LÄN</t>
        </is>
      </c>
      <c r="E897" t="inlineStr">
        <is>
          <t>HÄSSLEHOLM</t>
        </is>
      </c>
      <c r="G897" t="n">
        <v>29.4</v>
      </c>
      <c r="H897" t="n">
        <v>0</v>
      </c>
      <c r="I897" t="n">
        <v>0</v>
      </c>
      <c r="J897" t="n">
        <v>0</v>
      </c>
      <c r="K897" t="n">
        <v>0</v>
      </c>
      <c r="L897" t="n">
        <v>0</v>
      </c>
      <c r="M897" t="n">
        <v>0</v>
      </c>
      <c r="N897" t="n">
        <v>0</v>
      </c>
      <c r="O897" t="n">
        <v>0</v>
      </c>
      <c r="P897" t="n">
        <v>0</v>
      </c>
      <c r="Q897" t="n">
        <v>0</v>
      </c>
      <c r="R897" s="2" t="inlineStr"/>
    </row>
    <row r="898" ht="15" customHeight="1">
      <c r="A898" t="inlineStr">
        <is>
          <t>A 22024-2025</t>
        </is>
      </c>
      <c r="B898" s="1" t="n">
        <v>45784.85322916666</v>
      </c>
      <c r="C898" s="1" t="n">
        <v>46172</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54668-2025</t>
        </is>
      </c>
      <c r="B899" s="1" t="n">
        <v>45966.40803240741</v>
      </c>
      <c r="C899" s="1" t="n">
        <v>46172</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2712-2024</t>
        </is>
      </c>
      <c r="B900" s="1" t="n">
        <v>45314</v>
      </c>
      <c r="C900" s="1" t="n">
        <v>46172</v>
      </c>
      <c r="D900" t="inlineStr">
        <is>
          <t>SKÅNE LÄN</t>
        </is>
      </c>
      <c r="E900" t="inlineStr">
        <is>
          <t>HÄSSLEHOLM</t>
        </is>
      </c>
      <c r="G900" t="n">
        <v>11.3</v>
      </c>
      <c r="H900" t="n">
        <v>0</v>
      </c>
      <c r="I900" t="n">
        <v>0</v>
      </c>
      <c r="J900" t="n">
        <v>0</v>
      </c>
      <c r="K900" t="n">
        <v>0</v>
      </c>
      <c r="L900" t="n">
        <v>0</v>
      </c>
      <c r="M900" t="n">
        <v>0</v>
      </c>
      <c r="N900" t="n">
        <v>0</v>
      </c>
      <c r="O900" t="n">
        <v>0</v>
      </c>
      <c r="P900" t="n">
        <v>0</v>
      </c>
      <c r="Q900" t="n">
        <v>0</v>
      </c>
      <c r="R900" s="2" t="inlineStr"/>
    </row>
    <row r="901" ht="15" customHeight="1">
      <c r="A901" t="inlineStr">
        <is>
          <t>A 9747-2024</t>
        </is>
      </c>
      <c r="B901" s="1" t="n">
        <v>45362</v>
      </c>
      <c r="C901" s="1" t="n">
        <v>46172</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20006-2025</t>
        </is>
      </c>
      <c r="B902" s="1" t="n">
        <v>45772.05032407407</v>
      </c>
      <c r="C902" s="1" t="n">
        <v>46172</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9394-2025</t>
        </is>
      </c>
      <c r="B903" s="1" t="n">
        <v>45715.36387731481</v>
      </c>
      <c r="C903" s="1" t="n">
        <v>46172</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56735-2024</t>
        </is>
      </c>
      <c r="B904" s="1" t="n">
        <v>45628.36234953703</v>
      </c>
      <c r="C904" s="1" t="n">
        <v>46172</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56986-2024</t>
        </is>
      </c>
      <c r="B905" s="1" t="n">
        <v>45626</v>
      </c>
      <c r="C905" s="1" t="n">
        <v>46172</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29844-2024</t>
        </is>
      </c>
      <c r="B906" s="1" t="n">
        <v>45485</v>
      </c>
      <c r="C906" s="1" t="n">
        <v>46172</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46222-2022</t>
        </is>
      </c>
      <c r="B907" s="1" t="n">
        <v>44847.58725694445</v>
      </c>
      <c r="C907" s="1" t="n">
        <v>46172</v>
      </c>
      <c r="D907" t="inlineStr">
        <is>
          <t>SKÅNE LÄN</t>
        </is>
      </c>
      <c r="E907" t="inlineStr">
        <is>
          <t>HÄSSLEHOLM</t>
        </is>
      </c>
      <c r="G907" t="n">
        <v>6.3</v>
      </c>
      <c r="H907" t="n">
        <v>0</v>
      </c>
      <c r="I907" t="n">
        <v>0</v>
      </c>
      <c r="J907" t="n">
        <v>0</v>
      </c>
      <c r="K907" t="n">
        <v>0</v>
      </c>
      <c r="L907" t="n">
        <v>0</v>
      </c>
      <c r="M907" t="n">
        <v>0</v>
      </c>
      <c r="N907" t="n">
        <v>0</v>
      </c>
      <c r="O907" t="n">
        <v>0</v>
      </c>
      <c r="P907" t="n">
        <v>0</v>
      </c>
      <c r="Q907" t="n">
        <v>0</v>
      </c>
      <c r="R907" s="2" t="inlineStr"/>
    </row>
    <row r="908" ht="15" customHeight="1">
      <c r="A908" t="inlineStr">
        <is>
          <t>A 2567-2024</t>
        </is>
      </c>
      <c r="B908" s="1" t="n">
        <v>45313.62460648148</v>
      </c>
      <c r="C908" s="1" t="n">
        <v>46172</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55268-2025</t>
        </is>
      </c>
      <c r="B909" s="1" t="n">
        <v>45968.6715625</v>
      </c>
      <c r="C909" s="1" t="n">
        <v>46172</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28632-2024</t>
        </is>
      </c>
      <c r="B910" s="1" t="n">
        <v>45478</v>
      </c>
      <c r="C910" s="1" t="n">
        <v>46172</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55549-2025</t>
        </is>
      </c>
      <c r="B911" s="1" t="n">
        <v>45971.63805555556</v>
      </c>
      <c r="C911" s="1" t="n">
        <v>46172</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39223-2024</t>
        </is>
      </c>
      <c r="B912" s="1" t="n">
        <v>45550</v>
      </c>
      <c r="C912" s="1" t="n">
        <v>46172</v>
      </c>
      <c r="D912" t="inlineStr">
        <is>
          <t>SKÅNE LÄN</t>
        </is>
      </c>
      <c r="E912" t="inlineStr">
        <is>
          <t>HÄSSLEHOLM</t>
        </is>
      </c>
      <c r="G912" t="n">
        <v>3.1</v>
      </c>
      <c r="H912" t="n">
        <v>0</v>
      </c>
      <c r="I912" t="n">
        <v>0</v>
      </c>
      <c r="J912" t="n">
        <v>0</v>
      </c>
      <c r="K912" t="n">
        <v>0</v>
      </c>
      <c r="L912" t="n">
        <v>0</v>
      </c>
      <c r="M912" t="n">
        <v>0</v>
      </c>
      <c r="N912" t="n">
        <v>0</v>
      </c>
      <c r="O912" t="n">
        <v>0</v>
      </c>
      <c r="P912" t="n">
        <v>0</v>
      </c>
      <c r="Q912" t="n">
        <v>0</v>
      </c>
      <c r="R912" s="2" t="inlineStr"/>
    </row>
    <row r="913" ht="15" customHeight="1">
      <c r="A913" t="inlineStr">
        <is>
          <t>A 27304-2023</t>
        </is>
      </c>
      <c r="B913" s="1" t="n">
        <v>45096.65199074074</v>
      </c>
      <c r="C913" s="1" t="n">
        <v>46172</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22693-2022</t>
        </is>
      </c>
      <c r="B914" s="1" t="n">
        <v>44714.54729166667</v>
      </c>
      <c r="C914" s="1" t="n">
        <v>46172</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11708-2025</t>
        </is>
      </c>
      <c r="B915" s="1" t="n">
        <v>45727.58626157408</v>
      </c>
      <c r="C915" s="1" t="n">
        <v>46172</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69357-2021</t>
        </is>
      </c>
      <c r="B916" s="1" t="n">
        <v>44531</v>
      </c>
      <c r="C916" s="1" t="n">
        <v>46172</v>
      </c>
      <c r="D916" t="inlineStr">
        <is>
          <t>SKÅNE LÄN</t>
        </is>
      </c>
      <c r="E916" t="inlineStr">
        <is>
          <t>HÄSSLEHOLM</t>
        </is>
      </c>
      <c r="G916" t="n">
        <v>1.6</v>
      </c>
      <c r="H916" t="n">
        <v>0</v>
      </c>
      <c r="I916" t="n">
        <v>0</v>
      </c>
      <c r="J916" t="n">
        <v>0</v>
      </c>
      <c r="K916" t="n">
        <v>0</v>
      </c>
      <c r="L916" t="n">
        <v>0</v>
      </c>
      <c r="M916" t="n">
        <v>0</v>
      </c>
      <c r="N916" t="n">
        <v>0</v>
      </c>
      <c r="O916" t="n">
        <v>0</v>
      </c>
      <c r="P916" t="n">
        <v>0</v>
      </c>
      <c r="Q916" t="n">
        <v>0</v>
      </c>
      <c r="R916" s="2" t="inlineStr"/>
    </row>
    <row r="917" ht="15" customHeight="1">
      <c r="A917" t="inlineStr">
        <is>
          <t>A 55662-2022</t>
        </is>
      </c>
      <c r="B917" s="1" t="n">
        <v>44883</v>
      </c>
      <c r="C917" s="1" t="n">
        <v>46172</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55458-2025</t>
        </is>
      </c>
      <c r="B918" s="1" t="n">
        <v>45971</v>
      </c>
      <c r="C918" s="1" t="n">
        <v>46172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3886-2024</t>
        </is>
      </c>
      <c r="B919" s="1" t="n">
        <v>45322.44539351852</v>
      </c>
      <c r="C919" s="1" t="n">
        <v>46172</v>
      </c>
      <c r="D919" t="inlineStr">
        <is>
          <t>SKÅNE LÄN</t>
        </is>
      </c>
      <c r="E919" t="inlineStr">
        <is>
          <t>HÄSSLEHOLM</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9924-2025</t>
        </is>
      </c>
      <c r="B920" s="1" t="n">
        <v>45717.72505787037</v>
      </c>
      <c r="C920" s="1" t="n">
        <v>46172</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22587-2025</t>
        </is>
      </c>
      <c r="B921" s="1" t="n">
        <v>45789.39974537037</v>
      </c>
      <c r="C921" s="1" t="n">
        <v>46172</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55455-2025</t>
        </is>
      </c>
      <c r="B922" s="1" t="n">
        <v>45971</v>
      </c>
      <c r="C922" s="1" t="n">
        <v>46172</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60920-2024</t>
        </is>
      </c>
      <c r="B923" s="1" t="n">
        <v>45645.34442129629</v>
      </c>
      <c r="C923" s="1" t="n">
        <v>46172</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40536-2024</t>
        </is>
      </c>
      <c r="B924" s="1" t="n">
        <v>45555.61314814815</v>
      </c>
      <c r="C924" s="1" t="n">
        <v>46172</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45016.40576388889</v>
      </c>
      <c r="C925" s="1" t="n">
        <v>46172</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18398-2026</t>
        </is>
      </c>
      <c r="B926" s="1" t="n">
        <v>46126.66273148148</v>
      </c>
      <c r="C926" s="1" t="n">
        <v>46172</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19642-2026</t>
        </is>
      </c>
      <c r="B927" s="1" t="n">
        <v>46134.57986111111</v>
      </c>
      <c r="C927" s="1" t="n">
        <v>46172</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17996-2026</t>
        </is>
      </c>
      <c r="B928" s="1" t="n">
        <v>46124.87434027778</v>
      </c>
      <c r="C928" s="1" t="n">
        <v>46172</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56386-2023</t>
        </is>
      </c>
      <c r="B929" s="1" t="n">
        <v>45243</v>
      </c>
      <c r="C929" s="1" t="n">
        <v>46172</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18484-2026</t>
        </is>
      </c>
      <c r="B930" s="1" t="n">
        <v>46126</v>
      </c>
      <c r="C930" s="1" t="n">
        <v>46172</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12507-2022</t>
        </is>
      </c>
      <c r="B931" s="1" t="n">
        <v>44638</v>
      </c>
      <c r="C931" s="1" t="n">
        <v>46172</v>
      </c>
      <c r="D931" t="inlineStr">
        <is>
          <t>SKÅNE LÄN</t>
        </is>
      </c>
      <c r="E931" t="inlineStr">
        <is>
          <t>HÄSSLEHOLM</t>
        </is>
      </c>
      <c r="G931" t="n">
        <v>2.7</v>
      </c>
      <c r="H931" t="n">
        <v>0</v>
      </c>
      <c r="I931" t="n">
        <v>0</v>
      </c>
      <c r="J931" t="n">
        <v>0</v>
      </c>
      <c r="K931" t="n">
        <v>0</v>
      </c>
      <c r="L931" t="n">
        <v>0</v>
      </c>
      <c r="M931" t="n">
        <v>0</v>
      </c>
      <c r="N931" t="n">
        <v>0</v>
      </c>
      <c r="O931" t="n">
        <v>0</v>
      </c>
      <c r="P931" t="n">
        <v>0</v>
      </c>
      <c r="Q931" t="n">
        <v>0</v>
      </c>
      <c r="R931" s="2" t="inlineStr"/>
    </row>
    <row r="932" ht="15" customHeight="1">
      <c r="A932" t="inlineStr">
        <is>
          <t>A 29274-2023</t>
        </is>
      </c>
      <c r="B932" s="1" t="n">
        <v>45105</v>
      </c>
      <c r="C932" s="1" t="n">
        <v>46172</v>
      </c>
      <c r="D932" t="inlineStr">
        <is>
          <t>SKÅNE LÄN</t>
        </is>
      </c>
      <c r="E932" t="inlineStr">
        <is>
          <t>HÄSSLEHOLM</t>
        </is>
      </c>
      <c r="G932" t="n">
        <v>3.4</v>
      </c>
      <c r="H932" t="n">
        <v>0</v>
      </c>
      <c r="I932" t="n">
        <v>0</v>
      </c>
      <c r="J932" t="n">
        <v>0</v>
      </c>
      <c r="K932" t="n">
        <v>0</v>
      </c>
      <c r="L932" t="n">
        <v>0</v>
      </c>
      <c r="M932" t="n">
        <v>0</v>
      </c>
      <c r="N932" t="n">
        <v>0</v>
      </c>
      <c r="O932" t="n">
        <v>0</v>
      </c>
      <c r="P932" t="n">
        <v>0</v>
      </c>
      <c r="Q932" t="n">
        <v>0</v>
      </c>
      <c r="R932" s="2" t="inlineStr"/>
    </row>
    <row r="933" ht="15" customHeight="1">
      <c r="A933" t="inlineStr">
        <is>
          <t>A 61932-2023</t>
        </is>
      </c>
      <c r="B933" s="1" t="n">
        <v>45266.53761574074</v>
      </c>
      <c r="C933" s="1" t="n">
        <v>46172</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27606-2024</t>
        </is>
      </c>
      <c r="B934" s="1" t="n">
        <v>45474</v>
      </c>
      <c r="C934" s="1" t="n">
        <v>46172</v>
      </c>
      <c r="D934" t="inlineStr">
        <is>
          <t>SKÅNE LÄN</t>
        </is>
      </c>
      <c r="E934" t="inlineStr">
        <is>
          <t>HÄSSLEHOLM</t>
        </is>
      </c>
      <c r="G934" t="n">
        <v>3.6</v>
      </c>
      <c r="H934" t="n">
        <v>0</v>
      </c>
      <c r="I934" t="n">
        <v>0</v>
      </c>
      <c r="J934" t="n">
        <v>0</v>
      </c>
      <c r="K934" t="n">
        <v>0</v>
      </c>
      <c r="L934" t="n">
        <v>0</v>
      </c>
      <c r="M934" t="n">
        <v>0</v>
      </c>
      <c r="N934" t="n">
        <v>0</v>
      </c>
      <c r="O934" t="n">
        <v>0</v>
      </c>
      <c r="P934" t="n">
        <v>0</v>
      </c>
      <c r="Q934" t="n">
        <v>0</v>
      </c>
      <c r="R934" s="2" t="inlineStr"/>
    </row>
    <row r="935" ht="15" customHeight="1">
      <c r="A935" t="inlineStr">
        <is>
          <t>A 50244-2024</t>
        </is>
      </c>
      <c r="B935" s="1" t="n">
        <v>45600.56502314815</v>
      </c>
      <c r="C935" s="1" t="n">
        <v>46172</v>
      </c>
      <c r="D935" t="inlineStr">
        <is>
          <t>SKÅNE LÄN</t>
        </is>
      </c>
      <c r="E935" t="inlineStr">
        <is>
          <t>HÄSSLEHOLM</t>
        </is>
      </c>
      <c r="G935" t="n">
        <v>1.9</v>
      </c>
      <c r="H935" t="n">
        <v>0</v>
      </c>
      <c r="I935" t="n">
        <v>0</v>
      </c>
      <c r="J935" t="n">
        <v>0</v>
      </c>
      <c r="K935" t="n">
        <v>0</v>
      </c>
      <c r="L935" t="n">
        <v>0</v>
      </c>
      <c r="M935" t="n">
        <v>0</v>
      </c>
      <c r="N935" t="n">
        <v>0</v>
      </c>
      <c r="O935" t="n">
        <v>0</v>
      </c>
      <c r="P935" t="n">
        <v>0</v>
      </c>
      <c r="Q935" t="n">
        <v>0</v>
      </c>
      <c r="R935" s="2" t="inlineStr"/>
    </row>
    <row r="936" ht="15" customHeight="1">
      <c r="A936" t="inlineStr">
        <is>
          <t>A 7221-2025</t>
        </is>
      </c>
      <c r="B936" s="1" t="n">
        <v>45701</v>
      </c>
      <c r="C936" s="1" t="n">
        <v>46172</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5532-2025</t>
        </is>
      </c>
      <c r="B937" s="1" t="n">
        <v>45693</v>
      </c>
      <c r="C937" s="1" t="n">
        <v>46172</v>
      </c>
      <c r="D937" t="inlineStr">
        <is>
          <t>SKÅNE LÄN</t>
        </is>
      </c>
      <c r="E937" t="inlineStr">
        <is>
          <t>HÄSSLEHOLM</t>
        </is>
      </c>
      <c r="G937" t="n">
        <v>2.4</v>
      </c>
      <c r="H937" t="n">
        <v>0</v>
      </c>
      <c r="I937" t="n">
        <v>0</v>
      </c>
      <c r="J937" t="n">
        <v>0</v>
      </c>
      <c r="K937" t="n">
        <v>0</v>
      </c>
      <c r="L937" t="n">
        <v>0</v>
      </c>
      <c r="M937" t="n">
        <v>0</v>
      </c>
      <c r="N937" t="n">
        <v>0</v>
      </c>
      <c r="O937" t="n">
        <v>0</v>
      </c>
      <c r="P937" t="n">
        <v>0</v>
      </c>
      <c r="Q937" t="n">
        <v>0</v>
      </c>
      <c r="R937" s="2" t="inlineStr"/>
    </row>
    <row r="938" ht="15" customHeight="1">
      <c r="A938" t="inlineStr">
        <is>
          <t>A 2597-2024</t>
        </is>
      </c>
      <c r="B938" s="1" t="n">
        <v>45313</v>
      </c>
      <c r="C938" s="1" t="n">
        <v>46172</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56667-2025</t>
        </is>
      </c>
      <c r="B939" s="1" t="n">
        <v>45975.68508101852</v>
      </c>
      <c r="C939" s="1" t="n">
        <v>46172</v>
      </c>
      <c r="D939" t="inlineStr">
        <is>
          <t>SKÅNE LÄN</t>
        </is>
      </c>
      <c r="E939" t="inlineStr">
        <is>
          <t>HÄSSLEHOLM</t>
        </is>
      </c>
      <c r="G939" t="n">
        <v>4.4</v>
      </c>
      <c r="H939" t="n">
        <v>0</v>
      </c>
      <c r="I939" t="n">
        <v>0</v>
      </c>
      <c r="J939" t="n">
        <v>0</v>
      </c>
      <c r="K939" t="n">
        <v>0</v>
      </c>
      <c r="L939" t="n">
        <v>0</v>
      </c>
      <c r="M939" t="n">
        <v>0</v>
      </c>
      <c r="N939" t="n">
        <v>0</v>
      </c>
      <c r="O939" t="n">
        <v>0</v>
      </c>
      <c r="P939" t="n">
        <v>0</v>
      </c>
      <c r="Q939" t="n">
        <v>0</v>
      </c>
      <c r="R939" s="2" t="inlineStr"/>
    </row>
    <row r="940" ht="15" customHeight="1">
      <c r="A940" t="inlineStr">
        <is>
          <t>A 24084-2026</t>
        </is>
      </c>
      <c r="B940" s="1" t="n">
        <v>46168.37322916667</v>
      </c>
      <c r="C940" s="1" t="n">
        <v>46172</v>
      </c>
      <c r="D940" t="inlineStr">
        <is>
          <t>SKÅNE LÄN</t>
        </is>
      </c>
      <c r="E940" t="inlineStr">
        <is>
          <t>HÄSSLEHOLM</t>
        </is>
      </c>
      <c r="G940" t="n">
        <v>0.3</v>
      </c>
      <c r="H940" t="n">
        <v>0</v>
      </c>
      <c r="I940" t="n">
        <v>0</v>
      </c>
      <c r="J940" t="n">
        <v>0</v>
      </c>
      <c r="K940" t="n">
        <v>0</v>
      </c>
      <c r="L940" t="n">
        <v>0</v>
      </c>
      <c r="M940" t="n">
        <v>0</v>
      </c>
      <c r="N940" t="n">
        <v>0</v>
      </c>
      <c r="O940" t="n">
        <v>0</v>
      </c>
      <c r="P940" t="n">
        <v>0</v>
      </c>
      <c r="Q940" t="n">
        <v>0</v>
      </c>
      <c r="R940" s="2" t="inlineStr"/>
    </row>
    <row r="941" ht="15" customHeight="1">
      <c r="A941" t="inlineStr">
        <is>
          <t>A 3531-2023</t>
        </is>
      </c>
      <c r="B941" s="1" t="n">
        <v>44950</v>
      </c>
      <c r="C941" s="1" t="n">
        <v>46172</v>
      </c>
      <c r="D941" t="inlineStr">
        <is>
          <t>SKÅNE LÄN</t>
        </is>
      </c>
      <c r="E941" t="inlineStr">
        <is>
          <t>HÄSSLEHOLM</t>
        </is>
      </c>
      <c r="G941" t="n">
        <v>10.1</v>
      </c>
      <c r="H941" t="n">
        <v>0</v>
      </c>
      <c r="I941" t="n">
        <v>0</v>
      </c>
      <c r="J941" t="n">
        <v>0</v>
      </c>
      <c r="K941" t="n">
        <v>0</v>
      </c>
      <c r="L941" t="n">
        <v>0</v>
      </c>
      <c r="M941" t="n">
        <v>0</v>
      </c>
      <c r="N941" t="n">
        <v>0</v>
      </c>
      <c r="O941" t="n">
        <v>0</v>
      </c>
      <c r="P941" t="n">
        <v>0</v>
      </c>
      <c r="Q941" t="n">
        <v>0</v>
      </c>
      <c r="R941" s="2" t="inlineStr"/>
    </row>
    <row r="942" ht="15" customHeight="1">
      <c r="A942" t="inlineStr">
        <is>
          <t>A 15417-2022</t>
        </is>
      </c>
      <c r="B942" s="1" t="n">
        <v>44659</v>
      </c>
      <c r="C942" s="1" t="n">
        <v>46172</v>
      </c>
      <c r="D942" t="inlineStr">
        <is>
          <t>SKÅNE LÄN</t>
        </is>
      </c>
      <c r="E942" t="inlineStr">
        <is>
          <t>HÄSSLEHOLM</t>
        </is>
      </c>
      <c r="F942" t="inlineStr">
        <is>
          <t>Kyrkan</t>
        </is>
      </c>
      <c r="G942" t="n">
        <v>2.9</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46172</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50659-2023</t>
        </is>
      </c>
      <c r="B944" s="1" t="n">
        <v>45217</v>
      </c>
      <c r="C944" s="1" t="n">
        <v>46172</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56797-2025</t>
        </is>
      </c>
      <c r="B945" s="1" t="n">
        <v>45978.43273148148</v>
      </c>
      <c r="C945" s="1" t="n">
        <v>46172</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56798-2025</t>
        </is>
      </c>
      <c r="B946" s="1" t="n">
        <v>45978.43378472222</v>
      </c>
      <c r="C946" s="1" t="n">
        <v>46172</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67801-2021</t>
        </is>
      </c>
      <c r="B947" s="1" t="n">
        <v>44525</v>
      </c>
      <c r="C947" s="1" t="n">
        <v>46172</v>
      </c>
      <c r="D947" t="inlineStr">
        <is>
          <t>SKÅNE LÄN</t>
        </is>
      </c>
      <c r="E947" t="inlineStr">
        <is>
          <t>HÄSSLEHOLM</t>
        </is>
      </c>
      <c r="G947" t="n">
        <v>2.2</v>
      </c>
      <c r="H947" t="n">
        <v>0</v>
      </c>
      <c r="I947" t="n">
        <v>0</v>
      </c>
      <c r="J947" t="n">
        <v>0</v>
      </c>
      <c r="K947" t="n">
        <v>0</v>
      </c>
      <c r="L947" t="n">
        <v>0</v>
      </c>
      <c r="M947" t="n">
        <v>0</v>
      </c>
      <c r="N947" t="n">
        <v>0</v>
      </c>
      <c r="O947" t="n">
        <v>0</v>
      </c>
      <c r="P947" t="n">
        <v>0</v>
      </c>
      <c r="Q947" t="n">
        <v>0</v>
      </c>
      <c r="R947" s="2" t="inlineStr"/>
    </row>
    <row r="948" ht="15" customHeight="1">
      <c r="A948" t="inlineStr">
        <is>
          <t>A 2144-2023</t>
        </is>
      </c>
      <c r="B948" s="1" t="n">
        <v>44940.79054398148</v>
      </c>
      <c r="C948" s="1" t="n">
        <v>46172</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10230-2025</t>
        </is>
      </c>
      <c r="B949" s="1" t="n">
        <v>45720</v>
      </c>
      <c r="C949" s="1" t="n">
        <v>46172</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33266-2024</t>
        </is>
      </c>
      <c r="B950" s="1" t="n">
        <v>45518</v>
      </c>
      <c r="C950" s="1" t="n">
        <v>46172</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37141-2021</t>
        </is>
      </c>
      <c r="B951" s="1" t="n">
        <v>44396</v>
      </c>
      <c r="C951" s="1" t="n">
        <v>46172</v>
      </c>
      <c r="D951" t="inlineStr">
        <is>
          <t>SKÅNE LÄN</t>
        </is>
      </c>
      <c r="E951" t="inlineStr">
        <is>
          <t>HÄSSLEHOLM</t>
        </is>
      </c>
      <c r="G951" t="n">
        <v>12.8</v>
      </c>
      <c r="H951" t="n">
        <v>0</v>
      </c>
      <c r="I951" t="n">
        <v>0</v>
      </c>
      <c r="J951" t="n">
        <v>0</v>
      </c>
      <c r="K951" t="n">
        <v>0</v>
      </c>
      <c r="L951" t="n">
        <v>0</v>
      </c>
      <c r="M951" t="n">
        <v>0</v>
      </c>
      <c r="N951" t="n">
        <v>0</v>
      </c>
      <c r="O951" t="n">
        <v>0</v>
      </c>
      <c r="P951" t="n">
        <v>0</v>
      </c>
      <c r="Q951" t="n">
        <v>0</v>
      </c>
      <c r="R951" s="2" t="inlineStr"/>
    </row>
    <row r="952" ht="15" customHeight="1">
      <c r="A952" t="inlineStr">
        <is>
          <t>A 7202-2022</t>
        </is>
      </c>
      <c r="B952" s="1" t="n">
        <v>44606</v>
      </c>
      <c r="C952" s="1" t="n">
        <v>46172</v>
      </c>
      <c r="D952" t="inlineStr">
        <is>
          <t>SKÅNE LÄN</t>
        </is>
      </c>
      <c r="E952" t="inlineStr">
        <is>
          <t>HÄSSLEHOLM</t>
        </is>
      </c>
      <c r="G952" t="n">
        <v>4.7</v>
      </c>
      <c r="H952" t="n">
        <v>0</v>
      </c>
      <c r="I952" t="n">
        <v>0</v>
      </c>
      <c r="J952" t="n">
        <v>0</v>
      </c>
      <c r="K952" t="n">
        <v>0</v>
      </c>
      <c r="L952" t="n">
        <v>0</v>
      </c>
      <c r="M952" t="n">
        <v>0</v>
      </c>
      <c r="N952" t="n">
        <v>0</v>
      </c>
      <c r="O952" t="n">
        <v>0</v>
      </c>
      <c r="P952" t="n">
        <v>0</v>
      </c>
      <c r="Q952" t="n">
        <v>0</v>
      </c>
      <c r="R952" s="2" t="inlineStr"/>
    </row>
    <row r="953" ht="15" customHeight="1">
      <c r="A953" t="inlineStr">
        <is>
          <t>A 47422-2025</t>
        </is>
      </c>
      <c r="B953" s="1" t="n">
        <v>45930</v>
      </c>
      <c r="C953" s="1" t="n">
        <v>46172</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54807-2025</t>
        </is>
      </c>
      <c r="B954" s="1" t="n">
        <v>45966</v>
      </c>
      <c r="C954" s="1" t="n">
        <v>46172</v>
      </c>
      <c r="D954" t="inlineStr">
        <is>
          <t>SKÅNE LÄN</t>
        </is>
      </c>
      <c r="E954" t="inlineStr">
        <is>
          <t>HÄSSLEHOLM</t>
        </is>
      </c>
      <c r="G954" t="n">
        <v>1.3</v>
      </c>
      <c r="H954" t="n">
        <v>0</v>
      </c>
      <c r="I954" t="n">
        <v>0</v>
      </c>
      <c r="J954" t="n">
        <v>0</v>
      </c>
      <c r="K954" t="n">
        <v>0</v>
      </c>
      <c r="L954" t="n">
        <v>0</v>
      </c>
      <c r="M954" t="n">
        <v>0</v>
      </c>
      <c r="N954" t="n">
        <v>0</v>
      </c>
      <c r="O954" t="n">
        <v>0</v>
      </c>
      <c r="P954" t="n">
        <v>0</v>
      </c>
      <c r="Q954" t="n">
        <v>0</v>
      </c>
      <c r="R954" s="2" t="inlineStr"/>
    </row>
    <row r="955" ht="15" customHeight="1">
      <c r="A955" t="inlineStr">
        <is>
          <t>A 56794-2025</t>
        </is>
      </c>
      <c r="B955" s="1" t="n">
        <v>45978.43039351852</v>
      </c>
      <c r="C955" s="1" t="n">
        <v>46172</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48797-2023</t>
        </is>
      </c>
      <c r="B956" s="1" t="n">
        <v>45209.24986111111</v>
      </c>
      <c r="C956" s="1" t="n">
        <v>46172</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47432-2025</t>
        </is>
      </c>
      <c r="B957" s="1" t="n">
        <v>45930</v>
      </c>
      <c r="C957" s="1" t="n">
        <v>46172</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47450-2025</t>
        </is>
      </c>
      <c r="B958" s="1" t="n">
        <v>45930</v>
      </c>
      <c r="C958" s="1" t="n">
        <v>46172</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22592-2025</t>
        </is>
      </c>
      <c r="B959" s="1" t="n">
        <v>45789.40502314815</v>
      </c>
      <c r="C959" s="1" t="n">
        <v>46172</v>
      </c>
      <c r="D959" t="inlineStr">
        <is>
          <t>SKÅNE LÄN</t>
        </is>
      </c>
      <c r="E959" t="inlineStr">
        <is>
          <t>HÄSSLEHOLM</t>
        </is>
      </c>
      <c r="G959" t="n">
        <v>7.1</v>
      </c>
      <c r="H959" t="n">
        <v>0</v>
      </c>
      <c r="I959" t="n">
        <v>0</v>
      </c>
      <c r="J959" t="n">
        <v>0</v>
      </c>
      <c r="K959" t="n">
        <v>0</v>
      </c>
      <c r="L959" t="n">
        <v>0</v>
      </c>
      <c r="M959" t="n">
        <v>0</v>
      </c>
      <c r="N959" t="n">
        <v>0</v>
      </c>
      <c r="O959" t="n">
        <v>0</v>
      </c>
      <c r="P959" t="n">
        <v>0</v>
      </c>
      <c r="Q959" t="n">
        <v>0</v>
      </c>
      <c r="R959" s="2" t="inlineStr"/>
    </row>
    <row r="960" ht="15" customHeight="1">
      <c r="A960" t="inlineStr">
        <is>
          <t>A 18483-2026</t>
        </is>
      </c>
      <c r="B960" s="1" t="n">
        <v>46127.44652777778</v>
      </c>
      <c r="C960" s="1" t="n">
        <v>46172</v>
      </c>
      <c r="D960" t="inlineStr">
        <is>
          <t>SKÅNE LÄN</t>
        </is>
      </c>
      <c r="E960" t="inlineStr">
        <is>
          <t>HÄSSLEHOLM</t>
        </is>
      </c>
      <c r="G960" t="n">
        <v>2.9</v>
      </c>
      <c r="H960" t="n">
        <v>0</v>
      </c>
      <c r="I960" t="n">
        <v>0</v>
      </c>
      <c r="J960" t="n">
        <v>0</v>
      </c>
      <c r="K960" t="n">
        <v>0</v>
      </c>
      <c r="L960" t="n">
        <v>0</v>
      </c>
      <c r="M960" t="n">
        <v>0</v>
      </c>
      <c r="N960" t="n">
        <v>0</v>
      </c>
      <c r="O960" t="n">
        <v>0</v>
      </c>
      <c r="P960" t="n">
        <v>0</v>
      </c>
      <c r="Q960" t="n">
        <v>0</v>
      </c>
      <c r="R960" s="2" t="inlineStr"/>
    </row>
    <row r="961" ht="15" customHeight="1">
      <c r="A961" t="inlineStr">
        <is>
          <t>A 55569-2025</t>
        </is>
      </c>
      <c r="B961" s="1" t="n">
        <v>45971</v>
      </c>
      <c r="C961" s="1" t="n">
        <v>46172</v>
      </c>
      <c r="D961" t="inlineStr">
        <is>
          <t>SKÅNE LÄN</t>
        </is>
      </c>
      <c r="E961" t="inlineStr">
        <is>
          <t>HÄSSLEHOLM</t>
        </is>
      </c>
      <c r="G961" t="n">
        <v>4.2</v>
      </c>
      <c r="H961" t="n">
        <v>0</v>
      </c>
      <c r="I961" t="n">
        <v>0</v>
      </c>
      <c r="J961" t="n">
        <v>0</v>
      </c>
      <c r="K961" t="n">
        <v>0</v>
      </c>
      <c r="L961" t="n">
        <v>0</v>
      </c>
      <c r="M961" t="n">
        <v>0</v>
      </c>
      <c r="N961" t="n">
        <v>0</v>
      </c>
      <c r="O961" t="n">
        <v>0</v>
      </c>
      <c r="P961" t="n">
        <v>0</v>
      </c>
      <c r="Q961" t="n">
        <v>0</v>
      </c>
      <c r="R961" s="2" t="inlineStr"/>
    </row>
    <row r="962" ht="15" customHeight="1">
      <c r="A962" t="inlineStr">
        <is>
          <t>A 14981-2026</t>
        </is>
      </c>
      <c r="B962" s="1" t="n">
        <v>46104</v>
      </c>
      <c r="C962" s="1" t="n">
        <v>46172</v>
      </c>
      <c r="D962" t="inlineStr">
        <is>
          <t>SKÅNE LÄN</t>
        </is>
      </c>
      <c r="E962" t="inlineStr">
        <is>
          <t>HÄSSLEHOLM</t>
        </is>
      </c>
      <c r="G962" t="n">
        <v>7.7</v>
      </c>
      <c r="H962" t="n">
        <v>0</v>
      </c>
      <c r="I962" t="n">
        <v>0</v>
      </c>
      <c r="J962" t="n">
        <v>0</v>
      </c>
      <c r="K962" t="n">
        <v>0</v>
      </c>
      <c r="L962" t="n">
        <v>0</v>
      </c>
      <c r="M962" t="n">
        <v>0</v>
      </c>
      <c r="N962" t="n">
        <v>0</v>
      </c>
      <c r="O962" t="n">
        <v>0</v>
      </c>
      <c r="P962" t="n">
        <v>0</v>
      </c>
      <c r="Q962" t="n">
        <v>0</v>
      </c>
      <c r="R962" s="2" t="inlineStr"/>
    </row>
    <row r="963" ht="15" customHeight="1">
      <c r="A963" t="inlineStr">
        <is>
          <t>A 57817-2025</t>
        </is>
      </c>
      <c r="B963" s="1" t="n">
        <v>45981.59475694445</v>
      </c>
      <c r="C963" s="1" t="n">
        <v>46172</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30092-2025</t>
        </is>
      </c>
      <c r="B964" s="1" t="n">
        <v>45826</v>
      </c>
      <c r="C964" s="1" t="n">
        <v>46172</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30109-2025</t>
        </is>
      </c>
      <c r="B965" s="1" t="n">
        <v>45826</v>
      </c>
      <c r="C965" s="1" t="n">
        <v>46172</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6328-2026</t>
        </is>
      </c>
      <c r="B966" s="1" t="n">
        <v>46055</v>
      </c>
      <c r="C966" s="1" t="n">
        <v>46172</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23007-2025</t>
        </is>
      </c>
      <c r="B967" s="1" t="n">
        <v>45790</v>
      </c>
      <c r="C967" s="1" t="n">
        <v>46172</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62417-2025</t>
        </is>
      </c>
      <c r="B968" s="1" t="n">
        <v>46007</v>
      </c>
      <c r="C968" s="1" t="n">
        <v>46172</v>
      </c>
      <c r="D968" t="inlineStr">
        <is>
          <t>SKÅNE LÄN</t>
        </is>
      </c>
      <c r="E968" t="inlineStr">
        <is>
          <t>HÄSSLEHOLM</t>
        </is>
      </c>
      <c r="G968" t="n">
        <v>2</v>
      </c>
      <c r="H968" t="n">
        <v>0</v>
      </c>
      <c r="I968" t="n">
        <v>0</v>
      </c>
      <c r="J968" t="n">
        <v>0</v>
      </c>
      <c r="K968" t="n">
        <v>0</v>
      </c>
      <c r="L968" t="n">
        <v>0</v>
      </c>
      <c r="M968" t="n">
        <v>0</v>
      </c>
      <c r="N968" t="n">
        <v>0</v>
      </c>
      <c r="O968" t="n">
        <v>0</v>
      </c>
      <c r="P968" t="n">
        <v>0</v>
      </c>
      <c r="Q968" t="n">
        <v>0</v>
      </c>
      <c r="R968" s="2" t="inlineStr"/>
    </row>
    <row r="969" ht="15" customHeight="1">
      <c r="A969" t="inlineStr">
        <is>
          <t>A 17171-2025</t>
        </is>
      </c>
      <c r="B969" s="1" t="n">
        <v>45755</v>
      </c>
      <c r="C969" s="1" t="n">
        <v>46172</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16930-2024</t>
        </is>
      </c>
      <c r="B970" s="1" t="n">
        <v>45411</v>
      </c>
      <c r="C970" s="1" t="n">
        <v>46172</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27825-2024</t>
        </is>
      </c>
      <c r="B971" s="1" t="n">
        <v>45475</v>
      </c>
      <c r="C971" s="1" t="n">
        <v>46172</v>
      </c>
      <c r="D971" t="inlineStr">
        <is>
          <t>SKÅNE LÄN</t>
        </is>
      </c>
      <c r="E971" t="inlineStr">
        <is>
          <t>HÄSSLEHOLM</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58241-2025</t>
        </is>
      </c>
      <c r="B972" s="1" t="n">
        <v>45985.38797453704</v>
      </c>
      <c r="C972" s="1" t="n">
        <v>46172</v>
      </c>
      <c r="D972" t="inlineStr">
        <is>
          <t>SKÅNE LÄN</t>
        </is>
      </c>
      <c r="E972" t="inlineStr">
        <is>
          <t>HÄSSLEHOLM</t>
        </is>
      </c>
      <c r="G972" t="n">
        <v>3.6</v>
      </c>
      <c r="H972" t="n">
        <v>0</v>
      </c>
      <c r="I972" t="n">
        <v>0</v>
      </c>
      <c r="J972" t="n">
        <v>0</v>
      </c>
      <c r="K972" t="n">
        <v>0</v>
      </c>
      <c r="L972" t="n">
        <v>0</v>
      </c>
      <c r="M972" t="n">
        <v>0</v>
      </c>
      <c r="N972" t="n">
        <v>0</v>
      </c>
      <c r="O972" t="n">
        <v>0</v>
      </c>
      <c r="P972" t="n">
        <v>0</v>
      </c>
      <c r="Q972" t="n">
        <v>0</v>
      </c>
      <c r="R972" s="2" t="inlineStr"/>
    </row>
    <row r="973" ht="15" customHeight="1">
      <c r="A973" t="inlineStr">
        <is>
          <t>A 31254-2024</t>
        </is>
      </c>
      <c r="B973" s="1" t="n">
        <v>45503</v>
      </c>
      <c r="C973" s="1" t="n">
        <v>46172</v>
      </c>
      <c r="D973" t="inlineStr">
        <is>
          <t>SKÅNE LÄN</t>
        </is>
      </c>
      <c r="E973" t="inlineStr">
        <is>
          <t>HÄSSLEHOLM</t>
        </is>
      </c>
      <c r="G973" t="n">
        <v>2.2</v>
      </c>
      <c r="H973" t="n">
        <v>0</v>
      </c>
      <c r="I973" t="n">
        <v>0</v>
      </c>
      <c r="J973" t="n">
        <v>0</v>
      </c>
      <c r="K973" t="n">
        <v>0</v>
      </c>
      <c r="L973" t="n">
        <v>0</v>
      </c>
      <c r="M973" t="n">
        <v>0</v>
      </c>
      <c r="N973" t="n">
        <v>0</v>
      </c>
      <c r="O973" t="n">
        <v>0</v>
      </c>
      <c r="P973" t="n">
        <v>0</v>
      </c>
      <c r="Q973" t="n">
        <v>0</v>
      </c>
      <c r="R973" s="2" t="inlineStr"/>
    </row>
    <row r="974" ht="15" customHeight="1">
      <c r="A974" t="inlineStr">
        <is>
          <t>A 37486-2024</t>
        </is>
      </c>
      <c r="B974" s="1" t="n">
        <v>45541</v>
      </c>
      <c r="C974" s="1" t="n">
        <v>46172</v>
      </c>
      <c r="D974" t="inlineStr">
        <is>
          <t>SKÅNE LÄN</t>
        </is>
      </c>
      <c r="E974" t="inlineStr">
        <is>
          <t>HÄSSLEHOLM</t>
        </is>
      </c>
      <c r="G974" t="n">
        <v>8.5</v>
      </c>
      <c r="H974" t="n">
        <v>0</v>
      </c>
      <c r="I974" t="n">
        <v>0</v>
      </c>
      <c r="J974" t="n">
        <v>0</v>
      </c>
      <c r="K974" t="n">
        <v>0</v>
      </c>
      <c r="L974" t="n">
        <v>0</v>
      </c>
      <c r="M974" t="n">
        <v>0</v>
      </c>
      <c r="N974" t="n">
        <v>0</v>
      </c>
      <c r="O974" t="n">
        <v>0</v>
      </c>
      <c r="P974" t="n">
        <v>0</v>
      </c>
      <c r="Q974" t="n">
        <v>0</v>
      </c>
      <c r="R974" s="2" t="inlineStr"/>
    </row>
    <row r="975" ht="15" customHeight="1">
      <c r="A975" t="inlineStr">
        <is>
          <t>A 44838-2023</t>
        </is>
      </c>
      <c r="B975" s="1" t="n">
        <v>45190</v>
      </c>
      <c r="C975" s="1" t="n">
        <v>46172</v>
      </c>
      <c r="D975" t="inlineStr">
        <is>
          <t>SKÅNE LÄN</t>
        </is>
      </c>
      <c r="E975" t="inlineStr">
        <is>
          <t>HÄSSLEHOLM</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13954-2023</t>
        </is>
      </c>
      <c r="B976" s="1" t="n">
        <v>45008</v>
      </c>
      <c r="C976" s="1" t="n">
        <v>46172</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13007-2024</t>
        </is>
      </c>
      <c r="B977" s="1" t="n">
        <v>45385.57092592592</v>
      </c>
      <c r="C977" s="1" t="n">
        <v>46172</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40152-2024</t>
        </is>
      </c>
      <c r="B978" s="1" t="n">
        <v>45554</v>
      </c>
      <c r="C978" s="1" t="n">
        <v>46172</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74030-2021</t>
        </is>
      </c>
      <c r="B979" s="1" t="n">
        <v>44553</v>
      </c>
      <c r="C979" s="1" t="n">
        <v>46172</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15072-2024</t>
        </is>
      </c>
      <c r="B980" s="1" t="n">
        <v>45399.5996875</v>
      </c>
      <c r="C980" s="1" t="n">
        <v>46172</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11262-2025</t>
        </is>
      </c>
      <c r="B981" s="1" t="n">
        <v>45726</v>
      </c>
      <c r="C981" s="1" t="n">
        <v>46172</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5395-2024</t>
        </is>
      </c>
      <c r="B982" s="1" t="n">
        <v>45331</v>
      </c>
      <c r="C982" s="1" t="n">
        <v>46172</v>
      </c>
      <c r="D982" t="inlineStr">
        <is>
          <t>SKÅNE LÄN</t>
        </is>
      </c>
      <c r="E982" t="inlineStr">
        <is>
          <t>HÄSSLEHOLM</t>
        </is>
      </c>
      <c r="G982" t="n">
        <v>2.6</v>
      </c>
      <c r="H982" t="n">
        <v>0</v>
      </c>
      <c r="I982" t="n">
        <v>0</v>
      </c>
      <c r="J982" t="n">
        <v>0</v>
      </c>
      <c r="K982" t="n">
        <v>0</v>
      </c>
      <c r="L982" t="n">
        <v>0</v>
      </c>
      <c r="M982" t="n">
        <v>0</v>
      </c>
      <c r="N982" t="n">
        <v>0</v>
      </c>
      <c r="O982" t="n">
        <v>0</v>
      </c>
      <c r="P982" t="n">
        <v>0</v>
      </c>
      <c r="Q982" t="n">
        <v>0</v>
      </c>
      <c r="R982" s="2" t="inlineStr"/>
    </row>
    <row r="983" ht="15" customHeight="1">
      <c r="A983" t="inlineStr">
        <is>
          <t>A 2621-2025</t>
        </is>
      </c>
      <c r="B983" s="1" t="n">
        <v>45675.60765046296</v>
      </c>
      <c r="C983" s="1" t="n">
        <v>46172</v>
      </c>
      <c r="D983" t="inlineStr">
        <is>
          <t>SKÅNE LÄN</t>
        </is>
      </c>
      <c r="E983" t="inlineStr">
        <is>
          <t>HÄSSLEHOLM</t>
        </is>
      </c>
      <c r="F983" t="inlineStr">
        <is>
          <t>Kommuner</t>
        </is>
      </c>
      <c r="G983" t="n">
        <v>3</v>
      </c>
      <c r="H983" t="n">
        <v>0</v>
      </c>
      <c r="I983" t="n">
        <v>0</v>
      </c>
      <c r="J983" t="n">
        <v>0</v>
      </c>
      <c r="K983" t="n">
        <v>0</v>
      </c>
      <c r="L983" t="n">
        <v>0</v>
      </c>
      <c r="M983" t="n">
        <v>0</v>
      </c>
      <c r="N983" t="n">
        <v>0</v>
      </c>
      <c r="O983" t="n">
        <v>0</v>
      </c>
      <c r="P983" t="n">
        <v>0</v>
      </c>
      <c r="Q983" t="n">
        <v>0</v>
      </c>
      <c r="R983" s="2" t="inlineStr"/>
    </row>
    <row r="984" ht="15" customHeight="1">
      <c r="A984" t="inlineStr">
        <is>
          <t>A 8737-2025</t>
        </is>
      </c>
      <c r="B984" s="1" t="n">
        <v>45712.54578703704</v>
      </c>
      <c r="C984" s="1" t="n">
        <v>46172</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37764-2022</t>
        </is>
      </c>
      <c r="B985" s="1" t="n">
        <v>44810</v>
      </c>
      <c r="C985" s="1" t="n">
        <v>46172</v>
      </c>
      <c r="D985" t="inlineStr">
        <is>
          <t>SKÅNE LÄN</t>
        </is>
      </c>
      <c r="E985" t="inlineStr">
        <is>
          <t>HÄSSLEHOLM</t>
        </is>
      </c>
      <c r="F985" t="inlineStr">
        <is>
          <t>Kyrkan</t>
        </is>
      </c>
      <c r="G985" t="n">
        <v>9.4</v>
      </c>
      <c r="H985" t="n">
        <v>0</v>
      </c>
      <c r="I985" t="n">
        <v>0</v>
      </c>
      <c r="J985" t="n">
        <v>0</v>
      </c>
      <c r="K985" t="n">
        <v>0</v>
      </c>
      <c r="L985" t="n">
        <v>0</v>
      </c>
      <c r="M985" t="n">
        <v>0</v>
      </c>
      <c r="N985" t="n">
        <v>0</v>
      </c>
      <c r="O985" t="n">
        <v>0</v>
      </c>
      <c r="P985" t="n">
        <v>0</v>
      </c>
      <c r="Q985" t="n">
        <v>0</v>
      </c>
      <c r="R985" s="2" t="inlineStr"/>
    </row>
    <row r="986" ht="15" customHeight="1">
      <c r="A986" t="inlineStr">
        <is>
          <t>A 51018-2023</t>
        </is>
      </c>
      <c r="B986" s="1" t="n">
        <v>45218</v>
      </c>
      <c r="C986" s="1" t="n">
        <v>46172</v>
      </c>
      <c r="D986" t="inlineStr">
        <is>
          <t>SKÅNE LÄN</t>
        </is>
      </c>
      <c r="E986" t="inlineStr">
        <is>
          <t>HÄSSLEHOLM</t>
        </is>
      </c>
      <c r="G986" t="n">
        <v>3.1</v>
      </c>
      <c r="H986" t="n">
        <v>0</v>
      </c>
      <c r="I986" t="n">
        <v>0</v>
      </c>
      <c r="J986" t="n">
        <v>0</v>
      </c>
      <c r="K986" t="n">
        <v>0</v>
      </c>
      <c r="L986" t="n">
        <v>0</v>
      </c>
      <c r="M986" t="n">
        <v>0</v>
      </c>
      <c r="N986" t="n">
        <v>0</v>
      </c>
      <c r="O986" t="n">
        <v>0</v>
      </c>
      <c r="P986" t="n">
        <v>0</v>
      </c>
      <c r="Q986" t="n">
        <v>0</v>
      </c>
      <c r="R986" s="2" t="inlineStr"/>
    </row>
    <row r="987" ht="15" customHeight="1">
      <c r="A987" t="inlineStr">
        <is>
          <t>A 23005-2025</t>
        </is>
      </c>
      <c r="B987" s="1" t="n">
        <v>45790</v>
      </c>
      <c r="C987" s="1" t="n">
        <v>46172</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60797-2024</t>
        </is>
      </c>
      <c r="B988" s="1" t="n">
        <v>45644</v>
      </c>
      <c r="C988" s="1" t="n">
        <v>46172</v>
      </c>
      <c r="D988" t="inlineStr">
        <is>
          <t>SKÅNE LÄN</t>
        </is>
      </c>
      <c r="E988" t="inlineStr">
        <is>
          <t>HÄSSLEHOLM</t>
        </is>
      </c>
      <c r="G988" t="n">
        <v>3.4</v>
      </c>
      <c r="H988" t="n">
        <v>0</v>
      </c>
      <c r="I988" t="n">
        <v>0</v>
      </c>
      <c r="J988" t="n">
        <v>0</v>
      </c>
      <c r="K988" t="n">
        <v>0</v>
      </c>
      <c r="L988" t="n">
        <v>0</v>
      </c>
      <c r="M988" t="n">
        <v>0</v>
      </c>
      <c r="N988" t="n">
        <v>0</v>
      </c>
      <c r="O988" t="n">
        <v>0</v>
      </c>
      <c r="P988" t="n">
        <v>0</v>
      </c>
      <c r="Q988" t="n">
        <v>0</v>
      </c>
      <c r="R988" s="2" t="inlineStr"/>
    </row>
    <row r="989" ht="15" customHeight="1">
      <c r="A989" t="inlineStr">
        <is>
          <t>A 11753-2025</t>
        </is>
      </c>
      <c r="B989" s="1" t="n">
        <v>45727</v>
      </c>
      <c r="C989" s="1" t="n">
        <v>46172</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56069-2024</t>
        </is>
      </c>
      <c r="B990" s="1" t="n">
        <v>45624.38006944444</v>
      </c>
      <c r="C990" s="1" t="n">
        <v>46172</v>
      </c>
      <c r="D990" t="inlineStr">
        <is>
          <t>SKÅNE LÄN</t>
        </is>
      </c>
      <c r="E990" t="inlineStr">
        <is>
          <t>HÄSSLEHOLM</t>
        </is>
      </c>
      <c r="F990" t="inlineStr">
        <is>
          <t>Övriga Aktiebolag</t>
        </is>
      </c>
      <c r="G990" t="n">
        <v>2.3</v>
      </c>
      <c r="H990" t="n">
        <v>0</v>
      </c>
      <c r="I990" t="n">
        <v>0</v>
      </c>
      <c r="J990" t="n">
        <v>0</v>
      </c>
      <c r="K990" t="n">
        <v>0</v>
      </c>
      <c r="L990" t="n">
        <v>0</v>
      </c>
      <c r="M990" t="n">
        <v>0</v>
      </c>
      <c r="N990" t="n">
        <v>0</v>
      </c>
      <c r="O990" t="n">
        <v>0</v>
      </c>
      <c r="P990" t="n">
        <v>0</v>
      </c>
      <c r="Q990" t="n">
        <v>0</v>
      </c>
      <c r="R990" s="2" t="inlineStr"/>
    </row>
    <row r="991" ht="15" customHeight="1">
      <c r="A991" t="inlineStr">
        <is>
          <t>A 58933-2025</t>
        </is>
      </c>
      <c r="B991" s="1" t="n">
        <v>45987.56107638889</v>
      </c>
      <c r="C991" s="1" t="n">
        <v>46172</v>
      </c>
      <c r="D991" t="inlineStr">
        <is>
          <t>SKÅNE LÄN</t>
        </is>
      </c>
      <c r="E991" t="inlineStr">
        <is>
          <t>HÄSSLEHOLM</t>
        </is>
      </c>
      <c r="G991" t="n">
        <v>2.3</v>
      </c>
      <c r="H991" t="n">
        <v>0</v>
      </c>
      <c r="I991" t="n">
        <v>0</v>
      </c>
      <c r="J991" t="n">
        <v>0</v>
      </c>
      <c r="K991" t="n">
        <v>0</v>
      </c>
      <c r="L991" t="n">
        <v>0</v>
      </c>
      <c r="M991" t="n">
        <v>0</v>
      </c>
      <c r="N991" t="n">
        <v>0</v>
      </c>
      <c r="O991" t="n">
        <v>0</v>
      </c>
      <c r="P991" t="n">
        <v>0</v>
      </c>
      <c r="Q991" t="n">
        <v>0</v>
      </c>
      <c r="R991" s="2" t="inlineStr"/>
    </row>
    <row r="992" ht="15" customHeight="1">
      <c r="A992" t="inlineStr">
        <is>
          <t>A 7681-2025</t>
        </is>
      </c>
      <c r="B992" s="1" t="n">
        <v>45706.36758101852</v>
      </c>
      <c r="C992" s="1" t="n">
        <v>46172</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24032-2025</t>
        </is>
      </c>
      <c r="B993" s="1" t="n">
        <v>45796.478125</v>
      </c>
      <c r="C993" s="1" t="n">
        <v>46172</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60789-2024</t>
        </is>
      </c>
      <c r="B994" s="1" t="n">
        <v>45644</v>
      </c>
      <c r="C994" s="1" t="n">
        <v>46172</v>
      </c>
      <c r="D994" t="inlineStr">
        <is>
          <t>SKÅNE LÄN</t>
        </is>
      </c>
      <c r="E994" t="inlineStr">
        <is>
          <t>HÄSSLEHOLM</t>
        </is>
      </c>
      <c r="G994" t="n">
        <v>3</v>
      </c>
      <c r="H994" t="n">
        <v>0</v>
      </c>
      <c r="I994" t="n">
        <v>0</v>
      </c>
      <c r="J994" t="n">
        <v>0</v>
      </c>
      <c r="K994" t="n">
        <v>0</v>
      </c>
      <c r="L994" t="n">
        <v>0</v>
      </c>
      <c r="M994" t="n">
        <v>0</v>
      </c>
      <c r="N994" t="n">
        <v>0</v>
      </c>
      <c r="O994" t="n">
        <v>0</v>
      </c>
      <c r="P994" t="n">
        <v>0</v>
      </c>
      <c r="Q994" t="n">
        <v>0</v>
      </c>
      <c r="R994" s="2" t="inlineStr"/>
    </row>
    <row r="995" ht="15" customHeight="1">
      <c r="A995" t="inlineStr">
        <is>
          <t>A 5252-2025</t>
        </is>
      </c>
      <c r="B995" s="1" t="n">
        <v>45692.3449537037</v>
      </c>
      <c r="C995" s="1" t="n">
        <v>46172</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59722-2025</t>
        </is>
      </c>
      <c r="B996" s="1" t="n">
        <v>45992.5474537037</v>
      </c>
      <c r="C996" s="1" t="n">
        <v>46172</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1616-2025</t>
        </is>
      </c>
      <c r="B997" s="1" t="n">
        <v>45670</v>
      </c>
      <c r="C997" s="1" t="n">
        <v>46172</v>
      </c>
      <c r="D997" t="inlineStr">
        <is>
          <t>SKÅNE LÄN</t>
        </is>
      </c>
      <c r="E997" t="inlineStr">
        <is>
          <t>HÄSSLEHOLM</t>
        </is>
      </c>
      <c r="G997" t="n">
        <v>3.6</v>
      </c>
      <c r="H997" t="n">
        <v>0</v>
      </c>
      <c r="I997" t="n">
        <v>0</v>
      </c>
      <c r="J997" t="n">
        <v>0</v>
      </c>
      <c r="K997" t="n">
        <v>0</v>
      </c>
      <c r="L997" t="n">
        <v>0</v>
      </c>
      <c r="M997" t="n">
        <v>0</v>
      </c>
      <c r="N997" t="n">
        <v>0</v>
      </c>
      <c r="O997" t="n">
        <v>0</v>
      </c>
      <c r="P997" t="n">
        <v>0</v>
      </c>
      <c r="Q997" t="n">
        <v>0</v>
      </c>
      <c r="R997" s="2" t="inlineStr"/>
    </row>
    <row r="998" ht="15" customHeight="1">
      <c r="A998" t="inlineStr">
        <is>
          <t>A 5242-2025</t>
        </is>
      </c>
      <c r="B998" s="1" t="n">
        <v>45692.32883101852</v>
      </c>
      <c r="C998" s="1" t="n">
        <v>46172</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53055-2021</t>
        </is>
      </c>
      <c r="B999" s="1" t="n">
        <v>44467</v>
      </c>
      <c r="C999" s="1" t="n">
        <v>46172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24034-2025</t>
        </is>
      </c>
      <c r="B1000" s="1" t="n">
        <v>45796.48251157408</v>
      </c>
      <c r="C1000" s="1" t="n">
        <v>46172</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24250-2025</t>
        </is>
      </c>
      <c r="B1001" s="1" t="n">
        <v>45797.40260416667</v>
      </c>
      <c r="C1001" s="1" t="n">
        <v>46172</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24029-2025</t>
        </is>
      </c>
      <c r="B1002" s="1" t="n">
        <v>45796.47552083333</v>
      </c>
      <c r="C1002" s="1" t="n">
        <v>46172</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24039-2025</t>
        </is>
      </c>
      <c r="B1003" s="1" t="n">
        <v>45796.48675925926</v>
      </c>
      <c r="C1003" s="1" t="n">
        <v>46172</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24047-2025</t>
        </is>
      </c>
      <c r="B1004" s="1" t="n">
        <v>45796.49528935185</v>
      </c>
      <c r="C1004" s="1" t="n">
        <v>46172</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24675-2025</t>
        </is>
      </c>
      <c r="B1005" s="1" t="n">
        <v>45798.653125</v>
      </c>
      <c r="C1005" s="1" t="n">
        <v>46172</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42735-2024</t>
        </is>
      </c>
      <c r="B1006" s="1" t="n">
        <v>45566.47274305556</v>
      </c>
      <c r="C1006" s="1" t="n">
        <v>46172</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55522-2024</t>
        </is>
      </c>
      <c r="B1007" s="1" t="n">
        <v>45622</v>
      </c>
      <c r="C1007" s="1" t="n">
        <v>46172</v>
      </c>
      <c r="D1007" t="inlineStr">
        <is>
          <t>SKÅNE LÄN</t>
        </is>
      </c>
      <c r="E1007" t="inlineStr">
        <is>
          <t>HÄSSLEHOLM</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32826-2024</t>
        </is>
      </c>
      <c r="B1008" s="1" t="n">
        <v>45516.59056712963</v>
      </c>
      <c r="C1008" s="1" t="n">
        <v>46172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32512-2024</t>
        </is>
      </c>
      <c r="B1009" s="1" t="n">
        <v>45513.45613425926</v>
      </c>
      <c r="C1009" s="1" t="n">
        <v>46172</v>
      </c>
      <c r="D1009" t="inlineStr">
        <is>
          <t>SKÅNE LÄN</t>
        </is>
      </c>
      <c r="E1009" t="inlineStr">
        <is>
          <t>HÄSSLEHOLM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24985-2025</t>
        </is>
      </c>
      <c r="B1010" s="1" t="n">
        <v>45799.60256944445</v>
      </c>
      <c r="C1010" s="1" t="n">
        <v>46172</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10562-2025</t>
        </is>
      </c>
      <c r="B1011" s="1" t="n">
        <v>45721.52913194444</v>
      </c>
      <c r="C1011" s="1" t="n">
        <v>46172</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24658-2025</t>
        </is>
      </c>
      <c r="B1012" s="1" t="n">
        <v>45798.64134259259</v>
      </c>
      <c r="C1012" s="1" t="n">
        <v>46172</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25372-2025</t>
        </is>
      </c>
      <c r="B1013" s="1" t="n">
        <v>45799</v>
      </c>
      <c r="C1013" s="1" t="n">
        <v>46172</v>
      </c>
      <c r="D1013" t="inlineStr">
        <is>
          <t>SKÅNE LÄN</t>
        </is>
      </c>
      <c r="E1013" t="inlineStr">
        <is>
          <t>HÄSSLEHOLM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9399-2025</t>
        </is>
      </c>
      <c r="B1014" s="1" t="n">
        <v>45715.37861111111</v>
      </c>
      <c r="C1014" s="1" t="n">
        <v>46172</v>
      </c>
      <c r="D1014" t="inlineStr">
        <is>
          <t>SKÅNE LÄN</t>
        </is>
      </c>
      <c r="E1014" t="inlineStr">
        <is>
          <t>HÄSSLEHOLM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61322-2025</t>
        </is>
      </c>
      <c r="B1015" s="1" t="n">
        <v>46000</v>
      </c>
      <c r="C1015" s="1" t="n">
        <v>46172</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259-2024</t>
        </is>
      </c>
      <c r="B1016" s="1" t="n">
        <v>45294</v>
      </c>
      <c r="C1016" s="1" t="n">
        <v>46172</v>
      </c>
      <c r="D1016" t="inlineStr">
        <is>
          <t>SKÅNE LÄN</t>
        </is>
      </c>
      <c r="E1016" t="inlineStr">
        <is>
          <t>HÄSSLEHOLM</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29659-2024</t>
        </is>
      </c>
      <c r="B1017" s="1" t="n">
        <v>45484.92587962963</v>
      </c>
      <c r="C1017" s="1" t="n">
        <v>46172</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27837-2024</t>
        </is>
      </c>
      <c r="B1018" s="1" t="n">
        <v>45475</v>
      </c>
      <c r="C1018" s="1" t="n">
        <v>46172</v>
      </c>
      <c r="D1018" t="inlineStr">
        <is>
          <t>SKÅNE LÄN</t>
        </is>
      </c>
      <c r="E1018" t="inlineStr">
        <is>
          <t>HÄSSLEHOLM</t>
        </is>
      </c>
      <c r="F1018" t="inlineStr">
        <is>
          <t>Kommuner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61474-2025</t>
        </is>
      </c>
      <c r="B1019" s="1" t="n">
        <v>46001.61886574074</v>
      </c>
      <c r="C1019" s="1" t="n">
        <v>46172</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1679-2022</t>
        </is>
      </c>
      <c r="B1020" s="1" t="n">
        <v>44573</v>
      </c>
      <c r="C1020" s="1" t="n">
        <v>46172</v>
      </c>
      <c r="D1020" t="inlineStr">
        <is>
          <t>SKÅNE LÄN</t>
        </is>
      </c>
      <c r="E1020" t="inlineStr">
        <is>
          <t>HÄSSLEHOLM</t>
        </is>
      </c>
      <c r="F1020" t="inlineStr">
        <is>
          <t>Kyrkan</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51565-2023</t>
        </is>
      </c>
      <c r="B1021" s="1" t="n">
        <v>45222</v>
      </c>
      <c r="C1021" s="1" t="n">
        <v>46172</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25615-2025</t>
        </is>
      </c>
      <c r="B1022" s="1" t="n">
        <v>45803</v>
      </c>
      <c r="C1022" s="1" t="n">
        <v>46172</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11412-2025</t>
        </is>
      </c>
      <c r="B1023" s="1" t="n">
        <v>45726</v>
      </c>
      <c r="C1023" s="1" t="n">
        <v>46172</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25430-2025</t>
        </is>
      </c>
      <c r="B1024" s="1" t="n">
        <v>45800.78212962963</v>
      </c>
      <c r="C1024" s="1" t="n">
        <v>46172</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11466-2025</t>
        </is>
      </c>
      <c r="B1025" s="1" t="n">
        <v>45726</v>
      </c>
      <c r="C1025" s="1" t="n">
        <v>46172</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25431-2025</t>
        </is>
      </c>
      <c r="B1026" s="1" t="n">
        <v>45800.78340277778</v>
      </c>
      <c r="C1026" s="1" t="n">
        <v>46172</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25432-2025</t>
        </is>
      </c>
      <c r="B1027" s="1" t="n">
        <v>45800.7847800926</v>
      </c>
      <c r="C1027" s="1" t="n">
        <v>46172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11470-2025</t>
        </is>
      </c>
      <c r="B1028" s="1" t="n">
        <v>45726</v>
      </c>
      <c r="C1028" s="1" t="n">
        <v>46172</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62376-2025</t>
        </is>
      </c>
      <c r="B1029" s="1" t="n">
        <v>46006</v>
      </c>
      <c r="C1029" s="1" t="n">
        <v>46172</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62271-2025</t>
        </is>
      </c>
      <c r="B1030" s="1" t="n">
        <v>46006.62256944444</v>
      </c>
      <c r="C1030" s="1" t="n">
        <v>46172</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62264-2025</t>
        </is>
      </c>
      <c r="B1031" s="1" t="n">
        <v>46006.61644675926</v>
      </c>
      <c r="C1031" s="1" t="n">
        <v>46172</v>
      </c>
      <c r="D1031" t="inlineStr">
        <is>
          <t>SKÅNE LÄN</t>
        </is>
      </c>
      <c r="E1031" t="inlineStr">
        <is>
          <t>HÄSSLEHOLM</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46813-2024</t>
        </is>
      </c>
      <c r="B1032" s="1" t="n">
        <v>45583</v>
      </c>
      <c r="C1032" s="1" t="n">
        <v>46172</v>
      </c>
      <c r="D1032" t="inlineStr">
        <is>
          <t>SKÅNE LÄN</t>
        </is>
      </c>
      <c r="E1032" t="inlineStr">
        <is>
          <t>HÄSSLEHOLM</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26232-2025</t>
        </is>
      </c>
      <c r="B1033" s="1" t="n">
        <v>45805.56642361111</v>
      </c>
      <c r="C1033" s="1" t="n">
        <v>46172</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26244-2025</t>
        </is>
      </c>
      <c r="B1034" s="1" t="n">
        <v>45805.57364583333</v>
      </c>
      <c r="C1034" s="1" t="n">
        <v>46172</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27349-2025</t>
        </is>
      </c>
      <c r="B1035" s="1" t="n">
        <v>45812</v>
      </c>
      <c r="C1035" s="1" t="n">
        <v>46172</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63415-2025</t>
        </is>
      </c>
      <c r="B1036" s="1" t="n">
        <v>46013.32163194445</v>
      </c>
      <c r="C1036" s="1" t="n">
        <v>46172</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63416-2025</t>
        </is>
      </c>
      <c r="B1037" s="1" t="n">
        <v>46013.3232175926</v>
      </c>
      <c r="C1037" s="1" t="n">
        <v>46172</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63510-2025</t>
        </is>
      </c>
      <c r="B1038" s="1" t="n">
        <v>46013.49172453704</v>
      </c>
      <c r="C1038" s="1" t="n">
        <v>46172</v>
      </c>
      <c r="D1038" t="inlineStr">
        <is>
          <t>SKÅNE LÄN</t>
        </is>
      </c>
      <c r="E1038" t="inlineStr">
        <is>
          <t>HÄSSLEHOLM</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63354-2025</t>
        </is>
      </c>
      <c r="B1039" s="1" t="n">
        <v>46010.66957175926</v>
      </c>
      <c r="C1039" s="1" t="n">
        <v>46172</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63487-2025</t>
        </is>
      </c>
      <c r="B1040" s="1" t="n">
        <v>46013.46878472222</v>
      </c>
      <c r="C1040" s="1" t="n">
        <v>46172</v>
      </c>
      <c r="D1040" t="inlineStr">
        <is>
          <t>SKÅNE LÄN</t>
        </is>
      </c>
      <c r="E1040" t="inlineStr">
        <is>
          <t>HÄSSLEHOLM</t>
        </is>
      </c>
      <c r="F1040" t="inlineStr">
        <is>
          <t>Kommuner</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63414-2025</t>
        </is>
      </c>
      <c r="B1041" s="1" t="n">
        <v>46013.32008101852</v>
      </c>
      <c r="C1041" s="1" t="n">
        <v>46172</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63284-2025</t>
        </is>
      </c>
      <c r="B1042" s="1" t="n">
        <v>46010</v>
      </c>
      <c r="C1042" s="1" t="n">
        <v>46172</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63710-2025</t>
        </is>
      </c>
      <c r="B1043" s="1" t="n">
        <v>46014.62143518519</v>
      </c>
      <c r="C1043" s="1" t="n">
        <v>46172</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63712-2025</t>
        </is>
      </c>
      <c r="B1044" s="1" t="n">
        <v>46014.63092592593</v>
      </c>
      <c r="C1044" s="1" t="n">
        <v>46172</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63709-2025</t>
        </is>
      </c>
      <c r="B1045" s="1" t="n">
        <v>46014.61700231482</v>
      </c>
      <c r="C1045" s="1" t="n">
        <v>46172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8160-2024</t>
        </is>
      </c>
      <c r="B1046" s="1" t="n">
        <v>45351</v>
      </c>
      <c r="C1046" s="1" t="n">
        <v>46172</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38358-2024</t>
        </is>
      </c>
      <c r="B1047" s="1" t="n">
        <v>45545.79068287037</v>
      </c>
      <c r="C1047" s="1" t="n">
        <v>46172</v>
      </c>
      <c r="D1047" t="inlineStr">
        <is>
          <t>SKÅNE LÄN</t>
        </is>
      </c>
      <c r="E1047" t="inlineStr">
        <is>
          <t>HÄSSLEHOLM</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27393-2025</t>
        </is>
      </c>
      <c r="B1048" s="1" t="n">
        <v>45812.68295138889</v>
      </c>
      <c r="C1048" s="1" t="n">
        <v>46172</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16368-2025</t>
        </is>
      </c>
      <c r="B1049" s="1" t="n">
        <v>45751</v>
      </c>
      <c r="C1049" s="1" t="n">
        <v>46172</v>
      </c>
      <c r="D1049" t="inlineStr">
        <is>
          <t>SKÅNE LÄN</t>
        </is>
      </c>
      <c r="E1049" t="inlineStr">
        <is>
          <t>HÄSSLEHOLM</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28240-2025</t>
        </is>
      </c>
      <c r="B1050" s="1" t="n">
        <v>45817</v>
      </c>
      <c r="C1050" s="1" t="n">
        <v>46172</v>
      </c>
      <c r="D1050" t="inlineStr">
        <is>
          <t>SKÅNE LÄN</t>
        </is>
      </c>
      <c r="E1050" t="inlineStr">
        <is>
          <t>HÄSSLEHOLM</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27940-2025</t>
        </is>
      </c>
      <c r="B1051" s="1" t="n">
        <v>45817.50439814815</v>
      </c>
      <c r="C1051" s="1" t="n">
        <v>46172</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27934-2025</t>
        </is>
      </c>
      <c r="B1052" s="1" t="n">
        <v>45817.49761574074</v>
      </c>
      <c r="C1052" s="1" t="n">
        <v>46172</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706-2026</t>
        </is>
      </c>
      <c r="B1053" s="1" t="n">
        <v>46029.61739583333</v>
      </c>
      <c r="C1053" s="1" t="n">
        <v>46172</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28251-2025</t>
        </is>
      </c>
      <c r="B1054" s="1" t="n">
        <v>45817</v>
      </c>
      <c r="C1054" s="1" t="n">
        <v>46172</v>
      </c>
      <c r="D1054" t="inlineStr">
        <is>
          <t>SKÅNE LÄN</t>
        </is>
      </c>
      <c r="E1054" t="inlineStr">
        <is>
          <t>HÄSSLEHOLM</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28122-2025</t>
        </is>
      </c>
      <c r="B1055" s="1" t="n">
        <v>45817</v>
      </c>
      <c r="C1055" s="1" t="n">
        <v>46172</v>
      </c>
      <c r="D1055" t="inlineStr">
        <is>
          <t>SKÅNE LÄN</t>
        </is>
      </c>
      <c r="E1055" t="inlineStr">
        <is>
          <t>HÄSSLEHOLM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27887-2025</t>
        </is>
      </c>
      <c r="B1056" s="1" t="n">
        <v>45817.45994212963</v>
      </c>
      <c r="C1056" s="1" t="n">
        <v>46172</v>
      </c>
      <c r="D1056" t="inlineStr">
        <is>
          <t>SKÅNE LÄN</t>
        </is>
      </c>
      <c r="E1056" t="inlineStr">
        <is>
          <t>HÄSSLEHOLM</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28095-2025</t>
        </is>
      </c>
      <c r="B1057" s="1" t="n">
        <v>45817</v>
      </c>
      <c r="C1057" s="1" t="n">
        <v>46172</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49827-2022</t>
        </is>
      </c>
      <c r="B1058" s="1" t="n">
        <v>44859</v>
      </c>
      <c r="C1058" s="1" t="n">
        <v>46172</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931-2026</t>
        </is>
      </c>
      <c r="B1059" s="1" t="n">
        <v>46030.51495370371</v>
      </c>
      <c r="C1059" s="1" t="n">
        <v>46172</v>
      </c>
      <c r="D1059" t="inlineStr">
        <is>
          <t>SKÅNE LÄN</t>
        </is>
      </c>
      <c r="E1059" t="inlineStr">
        <is>
          <t>HÄSSLEHOLM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1645-2026</t>
        </is>
      </c>
      <c r="B1060" s="1" t="n">
        <v>46034.5069212963</v>
      </c>
      <c r="C1060" s="1" t="n">
        <v>46172</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29170-2025</t>
        </is>
      </c>
      <c r="B1061" s="1" t="n">
        <v>45821.69766203704</v>
      </c>
      <c r="C1061" s="1" t="n">
        <v>46172</v>
      </c>
      <c r="D1061" t="inlineStr">
        <is>
          <t>SKÅNE LÄN</t>
        </is>
      </c>
      <c r="E1061" t="inlineStr">
        <is>
          <t>HÄSSLEHOLM</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1659-2026</t>
        </is>
      </c>
      <c r="B1062" s="1" t="n">
        <v>46034.55335648148</v>
      </c>
      <c r="C1062" s="1" t="n">
        <v>46172</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2306-2026</t>
        </is>
      </c>
      <c r="B1063" s="1" t="n">
        <v>46034</v>
      </c>
      <c r="C1063" s="1" t="n">
        <v>46172</v>
      </c>
      <c r="D1063" t="inlineStr">
        <is>
          <t>SKÅNE LÄN</t>
        </is>
      </c>
      <c r="E1063" t="inlineStr">
        <is>
          <t>HÄSSLEHOLM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1640-2026</t>
        </is>
      </c>
      <c r="B1064" s="1" t="n">
        <v>46034.4961574074</v>
      </c>
      <c r="C1064" s="1" t="n">
        <v>46172</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1656-2026</t>
        </is>
      </c>
      <c r="B1065" s="1" t="n">
        <v>46034.54035879629</v>
      </c>
      <c r="C1065" s="1" t="n">
        <v>46172</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29171-2025</t>
        </is>
      </c>
      <c r="B1066" s="1" t="n">
        <v>45821.69863425926</v>
      </c>
      <c r="C1066" s="1" t="n">
        <v>46172</v>
      </c>
      <c r="D1066" t="inlineStr">
        <is>
          <t>SKÅNE LÄN</t>
        </is>
      </c>
      <c r="E1066" t="inlineStr">
        <is>
          <t>HÄSSLEHOLM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29168-2025</t>
        </is>
      </c>
      <c r="B1067" s="1" t="n">
        <v>45821.69547453704</v>
      </c>
      <c r="C1067" s="1" t="n">
        <v>46172</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2617-2026</t>
        </is>
      </c>
      <c r="B1068" s="1" t="n">
        <v>46035</v>
      </c>
      <c r="C1068" s="1" t="n">
        <v>46172</v>
      </c>
      <c r="D1068" t="inlineStr">
        <is>
          <t>SKÅNE LÄN</t>
        </is>
      </c>
      <c r="E1068" t="inlineStr">
        <is>
          <t>HÄSSLEHOLM</t>
        </is>
      </c>
      <c r="F1068" t="inlineStr">
        <is>
          <t>Kyrkan</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2618-2026</t>
        </is>
      </c>
      <c r="B1069" s="1" t="n">
        <v>46035</v>
      </c>
      <c r="C1069" s="1" t="n">
        <v>46172</v>
      </c>
      <c r="D1069" t="inlineStr">
        <is>
          <t>SKÅNE LÄN</t>
        </is>
      </c>
      <c r="E1069" t="inlineStr">
        <is>
          <t>HÄSSLEHOLM</t>
        </is>
      </c>
      <c r="F1069" t="inlineStr">
        <is>
          <t>Kyrkan</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3298-2026</t>
        </is>
      </c>
      <c r="B1070" s="1" t="n">
        <v>46041</v>
      </c>
      <c r="C1070" s="1" t="n">
        <v>46172</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30010-2025</t>
        </is>
      </c>
      <c r="B1071" s="1" t="n">
        <v>45826</v>
      </c>
      <c r="C1071" s="1" t="n">
        <v>46172</v>
      </c>
      <c r="D1071" t="inlineStr">
        <is>
          <t>SKÅNE LÄN</t>
        </is>
      </c>
      <c r="E1071" t="inlineStr">
        <is>
          <t>HÄSSLEHOLM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3904-2026</t>
        </is>
      </c>
      <c r="B1072" s="1" t="n">
        <v>46043.69711805556</v>
      </c>
      <c r="C1072" s="1" t="n">
        <v>46172</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3715-2026</t>
        </is>
      </c>
      <c r="B1073" s="1" t="n">
        <v>46043.48746527778</v>
      </c>
      <c r="C1073" s="1" t="n">
        <v>46172</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3862-2026</t>
        </is>
      </c>
      <c r="B1074" s="1" t="n">
        <v>46043.62646990741</v>
      </c>
      <c r="C1074" s="1" t="n">
        <v>46172</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31159-2025</t>
        </is>
      </c>
      <c r="B1075" s="1" t="n">
        <v>45832.65322916667</v>
      </c>
      <c r="C1075" s="1" t="n">
        <v>46172</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5103-2026</t>
        </is>
      </c>
      <c r="B1076" s="1" t="n">
        <v>46049.56725694444</v>
      </c>
      <c r="C1076" s="1" t="n">
        <v>46172</v>
      </c>
      <c r="D1076" t="inlineStr">
        <is>
          <t>SKÅNE LÄN</t>
        </is>
      </c>
      <c r="E1076" t="inlineStr">
        <is>
          <t>HÄSSLEHOLM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4981-2026</t>
        </is>
      </c>
      <c r="B1077" s="1" t="n">
        <v>46049.37100694444</v>
      </c>
      <c r="C1077" s="1" t="n">
        <v>46172</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4994-2026</t>
        </is>
      </c>
      <c r="B1078" s="1" t="n">
        <v>46049</v>
      </c>
      <c r="C1078" s="1" t="n">
        <v>46172</v>
      </c>
      <c r="D1078" t="inlineStr">
        <is>
          <t>SKÅNE LÄN</t>
        </is>
      </c>
      <c r="E1078" t="inlineStr">
        <is>
          <t>HÄSSLEHOLM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5757-2026</t>
        </is>
      </c>
      <c r="B1079" s="1" t="n">
        <v>46051.61309027778</v>
      </c>
      <c r="C1079" s="1" t="n">
        <v>46172</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58632-2025</t>
        </is>
      </c>
      <c r="B1080" s="1" t="n">
        <v>45986</v>
      </c>
      <c r="C1080" s="1" t="n">
        <v>46172</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5497-2026</t>
        </is>
      </c>
      <c r="B1081" s="1" t="n">
        <v>46050.61875</v>
      </c>
      <c r="C1081" s="1" t="n">
        <v>46172</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5503-2026</t>
        </is>
      </c>
      <c r="B1082" s="1" t="n">
        <v>46050.62509259259</v>
      </c>
      <c r="C1082" s="1" t="n">
        <v>46172</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5516-2026</t>
        </is>
      </c>
      <c r="B1083" s="1" t="n">
        <v>46050.64197916666</v>
      </c>
      <c r="C1083" s="1" t="n">
        <v>46172</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5759-2026</t>
        </is>
      </c>
      <c r="B1084" s="1" t="n">
        <v>46051.61814814815</v>
      </c>
      <c r="C1084" s="1" t="n">
        <v>46172</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6309-2026</t>
        </is>
      </c>
      <c r="B1085" s="1" t="n">
        <v>46055.57369212963</v>
      </c>
      <c r="C1085" s="1" t="n">
        <v>46172</v>
      </c>
      <c r="D1085" t="inlineStr">
        <is>
          <t>SKÅNE LÄN</t>
        </is>
      </c>
      <c r="E1085" t="inlineStr">
        <is>
          <t>HÄSSLEHOLM</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6299-2026</t>
        </is>
      </c>
      <c r="B1086" s="1" t="n">
        <v>46055.56623842593</v>
      </c>
      <c r="C1086" s="1" t="n">
        <v>46172</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29649-2025</t>
        </is>
      </c>
      <c r="B1087" s="1" t="n">
        <v>45825.47446759259</v>
      </c>
      <c r="C1087" s="1" t="n">
        <v>46172</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6295-2026</t>
        </is>
      </c>
      <c r="B1088" s="1" t="n">
        <v>46055.56115740741</v>
      </c>
      <c r="C1088" s="1" t="n">
        <v>46172</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6363-2026</t>
        </is>
      </c>
      <c r="B1089" s="1" t="n">
        <v>46055.62319444444</v>
      </c>
      <c r="C1089" s="1" t="n">
        <v>46172</v>
      </c>
      <c r="D1089" t="inlineStr">
        <is>
          <t>SKÅNE LÄN</t>
        </is>
      </c>
      <c r="E1089" t="inlineStr">
        <is>
          <t>HÄSSLEHOLM</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6877-2026</t>
        </is>
      </c>
      <c r="B1090" s="1" t="n">
        <v>46057.45768518518</v>
      </c>
      <c r="C1090" s="1" t="n">
        <v>46172</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32585-2025</t>
        </is>
      </c>
      <c r="B1091" s="1" t="n">
        <v>45838.60021990741</v>
      </c>
      <c r="C1091" s="1" t="n">
        <v>46172</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32592-2025</t>
        </is>
      </c>
      <c r="B1092" s="1" t="n">
        <v>45838.61020833333</v>
      </c>
      <c r="C1092" s="1" t="n">
        <v>46172</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6449-2026</t>
        </is>
      </c>
      <c r="B1093" s="1" t="n">
        <v>46055.87239583334</v>
      </c>
      <c r="C1093" s="1" t="n">
        <v>46172</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33562-2025</t>
        </is>
      </c>
      <c r="B1094" s="1" t="n">
        <v>45841.57803240741</v>
      </c>
      <c r="C1094" s="1" t="n">
        <v>46172</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7244-2026</t>
        </is>
      </c>
      <c r="B1095" s="1" t="n">
        <v>46058.58646990741</v>
      </c>
      <c r="C1095" s="1" t="n">
        <v>46172</v>
      </c>
      <c r="D1095" t="inlineStr">
        <is>
          <t>SKÅNE LÄN</t>
        </is>
      </c>
      <c r="E1095" t="inlineStr">
        <is>
          <t>HÄSSLEHOLM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7721-2026</t>
        </is>
      </c>
      <c r="B1096" s="1" t="n">
        <v>46059</v>
      </c>
      <c r="C1096" s="1" t="n">
        <v>46172</v>
      </c>
      <c r="D1096" t="inlineStr">
        <is>
          <t>SKÅNE LÄN</t>
        </is>
      </c>
      <c r="E1096" t="inlineStr">
        <is>
          <t>HÄSSLEHOLM</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7785-2026</t>
        </is>
      </c>
      <c r="B1097" s="1" t="n">
        <v>46062.58422453704</v>
      </c>
      <c r="C1097" s="1" t="n">
        <v>46172</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33875-2025</t>
        </is>
      </c>
      <c r="B1098" s="1" t="n">
        <v>45842.55300925926</v>
      </c>
      <c r="C1098" s="1" t="n">
        <v>46172</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33877-2025</t>
        </is>
      </c>
      <c r="B1099" s="1" t="n">
        <v>45842.55564814815</v>
      </c>
      <c r="C1099" s="1" t="n">
        <v>46172</v>
      </c>
      <c r="D1099" t="inlineStr">
        <is>
          <t>SKÅNE LÄN</t>
        </is>
      </c>
      <c r="E1099" t="inlineStr">
        <is>
          <t>HÄSSLEHOLM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33879-2025</t>
        </is>
      </c>
      <c r="B1100" s="1" t="n">
        <v>45842.55766203703</v>
      </c>
      <c r="C1100" s="1" t="n">
        <v>46172</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33948-2025</t>
        </is>
      </c>
      <c r="B1101" s="1" t="n">
        <v>45842.65945601852</v>
      </c>
      <c r="C1101" s="1" t="n">
        <v>46172</v>
      </c>
      <c r="D1101" t="inlineStr">
        <is>
          <t>SKÅNE LÄN</t>
        </is>
      </c>
      <c r="E1101" t="inlineStr">
        <is>
          <t>HÄSSLEHOLM</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22678-2025</t>
        </is>
      </c>
      <c r="B1102" s="1" t="n">
        <v>45789.49725694444</v>
      </c>
      <c r="C1102" s="1" t="n">
        <v>46172</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32958-2023</t>
        </is>
      </c>
      <c r="B1103" s="1" t="n">
        <v>45125.52142361111</v>
      </c>
      <c r="C1103" s="1" t="n">
        <v>46172</v>
      </c>
      <c r="D1103" t="inlineStr">
        <is>
          <t>SKÅNE LÄN</t>
        </is>
      </c>
      <c r="E1103" t="inlineStr">
        <is>
          <t>HÄSSLEHOLM</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34174-2025</t>
        </is>
      </c>
      <c r="B1104" s="1" t="n">
        <v>45844</v>
      </c>
      <c r="C1104" s="1" t="n">
        <v>46172</v>
      </c>
      <c r="D1104" t="inlineStr">
        <is>
          <t>SKÅNE LÄN</t>
        </is>
      </c>
      <c r="E1104" t="inlineStr">
        <is>
          <t>HÄSSLEHOLM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63473-2025</t>
        </is>
      </c>
      <c r="B1105" s="1" t="n">
        <v>46013.44364583334</v>
      </c>
      <c r="C1105" s="1" t="n">
        <v>46172</v>
      </c>
      <c r="D1105" t="inlineStr">
        <is>
          <t>SKÅNE LÄN</t>
        </is>
      </c>
      <c r="E1105" t="inlineStr">
        <is>
          <t>HÄSSLEHOLM</t>
        </is>
      </c>
      <c r="F1105" t="inlineStr">
        <is>
          <t>Kommuner</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34177-2025</t>
        </is>
      </c>
      <c r="B1106" s="1" t="n">
        <v>45844</v>
      </c>
      <c r="C1106" s="1" t="n">
        <v>46172</v>
      </c>
      <c r="D1106" t="inlineStr">
        <is>
          <t>SKÅNE LÄN</t>
        </is>
      </c>
      <c r="E1106" t="inlineStr">
        <is>
          <t>HÄSSLEHOLM</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33950-2025</t>
        </is>
      </c>
      <c r="B1107" s="1" t="n">
        <v>45842</v>
      </c>
      <c r="C1107" s="1" t="n">
        <v>46172</v>
      </c>
      <c r="D1107" t="inlineStr">
        <is>
          <t>SKÅNE LÄN</t>
        </is>
      </c>
      <c r="E1107" t="inlineStr">
        <is>
          <t>HÄSSLEHOLM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8538-2026</t>
        </is>
      </c>
      <c r="B1108" s="1" t="n">
        <v>46064</v>
      </c>
      <c r="C1108" s="1" t="n">
        <v>46172</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8539-2026</t>
        </is>
      </c>
      <c r="B1109" s="1" t="n">
        <v>46064</v>
      </c>
      <c r="C1109" s="1" t="n">
        <v>46172</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8367-2026</t>
        </is>
      </c>
      <c r="B1110" s="1" t="n">
        <v>46064</v>
      </c>
      <c r="C1110" s="1" t="n">
        <v>46172</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8674-2026</t>
        </is>
      </c>
      <c r="B1111" s="1" t="n">
        <v>46066.4059837963</v>
      </c>
      <c r="C1111" s="1" t="n">
        <v>46172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34869-2025</t>
        </is>
      </c>
      <c r="B1112" s="1" t="n">
        <v>45849</v>
      </c>
      <c r="C1112" s="1" t="n">
        <v>46172</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8852-2026</t>
        </is>
      </c>
      <c r="B1113" s="1" t="n">
        <v>46066.66105324074</v>
      </c>
      <c r="C1113" s="1" t="n">
        <v>46172</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58689-2025</t>
        </is>
      </c>
      <c r="B1114" s="1" t="n">
        <v>45986</v>
      </c>
      <c r="C1114" s="1" t="n">
        <v>46172</v>
      </c>
      <c r="D1114" t="inlineStr">
        <is>
          <t>SKÅNE LÄN</t>
        </is>
      </c>
      <c r="E1114" t="inlineStr">
        <is>
          <t>HÄSSLEHOLM</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20970-2025</t>
        </is>
      </c>
      <c r="B1115" s="1" t="n">
        <v>45777.45417824074</v>
      </c>
      <c r="C1115" s="1" t="n">
        <v>46172</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26857-2025</t>
        </is>
      </c>
      <c r="B1116" s="1" t="n">
        <v>45810</v>
      </c>
      <c r="C1116" s="1" t="n">
        <v>46172</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32154-2024</t>
        </is>
      </c>
      <c r="B1117" s="1" t="n">
        <v>45511</v>
      </c>
      <c r="C1117" s="1" t="n">
        <v>46172</v>
      </c>
      <c r="D1117" t="inlineStr">
        <is>
          <t>SKÅNE LÄN</t>
        </is>
      </c>
      <c r="E1117" t="inlineStr">
        <is>
          <t>HÄSSLEHOLM</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35259-2025</t>
        </is>
      </c>
      <c r="B1118" s="1" t="n">
        <v>45853.76912037037</v>
      </c>
      <c r="C1118" s="1" t="n">
        <v>46172</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17413-2025</t>
        </is>
      </c>
      <c r="B1119" s="1" t="n">
        <v>45757.37480324074</v>
      </c>
      <c r="C1119" s="1" t="n">
        <v>46172</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10051-2026</t>
        </is>
      </c>
      <c r="B1120" s="1" t="n">
        <v>46073</v>
      </c>
      <c r="C1120" s="1" t="n">
        <v>46172</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36259-2025</t>
        </is>
      </c>
      <c r="B1121" s="1" t="n">
        <v>45867.59799768519</v>
      </c>
      <c r="C1121" s="1" t="n">
        <v>46172</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56065-2025</t>
        </is>
      </c>
      <c r="B1122" s="1" t="n">
        <v>45973</v>
      </c>
      <c r="C1122" s="1" t="n">
        <v>46172</v>
      </c>
      <c r="D1122" t="inlineStr">
        <is>
          <t>SKÅNE LÄN</t>
        </is>
      </c>
      <c r="E1122" t="inlineStr">
        <is>
          <t>HÄSSLEHOLM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36130-2025</t>
        </is>
      </c>
      <c r="B1123" s="1" t="n">
        <v>45866.62273148148</v>
      </c>
      <c r="C1123" s="1" t="n">
        <v>46172</v>
      </c>
      <c r="D1123" t="inlineStr">
        <is>
          <t>SKÅNE LÄN</t>
        </is>
      </c>
      <c r="E1123" t="inlineStr">
        <is>
          <t>HÄSSLEHOLM</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19666-2025</t>
        </is>
      </c>
      <c r="B1124" s="1" t="n">
        <v>45770.69326388889</v>
      </c>
      <c r="C1124" s="1" t="n">
        <v>46172</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36359-2025</t>
        </is>
      </c>
      <c r="B1125" s="1" t="n">
        <v>45867</v>
      </c>
      <c r="C1125" s="1" t="n">
        <v>46172</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36361-2025</t>
        </is>
      </c>
      <c r="B1126" s="1" t="n">
        <v>45867</v>
      </c>
      <c r="C1126" s="1" t="n">
        <v>46172</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36085-2025</t>
        </is>
      </c>
      <c r="B1127" s="1" t="n">
        <v>45866.46190972222</v>
      </c>
      <c r="C1127" s="1" t="n">
        <v>46172</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63476-2025</t>
        </is>
      </c>
      <c r="B1128" s="1" t="n">
        <v>46013.44621527778</v>
      </c>
      <c r="C1128" s="1" t="n">
        <v>46172</v>
      </c>
      <c r="D1128" t="inlineStr">
        <is>
          <t>SKÅNE LÄN</t>
        </is>
      </c>
      <c r="E1128" t="inlineStr">
        <is>
          <t>HÄSSLEHOLM</t>
        </is>
      </c>
      <c r="F1128" t="inlineStr">
        <is>
          <t>Kommuner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36358-2025</t>
        </is>
      </c>
      <c r="B1129" s="1" t="n">
        <v>45867</v>
      </c>
      <c r="C1129" s="1" t="n">
        <v>46172</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11999-2026</t>
        </is>
      </c>
      <c r="B1130" s="1" t="n">
        <v>46085</v>
      </c>
      <c r="C1130" s="1" t="n">
        <v>46172</v>
      </c>
      <c r="D1130" t="inlineStr">
        <is>
          <t>SKÅNE LÄN</t>
        </is>
      </c>
      <c r="E1130" t="inlineStr">
        <is>
          <t>HÄSSLEHOLM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11998-2026</t>
        </is>
      </c>
      <c r="B1131" s="1" t="n">
        <v>46085</v>
      </c>
      <c r="C1131" s="1" t="n">
        <v>46172</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56767-2025</t>
        </is>
      </c>
      <c r="B1132" s="1" t="n">
        <v>45978.38178240741</v>
      </c>
      <c r="C1132" s="1" t="n">
        <v>46172</v>
      </c>
      <c r="D1132" t="inlineStr">
        <is>
          <t>SKÅNE LÄN</t>
        </is>
      </c>
      <c r="E1132" t="inlineStr">
        <is>
          <t>HÄSSLEHOLM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56769-2025</t>
        </is>
      </c>
      <c r="B1133" s="1" t="n">
        <v>45978.38429398148</v>
      </c>
      <c r="C1133" s="1" t="n">
        <v>46172</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12493-2026</t>
        </is>
      </c>
      <c r="B1134" s="1" t="n">
        <v>46090</v>
      </c>
      <c r="C1134" s="1" t="n">
        <v>46172</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19003-2026</t>
        </is>
      </c>
      <c r="B1135" s="1" t="n">
        <v>46129.86017361111</v>
      </c>
      <c r="C1135" s="1" t="n">
        <v>46172</v>
      </c>
      <c r="D1135" t="inlineStr">
        <is>
          <t>SKÅNE LÄN</t>
        </is>
      </c>
      <c r="E1135" t="inlineStr">
        <is>
          <t>HÄSSLEHOLM</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8209-2025</t>
        </is>
      </c>
      <c r="B1136" s="1" t="n">
        <v>45708.44244212963</v>
      </c>
      <c r="C1136" s="1" t="n">
        <v>46172</v>
      </c>
      <c r="D1136" t="inlineStr">
        <is>
          <t>SKÅNE LÄN</t>
        </is>
      </c>
      <c r="E1136" t="inlineStr">
        <is>
          <t>HÄSSLEHOLM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19101-2026</t>
        </is>
      </c>
      <c r="B1137" s="1" t="n">
        <v>46132.43923611111</v>
      </c>
      <c r="C1137" s="1" t="n">
        <v>46172</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36938-2025</t>
        </is>
      </c>
      <c r="B1138" s="1" t="n">
        <v>45874.58476851852</v>
      </c>
      <c r="C1138" s="1" t="n">
        <v>46172</v>
      </c>
      <c r="D1138" t="inlineStr">
        <is>
          <t>SKÅNE LÄN</t>
        </is>
      </c>
      <c r="E1138" t="inlineStr">
        <is>
          <t>HÄSSLEHOLM</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19318-2026</t>
        </is>
      </c>
      <c r="B1139" s="1" t="n">
        <v>46133.39378472222</v>
      </c>
      <c r="C1139" s="1" t="n">
        <v>46172</v>
      </c>
      <c r="D1139" t="inlineStr">
        <is>
          <t>SKÅNE LÄN</t>
        </is>
      </c>
      <c r="E1139" t="inlineStr">
        <is>
          <t>HÄSSLEHOLM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37286-2025</t>
        </is>
      </c>
      <c r="B1140" s="1" t="n">
        <v>45876.50116898148</v>
      </c>
      <c r="C1140" s="1" t="n">
        <v>46172</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37271-2025</t>
        </is>
      </c>
      <c r="B1141" s="1" t="n">
        <v>45876.47828703704</v>
      </c>
      <c r="C1141" s="1" t="n">
        <v>46172</v>
      </c>
      <c r="D1141" t="inlineStr">
        <is>
          <t>SKÅNE LÄN</t>
        </is>
      </c>
      <c r="E1141" t="inlineStr">
        <is>
          <t>HÄSSLEHOLM</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32981-2025</t>
        </is>
      </c>
      <c r="B1142" s="1" t="n">
        <v>45839.86820601852</v>
      </c>
      <c r="C1142" s="1" t="n">
        <v>46172</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13199-2026</t>
        </is>
      </c>
      <c r="B1143" s="1" t="n">
        <v>46093</v>
      </c>
      <c r="C1143" s="1" t="n">
        <v>46172</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16862-2025</t>
        </is>
      </c>
      <c r="B1144" s="1" t="n">
        <v>45751</v>
      </c>
      <c r="C1144" s="1" t="n">
        <v>46172</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18109-2025</t>
        </is>
      </c>
      <c r="B1145" s="1" t="n">
        <v>45761</v>
      </c>
      <c r="C1145" s="1" t="n">
        <v>46172</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13280-2026</t>
        </is>
      </c>
      <c r="B1146" s="1" t="n">
        <v>46093.74789351852</v>
      </c>
      <c r="C1146" s="1" t="n">
        <v>46172</v>
      </c>
      <c r="D1146" t="inlineStr">
        <is>
          <t>SKÅNE LÄN</t>
        </is>
      </c>
      <c r="E1146" t="inlineStr">
        <is>
          <t>HÄSSLEHOLM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13282-2026</t>
        </is>
      </c>
      <c r="B1147" s="1" t="n">
        <v>46093.75166666666</v>
      </c>
      <c r="C1147" s="1" t="n">
        <v>46172</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20381-2026</t>
        </is>
      </c>
      <c r="B1148" s="1" t="n">
        <v>46139</v>
      </c>
      <c r="C1148" s="1" t="n">
        <v>46172</v>
      </c>
      <c r="D1148" t="inlineStr">
        <is>
          <t>SKÅNE LÄN</t>
        </is>
      </c>
      <c r="E1148" t="inlineStr">
        <is>
          <t>HÄSSLEHOLM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13910-2026</t>
        </is>
      </c>
      <c r="B1149" s="1" t="n">
        <v>46098</v>
      </c>
      <c r="C1149" s="1" t="n">
        <v>46172</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20382-2026</t>
        </is>
      </c>
      <c r="B1150" s="1" t="n">
        <v>46139</v>
      </c>
      <c r="C1150" s="1" t="n">
        <v>46172</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13842-2026</t>
        </is>
      </c>
      <c r="B1151" s="1" t="n">
        <v>46098.37758101852</v>
      </c>
      <c r="C1151" s="1" t="n">
        <v>46172</v>
      </c>
      <c r="D1151" t="inlineStr">
        <is>
          <t>SKÅNE LÄN</t>
        </is>
      </c>
      <c r="E1151" t="inlineStr">
        <is>
          <t>HÄSSLEHOLM</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13886-2026</t>
        </is>
      </c>
      <c r="B1152" s="1" t="n">
        <v>46098</v>
      </c>
      <c r="C1152" s="1" t="n">
        <v>46172</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13588-2026</t>
        </is>
      </c>
      <c r="B1153" s="1" t="n">
        <v>46095.80452546296</v>
      </c>
      <c r="C1153" s="1" t="n">
        <v>46172</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13906-2026</t>
        </is>
      </c>
      <c r="B1154" s="1" t="n">
        <v>46098</v>
      </c>
      <c r="C1154" s="1" t="n">
        <v>46172</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14541-2026</t>
        </is>
      </c>
      <c r="B1155" s="1" t="n">
        <v>46100.67851851852</v>
      </c>
      <c r="C1155" s="1" t="n">
        <v>46172</v>
      </c>
      <c r="D1155" t="inlineStr">
        <is>
          <t>SKÅNE LÄN</t>
        </is>
      </c>
      <c r="E1155" t="inlineStr">
        <is>
          <t>HÄSSLEHOLM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14538-2026</t>
        </is>
      </c>
      <c r="B1156" s="1" t="n">
        <v>46100.67711805556</v>
      </c>
      <c r="C1156" s="1" t="n">
        <v>46172</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14191-2026</t>
        </is>
      </c>
      <c r="B1157" s="1" t="n">
        <v>46099.528125</v>
      </c>
      <c r="C1157" s="1" t="n">
        <v>46172</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19831-2026</t>
        </is>
      </c>
      <c r="B1158" s="1" t="n">
        <v>46135</v>
      </c>
      <c r="C1158" s="1" t="n">
        <v>46172</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14471-2026</t>
        </is>
      </c>
      <c r="B1159" s="1" t="n">
        <v>46100.56711805556</v>
      </c>
      <c r="C1159" s="1" t="n">
        <v>46172</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14540-2026</t>
        </is>
      </c>
      <c r="B1160" s="1" t="n">
        <v>46100.67826388889</v>
      </c>
      <c r="C1160" s="1" t="n">
        <v>46172</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14549-2026</t>
        </is>
      </c>
      <c r="B1161" s="1" t="n">
        <v>46100</v>
      </c>
      <c r="C1161" s="1" t="n">
        <v>46172</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14965-2026</t>
        </is>
      </c>
      <c r="B1162" s="1" t="n">
        <v>46104.56096064814</v>
      </c>
      <c r="C1162" s="1" t="n">
        <v>46172</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14971-2026</t>
        </is>
      </c>
      <c r="B1163" s="1" t="n">
        <v>46104.56393518519</v>
      </c>
      <c r="C1163" s="1" t="n">
        <v>46172</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21668-2026</t>
        </is>
      </c>
      <c r="B1164" s="1" t="n">
        <v>46149.47572916667</v>
      </c>
      <c r="C1164" s="1" t="n">
        <v>46172</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21658-2026</t>
        </is>
      </c>
      <c r="B1165" s="1" t="n">
        <v>46149.45797453704</v>
      </c>
      <c r="C1165" s="1" t="n">
        <v>46172</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21674-2026</t>
        </is>
      </c>
      <c r="B1166" s="1" t="n">
        <v>46149.4872337963</v>
      </c>
      <c r="C1166" s="1" t="n">
        <v>46172</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15881-2026</t>
        </is>
      </c>
      <c r="B1167" s="1" t="n">
        <v>46107</v>
      </c>
      <c r="C1167" s="1" t="n">
        <v>46172</v>
      </c>
      <c r="D1167" t="inlineStr">
        <is>
          <t>SKÅNE LÄN</t>
        </is>
      </c>
      <c r="E1167" t="inlineStr">
        <is>
          <t>HÄSSLEHOLM</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15979-2026</t>
        </is>
      </c>
      <c r="B1168" s="1" t="n">
        <v>46108.35431712963</v>
      </c>
      <c r="C1168" s="1" t="n">
        <v>46172</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21613-2026</t>
        </is>
      </c>
      <c r="B1169" s="1" t="n">
        <v>46149.40085648148</v>
      </c>
      <c r="C1169" s="1" t="n">
        <v>46172</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21807-2026</t>
        </is>
      </c>
      <c r="B1170" s="1" t="n">
        <v>46148</v>
      </c>
      <c r="C1170" s="1" t="n">
        <v>46172</v>
      </c>
      <c r="D1170" t="inlineStr">
        <is>
          <t>SKÅNE LÄN</t>
        </is>
      </c>
      <c r="E1170" t="inlineStr">
        <is>
          <t>HÄSSLEHOLM</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15882-2026</t>
        </is>
      </c>
      <c r="B1171" s="1" t="n">
        <v>46107</v>
      </c>
      <c r="C1171" s="1" t="n">
        <v>46172</v>
      </c>
      <c r="D1171" t="inlineStr">
        <is>
          <t>SKÅNE LÄN</t>
        </is>
      </c>
      <c r="E1171" t="inlineStr">
        <is>
          <t>HÄSSLEHOLM</t>
        </is>
      </c>
      <c r="F1171" t="inlineStr">
        <is>
          <t>Kyrkan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21673-2026</t>
        </is>
      </c>
      <c r="B1172" s="1" t="n">
        <v>46149.48615740741</v>
      </c>
      <c r="C1172" s="1" t="n">
        <v>46172</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21615-2026</t>
        </is>
      </c>
      <c r="B1173" s="1" t="n">
        <v>46149.40331018518</v>
      </c>
      <c r="C1173" s="1" t="n">
        <v>46172</v>
      </c>
      <c r="D1173" t="inlineStr">
        <is>
          <t>SKÅNE LÄN</t>
        </is>
      </c>
      <c r="E1173" t="inlineStr">
        <is>
          <t>HÄSSLEHOLM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16470-2026</t>
        </is>
      </c>
      <c r="B1174" s="1" t="n">
        <v>46112.37516203704</v>
      </c>
      <c r="C1174" s="1" t="n">
        <v>46172</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16476-2026</t>
        </is>
      </c>
      <c r="B1175" s="1" t="n">
        <v>46112.38662037037</v>
      </c>
      <c r="C1175" s="1" t="n">
        <v>46172</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23258-2026</t>
        </is>
      </c>
      <c r="B1176" s="1" t="n">
        <v>46162.44547453704</v>
      </c>
      <c r="C1176" s="1" t="n">
        <v>46172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23266-2026</t>
        </is>
      </c>
      <c r="B1177" s="1" t="n">
        <v>46162.45515046296</v>
      </c>
      <c r="C1177" s="1" t="n">
        <v>46172</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23249-2026</t>
        </is>
      </c>
      <c r="B1178" s="1" t="n">
        <v>46162.42958333333</v>
      </c>
      <c r="C1178" s="1" t="n">
        <v>46172</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23259-2026</t>
        </is>
      </c>
      <c r="B1179" s="1" t="n">
        <v>46162.44567129629</v>
      </c>
      <c r="C1179" s="1" t="n">
        <v>46172</v>
      </c>
      <c r="D1179" t="inlineStr">
        <is>
          <t>SKÅNE LÄN</t>
        </is>
      </c>
      <c r="E1179" t="inlineStr">
        <is>
          <t>HÄSSLEHOLM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54426-2025</t>
        </is>
      </c>
      <c r="B1180" s="1" t="n">
        <v>45965</v>
      </c>
      <c r="C1180" s="1" t="n">
        <v>46172</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23050-2026</t>
        </is>
      </c>
      <c r="B1181" s="1" t="n">
        <v>46161.43168981482</v>
      </c>
      <c r="C1181" s="1" t="n">
        <v>46172</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19240-2026</t>
        </is>
      </c>
      <c r="B1182" s="1" t="n">
        <v>46132</v>
      </c>
      <c r="C1182" s="1" t="n">
        <v>46172</v>
      </c>
      <c r="D1182" t="inlineStr">
        <is>
          <t>SKÅNE LÄN</t>
        </is>
      </c>
      <c r="E1182" t="inlineStr">
        <is>
          <t>HÄSSLEHOLM</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23411-2026</t>
        </is>
      </c>
      <c r="B1183" s="1" t="n">
        <v>46162.83384259259</v>
      </c>
      <c r="C1183" s="1" t="n">
        <v>46172</v>
      </c>
      <c r="D1183" t="inlineStr">
        <is>
          <t>SKÅNE LÄN</t>
        </is>
      </c>
      <c r="E1183" t="inlineStr">
        <is>
          <t>HÄSSLEHOLM</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23284-2026</t>
        </is>
      </c>
      <c r="B1184" s="1" t="n">
        <v>46162.47378472222</v>
      </c>
      <c r="C1184" s="1" t="n">
        <v>46172</v>
      </c>
      <c r="D1184" t="inlineStr">
        <is>
          <t>SKÅNE LÄN</t>
        </is>
      </c>
      <c r="E1184" t="inlineStr">
        <is>
          <t>HÄSSLEHOLM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23265-2026</t>
        </is>
      </c>
      <c r="B1185" s="1" t="n">
        <v>46162.45505787037</v>
      </c>
      <c r="C1185" s="1" t="n">
        <v>46172</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23378-2026</t>
        </is>
      </c>
      <c r="B1186" s="1" t="n">
        <v>46162.64511574074</v>
      </c>
      <c r="C1186" s="1" t="n">
        <v>46172</v>
      </c>
      <c r="D1186" t="inlineStr">
        <is>
          <t>SKÅNE LÄN</t>
        </is>
      </c>
      <c r="E1186" t="inlineStr">
        <is>
          <t>HÄSSLEHOLM</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23283-2026</t>
        </is>
      </c>
      <c r="B1187" s="1" t="n">
        <v>46162.47375</v>
      </c>
      <c r="C1187" s="1" t="n">
        <v>46172</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23285-2026</t>
        </is>
      </c>
      <c r="B1188" s="1" t="n">
        <v>46162.47381944444</v>
      </c>
      <c r="C1188" s="1" t="n">
        <v>46172</v>
      </c>
      <c r="D1188" t="inlineStr">
        <is>
          <t>SKÅNE LÄN</t>
        </is>
      </c>
      <c r="E1188" t="inlineStr">
        <is>
          <t>HÄSSLEHOLM</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32008-2024</t>
        </is>
      </c>
      <c r="B1189" s="1" t="n">
        <v>45510</v>
      </c>
      <c r="C1189" s="1" t="n">
        <v>46172</v>
      </c>
      <c r="D1189" t="inlineStr">
        <is>
          <t>SKÅNE LÄN</t>
        </is>
      </c>
      <c r="E1189" t="inlineStr">
        <is>
          <t>HÄSSLEHOLM</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54798-2025</t>
        </is>
      </c>
      <c r="B1190" s="1" t="n">
        <v>45966</v>
      </c>
      <c r="C1190" s="1" t="n">
        <v>46172</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47352-2025</t>
        </is>
      </c>
      <c r="B1191" s="1" t="n">
        <v>45930</v>
      </c>
      <c r="C1191" s="1" t="n">
        <v>46172</v>
      </c>
      <c r="D1191" t="inlineStr">
        <is>
          <t>SKÅNE LÄN</t>
        </is>
      </c>
      <c r="E1191" t="inlineStr">
        <is>
          <t>HÄSSLEHOLM</t>
        </is>
      </c>
      <c r="G1191" t="n">
        <v>15.9</v>
      </c>
      <c r="H1191" t="n">
        <v>0</v>
      </c>
      <c r="I1191" t="n">
        <v>0</v>
      </c>
      <c r="J1191" t="n">
        <v>0</v>
      </c>
      <c r="K1191" t="n">
        <v>0</v>
      </c>
      <c r="L1191" t="n">
        <v>0</v>
      </c>
      <c r="M1191" t="n">
        <v>0</v>
      </c>
      <c r="N1191" t="n">
        <v>0</v>
      </c>
      <c r="O1191" t="n">
        <v>0</v>
      </c>
      <c r="P1191" t="n">
        <v>0</v>
      </c>
      <c r="Q1191" t="n">
        <v>0</v>
      </c>
      <c r="R1191" s="2" t="inlineStr"/>
    </row>
    <row r="1192" ht="15" customHeight="1">
      <c r="A1192" t="inlineStr">
        <is>
          <t>A 23264-2026</t>
        </is>
      </c>
      <c r="B1192" s="1" t="n">
        <v>46162</v>
      </c>
      <c r="C1192" s="1" t="n">
        <v>46172</v>
      </c>
      <c r="D1192" t="inlineStr">
        <is>
          <t>SKÅNE LÄN</t>
        </is>
      </c>
      <c r="E1192" t="inlineStr">
        <is>
          <t>HÄSSLEHOLM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47394-2025</t>
        </is>
      </c>
      <c r="B1193" s="1" t="n">
        <v>45930</v>
      </c>
      <c r="C1193" s="1" t="n">
        <v>46172</v>
      </c>
      <c r="D1193" t="inlineStr">
        <is>
          <t>SKÅNE LÄN</t>
        </is>
      </c>
      <c r="E1193" t="inlineStr">
        <is>
          <t>HÄSSLEHOLM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17835-2026</t>
        </is>
      </c>
      <c r="B1194" s="1" t="n">
        <v>46121</v>
      </c>
      <c r="C1194" s="1" t="n">
        <v>46172</v>
      </c>
      <c r="D1194" t="inlineStr">
        <is>
          <t>SKÅNE LÄN</t>
        </is>
      </c>
      <c r="E1194" t="inlineStr">
        <is>
          <t>HÄSSLEHOLM</t>
        </is>
      </c>
      <c r="G1194" t="n">
        <v>12.6</v>
      </c>
      <c r="H1194" t="n">
        <v>0</v>
      </c>
      <c r="I1194" t="n">
        <v>0</v>
      </c>
      <c r="J1194" t="n">
        <v>0</v>
      </c>
      <c r="K1194" t="n">
        <v>0</v>
      </c>
      <c r="L1194" t="n">
        <v>0</v>
      </c>
      <c r="M1194" t="n">
        <v>0</v>
      </c>
      <c r="N1194" t="n">
        <v>0</v>
      </c>
      <c r="O1194" t="n">
        <v>0</v>
      </c>
      <c r="P1194" t="n">
        <v>0</v>
      </c>
      <c r="Q1194" t="n">
        <v>0</v>
      </c>
      <c r="R1194" s="2" t="inlineStr"/>
    </row>
    <row r="1195">
      <c r="A1195" t="inlineStr">
        <is>
          <t>A 17844-2026</t>
        </is>
      </c>
      <c r="B1195" s="1" t="n">
        <v>46121</v>
      </c>
      <c r="C1195" s="1" t="n">
        <v>46172</v>
      </c>
      <c r="D1195" t="inlineStr">
        <is>
          <t>SKÅNE LÄN</t>
        </is>
      </c>
      <c r="E1195" t="inlineStr">
        <is>
          <t>HÄSSLEHOLM</t>
        </is>
      </c>
      <c r="G1195" t="n">
        <v>3</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2026-05-30T10:54:19Z</dcterms:created>
  <dcterms:modified xmlns:dcterms="http://purl.org/dc/terms/" xmlns:xsi="http://www.w3.org/2001/XMLSchema-instance" xsi:type="dcterms:W3CDTF">2026-05-30T10:54:20Z</dcterms:modified>
</cp:coreProperties>
</file>