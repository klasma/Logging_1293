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46084</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46084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46084</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46084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46084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46084</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46084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46084</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46084</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46084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46084</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46084</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46084</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46084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46084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46084</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6634-2024</t>
        </is>
      </c>
      <c r="B20" s="1" t="n">
        <v>45341</v>
      </c>
      <c r="C20" s="1" t="n">
        <v>46084</v>
      </c>
      <c r="D20" t="inlineStr">
        <is>
          <t>SKÅNE LÄN</t>
        </is>
      </c>
      <c r="E20" t="inlineStr">
        <is>
          <t>HÄSSLEHOLM</t>
        </is>
      </c>
      <c r="G20" t="n">
        <v>1.9</v>
      </c>
      <c r="H20" t="n">
        <v>0</v>
      </c>
      <c r="I20" t="n">
        <v>0</v>
      </c>
      <c r="J20" t="n">
        <v>0</v>
      </c>
      <c r="K20" t="n">
        <v>1</v>
      </c>
      <c r="L20" t="n">
        <v>0</v>
      </c>
      <c r="M20" t="n">
        <v>0</v>
      </c>
      <c r="N20" t="n">
        <v>0</v>
      </c>
      <c r="O20" t="n">
        <v>1</v>
      </c>
      <c r="P20" t="n">
        <v>1</v>
      </c>
      <c r="Q20" t="n">
        <v>1</v>
      </c>
      <c r="R20" s="2" t="inlineStr">
        <is>
          <t>Revig blodrot</t>
        </is>
      </c>
      <c r="S20">
        <f>HYPERLINK("https://klasma.github.io/Logging_1293/artfynd/A 6634-2024 artfynd.xlsx", "A 6634-2024")</f>
        <v/>
      </c>
      <c r="T20">
        <f>HYPERLINK("https://klasma.github.io/Logging_1293/kartor/A 6634-2024 karta.png", "A 6634-2024")</f>
        <v/>
      </c>
      <c r="V20">
        <f>HYPERLINK("https://klasma.github.io/Logging_1293/klagomål/A 6634-2024 FSC-klagomål.docx", "A 6634-2024")</f>
        <v/>
      </c>
      <c r="W20">
        <f>HYPERLINK("https://klasma.github.io/Logging_1293/klagomålsmail/A 6634-2024 FSC-klagomål mail.docx", "A 6634-2024")</f>
        <v/>
      </c>
      <c r="X20">
        <f>HYPERLINK("https://klasma.github.io/Logging_1293/tillsyn/A 6634-2024 tillsynsbegäran.docx", "A 6634-2024")</f>
        <v/>
      </c>
      <c r="Y20">
        <f>HYPERLINK("https://klasma.github.io/Logging_1293/tillsynsmail/A 6634-2024 tillsynsbegäran mail.docx", "A 6634-2024")</f>
        <v/>
      </c>
    </row>
    <row r="21" ht="15" customHeight="1">
      <c r="A21" t="inlineStr">
        <is>
          <t>A 60925-2024</t>
        </is>
      </c>
      <c r="B21" s="1" t="n">
        <v>45645.3550462963</v>
      </c>
      <c r="C21" s="1" t="n">
        <v>46084</v>
      </c>
      <c r="D21" t="inlineStr">
        <is>
          <t>SKÅNE LÄN</t>
        </is>
      </c>
      <c r="E21" t="inlineStr">
        <is>
          <t>HÄSSLEHOLM</t>
        </is>
      </c>
      <c r="G21" t="n">
        <v>1.8</v>
      </c>
      <c r="H21" t="n">
        <v>0</v>
      </c>
      <c r="I21" t="n">
        <v>0</v>
      </c>
      <c r="J21" t="n">
        <v>0</v>
      </c>
      <c r="K21" t="n">
        <v>0</v>
      </c>
      <c r="L21" t="n">
        <v>1</v>
      </c>
      <c r="M21" t="n">
        <v>0</v>
      </c>
      <c r="N21" t="n">
        <v>0</v>
      </c>
      <c r="O21" t="n">
        <v>1</v>
      </c>
      <c r="P21" t="n">
        <v>1</v>
      </c>
      <c r="Q21" t="n">
        <v>1</v>
      </c>
      <c r="R21" s="2" t="inlineStr">
        <is>
          <t>Ask</t>
        </is>
      </c>
      <c r="S21">
        <f>HYPERLINK("https://klasma.github.io/Logging_1293/artfynd/A 60925-2024 artfynd.xlsx", "A 60925-2024")</f>
        <v/>
      </c>
      <c r="T21">
        <f>HYPERLINK("https://klasma.github.io/Logging_1293/kartor/A 60925-2024 karta.png", "A 60925-2024")</f>
        <v/>
      </c>
      <c r="V21">
        <f>HYPERLINK("https://klasma.github.io/Logging_1293/klagomål/A 60925-2024 FSC-klagomål.docx", "A 60925-2024")</f>
        <v/>
      </c>
      <c r="W21">
        <f>HYPERLINK("https://klasma.github.io/Logging_1293/klagomålsmail/A 60925-2024 FSC-klagomål mail.docx", "A 60925-2024")</f>
        <v/>
      </c>
      <c r="X21">
        <f>HYPERLINK("https://klasma.github.io/Logging_1293/tillsyn/A 60925-2024 tillsynsbegäran.docx", "A 60925-2024")</f>
        <v/>
      </c>
      <c r="Y21">
        <f>HYPERLINK("https://klasma.github.io/Logging_1293/tillsynsmail/A 60925-2024 tillsynsbegäran mail.docx", "A 60925-2024")</f>
        <v/>
      </c>
    </row>
    <row r="22" ht="15" customHeight="1">
      <c r="A22" t="inlineStr">
        <is>
          <t>A 16107-2025</t>
        </is>
      </c>
      <c r="B22" s="1" t="n">
        <v>45750.34537037037</v>
      </c>
      <c r="C22" s="1" t="n">
        <v>46084</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43874-2022</t>
        </is>
      </c>
      <c r="B23" s="1" t="n">
        <v>44838.44738425926</v>
      </c>
      <c r="C23" s="1" t="n">
        <v>46084</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40613-2025</t>
        </is>
      </c>
      <c r="B24" s="1" t="n">
        <v>45896</v>
      </c>
      <c r="C24" s="1" t="n">
        <v>46084</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54523-2024</t>
        </is>
      </c>
      <c r="B25" s="1" t="n">
        <v>45617</v>
      </c>
      <c r="C25" s="1" t="n">
        <v>46084</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46084</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4619-2025</t>
        </is>
      </c>
      <c r="B27" s="1" t="n">
        <v>45687</v>
      </c>
      <c r="C27" s="1" t="n">
        <v>46084</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49572-2022</t>
        </is>
      </c>
      <c r="B28" s="1" t="n">
        <v>44862.335</v>
      </c>
      <c r="C28" s="1" t="n">
        <v>46084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36690-2025</t>
        </is>
      </c>
      <c r="B29" s="1" t="n">
        <v>45873.42915509259</v>
      </c>
      <c r="C29" s="1" t="n">
        <v>46084</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57533-2025</t>
        </is>
      </c>
      <c r="B30" s="1" t="n">
        <v>45980.63923611111</v>
      </c>
      <c r="C30" s="1" t="n">
        <v>46084</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14933-2023</t>
        </is>
      </c>
      <c r="B31" s="1" t="n">
        <v>45014</v>
      </c>
      <c r="C31" s="1" t="n">
        <v>46084</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20280-2025</t>
        </is>
      </c>
      <c r="B32" s="1" t="n">
        <v>45774.38790509259</v>
      </c>
      <c r="C32" s="1" t="n">
        <v>46084</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46602-2023</t>
        </is>
      </c>
      <c r="B33" s="1" t="n">
        <v>45194</v>
      </c>
      <c r="C33" s="1" t="n">
        <v>46084</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9289-2025</t>
        </is>
      </c>
      <c r="B34" s="1" t="n">
        <v>45714</v>
      </c>
      <c r="C34" s="1" t="n">
        <v>46084</v>
      </c>
      <c r="D34" t="inlineStr">
        <is>
          <t>SKÅNE LÄN</t>
        </is>
      </c>
      <c r="E34" t="inlineStr">
        <is>
          <t>HÄSSLEHOLM</t>
        </is>
      </c>
      <c r="G34" t="n">
        <v>18</v>
      </c>
      <c r="H34" t="n">
        <v>0</v>
      </c>
      <c r="I34" t="n">
        <v>1</v>
      </c>
      <c r="J34" t="n">
        <v>0</v>
      </c>
      <c r="K34" t="n">
        <v>0</v>
      </c>
      <c r="L34" t="n">
        <v>0</v>
      </c>
      <c r="M34" t="n">
        <v>0</v>
      </c>
      <c r="N34" t="n">
        <v>0</v>
      </c>
      <c r="O34" t="n">
        <v>0</v>
      </c>
      <c r="P34" t="n">
        <v>0</v>
      </c>
      <c r="Q34" t="n">
        <v>1</v>
      </c>
      <c r="R34" s="2" t="inlineStr">
        <is>
          <t>Tibast</t>
        </is>
      </c>
      <c r="S34">
        <f>HYPERLINK("https://klasma.github.io/Logging_1293/artfynd/A 9289-2025 artfynd.xlsx", "A 9289-2025")</f>
        <v/>
      </c>
      <c r="T34">
        <f>HYPERLINK("https://klasma.github.io/Logging_1293/kartor/A 9289-2025 karta.png", "A 9289-2025")</f>
        <v/>
      </c>
      <c r="V34">
        <f>HYPERLINK("https://klasma.github.io/Logging_1293/klagomål/A 9289-2025 FSC-klagomål.docx", "A 9289-2025")</f>
        <v/>
      </c>
      <c r="W34">
        <f>HYPERLINK("https://klasma.github.io/Logging_1293/klagomålsmail/A 9289-2025 FSC-klagomål mail.docx", "A 9289-2025")</f>
        <v/>
      </c>
      <c r="X34">
        <f>HYPERLINK("https://klasma.github.io/Logging_1293/tillsyn/A 9289-2025 tillsynsbegäran.docx", "A 9289-2025")</f>
        <v/>
      </c>
      <c r="Y34">
        <f>HYPERLINK("https://klasma.github.io/Logging_1293/tillsynsmail/A 9289-2025 tillsynsbegäran mail.docx", "A 9289-2025")</f>
        <v/>
      </c>
    </row>
    <row r="35" ht="15" customHeight="1">
      <c r="A35" t="inlineStr">
        <is>
          <t>A 7862-2024</t>
        </is>
      </c>
      <c r="B35" s="1" t="n">
        <v>45348</v>
      </c>
      <c r="C35" s="1" t="n">
        <v>46084</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8223-2025</t>
        </is>
      </c>
      <c r="B36" s="1" t="n">
        <v>45708.46127314815</v>
      </c>
      <c r="C36" s="1" t="n">
        <v>46084</v>
      </c>
      <c r="D36" t="inlineStr">
        <is>
          <t>SKÅNE LÄN</t>
        </is>
      </c>
      <c r="E36" t="inlineStr">
        <is>
          <t>HÄSSLEHOLM</t>
        </is>
      </c>
      <c r="G36" t="n">
        <v>0.8</v>
      </c>
      <c r="H36" t="n">
        <v>1</v>
      </c>
      <c r="I36" t="n">
        <v>0</v>
      </c>
      <c r="J36" t="n">
        <v>0</v>
      </c>
      <c r="K36" t="n">
        <v>0</v>
      </c>
      <c r="L36" t="n">
        <v>0</v>
      </c>
      <c r="M36" t="n">
        <v>0</v>
      </c>
      <c r="N36" t="n">
        <v>0</v>
      </c>
      <c r="O36" t="n">
        <v>0</v>
      </c>
      <c r="P36" t="n">
        <v>0</v>
      </c>
      <c r="Q36" t="n">
        <v>1</v>
      </c>
      <c r="R36" s="2" t="inlineStr">
        <is>
          <t>Kungsfågel</t>
        </is>
      </c>
      <c r="S36">
        <f>HYPERLINK("https://klasma.github.io/Logging_1293/artfynd/A 8223-2025 artfynd.xlsx", "A 8223-2025")</f>
        <v/>
      </c>
      <c r="T36">
        <f>HYPERLINK("https://klasma.github.io/Logging_1293/kartor/A 8223-2025 karta.png", "A 8223-2025")</f>
        <v/>
      </c>
      <c r="V36">
        <f>HYPERLINK("https://klasma.github.io/Logging_1293/klagomål/A 8223-2025 FSC-klagomål.docx", "A 8223-2025")</f>
        <v/>
      </c>
      <c r="W36">
        <f>HYPERLINK("https://klasma.github.io/Logging_1293/klagomålsmail/A 8223-2025 FSC-klagomål mail.docx", "A 8223-2025")</f>
        <v/>
      </c>
      <c r="X36">
        <f>HYPERLINK("https://klasma.github.io/Logging_1293/tillsyn/A 8223-2025 tillsynsbegäran.docx", "A 8223-2025")</f>
        <v/>
      </c>
      <c r="Y36">
        <f>HYPERLINK("https://klasma.github.io/Logging_1293/tillsynsmail/A 8223-2025 tillsynsbegäran mail.docx", "A 8223-2025")</f>
        <v/>
      </c>
      <c r="Z36">
        <f>HYPERLINK("https://klasma.github.io/Logging_1293/fåglar/A 8223-2025 prioriterade fågelarter.docx", "A 8223-2025")</f>
        <v/>
      </c>
    </row>
    <row r="37" ht="15" customHeight="1">
      <c r="A37" t="inlineStr">
        <is>
          <t>A 29272-2023</t>
        </is>
      </c>
      <c r="B37" s="1" t="n">
        <v>45105</v>
      </c>
      <c r="C37" s="1" t="n">
        <v>46084</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46084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46084</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54178-2021</t>
        </is>
      </c>
      <c r="B40" s="1" t="n">
        <v>44470</v>
      </c>
      <c r="C40" s="1" t="n">
        <v>46084</v>
      </c>
      <c r="D40" t="inlineStr">
        <is>
          <t>SKÅNE LÄN</t>
        </is>
      </c>
      <c r="E40" t="inlineStr">
        <is>
          <t>HÄSSLEHOLM</t>
        </is>
      </c>
      <c r="G40" t="n">
        <v>2.3</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46084</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46084</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46084</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46084</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46084</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46084</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46084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46084</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46084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46084</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46084</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46084</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46084</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46084</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46084</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46084</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46084</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46084</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46084</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46084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46084</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46084</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46084</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46084</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45284-2021</t>
        </is>
      </c>
      <c r="B74" s="1" t="n">
        <v>44439.65418981481</v>
      </c>
      <c r="C74" s="1" t="n">
        <v>46084</v>
      </c>
      <c r="D74" t="inlineStr">
        <is>
          <t>SKÅNE LÄN</t>
        </is>
      </c>
      <c r="E74" t="inlineStr">
        <is>
          <t>HÄSSLEHOLM</t>
        </is>
      </c>
      <c r="G74" t="n">
        <v>1.6</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46084</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46084</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46084</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46084</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46084</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46084</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46084</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46084</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46084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46084</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46084</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46084</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46084</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46084</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46084</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46084</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46084</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46084</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46084</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46084</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46084</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46084</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63972-2021</t>
        </is>
      </c>
      <c r="B111" s="1" t="n">
        <v>44509.89649305555</v>
      </c>
      <c r="C111" s="1" t="n">
        <v>46084</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52461-2021</t>
        </is>
      </c>
      <c r="B112" s="1" t="n">
        <v>44466</v>
      </c>
      <c r="C112" s="1" t="n">
        <v>46084</v>
      </c>
      <c r="D112" t="inlineStr">
        <is>
          <t>SKÅNE LÄN</t>
        </is>
      </c>
      <c r="E112" t="inlineStr">
        <is>
          <t>HÄSSLEHOLM</t>
        </is>
      </c>
      <c r="G112" t="n">
        <v>2.7</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46084</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46084</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46084</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46084</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46084</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46084</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46084</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46084</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46084</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46084</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46084</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46084</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46084</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46084</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46084</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46084</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2631-2022</t>
        </is>
      </c>
      <c r="B129" s="1" t="n">
        <v>44580</v>
      </c>
      <c r="C129" s="1" t="n">
        <v>46084</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46084</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46084</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46084</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46084</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51159-2021</t>
        </is>
      </c>
      <c r="B134" s="1" t="n">
        <v>44461</v>
      </c>
      <c r="C134" s="1" t="n">
        <v>46084</v>
      </c>
      <c r="D134" t="inlineStr">
        <is>
          <t>SKÅNE LÄN</t>
        </is>
      </c>
      <c r="E134" t="inlineStr">
        <is>
          <t>HÄSSLEHOLM</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27330-2021</t>
        </is>
      </c>
      <c r="B135" s="1" t="n">
        <v>44351</v>
      </c>
      <c r="C135" s="1" t="n">
        <v>46084</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25383-2021</t>
        </is>
      </c>
      <c r="B136" s="1" t="n">
        <v>44342</v>
      </c>
      <c r="C136" s="1" t="n">
        <v>46084</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46084</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46084</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46084</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46084</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46084</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25955-2022</t>
        </is>
      </c>
      <c r="B142" s="1" t="n">
        <v>44734</v>
      </c>
      <c r="C142" s="1" t="n">
        <v>46084</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56431-2021</t>
        </is>
      </c>
      <c r="B143" s="1" t="n">
        <v>44480</v>
      </c>
      <c r="C143" s="1" t="n">
        <v>46084</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46084</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20657-2022</t>
        </is>
      </c>
      <c r="B145" s="1" t="n">
        <v>44700</v>
      </c>
      <c r="C145" s="1" t="n">
        <v>46084</v>
      </c>
      <c r="D145" t="inlineStr">
        <is>
          <t>SKÅNE LÄN</t>
        </is>
      </c>
      <c r="E145" t="inlineStr">
        <is>
          <t>HÄSSLEHOLM</t>
        </is>
      </c>
      <c r="G145" t="n">
        <v>3.8</v>
      </c>
      <c r="H145" t="n">
        <v>0</v>
      </c>
      <c r="I145" t="n">
        <v>0</v>
      </c>
      <c r="J145" t="n">
        <v>0</v>
      </c>
      <c r="K145" t="n">
        <v>0</v>
      </c>
      <c r="L145" t="n">
        <v>0</v>
      </c>
      <c r="M145" t="n">
        <v>0</v>
      </c>
      <c r="N145" t="n">
        <v>0</v>
      </c>
      <c r="O145" t="n">
        <v>0</v>
      </c>
      <c r="P145" t="n">
        <v>0</v>
      </c>
      <c r="Q145" t="n">
        <v>0</v>
      </c>
      <c r="R145" s="2" t="inlineStr"/>
    </row>
    <row r="146" ht="15" customHeight="1">
      <c r="A146" t="inlineStr">
        <is>
          <t>A 418-2022</t>
        </is>
      </c>
      <c r="B146" s="1" t="n">
        <v>44565.84958333334</v>
      </c>
      <c r="C146" s="1" t="n">
        <v>46084</v>
      </c>
      <c r="D146" t="inlineStr">
        <is>
          <t>SKÅNE LÄN</t>
        </is>
      </c>
      <c r="E146" t="inlineStr">
        <is>
          <t>HÄSSLEHOLM</t>
        </is>
      </c>
      <c r="G146" t="n">
        <v>0</v>
      </c>
      <c r="H146" t="n">
        <v>0</v>
      </c>
      <c r="I146" t="n">
        <v>0</v>
      </c>
      <c r="J146" t="n">
        <v>0</v>
      </c>
      <c r="K146" t="n">
        <v>0</v>
      </c>
      <c r="L146" t="n">
        <v>0</v>
      </c>
      <c r="M146" t="n">
        <v>0</v>
      </c>
      <c r="N146" t="n">
        <v>0</v>
      </c>
      <c r="O146" t="n">
        <v>0</v>
      </c>
      <c r="P146" t="n">
        <v>0</v>
      </c>
      <c r="Q146" t="n">
        <v>0</v>
      </c>
      <c r="R146" s="2" t="inlineStr"/>
    </row>
    <row r="147" ht="15" customHeight="1">
      <c r="A147" t="inlineStr">
        <is>
          <t>A 7904-2022</t>
        </is>
      </c>
      <c r="B147" s="1" t="n">
        <v>44607</v>
      </c>
      <c r="C147" s="1" t="n">
        <v>46084</v>
      </c>
      <c r="D147" t="inlineStr">
        <is>
          <t>SKÅNE LÄN</t>
        </is>
      </c>
      <c r="E147" t="inlineStr">
        <is>
          <t>HÄSSLEHOLM</t>
        </is>
      </c>
      <c r="F147" t="inlineStr">
        <is>
          <t>Kyrkan</t>
        </is>
      </c>
      <c r="G147" t="n">
        <v>3.9</v>
      </c>
      <c r="H147" t="n">
        <v>0</v>
      </c>
      <c r="I147" t="n">
        <v>0</v>
      </c>
      <c r="J147" t="n">
        <v>0</v>
      </c>
      <c r="K147" t="n">
        <v>0</v>
      </c>
      <c r="L147" t="n">
        <v>0</v>
      </c>
      <c r="M147" t="n">
        <v>0</v>
      </c>
      <c r="N147" t="n">
        <v>0</v>
      </c>
      <c r="O147" t="n">
        <v>0</v>
      </c>
      <c r="P147" t="n">
        <v>0</v>
      </c>
      <c r="Q147" t="n">
        <v>0</v>
      </c>
      <c r="R147" s="2" t="inlineStr"/>
    </row>
    <row r="148" ht="15" customHeight="1">
      <c r="A148" t="inlineStr">
        <is>
          <t>A 74297-2021</t>
        </is>
      </c>
      <c r="B148" s="1" t="n">
        <v>44558</v>
      </c>
      <c r="C148" s="1" t="n">
        <v>46084</v>
      </c>
      <c r="D148" t="inlineStr">
        <is>
          <t>SKÅNE LÄN</t>
        </is>
      </c>
      <c r="E148" t="inlineStr">
        <is>
          <t>HÄSSLEHOLM</t>
        </is>
      </c>
      <c r="F148" t="inlineStr">
        <is>
          <t>Kyrkan</t>
        </is>
      </c>
      <c r="G148" t="n">
        <v>3.8</v>
      </c>
      <c r="H148" t="n">
        <v>0</v>
      </c>
      <c r="I148" t="n">
        <v>0</v>
      </c>
      <c r="J148" t="n">
        <v>0</v>
      </c>
      <c r="K148" t="n">
        <v>0</v>
      </c>
      <c r="L148" t="n">
        <v>0</v>
      </c>
      <c r="M148" t="n">
        <v>0</v>
      </c>
      <c r="N148" t="n">
        <v>0</v>
      </c>
      <c r="O148" t="n">
        <v>0</v>
      </c>
      <c r="P148" t="n">
        <v>0</v>
      </c>
      <c r="Q148" t="n">
        <v>0</v>
      </c>
      <c r="R148" s="2" t="inlineStr"/>
    </row>
    <row r="149" ht="15" customHeight="1">
      <c r="A149" t="inlineStr">
        <is>
          <t>A 7250-2022</t>
        </is>
      </c>
      <c r="B149" s="1" t="n">
        <v>44606</v>
      </c>
      <c r="C149" s="1" t="n">
        <v>46084</v>
      </c>
      <c r="D149" t="inlineStr">
        <is>
          <t>SKÅNE LÄN</t>
        </is>
      </c>
      <c r="E149" t="inlineStr">
        <is>
          <t>HÄSSLEHOLM</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51895-2021</t>
        </is>
      </c>
      <c r="B150" s="1" t="n">
        <v>44462</v>
      </c>
      <c r="C150" s="1" t="n">
        <v>46084</v>
      </c>
      <c r="D150" t="inlineStr">
        <is>
          <t>SKÅNE LÄN</t>
        </is>
      </c>
      <c r="E150" t="inlineStr">
        <is>
          <t>HÄSSLEHOLM</t>
        </is>
      </c>
      <c r="G150" t="n">
        <v>5.7</v>
      </c>
      <c r="H150" t="n">
        <v>0</v>
      </c>
      <c r="I150" t="n">
        <v>0</v>
      </c>
      <c r="J150" t="n">
        <v>0</v>
      </c>
      <c r="K150" t="n">
        <v>0</v>
      </c>
      <c r="L150" t="n">
        <v>0</v>
      </c>
      <c r="M150" t="n">
        <v>0</v>
      </c>
      <c r="N150" t="n">
        <v>0</v>
      </c>
      <c r="O150" t="n">
        <v>0</v>
      </c>
      <c r="P150" t="n">
        <v>0</v>
      </c>
      <c r="Q150" t="n">
        <v>0</v>
      </c>
      <c r="R150" s="2" t="inlineStr"/>
    </row>
    <row r="151" ht="15" customHeight="1">
      <c r="A151" t="inlineStr">
        <is>
          <t>A 219-2022</t>
        </is>
      </c>
      <c r="B151" s="1" t="n">
        <v>44564</v>
      </c>
      <c r="C151" s="1" t="n">
        <v>46084</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52295-2021</t>
        </is>
      </c>
      <c r="B152" s="1" t="n">
        <v>44463</v>
      </c>
      <c r="C152" s="1" t="n">
        <v>46084</v>
      </c>
      <c r="D152" t="inlineStr">
        <is>
          <t>SKÅNE LÄN</t>
        </is>
      </c>
      <c r="E152" t="inlineStr">
        <is>
          <t>HÄSSLEHOLM</t>
        </is>
      </c>
      <c r="G152" t="n">
        <v>0.3</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44530.46730324074</v>
      </c>
      <c r="C153" s="1" t="n">
        <v>46084</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6048-2022</t>
        </is>
      </c>
      <c r="B154" s="1" t="n">
        <v>44599.5174537037</v>
      </c>
      <c r="C154" s="1" t="n">
        <v>46084</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55412-2022</t>
        </is>
      </c>
      <c r="B155" s="1" t="n">
        <v>44882</v>
      </c>
      <c r="C155" s="1" t="n">
        <v>46084</v>
      </c>
      <c r="D155" t="inlineStr">
        <is>
          <t>SKÅNE LÄN</t>
        </is>
      </c>
      <c r="E155" t="inlineStr">
        <is>
          <t>HÄSSLEHOLM</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53576-2022</t>
        </is>
      </c>
      <c r="B156" s="1" t="n">
        <v>44875</v>
      </c>
      <c r="C156" s="1" t="n">
        <v>46084</v>
      </c>
      <c r="D156" t="inlineStr">
        <is>
          <t>SKÅNE LÄN</t>
        </is>
      </c>
      <c r="E156" t="inlineStr">
        <is>
          <t>HÄSSLEHOLM</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6253-2022</t>
        </is>
      </c>
      <c r="B157" s="1" t="n">
        <v>44600</v>
      </c>
      <c r="C157" s="1" t="n">
        <v>46084</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23830-2021</t>
        </is>
      </c>
      <c r="B158" s="1" t="n">
        <v>44335</v>
      </c>
      <c r="C158" s="1" t="n">
        <v>46084</v>
      </c>
      <c r="D158" t="inlineStr">
        <is>
          <t>SKÅNE LÄN</t>
        </is>
      </c>
      <c r="E158" t="inlineStr">
        <is>
          <t>HÄSSLEHOLM</t>
        </is>
      </c>
      <c r="G158" t="n">
        <v>18.7</v>
      </c>
      <c r="H158" t="n">
        <v>0</v>
      </c>
      <c r="I158" t="n">
        <v>0</v>
      </c>
      <c r="J158" t="n">
        <v>0</v>
      </c>
      <c r="K158" t="n">
        <v>0</v>
      </c>
      <c r="L158" t="n">
        <v>0</v>
      </c>
      <c r="M158" t="n">
        <v>0</v>
      </c>
      <c r="N158" t="n">
        <v>0</v>
      </c>
      <c r="O158" t="n">
        <v>0</v>
      </c>
      <c r="P158" t="n">
        <v>0</v>
      </c>
      <c r="Q158" t="n">
        <v>0</v>
      </c>
      <c r="R158" s="2" t="inlineStr"/>
    </row>
    <row r="159" ht="15" customHeight="1">
      <c r="A159" t="inlineStr">
        <is>
          <t>A 11616-2021</t>
        </is>
      </c>
      <c r="B159" s="1" t="n">
        <v>44264.63064814815</v>
      </c>
      <c r="C159" s="1" t="n">
        <v>46084</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23956-2023</t>
        </is>
      </c>
      <c r="B160" s="1" t="n">
        <v>45078.62302083334</v>
      </c>
      <c r="C160" s="1" t="n">
        <v>46084</v>
      </c>
      <c r="D160" t="inlineStr">
        <is>
          <t>SKÅNE LÄN</t>
        </is>
      </c>
      <c r="E160" t="inlineStr">
        <is>
          <t>HÄSSLEHOLM</t>
        </is>
      </c>
      <c r="G160" t="n">
        <v>0.1</v>
      </c>
      <c r="H160" t="n">
        <v>0</v>
      </c>
      <c r="I160" t="n">
        <v>0</v>
      </c>
      <c r="J160" t="n">
        <v>0</v>
      </c>
      <c r="K160" t="n">
        <v>0</v>
      </c>
      <c r="L160" t="n">
        <v>0</v>
      </c>
      <c r="M160" t="n">
        <v>0</v>
      </c>
      <c r="N160" t="n">
        <v>0</v>
      </c>
      <c r="O160" t="n">
        <v>0</v>
      </c>
      <c r="P160" t="n">
        <v>0</v>
      </c>
      <c r="Q160" t="n">
        <v>0</v>
      </c>
      <c r="R160" s="2" t="inlineStr"/>
    </row>
    <row r="161" ht="15" customHeight="1">
      <c r="A161" t="inlineStr">
        <is>
          <t>A 51893-2021</t>
        </is>
      </c>
      <c r="B161" s="1" t="n">
        <v>44462</v>
      </c>
      <c r="C161" s="1" t="n">
        <v>46084</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55394-2022</t>
        </is>
      </c>
      <c r="B162" s="1" t="n">
        <v>44887.57112268519</v>
      </c>
      <c r="C162" s="1" t="n">
        <v>46084</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45357-2022</t>
        </is>
      </c>
      <c r="B163" s="1" t="n">
        <v>44844.61952546296</v>
      </c>
      <c r="C163" s="1" t="n">
        <v>46084</v>
      </c>
      <c r="D163" t="inlineStr">
        <is>
          <t>SKÅNE LÄN</t>
        </is>
      </c>
      <c r="E163" t="inlineStr">
        <is>
          <t>HÄSSLEHOLM</t>
        </is>
      </c>
      <c r="G163" t="n">
        <v>5.8</v>
      </c>
      <c r="H163" t="n">
        <v>0</v>
      </c>
      <c r="I163" t="n">
        <v>0</v>
      </c>
      <c r="J163" t="n">
        <v>0</v>
      </c>
      <c r="K163" t="n">
        <v>0</v>
      </c>
      <c r="L163" t="n">
        <v>0</v>
      </c>
      <c r="M163" t="n">
        <v>0</v>
      </c>
      <c r="N163" t="n">
        <v>0</v>
      </c>
      <c r="O163" t="n">
        <v>0</v>
      </c>
      <c r="P163" t="n">
        <v>0</v>
      </c>
      <c r="Q163" t="n">
        <v>0</v>
      </c>
      <c r="R163" s="2" t="inlineStr"/>
    </row>
    <row r="164" ht="15" customHeight="1">
      <c r="A164" t="inlineStr">
        <is>
          <t>A 45989-2021</t>
        </is>
      </c>
      <c r="B164" s="1" t="n">
        <v>44441.74627314815</v>
      </c>
      <c r="C164" s="1" t="n">
        <v>46084</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7262-2022</t>
        </is>
      </c>
      <c r="B165" s="1" t="n">
        <v>44606</v>
      </c>
      <c r="C165" s="1" t="n">
        <v>46084</v>
      </c>
      <c r="D165" t="inlineStr">
        <is>
          <t>SKÅNE LÄN</t>
        </is>
      </c>
      <c r="E165" t="inlineStr">
        <is>
          <t>HÄSSLEHOLM</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14674-2025</t>
        </is>
      </c>
      <c r="B166" s="1" t="n">
        <v>45742.55548611111</v>
      </c>
      <c r="C166" s="1" t="n">
        <v>46084</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14702-2025</t>
        </is>
      </c>
      <c r="B167" s="1" t="n">
        <v>45742.60403935185</v>
      </c>
      <c r="C167" s="1" t="n">
        <v>46084</v>
      </c>
      <c r="D167" t="inlineStr">
        <is>
          <t>SKÅNE LÄN</t>
        </is>
      </c>
      <c r="E167" t="inlineStr">
        <is>
          <t>HÄSSLEHOLM</t>
        </is>
      </c>
      <c r="G167" t="n">
        <v>1.8</v>
      </c>
      <c r="H167" t="n">
        <v>0</v>
      </c>
      <c r="I167" t="n">
        <v>0</v>
      </c>
      <c r="J167" t="n">
        <v>0</v>
      </c>
      <c r="K167" t="n">
        <v>0</v>
      </c>
      <c r="L167" t="n">
        <v>0</v>
      </c>
      <c r="M167" t="n">
        <v>0</v>
      </c>
      <c r="N167" t="n">
        <v>0</v>
      </c>
      <c r="O167" t="n">
        <v>0</v>
      </c>
      <c r="P167" t="n">
        <v>0</v>
      </c>
      <c r="Q167" t="n">
        <v>0</v>
      </c>
      <c r="R167" s="2" t="inlineStr"/>
    </row>
    <row r="168" ht="15" customHeight="1">
      <c r="A168" t="inlineStr">
        <is>
          <t>A 16388-2025</t>
        </is>
      </c>
      <c r="B168" s="1" t="n">
        <v>45751.42787037037</v>
      </c>
      <c r="C168" s="1" t="n">
        <v>46084</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23950-2023</t>
        </is>
      </c>
      <c r="B169" s="1" t="n">
        <v>45078.61771990741</v>
      </c>
      <c r="C169" s="1" t="n">
        <v>46084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23952-2023</t>
        </is>
      </c>
      <c r="B170" s="1" t="n">
        <v>45078.62064814815</v>
      </c>
      <c r="C170" s="1" t="n">
        <v>46084</v>
      </c>
      <c r="D170" t="inlineStr">
        <is>
          <t>SKÅNE LÄN</t>
        </is>
      </c>
      <c r="E170" t="inlineStr">
        <is>
          <t>HÄSSLEHOLM</t>
        </is>
      </c>
      <c r="G170" t="n">
        <v>0.4</v>
      </c>
      <c r="H170" t="n">
        <v>0</v>
      </c>
      <c r="I170" t="n">
        <v>0</v>
      </c>
      <c r="J170" t="n">
        <v>0</v>
      </c>
      <c r="K170" t="n">
        <v>0</v>
      </c>
      <c r="L170" t="n">
        <v>0</v>
      </c>
      <c r="M170" t="n">
        <v>0</v>
      </c>
      <c r="N170" t="n">
        <v>0</v>
      </c>
      <c r="O170" t="n">
        <v>0</v>
      </c>
      <c r="P170" t="n">
        <v>0</v>
      </c>
      <c r="Q170" t="n">
        <v>0</v>
      </c>
      <c r="R170" s="2" t="inlineStr"/>
    </row>
    <row r="171" ht="15" customHeight="1">
      <c r="A171" t="inlineStr">
        <is>
          <t>A 35974-2022</t>
        </is>
      </c>
      <c r="B171" s="1" t="n">
        <v>44802</v>
      </c>
      <c r="C171" s="1" t="n">
        <v>46084</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23003-2021</t>
        </is>
      </c>
      <c r="B172" s="1" t="n">
        <v>44328</v>
      </c>
      <c r="C172" s="1" t="n">
        <v>46084</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1619-2022</t>
        </is>
      </c>
      <c r="B173" s="1" t="n">
        <v>44573</v>
      </c>
      <c r="C173" s="1" t="n">
        <v>46084</v>
      </c>
      <c r="D173" t="inlineStr">
        <is>
          <t>SKÅNE LÄN</t>
        </is>
      </c>
      <c r="E173" t="inlineStr">
        <is>
          <t>HÄSSLEHOLM</t>
        </is>
      </c>
      <c r="G173" t="n">
        <v>1.8</v>
      </c>
      <c r="H173" t="n">
        <v>0</v>
      </c>
      <c r="I173" t="n">
        <v>0</v>
      </c>
      <c r="J173" t="n">
        <v>0</v>
      </c>
      <c r="K173" t="n">
        <v>0</v>
      </c>
      <c r="L173" t="n">
        <v>0</v>
      </c>
      <c r="M173" t="n">
        <v>0</v>
      </c>
      <c r="N173" t="n">
        <v>0</v>
      </c>
      <c r="O173" t="n">
        <v>0</v>
      </c>
      <c r="P173" t="n">
        <v>0</v>
      </c>
      <c r="Q173" t="n">
        <v>0</v>
      </c>
      <c r="R173" s="2" t="inlineStr"/>
    </row>
    <row r="174" ht="15" customHeight="1">
      <c r="A174" t="inlineStr">
        <is>
          <t>A 41874-2024</t>
        </is>
      </c>
      <c r="B174" s="1" t="n">
        <v>45561</v>
      </c>
      <c r="C174" s="1" t="n">
        <v>46084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5091-2022</t>
        </is>
      </c>
      <c r="B175" s="1" t="n">
        <v>44593.85114583333</v>
      </c>
      <c r="C175" s="1" t="n">
        <v>46084</v>
      </c>
      <c r="D175" t="inlineStr">
        <is>
          <t>SKÅNE LÄN</t>
        </is>
      </c>
      <c r="E175" t="inlineStr">
        <is>
          <t>HÄSSLEHOLM</t>
        </is>
      </c>
      <c r="G175" t="n">
        <v>2.5</v>
      </c>
      <c r="H175" t="n">
        <v>0</v>
      </c>
      <c r="I175" t="n">
        <v>0</v>
      </c>
      <c r="J175" t="n">
        <v>0</v>
      </c>
      <c r="K175" t="n">
        <v>0</v>
      </c>
      <c r="L175" t="n">
        <v>0</v>
      </c>
      <c r="M175" t="n">
        <v>0</v>
      </c>
      <c r="N175" t="n">
        <v>0</v>
      </c>
      <c r="O175" t="n">
        <v>0</v>
      </c>
      <c r="P175" t="n">
        <v>0</v>
      </c>
      <c r="Q175" t="n">
        <v>0</v>
      </c>
      <c r="R175" s="2" t="inlineStr"/>
    </row>
    <row r="176" ht="15" customHeight="1">
      <c r="A176" t="inlineStr">
        <is>
          <t>A 13811-2021</t>
        </is>
      </c>
      <c r="B176" s="1" t="n">
        <v>44276</v>
      </c>
      <c r="C176" s="1" t="n">
        <v>46084</v>
      </c>
      <c r="D176" t="inlineStr">
        <is>
          <t>SKÅNE LÄN</t>
        </is>
      </c>
      <c r="E176" t="inlineStr">
        <is>
          <t>HÄSSLEHOLM</t>
        </is>
      </c>
      <c r="G176" t="n">
        <v>8</v>
      </c>
      <c r="H176" t="n">
        <v>0</v>
      </c>
      <c r="I176" t="n">
        <v>0</v>
      </c>
      <c r="J176" t="n">
        <v>0</v>
      </c>
      <c r="K176" t="n">
        <v>0</v>
      </c>
      <c r="L176" t="n">
        <v>0</v>
      </c>
      <c r="M176" t="n">
        <v>0</v>
      </c>
      <c r="N176" t="n">
        <v>0</v>
      </c>
      <c r="O176" t="n">
        <v>0</v>
      </c>
      <c r="P176" t="n">
        <v>0</v>
      </c>
      <c r="Q176" t="n">
        <v>0</v>
      </c>
      <c r="R176" s="2" t="inlineStr"/>
    </row>
    <row r="177" ht="15" customHeight="1">
      <c r="A177" t="inlineStr">
        <is>
          <t>A 55284-2023</t>
        </is>
      </c>
      <c r="B177" s="1" t="n">
        <v>45237.74259259259</v>
      </c>
      <c r="C177" s="1" t="n">
        <v>46084</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46084</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46084</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64826-2021</t>
        </is>
      </c>
      <c r="B180" s="1" t="n">
        <v>44512.55935185185</v>
      </c>
      <c r="C180" s="1" t="n">
        <v>46084</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51888-2021</t>
        </is>
      </c>
      <c r="B181" s="1" t="n">
        <v>44462</v>
      </c>
      <c r="C181" s="1" t="n">
        <v>46084</v>
      </c>
      <c r="D181" t="inlineStr">
        <is>
          <t>SKÅNE LÄN</t>
        </is>
      </c>
      <c r="E181" t="inlineStr">
        <is>
          <t>HÄSSLEHOLM</t>
        </is>
      </c>
      <c r="G181" t="n">
        <v>5.6</v>
      </c>
      <c r="H181" t="n">
        <v>0</v>
      </c>
      <c r="I181" t="n">
        <v>0</v>
      </c>
      <c r="J181" t="n">
        <v>0</v>
      </c>
      <c r="K181" t="n">
        <v>0</v>
      </c>
      <c r="L181" t="n">
        <v>0</v>
      </c>
      <c r="M181" t="n">
        <v>0</v>
      </c>
      <c r="N181" t="n">
        <v>0</v>
      </c>
      <c r="O181" t="n">
        <v>0</v>
      </c>
      <c r="P181" t="n">
        <v>0</v>
      </c>
      <c r="Q181" t="n">
        <v>0</v>
      </c>
      <c r="R181" s="2" t="inlineStr"/>
    </row>
    <row r="182" ht="15" customHeight="1">
      <c r="A182" t="inlineStr">
        <is>
          <t>A 52786-2021</t>
        </is>
      </c>
      <c r="B182" s="1" t="n">
        <v>44467.36061342592</v>
      </c>
      <c r="C182" s="1" t="n">
        <v>46084</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23967-2022</t>
        </is>
      </c>
      <c r="B183" s="1" t="n">
        <v>44722.74079861111</v>
      </c>
      <c r="C183" s="1" t="n">
        <v>46084</v>
      </c>
      <c r="D183" t="inlineStr">
        <is>
          <t>SKÅNE LÄN</t>
        </is>
      </c>
      <c r="E183" t="inlineStr">
        <is>
          <t>HÄSSLEHOLM</t>
        </is>
      </c>
      <c r="F183" t="inlineStr">
        <is>
          <t>Kyrkan</t>
        </is>
      </c>
      <c r="G183" t="n">
        <v>12.4</v>
      </c>
      <c r="H183" t="n">
        <v>0</v>
      </c>
      <c r="I183" t="n">
        <v>0</v>
      </c>
      <c r="J183" t="n">
        <v>0</v>
      </c>
      <c r="K183" t="n">
        <v>0</v>
      </c>
      <c r="L183" t="n">
        <v>0</v>
      </c>
      <c r="M183" t="n">
        <v>0</v>
      </c>
      <c r="N183" t="n">
        <v>0</v>
      </c>
      <c r="O183" t="n">
        <v>0</v>
      </c>
      <c r="P183" t="n">
        <v>0</v>
      </c>
      <c r="Q183" t="n">
        <v>0</v>
      </c>
      <c r="R183" s="2" t="inlineStr"/>
    </row>
    <row r="184" ht="15" customHeight="1">
      <c r="A184" t="inlineStr">
        <is>
          <t>A 29143-2021</t>
        </is>
      </c>
      <c r="B184" s="1" t="n">
        <v>44358.6319212963</v>
      </c>
      <c r="C184" s="1" t="n">
        <v>46084</v>
      </c>
      <c r="D184" t="inlineStr">
        <is>
          <t>SKÅNE LÄN</t>
        </is>
      </c>
      <c r="E184" t="inlineStr">
        <is>
          <t>HÄSSLEHOLM</t>
        </is>
      </c>
      <c r="G184" t="n">
        <v>2.9</v>
      </c>
      <c r="H184" t="n">
        <v>0</v>
      </c>
      <c r="I184" t="n">
        <v>0</v>
      </c>
      <c r="J184" t="n">
        <v>0</v>
      </c>
      <c r="K184" t="n">
        <v>0</v>
      </c>
      <c r="L184" t="n">
        <v>0</v>
      </c>
      <c r="M184" t="n">
        <v>0</v>
      </c>
      <c r="N184" t="n">
        <v>0</v>
      </c>
      <c r="O184" t="n">
        <v>0</v>
      </c>
      <c r="P184" t="n">
        <v>0</v>
      </c>
      <c r="Q184" t="n">
        <v>0</v>
      </c>
      <c r="R184" s="2" t="inlineStr"/>
    </row>
    <row r="185" ht="15" customHeight="1">
      <c r="A185" t="inlineStr">
        <is>
          <t>A 8177-2022</t>
        </is>
      </c>
      <c r="B185" s="1" t="n">
        <v>44607</v>
      </c>
      <c r="C185" s="1" t="n">
        <v>46084</v>
      </c>
      <c r="D185" t="inlineStr">
        <is>
          <t>SKÅNE LÄN</t>
        </is>
      </c>
      <c r="E185" t="inlineStr">
        <is>
          <t>HÄSSLEHOLM</t>
        </is>
      </c>
      <c r="F185" t="inlineStr">
        <is>
          <t>Kyrkan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25464-2022</t>
        </is>
      </c>
      <c r="B186" s="1" t="n">
        <v>44729</v>
      </c>
      <c r="C186" s="1" t="n">
        <v>46084</v>
      </c>
      <c r="D186" t="inlineStr">
        <is>
          <t>SKÅNE LÄN</t>
        </is>
      </c>
      <c r="E186" t="inlineStr">
        <is>
          <t>HÄSSLEHOLM</t>
        </is>
      </c>
      <c r="G186" t="n">
        <v>21</v>
      </c>
      <c r="H186" t="n">
        <v>0</v>
      </c>
      <c r="I186" t="n">
        <v>0</v>
      </c>
      <c r="J186" t="n">
        <v>0</v>
      </c>
      <c r="K186" t="n">
        <v>0</v>
      </c>
      <c r="L186" t="n">
        <v>0</v>
      </c>
      <c r="M186" t="n">
        <v>0</v>
      </c>
      <c r="N186" t="n">
        <v>0</v>
      </c>
      <c r="O186" t="n">
        <v>0</v>
      </c>
      <c r="P186" t="n">
        <v>0</v>
      </c>
      <c r="Q186" t="n">
        <v>0</v>
      </c>
      <c r="R186" s="2" t="inlineStr"/>
    </row>
    <row r="187" ht="15" customHeight="1">
      <c r="A187" t="inlineStr">
        <is>
          <t>A 60848-2022</t>
        </is>
      </c>
      <c r="B187" s="1" t="n">
        <v>44914</v>
      </c>
      <c r="C187" s="1" t="n">
        <v>46084</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44669-2022</t>
        </is>
      </c>
      <c r="B188" s="1" t="n">
        <v>44840</v>
      </c>
      <c r="C188" s="1" t="n">
        <v>46084</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26386-2022</t>
        </is>
      </c>
      <c r="B189" s="1" t="n">
        <v>44735.6803125</v>
      </c>
      <c r="C189" s="1" t="n">
        <v>46084</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6164-2023</t>
        </is>
      </c>
      <c r="B190" s="1" t="n">
        <v>44964.66871527778</v>
      </c>
      <c r="C190" s="1" t="n">
        <v>46084</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30344-2022</t>
        </is>
      </c>
      <c r="B191" s="1" t="n">
        <v>44760.50783564815</v>
      </c>
      <c r="C191" s="1" t="n">
        <v>46084</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25469-2022</t>
        </is>
      </c>
      <c r="B192" s="1" t="n">
        <v>44732</v>
      </c>
      <c r="C192" s="1" t="n">
        <v>46084</v>
      </c>
      <c r="D192" t="inlineStr">
        <is>
          <t>SKÅNE LÄN</t>
        </is>
      </c>
      <c r="E192" t="inlineStr">
        <is>
          <t>HÄSSLEHOLM</t>
        </is>
      </c>
      <c r="G192" t="n">
        <v>4.2</v>
      </c>
      <c r="H192" t="n">
        <v>0</v>
      </c>
      <c r="I192" t="n">
        <v>0</v>
      </c>
      <c r="J192" t="n">
        <v>0</v>
      </c>
      <c r="K192" t="n">
        <v>0</v>
      </c>
      <c r="L192" t="n">
        <v>0</v>
      </c>
      <c r="M192" t="n">
        <v>0</v>
      </c>
      <c r="N192" t="n">
        <v>0</v>
      </c>
      <c r="O192" t="n">
        <v>0</v>
      </c>
      <c r="P192" t="n">
        <v>0</v>
      </c>
      <c r="Q192" t="n">
        <v>0</v>
      </c>
      <c r="R192" s="2" t="inlineStr"/>
    </row>
    <row r="193" ht="15" customHeight="1">
      <c r="A193" t="inlineStr">
        <is>
          <t>A 25788-2021</t>
        </is>
      </c>
      <c r="B193" s="1" t="n">
        <v>44343</v>
      </c>
      <c r="C193" s="1" t="n">
        <v>46084</v>
      </c>
      <c r="D193" t="inlineStr">
        <is>
          <t>SKÅNE LÄN</t>
        </is>
      </c>
      <c r="E193" t="inlineStr">
        <is>
          <t>HÄSSLEHOLM</t>
        </is>
      </c>
      <c r="G193" t="n">
        <v>4.8</v>
      </c>
      <c r="H193" t="n">
        <v>0</v>
      </c>
      <c r="I193" t="n">
        <v>0</v>
      </c>
      <c r="J193" t="n">
        <v>0</v>
      </c>
      <c r="K193" t="n">
        <v>0</v>
      </c>
      <c r="L193" t="n">
        <v>0</v>
      </c>
      <c r="M193" t="n">
        <v>0</v>
      </c>
      <c r="N193" t="n">
        <v>0</v>
      </c>
      <c r="O193" t="n">
        <v>0</v>
      </c>
      <c r="P193" t="n">
        <v>0</v>
      </c>
      <c r="Q193" t="n">
        <v>0</v>
      </c>
      <c r="R193" s="2" t="inlineStr"/>
    </row>
    <row r="194" ht="15" customHeight="1">
      <c r="A194" t="inlineStr">
        <is>
          <t>A 73513-2021</t>
        </is>
      </c>
      <c r="B194" s="1" t="n">
        <v>44551.69012731482</v>
      </c>
      <c r="C194" s="1" t="n">
        <v>46084</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56527-2021</t>
        </is>
      </c>
      <c r="B195" s="1" t="n">
        <v>44480</v>
      </c>
      <c r="C195" s="1" t="n">
        <v>46084</v>
      </c>
      <c r="D195" t="inlineStr">
        <is>
          <t>SKÅNE LÄN</t>
        </is>
      </c>
      <c r="E195" t="inlineStr">
        <is>
          <t>HÄSSLEHOLM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7890-2024</t>
        </is>
      </c>
      <c r="B196" s="1" t="n">
        <v>45350.40780092592</v>
      </c>
      <c r="C196" s="1" t="n">
        <v>46084</v>
      </c>
      <c r="D196" t="inlineStr">
        <is>
          <t>SKÅNE LÄN</t>
        </is>
      </c>
      <c r="E196" t="inlineStr">
        <is>
          <t>HÄSSLEHOLM</t>
        </is>
      </c>
      <c r="G196" t="n">
        <v>1.4</v>
      </c>
      <c r="H196" t="n">
        <v>0</v>
      </c>
      <c r="I196" t="n">
        <v>0</v>
      </c>
      <c r="J196" t="n">
        <v>0</v>
      </c>
      <c r="K196" t="n">
        <v>0</v>
      </c>
      <c r="L196" t="n">
        <v>0</v>
      </c>
      <c r="M196" t="n">
        <v>0</v>
      </c>
      <c r="N196" t="n">
        <v>0</v>
      </c>
      <c r="O196" t="n">
        <v>0</v>
      </c>
      <c r="P196" t="n">
        <v>0</v>
      </c>
      <c r="Q196" t="n">
        <v>0</v>
      </c>
      <c r="R196" s="2" t="inlineStr"/>
    </row>
    <row r="197" ht="15" customHeight="1">
      <c r="A197" t="inlineStr">
        <is>
          <t>A 45392-2024</t>
        </is>
      </c>
      <c r="B197" s="1" t="n">
        <v>45576.55008101852</v>
      </c>
      <c r="C197" s="1" t="n">
        <v>46084</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16454-2023</t>
        </is>
      </c>
      <c r="B198" s="1" t="n">
        <v>45029.48425925926</v>
      </c>
      <c r="C198" s="1" t="n">
        <v>46084</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3992-2022</t>
        </is>
      </c>
      <c r="B199" s="1" t="n">
        <v>44587</v>
      </c>
      <c r="C199" s="1" t="n">
        <v>46084</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17335-2024</t>
        </is>
      </c>
      <c r="B200" s="1" t="n">
        <v>45414.5687962963</v>
      </c>
      <c r="C200" s="1" t="n">
        <v>46084</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7153-2025</t>
        </is>
      </c>
      <c r="B201" s="1" t="n">
        <v>45702.38512731482</v>
      </c>
      <c r="C201" s="1" t="n">
        <v>46084</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24246-2023</t>
        </is>
      </c>
      <c r="B202" s="1" t="n">
        <v>45079</v>
      </c>
      <c r="C202" s="1" t="n">
        <v>46084</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24249-2023</t>
        </is>
      </c>
      <c r="B203" s="1" t="n">
        <v>45079.62466435185</v>
      </c>
      <c r="C203" s="1" t="n">
        <v>46084</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2858-2022</t>
        </is>
      </c>
      <c r="B204" s="1" t="n">
        <v>44581</v>
      </c>
      <c r="C204" s="1" t="n">
        <v>46084</v>
      </c>
      <c r="D204" t="inlineStr">
        <is>
          <t>SKÅNE LÄN</t>
        </is>
      </c>
      <c r="E204" t="inlineStr">
        <is>
          <t>HÄSSLEHOLM</t>
        </is>
      </c>
      <c r="F204" t="inlineStr">
        <is>
          <t>Övriga Aktiebolag</t>
        </is>
      </c>
      <c r="G204" t="n">
        <v>1.3</v>
      </c>
      <c r="H204" t="n">
        <v>0</v>
      </c>
      <c r="I204" t="n">
        <v>0</v>
      </c>
      <c r="J204" t="n">
        <v>0</v>
      </c>
      <c r="K204" t="n">
        <v>0</v>
      </c>
      <c r="L204" t="n">
        <v>0</v>
      </c>
      <c r="M204" t="n">
        <v>0</v>
      </c>
      <c r="N204" t="n">
        <v>0</v>
      </c>
      <c r="O204" t="n">
        <v>0</v>
      </c>
      <c r="P204" t="n">
        <v>0</v>
      </c>
      <c r="Q204" t="n">
        <v>0</v>
      </c>
      <c r="R204" s="2" t="inlineStr"/>
    </row>
    <row r="205" ht="15" customHeight="1">
      <c r="A205" t="inlineStr">
        <is>
          <t>A 31989-2024</t>
        </is>
      </c>
      <c r="B205" s="1" t="n">
        <v>45510.58085648148</v>
      </c>
      <c r="C205" s="1" t="n">
        <v>46084</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1120-2024</t>
        </is>
      </c>
      <c r="B206" s="1" t="n">
        <v>45302.4452662037</v>
      </c>
      <c r="C206" s="1" t="n">
        <v>46084</v>
      </c>
      <c r="D206" t="inlineStr">
        <is>
          <t>SKÅNE LÄN</t>
        </is>
      </c>
      <c r="E206" t="inlineStr">
        <is>
          <t>HÄSSLEHOLM</t>
        </is>
      </c>
      <c r="G206" t="n">
        <v>2.7</v>
      </c>
      <c r="H206" t="n">
        <v>0</v>
      </c>
      <c r="I206" t="n">
        <v>0</v>
      </c>
      <c r="J206" t="n">
        <v>0</v>
      </c>
      <c r="K206" t="n">
        <v>0</v>
      </c>
      <c r="L206" t="n">
        <v>0</v>
      </c>
      <c r="M206" t="n">
        <v>0</v>
      </c>
      <c r="N206" t="n">
        <v>0</v>
      </c>
      <c r="O206" t="n">
        <v>0</v>
      </c>
      <c r="P206" t="n">
        <v>0</v>
      </c>
      <c r="Q206" t="n">
        <v>0</v>
      </c>
      <c r="R206" s="2" t="inlineStr"/>
    </row>
    <row r="207" ht="15" customHeight="1">
      <c r="A207" t="inlineStr">
        <is>
          <t>A 27959-2022</t>
        </is>
      </c>
      <c r="B207" s="1" t="n">
        <v>44744</v>
      </c>
      <c r="C207" s="1" t="n">
        <v>46084</v>
      </c>
      <c r="D207" t="inlineStr">
        <is>
          <t>SKÅNE LÄN</t>
        </is>
      </c>
      <c r="E207" t="inlineStr">
        <is>
          <t>HÄSSLEHOLM</t>
        </is>
      </c>
      <c r="G207" t="n">
        <v>3</v>
      </c>
      <c r="H207" t="n">
        <v>0</v>
      </c>
      <c r="I207" t="n">
        <v>0</v>
      </c>
      <c r="J207" t="n">
        <v>0</v>
      </c>
      <c r="K207" t="n">
        <v>0</v>
      </c>
      <c r="L207" t="n">
        <v>0</v>
      </c>
      <c r="M207" t="n">
        <v>0</v>
      </c>
      <c r="N207" t="n">
        <v>0</v>
      </c>
      <c r="O207" t="n">
        <v>0</v>
      </c>
      <c r="P207" t="n">
        <v>0</v>
      </c>
      <c r="Q207" t="n">
        <v>0</v>
      </c>
      <c r="R207" s="2" t="inlineStr"/>
    </row>
    <row r="208" ht="15" customHeight="1">
      <c r="A208" t="inlineStr">
        <is>
          <t>A 60973-2024</t>
        </is>
      </c>
      <c r="B208" s="1" t="n">
        <v>45644</v>
      </c>
      <c r="C208" s="1" t="n">
        <v>46084</v>
      </c>
      <c r="D208" t="inlineStr">
        <is>
          <t>SKÅNE LÄN</t>
        </is>
      </c>
      <c r="E208" t="inlineStr">
        <is>
          <t>HÄSSLEHOLM</t>
        </is>
      </c>
      <c r="G208" t="n">
        <v>3.6</v>
      </c>
      <c r="H208" t="n">
        <v>0</v>
      </c>
      <c r="I208" t="n">
        <v>0</v>
      </c>
      <c r="J208" t="n">
        <v>0</v>
      </c>
      <c r="K208" t="n">
        <v>0</v>
      </c>
      <c r="L208" t="n">
        <v>0</v>
      </c>
      <c r="M208" t="n">
        <v>0</v>
      </c>
      <c r="N208" t="n">
        <v>0</v>
      </c>
      <c r="O208" t="n">
        <v>0</v>
      </c>
      <c r="P208" t="n">
        <v>0</v>
      </c>
      <c r="Q208" t="n">
        <v>0</v>
      </c>
      <c r="R208" s="2" t="inlineStr"/>
    </row>
    <row r="209" ht="15" customHeight="1">
      <c r="A209" t="inlineStr">
        <is>
          <t>A 48771-2024</t>
        </is>
      </c>
      <c r="B209" s="1" t="n">
        <v>45593.61284722222</v>
      </c>
      <c r="C209" s="1" t="n">
        <v>46084</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12344-2023</t>
        </is>
      </c>
      <c r="B210" s="1" t="n">
        <v>44999</v>
      </c>
      <c r="C210" s="1" t="n">
        <v>46084</v>
      </c>
      <c r="D210" t="inlineStr">
        <is>
          <t>SKÅNE LÄN</t>
        </is>
      </c>
      <c r="E210" t="inlineStr">
        <is>
          <t>HÄSSLEHOLM</t>
        </is>
      </c>
      <c r="G210" t="n">
        <v>2.4</v>
      </c>
      <c r="H210" t="n">
        <v>0</v>
      </c>
      <c r="I210" t="n">
        <v>0</v>
      </c>
      <c r="J210" t="n">
        <v>0</v>
      </c>
      <c r="K210" t="n">
        <v>0</v>
      </c>
      <c r="L210" t="n">
        <v>0</v>
      </c>
      <c r="M210" t="n">
        <v>0</v>
      </c>
      <c r="N210" t="n">
        <v>0</v>
      </c>
      <c r="O210" t="n">
        <v>0</v>
      </c>
      <c r="P210" t="n">
        <v>0</v>
      </c>
      <c r="Q210" t="n">
        <v>0</v>
      </c>
      <c r="R210" s="2" t="inlineStr"/>
    </row>
    <row r="211" ht="15" customHeight="1">
      <c r="A211" t="inlineStr">
        <is>
          <t>A 27478-2023</t>
        </is>
      </c>
      <c r="B211" s="1" t="n">
        <v>45092</v>
      </c>
      <c r="C211" s="1" t="n">
        <v>46084</v>
      </c>
      <c r="D211" t="inlineStr">
        <is>
          <t>SKÅNE LÄN</t>
        </is>
      </c>
      <c r="E211" t="inlineStr">
        <is>
          <t>HÄSSLEHOLM</t>
        </is>
      </c>
      <c r="G211" t="n">
        <v>0.8</v>
      </c>
      <c r="H211" t="n">
        <v>0</v>
      </c>
      <c r="I211" t="n">
        <v>0</v>
      </c>
      <c r="J211" t="n">
        <v>0</v>
      </c>
      <c r="K211" t="n">
        <v>0</v>
      </c>
      <c r="L211" t="n">
        <v>0</v>
      </c>
      <c r="M211" t="n">
        <v>0</v>
      </c>
      <c r="N211" t="n">
        <v>0</v>
      </c>
      <c r="O211" t="n">
        <v>0</v>
      </c>
      <c r="P211" t="n">
        <v>0</v>
      </c>
      <c r="Q211" t="n">
        <v>0</v>
      </c>
      <c r="R211" s="2" t="inlineStr"/>
    </row>
    <row r="212" ht="15" customHeight="1">
      <c r="A212" t="inlineStr">
        <is>
          <t>A 37898-2021</t>
        </is>
      </c>
      <c r="B212" s="1" t="n">
        <v>44403</v>
      </c>
      <c r="C212" s="1" t="n">
        <v>46084</v>
      </c>
      <c r="D212" t="inlineStr">
        <is>
          <t>SKÅNE LÄN</t>
        </is>
      </c>
      <c r="E212" t="inlineStr">
        <is>
          <t>HÄSSLEHOLM</t>
        </is>
      </c>
      <c r="F212" t="inlineStr">
        <is>
          <t>Kommuner</t>
        </is>
      </c>
      <c r="G212" t="n">
        <v>8.4</v>
      </c>
      <c r="H212" t="n">
        <v>0</v>
      </c>
      <c r="I212" t="n">
        <v>0</v>
      </c>
      <c r="J212" t="n">
        <v>0</v>
      </c>
      <c r="K212" t="n">
        <v>0</v>
      </c>
      <c r="L212" t="n">
        <v>0</v>
      </c>
      <c r="M212" t="n">
        <v>0</v>
      </c>
      <c r="N212" t="n">
        <v>0</v>
      </c>
      <c r="O212" t="n">
        <v>0</v>
      </c>
      <c r="P212" t="n">
        <v>0</v>
      </c>
      <c r="Q212" t="n">
        <v>0</v>
      </c>
      <c r="R212" s="2" t="inlineStr"/>
    </row>
    <row r="213" ht="15" customHeight="1">
      <c r="A213" t="inlineStr">
        <is>
          <t>A 26641-2023</t>
        </is>
      </c>
      <c r="B213" s="1" t="n">
        <v>45092.89619212963</v>
      </c>
      <c r="C213" s="1" t="n">
        <v>46084</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61197-2024</t>
        </is>
      </c>
      <c r="B214" s="1" t="n">
        <v>45645.63184027778</v>
      </c>
      <c r="C214" s="1" t="n">
        <v>46084</v>
      </c>
      <c r="D214" t="inlineStr">
        <is>
          <t>SKÅNE LÄN</t>
        </is>
      </c>
      <c r="E214" t="inlineStr">
        <is>
          <t>HÄSSLEHOLM</t>
        </is>
      </c>
      <c r="G214" t="n">
        <v>0.8</v>
      </c>
      <c r="H214" t="n">
        <v>0</v>
      </c>
      <c r="I214" t="n">
        <v>0</v>
      </c>
      <c r="J214" t="n">
        <v>0</v>
      </c>
      <c r="K214" t="n">
        <v>0</v>
      </c>
      <c r="L214" t="n">
        <v>0</v>
      </c>
      <c r="M214" t="n">
        <v>0</v>
      </c>
      <c r="N214" t="n">
        <v>0</v>
      </c>
      <c r="O214" t="n">
        <v>0</v>
      </c>
      <c r="P214" t="n">
        <v>0</v>
      </c>
      <c r="Q214" t="n">
        <v>0</v>
      </c>
      <c r="R214" s="2" t="inlineStr"/>
    </row>
    <row r="215" ht="15" customHeight="1">
      <c r="A215" t="inlineStr">
        <is>
          <t>A 6165-2023</t>
        </is>
      </c>
      <c r="B215" s="1" t="n">
        <v>44964.67114583333</v>
      </c>
      <c r="C215" s="1" t="n">
        <v>46084</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33938-2023</t>
        </is>
      </c>
      <c r="B216" s="1" t="n">
        <v>45124</v>
      </c>
      <c r="C216" s="1" t="n">
        <v>46084</v>
      </c>
      <c r="D216" t="inlineStr">
        <is>
          <t>SKÅNE LÄN</t>
        </is>
      </c>
      <c r="E216" t="inlineStr">
        <is>
          <t>HÄSSLEHOLM</t>
        </is>
      </c>
      <c r="G216" t="n">
        <v>1.8</v>
      </c>
      <c r="H216" t="n">
        <v>0</v>
      </c>
      <c r="I216" t="n">
        <v>0</v>
      </c>
      <c r="J216" t="n">
        <v>0</v>
      </c>
      <c r="K216" t="n">
        <v>0</v>
      </c>
      <c r="L216" t="n">
        <v>0</v>
      </c>
      <c r="M216" t="n">
        <v>0</v>
      </c>
      <c r="N216" t="n">
        <v>0</v>
      </c>
      <c r="O216" t="n">
        <v>0</v>
      </c>
      <c r="P216" t="n">
        <v>0</v>
      </c>
      <c r="Q216" t="n">
        <v>0</v>
      </c>
      <c r="R216" s="2" t="inlineStr"/>
    </row>
    <row r="217" ht="15" customHeight="1">
      <c r="A217" t="inlineStr">
        <is>
          <t>A 61533-2022</t>
        </is>
      </c>
      <c r="B217" s="1" t="n">
        <v>44910</v>
      </c>
      <c r="C217" s="1" t="n">
        <v>46084</v>
      </c>
      <c r="D217" t="inlineStr">
        <is>
          <t>SKÅNE LÄN</t>
        </is>
      </c>
      <c r="E217" t="inlineStr">
        <is>
          <t>HÄSSLEHOLM</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677-2024</t>
        </is>
      </c>
      <c r="B218" s="1" t="n">
        <v>45300</v>
      </c>
      <c r="C218" s="1" t="n">
        <v>46084</v>
      </c>
      <c r="D218" t="inlineStr">
        <is>
          <t>SKÅNE LÄN</t>
        </is>
      </c>
      <c r="E218" t="inlineStr">
        <is>
          <t>HÄSSLEHOLM</t>
        </is>
      </c>
      <c r="G218" t="n">
        <v>6.8</v>
      </c>
      <c r="H218" t="n">
        <v>0</v>
      </c>
      <c r="I218" t="n">
        <v>0</v>
      </c>
      <c r="J218" t="n">
        <v>0</v>
      </c>
      <c r="K218" t="n">
        <v>0</v>
      </c>
      <c r="L218" t="n">
        <v>0</v>
      </c>
      <c r="M218" t="n">
        <v>0</v>
      </c>
      <c r="N218" t="n">
        <v>0</v>
      </c>
      <c r="O218" t="n">
        <v>0</v>
      </c>
      <c r="P218" t="n">
        <v>0</v>
      </c>
      <c r="Q218" t="n">
        <v>0</v>
      </c>
      <c r="R218" s="2" t="inlineStr"/>
    </row>
    <row r="219" ht="15" customHeight="1">
      <c r="A219" t="inlineStr">
        <is>
          <t>A 16397-2022</t>
        </is>
      </c>
      <c r="B219" s="1" t="n">
        <v>44671</v>
      </c>
      <c r="C219" s="1" t="n">
        <v>46084</v>
      </c>
      <c r="D219" t="inlineStr">
        <is>
          <t>SKÅNE LÄN</t>
        </is>
      </c>
      <c r="E219" t="inlineStr">
        <is>
          <t>HÄSSLEHOLM</t>
        </is>
      </c>
      <c r="G219" t="n">
        <v>2.7</v>
      </c>
      <c r="H219" t="n">
        <v>0</v>
      </c>
      <c r="I219" t="n">
        <v>0</v>
      </c>
      <c r="J219" t="n">
        <v>0</v>
      </c>
      <c r="K219" t="n">
        <v>0</v>
      </c>
      <c r="L219" t="n">
        <v>0</v>
      </c>
      <c r="M219" t="n">
        <v>0</v>
      </c>
      <c r="N219" t="n">
        <v>0</v>
      </c>
      <c r="O219" t="n">
        <v>0</v>
      </c>
      <c r="P219" t="n">
        <v>0</v>
      </c>
      <c r="Q219" t="n">
        <v>0</v>
      </c>
      <c r="R219" s="2" t="inlineStr"/>
    </row>
    <row r="220" ht="15" customHeight="1">
      <c r="A220" t="inlineStr">
        <is>
          <t>A 16398-2022</t>
        </is>
      </c>
      <c r="B220" s="1" t="n">
        <v>44671</v>
      </c>
      <c r="C220" s="1" t="n">
        <v>46084</v>
      </c>
      <c r="D220" t="inlineStr">
        <is>
          <t>SKÅNE LÄN</t>
        </is>
      </c>
      <c r="E220" t="inlineStr">
        <is>
          <t>HÄSSLEHOLM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4512-2024</t>
        </is>
      </c>
      <c r="B221" s="1" t="n">
        <v>45327.6312962963</v>
      </c>
      <c r="C221" s="1" t="n">
        <v>46084</v>
      </c>
      <c r="D221" t="inlineStr">
        <is>
          <t>SKÅNE LÄN</t>
        </is>
      </c>
      <c r="E221" t="inlineStr">
        <is>
          <t>HÄSSLEHOLM</t>
        </is>
      </c>
      <c r="G221" t="n">
        <v>2</v>
      </c>
      <c r="H221" t="n">
        <v>0</v>
      </c>
      <c r="I221" t="n">
        <v>0</v>
      </c>
      <c r="J221" t="n">
        <v>0</v>
      </c>
      <c r="K221" t="n">
        <v>0</v>
      </c>
      <c r="L221" t="n">
        <v>0</v>
      </c>
      <c r="M221" t="n">
        <v>0</v>
      </c>
      <c r="N221" t="n">
        <v>0</v>
      </c>
      <c r="O221" t="n">
        <v>0</v>
      </c>
      <c r="P221" t="n">
        <v>0</v>
      </c>
      <c r="Q221" t="n">
        <v>0</v>
      </c>
      <c r="R221" s="2" t="inlineStr"/>
    </row>
    <row r="222" ht="15" customHeight="1">
      <c r="A222" t="inlineStr">
        <is>
          <t>A 15512-2025</t>
        </is>
      </c>
      <c r="B222" s="1" t="n">
        <v>45747</v>
      </c>
      <c r="C222" s="1" t="n">
        <v>46084</v>
      </c>
      <c r="D222" t="inlineStr">
        <is>
          <t>SKÅNE LÄN</t>
        </is>
      </c>
      <c r="E222" t="inlineStr">
        <is>
          <t>HÄSSLEHOLM</t>
        </is>
      </c>
      <c r="G222" t="n">
        <v>3.5</v>
      </c>
      <c r="H222" t="n">
        <v>0</v>
      </c>
      <c r="I222" t="n">
        <v>0</v>
      </c>
      <c r="J222" t="n">
        <v>0</v>
      </c>
      <c r="K222" t="n">
        <v>0</v>
      </c>
      <c r="L222" t="n">
        <v>0</v>
      </c>
      <c r="M222" t="n">
        <v>0</v>
      </c>
      <c r="N222" t="n">
        <v>0</v>
      </c>
      <c r="O222" t="n">
        <v>0</v>
      </c>
      <c r="P222" t="n">
        <v>0</v>
      </c>
      <c r="Q222" t="n">
        <v>0</v>
      </c>
      <c r="R222" s="2" t="inlineStr"/>
    </row>
    <row r="223" ht="15" customHeight="1">
      <c r="A223" t="inlineStr">
        <is>
          <t>A 20872-2025</t>
        </is>
      </c>
      <c r="B223" s="1" t="n">
        <v>45777.34688657407</v>
      </c>
      <c r="C223" s="1" t="n">
        <v>46084</v>
      </c>
      <c r="D223" t="inlineStr">
        <is>
          <t>SKÅNE LÄN</t>
        </is>
      </c>
      <c r="E223" t="inlineStr">
        <is>
          <t>HÄSSLEHOLM</t>
        </is>
      </c>
      <c r="G223" t="n">
        <v>1.5</v>
      </c>
      <c r="H223" t="n">
        <v>0</v>
      </c>
      <c r="I223" t="n">
        <v>0</v>
      </c>
      <c r="J223" t="n">
        <v>0</v>
      </c>
      <c r="K223" t="n">
        <v>0</v>
      </c>
      <c r="L223" t="n">
        <v>0</v>
      </c>
      <c r="M223" t="n">
        <v>0</v>
      </c>
      <c r="N223" t="n">
        <v>0</v>
      </c>
      <c r="O223" t="n">
        <v>0</v>
      </c>
      <c r="P223" t="n">
        <v>0</v>
      </c>
      <c r="Q223" t="n">
        <v>0</v>
      </c>
      <c r="R223" s="2" t="inlineStr"/>
    </row>
    <row r="224" ht="15" customHeight="1">
      <c r="A224" t="inlineStr">
        <is>
          <t>A 24241-2023</t>
        </is>
      </c>
      <c r="B224" s="1" t="n">
        <v>45079.61476851852</v>
      </c>
      <c r="C224" s="1" t="n">
        <v>46084</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39044-2024</t>
        </is>
      </c>
      <c r="B225" s="1" t="n">
        <v>45548.47707175926</v>
      </c>
      <c r="C225" s="1" t="n">
        <v>46084</v>
      </c>
      <c r="D225" t="inlineStr">
        <is>
          <t>SKÅNE LÄN</t>
        </is>
      </c>
      <c r="E225" t="inlineStr">
        <is>
          <t>HÄSSLEHOLM</t>
        </is>
      </c>
      <c r="G225" t="n">
        <v>2.8</v>
      </c>
      <c r="H225" t="n">
        <v>0</v>
      </c>
      <c r="I225" t="n">
        <v>0</v>
      </c>
      <c r="J225" t="n">
        <v>0</v>
      </c>
      <c r="K225" t="n">
        <v>0</v>
      </c>
      <c r="L225" t="n">
        <v>0</v>
      </c>
      <c r="M225" t="n">
        <v>0</v>
      </c>
      <c r="N225" t="n">
        <v>0</v>
      </c>
      <c r="O225" t="n">
        <v>0</v>
      </c>
      <c r="P225" t="n">
        <v>0</v>
      </c>
      <c r="Q225" t="n">
        <v>0</v>
      </c>
      <c r="R225" s="2" t="inlineStr"/>
    </row>
    <row r="226" ht="15" customHeight="1">
      <c r="A226" t="inlineStr">
        <is>
          <t>A 29994-2023</t>
        </is>
      </c>
      <c r="B226" s="1" t="n">
        <v>45109.60038194444</v>
      </c>
      <c r="C226" s="1" t="n">
        <v>46084</v>
      </c>
      <c r="D226" t="inlineStr">
        <is>
          <t>SKÅNE LÄN</t>
        </is>
      </c>
      <c r="E226" t="inlineStr">
        <is>
          <t>HÄSSLEHOLM</t>
        </is>
      </c>
      <c r="G226" t="n">
        <v>2.8</v>
      </c>
      <c r="H226" t="n">
        <v>0</v>
      </c>
      <c r="I226" t="n">
        <v>0</v>
      </c>
      <c r="J226" t="n">
        <v>0</v>
      </c>
      <c r="K226" t="n">
        <v>0</v>
      </c>
      <c r="L226" t="n">
        <v>0</v>
      </c>
      <c r="M226" t="n">
        <v>0</v>
      </c>
      <c r="N226" t="n">
        <v>0</v>
      </c>
      <c r="O226" t="n">
        <v>0</v>
      </c>
      <c r="P226" t="n">
        <v>0</v>
      </c>
      <c r="Q226" t="n">
        <v>0</v>
      </c>
      <c r="R226" s="2" t="inlineStr"/>
    </row>
    <row r="227" ht="15" customHeight="1">
      <c r="A227" t="inlineStr">
        <is>
          <t>A 19020-2024</t>
        </is>
      </c>
      <c r="B227" s="1" t="n">
        <v>45427.66167824074</v>
      </c>
      <c r="C227" s="1" t="n">
        <v>46084</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40734-2024</t>
        </is>
      </c>
      <c r="B228" s="1" t="n">
        <v>45558</v>
      </c>
      <c r="C228" s="1" t="n">
        <v>46084</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40738-2024</t>
        </is>
      </c>
      <c r="B229" s="1" t="n">
        <v>45558</v>
      </c>
      <c r="C229" s="1" t="n">
        <v>46084</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21310-2022</t>
        </is>
      </c>
      <c r="B230" s="1" t="n">
        <v>44705</v>
      </c>
      <c r="C230" s="1" t="n">
        <v>46084</v>
      </c>
      <c r="D230" t="inlineStr">
        <is>
          <t>SKÅNE LÄN</t>
        </is>
      </c>
      <c r="E230" t="inlineStr">
        <is>
          <t>HÄSSLEHOLM</t>
        </is>
      </c>
      <c r="G230" t="n">
        <v>1</v>
      </c>
      <c r="H230" t="n">
        <v>0</v>
      </c>
      <c r="I230" t="n">
        <v>0</v>
      </c>
      <c r="J230" t="n">
        <v>0</v>
      </c>
      <c r="K230" t="n">
        <v>0</v>
      </c>
      <c r="L230" t="n">
        <v>0</v>
      </c>
      <c r="M230" t="n">
        <v>0</v>
      </c>
      <c r="N230" t="n">
        <v>0</v>
      </c>
      <c r="O230" t="n">
        <v>0</v>
      </c>
      <c r="P230" t="n">
        <v>0</v>
      </c>
      <c r="Q230" t="n">
        <v>0</v>
      </c>
      <c r="R230" s="2" t="inlineStr"/>
    </row>
    <row r="231" ht="15" customHeight="1">
      <c r="A231" t="inlineStr">
        <is>
          <t>A 21206-2025</t>
        </is>
      </c>
      <c r="B231" s="1" t="n">
        <v>45779.48318287037</v>
      </c>
      <c r="C231" s="1" t="n">
        <v>46084</v>
      </c>
      <c r="D231" t="inlineStr">
        <is>
          <t>SKÅNE LÄN</t>
        </is>
      </c>
      <c r="E231" t="inlineStr">
        <is>
          <t>HÄSSLEHOLM</t>
        </is>
      </c>
      <c r="G231" t="n">
        <v>2.2</v>
      </c>
      <c r="H231" t="n">
        <v>0</v>
      </c>
      <c r="I231" t="n">
        <v>0</v>
      </c>
      <c r="J231" t="n">
        <v>0</v>
      </c>
      <c r="K231" t="n">
        <v>0</v>
      </c>
      <c r="L231" t="n">
        <v>0</v>
      </c>
      <c r="M231" t="n">
        <v>0</v>
      </c>
      <c r="N231" t="n">
        <v>0</v>
      </c>
      <c r="O231" t="n">
        <v>0</v>
      </c>
      <c r="P231" t="n">
        <v>0</v>
      </c>
      <c r="Q231" t="n">
        <v>0</v>
      </c>
      <c r="R231" s="2" t="inlineStr"/>
    </row>
    <row r="232" ht="15" customHeight="1">
      <c r="A232" t="inlineStr">
        <is>
          <t>A 49199-2024</t>
        </is>
      </c>
      <c r="B232" s="1" t="n">
        <v>45595</v>
      </c>
      <c r="C232" s="1" t="n">
        <v>46084</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3500-2024</t>
        </is>
      </c>
      <c r="B233" s="1" t="n">
        <v>45320</v>
      </c>
      <c r="C233" s="1" t="n">
        <v>46084</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58815-2023</t>
        </is>
      </c>
      <c r="B234" s="1" t="n">
        <v>45247</v>
      </c>
      <c r="C234" s="1" t="n">
        <v>46084</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2712-2024</t>
        </is>
      </c>
      <c r="B235" s="1" t="n">
        <v>45314</v>
      </c>
      <c r="C235" s="1" t="n">
        <v>46084</v>
      </c>
      <c r="D235" t="inlineStr">
        <is>
          <t>SKÅNE LÄN</t>
        </is>
      </c>
      <c r="E235" t="inlineStr">
        <is>
          <t>HÄSSLEHOLM</t>
        </is>
      </c>
      <c r="G235" t="n">
        <v>11.3</v>
      </c>
      <c r="H235" t="n">
        <v>0</v>
      </c>
      <c r="I235" t="n">
        <v>0</v>
      </c>
      <c r="J235" t="n">
        <v>0</v>
      </c>
      <c r="K235" t="n">
        <v>0</v>
      </c>
      <c r="L235" t="n">
        <v>0</v>
      </c>
      <c r="M235" t="n">
        <v>0</v>
      </c>
      <c r="N235" t="n">
        <v>0</v>
      </c>
      <c r="O235" t="n">
        <v>0</v>
      </c>
      <c r="P235" t="n">
        <v>0</v>
      </c>
      <c r="Q235" t="n">
        <v>0</v>
      </c>
      <c r="R235" s="2" t="inlineStr"/>
    </row>
    <row r="236" ht="15" customHeight="1">
      <c r="A236" t="inlineStr">
        <is>
          <t>A 21091-2025</t>
        </is>
      </c>
      <c r="B236" s="1" t="n">
        <v>45777</v>
      </c>
      <c r="C236" s="1" t="n">
        <v>46084</v>
      </c>
      <c r="D236" t="inlineStr">
        <is>
          <t>SKÅNE LÄN</t>
        </is>
      </c>
      <c r="E236" t="inlineStr">
        <is>
          <t>HÄSSLEHOLM</t>
        </is>
      </c>
      <c r="G236" t="n">
        <v>3.4</v>
      </c>
      <c r="H236" t="n">
        <v>0</v>
      </c>
      <c r="I236" t="n">
        <v>0</v>
      </c>
      <c r="J236" t="n">
        <v>0</v>
      </c>
      <c r="K236" t="n">
        <v>0</v>
      </c>
      <c r="L236" t="n">
        <v>0</v>
      </c>
      <c r="M236" t="n">
        <v>0</v>
      </c>
      <c r="N236" t="n">
        <v>0</v>
      </c>
      <c r="O236" t="n">
        <v>0</v>
      </c>
      <c r="P236" t="n">
        <v>0</v>
      </c>
      <c r="Q236" t="n">
        <v>0</v>
      </c>
      <c r="R236" s="2" t="inlineStr"/>
    </row>
    <row r="237" ht="15" customHeight="1">
      <c r="A237" t="inlineStr">
        <is>
          <t>A 317-2025</t>
        </is>
      </c>
      <c r="B237" s="1" t="n">
        <v>45660</v>
      </c>
      <c r="C237" s="1" t="n">
        <v>46084</v>
      </c>
      <c r="D237" t="inlineStr">
        <is>
          <t>SKÅNE LÄN</t>
        </is>
      </c>
      <c r="E237" t="inlineStr">
        <is>
          <t>HÄSSLEHOLM</t>
        </is>
      </c>
      <c r="G237" t="n">
        <v>1.6</v>
      </c>
      <c r="H237" t="n">
        <v>0</v>
      </c>
      <c r="I237" t="n">
        <v>0</v>
      </c>
      <c r="J237" t="n">
        <v>0</v>
      </c>
      <c r="K237" t="n">
        <v>0</v>
      </c>
      <c r="L237" t="n">
        <v>0</v>
      </c>
      <c r="M237" t="n">
        <v>0</v>
      </c>
      <c r="N237" t="n">
        <v>0</v>
      </c>
      <c r="O237" t="n">
        <v>0</v>
      </c>
      <c r="P237" t="n">
        <v>0</v>
      </c>
      <c r="Q237" t="n">
        <v>0</v>
      </c>
      <c r="R237" s="2" t="inlineStr"/>
    </row>
    <row r="238" ht="15" customHeight="1">
      <c r="A238" t="inlineStr">
        <is>
          <t>A 21638-2025</t>
        </is>
      </c>
      <c r="B238" s="1" t="n">
        <v>45783.43087962963</v>
      </c>
      <c r="C238" s="1" t="n">
        <v>46084</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56986-2024</t>
        </is>
      </c>
      <c r="B239" s="1" t="n">
        <v>45626</v>
      </c>
      <c r="C239" s="1" t="n">
        <v>46084</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46222-2022</t>
        </is>
      </c>
      <c r="B240" s="1" t="n">
        <v>44847.58725694445</v>
      </c>
      <c r="C240" s="1" t="n">
        <v>46084</v>
      </c>
      <c r="D240" t="inlineStr">
        <is>
          <t>SKÅNE LÄN</t>
        </is>
      </c>
      <c r="E240" t="inlineStr">
        <is>
          <t>HÄSSLEHOLM</t>
        </is>
      </c>
      <c r="G240" t="n">
        <v>6.3</v>
      </c>
      <c r="H240" t="n">
        <v>0</v>
      </c>
      <c r="I240" t="n">
        <v>0</v>
      </c>
      <c r="J240" t="n">
        <v>0</v>
      </c>
      <c r="K240" t="n">
        <v>0</v>
      </c>
      <c r="L240" t="n">
        <v>0</v>
      </c>
      <c r="M240" t="n">
        <v>0</v>
      </c>
      <c r="N240" t="n">
        <v>0</v>
      </c>
      <c r="O240" t="n">
        <v>0</v>
      </c>
      <c r="P240" t="n">
        <v>0</v>
      </c>
      <c r="Q240" t="n">
        <v>0</v>
      </c>
      <c r="R240" s="2" t="inlineStr"/>
    </row>
    <row r="241" ht="15" customHeight="1">
      <c r="A241" t="inlineStr">
        <is>
          <t>A 2567-2024</t>
        </is>
      </c>
      <c r="B241" s="1" t="n">
        <v>45313.62460648148</v>
      </c>
      <c r="C241" s="1" t="n">
        <v>46084</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33597-2023</t>
        </is>
      </c>
      <c r="B242" s="1" t="n">
        <v>45132</v>
      </c>
      <c r="C242" s="1" t="n">
        <v>46084</v>
      </c>
      <c r="D242" t="inlineStr">
        <is>
          <t>SKÅNE LÄN</t>
        </is>
      </c>
      <c r="E242" t="inlineStr">
        <is>
          <t>HÄSSLEHOLM</t>
        </is>
      </c>
      <c r="G242" t="n">
        <v>3.9</v>
      </c>
      <c r="H242" t="n">
        <v>0</v>
      </c>
      <c r="I242" t="n">
        <v>0</v>
      </c>
      <c r="J242" t="n">
        <v>0</v>
      </c>
      <c r="K242" t="n">
        <v>0</v>
      </c>
      <c r="L242" t="n">
        <v>0</v>
      </c>
      <c r="M242" t="n">
        <v>0</v>
      </c>
      <c r="N242" t="n">
        <v>0</v>
      </c>
      <c r="O242" t="n">
        <v>0</v>
      </c>
      <c r="P242" t="n">
        <v>0</v>
      </c>
      <c r="Q242" t="n">
        <v>0</v>
      </c>
      <c r="R242" s="2" t="inlineStr"/>
    </row>
    <row r="243" ht="15" customHeight="1">
      <c r="A243" t="inlineStr">
        <is>
          <t>A 33599-2023</t>
        </is>
      </c>
      <c r="B243" s="1" t="n">
        <v>45132</v>
      </c>
      <c r="C243" s="1" t="n">
        <v>46084</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39111-2023</t>
        </is>
      </c>
      <c r="B244" s="1" t="n">
        <v>45164.87140046297</v>
      </c>
      <c r="C244" s="1" t="n">
        <v>46084</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27173-2024</t>
        </is>
      </c>
      <c r="B245" s="1" t="n">
        <v>45471.57048611111</v>
      </c>
      <c r="C245" s="1" t="n">
        <v>46084</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60851-2024</t>
        </is>
      </c>
      <c r="B246" s="1" t="n">
        <v>45644.66182870371</v>
      </c>
      <c r="C246" s="1" t="n">
        <v>46084</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28632-2024</t>
        </is>
      </c>
      <c r="B247" s="1" t="n">
        <v>45478</v>
      </c>
      <c r="C247" s="1" t="n">
        <v>46084</v>
      </c>
      <c r="D247" t="inlineStr">
        <is>
          <t>SKÅNE LÄN</t>
        </is>
      </c>
      <c r="E247" t="inlineStr">
        <is>
          <t>HÄSSLEHOLM</t>
        </is>
      </c>
      <c r="G247" t="n">
        <v>4</v>
      </c>
      <c r="H247" t="n">
        <v>0</v>
      </c>
      <c r="I247" t="n">
        <v>0</v>
      </c>
      <c r="J247" t="n">
        <v>0</v>
      </c>
      <c r="K247" t="n">
        <v>0</v>
      </c>
      <c r="L247" t="n">
        <v>0</v>
      </c>
      <c r="M247" t="n">
        <v>0</v>
      </c>
      <c r="N247" t="n">
        <v>0</v>
      </c>
      <c r="O247" t="n">
        <v>0</v>
      </c>
      <c r="P247" t="n">
        <v>0</v>
      </c>
      <c r="Q247" t="n">
        <v>0</v>
      </c>
      <c r="R247" s="2" t="inlineStr"/>
    </row>
    <row r="248" ht="15" customHeight="1">
      <c r="A248" t="inlineStr">
        <is>
          <t>A 21625-2025</t>
        </is>
      </c>
      <c r="B248" s="1" t="n">
        <v>45783.41252314814</v>
      </c>
      <c r="C248" s="1" t="n">
        <v>46084</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11708-2025</t>
        </is>
      </c>
      <c r="B249" s="1" t="n">
        <v>45727.58626157408</v>
      </c>
      <c r="C249" s="1" t="n">
        <v>46084</v>
      </c>
      <c r="D249" t="inlineStr">
        <is>
          <t>SKÅNE LÄN</t>
        </is>
      </c>
      <c r="E249" t="inlineStr">
        <is>
          <t>HÄSSLEHOLM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21028-2021</t>
        </is>
      </c>
      <c r="B250" s="1" t="n">
        <v>44319</v>
      </c>
      <c r="C250" s="1" t="n">
        <v>46084</v>
      </c>
      <c r="D250" t="inlineStr">
        <is>
          <t>SKÅNE LÄN</t>
        </is>
      </c>
      <c r="E250" t="inlineStr">
        <is>
          <t>HÄSSLEHOLM</t>
        </is>
      </c>
      <c r="G250" t="n">
        <v>3.1</v>
      </c>
      <c r="H250" t="n">
        <v>0</v>
      </c>
      <c r="I250" t="n">
        <v>0</v>
      </c>
      <c r="J250" t="n">
        <v>0</v>
      </c>
      <c r="K250" t="n">
        <v>0</v>
      </c>
      <c r="L250" t="n">
        <v>0</v>
      </c>
      <c r="M250" t="n">
        <v>0</v>
      </c>
      <c r="N250" t="n">
        <v>0</v>
      </c>
      <c r="O250" t="n">
        <v>0</v>
      </c>
      <c r="P250" t="n">
        <v>0</v>
      </c>
      <c r="Q250" t="n">
        <v>0</v>
      </c>
      <c r="R250" s="2" t="inlineStr"/>
    </row>
    <row r="251" ht="15" customHeight="1">
      <c r="A251" t="inlineStr">
        <is>
          <t>A 7818-2024</t>
        </is>
      </c>
      <c r="B251" s="1" t="n">
        <v>45349.68872685185</v>
      </c>
      <c r="C251" s="1" t="n">
        <v>46084</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69357-2021</t>
        </is>
      </c>
      <c r="B252" s="1" t="n">
        <v>44531</v>
      </c>
      <c r="C252" s="1" t="n">
        <v>46084</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34342-2021</t>
        </is>
      </c>
      <c r="B253" s="1" t="n">
        <v>44379</v>
      </c>
      <c r="C253" s="1" t="n">
        <v>46084</v>
      </c>
      <c r="D253" t="inlineStr">
        <is>
          <t>SKÅNE LÄN</t>
        </is>
      </c>
      <c r="E253" t="inlineStr">
        <is>
          <t>HÄSSLEHOLM</t>
        </is>
      </c>
      <c r="G253" t="n">
        <v>7</v>
      </c>
      <c r="H253" t="n">
        <v>0</v>
      </c>
      <c r="I253" t="n">
        <v>0</v>
      </c>
      <c r="J253" t="n">
        <v>0</v>
      </c>
      <c r="K253" t="n">
        <v>0</v>
      </c>
      <c r="L253" t="n">
        <v>0</v>
      </c>
      <c r="M253" t="n">
        <v>0</v>
      </c>
      <c r="N253" t="n">
        <v>0</v>
      </c>
      <c r="O253" t="n">
        <v>0</v>
      </c>
      <c r="P253" t="n">
        <v>0</v>
      </c>
      <c r="Q253" t="n">
        <v>0</v>
      </c>
      <c r="R253" s="2" t="inlineStr"/>
    </row>
    <row r="254" ht="15" customHeight="1">
      <c r="A254" t="inlineStr">
        <is>
          <t>A 1557-2023</t>
        </is>
      </c>
      <c r="B254" s="1" t="n">
        <v>44937</v>
      </c>
      <c r="C254" s="1" t="n">
        <v>46084</v>
      </c>
      <c r="D254" t="inlineStr">
        <is>
          <t>SKÅNE LÄN</t>
        </is>
      </c>
      <c r="E254" t="inlineStr">
        <is>
          <t>HÄSSLEHOLM</t>
        </is>
      </c>
      <c r="G254" t="n">
        <v>1.5</v>
      </c>
      <c r="H254" t="n">
        <v>0</v>
      </c>
      <c r="I254" t="n">
        <v>0</v>
      </c>
      <c r="J254" t="n">
        <v>0</v>
      </c>
      <c r="K254" t="n">
        <v>0</v>
      </c>
      <c r="L254" t="n">
        <v>0</v>
      </c>
      <c r="M254" t="n">
        <v>0</v>
      </c>
      <c r="N254" t="n">
        <v>0</v>
      </c>
      <c r="O254" t="n">
        <v>0</v>
      </c>
      <c r="P254" t="n">
        <v>0</v>
      </c>
      <c r="Q254" t="n">
        <v>0</v>
      </c>
      <c r="R254" s="2" t="inlineStr"/>
    </row>
    <row r="255" ht="15" customHeight="1">
      <c r="A255" t="inlineStr">
        <is>
          <t>A 10020-2024</t>
        </is>
      </c>
      <c r="B255" s="1" t="n">
        <v>45363.96944444445</v>
      </c>
      <c r="C255" s="1" t="n">
        <v>46084</v>
      </c>
      <c r="D255" t="inlineStr">
        <is>
          <t>SKÅNE LÄN</t>
        </is>
      </c>
      <c r="E255" t="inlineStr">
        <is>
          <t>HÄSSLEHOLM</t>
        </is>
      </c>
      <c r="G255" t="n">
        <v>5.3</v>
      </c>
      <c r="H255" t="n">
        <v>0</v>
      </c>
      <c r="I255" t="n">
        <v>0</v>
      </c>
      <c r="J255" t="n">
        <v>0</v>
      </c>
      <c r="K255" t="n">
        <v>0</v>
      </c>
      <c r="L255" t="n">
        <v>0</v>
      </c>
      <c r="M255" t="n">
        <v>0</v>
      </c>
      <c r="N255" t="n">
        <v>0</v>
      </c>
      <c r="O255" t="n">
        <v>0</v>
      </c>
      <c r="P255" t="n">
        <v>0</v>
      </c>
      <c r="Q255" t="n">
        <v>0</v>
      </c>
      <c r="R255" s="2" t="inlineStr"/>
    </row>
    <row r="256" ht="15" customHeight="1">
      <c r="A256" t="inlineStr">
        <is>
          <t>A 3855-2023</t>
        </is>
      </c>
      <c r="B256" s="1" t="n">
        <v>44951.69708333333</v>
      </c>
      <c r="C256" s="1" t="n">
        <v>46084</v>
      </c>
      <c r="D256" t="inlineStr">
        <is>
          <t>SKÅNE LÄN</t>
        </is>
      </c>
      <c r="E256" t="inlineStr">
        <is>
          <t>HÄSSLEHOLM</t>
        </is>
      </c>
      <c r="G256" t="n">
        <v>2.3</v>
      </c>
      <c r="H256" t="n">
        <v>0</v>
      </c>
      <c r="I256" t="n">
        <v>0</v>
      </c>
      <c r="J256" t="n">
        <v>0</v>
      </c>
      <c r="K256" t="n">
        <v>0</v>
      </c>
      <c r="L256" t="n">
        <v>0</v>
      </c>
      <c r="M256" t="n">
        <v>0</v>
      </c>
      <c r="N256" t="n">
        <v>0</v>
      </c>
      <c r="O256" t="n">
        <v>0</v>
      </c>
      <c r="P256" t="n">
        <v>0</v>
      </c>
      <c r="Q256" t="n">
        <v>0</v>
      </c>
      <c r="R256" s="2" t="inlineStr"/>
    </row>
    <row r="257" ht="15" customHeight="1">
      <c r="A257" t="inlineStr">
        <is>
          <t>A 33481-2024</t>
        </is>
      </c>
      <c r="B257" s="1" t="n">
        <v>45519</v>
      </c>
      <c r="C257" s="1" t="n">
        <v>46084</v>
      </c>
      <c r="D257" t="inlineStr">
        <is>
          <t>SKÅNE LÄN</t>
        </is>
      </c>
      <c r="E257" t="inlineStr">
        <is>
          <t>HÄSSLEHOLM</t>
        </is>
      </c>
      <c r="G257" t="n">
        <v>3</v>
      </c>
      <c r="H257" t="n">
        <v>0</v>
      </c>
      <c r="I257" t="n">
        <v>0</v>
      </c>
      <c r="J257" t="n">
        <v>0</v>
      </c>
      <c r="K257" t="n">
        <v>0</v>
      </c>
      <c r="L257" t="n">
        <v>0</v>
      </c>
      <c r="M257" t="n">
        <v>0</v>
      </c>
      <c r="N257" t="n">
        <v>0</v>
      </c>
      <c r="O257" t="n">
        <v>0</v>
      </c>
      <c r="P257" t="n">
        <v>0</v>
      </c>
      <c r="Q257" t="n">
        <v>0</v>
      </c>
      <c r="R257" s="2" t="inlineStr"/>
    </row>
    <row r="258" ht="15" customHeight="1">
      <c r="A258" t="inlineStr">
        <is>
          <t>A 13149-2024</t>
        </is>
      </c>
      <c r="B258" s="1" t="n">
        <v>45386</v>
      </c>
      <c r="C258" s="1" t="n">
        <v>46084</v>
      </c>
      <c r="D258" t="inlineStr">
        <is>
          <t>SKÅNE LÄN</t>
        </is>
      </c>
      <c r="E258" t="inlineStr">
        <is>
          <t>HÄSSLEHOLM</t>
        </is>
      </c>
      <c r="G258" t="n">
        <v>1.1</v>
      </c>
      <c r="H258" t="n">
        <v>0</v>
      </c>
      <c r="I258" t="n">
        <v>0</v>
      </c>
      <c r="J258" t="n">
        <v>0</v>
      </c>
      <c r="K258" t="n">
        <v>0</v>
      </c>
      <c r="L258" t="n">
        <v>0</v>
      </c>
      <c r="M258" t="n">
        <v>0</v>
      </c>
      <c r="N258" t="n">
        <v>0</v>
      </c>
      <c r="O258" t="n">
        <v>0</v>
      </c>
      <c r="P258" t="n">
        <v>0</v>
      </c>
      <c r="Q258" t="n">
        <v>0</v>
      </c>
      <c r="R258" s="2" t="inlineStr"/>
    </row>
    <row r="259" ht="15" customHeight="1">
      <c r="A259" t="inlineStr">
        <is>
          <t>A 9239-2025</t>
        </is>
      </c>
      <c r="B259" s="1" t="n">
        <v>45714</v>
      </c>
      <c r="C259" s="1" t="n">
        <v>46084</v>
      </c>
      <c r="D259" t="inlineStr">
        <is>
          <t>SKÅNE LÄN</t>
        </is>
      </c>
      <c r="E259" t="inlineStr">
        <is>
          <t>HÄSSLEHOLM</t>
        </is>
      </c>
      <c r="G259" t="n">
        <v>1.8</v>
      </c>
      <c r="H259" t="n">
        <v>0</v>
      </c>
      <c r="I259" t="n">
        <v>0</v>
      </c>
      <c r="J259" t="n">
        <v>0</v>
      </c>
      <c r="K259" t="n">
        <v>0</v>
      </c>
      <c r="L259" t="n">
        <v>0</v>
      </c>
      <c r="M259" t="n">
        <v>0</v>
      </c>
      <c r="N259" t="n">
        <v>0</v>
      </c>
      <c r="O259" t="n">
        <v>0</v>
      </c>
      <c r="P259" t="n">
        <v>0</v>
      </c>
      <c r="Q259" t="n">
        <v>0</v>
      </c>
      <c r="R259" s="2" t="inlineStr"/>
    </row>
    <row r="260" ht="15" customHeight="1">
      <c r="A260" t="inlineStr">
        <is>
          <t>A 29845-2024</t>
        </is>
      </c>
      <c r="B260" s="1" t="n">
        <v>45485.6212037037</v>
      </c>
      <c r="C260" s="1" t="n">
        <v>46084</v>
      </c>
      <c r="D260" t="inlineStr">
        <is>
          <t>SKÅNE LÄN</t>
        </is>
      </c>
      <c r="E260" t="inlineStr">
        <is>
          <t>HÄSSLEHOLM</t>
        </is>
      </c>
      <c r="G260" t="n">
        <v>1.3</v>
      </c>
      <c r="H260" t="n">
        <v>0</v>
      </c>
      <c r="I260" t="n">
        <v>0</v>
      </c>
      <c r="J260" t="n">
        <v>0</v>
      </c>
      <c r="K260" t="n">
        <v>0</v>
      </c>
      <c r="L260" t="n">
        <v>0</v>
      </c>
      <c r="M260" t="n">
        <v>0</v>
      </c>
      <c r="N260" t="n">
        <v>0</v>
      </c>
      <c r="O260" t="n">
        <v>0</v>
      </c>
      <c r="P260" t="n">
        <v>0</v>
      </c>
      <c r="Q260" t="n">
        <v>0</v>
      </c>
      <c r="R260" s="2" t="inlineStr"/>
    </row>
    <row r="261" ht="15" customHeight="1">
      <c r="A261" t="inlineStr">
        <is>
          <t>A 70087-2021</t>
        </is>
      </c>
      <c r="B261" s="1" t="n">
        <v>44533</v>
      </c>
      <c r="C261" s="1" t="n">
        <v>46084</v>
      </c>
      <c r="D261" t="inlineStr">
        <is>
          <t>SKÅNE LÄN</t>
        </is>
      </c>
      <c r="E261" t="inlineStr">
        <is>
          <t>HÄSSLEHOLM</t>
        </is>
      </c>
      <c r="G261" t="n">
        <v>5</v>
      </c>
      <c r="H261" t="n">
        <v>0</v>
      </c>
      <c r="I261" t="n">
        <v>0</v>
      </c>
      <c r="J261" t="n">
        <v>0</v>
      </c>
      <c r="K261" t="n">
        <v>0</v>
      </c>
      <c r="L261" t="n">
        <v>0</v>
      </c>
      <c r="M261" t="n">
        <v>0</v>
      </c>
      <c r="N261" t="n">
        <v>0</v>
      </c>
      <c r="O261" t="n">
        <v>0</v>
      </c>
      <c r="P261" t="n">
        <v>0</v>
      </c>
      <c r="Q261" t="n">
        <v>0</v>
      </c>
      <c r="R261" s="2" t="inlineStr"/>
    </row>
    <row r="262" ht="15" customHeight="1">
      <c r="A262" t="inlineStr">
        <is>
          <t>A 1703-2025</t>
        </is>
      </c>
      <c r="B262" s="1" t="n">
        <v>45670.80732638889</v>
      </c>
      <c r="C262" s="1" t="n">
        <v>46084</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1289-2024</t>
        </is>
      </c>
      <c r="B263" s="1" t="n">
        <v>45303.32234953704</v>
      </c>
      <c r="C263" s="1" t="n">
        <v>46084</v>
      </c>
      <c r="D263" t="inlineStr">
        <is>
          <t>SKÅNE LÄN</t>
        </is>
      </c>
      <c r="E263" t="inlineStr">
        <is>
          <t>HÄSSLEHOLM</t>
        </is>
      </c>
      <c r="G263" t="n">
        <v>4.6</v>
      </c>
      <c r="H263" t="n">
        <v>0</v>
      </c>
      <c r="I263" t="n">
        <v>0</v>
      </c>
      <c r="J263" t="n">
        <v>0</v>
      </c>
      <c r="K263" t="n">
        <v>0</v>
      </c>
      <c r="L263" t="n">
        <v>0</v>
      </c>
      <c r="M263" t="n">
        <v>0</v>
      </c>
      <c r="N263" t="n">
        <v>0</v>
      </c>
      <c r="O263" t="n">
        <v>0</v>
      </c>
      <c r="P263" t="n">
        <v>0</v>
      </c>
      <c r="Q263" t="n">
        <v>0</v>
      </c>
      <c r="R263" s="2" t="inlineStr"/>
    </row>
    <row r="264" ht="15" customHeight="1">
      <c r="A264" t="inlineStr">
        <is>
          <t>A 53466-2024</t>
        </is>
      </c>
      <c r="B264" s="1" t="n">
        <v>45614.55304398148</v>
      </c>
      <c r="C264" s="1" t="n">
        <v>46084</v>
      </c>
      <c r="D264" t="inlineStr">
        <is>
          <t>SKÅNE LÄN</t>
        </is>
      </c>
      <c r="E264" t="inlineStr">
        <is>
          <t>HÄSSLEHOLM</t>
        </is>
      </c>
      <c r="G264" t="n">
        <v>1.3</v>
      </c>
      <c r="H264" t="n">
        <v>0</v>
      </c>
      <c r="I264" t="n">
        <v>0</v>
      </c>
      <c r="J264" t="n">
        <v>0</v>
      </c>
      <c r="K264" t="n">
        <v>0</v>
      </c>
      <c r="L264" t="n">
        <v>0</v>
      </c>
      <c r="M264" t="n">
        <v>0</v>
      </c>
      <c r="N264" t="n">
        <v>0</v>
      </c>
      <c r="O264" t="n">
        <v>0</v>
      </c>
      <c r="P264" t="n">
        <v>0</v>
      </c>
      <c r="Q264" t="n">
        <v>0</v>
      </c>
      <c r="R264" s="2" t="inlineStr"/>
    </row>
    <row r="265" ht="15" customHeight="1">
      <c r="A265" t="inlineStr">
        <is>
          <t>A 61533-2024</t>
        </is>
      </c>
      <c r="B265" s="1" t="n">
        <v>45646</v>
      </c>
      <c r="C265" s="1" t="n">
        <v>46084</v>
      </c>
      <c r="D265" t="inlineStr">
        <is>
          <t>SKÅNE LÄN</t>
        </is>
      </c>
      <c r="E265" t="inlineStr">
        <is>
          <t>HÄSSLEHOLM</t>
        </is>
      </c>
      <c r="G265" t="n">
        <v>4.5</v>
      </c>
      <c r="H265" t="n">
        <v>0</v>
      </c>
      <c r="I265" t="n">
        <v>0</v>
      </c>
      <c r="J265" t="n">
        <v>0</v>
      </c>
      <c r="K265" t="n">
        <v>0</v>
      </c>
      <c r="L265" t="n">
        <v>0</v>
      </c>
      <c r="M265" t="n">
        <v>0</v>
      </c>
      <c r="N265" t="n">
        <v>0</v>
      </c>
      <c r="O265" t="n">
        <v>0</v>
      </c>
      <c r="P265" t="n">
        <v>0</v>
      </c>
      <c r="Q265" t="n">
        <v>0</v>
      </c>
      <c r="R265" s="2" t="inlineStr"/>
    </row>
    <row r="266" ht="15" customHeight="1">
      <c r="A266" t="inlineStr">
        <is>
          <t>A 54176-2022</t>
        </is>
      </c>
      <c r="B266" s="1" t="n">
        <v>44881</v>
      </c>
      <c r="C266" s="1" t="n">
        <v>46084</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19735-2023</t>
        </is>
      </c>
      <c r="B267" s="1" t="n">
        <v>45051.52199074074</v>
      </c>
      <c r="C267" s="1" t="n">
        <v>46084</v>
      </c>
      <c r="D267" t="inlineStr">
        <is>
          <t>SKÅNE LÄN</t>
        </is>
      </c>
      <c r="E267" t="inlineStr">
        <is>
          <t>HÄSSLEHOLM</t>
        </is>
      </c>
      <c r="G267" t="n">
        <v>4</v>
      </c>
      <c r="H267" t="n">
        <v>0</v>
      </c>
      <c r="I267" t="n">
        <v>0</v>
      </c>
      <c r="J267" t="n">
        <v>0</v>
      </c>
      <c r="K267" t="n">
        <v>0</v>
      </c>
      <c r="L267" t="n">
        <v>0</v>
      </c>
      <c r="M267" t="n">
        <v>0</v>
      </c>
      <c r="N267" t="n">
        <v>0</v>
      </c>
      <c r="O267" t="n">
        <v>0</v>
      </c>
      <c r="P267" t="n">
        <v>0</v>
      </c>
      <c r="Q267" t="n">
        <v>0</v>
      </c>
      <c r="R267" s="2" t="inlineStr"/>
    </row>
    <row r="268" ht="15" customHeight="1">
      <c r="A268" t="inlineStr">
        <is>
          <t>A 2490-2024</t>
        </is>
      </c>
      <c r="B268" s="1" t="n">
        <v>45313.43649305555</v>
      </c>
      <c r="C268" s="1" t="n">
        <v>46084</v>
      </c>
      <c r="D268" t="inlineStr">
        <is>
          <t>SKÅNE LÄN</t>
        </is>
      </c>
      <c r="E268" t="inlineStr">
        <is>
          <t>HÄSSLEHOLM</t>
        </is>
      </c>
      <c r="G268" t="n">
        <v>4</v>
      </c>
      <c r="H268" t="n">
        <v>0</v>
      </c>
      <c r="I268" t="n">
        <v>0</v>
      </c>
      <c r="J268" t="n">
        <v>0</v>
      </c>
      <c r="K268" t="n">
        <v>0</v>
      </c>
      <c r="L268" t="n">
        <v>0</v>
      </c>
      <c r="M268" t="n">
        <v>0</v>
      </c>
      <c r="N268" t="n">
        <v>0</v>
      </c>
      <c r="O268" t="n">
        <v>0</v>
      </c>
      <c r="P268" t="n">
        <v>0</v>
      </c>
      <c r="Q268" t="n">
        <v>0</v>
      </c>
      <c r="R268" s="2" t="inlineStr"/>
    </row>
    <row r="269" ht="15" customHeight="1">
      <c r="A269" t="inlineStr">
        <is>
          <t>A 7152-2025</t>
        </is>
      </c>
      <c r="B269" s="1" t="n">
        <v>45702.3837037037</v>
      </c>
      <c r="C269" s="1" t="n">
        <v>46084</v>
      </c>
      <c r="D269" t="inlineStr">
        <is>
          <t>SKÅNE LÄN</t>
        </is>
      </c>
      <c r="E269" t="inlineStr">
        <is>
          <t>HÄSSLEHOLM</t>
        </is>
      </c>
      <c r="G269" t="n">
        <v>1.3</v>
      </c>
      <c r="H269" t="n">
        <v>0</v>
      </c>
      <c r="I269" t="n">
        <v>0</v>
      </c>
      <c r="J269" t="n">
        <v>0</v>
      </c>
      <c r="K269" t="n">
        <v>0</v>
      </c>
      <c r="L269" t="n">
        <v>0</v>
      </c>
      <c r="M269" t="n">
        <v>0</v>
      </c>
      <c r="N269" t="n">
        <v>0</v>
      </c>
      <c r="O269" t="n">
        <v>0</v>
      </c>
      <c r="P269" t="n">
        <v>0</v>
      </c>
      <c r="Q269" t="n">
        <v>0</v>
      </c>
      <c r="R269" s="2" t="inlineStr"/>
    </row>
    <row r="270" ht="15" customHeight="1">
      <c r="A270" t="inlineStr">
        <is>
          <t>A 7160-2025</t>
        </is>
      </c>
      <c r="B270" s="1" t="n">
        <v>45702.3875462963</v>
      </c>
      <c r="C270" s="1" t="n">
        <v>46084</v>
      </c>
      <c r="D270" t="inlineStr">
        <is>
          <t>SKÅNE LÄN</t>
        </is>
      </c>
      <c r="E270" t="inlineStr">
        <is>
          <t>HÄSSLEHOLM</t>
        </is>
      </c>
      <c r="G270" t="n">
        <v>2.5</v>
      </c>
      <c r="H270" t="n">
        <v>0</v>
      </c>
      <c r="I270" t="n">
        <v>0</v>
      </c>
      <c r="J270" t="n">
        <v>0</v>
      </c>
      <c r="K270" t="n">
        <v>0</v>
      </c>
      <c r="L270" t="n">
        <v>0</v>
      </c>
      <c r="M270" t="n">
        <v>0</v>
      </c>
      <c r="N270" t="n">
        <v>0</v>
      </c>
      <c r="O270" t="n">
        <v>0</v>
      </c>
      <c r="P270" t="n">
        <v>0</v>
      </c>
      <c r="Q270" t="n">
        <v>0</v>
      </c>
      <c r="R270" s="2" t="inlineStr"/>
    </row>
    <row r="271" ht="15" customHeight="1">
      <c r="A271" t="inlineStr">
        <is>
          <t>A 61537-2024</t>
        </is>
      </c>
      <c r="B271" s="1" t="n">
        <v>45646</v>
      </c>
      <c r="C271" s="1" t="n">
        <v>46084</v>
      </c>
      <c r="D271" t="inlineStr">
        <is>
          <t>SKÅNE LÄN</t>
        </is>
      </c>
      <c r="E271" t="inlineStr">
        <is>
          <t>HÄSSLEHOLM</t>
        </is>
      </c>
      <c r="G271" t="n">
        <v>3.7</v>
      </c>
      <c r="H271" t="n">
        <v>0</v>
      </c>
      <c r="I271" t="n">
        <v>0</v>
      </c>
      <c r="J271" t="n">
        <v>0</v>
      </c>
      <c r="K271" t="n">
        <v>0</v>
      </c>
      <c r="L271" t="n">
        <v>0</v>
      </c>
      <c r="M271" t="n">
        <v>0</v>
      </c>
      <c r="N271" t="n">
        <v>0</v>
      </c>
      <c r="O271" t="n">
        <v>0</v>
      </c>
      <c r="P271" t="n">
        <v>0</v>
      </c>
      <c r="Q271" t="n">
        <v>0</v>
      </c>
      <c r="R271" s="2" t="inlineStr"/>
    </row>
    <row r="272" ht="15" customHeight="1">
      <c r="A272" t="inlineStr">
        <is>
          <t>A 27291-2023</t>
        </is>
      </c>
      <c r="B272" s="1" t="n">
        <v>45096</v>
      </c>
      <c r="C272" s="1" t="n">
        <v>46084</v>
      </c>
      <c r="D272" t="inlineStr">
        <is>
          <t>SKÅNE LÄN</t>
        </is>
      </c>
      <c r="E272" t="inlineStr">
        <is>
          <t>HÄSSLEHOLM</t>
        </is>
      </c>
      <c r="G272" t="n">
        <v>3.5</v>
      </c>
      <c r="H272" t="n">
        <v>0</v>
      </c>
      <c r="I272" t="n">
        <v>0</v>
      </c>
      <c r="J272" t="n">
        <v>0</v>
      </c>
      <c r="K272" t="n">
        <v>0</v>
      </c>
      <c r="L272" t="n">
        <v>0</v>
      </c>
      <c r="M272" t="n">
        <v>0</v>
      </c>
      <c r="N272" t="n">
        <v>0</v>
      </c>
      <c r="O272" t="n">
        <v>0</v>
      </c>
      <c r="P272" t="n">
        <v>0</v>
      </c>
      <c r="Q272" t="n">
        <v>0</v>
      </c>
      <c r="R272" s="2" t="inlineStr"/>
    </row>
    <row r="273" ht="15" customHeight="1">
      <c r="A273" t="inlineStr">
        <is>
          <t>A 34890-2023</t>
        </is>
      </c>
      <c r="B273" s="1" t="n">
        <v>45142.39475694444</v>
      </c>
      <c r="C273" s="1" t="n">
        <v>46084</v>
      </c>
      <c r="D273" t="inlineStr">
        <is>
          <t>SKÅNE LÄN</t>
        </is>
      </c>
      <c r="E273" t="inlineStr">
        <is>
          <t>HÄSSLEHOLM</t>
        </is>
      </c>
      <c r="G273" t="n">
        <v>4</v>
      </c>
      <c r="H273" t="n">
        <v>0</v>
      </c>
      <c r="I273" t="n">
        <v>0</v>
      </c>
      <c r="J273" t="n">
        <v>0</v>
      </c>
      <c r="K273" t="n">
        <v>0</v>
      </c>
      <c r="L273" t="n">
        <v>0</v>
      </c>
      <c r="M273" t="n">
        <v>0</v>
      </c>
      <c r="N273" t="n">
        <v>0</v>
      </c>
      <c r="O273" t="n">
        <v>0</v>
      </c>
      <c r="P273" t="n">
        <v>0</v>
      </c>
      <c r="Q273" t="n">
        <v>0</v>
      </c>
      <c r="R273" s="2" t="inlineStr"/>
    </row>
    <row r="274" ht="15" customHeight="1">
      <c r="A274" t="inlineStr">
        <is>
          <t>A 21867-2023</t>
        </is>
      </c>
      <c r="B274" s="1" t="n">
        <v>45063</v>
      </c>
      <c r="C274" s="1" t="n">
        <v>46084</v>
      </c>
      <c r="D274" t="inlineStr">
        <is>
          <t>SKÅNE LÄN</t>
        </is>
      </c>
      <c r="E274" t="inlineStr">
        <is>
          <t>HÄSSLEHOLM</t>
        </is>
      </c>
      <c r="G274" t="n">
        <v>7.6</v>
      </c>
      <c r="H274" t="n">
        <v>0</v>
      </c>
      <c r="I274" t="n">
        <v>0</v>
      </c>
      <c r="J274" t="n">
        <v>0</v>
      </c>
      <c r="K274" t="n">
        <v>0</v>
      </c>
      <c r="L274" t="n">
        <v>0</v>
      </c>
      <c r="M274" t="n">
        <v>0</v>
      </c>
      <c r="N274" t="n">
        <v>0</v>
      </c>
      <c r="O274" t="n">
        <v>0</v>
      </c>
      <c r="P274" t="n">
        <v>0</v>
      </c>
      <c r="Q274" t="n">
        <v>0</v>
      </c>
      <c r="R274" s="2" t="inlineStr"/>
    </row>
    <row r="275" ht="15" customHeight="1">
      <c r="A275" t="inlineStr">
        <is>
          <t>A 22024-2025</t>
        </is>
      </c>
      <c r="B275" s="1" t="n">
        <v>45784.85322916666</v>
      </c>
      <c r="C275" s="1" t="n">
        <v>46084</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20006-2025</t>
        </is>
      </c>
      <c r="B276" s="1" t="n">
        <v>45772.05032407407</v>
      </c>
      <c r="C276" s="1" t="n">
        <v>46084</v>
      </c>
      <c r="D276" t="inlineStr">
        <is>
          <t>SKÅNE LÄN</t>
        </is>
      </c>
      <c r="E276" t="inlineStr">
        <is>
          <t>HÄSSLEHOLM</t>
        </is>
      </c>
      <c r="G276" t="n">
        <v>3.9</v>
      </c>
      <c r="H276" t="n">
        <v>0</v>
      </c>
      <c r="I276" t="n">
        <v>0</v>
      </c>
      <c r="J276" t="n">
        <v>0</v>
      </c>
      <c r="K276" t="n">
        <v>0</v>
      </c>
      <c r="L276" t="n">
        <v>0</v>
      </c>
      <c r="M276" t="n">
        <v>0</v>
      </c>
      <c r="N276" t="n">
        <v>0</v>
      </c>
      <c r="O276" t="n">
        <v>0</v>
      </c>
      <c r="P276" t="n">
        <v>0</v>
      </c>
      <c r="Q276" t="n">
        <v>0</v>
      </c>
      <c r="R276" s="2" t="inlineStr"/>
    </row>
    <row r="277" ht="15" customHeight="1">
      <c r="A277" t="inlineStr">
        <is>
          <t>A 26403-2024</t>
        </is>
      </c>
      <c r="B277" s="1" t="n">
        <v>45469.44505787037</v>
      </c>
      <c r="C277" s="1" t="n">
        <v>46084</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26403-2024</t>
        </is>
      </c>
      <c r="B278" s="1" t="n">
        <v>45469.44505787037</v>
      </c>
      <c r="C278" s="1" t="n">
        <v>46084</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9556-2025</t>
        </is>
      </c>
      <c r="B279" s="1" t="n">
        <v>45714</v>
      </c>
      <c r="C279" s="1" t="n">
        <v>46084</v>
      </c>
      <c r="D279" t="inlineStr">
        <is>
          <t>SKÅNE LÄN</t>
        </is>
      </c>
      <c r="E279" t="inlineStr">
        <is>
          <t>HÄSSLEHOLM</t>
        </is>
      </c>
      <c r="G279" t="n">
        <v>1.8</v>
      </c>
      <c r="H279" t="n">
        <v>0</v>
      </c>
      <c r="I279" t="n">
        <v>0</v>
      </c>
      <c r="J279" t="n">
        <v>0</v>
      </c>
      <c r="K279" t="n">
        <v>0</v>
      </c>
      <c r="L279" t="n">
        <v>0</v>
      </c>
      <c r="M279" t="n">
        <v>0</v>
      </c>
      <c r="N279" t="n">
        <v>0</v>
      </c>
      <c r="O279" t="n">
        <v>0</v>
      </c>
      <c r="P279" t="n">
        <v>0</v>
      </c>
      <c r="Q279" t="n">
        <v>0</v>
      </c>
      <c r="R279" s="2" t="inlineStr"/>
    </row>
    <row r="280" ht="15" customHeight="1">
      <c r="A280" t="inlineStr">
        <is>
          <t>A 56735-2024</t>
        </is>
      </c>
      <c r="B280" s="1" t="n">
        <v>45628.36234953703</v>
      </c>
      <c r="C280" s="1" t="n">
        <v>46084</v>
      </c>
      <c r="D280" t="inlineStr">
        <is>
          <t>SKÅNE LÄN</t>
        </is>
      </c>
      <c r="E280" t="inlineStr">
        <is>
          <t>HÄSSLEHOLM</t>
        </is>
      </c>
      <c r="G280" t="n">
        <v>0.7</v>
      </c>
      <c r="H280" t="n">
        <v>0</v>
      </c>
      <c r="I280" t="n">
        <v>0</v>
      </c>
      <c r="J280" t="n">
        <v>0</v>
      </c>
      <c r="K280" t="n">
        <v>0</v>
      </c>
      <c r="L280" t="n">
        <v>0</v>
      </c>
      <c r="M280" t="n">
        <v>0</v>
      </c>
      <c r="N280" t="n">
        <v>0</v>
      </c>
      <c r="O280" t="n">
        <v>0</v>
      </c>
      <c r="P280" t="n">
        <v>0</v>
      </c>
      <c r="Q280" t="n">
        <v>0</v>
      </c>
      <c r="R280" s="2" t="inlineStr"/>
    </row>
    <row r="281" ht="15" customHeight="1">
      <c r="A281" t="inlineStr">
        <is>
          <t>A 29844-2024</t>
        </is>
      </c>
      <c r="B281" s="1" t="n">
        <v>45485</v>
      </c>
      <c r="C281" s="1" t="n">
        <v>46084</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441-2022</t>
        </is>
      </c>
      <c r="B282" s="1" t="n">
        <v>44565.97125</v>
      </c>
      <c r="C282" s="1" t="n">
        <v>46084</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5887-2025</t>
        </is>
      </c>
      <c r="B283" s="1" t="n">
        <v>45695.37925925926</v>
      </c>
      <c r="C283" s="1" t="n">
        <v>46084</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5284-2023</t>
        </is>
      </c>
      <c r="B284" s="1" t="n">
        <v>44959.50608796296</v>
      </c>
      <c r="C284" s="1" t="n">
        <v>46084</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5285-2023</t>
        </is>
      </c>
      <c r="B285" s="1" t="n">
        <v>44959.50783564815</v>
      </c>
      <c r="C285" s="1" t="n">
        <v>46084</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16860-2025</t>
        </is>
      </c>
      <c r="B286" s="1" t="n">
        <v>45751</v>
      </c>
      <c r="C286" s="1" t="n">
        <v>46084</v>
      </c>
      <c r="D286" t="inlineStr">
        <is>
          <t>SKÅNE LÄN</t>
        </is>
      </c>
      <c r="E286" t="inlineStr">
        <is>
          <t>HÄSSLEHOLM</t>
        </is>
      </c>
      <c r="G286" t="n">
        <v>1.3</v>
      </c>
      <c r="H286" t="n">
        <v>0</v>
      </c>
      <c r="I286" t="n">
        <v>0</v>
      </c>
      <c r="J286" t="n">
        <v>0</v>
      </c>
      <c r="K286" t="n">
        <v>0</v>
      </c>
      <c r="L286" t="n">
        <v>0</v>
      </c>
      <c r="M286" t="n">
        <v>0</v>
      </c>
      <c r="N286" t="n">
        <v>0</v>
      </c>
      <c r="O286" t="n">
        <v>0</v>
      </c>
      <c r="P286" t="n">
        <v>0</v>
      </c>
      <c r="Q286" t="n">
        <v>0</v>
      </c>
      <c r="R286" s="2" t="inlineStr"/>
    </row>
    <row r="287" ht="15" customHeight="1">
      <c r="A287" t="inlineStr">
        <is>
          <t>A 34888-2023</t>
        </is>
      </c>
      <c r="B287" s="1" t="n">
        <v>45142.388125</v>
      </c>
      <c r="C287" s="1" t="n">
        <v>46084</v>
      </c>
      <c r="D287" t="inlineStr">
        <is>
          <t>SKÅNE LÄN</t>
        </is>
      </c>
      <c r="E287" t="inlineStr">
        <is>
          <t>HÄSSLEHOLM</t>
        </is>
      </c>
      <c r="G287" t="n">
        <v>1.4</v>
      </c>
      <c r="H287" t="n">
        <v>0</v>
      </c>
      <c r="I287" t="n">
        <v>0</v>
      </c>
      <c r="J287" t="n">
        <v>0</v>
      </c>
      <c r="K287" t="n">
        <v>0</v>
      </c>
      <c r="L287" t="n">
        <v>0</v>
      </c>
      <c r="M287" t="n">
        <v>0</v>
      </c>
      <c r="N287" t="n">
        <v>0</v>
      </c>
      <c r="O287" t="n">
        <v>0</v>
      </c>
      <c r="P287" t="n">
        <v>0</v>
      </c>
      <c r="Q287" t="n">
        <v>0</v>
      </c>
      <c r="R287" s="2" t="inlineStr"/>
    </row>
    <row r="288" ht="15" customHeight="1">
      <c r="A288" t="inlineStr">
        <is>
          <t>A 55662-2022</t>
        </is>
      </c>
      <c r="B288" s="1" t="n">
        <v>44883</v>
      </c>
      <c r="C288" s="1" t="n">
        <v>46084</v>
      </c>
      <c r="D288" t="inlineStr">
        <is>
          <t>SKÅNE LÄN</t>
        </is>
      </c>
      <c r="E288" t="inlineStr">
        <is>
          <t>HÄSSLEHOLM</t>
        </is>
      </c>
      <c r="F288" t="inlineStr">
        <is>
          <t>Övriga Aktiebolag</t>
        </is>
      </c>
      <c r="G288" t="n">
        <v>2.6</v>
      </c>
      <c r="H288" t="n">
        <v>0</v>
      </c>
      <c r="I288" t="n">
        <v>0</v>
      </c>
      <c r="J288" t="n">
        <v>0</v>
      </c>
      <c r="K288" t="n">
        <v>0</v>
      </c>
      <c r="L288" t="n">
        <v>0</v>
      </c>
      <c r="M288" t="n">
        <v>0</v>
      </c>
      <c r="N288" t="n">
        <v>0</v>
      </c>
      <c r="O288" t="n">
        <v>0</v>
      </c>
      <c r="P288" t="n">
        <v>0</v>
      </c>
      <c r="Q288" t="n">
        <v>0</v>
      </c>
      <c r="R288" s="2" t="inlineStr"/>
    </row>
    <row r="289" ht="15" customHeight="1">
      <c r="A289" t="inlineStr">
        <is>
          <t>A 3886-2024</t>
        </is>
      </c>
      <c r="B289" s="1" t="n">
        <v>45322.44539351852</v>
      </c>
      <c r="C289" s="1" t="n">
        <v>46084</v>
      </c>
      <c r="D289" t="inlineStr">
        <is>
          <t>SKÅNE LÄN</t>
        </is>
      </c>
      <c r="E289" t="inlineStr">
        <is>
          <t>HÄSSLEHOLM</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9924-2025</t>
        </is>
      </c>
      <c r="B290" s="1" t="n">
        <v>45717.72505787037</v>
      </c>
      <c r="C290" s="1" t="n">
        <v>46084</v>
      </c>
      <c r="D290" t="inlineStr">
        <is>
          <t>SKÅNE LÄN</t>
        </is>
      </c>
      <c r="E290" t="inlineStr">
        <is>
          <t>HÄSSLEHOLM</t>
        </is>
      </c>
      <c r="G290" t="n">
        <v>1.5</v>
      </c>
      <c r="H290" t="n">
        <v>0</v>
      </c>
      <c r="I290" t="n">
        <v>0</v>
      </c>
      <c r="J290" t="n">
        <v>0</v>
      </c>
      <c r="K290" t="n">
        <v>0</v>
      </c>
      <c r="L290" t="n">
        <v>0</v>
      </c>
      <c r="M290" t="n">
        <v>0</v>
      </c>
      <c r="N290" t="n">
        <v>0</v>
      </c>
      <c r="O290" t="n">
        <v>0</v>
      </c>
      <c r="P290" t="n">
        <v>0</v>
      </c>
      <c r="Q290" t="n">
        <v>0</v>
      </c>
      <c r="R290" s="2" t="inlineStr"/>
    </row>
    <row r="291" ht="15" customHeight="1">
      <c r="A291" t="inlineStr">
        <is>
          <t>A 22587-2025</t>
        </is>
      </c>
      <c r="B291" s="1" t="n">
        <v>45789.39974537037</v>
      </c>
      <c r="C291" s="1" t="n">
        <v>46084</v>
      </c>
      <c r="D291" t="inlineStr">
        <is>
          <t>SKÅNE LÄN</t>
        </is>
      </c>
      <c r="E291" t="inlineStr">
        <is>
          <t>HÄSSLEHOLM</t>
        </is>
      </c>
      <c r="G291" t="n">
        <v>5.7</v>
      </c>
      <c r="H291" t="n">
        <v>0</v>
      </c>
      <c r="I291" t="n">
        <v>0</v>
      </c>
      <c r="J291" t="n">
        <v>0</v>
      </c>
      <c r="K291" t="n">
        <v>0</v>
      </c>
      <c r="L291" t="n">
        <v>0</v>
      </c>
      <c r="M291" t="n">
        <v>0</v>
      </c>
      <c r="N291" t="n">
        <v>0</v>
      </c>
      <c r="O291" t="n">
        <v>0</v>
      </c>
      <c r="P291" t="n">
        <v>0</v>
      </c>
      <c r="Q291" t="n">
        <v>0</v>
      </c>
      <c r="R291" s="2" t="inlineStr"/>
    </row>
    <row r="292" ht="15" customHeight="1">
      <c r="A292" t="inlineStr">
        <is>
          <t>A 14157-2021</t>
        </is>
      </c>
      <c r="B292" s="1" t="n">
        <v>44278.43246527778</v>
      </c>
      <c r="C292" s="1" t="n">
        <v>46084</v>
      </c>
      <c r="D292" t="inlineStr">
        <is>
          <t>SKÅNE LÄN</t>
        </is>
      </c>
      <c r="E292" t="inlineStr">
        <is>
          <t>HÄSSLEHOLM</t>
        </is>
      </c>
      <c r="G292" t="n">
        <v>10.5</v>
      </c>
      <c r="H292" t="n">
        <v>0</v>
      </c>
      <c r="I292" t="n">
        <v>0</v>
      </c>
      <c r="J292" t="n">
        <v>0</v>
      </c>
      <c r="K292" t="n">
        <v>0</v>
      </c>
      <c r="L292" t="n">
        <v>0</v>
      </c>
      <c r="M292" t="n">
        <v>0</v>
      </c>
      <c r="N292" t="n">
        <v>0</v>
      </c>
      <c r="O292" t="n">
        <v>0</v>
      </c>
      <c r="P292" t="n">
        <v>0</v>
      </c>
      <c r="Q292" t="n">
        <v>0</v>
      </c>
      <c r="R292" s="2" t="inlineStr"/>
    </row>
    <row r="293" ht="15" customHeight="1">
      <c r="A293" t="inlineStr">
        <is>
          <t>A 54435-2024</t>
        </is>
      </c>
      <c r="B293" s="1" t="n">
        <v>45617.49494212963</v>
      </c>
      <c r="C293" s="1" t="n">
        <v>46084</v>
      </c>
      <c r="D293" t="inlineStr">
        <is>
          <t>SKÅNE LÄN</t>
        </is>
      </c>
      <c r="E293" t="inlineStr">
        <is>
          <t>HÄSSLEHOLM</t>
        </is>
      </c>
      <c r="G293" t="n">
        <v>2.3</v>
      </c>
      <c r="H293" t="n">
        <v>0</v>
      </c>
      <c r="I293" t="n">
        <v>0</v>
      </c>
      <c r="J293" t="n">
        <v>0</v>
      </c>
      <c r="K293" t="n">
        <v>0</v>
      </c>
      <c r="L293" t="n">
        <v>0</v>
      </c>
      <c r="M293" t="n">
        <v>0</v>
      </c>
      <c r="N293" t="n">
        <v>0</v>
      </c>
      <c r="O293" t="n">
        <v>0</v>
      </c>
      <c r="P293" t="n">
        <v>0</v>
      </c>
      <c r="Q293" t="n">
        <v>0</v>
      </c>
      <c r="R293" s="2" t="inlineStr"/>
    </row>
    <row r="294" ht="15" customHeight="1">
      <c r="A294" t="inlineStr">
        <is>
          <t>A 58886-2024</t>
        </is>
      </c>
      <c r="B294" s="1" t="n">
        <v>45636.45380787037</v>
      </c>
      <c r="C294" s="1" t="n">
        <v>46084</v>
      </c>
      <c r="D294" t="inlineStr">
        <is>
          <t>SKÅNE LÄN</t>
        </is>
      </c>
      <c r="E294" t="inlineStr">
        <is>
          <t>HÄSSLEHOLM</t>
        </is>
      </c>
      <c r="G294" t="n">
        <v>1.9</v>
      </c>
      <c r="H294" t="n">
        <v>0</v>
      </c>
      <c r="I294" t="n">
        <v>0</v>
      </c>
      <c r="J294" t="n">
        <v>0</v>
      </c>
      <c r="K294" t="n">
        <v>0</v>
      </c>
      <c r="L294" t="n">
        <v>0</v>
      </c>
      <c r="M294" t="n">
        <v>0</v>
      </c>
      <c r="N294" t="n">
        <v>0</v>
      </c>
      <c r="O294" t="n">
        <v>0</v>
      </c>
      <c r="P294" t="n">
        <v>0</v>
      </c>
      <c r="Q294" t="n">
        <v>0</v>
      </c>
      <c r="R294" s="2" t="inlineStr"/>
    </row>
    <row r="295" ht="15" customHeight="1">
      <c r="A295" t="inlineStr">
        <is>
          <t>A 13087-2023</t>
        </is>
      </c>
      <c r="B295" s="1" t="n">
        <v>45001</v>
      </c>
      <c r="C295" s="1" t="n">
        <v>46084</v>
      </c>
      <c r="D295" t="inlineStr">
        <is>
          <t>SKÅNE LÄN</t>
        </is>
      </c>
      <c r="E295" t="inlineStr">
        <is>
          <t>HÄSSLEHOLM</t>
        </is>
      </c>
      <c r="G295" t="n">
        <v>3.8</v>
      </c>
      <c r="H295" t="n">
        <v>0</v>
      </c>
      <c r="I295" t="n">
        <v>0</v>
      </c>
      <c r="J295" t="n">
        <v>0</v>
      </c>
      <c r="K295" t="n">
        <v>0</v>
      </c>
      <c r="L295" t="n">
        <v>0</v>
      </c>
      <c r="M295" t="n">
        <v>0</v>
      </c>
      <c r="N295" t="n">
        <v>0</v>
      </c>
      <c r="O295" t="n">
        <v>0</v>
      </c>
      <c r="P295" t="n">
        <v>0</v>
      </c>
      <c r="Q295" t="n">
        <v>0</v>
      </c>
      <c r="R295" s="2" t="inlineStr"/>
    </row>
    <row r="296" ht="15" customHeight="1">
      <c r="A296" t="inlineStr">
        <is>
          <t>A 60920-2024</t>
        </is>
      </c>
      <c r="B296" s="1" t="n">
        <v>45645.34442129629</v>
      </c>
      <c r="C296" s="1" t="n">
        <v>46084</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40536-2024</t>
        </is>
      </c>
      <c r="B297" s="1" t="n">
        <v>45555.61314814815</v>
      </c>
      <c r="C297" s="1" t="n">
        <v>46084</v>
      </c>
      <c r="D297" t="inlineStr">
        <is>
          <t>SKÅNE LÄN</t>
        </is>
      </c>
      <c r="E297" t="inlineStr">
        <is>
          <t>HÄSSLEHOLM</t>
        </is>
      </c>
      <c r="G297" t="n">
        <v>1</v>
      </c>
      <c r="H297" t="n">
        <v>0</v>
      </c>
      <c r="I297" t="n">
        <v>0</v>
      </c>
      <c r="J297" t="n">
        <v>0</v>
      </c>
      <c r="K297" t="n">
        <v>0</v>
      </c>
      <c r="L297" t="n">
        <v>0</v>
      </c>
      <c r="M297" t="n">
        <v>0</v>
      </c>
      <c r="N297" t="n">
        <v>0</v>
      </c>
      <c r="O297" t="n">
        <v>0</v>
      </c>
      <c r="P297" t="n">
        <v>0</v>
      </c>
      <c r="Q297" t="n">
        <v>0</v>
      </c>
      <c r="R297" s="2" t="inlineStr"/>
    </row>
    <row r="298" ht="15" customHeight="1">
      <c r="A298" t="inlineStr">
        <is>
          <t>A 54874-2022</t>
        </is>
      </c>
      <c r="B298" s="1" t="n">
        <v>44881</v>
      </c>
      <c r="C298" s="1" t="n">
        <v>46084</v>
      </c>
      <c r="D298" t="inlineStr">
        <is>
          <t>SKÅNE LÄN</t>
        </is>
      </c>
      <c r="E298" t="inlineStr">
        <is>
          <t>HÄSSLEHOLM</t>
        </is>
      </c>
      <c r="G298" t="n">
        <v>8.1</v>
      </c>
      <c r="H298" t="n">
        <v>0</v>
      </c>
      <c r="I298" t="n">
        <v>0</v>
      </c>
      <c r="J298" t="n">
        <v>0</v>
      </c>
      <c r="K298" t="n">
        <v>0</v>
      </c>
      <c r="L298" t="n">
        <v>0</v>
      </c>
      <c r="M298" t="n">
        <v>0</v>
      </c>
      <c r="N298" t="n">
        <v>0</v>
      </c>
      <c r="O298" t="n">
        <v>0</v>
      </c>
      <c r="P298" t="n">
        <v>0</v>
      </c>
      <c r="Q298" t="n">
        <v>0</v>
      </c>
      <c r="R298" s="2" t="inlineStr"/>
    </row>
    <row r="299" ht="15" customHeight="1">
      <c r="A299" t="inlineStr">
        <is>
          <t>A 56386-2023</t>
        </is>
      </c>
      <c r="B299" s="1" t="n">
        <v>45243</v>
      </c>
      <c r="C299" s="1" t="n">
        <v>46084</v>
      </c>
      <c r="D299" t="inlineStr">
        <is>
          <t>SKÅNE LÄN</t>
        </is>
      </c>
      <c r="E299" t="inlineStr">
        <is>
          <t>HÄSSLEHOLM</t>
        </is>
      </c>
      <c r="G299" t="n">
        <v>2</v>
      </c>
      <c r="H299" t="n">
        <v>0</v>
      </c>
      <c r="I299" t="n">
        <v>0</v>
      </c>
      <c r="J299" t="n">
        <v>0</v>
      </c>
      <c r="K299" t="n">
        <v>0</v>
      </c>
      <c r="L299" t="n">
        <v>0</v>
      </c>
      <c r="M299" t="n">
        <v>0</v>
      </c>
      <c r="N299" t="n">
        <v>0</v>
      </c>
      <c r="O299" t="n">
        <v>0</v>
      </c>
      <c r="P299" t="n">
        <v>0</v>
      </c>
      <c r="Q299" t="n">
        <v>0</v>
      </c>
      <c r="R299" s="2" t="inlineStr"/>
    </row>
    <row r="300" ht="15" customHeight="1">
      <c r="A300" t="inlineStr">
        <is>
          <t>A 29274-2023</t>
        </is>
      </c>
      <c r="B300" s="1" t="n">
        <v>45105</v>
      </c>
      <c r="C300" s="1" t="n">
        <v>46084</v>
      </c>
      <c r="D300" t="inlineStr">
        <is>
          <t>SKÅNE LÄN</t>
        </is>
      </c>
      <c r="E300" t="inlineStr">
        <is>
          <t>HÄSSLEHOLM</t>
        </is>
      </c>
      <c r="G300" t="n">
        <v>3.4</v>
      </c>
      <c r="H300" t="n">
        <v>0</v>
      </c>
      <c r="I300" t="n">
        <v>0</v>
      </c>
      <c r="J300" t="n">
        <v>0</v>
      </c>
      <c r="K300" t="n">
        <v>0</v>
      </c>
      <c r="L300" t="n">
        <v>0</v>
      </c>
      <c r="M300" t="n">
        <v>0</v>
      </c>
      <c r="N300" t="n">
        <v>0</v>
      </c>
      <c r="O300" t="n">
        <v>0</v>
      </c>
      <c r="P300" t="n">
        <v>0</v>
      </c>
      <c r="Q300" t="n">
        <v>0</v>
      </c>
      <c r="R300" s="2" t="inlineStr"/>
    </row>
    <row r="301" ht="15" customHeight="1">
      <c r="A301" t="inlineStr">
        <is>
          <t>A 61932-2023</t>
        </is>
      </c>
      <c r="B301" s="1" t="n">
        <v>45266.53761574074</v>
      </c>
      <c r="C301" s="1" t="n">
        <v>46084</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27606-2024</t>
        </is>
      </c>
      <c r="B302" s="1" t="n">
        <v>45474</v>
      </c>
      <c r="C302" s="1" t="n">
        <v>46084</v>
      </c>
      <c r="D302" t="inlineStr">
        <is>
          <t>SKÅNE LÄN</t>
        </is>
      </c>
      <c r="E302" t="inlineStr">
        <is>
          <t>HÄSSLEHOLM</t>
        </is>
      </c>
      <c r="G302" t="n">
        <v>3.6</v>
      </c>
      <c r="H302" t="n">
        <v>0</v>
      </c>
      <c r="I302" t="n">
        <v>0</v>
      </c>
      <c r="J302" t="n">
        <v>0</v>
      </c>
      <c r="K302" t="n">
        <v>0</v>
      </c>
      <c r="L302" t="n">
        <v>0</v>
      </c>
      <c r="M302" t="n">
        <v>0</v>
      </c>
      <c r="N302" t="n">
        <v>0</v>
      </c>
      <c r="O302" t="n">
        <v>0</v>
      </c>
      <c r="P302" t="n">
        <v>0</v>
      </c>
      <c r="Q302" t="n">
        <v>0</v>
      </c>
      <c r="R302" s="2" t="inlineStr"/>
    </row>
    <row r="303" ht="15" customHeight="1">
      <c r="A303" t="inlineStr">
        <is>
          <t>A 50244-2024</t>
        </is>
      </c>
      <c r="B303" s="1" t="n">
        <v>45600.56502314815</v>
      </c>
      <c r="C303" s="1" t="n">
        <v>46084</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7221-2025</t>
        </is>
      </c>
      <c r="B304" s="1" t="n">
        <v>45701</v>
      </c>
      <c r="C304" s="1" t="n">
        <v>46084</v>
      </c>
      <c r="D304" t="inlineStr">
        <is>
          <t>SKÅNE LÄN</t>
        </is>
      </c>
      <c r="E304" t="inlineStr">
        <is>
          <t>HÄSSLEHOLM</t>
        </is>
      </c>
      <c r="G304" t="n">
        <v>1.8</v>
      </c>
      <c r="H304" t="n">
        <v>0</v>
      </c>
      <c r="I304" t="n">
        <v>0</v>
      </c>
      <c r="J304" t="n">
        <v>0</v>
      </c>
      <c r="K304" t="n">
        <v>0</v>
      </c>
      <c r="L304" t="n">
        <v>0</v>
      </c>
      <c r="M304" t="n">
        <v>0</v>
      </c>
      <c r="N304" t="n">
        <v>0</v>
      </c>
      <c r="O304" t="n">
        <v>0</v>
      </c>
      <c r="P304" t="n">
        <v>0</v>
      </c>
      <c r="Q304" t="n">
        <v>0</v>
      </c>
      <c r="R304" s="2" t="inlineStr"/>
    </row>
    <row r="305" ht="15" customHeight="1">
      <c r="A305" t="inlineStr">
        <is>
          <t>A 5532-2025</t>
        </is>
      </c>
      <c r="B305" s="1" t="n">
        <v>45693</v>
      </c>
      <c r="C305" s="1" t="n">
        <v>46084</v>
      </c>
      <c r="D305" t="inlineStr">
        <is>
          <t>SKÅNE LÄN</t>
        </is>
      </c>
      <c r="E305" t="inlineStr">
        <is>
          <t>HÄSSLEHOLM</t>
        </is>
      </c>
      <c r="G305" t="n">
        <v>2.4</v>
      </c>
      <c r="H305" t="n">
        <v>0</v>
      </c>
      <c r="I305" t="n">
        <v>0</v>
      </c>
      <c r="J305" t="n">
        <v>0</v>
      </c>
      <c r="K305" t="n">
        <v>0</v>
      </c>
      <c r="L305" t="n">
        <v>0</v>
      </c>
      <c r="M305" t="n">
        <v>0</v>
      </c>
      <c r="N305" t="n">
        <v>0</v>
      </c>
      <c r="O305" t="n">
        <v>0</v>
      </c>
      <c r="P305" t="n">
        <v>0</v>
      </c>
      <c r="Q305" t="n">
        <v>0</v>
      </c>
      <c r="R305" s="2" t="inlineStr"/>
    </row>
    <row r="306" ht="15" customHeight="1">
      <c r="A306" t="inlineStr">
        <is>
          <t>A 17152-2025</t>
        </is>
      </c>
      <c r="B306" s="1" t="n">
        <v>45756.33318287037</v>
      </c>
      <c r="C306" s="1" t="n">
        <v>46084</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34301-2024</t>
        </is>
      </c>
      <c r="B307" s="1" t="n">
        <v>45524</v>
      </c>
      <c r="C307" s="1" t="n">
        <v>46084</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27242-2022</t>
        </is>
      </c>
      <c r="B308" s="1" t="n">
        <v>44741</v>
      </c>
      <c r="C308" s="1" t="n">
        <v>46084</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10230-2025</t>
        </is>
      </c>
      <c r="B309" s="1" t="n">
        <v>45720</v>
      </c>
      <c r="C309" s="1" t="n">
        <v>46084</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33266-2024</t>
        </is>
      </c>
      <c r="B310" s="1" t="n">
        <v>45518</v>
      </c>
      <c r="C310" s="1" t="n">
        <v>46084</v>
      </c>
      <c r="D310" t="inlineStr">
        <is>
          <t>SKÅNE LÄN</t>
        </is>
      </c>
      <c r="E310" t="inlineStr">
        <is>
          <t>HÄSSLEHOLM</t>
        </is>
      </c>
      <c r="G310" t="n">
        <v>3.2</v>
      </c>
      <c r="H310" t="n">
        <v>0</v>
      </c>
      <c r="I310" t="n">
        <v>0</v>
      </c>
      <c r="J310" t="n">
        <v>0</v>
      </c>
      <c r="K310" t="n">
        <v>0</v>
      </c>
      <c r="L310" t="n">
        <v>0</v>
      </c>
      <c r="M310" t="n">
        <v>0</v>
      </c>
      <c r="N310" t="n">
        <v>0</v>
      </c>
      <c r="O310" t="n">
        <v>0</v>
      </c>
      <c r="P310" t="n">
        <v>0</v>
      </c>
      <c r="Q310" t="n">
        <v>0</v>
      </c>
      <c r="R310" s="2" t="inlineStr"/>
    </row>
    <row r="311" ht="15" customHeight="1">
      <c r="A311" t="inlineStr">
        <is>
          <t>A 20666-2023</t>
        </is>
      </c>
      <c r="B311" s="1" t="n">
        <v>45058.35664351852</v>
      </c>
      <c r="C311" s="1" t="n">
        <v>46084</v>
      </c>
      <c r="D311" t="inlineStr">
        <is>
          <t>SKÅNE LÄN</t>
        </is>
      </c>
      <c r="E311" t="inlineStr">
        <is>
          <t>HÄSSLEHOLM</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61158-2022</t>
        </is>
      </c>
      <c r="B312" s="1" t="n">
        <v>44915.47112268519</v>
      </c>
      <c r="C312" s="1" t="n">
        <v>46084</v>
      </c>
      <c r="D312" t="inlineStr">
        <is>
          <t>SKÅNE LÄN</t>
        </is>
      </c>
      <c r="E312" t="inlineStr">
        <is>
          <t>HÄSSLEHOLM</t>
        </is>
      </c>
      <c r="G312" t="n">
        <v>8.4</v>
      </c>
      <c r="H312" t="n">
        <v>0</v>
      </c>
      <c r="I312" t="n">
        <v>0</v>
      </c>
      <c r="J312" t="n">
        <v>0</v>
      </c>
      <c r="K312" t="n">
        <v>0</v>
      </c>
      <c r="L312" t="n">
        <v>0</v>
      </c>
      <c r="M312" t="n">
        <v>0</v>
      </c>
      <c r="N312" t="n">
        <v>0</v>
      </c>
      <c r="O312" t="n">
        <v>0</v>
      </c>
      <c r="P312" t="n">
        <v>0</v>
      </c>
      <c r="Q312" t="n">
        <v>0</v>
      </c>
      <c r="R312" s="2" t="inlineStr"/>
    </row>
    <row r="313" ht="15" customHeight="1">
      <c r="A313" t="inlineStr">
        <is>
          <t>A 59028-2023</t>
        </is>
      </c>
      <c r="B313" s="1" t="n">
        <v>45252.67900462963</v>
      </c>
      <c r="C313" s="1" t="n">
        <v>46084</v>
      </c>
      <c r="D313" t="inlineStr">
        <is>
          <t>SKÅNE LÄN</t>
        </is>
      </c>
      <c r="E313" t="inlineStr">
        <is>
          <t>HÄSSLEHOLM</t>
        </is>
      </c>
      <c r="G313" t="n">
        <v>2.5</v>
      </c>
      <c r="H313" t="n">
        <v>0</v>
      </c>
      <c r="I313" t="n">
        <v>0</v>
      </c>
      <c r="J313" t="n">
        <v>0</v>
      </c>
      <c r="K313" t="n">
        <v>0</v>
      </c>
      <c r="L313" t="n">
        <v>0</v>
      </c>
      <c r="M313" t="n">
        <v>0</v>
      </c>
      <c r="N313" t="n">
        <v>0</v>
      </c>
      <c r="O313" t="n">
        <v>0</v>
      </c>
      <c r="P313" t="n">
        <v>0</v>
      </c>
      <c r="Q313" t="n">
        <v>0</v>
      </c>
      <c r="R313" s="2" t="inlineStr"/>
    </row>
    <row r="314" ht="15" customHeight="1">
      <c r="A314" t="inlineStr">
        <is>
          <t>A 61186-2022</t>
        </is>
      </c>
      <c r="B314" s="1" t="n">
        <v>44915.50745370371</v>
      </c>
      <c r="C314" s="1" t="n">
        <v>46084</v>
      </c>
      <c r="D314" t="inlineStr">
        <is>
          <t>SKÅNE LÄN</t>
        </is>
      </c>
      <c r="E314" t="inlineStr">
        <is>
          <t>HÄSSLEHOLM</t>
        </is>
      </c>
      <c r="G314" t="n">
        <v>2.9</v>
      </c>
      <c r="H314" t="n">
        <v>0</v>
      </c>
      <c r="I314" t="n">
        <v>0</v>
      </c>
      <c r="J314" t="n">
        <v>0</v>
      </c>
      <c r="K314" t="n">
        <v>0</v>
      </c>
      <c r="L314" t="n">
        <v>0</v>
      </c>
      <c r="M314" t="n">
        <v>0</v>
      </c>
      <c r="N314" t="n">
        <v>0</v>
      </c>
      <c r="O314" t="n">
        <v>0</v>
      </c>
      <c r="P314" t="n">
        <v>0</v>
      </c>
      <c r="Q314" t="n">
        <v>0</v>
      </c>
      <c r="R314" s="2" t="inlineStr"/>
    </row>
    <row r="315" ht="15" customHeight="1">
      <c r="A315" t="inlineStr">
        <is>
          <t>A 62055-2023</t>
        </is>
      </c>
      <c r="B315" s="1" t="n">
        <v>45266.70287037037</v>
      </c>
      <c r="C315" s="1" t="n">
        <v>46084</v>
      </c>
      <c r="D315" t="inlineStr">
        <is>
          <t>SKÅNE LÄN</t>
        </is>
      </c>
      <c r="E315" t="inlineStr">
        <is>
          <t>HÄSSLEHOLM</t>
        </is>
      </c>
      <c r="G315" t="n">
        <v>5.2</v>
      </c>
      <c r="H315" t="n">
        <v>0</v>
      </c>
      <c r="I315" t="n">
        <v>0</v>
      </c>
      <c r="J315" t="n">
        <v>0</v>
      </c>
      <c r="K315" t="n">
        <v>0</v>
      </c>
      <c r="L315" t="n">
        <v>0</v>
      </c>
      <c r="M315" t="n">
        <v>0</v>
      </c>
      <c r="N315" t="n">
        <v>0</v>
      </c>
      <c r="O315" t="n">
        <v>0</v>
      </c>
      <c r="P315" t="n">
        <v>0</v>
      </c>
      <c r="Q315" t="n">
        <v>0</v>
      </c>
      <c r="R315" s="2" t="inlineStr"/>
    </row>
    <row r="316" ht="15" customHeight="1">
      <c r="A316" t="inlineStr">
        <is>
          <t>A 48797-2023</t>
        </is>
      </c>
      <c r="B316" s="1" t="n">
        <v>45209.24986111111</v>
      </c>
      <c r="C316" s="1" t="n">
        <v>46084</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22592-2025</t>
        </is>
      </c>
      <c r="B317" s="1" t="n">
        <v>45789.40502314815</v>
      </c>
      <c r="C317" s="1" t="n">
        <v>46084</v>
      </c>
      <c r="D317" t="inlineStr">
        <is>
          <t>SKÅNE LÄN</t>
        </is>
      </c>
      <c r="E317" t="inlineStr">
        <is>
          <t>HÄSSLEHOLM</t>
        </is>
      </c>
      <c r="G317" t="n">
        <v>7.1</v>
      </c>
      <c r="H317" t="n">
        <v>0</v>
      </c>
      <c r="I317" t="n">
        <v>0</v>
      </c>
      <c r="J317" t="n">
        <v>0</v>
      </c>
      <c r="K317" t="n">
        <v>0</v>
      </c>
      <c r="L317" t="n">
        <v>0</v>
      </c>
      <c r="M317" t="n">
        <v>0</v>
      </c>
      <c r="N317" t="n">
        <v>0</v>
      </c>
      <c r="O317" t="n">
        <v>0</v>
      </c>
      <c r="P317" t="n">
        <v>0</v>
      </c>
      <c r="Q317" t="n">
        <v>0</v>
      </c>
      <c r="R317" s="2" t="inlineStr"/>
    </row>
    <row r="318" ht="15" customHeight="1">
      <c r="A318" t="inlineStr">
        <is>
          <t>A 8250-2023</t>
        </is>
      </c>
      <c r="B318" s="1" t="n">
        <v>44974</v>
      </c>
      <c r="C318" s="1" t="n">
        <v>46084</v>
      </c>
      <c r="D318" t="inlineStr">
        <is>
          <t>SKÅNE LÄN</t>
        </is>
      </c>
      <c r="E318" t="inlineStr">
        <is>
          <t>HÄSSLEHOLM</t>
        </is>
      </c>
      <c r="G318" t="n">
        <v>3</v>
      </c>
      <c r="H318" t="n">
        <v>0</v>
      </c>
      <c r="I318" t="n">
        <v>0</v>
      </c>
      <c r="J318" t="n">
        <v>0</v>
      </c>
      <c r="K318" t="n">
        <v>0</v>
      </c>
      <c r="L318" t="n">
        <v>0</v>
      </c>
      <c r="M318" t="n">
        <v>0</v>
      </c>
      <c r="N318" t="n">
        <v>0</v>
      </c>
      <c r="O318" t="n">
        <v>0</v>
      </c>
      <c r="P318" t="n">
        <v>0</v>
      </c>
      <c r="Q318" t="n">
        <v>0</v>
      </c>
      <c r="R318" s="2" t="inlineStr"/>
    </row>
    <row r="319" ht="15" customHeight="1">
      <c r="A319" t="inlineStr">
        <is>
          <t>A 57079-2022</t>
        </is>
      </c>
      <c r="B319" s="1" t="n">
        <v>44895</v>
      </c>
      <c r="C319" s="1" t="n">
        <v>46084</v>
      </c>
      <c r="D319" t="inlineStr">
        <is>
          <t>SKÅNE LÄN</t>
        </is>
      </c>
      <c r="E319" t="inlineStr">
        <is>
          <t>HÄSSLEHOLM</t>
        </is>
      </c>
      <c r="G319" t="n">
        <v>2.6</v>
      </c>
      <c r="H319" t="n">
        <v>0</v>
      </c>
      <c r="I319" t="n">
        <v>0</v>
      </c>
      <c r="J319" t="n">
        <v>0</v>
      </c>
      <c r="K319" t="n">
        <v>0</v>
      </c>
      <c r="L319" t="n">
        <v>0</v>
      </c>
      <c r="M319" t="n">
        <v>0</v>
      </c>
      <c r="N319" t="n">
        <v>0</v>
      </c>
      <c r="O319" t="n">
        <v>0</v>
      </c>
      <c r="P319" t="n">
        <v>0</v>
      </c>
      <c r="Q319" t="n">
        <v>0</v>
      </c>
      <c r="R319" s="2" t="inlineStr"/>
    </row>
    <row r="320" ht="15" customHeight="1">
      <c r="A320" t="inlineStr">
        <is>
          <t>A 15698-2023</t>
        </is>
      </c>
      <c r="B320" s="1" t="n">
        <v>45021</v>
      </c>
      <c r="C320" s="1" t="n">
        <v>46084</v>
      </c>
      <c r="D320" t="inlineStr">
        <is>
          <t>SKÅNE LÄN</t>
        </is>
      </c>
      <c r="E320" t="inlineStr">
        <is>
          <t>HÄSSLEHOLM</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20566-2023</t>
        </is>
      </c>
      <c r="B321" s="1" t="n">
        <v>45057</v>
      </c>
      <c r="C321" s="1" t="n">
        <v>46084</v>
      </c>
      <c r="D321" t="inlineStr">
        <is>
          <t>SKÅNE LÄN</t>
        </is>
      </c>
      <c r="E321" t="inlineStr">
        <is>
          <t>HÄSSLEHOLM</t>
        </is>
      </c>
      <c r="G321" t="n">
        <v>5.2</v>
      </c>
      <c r="H321" t="n">
        <v>0</v>
      </c>
      <c r="I321" t="n">
        <v>0</v>
      </c>
      <c r="J321" t="n">
        <v>0</v>
      </c>
      <c r="K321" t="n">
        <v>0</v>
      </c>
      <c r="L321" t="n">
        <v>0</v>
      </c>
      <c r="M321" t="n">
        <v>0</v>
      </c>
      <c r="N321" t="n">
        <v>0</v>
      </c>
      <c r="O321" t="n">
        <v>0</v>
      </c>
      <c r="P321" t="n">
        <v>0</v>
      </c>
      <c r="Q321" t="n">
        <v>0</v>
      </c>
      <c r="R321" s="2" t="inlineStr"/>
    </row>
    <row r="322" ht="15" customHeight="1">
      <c r="A322" t="inlineStr">
        <is>
          <t>A 23007-2025</t>
        </is>
      </c>
      <c r="B322" s="1" t="n">
        <v>45790</v>
      </c>
      <c r="C322" s="1" t="n">
        <v>46084</v>
      </c>
      <c r="D322" t="inlineStr">
        <is>
          <t>SKÅNE LÄN</t>
        </is>
      </c>
      <c r="E322" t="inlineStr">
        <is>
          <t>HÄSSLEHOLM</t>
        </is>
      </c>
      <c r="G322" t="n">
        <v>0.4</v>
      </c>
      <c r="H322" t="n">
        <v>0</v>
      </c>
      <c r="I322" t="n">
        <v>0</v>
      </c>
      <c r="J322" t="n">
        <v>0</v>
      </c>
      <c r="K322" t="n">
        <v>0</v>
      </c>
      <c r="L322" t="n">
        <v>0</v>
      </c>
      <c r="M322" t="n">
        <v>0</v>
      </c>
      <c r="N322" t="n">
        <v>0</v>
      </c>
      <c r="O322" t="n">
        <v>0</v>
      </c>
      <c r="P322" t="n">
        <v>0</v>
      </c>
      <c r="Q322" t="n">
        <v>0</v>
      </c>
      <c r="R322" s="2" t="inlineStr"/>
    </row>
    <row r="323" ht="15" customHeight="1">
      <c r="A323" t="inlineStr">
        <is>
          <t>A 33465-2024</t>
        </is>
      </c>
      <c r="B323" s="1" t="n">
        <v>45519.59619212963</v>
      </c>
      <c r="C323" s="1" t="n">
        <v>46084</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17171-2025</t>
        </is>
      </c>
      <c r="B324" s="1" t="n">
        <v>45755</v>
      </c>
      <c r="C324" s="1" t="n">
        <v>46084</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16930-2024</t>
        </is>
      </c>
      <c r="B325" s="1" t="n">
        <v>45411</v>
      </c>
      <c r="C325" s="1" t="n">
        <v>46084</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27825-2024</t>
        </is>
      </c>
      <c r="B326" s="1" t="n">
        <v>45475</v>
      </c>
      <c r="C326" s="1" t="n">
        <v>46084</v>
      </c>
      <c r="D326" t="inlineStr">
        <is>
          <t>SKÅNE LÄN</t>
        </is>
      </c>
      <c r="E326" t="inlineStr">
        <is>
          <t>HÄSSLEHOLM</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31254-2024</t>
        </is>
      </c>
      <c r="B327" s="1" t="n">
        <v>45503</v>
      </c>
      <c r="C327" s="1" t="n">
        <v>46084</v>
      </c>
      <c r="D327" t="inlineStr">
        <is>
          <t>SKÅNE LÄN</t>
        </is>
      </c>
      <c r="E327" t="inlineStr">
        <is>
          <t>HÄSSLEHOLM</t>
        </is>
      </c>
      <c r="G327" t="n">
        <v>2.2</v>
      </c>
      <c r="H327" t="n">
        <v>0</v>
      </c>
      <c r="I327" t="n">
        <v>0</v>
      </c>
      <c r="J327" t="n">
        <v>0</v>
      </c>
      <c r="K327" t="n">
        <v>0</v>
      </c>
      <c r="L327" t="n">
        <v>0</v>
      </c>
      <c r="M327" t="n">
        <v>0</v>
      </c>
      <c r="N327" t="n">
        <v>0</v>
      </c>
      <c r="O327" t="n">
        <v>0</v>
      </c>
      <c r="P327" t="n">
        <v>0</v>
      </c>
      <c r="Q327" t="n">
        <v>0</v>
      </c>
      <c r="R327" s="2" t="inlineStr"/>
    </row>
    <row r="328" ht="15" customHeight="1">
      <c r="A328" t="inlineStr">
        <is>
          <t>A 37486-2024</t>
        </is>
      </c>
      <c r="B328" s="1" t="n">
        <v>45541</v>
      </c>
      <c r="C328" s="1" t="n">
        <v>46084</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26642-2023</t>
        </is>
      </c>
      <c r="B329" s="1" t="n">
        <v>45092.8975</v>
      </c>
      <c r="C329" s="1" t="n">
        <v>46084</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44838-2023</t>
        </is>
      </c>
      <c r="B330" s="1" t="n">
        <v>45190</v>
      </c>
      <c r="C330" s="1" t="n">
        <v>46084</v>
      </c>
      <c r="D330" t="inlineStr">
        <is>
          <t>SKÅNE LÄN</t>
        </is>
      </c>
      <c r="E330" t="inlineStr">
        <is>
          <t>HÄSSLEHOLM</t>
        </is>
      </c>
      <c r="F330" t="inlineStr">
        <is>
          <t>Kommuner</t>
        </is>
      </c>
      <c r="G330" t="n">
        <v>2</v>
      </c>
      <c r="H330" t="n">
        <v>0</v>
      </c>
      <c r="I330" t="n">
        <v>0</v>
      </c>
      <c r="J330" t="n">
        <v>0</v>
      </c>
      <c r="K330" t="n">
        <v>0</v>
      </c>
      <c r="L330" t="n">
        <v>0</v>
      </c>
      <c r="M330" t="n">
        <v>0</v>
      </c>
      <c r="N330" t="n">
        <v>0</v>
      </c>
      <c r="O330" t="n">
        <v>0</v>
      </c>
      <c r="P330" t="n">
        <v>0</v>
      </c>
      <c r="Q330" t="n">
        <v>0</v>
      </c>
      <c r="R330" s="2" t="inlineStr"/>
    </row>
    <row r="331" ht="15" customHeight="1">
      <c r="A331" t="inlineStr">
        <is>
          <t>A 13954-2023</t>
        </is>
      </c>
      <c r="B331" s="1" t="n">
        <v>45008</v>
      </c>
      <c r="C331" s="1" t="n">
        <v>46084</v>
      </c>
      <c r="D331" t="inlineStr">
        <is>
          <t>SKÅNE LÄN</t>
        </is>
      </c>
      <c r="E331" t="inlineStr">
        <is>
          <t>HÄSSLEHOLM</t>
        </is>
      </c>
      <c r="G331" t="n">
        <v>1.9</v>
      </c>
      <c r="H331" t="n">
        <v>0</v>
      </c>
      <c r="I331" t="n">
        <v>0</v>
      </c>
      <c r="J331" t="n">
        <v>0</v>
      </c>
      <c r="K331" t="n">
        <v>0</v>
      </c>
      <c r="L331" t="n">
        <v>0</v>
      </c>
      <c r="M331" t="n">
        <v>0</v>
      </c>
      <c r="N331" t="n">
        <v>0</v>
      </c>
      <c r="O331" t="n">
        <v>0</v>
      </c>
      <c r="P331" t="n">
        <v>0</v>
      </c>
      <c r="Q331" t="n">
        <v>0</v>
      </c>
      <c r="R331" s="2" t="inlineStr"/>
    </row>
    <row r="332" ht="15" customHeight="1">
      <c r="A332" t="inlineStr">
        <is>
          <t>A 1560-2023</t>
        </is>
      </c>
      <c r="B332" s="1" t="n">
        <v>44937</v>
      </c>
      <c r="C332" s="1" t="n">
        <v>46084</v>
      </c>
      <c r="D332" t="inlineStr">
        <is>
          <t>SKÅNE LÄN</t>
        </is>
      </c>
      <c r="E332" t="inlineStr">
        <is>
          <t>HÄSSLEHOLM</t>
        </is>
      </c>
      <c r="G332" t="n">
        <v>6.8</v>
      </c>
      <c r="H332" t="n">
        <v>0</v>
      </c>
      <c r="I332" t="n">
        <v>0</v>
      </c>
      <c r="J332" t="n">
        <v>0</v>
      </c>
      <c r="K332" t="n">
        <v>0</v>
      </c>
      <c r="L332" t="n">
        <v>0</v>
      </c>
      <c r="M332" t="n">
        <v>0</v>
      </c>
      <c r="N332" t="n">
        <v>0</v>
      </c>
      <c r="O332" t="n">
        <v>0</v>
      </c>
      <c r="P332" t="n">
        <v>0</v>
      </c>
      <c r="Q332" t="n">
        <v>0</v>
      </c>
      <c r="R332" s="2" t="inlineStr"/>
    </row>
    <row r="333" ht="15" customHeight="1">
      <c r="A333" t="inlineStr">
        <is>
          <t>A 66321-2021</t>
        </is>
      </c>
      <c r="B333" s="1" t="n">
        <v>44518</v>
      </c>
      <c r="C333" s="1" t="n">
        <v>46084</v>
      </c>
      <c r="D333" t="inlineStr">
        <is>
          <t>SKÅNE LÄN</t>
        </is>
      </c>
      <c r="E333" t="inlineStr">
        <is>
          <t>HÄSSLEHOLM</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13007-2024</t>
        </is>
      </c>
      <c r="B334" s="1" t="n">
        <v>45385.57092592592</v>
      </c>
      <c r="C334" s="1" t="n">
        <v>46084</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16668-2025</t>
        </is>
      </c>
      <c r="B335" s="1" t="n">
        <v>45754.43009259259</v>
      </c>
      <c r="C335" s="1" t="n">
        <v>46084</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23857-2024</t>
        </is>
      </c>
      <c r="B336" s="1" t="n">
        <v>45455</v>
      </c>
      <c r="C336" s="1" t="n">
        <v>46084</v>
      </c>
      <c r="D336" t="inlineStr">
        <is>
          <t>SKÅNE LÄN</t>
        </is>
      </c>
      <c r="E336" t="inlineStr">
        <is>
          <t>HÄSSLEHOLM</t>
        </is>
      </c>
      <c r="G336" t="n">
        <v>3</v>
      </c>
      <c r="H336" t="n">
        <v>0</v>
      </c>
      <c r="I336" t="n">
        <v>0</v>
      </c>
      <c r="J336" t="n">
        <v>0</v>
      </c>
      <c r="K336" t="n">
        <v>0</v>
      </c>
      <c r="L336" t="n">
        <v>0</v>
      </c>
      <c r="M336" t="n">
        <v>0</v>
      </c>
      <c r="N336" t="n">
        <v>0</v>
      </c>
      <c r="O336" t="n">
        <v>0</v>
      </c>
      <c r="P336" t="n">
        <v>0</v>
      </c>
      <c r="Q336" t="n">
        <v>0</v>
      </c>
      <c r="R336" s="2" t="inlineStr"/>
    </row>
    <row r="337" ht="15" customHeight="1">
      <c r="A337" t="inlineStr">
        <is>
          <t>A 34886-2023</t>
        </is>
      </c>
      <c r="B337" s="1" t="n">
        <v>45142.38450231482</v>
      </c>
      <c r="C337" s="1" t="n">
        <v>46084</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31268-2024</t>
        </is>
      </c>
      <c r="B338" s="1" t="n">
        <v>45504</v>
      </c>
      <c r="C338" s="1" t="n">
        <v>46084</v>
      </c>
      <c r="D338" t="inlineStr">
        <is>
          <t>SKÅNE LÄN</t>
        </is>
      </c>
      <c r="E338" t="inlineStr">
        <is>
          <t>HÄSSLEHOLM</t>
        </is>
      </c>
      <c r="G338" t="n">
        <v>1.5</v>
      </c>
      <c r="H338" t="n">
        <v>0</v>
      </c>
      <c r="I338" t="n">
        <v>0</v>
      </c>
      <c r="J338" t="n">
        <v>0</v>
      </c>
      <c r="K338" t="n">
        <v>0</v>
      </c>
      <c r="L338" t="n">
        <v>0</v>
      </c>
      <c r="M338" t="n">
        <v>0</v>
      </c>
      <c r="N338" t="n">
        <v>0</v>
      </c>
      <c r="O338" t="n">
        <v>0</v>
      </c>
      <c r="P338" t="n">
        <v>0</v>
      </c>
      <c r="Q338" t="n">
        <v>0</v>
      </c>
      <c r="R338" s="2" t="inlineStr"/>
    </row>
    <row r="339" ht="15" customHeight="1">
      <c r="A339" t="inlineStr">
        <is>
          <t>A 28599-2024</t>
        </is>
      </c>
      <c r="B339" s="1" t="n">
        <v>45478.4247800926</v>
      </c>
      <c r="C339" s="1" t="n">
        <v>46084</v>
      </c>
      <c r="D339" t="inlineStr">
        <is>
          <t>SKÅNE LÄN</t>
        </is>
      </c>
      <c r="E339" t="inlineStr">
        <is>
          <t>HÄSSLEHOLM</t>
        </is>
      </c>
      <c r="G339" t="n">
        <v>8.6</v>
      </c>
      <c r="H339" t="n">
        <v>0</v>
      </c>
      <c r="I339" t="n">
        <v>0</v>
      </c>
      <c r="J339" t="n">
        <v>0</v>
      </c>
      <c r="K339" t="n">
        <v>0</v>
      </c>
      <c r="L339" t="n">
        <v>0</v>
      </c>
      <c r="M339" t="n">
        <v>0</v>
      </c>
      <c r="N339" t="n">
        <v>0</v>
      </c>
      <c r="O339" t="n">
        <v>0</v>
      </c>
      <c r="P339" t="n">
        <v>0</v>
      </c>
      <c r="Q339" t="n">
        <v>0</v>
      </c>
      <c r="R339" s="2" t="inlineStr"/>
    </row>
    <row r="340" ht="15" customHeight="1">
      <c r="A340" t="inlineStr">
        <is>
          <t>A 40152-2024</t>
        </is>
      </c>
      <c r="B340" s="1" t="n">
        <v>45554</v>
      </c>
      <c r="C340" s="1" t="n">
        <v>46084</v>
      </c>
      <c r="D340" t="inlineStr">
        <is>
          <t>SKÅNE LÄN</t>
        </is>
      </c>
      <c r="E340" t="inlineStr">
        <is>
          <t>HÄSSLEHOLM</t>
        </is>
      </c>
      <c r="G340" t="n">
        <v>1.1</v>
      </c>
      <c r="H340" t="n">
        <v>0</v>
      </c>
      <c r="I340" t="n">
        <v>0</v>
      </c>
      <c r="J340" t="n">
        <v>0</v>
      </c>
      <c r="K340" t="n">
        <v>0</v>
      </c>
      <c r="L340" t="n">
        <v>0</v>
      </c>
      <c r="M340" t="n">
        <v>0</v>
      </c>
      <c r="N340" t="n">
        <v>0</v>
      </c>
      <c r="O340" t="n">
        <v>0</v>
      </c>
      <c r="P340" t="n">
        <v>0</v>
      </c>
      <c r="Q340" t="n">
        <v>0</v>
      </c>
      <c r="R340" s="2" t="inlineStr"/>
    </row>
    <row r="341" ht="15" customHeight="1">
      <c r="A341" t="inlineStr">
        <is>
          <t>A 74030-2021</t>
        </is>
      </c>
      <c r="B341" s="1" t="n">
        <v>44553</v>
      </c>
      <c r="C341" s="1" t="n">
        <v>46084</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15072-2024</t>
        </is>
      </c>
      <c r="B342" s="1" t="n">
        <v>45399.5996875</v>
      </c>
      <c r="C342" s="1" t="n">
        <v>46084</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11262-2025</t>
        </is>
      </c>
      <c r="B343" s="1" t="n">
        <v>45726</v>
      </c>
      <c r="C343" s="1" t="n">
        <v>46084</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51287-2022</t>
        </is>
      </c>
      <c r="B344" s="1" t="n">
        <v>44868.83146990741</v>
      </c>
      <c r="C344" s="1" t="n">
        <v>46084</v>
      </c>
      <c r="D344" t="inlineStr">
        <is>
          <t>SKÅNE LÄN</t>
        </is>
      </c>
      <c r="E344" t="inlineStr">
        <is>
          <t>HÄSSLEHOLM</t>
        </is>
      </c>
      <c r="G344" t="n">
        <v>2.2</v>
      </c>
      <c r="H344" t="n">
        <v>0</v>
      </c>
      <c r="I344" t="n">
        <v>0</v>
      </c>
      <c r="J344" t="n">
        <v>0</v>
      </c>
      <c r="K344" t="n">
        <v>0</v>
      </c>
      <c r="L344" t="n">
        <v>0</v>
      </c>
      <c r="M344" t="n">
        <v>0</v>
      </c>
      <c r="N344" t="n">
        <v>0</v>
      </c>
      <c r="O344" t="n">
        <v>0</v>
      </c>
      <c r="P344" t="n">
        <v>0</v>
      </c>
      <c r="Q344" t="n">
        <v>0</v>
      </c>
      <c r="R344" s="2" t="inlineStr"/>
    </row>
    <row r="345" ht="15" customHeight="1">
      <c r="A345" t="inlineStr">
        <is>
          <t>A 5395-2024</t>
        </is>
      </c>
      <c r="B345" s="1" t="n">
        <v>45331</v>
      </c>
      <c r="C345" s="1" t="n">
        <v>46084</v>
      </c>
      <c r="D345" t="inlineStr">
        <is>
          <t>SKÅNE LÄN</t>
        </is>
      </c>
      <c r="E345" t="inlineStr">
        <is>
          <t>HÄSSLEHOLM</t>
        </is>
      </c>
      <c r="G345" t="n">
        <v>2.6</v>
      </c>
      <c r="H345" t="n">
        <v>0</v>
      </c>
      <c r="I345" t="n">
        <v>0</v>
      </c>
      <c r="J345" t="n">
        <v>0</v>
      </c>
      <c r="K345" t="n">
        <v>0</v>
      </c>
      <c r="L345" t="n">
        <v>0</v>
      </c>
      <c r="M345" t="n">
        <v>0</v>
      </c>
      <c r="N345" t="n">
        <v>0</v>
      </c>
      <c r="O345" t="n">
        <v>0</v>
      </c>
      <c r="P345" t="n">
        <v>0</v>
      </c>
      <c r="Q345" t="n">
        <v>0</v>
      </c>
      <c r="R345" s="2" t="inlineStr"/>
    </row>
    <row r="346" ht="15" customHeight="1">
      <c r="A346" t="inlineStr">
        <is>
          <t>A 2621-2025</t>
        </is>
      </c>
      <c r="B346" s="1" t="n">
        <v>45675.60765046296</v>
      </c>
      <c r="C346" s="1" t="n">
        <v>46084</v>
      </c>
      <c r="D346" t="inlineStr">
        <is>
          <t>SKÅNE LÄN</t>
        </is>
      </c>
      <c r="E346" t="inlineStr">
        <is>
          <t>HÄSSLEHOLM</t>
        </is>
      </c>
      <c r="F346" t="inlineStr">
        <is>
          <t>Kommuner</t>
        </is>
      </c>
      <c r="G346" t="n">
        <v>3</v>
      </c>
      <c r="H346" t="n">
        <v>0</v>
      </c>
      <c r="I346" t="n">
        <v>0</v>
      </c>
      <c r="J346" t="n">
        <v>0</v>
      </c>
      <c r="K346" t="n">
        <v>0</v>
      </c>
      <c r="L346" t="n">
        <v>0</v>
      </c>
      <c r="M346" t="n">
        <v>0</v>
      </c>
      <c r="N346" t="n">
        <v>0</v>
      </c>
      <c r="O346" t="n">
        <v>0</v>
      </c>
      <c r="P346" t="n">
        <v>0</v>
      </c>
      <c r="Q346" t="n">
        <v>0</v>
      </c>
      <c r="R346" s="2" t="inlineStr"/>
    </row>
    <row r="347" ht="15" customHeight="1">
      <c r="A347" t="inlineStr">
        <is>
          <t>A 8737-2025</t>
        </is>
      </c>
      <c r="B347" s="1" t="n">
        <v>45712.54578703704</v>
      </c>
      <c r="C347" s="1" t="n">
        <v>46084</v>
      </c>
      <c r="D347" t="inlineStr">
        <is>
          <t>SKÅNE LÄN</t>
        </is>
      </c>
      <c r="E347" t="inlineStr">
        <is>
          <t>HÄSSLEHOLM</t>
        </is>
      </c>
      <c r="G347" t="n">
        <v>2.7</v>
      </c>
      <c r="H347" t="n">
        <v>0</v>
      </c>
      <c r="I347" t="n">
        <v>0</v>
      </c>
      <c r="J347" t="n">
        <v>0</v>
      </c>
      <c r="K347" t="n">
        <v>0</v>
      </c>
      <c r="L347" t="n">
        <v>0</v>
      </c>
      <c r="M347" t="n">
        <v>0</v>
      </c>
      <c r="N347" t="n">
        <v>0</v>
      </c>
      <c r="O347" t="n">
        <v>0</v>
      </c>
      <c r="P347" t="n">
        <v>0</v>
      </c>
      <c r="Q347" t="n">
        <v>0</v>
      </c>
      <c r="R347" s="2" t="inlineStr"/>
    </row>
    <row r="348" ht="15" customHeight="1">
      <c r="A348" t="inlineStr">
        <is>
          <t>A 37764-2022</t>
        </is>
      </c>
      <c r="B348" s="1" t="n">
        <v>44810</v>
      </c>
      <c r="C348" s="1" t="n">
        <v>46084</v>
      </c>
      <c r="D348" t="inlineStr">
        <is>
          <t>SKÅNE LÄN</t>
        </is>
      </c>
      <c r="E348" t="inlineStr">
        <is>
          <t>HÄSSLEHOLM</t>
        </is>
      </c>
      <c r="F348" t="inlineStr">
        <is>
          <t>Kyrkan</t>
        </is>
      </c>
      <c r="G348" t="n">
        <v>9.4</v>
      </c>
      <c r="H348" t="n">
        <v>0</v>
      </c>
      <c r="I348" t="n">
        <v>0</v>
      </c>
      <c r="J348" t="n">
        <v>0</v>
      </c>
      <c r="K348" t="n">
        <v>0</v>
      </c>
      <c r="L348" t="n">
        <v>0</v>
      </c>
      <c r="M348" t="n">
        <v>0</v>
      </c>
      <c r="N348" t="n">
        <v>0</v>
      </c>
      <c r="O348" t="n">
        <v>0</v>
      </c>
      <c r="P348" t="n">
        <v>0</v>
      </c>
      <c r="Q348" t="n">
        <v>0</v>
      </c>
      <c r="R348" s="2" t="inlineStr"/>
    </row>
    <row r="349" ht="15" customHeight="1">
      <c r="A349" t="inlineStr">
        <is>
          <t>A 51018-2023</t>
        </is>
      </c>
      <c r="B349" s="1" t="n">
        <v>45218</v>
      </c>
      <c r="C349" s="1" t="n">
        <v>46084</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23005-2025</t>
        </is>
      </c>
      <c r="B350" s="1" t="n">
        <v>45790</v>
      </c>
      <c r="C350" s="1" t="n">
        <v>46084</v>
      </c>
      <c r="D350" t="inlineStr">
        <is>
          <t>SKÅNE LÄN</t>
        </is>
      </c>
      <c r="E350" t="inlineStr">
        <is>
          <t>HÄSSLEHOLM</t>
        </is>
      </c>
      <c r="G350" t="n">
        <v>0.3</v>
      </c>
      <c r="H350" t="n">
        <v>0</v>
      </c>
      <c r="I350" t="n">
        <v>0</v>
      </c>
      <c r="J350" t="n">
        <v>0</v>
      </c>
      <c r="K350" t="n">
        <v>0</v>
      </c>
      <c r="L350" t="n">
        <v>0</v>
      </c>
      <c r="M350" t="n">
        <v>0</v>
      </c>
      <c r="N350" t="n">
        <v>0</v>
      </c>
      <c r="O350" t="n">
        <v>0</v>
      </c>
      <c r="P350" t="n">
        <v>0</v>
      </c>
      <c r="Q350" t="n">
        <v>0</v>
      </c>
      <c r="R350" s="2" t="inlineStr"/>
    </row>
    <row r="351" ht="15" customHeight="1">
      <c r="A351" t="inlineStr">
        <is>
          <t>A 60797-2024</t>
        </is>
      </c>
      <c r="B351" s="1" t="n">
        <v>45644</v>
      </c>
      <c r="C351" s="1" t="n">
        <v>46084</v>
      </c>
      <c r="D351" t="inlineStr">
        <is>
          <t>SKÅNE LÄN</t>
        </is>
      </c>
      <c r="E351" t="inlineStr">
        <is>
          <t>HÄSSLEHOLM</t>
        </is>
      </c>
      <c r="G351" t="n">
        <v>3.4</v>
      </c>
      <c r="H351" t="n">
        <v>0</v>
      </c>
      <c r="I351" t="n">
        <v>0</v>
      </c>
      <c r="J351" t="n">
        <v>0</v>
      </c>
      <c r="K351" t="n">
        <v>0</v>
      </c>
      <c r="L351" t="n">
        <v>0</v>
      </c>
      <c r="M351" t="n">
        <v>0</v>
      </c>
      <c r="N351" t="n">
        <v>0</v>
      </c>
      <c r="O351" t="n">
        <v>0</v>
      </c>
      <c r="P351" t="n">
        <v>0</v>
      </c>
      <c r="Q351" t="n">
        <v>0</v>
      </c>
      <c r="R351" s="2" t="inlineStr"/>
    </row>
    <row r="352" ht="15" customHeight="1">
      <c r="A352" t="inlineStr">
        <is>
          <t>A 39366-2025</t>
        </is>
      </c>
      <c r="B352" s="1" t="n">
        <v>45889</v>
      </c>
      <c r="C352" s="1" t="n">
        <v>46084</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2596-2024</t>
        </is>
      </c>
      <c r="B353" s="1" t="n">
        <v>45313.69969907407</v>
      </c>
      <c r="C353" s="1" t="n">
        <v>46084</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16121-2025</t>
        </is>
      </c>
      <c r="B354" s="1" t="n">
        <v>45750.40384259259</v>
      </c>
      <c r="C354" s="1" t="n">
        <v>46084</v>
      </c>
      <c r="D354" t="inlineStr">
        <is>
          <t>SKÅNE LÄN</t>
        </is>
      </c>
      <c r="E354" t="inlineStr">
        <is>
          <t>HÄSSLEHOLM</t>
        </is>
      </c>
      <c r="G354" t="n">
        <v>1.6</v>
      </c>
      <c r="H354" t="n">
        <v>0</v>
      </c>
      <c r="I354" t="n">
        <v>0</v>
      </c>
      <c r="J354" t="n">
        <v>0</v>
      </c>
      <c r="K354" t="n">
        <v>0</v>
      </c>
      <c r="L354" t="n">
        <v>0</v>
      </c>
      <c r="M354" t="n">
        <v>0</v>
      </c>
      <c r="N354" t="n">
        <v>0</v>
      </c>
      <c r="O354" t="n">
        <v>0</v>
      </c>
      <c r="P354" t="n">
        <v>0</v>
      </c>
      <c r="Q354" t="n">
        <v>0</v>
      </c>
      <c r="R354" s="2" t="inlineStr"/>
    </row>
    <row r="355" ht="15" customHeight="1">
      <c r="A355" t="inlineStr">
        <is>
          <t>A 20494-2024</t>
        </is>
      </c>
      <c r="B355" s="1" t="n">
        <v>45435</v>
      </c>
      <c r="C355" s="1" t="n">
        <v>46084</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55454-2021</t>
        </is>
      </c>
      <c r="B356" s="1" t="n">
        <v>44475</v>
      </c>
      <c r="C356" s="1" t="n">
        <v>46084</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56069-2024</t>
        </is>
      </c>
      <c r="B357" s="1" t="n">
        <v>45624.38006944444</v>
      </c>
      <c r="C357" s="1" t="n">
        <v>46084</v>
      </c>
      <c r="D357" t="inlineStr">
        <is>
          <t>SKÅNE LÄN</t>
        </is>
      </c>
      <c r="E357" t="inlineStr">
        <is>
          <t>HÄSSLEHOLM</t>
        </is>
      </c>
      <c r="F357" t="inlineStr">
        <is>
          <t>Övriga Aktiebolag</t>
        </is>
      </c>
      <c r="G357" t="n">
        <v>2.3</v>
      </c>
      <c r="H357" t="n">
        <v>0</v>
      </c>
      <c r="I357" t="n">
        <v>0</v>
      </c>
      <c r="J357" t="n">
        <v>0</v>
      </c>
      <c r="K357" t="n">
        <v>0</v>
      </c>
      <c r="L357" t="n">
        <v>0</v>
      </c>
      <c r="M357" t="n">
        <v>0</v>
      </c>
      <c r="N357" t="n">
        <v>0</v>
      </c>
      <c r="O357" t="n">
        <v>0</v>
      </c>
      <c r="P357" t="n">
        <v>0</v>
      </c>
      <c r="Q357" t="n">
        <v>0</v>
      </c>
      <c r="R357" s="2" t="inlineStr"/>
    </row>
    <row r="358" ht="15" customHeight="1">
      <c r="A358" t="inlineStr">
        <is>
          <t>A 11446-2025</t>
        </is>
      </c>
      <c r="B358" s="1" t="n">
        <v>45726</v>
      </c>
      <c r="C358" s="1" t="n">
        <v>46084</v>
      </c>
      <c r="D358" t="inlineStr">
        <is>
          <t>SKÅNE LÄN</t>
        </is>
      </c>
      <c r="E358" t="inlineStr">
        <is>
          <t>HÄSSLEHOLM</t>
        </is>
      </c>
      <c r="G358" t="n">
        <v>1.9</v>
      </c>
      <c r="H358" t="n">
        <v>0</v>
      </c>
      <c r="I358" t="n">
        <v>0</v>
      </c>
      <c r="J358" t="n">
        <v>0</v>
      </c>
      <c r="K358" t="n">
        <v>0</v>
      </c>
      <c r="L358" t="n">
        <v>0</v>
      </c>
      <c r="M358" t="n">
        <v>0</v>
      </c>
      <c r="N358" t="n">
        <v>0</v>
      </c>
      <c r="O358" t="n">
        <v>0</v>
      </c>
      <c r="P358" t="n">
        <v>0</v>
      </c>
      <c r="Q358" t="n">
        <v>0</v>
      </c>
      <c r="R358" s="2" t="inlineStr"/>
    </row>
    <row r="359" ht="15" customHeight="1">
      <c r="A359" t="inlineStr">
        <is>
          <t>A 31572-2022</t>
        </is>
      </c>
      <c r="B359" s="1" t="n">
        <v>44775</v>
      </c>
      <c r="C359" s="1" t="n">
        <v>46084</v>
      </c>
      <c r="D359" t="inlineStr">
        <is>
          <t>SKÅNE LÄN</t>
        </is>
      </c>
      <c r="E359" t="inlineStr">
        <is>
          <t>HÄSSLEHOLM</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4356-2024</t>
        </is>
      </c>
      <c r="B360" s="1" t="n">
        <v>45325.36195601852</v>
      </c>
      <c r="C360" s="1" t="n">
        <v>46084</v>
      </c>
      <c r="D360" t="inlineStr">
        <is>
          <t>SKÅNE LÄN</t>
        </is>
      </c>
      <c r="E360" t="inlineStr">
        <is>
          <t>HÄSSLEHOLM</t>
        </is>
      </c>
      <c r="G360" t="n">
        <v>3.2</v>
      </c>
      <c r="H360" t="n">
        <v>0</v>
      </c>
      <c r="I360" t="n">
        <v>0</v>
      </c>
      <c r="J360" t="n">
        <v>0</v>
      </c>
      <c r="K360" t="n">
        <v>0</v>
      </c>
      <c r="L360" t="n">
        <v>0</v>
      </c>
      <c r="M360" t="n">
        <v>0</v>
      </c>
      <c r="N360" t="n">
        <v>0</v>
      </c>
      <c r="O360" t="n">
        <v>0</v>
      </c>
      <c r="P360" t="n">
        <v>0</v>
      </c>
      <c r="Q360" t="n">
        <v>0</v>
      </c>
      <c r="R360" s="2" t="inlineStr"/>
    </row>
    <row r="361" ht="15" customHeight="1">
      <c r="A361" t="inlineStr">
        <is>
          <t>A 3480-2024</t>
        </is>
      </c>
      <c r="B361" s="1" t="n">
        <v>45320.43998842593</v>
      </c>
      <c r="C361" s="1" t="n">
        <v>46084</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5980-2024</t>
        </is>
      </c>
      <c r="B362" s="1" t="n">
        <v>45335</v>
      </c>
      <c r="C362" s="1" t="n">
        <v>46084</v>
      </c>
      <c r="D362" t="inlineStr">
        <is>
          <t>SKÅNE LÄN</t>
        </is>
      </c>
      <c r="E362" t="inlineStr">
        <is>
          <t>HÄSSLEHOLM</t>
        </is>
      </c>
      <c r="G362" t="n">
        <v>1.2</v>
      </c>
      <c r="H362" t="n">
        <v>0</v>
      </c>
      <c r="I362" t="n">
        <v>0</v>
      </c>
      <c r="J362" t="n">
        <v>0</v>
      </c>
      <c r="K362" t="n">
        <v>0</v>
      </c>
      <c r="L362" t="n">
        <v>0</v>
      </c>
      <c r="M362" t="n">
        <v>0</v>
      </c>
      <c r="N362" t="n">
        <v>0</v>
      </c>
      <c r="O362" t="n">
        <v>0</v>
      </c>
      <c r="P362" t="n">
        <v>0</v>
      </c>
      <c r="Q362" t="n">
        <v>0</v>
      </c>
      <c r="R362" s="2" t="inlineStr"/>
    </row>
    <row r="363" ht="15" customHeight="1">
      <c r="A363" t="inlineStr">
        <is>
          <t>A 4734-2025</t>
        </is>
      </c>
      <c r="B363" s="1" t="n">
        <v>45688.44030092593</v>
      </c>
      <c r="C363" s="1" t="n">
        <v>46084</v>
      </c>
      <c r="D363" t="inlineStr">
        <is>
          <t>SKÅNE LÄN</t>
        </is>
      </c>
      <c r="E363" t="inlineStr">
        <is>
          <t>HÄSSLEHOLM</t>
        </is>
      </c>
      <c r="G363" t="n">
        <v>19.6</v>
      </c>
      <c r="H363" t="n">
        <v>0</v>
      </c>
      <c r="I363" t="n">
        <v>0</v>
      </c>
      <c r="J363" t="n">
        <v>0</v>
      </c>
      <c r="K363" t="n">
        <v>0</v>
      </c>
      <c r="L363" t="n">
        <v>0</v>
      </c>
      <c r="M363" t="n">
        <v>0</v>
      </c>
      <c r="N363" t="n">
        <v>0</v>
      </c>
      <c r="O363" t="n">
        <v>0</v>
      </c>
      <c r="P363" t="n">
        <v>0</v>
      </c>
      <c r="Q363" t="n">
        <v>0</v>
      </c>
      <c r="R363" s="2" t="inlineStr"/>
    </row>
    <row r="364" ht="15" customHeight="1">
      <c r="A364" t="inlineStr">
        <is>
          <t>A 10802-2024</t>
        </is>
      </c>
      <c r="B364" s="1" t="n">
        <v>45369</v>
      </c>
      <c r="C364" s="1" t="n">
        <v>46084</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24776-2025</t>
        </is>
      </c>
      <c r="B365" s="1" t="n">
        <v>45799.40640046296</v>
      </c>
      <c r="C365" s="1" t="n">
        <v>46084</v>
      </c>
      <c r="D365" t="inlineStr">
        <is>
          <t>SKÅNE LÄN</t>
        </is>
      </c>
      <c r="E365" t="inlineStr">
        <is>
          <t>HÄSSLEHOLM</t>
        </is>
      </c>
      <c r="G365" t="n">
        <v>5.4</v>
      </c>
      <c r="H365" t="n">
        <v>0</v>
      </c>
      <c r="I365" t="n">
        <v>0</v>
      </c>
      <c r="J365" t="n">
        <v>0</v>
      </c>
      <c r="K365" t="n">
        <v>0</v>
      </c>
      <c r="L365" t="n">
        <v>0</v>
      </c>
      <c r="M365" t="n">
        <v>0</v>
      </c>
      <c r="N365" t="n">
        <v>0</v>
      </c>
      <c r="O365" t="n">
        <v>0</v>
      </c>
      <c r="P365" t="n">
        <v>0</v>
      </c>
      <c r="Q365" t="n">
        <v>0</v>
      </c>
      <c r="R365" s="2" t="inlineStr"/>
    </row>
    <row r="366" ht="15" customHeight="1">
      <c r="A366" t="inlineStr">
        <is>
          <t>A 45653-2024</t>
        </is>
      </c>
      <c r="B366" s="1" t="n">
        <v>45579.48872685185</v>
      </c>
      <c r="C366" s="1" t="n">
        <v>46084</v>
      </c>
      <c r="D366" t="inlineStr">
        <is>
          <t>SKÅNE LÄN</t>
        </is>
      </c>
      <c r="E366" t="inlineStr">
        <is>
          <t>HÄSSLEHOLM</t>
        </is>
      </c>
      <c r="G366" t="n">
        <v>2.6</v>
      </c>
      <c r="H366" t="n">
        <v>0</v>
      </c>
      <c r="I366" t="n">
        <v>0</v>
      </c>
      <c r="J366" t="n">
        <v>0</v>
      </c>
      <c r="K366" t="n">
        <v>0</v>
      </c>
      <c r="L366" t="n">
        <v>0</v>
      </c>
      <c r="M366" t="n">
        <v>0</v>
      </c>
      <c r="N366" t="n">
        <v>0</v>
      </c>
      <c r="O366" t="n">
        <v>0</v>
      </c>
      <c r="P366" t="n">
        <v>0</v>
      </c>
      <c r="Q366" t="n">
        <v>0</v>
      </c>
      <c r="R366" s="2" t="inlineStr"/>
    </row>
    <row r="367" ht="15" customHeight="1">
      <c r="A367" t="inlineStr">
        <is>
          <t>A 39453-2025</t>
        </is>
      </c>
      <c r="B367" s="1" t="n">
        <v>45889</v>
      </c>
      <c r="C367" s="1" t="n">
        <v>46084</v>
      </c>
      <c r="D367" t="inlineStr">
        <is>
          <t>SKÅNE LÄN</t>
        </is>
      </c>
      <c r="E367" t="inlineStr">
        <is>
          <t>HÄSSLEHOLM</t>
        </is>
      </c>
      <c r="G367" t="n">
        <v>2.5</v>
      </c>
      <c r="H367" t="n">
        <v>0</v>
      </c>
      <c r="I367" t="n">
        <v>0</v>
      </c>
      <c r="J367" t="n">
        <v>0</v>
      </c>
      <c r="K367" t="n">
        <v>0</v>
      </c>
      <c r="L367" t="n">
        <v>0</v>
      </c>
      <c r="M367" t="n">
        <v>0</v>
      </c>
      <c r="N367" t="n">
        <v>0</v>
      </c>
      <c r="O367" t="n">
        <v>0</v>
      </c>
      <c r="P367" t="n">
        <v>0</v>
      </c>
      <c r="Q367" t="n">
        <v>0</v>
      </c>
      <c r="R367" s="2" t="inlineStr"/>
    </row>
    <row r="368" ht="15" customHeight="1">
      <c r="A368" t="inlineStr">
        <is>
          <t>A 39934-2025</t>
        </is>
      </c>
      <c r="B368" s="1" t="n">
        <v>45891.71465277778</v>
      </c>
      <c r="C368" s="1" t="n">
        <v>46084</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9322-2025</t>
        </is>
      </c>
      <c r="B369" s="1" t="n">
        <v>45714.72241898148</v>
      </c>
      <c r="C369" s="1" t="n">
        <v>46084</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7681-2025</t>
        </is>
      </c>
      <c r="B370" s="1" t="n">
        <v>45706.36758101852</v>
      </c>
      <c r="C370" s="1" t="n">
        <v>46084</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39457-2025</t>
        </is>
      </c>
      <c r="B371" s="1" t="n">
        <v>45889.76887731482</v>
      </c>
      <c r="C371" s="1" t="n">
        <v>46084</v>
      </c>
      <c r="D371" t="inlineStr">
        <is>
          <t>SKÅNE LÄN</t>
        </is>
      </c>
      <c r="E371" t="inlineStr">
        <is>
          <t>HÄSSLEHOLM</t>
        </is>
      </c>
      <c r="G371" t="n">
        <v>6.6</v>
      </c>
      <c r="H371" t="n">
        <v>0</v>
      </c>
      <c r="I371" t="n">
        <v>0</v>
      </c>
      <c r="J371" t="n">
        <v>0</v>
      </c>
      <c r="K371" t="n">
        <v>0</v>
      </c>
      <c r="L371" t="n">
        <v>0</v>
      </c>
      <c r="M371" t="n">
        <v>0</v>
      </c>
      <c r="N371" t="n">
        <v>0</v>
      </c>
      <c r="O371" t="n">
        <v>0</v>
      </c>
      <c r="P371" t="n">
        <v>0</v>
      </c>
      <c r="Q371" t="n">
        <v>0</v>
      </c>
      <c r="R371" s="2" t="inlineStr"/>
    </row>
    <row r="372" ht="15" customHeight="1">
      <c r="A372" t="inlineStr">
        <is>
          <t>A 24032-2025</t>
        </is>
      </c>
      <c r="B372" s="1" t="n">
        <v>45796.478125</v>
      </c>
      <c r="C372" s="1" t="n">
        <v>46084</v>
      </c>
      <c r="D372" t="inlineStr">
        <is>
          <t>SKÅNE LÄN</t>
        </is>
      </c>
      <c r="E372" t="inlineStr">
        <is>
          <t>HÄSSLEHOLM</t>
        </is>
      </c>
      <c r="G372" t="n">
        <v>2.2</v>
      </c>
      <c r="H372" t="n">
        <v>0</v>
      </c>
      <c r="I372" t="n">
        <v>0</v>
      </c>
      <c r="J372" t="n">
        <v>0</v>
      </c>
      <c r="K372" t="n">
        <v>0</v>
      </c>
      <c r="L372" t="n">
        <v>0</v>
      </c>
      <c r="M372" t="n">
        <v>0</v>
      </c>
      <c r="N372" t="n">
        <v>0</v>
      </c>
      <c r="O372" t="n">
        <v>0</v>
      </c>
      <c r="P372" t="n">
        <v>0</v>
      </c>
      <c r="Q372" t="n">
        <v>0</v>
      </c>
      <c r="R372" s="2" t="inlineStr"/>
    </row>
    <row r="373" ht="15" customHeight="1">
      <c r="A373" t="inlineStr">
        <is>
          <t>A 39937-2025</t>
        </is>
      </c>
      <c r="B373" s="1" t="n">
        <v>45891.73162037037</v>
      </c>
      <c r="C373" s="1" t="n">
        <v>46084</v>
      </c>
      <c r="D373" t="inlineStr">
        <is>
          <t>SKÅNE LÄN</t>
        </is>
      </c>
      <c r="E373" t="inlineStr">
        <is>
          <t>HÄSSLEHOLM</t>
        </is>
      </c>
      <c r="G373" t="n">
        <v>4.5</v>
      </c>
      <c r="H373" t="n">
        <v>0</v>
      </c>
      <c r="I373" t="n">
        <v>0</v>
      </c>
      <c r="J373" t="n">
        <v>0</v>
      </c>
      <c r="K373" t="n">
        <v>0</v>
      </c>
      <c r="L373" t="n">
        <v>0</v>
      </c>
      <c r="M373" t="n">
        <v>0</v>
      </c>
      <c r="N373" t="n">
        <v>0</v>
      </c>
      <c r="O373" t="n">
        <v>0</v>
      </c>
      <c r="P373" t="n">
        <v>0</v>
      </c>
      <c r="Q373" t="n">
        <v>0</v>
      </c>
      <c r="R373" s="2" t="inlineStr"/>
    </row>
    <row r="374" ht="15" customHeight="1">
      <c r="A374" t="inlineStr">
        <is>
          <t>A 60789-2024</t>
        </is>
      </c>
      <c r="B374" s="1" t="n">
        <v>45644</v>
      </c>
      <c r="C374" s="1" t="n">
        <v>46084</v>
      </c>
      <c r="D374" t="inlineStr">
        <is>
          <t>SKÅNE LÄN</t>
        </is>
      </c>
      <c r="E374" t="inlineStr">
        <is>
          <t>HÄSSLEHOLM</t>
        </is>
      </c>
      <c r="G374" t="n">
        <v>3</v>
      </c>
      <c r="H374" t="n">
        <v>0</v>
      </c>
      <c r="I374" t="n">
        <v>0</v>
      </c>
      <c r="J374" t="n">
        <v>0</v>
      </c>
      <c r="K374" t="n">
        <v>0</v>
      </c>
      <c r="L374" t="n">
        <v>0</v>
      </c>
      <c r="M374" t="n">
        <v>0</v>
      </c>
      <c r="N374" t="n">
        <v>0</v>
      </c>
      <c r="O374" t="n">
        <v>0</v>
      </c>
      <c r="P374" t="n">
        <v>0</v>
      </c>
      <c r="Q374" t="n">
        <v>0</v>
      </c>
      <c r="R374" s="2" t="inlineStr"/>
    </row>
    <row r="375" ht="15" customHeight="1">
      <c r="A375" t="inlineStr">
        <is>
          <t>A 260-2024</t>
        </is>
      </c>
      <c r="B375" s="1" t="n">
        <v>45294</v>
      </c>
      <c r="C375" s="1" t="n">
        <v>46084</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40780-2022</t>
        </is>
      </c>
      <c r="B376" s="1" t="n">
        <v>44820</v>
      </c>
      <c r="C376" s="1" t="n">
        <v>46084</v>
      </c>
      <c r="D376" t="inlineStr">
        <is>
          <t>SKÅNE LÄN</t>
        </is>
      </c>
      <c r="E376" t="inlineStr">
        <is>
          <t>HÄSSLEHOLM</t>
        </is>
      </c>
      <c r="G376" t="n">
        <v>7.4</v>
      </c>
      <c r="H376" t="n">
        <v>0</v>
      </c>
      <c r="I376" t="n">
        <v>0</v>
      </c>
      <c r="J376" t="n">
        <v>0</v>
      </c>
      <c r="K376" t="n">
        <v>0</v>
      </c>
      <c r="L376" t="n">
        <v>0</v>
      </c>
      <c r="M376" t="n">
        <v>0</v>
      </c>
      <c r="N376" t="n">
        <v>0</v>
      </c>
      <c r="O376" t="n">
        <v>0</v>
      </c>
      <c r="P376" t="n">
        <v>0</v>
      </c>
      <c r="Q376" t="n">
        <v>0</v>
      </c>
      <c r="R376" s="2" t="inlineStr"/>
    </row>
    <row r="377" ht="15" customHeight="1">
      <c r="A377" t="inlineStr">
        <is>
          <t>A 6842-2023</t>
        </is>
      </c>
      <c r="B377" s="1" t="n">
        <v>44967</v>
      </c>
      <c r="C377" s="1" t="n">
        <v>46084</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5252-2025</t>
        </is>
      </c>
      <c r="B378" s="1" t="n">
        <v>45692.3449537037</v>
      </c>
      <c r="C378" s="1" t="n">
        <v>46084</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5242-2025</t>
        </is>
      </c>
      <c r="B379" s="1" t="n">
        <v>45692.32883101852</v>
      </c>
      <c r="C379" s="1" t="n">
        <v>46084</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24034-2025</t>
        </is>
      </c>
      <c r="B380" s="1" t="n">
        <v>45796.48251157408</v>
      </c>
      <c r="C380" s="1" t="n">
        <v>46084</v>
      </c>
      <c r="D380" t="inlineStr">
        <is>
          <t>SKÅNE LÄN</t>
        </is>
      </c>
      <c r="E380" t="inlineStr">
        <is>
          <t>HÄSSLEHOLM</t>
        </is>
      </c>
      <c r="G380" t="n">
        <v>0.9</v>
      </c>
      <c r="H380" t="n">
        <v>0</v>
      </c>
      <c r="I380" t="n">
        <v>0</v>
      </c>
      <c r="J380" t="n">
        <v>0</v>
      </c>
      <c r="K380" t="n">
        <v>0</v>
      </c>
      <c r="L380" t="n">
        <v>0</v>
      </c>
      <c r="M380" t="n">
        <v>0</v>
      </c>
      <c r="N380" t="n">
        <v>0</v>
      </c>
      <c r="O380" t="n">
        <v>0</v>
      </c>
      <c r="P380" t="n">
        <v>0</v>
      </c>
      <c r="Q380" t="n">
        <v>0</v>
      </c>
      <c r="R380" s="2" t="inlineStr"/>
    </row>
    <row r="381" ht="15" customHeight="1">
      <c r="A381" t="inlineStr">
        <is>
          <t>A 5316-2023</t>
        </is>
      </c>
      <c r="B381" s="1" t="n">
        <v>44959</v>
      </c>
      <c r="C381" s="1" t="n">
        <v>46084</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9555-2025</t>
        </is>
      </c>
      <c r="B382" s="1" t="n">
        <v>45714</v>
      </c>
      <c r="C382" s="1" t="n">
        <v>46084</v>
      </c>
      <c r="D382" t="inlineStr">
        <is>
          <t>SKÅNE LÄN</t>
        </is>
      </c>
      <c r="E382" t="inlineStr">
        <is>
          <t>HÄSSLEHOLM</t>
        </is>
      </c>
      <c r="G382" t="n">
        <v>5.4</v>
      </c>
      <c r="H382" t="n">
        <v>0</v>
      </c>
      <c r="I382" t="n">
        <v>0</v>
      </c>
      <c r="J382" t="n">
        <v>0</v>
      </c>
      <c r="K382" t="n">
        <v>0</v>
      </c>
      <c r="L382" t="n">
        <v>0</v>
      </c>
      <c r="M382" t="n">
        <v>0</v>
      </c>
      <c r="N382" t="n">
        <v>0</v>
      </c>
      <c r="O382" t="n">
        <v>0</v>
      </c>
      <c r="P382" t="n">
        <v>0</v>
      </c>
      <c r="Q382" t="n">
        <v>0</v>
      </c>
      <c r="R382" s="2" t="inlineStr"/>
    </row>
    <row r="383" ht="15" customHeight="1">
      <c r="A383" t="inlineStr">
        <is>
          <t>A 24250-2025</t>
        </is>
      </c>
      <c r="B383" s="1" t="n">
        <v>45797.40260416667</v>
      </c>
      <c r="C383" s="1" t="n">
        <v>46084</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40241-2025</t>
        </is>
      </c>
      <c r="B384" s="1" t="n">
        <v>45894.87251157407</v>
      </c>
      <c r="C384" s="1" t="n">
        <v>46084</v>
      </c>
      <c r="D384" t="inlineStr">
        <is>
          <t>SKÅNE LÄN</t>
        </is>
      </c>
      <c r="E384" t="inlineStr">
        <is>
          <t>HÄSSLEHOLM</t>
        </is>
      </c>
      <c r="G384" t="n">
        <v>3.8</v>
      </c>
      <c r="H384" t="n">
        <v>0</v>
      </c>
      <c r="I384" t="n">
        <v>0</v>
      </c>
      <c r="J384" t="n">
        <v>0</v>
      </c>
      <c r="K384" t="n">
        <v>0</v>
      </c>
      <c r="L384" t="n">
        <v>0</v>
      </c>
      <c r="M384" t="n">
        <v>0</v>
      </c>
      <c r="N384" t="n">
        <v>0</v>
      </c>
      <c r="O384" t="n">
        <v>0</v>
      </c>
      <c r="P384" t="n">
        <v>0</v>
      </c>
      <c r="Q384" t="n">
        <v>0</v>
      </c>
      <c r="R384" s="2" t="inlineStr"/>
    </row>
    <row r="385" ht="15" customHeight="1">
      <c r="A385" t="inlineStr">
        <is>
          <t>A 24029-2025</t>
        </is>
      </c>
      <c r="B385" s="1" t="n">
        <v>45796.47552083333</v>
      </c>
      <c r="C385" s="1" t="n">
        <v>46084</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24039-2025</t>
        </is>
      </c>
      <c r="B386" s="1" t="n">
        <v>45796.48675925926</v>
      </c>
      <c r="C386" s="1" t="n">
        <v>46084</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48747-2022</t>
        </is>
      </c>
      <c r="B387" s="1" t="n">
        <v>44859</v>
      </c>
      <c r="C387" s="1" t="n">
        <v>46084</v>
      </c>
      <c r="D387" t="inlineStr">
        <is>
          <t>SKÅNE LÄN</t>
        </is>
      </c>
      <c r="E387" t="inlineStr">
        <is>
          <t>HÄSSLEHOLM</t>
        </is>
      </c>
      <c r="G387" t="n">
        <v>1.9</v>
      </c>
      <c r="H387" t="n">
        <v>0</v>
      </c>
      <c r="I387" t="n">
        <v>0</v>
      </c>
      <c r="J387" t="n">
        <v>0</v>
      </c>
      <c r="K387" t="n">
        <v>0</v>
      </c>
      <c r="L387" t="n">
        <v>0</v>
      </c>
      <c r="M387" t="n">
        <v>0</v>
      </c>
      <c r="N387" t="n">
        <v>0</v>
      </c>
      <c r="O387" t="n">
        <v>0</v>
      </c>
      <c r="P387" t="n">
        <v>0</v>
      </c>
      <c r="Q387" t="n">
        <v>0</v>
      </c>
      <c r="R387" s="2" t="inlineStr"/>
    </row>
    <row r="388" ht="15" customHeight="1">
      <c r="A388" t="inlineStr">
        <is>
          <t>A 24047-2025</t>
        </is>
      </c>
      <c r="B388" s="1" t="n">
        <v>45796.49528935185</v>
      </c>
      <c r="C388" s="1" t="n">
        <v>46084</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24675-2025</t>
        </is>
      </c>
      <c r="B389" s="1" t="n">
        <v>45798.653125</v>
      </c>
      <c r="C389" s="1" t="n">
        <v>46084</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42735-2024</t>
        </is>
      </c>
      <c r="B390" s="1" t="n">
        <v>45566.47274305556</v>
      </c>
      <c r="C390" s="1" t="n">
        <v>46084</v>
      </c>
      <c r="D390" t="inlineStr">
        <is>
          <t>SKÅNE LÄN</t>
        </is>
      </c>
      <c r="E390" t="inlineStr">
        <is>
          <t>HÄSSLEHOLM</t>
        </is>
      </c>
      <c r="G390" t="n">
        <v>3.7</v>
      </c>
      <c r="H390" t="n">
        <v>0</v>
      </c>
      <c r="I390" t="n">
        <v>0</v>
      </c>
      <c r="J390" t="n">
        <v>0</v>
      </c>
      <c r="K390" t="n">
        <v>0</v>
      </c>
      <c r="L390" t="n">
        <v>0</v>
      </c>
      <c r="M390" t="n">
        <v>0</v>
      </c>
      <c r="N390" t="n">
        <v>0</v>
      </c>
      <c r="O390" t="n">
        <v>0</v>
      </c>
      <c r="P390" t="n">
        <v>0</v>
      </c>
      <c r="Q390" t="n">
        <v>0</v>
      </c>
      <c r="R390" s="2" t="inlineStr"/>
    </row>
    <row r="391" ht="15" customHeight="1">
      <c r="A391" t="inlineStr">
        <is>
          <t>A 55522-2024</t>
        </is>
      </c>
      <c r="B391" s="1" t="n">
        <v>45622</v>
      </c>
      <c r="C391" s="1" t="n">
        <v>46084</v>
      </c>
      <c r="D391" t="inlineStr">
        <is>
          <t>SKÅNE LÄN</t>
        </is>
      </c>
      <c r="E391" t="inlineStr">
        <is>
          <t>HÄSSLEHOLM</t>
        </is>
      </c>
      <c r="G391" t="n">
        <v>5.6</v>
      </c>
      <c r="H391" t="n">
        <v>0</v>
      </c>
      <c r="I391" t="n">
        <v>0</v>
      </c>
      <c r="J391" t="n">
        <v>0</v>
      </c>
      <c r="K391" t="n">
        <v>0</v>
      </c>
      <c r="L391" t="n">
        <v>0</v>
      </c>
      <c r="M391" t="n">
        <v>0</v>
      </c>
      <c r="N391" t="n">
        <v>0</v>
      </c>
      <c r="O391" t="n">
        <v>0</v>
      </c>
      <c r="P391" t="n">
        <v>0</v>
      </c>
      <c r="Q391" t="n">
        <v>0</v>
      </c>
      <c r="R391" s="2" t="inlineStr"/>
    </row>
    <row r="392" ht="15" customHeight="1">
      <c r="A392" t="inlineStr">
        <is>
          <t>A 32826-2024</t>
        </is>
      </c>
      <c r="B392" s="1" t="n">
        <v>45516.59056712963</v>
      </c>
      <c r="C392" s="1" t="n">
        <v>46084</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64884-2023</t>
        </is>
      </c>
      <c r="B393" s="1" t="n">
        <v>45282.57809027778</v>
      </c>
      <c r="C393" s="1" t="n">
        <v>46084</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48112-2024</t>
        </is>
      </c>
      <c r="B394" s="1" t="n">
        <v>45589.6295949074</v>
      </c>
      <c r="C394" s="1" t="n">
        <v>46084</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32512-2024</t>
        </is>
      </c>
      <c r="B395" s="1" t="n">
        <v>45513.45613425926</v>
      </c>
      <c r="C395" s="1" t="n">
        <v>46084</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6310-2025</t>
        </is>
      </c>
      <c r="B396" s="1" t="n">
        <v>45698</v>
      </c>
      <c r="C396" s="1" t="n">
        <v>46084</v>
      </c>
      <c r="D396" t="inlineStr">
        <is>
          <t>SKÅNE LÄN</t>
        </is>
      </c>
      <c r="E396" t="inlineStr">
        <is>
          <t>HÄSSLEHOLM</t>
        </is>
      </c>
      <c r="G396" t="n">
        <v>2.7</v>
      </c>
      <c r="H396" t="n">
        <v>0</v>
      </c>
      <c r="I396" t="n">
        <v>0</v>
      </c>
      <c r="J396" t="n">
        <v>0</v>
      </c>
      <c r="K396" t="n">
        <v>0</v>
      </c>
      <c r="L396" t="n">
        <v>0</v>
      </c>
      <c r="M396" t="n">
        <v>0</v>
      </c>
      <c r="N396" t="n">
        <v>0</v>
      </c>
      <c r="O396" t="n">
        <v>0</v>
      </c>
      <c r="P396" t="n">
        <v>0</v>
      </c>
      <c r="Q396" t="n">
        <v>0</v>
      </c>
      <c r="R396" s="2" t="inlineStr"/>
    </row>
    <row r="397" ht="15" customHeight="1">
      <c r="A397" t="inlineStr">
        <is>
          <t>A 24985-2025</t>
        </is>
      </c>
      <c r="B397" s="1" t="n">
        <v>45799.60256944445</v>
      </c>
      <c r="C397" s="1" t="n">
        <v>46084</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10562-2025</t>
        </is>
      </c>
      <c r="B398" s="1" t="n">
        <v>45721.52913194444</v>
      </c>
      <c r="C398" s="1" t="n">
        <v>46084</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16474-2025</t>
        </is>
      </c>
      <c r="B399" s="1" t="n">
        <v>45751.56834490741</v>
      </c>
      <c r="C399" s="1" t="n">
        <v>46084</v>
      </c>
      <c r="D399" t="inlineStr">
        <is>
          <t>SKÅNE LÄN</t>
        </is>
      </c>
      <c r="E399" t="inlineStr">
        <is>
          <t>HÄSSLEHOLM</t>
        </is>
      </c>
      <c r="G399" t="n">
        <v>5.9</v>
      </c>
      <c r="H399" t="n">
        <v>0</v>
      </c>
      <c r="I399" t="n">
        <v>0</v>
      </c>
      <c r="J399" t="n">
        <v>0</v>
      </c>
      <c r="K399" t="n">
        <v>0</v>
      </c>
      <c r="L399" t="n">
        <v>0</v>
      </c>
      <c r="M399" t="n">
        <v>0</v>
      </c>
      <c r="N399" t="n">
        <v>0</v>
      </c>
      <c r="O399" t="n">
        <v>0</v>
      </c>
      <c r="P399" t="n">
        <v>0</v>
      </c>
      <c r="Q399" t="n">
        <v>0</v>
      </c>
      <c r="R399" s="2" t="inlineStr"/>
    </row>
    <row r="400" ht="15" customHeight="1">
      <c r="A400" t="inlineStr">
        <is>
          <t>A 24658-2025</t>
        </is>
      </c>
      <c r="B400" s="1" t="n">
        <v>45798.64134259259</v>
      </c>
      <c r="C400" s="1" t="n">
        <v>46084</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48097-2024</t>
        </is>
      </c>
      <c r="B401" s="1" t="n">
        <v>45589.61413194444</v>
      </c>
      <c r="C401" s="1" t="n">
        <v>46084</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25372-2025</t>
        </is>
      </c>
      <c r="B402" s="1" t="n">
        <v>45799</v>
      </c>
      <c r="C402" s="1" t="n">
        <v>46084</v>
      </c>
      <c r="D402" t="inlineStr">
        <is>
          <t>SKÅNE LÄN</t>
        </is>
      </c>
      <c r="E402" t="inlineStr">
        <is>
          <t>HÄSSLEHOLM</t>
        </is>
      </c>
      <c r="G402" t="n">
        <v>3.1</v>
      </c>
      <c r="H402" t="n">
        <v>0</v>
      </c>
      <c r="I402" t="n">
        <v>0</v>
      </c>
      <c r="J402" t="n">
        <v>0</v>
      </c>
      <c r="K402" t="n">
        <v>0</v>
      </c>
      <c r="L402" t="n">
        <v>0</v>
      </c>
      <c r="M402" t="n">
        <v>0</v>
      </c>
      <c r="N402" t="n">
        <v>0</v>
      </c>
      <c r="O402" t="n">
        <v>0</v>
      </c>
      <c r="P402" t="n">
        <v>0</v>
      </c>
      <c r="Q402" t="n">
        <v>0</v>
      </c>
      <c r="R402" s="2" t="inlineStr"/>
    </row>
    <row r="403" ht="15" customHeight="1">
      <c r="A403" t="inlineStr">
        <is>
          <t>A 60846-2022</t>
        </is>
      </c>
      <c r="B403" s="1" t="n">
        <v>44914</v>
      </c>
      <c r="C403" s="1" t="n">
        <v>46084</v>
      </c>
      <c r="D403" t="inlineStr">
        <is>
          <t>SKÅNE LÄN</t>
        </is>
      </c>
      <c r="E403" t="inlineStr">
        <is>
          <t>HÄSSLEHOLM</t>
        </is>
      </c>
      <c r="G403" t="n">
        <v>2.1</v>
      </c>
      <c r="H403" t="n">
        <v>0</v>
      </c>
      <c r="I403" t="n">
        <v>0</v>
      </c>
      <c r="J403" t="n">
        <v>0</v>
      </c>
      <c r="K403" t="n">
        <v>0</v>
      </c>
      <c r="L403" t="n">
        <v>0</v>
      </c>
      <c r="M403" t="n">
        <v>0</v>
      </c>
      <c r="N403" t="n">
        <v>0</v>
      </c>
      <c r="O403" t="n">
        <v>0</v>
      </c>
      <c r="P403" t="n">
        <v>0</v>
      </c>
      <c r="Q403" t="n">
        <v>0</v>
      </c>
      <c r="R403" s="2" t="inlineStr"/>
    </row>
    <row r="404" ht="15" customHeight="1">
      <c r="A404" t="inlineStr">
        <is>
          <t>A 9399-2025</t>
        </is>
      </c>
      <c r="B404" s="1" t="n">
        <v>45715.37861111111</v>
      </c>
      <c r="C404" s="1" t="n">
        <v>46084</v>
      </c>
      <c r="D404" t="inlineStr">
        <is>
          <t>SKÅNE LÄN</t>
        </is>
      </c>
      <c r="E404" t="inlineStr">
        <is>
          <t>HÄSSLEHOLM</t>
        </is>
      </c>
      <c r="G404" t="n">
        <v>5.2</v>
      </c>
      <c r="H404" t="n">
        <v>0</v>
      </c>
      <c r="I404" t="n">
        <v>0</v>
      </c>
      <c r="J404" t="n">
        <v>0</v>
      </c>
      <c r="K404" t="n">
        <v>0</v>
      </c>
      <c r="L404" t="n">
        <v>0</v>
      </c>
      <c r="M404" t="n">
        <v>0</v>
      </c>
      <c r="N404" t="n">
        <v>0</v>
      </c>
      <c r="O404" t="n">
        <v>0</v>
      </c>
      <c r="P404" t="n">
        <v>0</v>
      </c>
      <c r="Q404" t="n">
        <v>0</v>
      </c>
      <c r="R404" s="2" t="inlineStr"/>
    </row>
    <row r="405" ht="15" customHeight="1">
      <c r="A405" t="inlineStr">
        <is>
          <t>A 42776-2021</t>
        </is>
      </c>
      <c r="B405" s="1" t="n">
        <v>44428</v>
      </c>
      <c r="C405" s="1" t="n">
        <v>46084</v>
      </c>
      <c r="D405" t="inlineStr">
        <is>
          <t>SKÅNE LÄN</t>
        </is>
      </c>
      <c r="E405" t="inlineStr">
        <is>
          <t>HÄSSLEHOLM</t>
        </is>
      </c>
      <c r="G405" t="n">
        <v>3.2</v>
      </c>
      <c r="H405" t="n">
        <v>0</v>
      </c>
      <c r="I405" t="n">
        <v>0</v>
      </c>
      <c r="J405" t="n">
        <v>0</v>
      </c>
      <c r="K405" t="n">
        <v>0</v>
      </c>
      <c r="L405" t="n">
        <v>0</v>
      </c>
      <c r="M405" t="n">
        <v>0</v>
      </c>
      <c r="N405" t="n">
        <v>0</v>
      </c>
      <c r="O405" t="n">
        <v>0</v>
      </c>
      <c r="P405" t="n">
        <v>0</v>
      </c>
      <c r="Q405" t="n">
        <v>0</v>
      </c>
      <c r="R405" s="2" t="inlineStr"/>
    </row>
    <row r="406" ht="15" customHeight="1">
      <c r="A406" t="inlineStr">
        <is>
          <t>A 259-2024</t>
        </is>
      </c>
      <c r="B406" s="1" t="n">
        <v>45294</v>
      </c>
      <c r="C406" s="1" t="n">
        <v>46084</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29659-2024</t>
        </is>
      </c>
      <c r="B407" s="1" t="n">
        <v>45484.92587962963</v>
      </c>
      <c r="C407" s="1" t="n">
        <v>46084</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27837-2024</t>
        </is>
      </c>
      <c r="B408" s="1" t="n">
        <v>45475</v>
      </c>
      <c r="C408" s="1" t="n">
        <v>46084</v>
      </c>
      <c r="D408" t="inlineStr">
        <is>
          <t>SKÅNE LÄN</t>
        </is>
      </c>
      <c r="E408" t="inlineStr">
        <is>
          <t>HÄSSLEHOLM</t>
        </is>
      </c>
      <c r="F408" t="inlineStr">
        <is>
          <t>Kommuner</t>
        </is>
      </c>
      <c r="G408" t="n">
        <v>2.3</v>
      </c>
      <c r="H408" t="n">
        <v>0</v>
      </c>
      <c r="I408" t="n">
        <v>0</v>
      </c>
      <c r="J408" t="n">
        <v>0</v>
      </c>
      <c r="K408" t="n">
        <v>0</v>
      </c>
      <c r="L408" t="n">
        <v>0</v>
      </c>
      <c r="M408" t="n">
        <v>0</v>
      </c>
      <c r="N408" t="n">
        <v>0</v>
      </c>
      <c r="O408" t="n">
        <v>0</v>
      </c>
      <c r="P408" t="n">
        <v>0</v>
      </c>
      <c r="Q408" t="n">
        <v>0</v>
      </c>
      <c r="R408" s="2" t="inlineStr"/>
    </row>
    <row r="409" ht="15" customHeight="1">
      <c r="A409" t="inlineStr">
        <is>
          <t>A 1679-2022</t>
        </is>
      </c>
      <c r="B409" s="1" t="n">
        <v>44573</v>
      </c>
      <c r="C409" s="1" t="n">
        <v>46084</v>
      </c>
      <c r="D409" t="inlineStr">
        <is>
          <t>SKÅNE LÄN</t>
        </is>
      </c>
      <c r="E409" t="inlineStr">
        <is>
          <t>HÄSSLEHOLM</t>
        </is>
      </c>
      <c r="F409" t="inlineStr">
        <is>
          <t>Kyrkan</t>
        </is>
      </c>
      <c r="G409" t="n">
        <v>4.3</v>
      </c>
      <c r="H409" t="n">
        <v>0</v>
      </c>
      <c r="I409" t="n">
        <v>0</v>
      </c>
      <c r="J409" t="n">
        <v>0</v>
      </c>
      <c r="K409" t="n">
        <v>0</v>
      </c>
      <c r="L409" t="n">
        <v>0</v>
      </c>
      <c r="M409" t="n">
        <v>0</v>
      </c>
      <c r="N409" t="n">
        <v>0</v>
      </c>
      <c r="O409" t="n">
        <v>0</v>
      </c>
      <c r="P409" t="n">
        <v>0</v>
      </c>
      <c r="Q409" t="n">
        <v>0</v>
      </c>
      <c r="R409" s="2" t="inlineStr"/>
    </row>
    <row r="410" ht="15" customHeight="1">
      <c r="A410" t="inlineStr">
        <is>
          <t>A 51565-2023</t>
        </is>
      </c>
      <c r="B410" s="1" t="n">
        <v>45222</v>
      </c>
      <c r="C410" s="1" t="n">
        <v>46084</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41400-2025</t>
        </is>
      </c>
      <c r="B411" s="1" t="n">
        <v>45901</v>
      </c>
      <c r="C411" s="1" t="n">
        <v>46084</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25615-2025</t>
        </is>
      </c>
      <c r="B412" s="1" t="n">
        <v>45803</v>
      </c>
      <c r="C412" s="1" t="n">
        <v>46084</v>
      </c>
      <c r="D412" t="inlineStr">
        <is>
          <t>SKÅNE LÄN</t>
        </is>
      </c>
      <c r="E412" t="inlineStr">
        <is>
          <t>HÄSSLEHOLM</t>
        </is>
      </c>
      <c r="G412" t="n">
        <v>2.6</v>
      </c>
      <c r="H412" t="n">
        <v>0</v>
      </c>
      <c r="I412" t="n">
        <v>0</v>
      </c>
      <c r="J412" t="n">
        <v>0</v>
      </c>
      <c r="K412" t="n">
        <v>0</v>
      </c>
      <c r="L412" t="n">
        <v>0</v>
      </c>
      <c r="M412" t="n">
        <v>0</v>
      </c>
      <c r="N412" t="n">
        <v>0</v>
      </c>
      <c r="O412" t="n">
        <v>0</v>
      </c>
      <c r="P412" t="n">
        <v>0</v>
      </c>
      <c r="Q412" t="n">
        <v>0</v>
      </c>
      <c r="R412" s="2" t="inlineStr"/>
    </row>
    <row r="413" ht="15" customHeight="1">
      <c r="A413" t="inlineStr">
        <is>
          <t>A 41401-2025</t>
        </is>
      </c>
      <c r="B413" s="1" t="n">
        <v>45901</v>
      </c>
      <c r="C413" s="1" t="n">
        <v>46084</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11412-2025</t>
        </is>
      </c>
      <c r="B414" s="1" t="n">
        <v>45726</v>
      </c>
      <c r="C414" s="1" t="n">
        <v>46084</v>
      </c>
      <c r="D414" t="inlineStr">
        <is>
          <t>SKÅNE LÄN</t>
        </is>
      </c>
      <c r="E414" t="inlineStr">
        <is>
          <t>HÄSSLEHOLM</t>
        </is>
      </c>
      <c r="G414" t="n">
        <v>2.1</v>
      </c>
      <c r="H414" t="n">
        <v>0</v>
      </c>
      <c r="I414" t="n">
        <v>0</v>
      </c>
      <c r="J414" t="n">
        <v>0</v>
      </c>
      <c r="K414" t="n">
        <v>0</v>
      </c>
      <c r="L414" t="n">
        <v>0</v>
      </c>
      <c r="M414" t="n">
        <v>0</v>
      </c>
      <c r="N414" t="n">
        <v>0</v>
      </c>
      <c r="O414" t="n">
        <v>0</v>
      </c>
      <c r="P414" t="n">
        <v>0</v>
      </c>
      <c r="Q414" t="n">
        <v>0</v>
      </c>
      <c r="R414" s="2" t="inlineStr"/>
    </row>
    <row r="415" ht="15" customHeight="1">
      <c r="A415" t="inlineStr">
        <is>
          <t>A 25430-2025</t>
        </is>
      </c>
      <c r="B415" s="1" t="n">
        <v>45800.78212962963</v>
      </c>
      <c r="C415" s="1" t="n">
        <v>46084</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14700-2023</t>
        </is>
      </c>
      <c r="B416" s="1" t="n">
        <v>45014.38376157408</v>
      </c>
      <c r="C416" s="1" t="n">
        <v>46084</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11466-2025</t>
        </is>
      </c>
      <c r="B417" s="1" t="n">
        <v>45726</v>
      </c>
      <c r="C417" s="1" t="n">
        <v>46084</v>
      </c>
      <c r="D417" t="inlineStr">
        <is>
          <t>SKÅNE LÄN</t>
        </is>
      </c>
      <c r="E417" t="inlineStr">
        <is>
          <t>HÄSSLEHOLM</t>
        </is>
      </c>
      <c r="G417" t="n">
        <v>3.2</v>
      </c>
      <c r="H417" t="n">
        <v>0</v>
      </c>
      <c r="I417" t="n">
        <v>0</v>
      </c>
      <c r="J417" t="n">
        <v>0</v>
      </c>
      <c r="K417" t="n">
        <v>0</v>
      </c>
      <c r="L417" t="n">
        <v>0</v>
      </c>
      <c r="M417" t="n">
        <v>0</v>
      </c>
      <c r="N417" t="n">
        <v>0</v>
      </c>
      <c r="O417" t="n">
        <v>0</v>
      </c>
      <c r="P417" t="n">
        <v>0</v>
      </c>
      <c r="Q417" t="n">
        <v>0</v>
      </c>
      <c r="R417" s="2" t="inlineStr"/>
    </row>
    <row r="418" ht="15" customHeight="1">
      <c r="A418" t="inlineStr">
        <is>
          <t>A 25431-2025</t>
        </is>
      </c>
      <c r="B418" s="1" t="n">
        <v>45800.78340277778</v>
      </c>
      <c r="C418" s="1" t="n">
        <v>46084</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25432-2025</t>
        </is>
      </c>
      <c r="B419" s="1" t="n">
        <v>45800.7847800926</v>
      </c>
      <c r="C419" s="1" t="n">
        <v>46084</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11470-2025</t>
        </is>
      </c>
      <c r="B420" s="1" t="n">
        <v>45726</v>
      </c>
      <c r="C420" s="1" t="n">
        <v>46084</v>
      </c>
      <c r="D420" t="inlineStr">
        <is>
          <t>SKÅNE LÄN</t>
        </is>
      </c>
      <c r="E420" t="inlineStr">
        <is>
          <t>HÄSSLEHOLM</t>
        </is>
      </c>
      <c r="G420" t="n">
        <v>0.4</v>
      </c>
      <c r="H420" t="n">
        <v>0</v>
      </c>
      <c r="I420" t="n">
        <v>0</v>
      </c>
      <c r="J420" t="n">
        <v>0</v>
      </c>
      <c r="K420" t="n">
        <v>0</v>
      </c>
      <c r="L420" t="n">
        <v>0</v>
      </c>
      <c r="M420" t="n">
        <v>0</v>
      </c>
      <c r="N420" t="n">
        <v>0</v>
      </c>
      <c r="O420" t="n">
        <v>0</v>
      </c>
      <c r="P420" t="n">
        <v>0</v>
      </c>
      <c r="Q420" t="n">
        <v>0</v>
      </c>
      <c r="R420" s="2" t="inlineStr"/>
    </row>
    <row r="421" ht="15" customHeight="1">
      <c r="A421" t="inlineStr">
        <is>
          <t>A 50899-2024</t>
        </is>
      </c>
      <c r="B421" s="1" t="n">
        <v>45602.68584490741</v>
      </c>
      <c r="C421" s="1" t="n">
        <v>46084</v>
      </c>
      <c r="D421" t="inlineStr">
        <is>
          <t>SKÅNE LÄN</t>
        </is>
      </c>
      <c r="E421" t="inlineStr">
        <is>
          <t>HÄSSLEHOLM</t>
        </is>
      </c>
      <c r="G421" t="n">
        <v>1.7</v>
      </c>
      <c r="H421" t="n">
        <v>0</v>
      </c>
      <c r="I421" t="n">
        <v>0</v>
      </c>
      <c r="J421" t="n">
        <v>0</v>
      </c>
      <c r="K421" t="n">
        <v>0</v>
      </c>
      <c r="L421" t="n">
        <v>0</v>
      </c>
      <c r="M421" t="n">
        <v>0</v>
      </c>
      <c r="N421" t="n">
        <v>0</v>
      </c>
      <c r="O421" t="n">
        <v>0</v>
      </c>
      <c r="P421" t="n">
        <v>0</v>
      </c>
      <c r="Q421" t="n">
        <v>0</v>
      </c>
      <c r="R421" s="2" t="inlineStr"/>
    </row>
    <row r="422" ht="15" customHeight="1">
      <c r="A422" t="inlineStr">
        <is>
          <t>A 39915-2023</t>
        </is>
      </c>
      <c r="B422" s="1" t="n">
        <v>45168.4684375</v>
      </c>
      <c r="C422" s="1" t="n">
        <v>46084</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20058-2023</t>
        </is>
      </c>
      <c r="B423" s="1" t="n">
        <v>45054.68476851852</v>
      </c>
      <c r="C423" s="1" t="n">
        <v>46084</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13198-2025</t>
        </is>
      </c>
      <c r="B424" s="1" t="n">
        <v>45735</v>
      </c>
      <c r="C424" s="1" t="n">
        <v>46084</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8619-2023</t>
        </is>
      </c>
      <c r="B425" s="1" t="n">
        <v>44977.81979166667</v>
      </c>
      <c r="C425" s="1" t="n">
        <v>46084</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9543-2025</t>
        </is>
      </c>
      <c r="B426" s="1" t="n">
        <v>45715</v>
      </c>
      <c r="C426" s="1" t="n">
        <v>46084</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53067-2022</t>
        </is>
      </c>
      <c r="B427" s="1" t="n">
        <v>44873</v>
      </c>
      <c r="C427" s="1" t="n">
        <v>46084</v>
      </c>
      <c r="D427" t="inlineStr">
        <is>
          <t>SKÅNE LÄN</t>
        </is>
      </c>
      <c r="E427" t="inlineStr">
        <is>
          <t>HÄSSLEHOLM</t>
        </is>
      </c>
      <c r="G427" t="n">
        <v>1.2</v>
      </c>
      <c r="H427" t="n">
        <v>0</v>
      </c>
      <c r="I427" t="n">
        <v>0</v>
      </c>
      <c r="J427" t="n">
        <v>0</v>
      </c>
      <c r="K427" t="n">
        <v>0</v>
      </c>
      <c r="L427" t="n">
        <v>0</v>
      </c>
      <c r="M427" t="n">
        <v>0</v>
      </c>
      <c r="N427" t="n">
        <v>0</v>
      </c>
      <c r="O427" t="n">
        <v>0</v>
      </c>
      <c r="P427" t="n">
        <v>0</v>
      </c>
      <c r="Q427" t="n">
        <v>0</v>
      </c>
      <c r="R427" s="2" t="inlineStr"/>
    </row>
    <row r="428" ht="15" customHeight="1">
      <c r="A428" t="inlineStr">
        <is>
          <t>A 26232-2025</t>
        </is>
      </c>
      <c r="B428" s="1" t="n">
        <v>45805.56642361111</v>
      </c>
      <c r="C428" s="1" t="n">
        <v>46084</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3349-2023</t>
        </is>
      </c>
      <c r="B429" s="1" t="n">
        <v>44949</v>
      </c>
      <c r="C429" s="1" t="n">
        <v>46084</v>
      </c>
      <c r="D429" t="inlineStr">
        <is>
          <t>SKÅNE LÄN</t>
        </is>
      </c>
      <c r="E429" t="inlineStr">
        <is>
          <t>HÄSSLEHOLM</t>
        </is>
      </c>
      <c r="G429" t="n">
        <v>2.3</v>
      </c>
      <c r="H429" t="n">
        <v>0</v>
      </c>
      <c r="I429" t="n">
        <v>0</v>
      </c>
      <c r="J429" t="n">
        <v>0</v>
      </c>
      <c r="K429" t="n">
        <v>0</v>
      </c>
      <c r="L429" t="n">
        <v>0</v>
      </c>
      <c r="M429" t="n">
        <v>0</v>
      </c>
      <c r="N429" t="n">
        <v>0</v>
      </c>
      <c r="O429" t="n">
        <v>0</v>
      </c>
      <c r="P429" t="n">
        <v>0</v>
      </c>
      <c r="Q429" t="n">
        <v>0</v>
      </c>
      <c r="R429" s="2" t="inlineStr"/>
    </row>
    <row r="430" ht="15" customHeight="1">
      <c r="A430" t="inlineStr">
        <is>
          <t>A 26244-2025</t>
        </is>
      </c>
      <c r="B430" s="1" t="n">
        <v>45805.57364583333</v>
      </c>
      <c r="C430" s="1" t="n">
        <v>46084</v>
      </c>
      <c r="D430" t="inlineStr">
        <is>
          <t>SKÅNE LÄN</t>
        </is>
      </c>
      <c r="E430" t="inlineStr">
        <is>
          <t>HÄSSLEHOLM</t>
        </is>
      </c>
      <c r="G430" t="n">
        <v>1.4</v>
      </c>
      <c r="H430" t="n">
        <v>0</v>
      </c>
      <c r="I430" t="n">
        <v>0</v>
      </c>
      <c r="J430" t="n">
        <v>0</v>
      </c>
      <c r="K430" t="n">
        <v>0</v>
      </c>
      <c r="L430" t="n">
        <v>0</v>
      </c>
      <c r="M430" t="n">
        <v>0</v>
      </c>
      <c r="N430" t="n">
        <v>0</v>
      </c>
      <c r="O430" t="n">
        <v>0</v>
      </c>
      <c r="P430" t="n">
        <v>0</v>
      </c>
      <c r="Q430" t="n">
        <v>0</v>
      </c>
      <c r="R430" s="2" t="inlineStr"/>
    </row>
    <row r="431" ht="15" customHeight="1">
      <c r="A431" t="inlineStr">
        <is>
          <t>A 50616-2023</t>
        </is>
      </c>
      <c r="B431" s="1" t="n">
        <v>45210</v>
      </c>
      <c r="C431" s="1" t="n">
        <v>46084</v>
      </c>
      <c r="D431" t="inlineStr">
        <is>
          <t>SKÅNE LÄN</t>
        </is>
      </c>
      <c r="E431" t="inlineStr">
        <is>
          <t>HÄSSLEHOLM</t>
        </is>
      </c>
      <c r="G431" t="n">
        <v>1.1</v>
      </c>
      <c r="H431" t="n">
        <v>0</v>
      </c>
      <c r="I431" t="n">
        <v>0</v>
      </c>
      <c r="J431" t="n">
        <v>0</v>
      </c>
      <c r="K431" t="n">
        <v>0</v>
      </c>
      <c r="L431" t="n">
        <v>0</v>
      </c>
      <c r="M431" t="n">
        <v>0</v>
      </c>
      <c r="N431" t="n">
        <v>0</v>
      </c>
      <c r="O431" t="n">
        <v>0</v>
      </c>
      <c r="P431" t="n">
        <v>0</v>
      </c>
      <c r="Q431" t="n">
        <v>0</v>
      </c>
      <c r="R431" s="2" t="inlineStr"/>
    </row>
    <row r="432" ht="15" customHeight="1">
      <c r="A432" t="inlineStr">
        <is>
          <t>A 45361-2023</t>
        </is>
      </c>
      <c r="B432" s="1" t="n">
        <v>45192.49068287037</v>
      </c>
      <c r="C432" s="1" t="n">
        <v>46084</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42520-2025</t>
        </is>
      </c>
      <c r="B433" s="1" t="n">
        <v>45905.54846064815</v>
      </c>
      <c r="C433" s="1" t="n">
        <v>46084</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46185-2022</t>
        </is>
      </c>
      <c r="B434" s="1" t="n">
        <v>44847</v>
      </c>
      <c r="C434" s="1" t="n">
        <v>46084</v>
      </c>
      <c r="D434" t="inlineStr">
        <is>
          <t>SKÅNE LÄN</t>
        </is>
      </c>
      <c r="E434" t="inlineStr">
        <is>
          <t>HÄSSLEHOLM</t>
        </is>
      </c>
      <c r="G434" t="n">
        <v>16.8</v>
      </c>
      <c r="H434" t="n">
        <v>0</v>
      </c>
      <c r="I434" t="n">
        <v>0</v>
      </c>
      <c r="J434" t="n">
        <v>0</v>
      </c>
      <c r="K434" t="n">
        <v>0</v>
      </c>
      <c r="L434" t="n">
        <v>0</v>
      </c>
      <c r="M434" t="n">
        <v>0</v>
      </c>
      <c r="N434" t="n">
        <v>0</v>
      </c>
      <c r="O434" t="n">
        <v>0</v>
      </c>
      <c r="P434" t="n">
        <v>0</v>
      </c>
      <c r="Q434" t="n">
        <v>0</v>
      </c>
      <c r="R434" s="2" t="inlineStr"/>
    </row>
    <row r="435" ht="15" customHeight="1">
      <c r="A435" t="inlineStr">
        <is>
          <t>A 18623-2023</t>
        </is>
      </c>
      <c r="B435" s="1" t="n">
        <v>45043</v>
      </c>
      <c r="C435" s="1" t="n">
        <v>46084</v>
      </c>
      <c r="D435" t="inlineStr">
        <is>
          <t>SKÅNE LÄN</t>
        </is>
      </c>
      <c r="E435" t="inlineStr">
        <is>
          <t>HÄSSLEHOLM</t>
        </is>
      </c>
      <c r="G435" t="n">
        <v>3.2</v>
      </c>
      <c r="H435" t="n">
        <v>0</v>
      </c>
      <c r="I435" t="n">
        <v>0</v>
      </c>
      <c r="J435" t="n">
        <v>0</v>
      </c>
      <c r="K435" t="n">
        <v>0</v>
      </c>
      <c r="L435" t="n">
        <v>0</v>
      </c>
      <c r="M435" t="n">
        <v>0</v>
      </c>
      <c r="N435" t="n">
        <v>0</v>
      </c>
      <c r="O435" t="n">
        <v>0</v>
      </c>
      <c r="P435" t="n">
        <v>0</v>
      </c>
      <c r="Q435" t="n">
        <v>0</v>
      </c>
      <c r="R435" s="2" t="inlineStr"/>
    </row>
    <row r="436" ht="15" customHeight="1">
      <c r="A436" t="inlineStr">
        <is>
          <t>A 33873-2021</t>
        </is>
      </c>
      <c r="B436" s="1" t="n">
        <v>44378</v>
      </c>
      <c r="C436" s="1" t="n">
        <v>46084</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15053-2023</t>
        </is>
      </c>
      <c r="B437" s="1" t="n">
        <v>45015</v>
      </c>
      <c r="C437" s="1" t="n">
        <v>46084</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49107-2023</t>
        </is>
      </c>
      <c r="B438" s="1" t="n">
        <v>45210.44337962963</v>
      </c>
      <c r="C438" s="1" t="n">
        <v>46084</v>
      </c>
      <c r="D438" t="inlineStr">
        <is>
          <t>SKÅNE LÄN</t>
        </is>
      </c>
      <c r="E438" t="inlineStr">
        <is>
          <t>HÄSSLEHOLM</t>
        </is>
      </c>
      <c r="G438" t="n">
        <v>0.3</v>
      </c>
      <c r="H438" t="n">
        <v>0</v>
      </c>
      <c r="I438" t="n">
        <v>0</v>
      </c>
      <c r="J438" t="n">
        <v>0</v>
      </c>
      <c r="K438" t="n">
        <v>0</v>
      </c>
      <c r="L438" t="n">
        <v>0</v>
      </c>
      <c r="M438" t="n">
        <v>0</v>
      </c>
      <c r="N438" t="n">
        <v>0</v>
      </c>
      <c r="O438" t="n">
        <v>0</v>
      </c>
      <c r="P438" t="n">
        <v>0</v>
      </c>
      <c r="Q438" t="n">
        <v>0</v>
      </c>
      <c r="R438" s="2" t="inlineStr"/>
    </row>
    <row r="439" ht="15" customHeight="1">
      <c r="A439" t="inlineStr">
        <is>
          <t>A 9302-2025</t>
        </is>
      </c>
      <c r="B439" s="1" t="n">
        <v>45714.67233796296</v>
      </c>
      <c r="C439" s="1" t="n">
        <v>46084</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47907-2021</t>
        </is>
      </c>
      <c r="B440" s="1" t="n">
        <v>44448</v>
      </c>
      <c r="C440" s="1" t="n">
        <v>46084</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1197-2024</t>
        </is>
      </c>
      <c r="B441" s="1" t="n">
        <v>45302</v>
      </c>
      <c r="C441" s="1" t="n">
        <v>46084</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38358-2024</t>
        </is>
      </c>
      <c r="B442" s="1" t="n">
        <v>45545.79068287037</v>
      </c>
      <c r="C442" s="1" t="n">
        <v>46084</v>
      </c>
      <c r="D442" t="inlineStr">
        <is>
          <t>SKÅNE LÄN</t>
        </is>
      </c>
      <c r="E442" t="inlineStr">
        <is>
          <t>HÄSSLEHOLM</t>
        </is>
      </c>
      <c r="G442" t="n">
        <v>9</v>
      </c>
      <c r="H442" t="n">
        <v>0</v>
      </c>
      <c r="I442" t="n">
        <v>0</v>
      </c>
      <c r="J442" t="n">
        <v>0</v>
      </c>
      <c r="K442" t="n">
        <v>0</v>
      </c>
      <c r="L442" t="n">
        <v>0</v>
      </c>
      <c r="M442" t="n">
        <v>0</v>
      </c>
      <c r="N442" t="n">
        <v>0</v>
      </c>
      <c r="O442" t="n">
        <v>0</v>
      </c>
      <c r="P442" t="n">
        <v>0</v>
      </c>
      <c r="Q442" t="n">
        <v>0</v>
      </c>
      <c r="R442" s="2" t="inlineStr"/>
    </row>
    <row r="443" ht="15" customHeight="1">
      <c r="A443" t="inlineStr">
        <is>
          <t>A 13712-2025</t>
        </is>
      </c>
      <c r="B443" s="1" t="n">
        <v>45737</v>
      </c>
      <c r="C443" s="1" t="n">
        <v>46084</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49950-2023</t>
        </is>
      </c>
      <c r="B444" s="1" t="n">
        <v>45215</v>
      </c>
      <c r="C444" s="1" t="n">
        <v>46084</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27393-2025</t>
        </is>
      </c>
      <c r="B445" s="1" t="n">
        <v>45812.68295138889</v>
      </c>
      <c r="C445" s="1" t="n">
        <v>46084</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41694-2024</t>
        </is>
      </c>
      <c r="B446" s="1" t="n">
        <v>45560.68341435185</v>
      </c>
      <c r="C446" s="1" t="n">
        <v>46084</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36795-2023</t>
        </is>
      </c>
      <c r="B447" s="1" t="n">
        <v>45154.38245370371</v>
      </c>
      <c r="C447" s="1" t="n">
        <v>46084</v>
      </c>
      <c r="D447" t="inlineStr">
        <is>
          <t>SKÅNE LÄN</t>
        </is>
      </c>
      <c r="E447" t="inlineStr">
        <is>
          <t>HÄSSLEHOLM</t>
        </is>
      </c>
      <c r="G447" t="n">
        <v>0.9</v>
      </c>
      <c r="H447" t="n">
        <v>0</v>
      </c>
      <c r="I447" t="n">
        <v>0</v>
      </c>
      <c r="J447" t="n">
        <v>0</v>
      </c>
      <c r="K447" t="n">
        <v>0</v>
      </c>
      <c r="L447" t="n">
        <v>0</v>
      </c>
      <c r="M447" t="n">
        <v>0</v>
      </c>
      <c r="N447" t="n">
        <v>0</v>
      </c>
      <c r="O447" t="n">
        <v>0</v>
      </c>
      <c r="P447" t="n">
        <v>0</v>
      </c>
      <c r="Q447" t="n">
        <v>0</v>
      </c>
      <c r="R447" s="2" t="inlineStr"/>
    </row>
    <row r="448" ht="15" customHeight="1">
      <c r="A448" t="inlineStr">
        <is>
          <t>A 46942-2024</t>
        </is>
      </c>
      <c r="B448" s="1" t="n">
        <v>45585.6684375</v>
      </c>
      <c r="C448" s="1" t="n">
        <v>46084</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16368-2025</t>
        </is>
      </c>
      <c r="B449" s="1" t="n">
        <v>45751</v>
      </c>
      <c r="C449" s="1" t="n">
        <v>46084</v>
      </c>
      <c r="D449" t="inlineStr">
        <is>
          <t>SKÅNE LÄN</t>
        </is>
      </c>
      <c r="E449" t="inlineStr">
        <is>
          <t>HÄSSLEHOLM</t>
        </is>
      </c>
      <c r="G449" t="n">
        <v>5</v>
      </c>
      <c r="H449" t="n">
        <v>0</v>
      </c>
      <c r="I449" t="n">
        <v>0</v>
      </c>
      <c r="J449" t="n">
        <v>0</v>
      </c>
      <c r="K449" t="n">
        <v>0</v>
      </c>
      <c r="L449" t="n">
        <v>0</v>
      </c>
      <c r="M449" t="n">
        <v>0</v>
      </c>
      <c r="N449" t="n">
        <v>0</v>
      </c>
      <c r="O449" t="n">
        <v>0</v>
      </c>
      <c r="P449" t="n">
        <v>0</v>
      </c>
      <c r="Q449" t="n">
        <v>0</v>
      </c>
      <c r="R449" s="2" t="inlineStr"/>
    </row>
    <row r="450" ht="15" customHeight="1">
      <c r="A450" t="inlineStr">
        <is>
          <t>A 65235-2021</t>
        </is>
      </c>
      <c r="B450" s="1" t="n">
        <v>44515</v>
      </c>
      <c r="C450" s="1" t="n">
        <v>46084</v>
      </c>
      <c r="D450" t="inlineStr">
        <is>
          <t>SKÅNE LÄN</t>
        </is>
      </c>
      <c r="E450" t="inlineStr">
        <is>
          <t>HÄSSLEHOLM</t>
        </is>
      </c>
      <c r="G450" t="n">
        <v>2.5</v>
      </c>
      <c r="H450" t="n">
        <v>0</v>
      </c>
      <c r="I450" t="n">
        <v>0</v>
      </c>
      <c r="J450" t="n">
        <v>0</v>
      </c>
      <c r="K450" t="n">
        <v>0</v>
      </c>
      <c r="L450" t="n">
        <v>0</v>
      </c>
      <c r="M450" t="n">
        <v>0</v>
      </c>
      <c r="N450" t="n">
        <v>0</v>
      </c>
      <c r="O450" t="n">
        <v>0</v>
      </c>
      <c r="P450" t="n">
        <v>0</v>
      </c>
      <c r="Q450" t="n">
        <v>0</v>
      </c>
      <c r="R450" s="2" t="inlineStr"/>
    </row>
    <row r="451" ht="15" customHeight="1">
      <c r="A451" t="inlineStr">
        <is>
          <t>A 43696-2024</t>
        </is>
      </c>
      <c r="B451" s="1" t="n">
        <v>45569.58855324074</v>
      </c>
      <c r="C451" s="1" t="n">
        <v>46084</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36706-2022</t>
        </is>
      </c>
      <c r="B452" s="1" t="n">
        <v>44805.32891203704</v>
      </c>
      <c r="C452" s="1" t="n">
        <v>46084</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22594-2024</t>
        </is>
      </c>
      <c r="B453" s="1" t="n">
        <v>45447.60892361111</v>
      </c>
      <c r="C453" s="1" t="n">
        <v>46084</v>
      </c>
      <c r="D453" t="inlineStr">
        <is>
          <t>SKÅNE LÄN</t>
        </is>
      </c>
      <c r="E453" t="inlineStr">
        <is>
          <t>HÄSSLEHOLM</t>
        </is>
      </c>
      <c r="G453" t="n">
        <v>1.1</v>
      </c>
      <c r="H453" t="n">
        <v>0</v>
      </c>
      <c r="I453" t="n">
        <v>0</v>
      </c>
      <c r="J453" t="n">
        <v>0</v>
      </c>
      <c r="K453" t="n">
        <v>0</v>
      </c>
      <c r="L453" t="n">
        <v>0</v>
      </c>
      <c r="M453" t="n">
        <v>0</v>
      </c>
      <c r="N453" t="n">
        <v>0</v>
      </c>
      <c r="O453" t="n">
        <v>0</v>
      </c>
      <c r="P453" t="n">
        <v>0</v>
      </c>
      <c r="Q453" t="n">
        <v>0</v>
      </c>
      <c r="R453" s="2" t="inlineStr"/>
    </row>
    <row r="454" ht="15" customHeight="1">
      <c r="A454" t="inlineStr">
        <is>
          <t>A 13549-2025</t>
        </is>
      </c>
      <c r="B454" s="1" t="n">
        <v>45736</v>
      </c>
      <c r="C454" s="1" t="n">
        <v>46084</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51245-2023</t>
        </is>
      </c>
      <c r="B455" s="1" t="n">
        <v>45212</v>
      </c>
      <c r="C455" s="1" t="n">
        <v>46084</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43516-2025</t>
        </is>
      </c>
      <c r="B456" s="1" t="n">
        <v>45911</v>
      </c>
      <c r="C456" s="1" t="n">
        <v>46084</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25213-2023</t>
        </is>
      </c>
      <c r="B457" s="1" t="n">
        <v>45086.60010416667</v>
      </c>
      <c r="C457" s="1" t="n">
        <v>46084</v>
      </c>
      <c r="D457" t="inlineStr">
        <is>
          <t>SKÅNE LÄN</t>
        </is>
      </c>
      <c r="E457" t="inlineStr">
        <is>
          <t>HÄSSLEHOLM</t>
        </is>
      </c>
      <c r="G457" t="n">
        <v>7.2</v>
      </c>
      <c r="H457" t="n">
        <v>0</v>
      </c>
      <c r="I457" t="n">
        <v>0</v>
      </c>
      <c r="J457" t="n">
        <v>0</v>
      </c>
      <c r="K457" t="n">
        <v>0</v>
      </c>
      <c r="L457" t="n">
        <v>0</v>
      </c>
      <c r="M457" t="n">
        <v>0</v>
      </c>
      <c r="N457" t="n">
        <v>0</v>
      </c>
      <c r="O457" t="n">
        <v>0</v>
      </c>
      <c r="P457" t="n">
        <v>0</v>
      </c>
      <c r="Q457" t="n">
        <v>0</v>
      </c>
      <c r="R457" s="2" t="inlineStr"/>
    </row>
    <row r="458" ht="15" customHeight="1">
      <c r="A458" t="inlineStr">
        <is>
          <t>A 43332-2025</t>
        </is>
      </c>
      <c r="B458" s="1" t="n">
        <v>45910.70217592592</v>
      </c>
      <c r="C458" s="1" t="n">
        <v>46084</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28240-2025</t>
        </is>
      </c>
      <c r="B459" s="1" t="n">
        <v>45817</v>
      </c>
      <c r="C459" s="1" t="n">
        <v>46084</v>
      </c>
      <c r="D459" t="inlineStr">
        <is>
          <t>SKÅNE LÄN</t>
        </is>
      </c>
      <c r="E459" t="inlineStr">
        <is>
          <t>HÄSSLEHOLM</t>
        </is>
      </c>
      <c r="G459" t="n">
        <v>7.7</v>
      </c>
      <c r="H459" t="n">
        <v>0</v>
      </c>
      <c r="I459" t="n">
        <v>0</v>
      </c>
      <c r="J459" t="n">
        <v>0</v>
      </c>
      <c r="K459" t="n">
        <v>0</v>
      </c>
      <c r="L459" t="n">
        <v>0</v>
      </c>
      <c r="M459" t="n">
        <v>0</v>
      </c>
      <c r="N459" t="n">
        <v>0</v>
      </c>
      <c r="O459" t="n">
        <v>0</v>
      </c>
      <c r="P459" t="n">
        <v>0</v>
      </c>
      <c r="Q459" t="n">
        <v>0</v>
      </c>
      <c r="R459" s="2" t="inlineStr"/>
    </row>
    <row r="460" ht="15" customHeight="1">
      <c r="A460" t="inlineStr">
        <is>
          <t>A 27940-2025</t>
        </is>
      </c>
      <c r="B460" s="1" t="n">
        <v>45817.50439814815</v>
      </c>
      <c r="C460" s="1" t="n">
        <v>46084</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18063-2023</t>
        </is>
      </c>
      <c r="B461" s="1" t="n">
        <v>45040.62850694444</v>
      </c>
      <c r="C461" s="1" t="n">
        <v>46084</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27934-2025</t>
        </is>
      </c>
      <c r="B462" s="1" t="n">
        <v>45817.49761574074</v>
      </c>
      <c r="C462" s="1" t="n">
        <v>46084</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31934-2024</t>
        </is>
      </c>
      <c r="B463" s="1" t="n">
        <v>45510.41177083334</v>
      </c>
      <c r="C463" s="1" t="n">
        <v>46084</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28251-2025</t>
        </is>
      </c>
      <c r="B464" s="1" t="n">
        <v>45817</v>
      </c>
      <c r="C464" s="1" t="n">
        <v>46084</v>
      </c>
      <c r="D464" t="inlineStr">
        <is>
          <t>SKÅNE LÄN</t>
        </is>
      </c>
      <c r="E464" t="inlineStr">
        <is>
          <t>HÄSSLEHOLM</t>
        </is>
      </c>
      <c r="G464" t="n">
        <v>7.2</v>
      </c>
      <c r="H464" t="n">
        <v>0</v>
      </c>
      <c r="I464" t="n">
        <v>0</v>
      </c>
      <c r="J464" t="n">
        <v>0</v>
      </c>
      <c r="K464" t="n">
        <v>0</v>
      </c>
      <c r="L464" t="n">
        <v>0</v>
      </c>
      <c r="M464" t="n">
        <v>0</v>
      </c>
      <c r="N464" t="n">
        <v>0</v>
      </c>
      <c r="O464" t="n">
        <v>0</v>
      </c>
      <c r="P464" t="n">
        <v>0</v>
      </c>
      <c r="Q464" t="n">
        <v>0</v>
      </c>
      <c r="R464" s="2" t="inlineStr"/>
    </row>
    <row r="465" ht="15" customHeight="1">
      <c r="A465" t="inlineStr">
        <is>
          <t>A 43333-2025</t>
        </is>
      </c>
      <c r="B465" s="1" t="n">
        <v>45910</v>
      </c>
      <c r="C465" s="1" t="n">
        <v>46084</v>
      </c>
      <c r="D465" t="inlineStr">
        <is>
          <t>SKÅNE LÄN</t>
        </is>
      </c>
      <c r="E465" t="inlineStr">
        <is>
          <t>HÄSSLEHOLM</t>
        </is>
      </c>
      <c r="G465" t="n">
        <v>10.1</v>
      </c>
      <c r="H465" t="n">
        <v>0</v>
      </c>
      <c r="I465" t="n">
        <v>0</v>
      </c>
      <c r="J465" t="n">
        <v>0</v>
      </c>
      <c r="K465" t="n">
        <v>0</v>
      </c>
      <c r="L465" t="n">
        <v>0</v>
      </c>
      <c r="M465" t="n">
        <v>0</v>
      </c>
      <c r="N465" t="n">
        <v>0</v>
      </c>
      <c r="O465" t="n">
        <v>0</v>
      </c>
      <c r="P465" t="n">
        <v>0</v>
      </c>
      <c r="Q465" t="n">
        <v>0</v>
      </c>
      <c r="R465" s="2" t="inlineStr"/>
    </row>
    <row r="466" ht="15" customHeight="1">
      <c r="A466" t="inlineStr">
        <is>
          <t>A 28122-2025</t>
        </is>
      </c>
      <c r="B466" s="1" t="n">
        <v>45817</v>
      </c>
      <c r="C466" s="1" t="n">
        <v>46084</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27887-2025</t>
        </is>
      </c>
      <c r="B467" s="1" t="n">
        <v>45817.45994212963</v>
      </c>
      <c r="C467" s="1" t="n">
        <v>46084</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61524-2022</t>
        </is>
      </c>
      <c r="B468" s="1" t="n">
        <v>44910</v>
      </c>
      <c r="C468" s="1" t="n">
        <v>46084</v>
      </c>
      <c r="D468" t="inlineStr">
        <is>
          <t>SKÅNE LÄN</t>
        </is>
      </c>
      <c r="E468" t="inlineStr">
        <is>
          <t>HÄSSLEHOLM</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61578-2023</t>
        </is>
      </c>
      <c r="B469" s="1" t="n">
        <v>45265.47399305556</v>
      </c>
      <c r="C469" s="1" t="n">
        <v>46084</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25542-2024</t>
        </is>
      </c>
      <c r="B470" s="1" t="n">
        <v>45463</v>
      </c>
      <c r="C470" s="1" t="n">
        <v>46084</v>
      </c>
      <c r="D470" t="inlineStr">
        <is>
          <t>SKÅNE LÄN</t>
        </is>
      </c>
      <c r="E470" t="inlineStr">
        <is>
          <t>HÄSSLEHOLM</t>
        </is>
      </c>
      <c r="G470" t="n">
        <v>6.9</v>
      </c>
      <c r="H470" t="n">
        <v>0</v>
      </c>
      <c r="I470" t="n">
        <v>0</v>
      </c>
      <c r="J470" t="n">
        <v>0</v>
      </c>
      <c r="K470" t="n">
        <v>0</v>
      </c>
      <c r="L470" t="n">
        <v>0</v>
      </c>
      <c r="M470" t="n">
        <v>0</v>
      </c>
      <c r="N470" t="n">
        <v>0</v>
      </c>
      <c r="O470" t="n">
        <v>0</v>
      </c>
      <c r="P470" t="n">
        <v>0</v>
      </c>
      <c r="Q470" t="n">
        <v>0</v>
      </c>
      <c r="R470" s="2" t="inlineStr"/>
    </row>
    <row r="471" ht="15" customHeight="1">
      <c r="A471" t="inlineStr">
        <is>
          <t>A 28095-2025</t>
        </is>
      </c>
      <c r="B471" s="1" t="n">
        <v>45817</v>
      </c>
      <c r="C471" s="1" t="n">
        <v>46084</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43869-2025</t>
        </is>
      </c>
      <c r="B472" s="1" t="n">
        <v>45912.66452546296</v>
      </c>
      <c r="C472" s="1" t="n">
        <v>46084</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42370-2023</t>
        </is>
      </c>
      <c r="B473" s="1" t="n">
        <v>45180</v>
      </c>
      <c r="C473" s="1" t="n">
        <v>46084</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43741-2025</t>
        </is>
      </c>
      <c r="B474" s="1" t="n">
        <v>45912.45541666666</v>
      </c>
      <c r="C474" s="1" t="n">
        <v>46084</v>
      </c>
      <c r="D474" t="inlineStr">
        <is>
          <t>SKÅNE LÄN</t>
        </is>
      </c>
      <c r="E474" t="inlineStr">
        <is>
          <t>HÄSSLEHOLM</t>
        </is>
      </c>
      <c r="G474" t="n">
        <v>4.3</v>
      </c>
      <c r="H474" t="n">
        <v>0</v>
      </c>
      <c r="I474" t="n">
        <v>0</v>
      </c>
      <c r="J474" t="n">
        <v>0</v>
      </c>
      <c r="K474" t="n">
        <v>0</v>
      </c>
      <c r="L474" t="n">
        <v>0</v>
      </c>
      <c r="M474" t="n">
        <v>0</v>
      </c>
      <c r="N474" t="n">
        <v>0</v>
      </c>
      <c r="O474" t="n">
        <v>0</v>
      </c>
      <c r="P474" t="n">
        <v>0</v>
      </c>
      <c r="Q474" t="n">
        <v>0</v>
      </c>
      <c r="R474" s="2" t="inlineStr"/>
    </row>
    <row r="475" ht="15" customHeight="1">
      <c r="A475" t="inlineStr">
        <is>
          <t>A 49827-2022</t>
        </is>
      </c>
      <c r="B475" s="1" t="n">
        <v>44859</v>
      </c>
      <c r="C475" s="1" t="n">
        <v>46084</v>
      </c>
      <c r="D475" t="inlineStr">
        <is>
          <t>SKÅNE LÄN</t>
        </is>
      </c>
      <c r="E475" t="inlineStr">
        <is>
          <t>HÄSSLEHOLM</t>
        </is>
      </c>
      <c r="G475" t="n">
        <v>6.1</v>
      </c>
      <c r="H475" t="n">
        <v>0</v>
      </c>
      <c r="I475" t="n">
        <v>0</v>
      </c>
      <c r="J475" t="n">
        <v>0</v>
      </c>
      <c r="K475" t="n">
        <v>0</v>
      </c>
      <c r="L475" t="n">
        <v>0</v>
      </c>
      <c r="M475" t="n">
        <v>0</v>
      </c>
      <c r="N475" t="n">
        <v>0</v>
      </c>
      <c r="O475" t="n">
        <v>0</v>
      </c>
      <c r="P475" t="n">
        <v>0</v>
      </c>
      <c r="Q475" t="n">
        <v>0</v>
      </c>
      <c r="R475" s="2" t="inlineStr"/>
    </row>
    <row r="476" ht="15" customHeight="1">
      <c r="A476" t="inlineStr">
        <is>
          <t>A 11422-2025</t>
        </is>
      </c>
      <c r="B476" s="1" t="n">
        <v>45726</v>
      </c>
      <c r="C476" s="1" t="n">
        <v>46084</v>
      </c>
      <c r="D476" t="inlineStr">
        <is>
          <t>SKÅNE LÄN</t>
        </is>
      </c>
      <c r="E476" t="inlineStr">
        <is>
          <t>HÄSSLEHOLM</t>
        </is>
      </c>
      <c r="G476" t="n">
        <v>14.9</v>
      </c>
      <c r="H476" t="n">
        <v>0</v>
      </c>
      <c r="I476" t="n">
        <v>0</v>
      </c>
      <c r="J476" t="n">
        <v>0</v>
      </c>
      <c r="K476" t="n">
        <v>0</v>
      </c>
      <c r="L476" t="n">
        <v>0</v>
      </c>
      <c r="M476" t="n">
        <v>0</v>
      </c>
      <c r="N476" t="n">
        <v>0</v>
      </c>
      <c r="O476" t="n">
        <v>0</v>
      </c>
      <c r="P476" t="n">
        <v>0</v>
      </c>
      <c r="Q476" t="n">
        <v>0</v>
      </c>
      <c r="R476" s="2" t="inlineStr"/>
    </row>
    <row r="477" ht="15" customHeight="1">
      <c r="A477" t="inlineStr">
        <is>
          <t>A 59429-2023</t>
        </is>
      </c>
      <c r="B477" s="1" t="n">
        <v>45254.2875</v>
      </c>
      <c r="C477" s="1" t="n">
        <v>46084</v>
      </c>
      <c r="D477" t="inlineStr">
        <is>
          <t>SKÅNE LÄN</t>
        </is>
      </c>
      <c r="E477" t="inlineStr">
        <is>
          <t>HÄSSLEHOLM</t>
        </is>
      </c>
      <c r="G477" t="n">
        <v>0</v>
      </c>
      <c r="H477" t="n">
        <v>0</v>
      </c>
      <c r="I477" t="n">
        <v>0</v>
      </c>
      <c r="J477" t="n">
        <v>0</v>
      </c>
      <c r="K477" t="n">
        <v>0</v>
      </c>
      <c r="L477" t="n">
        <v>0</v>
      </c>
      <c r="M477" t="n">
        <v>0</v>
      </c>
      <c r="N477" t="n">
        <v>0</v>
      </c>
      <c r="O477" t="n">
        <v>0</v>
      </c>
      <c r="P477" t="n">
        <v>0</v>
      </c>
      <c r="Q477" t="n">
        <v>0</v>
      </c>
      <c r="R477" s="2" t="inlineStr"/>
    </row>
    <row r="478" ht="15" customHeight="1">
      <c r="A478" t="inlineStr">
        <is>
          <t>A 7604-2024</t>
        </is>
      </c>
      <c r="B478" s="1" t="n">
        <v>45348</v>
      </c>
      <c r="C478" s="1" t="n">
        <v>46084</v>
      </c>
      <c r="D478" t="inlineStr">
        <is>
          <t>SKÅNE LÄN</t>
        </is>
      </c>
      <c r="E478" t="inlineStr">
        <is>
          <t>HÄSSLEHOLM</t>
        </is>
      </c>
      <c r="G478" t="n">
        <v>11.1</v>
      </c>
      <c r="H478" t="n">
        <v>0</v>
      </c>
      <c r="I478" t="n">
        <v>0</v>
      </c>
      <c r="J478" t="n">
        <v>0</v>
      </c>
      <c r="K478" t="n">
        <v>0</v>
      </c>
      <c r="L478" t="n">
        <v>0</v>
      </c>
      <c r="M478" t="n">
        <v>0</v>
      </c>
      <c r="N478" t="n">
        <v>0</v>
      </c>
      <c r="O478" t="n">
        <v>0</v>
      </c>
      <c r="P478" t="n">
        <v>0</v>
      </c>
      <c r="Q478" t="n">
        <v>0</v>
      </c>
      <c r="R478" s="2" t="inlineStr"/>
    </row>
    <row r="479" ht="15" customHeight="1">
      <c r="A479" t="inlineStr">
        <is>
          <t>A 29853-2024</t>
        </is>
      </c>
      <c r="B479" s="1" t="n">
        <v>45485.65844907407</v>
      </c>
      <c r="C479" s="1" t="n">
        <v>46084</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29287-2023</t>
        </is>
      </c>
      <c r="B480" s="1" t="n">
        <v>45098</v>
      </c>
      <c r="C480" s="1" t="n">
        <v>46084</v>
      </c>
      <c r="D480" t="inlineStr">
        <is>
          <t>SKÅNE LÄN</t>
        </is>
      </c>
      <c r="E480" t="inlineStr">
        <is>
          <t>HÄSSLEHOLM</t>
        </is>
      </c>
      <c r="G480" t="n">
        <v>5.7</v>
      </c>
      <c r="H480" t="n">
        <v>0</v>
      </c>
      <c r="I480" t="n">
        <v>0</v>
      </c>
      <c r="J480" t="n">
        <v>0</v>
      </c>
      <c r="K480" t="n">
        <v>0</v>
      </c>
      <c r="L480" t="n">
        <v>0</v>
      </c>
      <c r="M480" t="n">
        <v>0</v>
      </c>
      <c r="N480" t="n">
        <v>0</v>
      </c>
      <c r="O480" t="n">
        <v>0</v>
      </c>
      <c r="P480" t="n">
        <v>0</v>
      </c>
      <c r="Q480" t="n">
        <v>0</v>
      </c>
      <c r="R480" s="2" t="inlineStr"/>
    </row>
    <row r="481" ht="15" customHeight="1">
      <c r="A481" t="inlineStr">
        <is>
          <t>A 5992-2022</t>
        </is>
      </c>
      <c r="B481" s="1" t="n">
        <v>44599</v>
      </c>
      <c r="C481" s="1" t="n">
        <v>46084</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43738-2025</t>
        </is>
      </c>
      <c r="B482" s="1" t="n">
        <v>45912.45037037037</v>
      </c>
      <c r="C482" s="1" t="n">
        <v>46084</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29170-2025</t>
        </is>
      </c>
      <c r="B483" s="1" t="n">
        <v>45821.69766203704</v>
      </c>
      <c r="C483" s="1" t="n">
        <v>46084</v>
      </c>
      <c r="D483" t="inlineStr">
        <is>
          <t>SKÅNE LÄN</t>
        </is>
      </c>
      <c r="E483" t="inlineStr">
        <is>
          <t>HÄSSLEHOLM</t>
        </is>
      </c>
      <c r="G483" t="n">
        <v>3.1</v>
      </c>
      <c r="H483" t="n">
        <v>0</v>
      </c>
      <c r="I483" t="n">
        <v>0</v>
      </c>
      <c r="J483" t="n">
        <v>0</v>
      </c>
      <c r="K483" t="n">
        <v>0</v>
      </c>
      <c r="L483" t="n">
        <v>0</v>
      </c>
      <c r="M483" t="n">
        <v>0</v>
      </c>
      <c r="N483" t="n">
        <v>0</v>
      </c>
      <c r="O483" t="n">
        <v>0</v>
      </c>
      <c r="P483" t="n">
        <v>0</v>
      </c>
      <c r="Q483" t="n">
        <v>0</v>
      </c>
      <c r="R483" s="2" t="inlineStr"/>
    </row>
    <row r="484" ht="15" customHeight="1">
      <c r="A484" t="inlineStr">
        <is>
          <t>A 60959-2022</t>
        </is>
      </c>
      <c r="B484" s="1" t="n">
        <v>44914.64777777778</v>
      </c>
      <c r="C484" s="1" t="n">
        <v>46084</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25324-2024</t>
        </is>
      </c>
      <c r="B485" s="1" t="n">
        <v>45462.804375</v>
      </c>
      <c r="C485" s="1" t="n">
        <v>46084</v>
      </c>
      <c r="D485" t="inlineStr">
        <is>
          <t>SKÅNE LÄN</t>
        </is>
      </c>
      <c r="E485" t="inlineStr">
        <is>
          <t>HÄSSLEHOLM</t>
        </is>
      </c>
      <c r="G485" t="n">
        <v>0.2</v>
      </c>
      <c r="H485" t="n">
        <v>0</v>
      </c>
      <c r="I485" t="n">
        <v>0</v>
      </c>
      <c r="J485" t="n">
        <v>0</v>
      </c>
      <c r="K485" t="n">
        <v>0</v>
      </c>
      <c r="L485" t="n">
        <v>0</v>
      </c>
      <c r="M485" t="n">
        <v>0</v>
      </c>
      <c r="N485" t="n">
        <v>0</v>
      </c>
      <c r="O485" t="n">
        <v>0</v>
      </c>
      <c r="P485" t="n">
        <v>0</v>
      </c>
      <c r="Q485" t="n">
        <v>0</v>
      </c>
      <c r="R485" s="2" t="inlineStr"/>
    </row>
    <row r="486" ht="15" customHeight="1">
      <c r="A486" t="inlineStr">
        <is>
          <t>A 8803-2023</t>
        </is>
      </c>
      <c r="B486" s="1" t="n">
        <v>44978.61712962963</v>
      </c>
      <c r="C486" s="1" t="n">
        <v>46084</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4809-2025</t>
        </is>
      </c>
      <c r="B487" s="1" t="n">
        <v>45688.60148148148</v>
      </c>
      <c r="C487" s="1" t="n">
        <v>46084</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12780-2024</t>
        </is>
      </c>
      <c r="B488" s="1" t="n">
        <v>45384.59726851852</v>
      </c>
      <c r="C488" s="1" t="n">
        <v>46084</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44624-2025</t>
        </is>
      </c>
      <c r="B489" s="1" t="n">
        <v>45917.47152777778</v>
      </c>
      <c r="C489" s="1" t="n">
        <v>46084</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9375-2023</t>
        </is>
      </c>
      <c r="B490" s="1" t="n">
        <v>44981</v>
      </c>
      <c r="C490" s="1" t="n">
        <v>46084</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44611-2025</t>
        </is>
      </c>
      <c r="B491" s="1" t="n">
        <v>45917.45109953704</v>
      </c>
      <c r="C491" s="1" t="n">
        <v>46084</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29171-2025</t>
        </is>
      </c>
      <c r="B492" s="1" t="n">
        <v>45821.69863425926</v>
      </c>
      <c r="C492" s="1" t="n">
        <v>46084</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44330-2025</t>
        </is>
      </c>
      <c r="B493" s="1" t="n">
        <v>45916.42120370371</v>
      </c>
      <c r="C493" s="1" t="n">
        <v>46084</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42906-2022</t>
        </is>
      </c>
      <c r="B494" s="1" t="n">
        <v>44833</v>
      </c>
      <c r="C494" s="1" t="n">
        <v>46084</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44523-2025</t>
        </is>
      </c>
      <c r="B495" s="1" t="n">
        <v>45916</v>
      </c>
      <c r="C495" s="1" t="n">
        <v>46084</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29168-2025</t>
        </is>
      </c>
      <c r="B496" s="1" t="n">
        <v>45821.69547453704</v>
      </c>
      <c r="C496" s="1" t="n">
        <v>46084</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31931-2024</t>
        </is>
      </c>
      <c r="B497" s="1" t="n">
        <v>45510.40878472223</v>
      </c>
      <c r="C497" s="1" t="n">
        <v>46084</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30006-2023</t>
        </is>
      </c>
      <c r="B498" s="1" t="n">
        <v>45109.79962962963</v>
      </c>
      <c r="C498" s="1" t="n">
        <v>46084</v>
      </c>
      <c r="D498" t="inlineStr">
        <is>
          <t>SKÅNE LÄN</t>
        </is>
      </c>
      <c r="E498" t="inlineStr">
        <is>
          <t>HÄSSLEHOLM</t>
        </is>
      </c>
      <c r="G498" t="n">
        <v>1.7</v>
      </c>
      <c r="H498" t="n">
        <v>0</v>
      </c>
      <c r="I498" t="n">
        <v>0</v>
      </c>
      <c r="J498" t="n">
        <v>0</v>
      </c>
      <c r="K498" t="n">
        <v>0</v>
      </c>
      <c r="L498" t="n">
        <v>0</v>
      </c>
      <c r="M498" t="n">
        <v>0</v>
      </c>
      <c r="N498" t="n">
        <v>0</v>
      </c>
      <c r="O498" t="n">
        <v>0</v>
      </c>
      <c r="P498" t="n">
        <v>0</v>
      </c>
      <c r="Q498" t="n">
        <v>0</v>
      </c>
      <c r="R498" s="2" t="inlineStr"/>
    </row>
    <row r="499" ht="15" customHeight="1">
      <c r="A499" t="inlineStr">
        <is>
          <t>A 15133-2023</t>
        </is>
      </c>
      <c r="B499" s="1" t="n">
        <v>45016</v>
      </c>
      <c r="C499" s="1" t="n">
        <v>46084</v>
      </c>
      <c r="D499" t="inlineStr">
        <is>
          <t>SKÅNE LÄN</t>
        </is>
      </c>
      <c r="E499" t="inlineStr">
        <is>
          <t>HÄSSLEHOLM</t>
        </is>
      </c>
      <c r="G499" t="n">
        <v>7.8</v>
      </c>
      <c r="H499" t="n">
        <v>0</v>
      </c>
      <c r="I499" t="n">
        <v>0</v>
      </c>
      <c r="J499" t="n">
        <v>0</v>
      </c>
      <c r="K499" t="n">
        <v>0</v>
      </c>
      <c r="L499" t="n">
        <v>0</v>
      </c>
      <c r="M499" t="n">
        <v>0</v>
      </c>
      <c r="N499" t="n">
        <v>0</v>
      </c>
      <c r="O499" t="n">
        <v>0</v>
      </c>
      <c r="P499" t="n">
        <v>0</v>
      </c>
      <c r="Q499" t="n">
        <v>0</v>
      </c>
      <c r="R499" s="2" t="inlineStr"/>
    </row>
    <row r="500" ht="15" customHeight="1">
      <c r="A500" t="inlineStr">
        <is>
          <t>A 34883-2023</t>
        </is>
      </c>
      <c r="B500" s="1" t="n">
        <v>45142.37902777778</v>
      </c>
      <c r="C500" s="1" t="n">
        <v>46084</v>
      </c>
      <c r="D500" t="inlineStr">
        <is>
          <t>SKÅNE LÄN</t>
        </is>
      </c>
      <c r="E500" t="inlineStr">
        <is>
          <t>HÄSSLEHOLM</t>
        </is>
      </c>
      <c r="G500" t="n">
        <v>2.5</v>
      </c>
      <c r="H500" t="n">
        <v>0</v>
      </c>
      <c r="I500" t="n">
        <v>0</v>
      </c>
      <c r="J500" t="n">
        <v>0</v>
      </c>
      <c r="K500" t="n">
        <v>0</v>
      </c>
      <c r="L500" t="n">
        <v>0</v>
      </c>
      <c r="M500" t="n">
        <v>0</v>
      </c>
      <c r="N500" t="n">
        <v>0</v>
      </c>
      <c r="O500" t="n">
        <v>0</v>
      </c>
      <c r="P500" t="n">
        <v>0</v>
      </c>
      <c r="Q500" t="n">
        <v>0</v>
      </c>
      <c r="R500" s="2" t="inlineStr"/>
    </row>
    <row r="501" ht="15" customHeight="1">
      <c r="A501" t="inlineStr">
        <is>
          <t>A 49167-2022</t>
        </is>
      </c>
      <c r="B501" s="1" t="n">
        <v>44860</v>
      </c>
      <c r="C501" s="1" t="n">
        <v>46084</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57963-2023</t>
        </is>
      </c>
      <c r="B502" s="1" t="n">
        <v>45247.57732638889</v>
      </c>
      <c r="C502" s="1" t="n">
        <v>46084</v>
      </c>
      <c r="D502" t="inlineStr">
        <is>
          <t>SKÅNE LÄN</t>
        </is>
      </c>
      <c r="E502" t="inlineStr">
        <is>
          <t>HÄSSLEHOLM</t>
        </is>
      </c>
      <c r="G502" t="n">
        <v>4.6</v>
      </c>
      <c r="H502" t="n">
        <v>0</v>
      </c>
      <c r="I502" t="n">
        <v>0</v>
      </c>
      <c r="J502" t="n">
        <v>0</v>
      </c>
      <c r="K502" t="n">
        <v>0</v>
      </c>
      <c r="L502" t="n">
        <v>0</v>
      </c>
      <c r="M502" t="n">
        <v>0</v>
      </c>
      <c r="N502" t="n">
        <v>0</v>
      </c>
      <c r="O502" t="n">
        <v>0</v>
      </c>
      <c r="P502" t="n">
        <v>0</v>
      </c>
      <c r="Q502" t="n">
        <v>0</v>
      </c>
      <c r="R502" s="2" t="inlineStr"/>
    </row>
    <row r="503" ht="15" customHeight="1">
      <c r="A503" t="inlineStr">
        <is>
          <t>A 44515-2025</t>
        </is>
      </c>
      <c r="B503" s="1" t="n">
        <v>45916.7062037037</v>
      </c>
      <c r="C503" s="1" t="n">
        <v>46084</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20187-2023</t>
        </is>
      </c>
      <c r="B504" s="1" t="n">
        <v>45055.57027777778</v>
      </c>
      <c r="C504" s="1" t="n">
        <v>46084</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44616-2025</t>
        </is>
      </c>
      <c r="B505" s="1" t="n">
        <v>45917.45572916666</v>
      </c>
      <c r="C505" s="1" t="n">
        <v>46084</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44614-2025</t>
        </is>
      </c>
      <c r="B506" s="1" t="n">
        <v>45917.45422453704</v>
      </c>
      <c r="C506" s="1" t="n">
        <v>46084</v>
      </c>
      <c r="D506" t="inlineStr">
        <is>
          <t>SKÅNE LÄN</t>
        </is>
      </c>
      <c r="E506" t="inlineStr">
        <is>
          <t>HÄSSLEHOLM</t>
        </is>
      </c>
      <c r="G506" t="n">
        <v>5.4</v>
      </c>
      <c r="H506" t="n">
        <v>0</v>
      </c>
      <c r="I506" t="n">
        <v>0</v>
      </c>
      <c r="J506" t="n">
        <v>0</v>
      </c>
      <c r="K506" t="n">
        <v>0</v>
      </c>
      <c r="L506" t="n">
        <v>0</v>
      </c>
      <c r="M506" t="n">
        <v>0</v>
      </c>
      <c r="N506" t="n">
        <v>0</v>
      </c>
      <c r="O506" t="n">
        <v>0</v>
      </c>
      <c r="P506" t="n">
        <v>0</v>
      </c>
      <c r="Q506" t="n">
        <v>0</v>
      </c>
      <c r="R506" s="2" t="inlineStr"/>
    </row>
    <row r="507" ht="15" customHeight="1">
      <c r="A507" t="inlineStr">
        <is>
          <t>A 57033-2022</t>
        </is>
      </c>
      <c r="B507" s="1" t="n">
        <v>44895.31270833333</v>
      </c>
      <c r="C507" s="1" t="n">
        <v>46084</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35845-2022</t>
        </is>
      </c>
      <c r="B508" s="1" t="n">
        <v>44802</v>
      </c>
      <c r="C508" s="1" t="n">
        <v>46084</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45176-2025</t>
        </is>
      </c>
      <c r="B509" s="1" t="n">
        <v>45919.52307870371</v>
      </c>
      <c r="C509" s="1" t="n">
        <v>46084</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45221-2025</t>
        </is>
      </c>
      <c r="B510" s="1" t="n">
        <v>45919.57760416667</v>
      </c>
      <c r="C510" s="1" t="n">
        <v>46084</v>
      </c>
      <c r="D510" t="inlineStr">
        <is>
          <t>SKÅNE LÄN</t>
        </is>
      </c>
      <c r="E510" t="inlineStr">
        <is>
          <t>HÄSSLEHOLM</t>
        </is>
      </c>
      <c r="G510" t="n">
        <v>1.7</v>
      </c>
      <c r="H510" t="n">
        <v>0</v>
      </c>
      <c r="I510" t="n">
        <v>0</v>
      </c>
      <c r="J510" t="n">
        <v>0</v>
      </c>
      <c r="K510" t="n">
        <v>0</v>
      </c>
      <c r="L510" t="n">
        <v>0</v>
      </c>
      <c r="M510" t="n">
        <v>0</v>
      </c>
      <c r="N510" t="n">
        <v>0</v>
      </c>
      <c r="O510" t="n">
        <v>0</v>
      </c>
      <c r="P510" t="n">
        <v>0</v>
      </c>
      <c r="Q510" t="n">
        <v>0</v>
      </c>
      <c r="R510" s="2" t="inlineStr"/>
    </row>
    <row r="511" ht="15" customHeight="1">
      <c r="A511" t="inlineStr">
        <is>
          <t>A 45273-2025</t>
        </is>
      </c>
      <c r="B511" s="1" t="n">
        <v>45919.70486111111</v>
      </c>
      <c r="C511" s="1" t="n">
        <v>46084</v>
      </c>
      <c r="D511" t="inlineStr">
        <is>
          <t>SKÅNE LÄN</t>
        </is>
      </c>
      <c r="E511" t="inlineStr">
        <is>
          <t>HÄSSLEHOLM</t>
        </is>
      </c>
      <c r="G511" t="n">
        <v>4.4</v>
      </c>
      <c r="H511" t="n">
        <v>0</v>
      </c>
      <c r="I511" t="n">
        <v>0</v>
      </c>
      <c r="J511" t="n">
        <v>0</v>
      </c>
      <c r="K511" t="n">
        <v>0</v>
      </c>
      <c r="L511" t="n">
        <v>0</v>
      </c>
      <c r="M511" t="n">
        <v>0</v>
      </c>
      <c r="N511" t="n">
        <v>0</v>
      </c>
      <c r="O511" t="n">
        <v>0</v>
      </c>
      <c r="P511" t="n">
        <v>0</v>
      </c>
      <c r="Q511" t="n">
        <v>0</v>
      </c>
      <c r="R511" s="2" t="inlineStr"/>
    </row>
    <row r="512" ht="15" customHeight="1">
      <c r="A512" t="inlineStr">
        <is>
          <t>A 30010-2025</t>
        </is>
      </c>
      <c r="B512" s="1" t="n">
        <v>45826</v>
      </c>
      <c r="C512" s="1" t="n">
        <v>46084</v>
      </c>
      <c r="D512" t="inlineStr">
        <is>
          <t>SKÅNE LÄN</t>
        </is>
      </c>
      <c r="E512" t="inlineStr">
        <is>
          <t>HÄSSLEHOLM</t>
        </is>
      </c>
      <c r="G512" t="n">
        <v>4.5</v>
      </c>
      <c r="H512" t="n">
        <v>0</v>
      </c>
      <c r="I512" t="n">
        <v>0</v>
      </c>
      <c r="J512" t="n">
        <v>0</v>
      </c>
      <c r="K512" t="n">
        <v>0</v>
      </c>
      <c r="L512" t="n">
        <v>0</v>
      </c>
      <c r="M512" t="n">
        <v>0</v>
      </c>
      <c r="N512" t="n">
        <v>0</v>
      </c>
      <c r="O512" t="n">
        <v>0</v>
      </c>
      <c r="P512" t="n">
        <v>0</v>
      </c>
      <c r="Q512" t="n">
        <v>0</v>
      </c>
      <c r="R512" s="2" t="inlineStr"/>
    </row>
    <row r="513" ht="15" customHeight="1">
      <c r="A513" t="inlineStr">
        <is>
          <t>A 45084-2025</t>
        </is>
      </c>
      <c r="B513" s="1" t="n">
        <v>45918</v>
      </c>
      <c r="C513" s="1" t="n">
        <v>46084</v>
      </c>
      <c r="D513" t="inlineStr">
        <is>
          <t>SKÅNE LÄN</t>
        </is>
      </c>
      <c r="E513" t="inlineStr">
        <is>
          <t>HÄSSLEHOLM</t>
        </is>
      </c>
      <c r="G513" t="n">
        <v>1.4</v>
      </c>
      <c r="H513" t="n">
        <v>0</v>
      </c>
      <c r="I513" t="n">
        <v>0</v>
      </c>
      <c r="J513" t="n">
        <v>0</v>
      </c>
      <c r="K513" t="n">
        <v>0</v>
      </c>
      <c r="L513" t="n">
        <v>0</v>
      </c>
      <c r="M513" t="n">
        <v>0</v>
      </c>
      <c r="N513" t="n">
        <v>0</v>
      </c>
      <c r="O513" t="n">
        <v>0</v>
      </c>
      <c r="P513" t="n">
        <v>0</v>
      </c>
      <c r="Q513" t="n">
        <v>0</v>
      </c>
      <c r="R513" s="2" t="inlineStr"/>
    </row>
    <row r="514" ht="15" customHeight="1">
      <c r="A514" t="inlineStr">
        <is>
          <t>A 22140-2023</t>
        </is>
      </c>
      <c r="B514" s="1" t="n">
        <v>45065</v>
      </c>
      <c r="C514" s="1" t="n">
        <v>46084</v>
      </c>
      <c r="D514" t="inlineStr">
        <is>
          <t>SKÅNE LÄN</t>
        </is>
      </c>
      <c r="E514" t="inlineStr">
        <is>
          <t>HÄSSLEHOLM</t>
        </is>
      </c>
      <c r="G514" t="n">
        <v>6.7</v>
      </c>
      <c r="H514" t="n">
        <v>0</v>
      </c>
      <c r="I514" t="n">
        <v>0</v>
      </c>
      <c r="J514" t="n">
        <v>0</v>
      </c>
      <c r="K514" t="n">
        <v>0</v>
      </c>
      <c r="L514" t="n">
        <v>0</v>
      </c>
      <c r="M514" t="n">
        <v>0</v>
      </c>
      <c r="N514" t="n">
        <v>0</v>
      </c>
      <c r="O514" t="n">
        <v>0</v>
      </c>
      <c r="P514" t="n">
        <v>0</v>
      </c>
      <c r="Q514" t="n">
        <v>0</v>
      </c>
      <c r="R514" s="2" t="inlineStr"/>
    </row>
    <row r="515" ht="15" customHeight="1">
      <c r="A515" t="inlineStr">
        <is>
          <t>A 58618-2024</t>
        </is>
      </c>
      <c r="B515" s="1" t="n">
        <v>45635.56150462963</v>
      </c>
      <c r="C515" s="1" t="n">
        <v>46084</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7653-2024</t>
        </is>
      </c>
      <c r="B516" s="1" t="n">
        <v>45348.69043981482</v>
      </c>
      <c r="C516" s="1" t="n">
        <v>46084</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24679-2023</t>
        </is>
      </c>
      <c r="B517" s="1" t="n">
        <v>45084</v>
      </c>
      <c r="C517" s="1" t="n">
        <v>46084</v>
      </c>
      <c r="D517" t="inlineStr">
        <is>
          <t>SKÅNE LÄN</t>
        </is>
      </c>
      <c r="E517" t="inlineStr">
        <is>
          <t>HÄSSLEHOLM</t>
        </is>
      </c>
      <c r="G517" t="n">
        <v>7.1</v>
      </c>
      <c r="H517" t="n">
        <v>0</v>
      </c>
      <c r="I517" t="n">
        <v>0</v>
      </c>
      <c r="J517" t="n">
        <v>0</v>
      </c>
      <c r="K517" t="n">
        <v>0</v>
      </c>
      <c r="L517" t="n">
        <v>0</v>
      </c>
      <c r="M517" t="n">
        <v>0</v>
      </c>
      <c r="N517" t="n">
        <v>0</v>
      </c>
      <c r="O517" t="n">
        <v>0</v>
      </c>
      <c r="P517" t="n">
        <v>0</v>
      </c>
      <c r="Q517" t="n">
        <v>0</v>
      </c>
      <c r="R517" s="2" t="inlineStr"/>
    </row>
    <row r="518" ht="15" customHeight="1">
      <c r="A518" t="inlineStr">
        <is>
          <t>A 45496-2025</t>
        </is>
      </c>
      <c r="B518" s="1" t="n">
        <v>45922</v>
      </c>
      <c r="C518" s="1" t="n">
        <v>46084</v>
      </c>
      <c r="D518" t="inlineStr">
        <is>
          <t>SKÅNE LÄN</t>
        </is>
      </c>
      <c r="E518" t="inlineStr">
        <is>
          <t>HÄSSLEHOLM</t>
        </is>
      </c>
      <c r="G518" t="n">
        <v>1.3</v>
      </c>
      <c r="H518" t="n">
        <v>0</v>
      </c>
      <c r="I518" t="n">
        <v>0</v>
      </c>
      <c r="J518" t="n">
        <v>0</v>
      </c>
      <c r="K518" t="n">
        <v>0</v>
      </c>
      <c r="L518" t="n">
        <v>0</v>
      </c>
      <c r="M518" t="n">
        <v>0</v>
      </c>
      <c r="N518" t="n">
        <v>0</v>
      </c>
      <c r="O518" t="n">
        <v>0</v>
      </c>
      <c r="P518" t="n">
        <v>0</v>
      </c>
      <c r="Q518" t="n">
        <v>0</v>
      </c>
      <c r="R518" s="2" t="inlineStr"/>
    </row>
    <row r="519" ht="15" customHeight="1">
      <c r="A519" t="inlineStr">
        <is>
          <t>A 49219-2021</t>
        </is>
      </c>
      <c r="B519" s="1" t="n">
        <v>44454</v>
      </c>
      <c r="C519" s="1" t="n">
        <v>46084</v>
      </c>
      <c r="D519" t="inlineStr">
        <is>
          <t>SKÅNE LÄN</t>
        </is>
      </c>
      <c r="E519" t="inlineStr">
        <is>
          <t>HÄSSLEHOLM</t>
        </is>
      </c>
      <c r="G519" t="n">
        <v>7.8</v>
      </c>
      <c r="H519" t="n">
        <v>0</v>
      </c>
      <c r="I519" t="n">
        <v>0</v>
      </c>
      <c r="J519" t="n">
        <v>0</v>
      </c>
      <c r="K519" t="n">
        <v>0</v>
      </c>
      <c r="L519" t="n">
        <v>0</v>
      </c>
      <c r="M519" t="n">
        <v>0</v>
      </c>
      <c r="N519" t="n">
        <v>0</v>
      </c>
      <c r="O519" t="n">
        <v>0</v>
      </c>
      <c r="P519" t="n">
        <v>0</v>
      </c>
      <c r="Q519" t="n">
        <v>0</v>
      </c>
      <c r="R519" s="2" t="inlineStr"/>
    </row>
    <row r="520" ht="15" customHeight="1">
      <c r="A520" t="inlineStr">
        <is>
          <t>A 45495-2025</t>
        </is>
      </c>
      <c r="B520" s="1" t="n">
        <v>45922.56369212963</v>
      </c>
      <c r="C520" s="1" t="n">
        <v>46084</v>
      </c>
      <c r="D520" t="inlineStr">
        <is>
          <t>SKÅNE LÄN</t>
        </is>
      </c>
      <c r="E520" t="inlineStr">
        <is>
          <t>HÄSSLEHOLM</t>
        </is>
      </c>
      <c r="G520" t="n">
        <v>1.8</v>
      </c>
      <c r="H520" t="n">
        <v>0</v>
      </c>
      <c r="I520" t="n">
        <v>0</v>
      </c>
      <c r="J520" t="n">
        <v>0</v>
      </c>
      <c r="K520" t="n">
        <v>0</v>
      </c>
      <c r="L520" t="n">
        <v>0</v>
      </c>
      <c r="M520" t="n">
        <v>0</v>
      </c>
      <c r="N520" t="n">
        <v>0</v>
      </c>
      <c r="O520" t="n">
        <v>0</v>
      </c>
      <c r="P520" t="n">
        <v>0</v>
      </c>
      <c r="Q520" t="n">
        <v>0</v>
      </c>
      <c r="R520" s="2" t="inlineStr"/>
    </row>
    <row r="521" ht="15" customHeight="1">
      <c r="A521" t="inlineStr">
        <is>
          <t>A 5890-2023</t>
        </is>
      </c>
      <c r="B521" s="1" t="n">
        <v>44963.64527777778</v>
      </c>
      <c r="C521" s="1" t="n">
        <v>46084</v>
      </c>
      <c r="D521" t="inlineStr">
        <is>
          <t>SKÅNE LÄN</t>
        </is>
      </c>
      <c r="E521" t="inlineStr">
        <is>
          <t>HÄSSLEHOLM</t>
        </is>
      </c>
      <c r="G521" t="n">
        <v>1.6</v>
      </c>
      <c r="H521" t="n">
        <v>0</v>
      </c>
      <c r="I521" t="n">
        <v>0</v>
      </c>
      <c r="J521" t="n">
        <v>0</v>
      </c>
      <c r="K521" t="n">
        <v>0</v>
      </c>
      <c r="L521" t="n">
        <v>0</v>
      </c>
      <c r="M521" t="n">
        <v>0</v>
      </c>
      <c r="N521" t="n">
        <v>0</v>
      </c>
      <c r="O521" t="n">
        <v>0</v>
      </c>
      <c r="P521" t="n">
        <v>0</v>
      </c>
      <c r="Q521" t="n">
        <v>0</v>
      </c>
      <c r="R521" s="2" t="inlineStr"/>
    </row>
    <row r="522" ht="15" customHeight="1">
      <c r="A522" t="inlineStr">
        <is>
          <t>A 11266-2025</t>
        </is>
      </c>
      <c r="B522" s="1" t="n">
        <v>45726</v>
      </c>
      <c r="C522" s="1" t="n">
        <v>46084</v>
      </c>
      <c r="D522" t="inlineStr">
        <is>
          <t>SKÅNE LÄN</t>
        </is>
      </c>
      <c r="E522" t="inlineStr">
        <is>
          <t>HÄSSLEHOLM</t>
        </is>
      </c>
      <c r="G522" t="n">
        <v>0.3</v>
      </c>
      <c r="H522" t="n">
        <v>0</v>
      </c>
      <c r="I522" t="n">
        <v>0</v>
      </c>
      <c r="J522" t="n">
        <v>0</v>
      </c>
      <c r="K522" t="n">
        <v>0</v>
      </c>
      <c r="L522" t="n">
        <v>0</v>
      </c>
      <c r="M522" t="n">
        <v>0</v>
      </c>
      <c r="N522" t="n">
        <v>0</v>
      </c>
      <c r="O522" t="n">
        <v>0</v>
      </c>
      <c r="P522" t="n">
        <v>0</v>
      </c>
      <c r="Q522" t="n">
        <v>0</v>
      </c>
      <c r="R522" s="2" t="inlineStr"/>
    </row>
    <row r="523" ht="15" customHeight="1">
      <c r="A523" t="inlineStr">
        <is>
          <t>A 45314-2025</t>
        </is>
      </c>
      <c r="B523" s="1" t="n">
        <v>45921.81738425926</v>
      </c>
      <c r="C523" s="1" t="n">
        <v>46084</v>
      </c>
      <c r="D523" t="inlineStr">
        <is>
          <t>SKÅNE LÄN</t>
        </is>
      </c>
      <c r="E523" t="inlineStr">
        <is>
          <t>HÄSSLEHOLM</t>
        </is>
      </c>
      <c r="G523" t="n">
        <v>2.4</v>
      </c>
      <c r="H523" t="n">
        <v>0</v>
      </c>
      <c r="I523" t="n">
        <v>0</v>
      </c>
      <c r="J523" t="n">
        <v>0</v>
      </c>
      <c r="K523" t="n">
        <v>0</v>
      </c>
      <c r="L523" t="n">
        <v>0</v>
      </c>
      <c r="M523" t="n">
        <v>0</v>
      </c>
      <c r="N523" t="n">
        <v>0</v>
      </c>
      <c r="O523" t="n">
        <v>0</v>
      </c>
      <c r="P523" t="n">
        <v>0</v>
      </c>
      <c r="Q523" t="n">
        <v>0</v>
      </c>
      <c r="R523" s="2" t="inlineStr"/>
    </row>
    <row r="524" ht="15" customHeight="1">
      <c r="A524" t="inlineStr">
        <is>
          <t>A 12936-2025</t>
        </is>
      </c>
      <c r="B524" s="1" t="n">
        <v>45734</v>
      </c>
      <c r="C524" s="1" t="n">
        <v>46084</v>
      </c>
      <c r="D524" t="inlineStr">
        <is>
          <t>SKÅNE LÄN</t>
        </is>
      </c>
      <c r="E524" t="inlineStr">
        <is>
          <t>HÄSSLEHOLM</t>
        </is>
      </c>
      <c r="G524" t="n">
        <v>1.7</v>
      </c>
      <c r="H524" t="n">
        <v>0</v>
      </c>
      <c r="I524" t="n">
        <v>0</v>
      </c>
      <c r="J524" t="n">
        <v>0</v>
      </c>
      <c r="K524" t="n">
        <v>0</v>
      </c>
      <c r="L524" t="n">
        <v>0</v>
      </c>
      <c r="M524" t="n">
        <v>0</v>
      </c>
      <c r="N524" t="n">
        <v>0</v>
      </c>
      <c r="O524" t="n">
        <v>0</v>
      </c>
      <c r="P524" t="n">
        <v>0</v>
      </c>
      <c r="Q524" t="n">
        <v>0</v>
      </c>
      <c r="R524" s="2" t="inlineStr"/>
    </row>
    <row r="525" ht="15" customHeight="1">
      <c r="A525" t="inlineStr">
        <is>
          <t>A 45763-2025</t>
        </is>
      </c>
      <c r="B525" s="1" t="n">
        <v>45923.51778935185</v>
      </c>
      <c r="C525" s="1" t="n">
        <v>46084</v>
      </c>
      <c r="D525" t="inlineStr">
        <is>
          <t>SKÅNE LÄN</t>
        </is>
      </c>
      <c r="E525" t="inlineStr">
        <is>
          <t>HÄSSLEHOLM</t>
        </is>
      </c>
      <c r="G525" t="n">
        <v>4.8</v>
      </c>
      <c r="H525" t="n">
        <v>0</v>
      </c>
      <c r="I525" t="n">
        <v>0</v>
      </c>
      <c r="J525" t="n">
        <v>0</v>
      </c>
      <c r="K525" t="n">
        <v>0</v>
      </c>
      <c r="L525" t="n">
        <v>0</v>
      </c>
      <c r="M525" t="n">
        <v>0</v>
      </c>
      <c r="N525" t="n">
        <v>0</v>
      </c>
      <c r="O525" t="n">
        <v>0</v>
      </c>
      <c r="P525" t="n">
        <v>0</v>
      </c>
      <c r="Q525" t="n">
        <v>0</v>
      </c>
      <c r="R525" s="2" t="inlineStr"/>
    </row>
    <row r="526" ht="15" customHeight="1">
      <c r="A526" t="inlineStr">
        <is>
          <t>A 45764-2025</t>
        </is>
      </c>
      <c r="B526" s="1" t="n">
        <v>45923.52037037037</v>
      </c>
      <c r="C526" s="1" t="n">
        <v>46084</v>
      </c>
      <c r="D526" t="inlineStr">
        <is>
          <t>SKÅNE LÄN</t>
        </is>
      </c>
      <c r="E526" t="inlineStr">
        <is>
          <t>HÄSSLEHOLM</t>
        </is>
      </c>
      <c r="G526" t="n">
        <v>6.3</v>
      </c>
      <c r="H526" t="n">
        <v>0</v>
      </c>
      <c r="I526" t="n">
        <v>0</v>
      </c>
      <c r="J526" t="n">
        <v>0</v>
      </c>
      <c r="K526" t="n">
        <v>0</v>
      </c>
      <c r="L526" t="n">
        <v>0</v>
      </c>
      <c r="M526" t="n">
        <v>0</v>
      </c>
      <c r="N526" t="n">
        <v>0</v>
      </c>
      <c r="O526" t="n">
        <v>0</v>
      </c>
      <c r="P526" t="n">
        <v>0</v>
      </c>
      <c r="Q526" t="n">
        <v>0</v>
      </c>
      <c r="R526" s="2" t="inlineStr"/>
    </row>
    <row r="527" ht="15" customHeight="1">
      <c r="A527" t="inlineStr">
        <is>
          <t>A 56062-2024</t>
        </is>
      </c>
      <c r="B527" s="1" t="n">
        <v>45624.37105324074</v>
      </c>
      <c r="C527" s="1" t="n">
        <v>46084</v>
      </c>
      <c r="D527" t="inlineStr">
        <is>
          <t>SKÅNE LÄN</t>
        </is>
      </c>
      <c r="E527" t="inlineStr">
        <is>
          <t>HÄSSLEHOLM</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45443-2025</t>
        </is>
      </c>
      <c r="B528" s="1" t="n">
        <v>45920</v>
      </c>
      <c r="C528" s="1" t="n">
        <v>46084</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41209-2023</t>
        </is>
      </c>
      <c r="B529" s="1" t="n">
        <v>45174.43481481481</v>
      </c>
      <c r="C529" s="1" t="n">
        <v>46084</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45458-2025</t>
        </is>
      </c>
      <c r="B530" s="1" t="n">
        <v>45920</v>
      </c>
      <c r="C530" s="1" t="n">
        <v>46084</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45465-2025</t>
        </is>
      </c>
      <c r="B531" s="1" t="n">
        <v>45920</v>
      </c>
      <c r="C531" s="1" t="n">
        <v>46084</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45414-2025</t>
        </is>
      </c>
      <c r="B532" s="1" t="n">
        <v>45920</v>
      </c>
      <c r="C532" s="1" t="n">
        <v>46084</v>
      </c>
      <c r="D532" t="inlineStr">
        <is>
          <t>SKÅNE LÄN</t>
        </is>
      </c>
      <c r="E532" t="inlineStr">
        <is>
          <t>HÄSSLEHOLM</t>
        </is>
      </c>
      <c r="G532" t="n">
        <v>14.7</v>
      </c>
      <c r="H532" t="n">
        <v>0</v>
      </c>
      <c r="I532" t="n">
        <v>0</v>
      </c>
      <c r="J532" t="n">
        <v>0</v>
      </c>
      <c r="K532" t="n">
        <v>0</v>
      </c>
      <c r="L532" t="n">
        <v>0</v>
      </c>
      <c r="M532" t="n">
        <v>0</v>
      </c>
      <c r="N532" t="n">
        <v>0</v>
      </c>
      <c r="O532" t="n">
        <v>0</v>
      </c>
      <c r="P532" t="n">
        <v>0</v>
      </c>
      <c r="Q532" t="n">
        <v>0</v>
      </c>
      <c r="R532" s="2" t="inlineStr"/>
    </row>
    <row r="533" ht="15" customHeight="1">
      <c r="A533" t="inlineStr">
        <is>
          <t>A 57275-2023</t>
        </is>
      </c>
      <c r="B533" s="1" t="n">
        <v>45245.58886574074</v>
      </c>
      <c r="C533" s="1" t="n">
        <v>46084</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45683-2025</t>
        </is>
      </c>
      <c r="B534" s="1" t="n">
        <v>45923.37590277778</v>
      </c>
      <c r="C534" s="1" t="n">
        <v>46084</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45516-2025</t>
        </is>
      </c>
      <c r="B535" s="1" t="n">
        <v>45922</v>
      </c>
      <c r="C535" s="1" t="n">
        <v>46084</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45514-2025</t>
        </is>
      </c>
      <c r="B536" s="1" t="n">
        <v>45922</v>
      </c>
      <c r="C536" s="1" t="n">
        <v>46084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11121-2023</t>
        </is>
      </c>
      <c r="B537" s="1" t="n">
        <v>44986</v>
      </c>
      <c r="C537" s="1" t="n">
        <v>46084</v>
      </c>
      <c r="D537" t="inlineStr">
        <is>
          <t>SKÅNE LÄN</t>
        </is>
      </c>
      <c r="E537" t="inlineStr">
        <is>
          <t>HÄSSLEHOLM</t>
        </is>
      </c>
      <c r="F537" t="inlineStr">
        <is>
          <t>Kommuner</t>
        </is>
      </c>
      <c r="G537" t="n">
        <v>5.8</v>
      </c>
      <c r="H537" t="n">
        <v>0</v>
      </c>
      <c r="I537" t="n">
        <v>0</v>
      </c>
      <c r="J537" t="n">
        <v>0</v>
      </c>
      <c r="K537" t="n">
        <v>0</v>
      </c>
      <c r="L537" t="n">
        <v>0</v>
      </c>
      <c r="M537" t="n">
        <v>0</v>
      </c>
      <c r="N537" t="n">
        <v>0</v>
      </c>
      <c r="O537" t="n">
        <v>0</v>
      </c>
      <c r="P537" t="n">
        <v>0</v>
      </c>
      <c r="Q537" t="n">
        <v>0</v>
      </c>
      <c r="R537" s="2" t="inlineStr"/>
    </row>
    <row r="538" ht="15" customHeight="1">
      <c r="A538" t="inlineStr">
        <is>
          <t>A 11116-2023</t>
        </is>
      </c>
      <c r="B538" s="1" t="n">
        <v>44986</v>
      </c>
      <c r="C538" s="1" t="n">
        <v>46084</v>
      </c>
      <c r="D538" t="inlineStr">
        <is>
          <t>SKÅNE LÄN</t>
        </is>
      </c>
      <c r="E538" t="inlineStr">
        <is>
          <t>HÄSSLEHOLM</t>
        </is>
      </c>
      <c r="F538" t="inlineStr">
        <is>
          <t>Kommuner</t>
        </is>
      </c>
      <c r="G538" t="n">
        <v>15.1</v>
      </c>
      <c r="H538" t="n">
        <v>0</v>
      </c>
      <c r="I538" t="n">
        <v>0</v>
      </c>
      <c r="J538" t="n">
        <v>0</v>
      </c>
      <c r="K538" t="n">
        <v>0</v>
      </c>
      <c r="L538" t="n">
        <v>0</v>
      </c>
      <c r="M538" t="n">
        <v>0</v>
      </c>
      <c r="N538" t="n">
        <v>0</v>
      </c>
      <c r="O538" t="n">
        <v>0</v>
      </c>
      <c r="P538" t="n">
        <v>0</v>
      </c>
      <c r="Q538" t="n">
        <v>0</v>
      </c>
      <c r="R538" s="2" t="inlineStr"/>
    </row>
    <row r="539" ht="15" customHeight="1">
      <c r="A539" t="inlineStr">
        <is>
          <t>A 45762-2025</t>
        </is>
      </c>
      <c r="B539" s="1" t="n">
        <v>45923.51548611111</v>
      </c>
      <c r="C539" s="1" t="n">
        <v>46084</v>
      </c>
      <c r="D539" t="inlineStr">
        <is>
          <t>SKÅNE LÄN</t>
        </is>
      </c>
      <c r="E539" t="inlineStr">
        <is>
          <t>HÄSSLEHOLM</t>
        </is>
      </c>
      <c r="G539" t="n">
        <v>2.3</v>
      </c>
      <c r="H539" t="n">
        <v>0</v>
      </c>
      <c r="I539" t="n">
        <v>0</v>
      </c>
      <c r="J539" t="n">
        <v>0</v>
      </c>
      <c r="K539" t="n">
        <v>0</v>
      </c>
      <c r="L539" t="n">
        <v>0</v>
      </c>
      <c r="M539" t="n">
        <v>0</v>
      </c>
      <c r="N539" t="n">
        <v>0</v>
      </c>
      <c r="O539" t="n">
        <v>0</v>
      </c>
      <c r="P539" t="n">
        <v>0</v>
      </c>
      <c r="Q539" t="n">
        <v>0</v>
      </c>
      <c r="R539" s="2" t="inlineStr"/>
    </row>
    <row r="540" ht="15" customHeight="1">
      <c r="A540" t="inlineStr">
        <is>
          <t>A 53302-2022</t>
        </is>
      </c>
      <c r="B540" s="1" t="n">
        <v>44877</v>
      </c>
      <c r="C540" s="1" t="n">
        <v>46084</v>
      </c>
      <c r="D540" t="inlineStr">
        <is>
          <t>SKÅNE LÄN</t>
        </is>
      </c>
      <c r="E540" t="inlineStr">
        <is>
          <t>HÄSSLEHOLM</t>
        </is>
      </c>
      <c r="G540" t="n">
        <v>0.1</v>
      </c>
      <c r="H540" t="n">
        <v>0</v>
      </c>
      <c r="I540" t="n">
        <v>0</v>
      </c>
      <c r="J540" t="n">
        <v>0</v>
      </c>
      <c r="K540" t="n">
        <v>0</v>
      </c>
      <c r="L540" t="n">
        <v>0</v>
      </c>
      <c r="M540" t="n">
        <v>0</v>
      </c>
      <c r="N540" t="n">
        <v>0</v>
      </c>
      <c r="O540" t="n">
        <v>0</v>
      </c>
      <c r="P540" t="n">
        <v>0</v>
      </c>
      <c r="Q540" t="n">
        <v>0</v>
      </c>
      <c r="R540" s="2" t="inlineStr"/>
    </row>
    <row r="541" ht="15" customHeight="1">
      <c r="A541" t="inlineStr">
        <is>
          <t>A 27991-2024</t>
        </is>
      </c>
      <c r="B541" s="1" t="n">
        <v>45476</v>
      </c>
      <c r="C541" s="1" t="n">
        <v>46084</v>
      </c>
      <c r="D541" t="inlineStr">
        <is>
          <t>SKÅNE LÄN</t>
        </is>
      </c>
      <c r="E541" t="inlineStr">
        <is>
          <t>HÄSSLEHOLM</t>
        </is>
      </c>
      <c r="G541" t="n">
        <v>5.8</v>
      </c>
      <c r="H541" t="n">
        <v>0</v>
      </c>
      <c r="I541" t="n">
        <v>0</v>
      </c>
      <c r="J541" t="n">
        <v>0</v>
      </c>
      <c r="K541" t="n">
        <v>0</v>
      </c>
      <c r="L541" t="n">
        <v>0</v>
      </c>
      <c r="M541" t="n">
        <v>0</v>
      </c>
      <c r="N541" t="n">
        <v>0</v>
      </c>
      <c r="O541" t="n">
        <v>0</v>
      </c>
      <c r="P541" t="n">
        <v>0</v>
      </c>
      <c r="Q541" t="n">
        <v>0</v>
      </c>
      <c r="R541" s="2" t="inlineStr"/>
    </row>
    <row r="542" ht="15" customHeight="1">
      <c r="A542" t="inlineStr">
        <is>
          <t>A 31159-2025</t>
        </is>
      </c>
      <c r="B542" s="1" t="n">
        <v>45832.65322916667</v>
      </c>
      <c r="C542" s="1" t="n">
        <v>46084</v>
      </c>
      <c r="D542" t="inlineStr">
        <is>
          <t>SKÅNE LÄN</t>
        </is>
      </c>
      <c r="E542" t="inlineStr">
        <is>
          <t>HÄSSLEHOLM</t>
        </is>
      </c>
      <c r="G542" t="n">
        <v>1</v>
      </c>
      <c r="H542" t="n">
        <v>0</v>
      </c>
      <c r="I542" t="n">
        <v>0</v>
      </c>
      <c r="J542" t="n">
        <v>0</v>
      </c>
      <c r="K542" t="n">
        <v>0</v>
      </c>
      <c r="L542" t="n">
        <v>0</v>
      </c>
      <c r="M542" t="n">
        <v>0</v>
      </c>
      <c r="N542" t="n">
        <v>0</v>
      </c>
      <c r="O542" t="n">
        <v>0</v>
      </c>
      <c r="P542" t="n">
        <v>0</v>
      </c>
      <c r="Q542" t="n">
        <v>0</v>
      </c>
      <c r="R542" s="2" t="inlineStr"/>
    </row>
    <row r="543" ht="15" customHeight="1">
      <c r="A543" t="inlineStr">
        <is>
          <t>A 32794-2021</t>
        </is>
      </c>
      <c r="B543" s="1" t="n">
        <v>44375</v>
      </c>
      <c r="C543" s="1" t="n">
        <v>46084</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31946-2023</t>
        </is>
      </c>
      <c r="B544" s="1" t="n">
        <v>45119.35158564815</v>
      </c>
      <c r="C544" s="1" t="n">
        <v>46084</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9668-2025</t>
        </is>
      </c>
      <c r="B545" s="1" t="n">
        <v>45716</v>
      </c>
      <c r="C545" s="1" t="n">
        <v>46084</v>
      </c>
      <c r="D545" t="inlineStr">
        <is>
          <t>SKÅNE LÄN</t>
        </is>
      </c>
      <c r="E545" t="inlineStr">
        <is>
          <t>HÄSSLEHOLM</t>
        </is>
      </c>
      <c r="G545" t="n">
        <v>1.2</v>
      </c>
      <c r="H545" t="n">
        <v>0</v>
      </c>
      <c r="I545" t="n">
        <v>0</v>
      </c>
      <c r="J545" t="n">
        <v>0</v>
      </c>
      <c r="K545" t="n">
        <v>0</v>
      </c>
      <c r="L545" t="n">
        <v>0</v>
      </c>
      <c r="M545" t="n">
        <v>0</v>
      </c>
      <c r="N545" t="n">
        <v>0</v>
      </c>
      <c r="O545" t="n">
        <v>0</v>
      </c>
      <c r="P545" t="n">
        <v>0</v>
      </c>
      <c r="Q545" t="n">
        <v>0</v>
      </c>
      <c r="R545" s="2" t="inlineStr"/>
    </row>
    <row r="546" ht="15" customHeight="1">
      <c r="A546" t="inlineStr">
        <is>
          <t>A 48798-2023</t>
        </is>
      </c>
      <c r="B546" s="1" t="n">
        <v>45209.25318287037</v>
      </c>
      <c r="C546" s="1" t="n">
        <v>46084</v>
      </c>
      <c r="D546" t="inlineStr">
        <is>
          <t>SKÅNE LÄN</t>
        </is>
      </c>
      <c r="E546" t="inlineStr">
        <is>
          <t>HÄSSLEHOLM</t>
        </is>
      </c>
      <c r="G546" t="n">
        <v>2.1</v>
      </c>
      <c r="H546" t="n">
        <v>0</v>
      </c>
      <c r="I546" t="n">
        <v>0</v>
      </c>
      <c r="J546" t="n">
        <v>0</v>
      </c>
      <c r="K546" t="n">
        <v>0</v>
      </c>
      <c r="L546" t="n">
        <v>0</v>
      </c>
      <c r="M546" t="n">
        <v>0</v>
      </c>
      <c r="N546" t="n">
        <v>0</v>
      </c>
      <c r="O546" t="n">
        <v>0</v>
      </c>
      <c r="P546" t="n">
        <v>0</v>
      </c>
      <c r="Q546" t="n">
        <v>0</v>
      </c>
      <c r="R546" s="2" t="inlineStr"/>
    </row>
    <row r="547" ht="15" customHeight="1">
      <c r="A547" t="inlineStr">
        <is>
          <t>A 48844-2023</t>
        </is>
      </c>
      <c r="B547" s="1" t="n">
        <v>45209</v>
      </c>
      <c r="C547" s="1" t="n">
        <v>46084</v>
      </c>
      <c r="D547" t="inlineStr">
        <is>
          <t>SKÅNE LÄN</t>
        </is>
      </c>
      <c r="E547" t="inlineStr">
        <is>
          <t>HÄSSLEHOLM</t>
        </is>
      </c>
      <c r="G547" t="n">
        <v>4</v>
      </c>
      <c r="H547" t="n">
        <v>0</v>
      </c>
      <c r="I547" t="n">
        <v>0</v>
      </c>
      <c r="J547" t="n">
        <v>0</v>
      </c>
      <c r="K547" t="n">
        <v>0</v>
      </c>
      <c r="L547" t="n">
        <v>0</v>
      </c>
      <c r="M547" t="n">
        <v>0</v>
      </c>
      <c r="N547" t="n">
        <v>0</v>
      </c>
      <c r="O547" t="n">
        <v>0</v>
      </c>
      <c r="P547" t="n">
        <v>0</v>
      </c>
      <c r="Q547" t="n">
        <v>0</v>
      </c>
      <c r="R547" s="2" t="inlineStr"/>
    </row>
    <row r="548" ht="15" customHeight="1">
      <c r="A548" t="inlineStr">
        <is>
          <t>A 48877-2024</t>
        </is>
      </c>
      <c r="B548" s="1" t="n">
        <v>45594.31729166667</v>
      </c>
      <c r="C548" s="1" t="n">
        <v>46084</v>
      </c>
      <c r="D548" t="inlineStr">
        <is>
          <t>SKÅNE LÄN</t>
        </is>
      </c>
      <c r="E548" t="inlineStr">
        <is>
          <t>HÄSSLEHOLM</t>
        </is>
      </c>
      <c r="G548" t="n">
        <v>1.8</v>
      </c>
      <c r="H548" t="n">
        <v>0</v>
      </c>
      <c r="I548" t="n">
        <v>0</v>
      </c>
      <c r="J548" t="n">
        <v>0</v>
      </c>
      <c r="K548" t="n">
        <v>0</v>
      </c>
      <c r="L548" t="n">
        <v>0</v>
      </c>
      <c r="M548" t="n">
        <v>0</v>
      </c>
      <c r="N548" t="n">
        <v>0</v>
      </c>
      <c r="O548" t="n">
        <v>0</v>
      </c>
      <c r="P548" t="n">
        <v>0</v>
      </c>
      <c r="Q548" t="n">
        <v>0</v>
      </c>
      <c r="R548" s="2" t="inlineStr"/>
    </row>
    <row r="549" ht="15" customHeight="1">
      <c r="A549" t="inlineStr">
        <is>
          <t>A 9678-2025</t>
        </is>
      </c>
      <c r="B549" s="1" t="n">
        <v>45716</v>
      </c>
      <c r="C549" s="1" t="n">
        <v>46084</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45984-2021</t>
        </is>
      </c>
      <c r="B550" s="1" t="n">
        <v>44441</v>
      </c>
      <c r="C550" s="1" t="n">
        <v>46084</v>
      </c>
      <c r="D550" t="inlineStr">
        <is>
          <t>SKÅNE LÄN</t>
        </is>
      </c>
      <c r="E550" t="inlineStr">
        <is>
          <t>HÄSSLEHOLM</t>
        </is>
      </c>
      <c r="G550" t="n">
        <v>2.1</v>
      </c>
      <c r="H550" t="n">
        <v>0</v>
      </c>
      <c r="I550" t="n">
        <v>0</v>
      </c>
      <c r="J550" t="n">
        <v>0</v>
      </c>
      <c r="K550" t="n">
        <v>0</v>
      </c>
      <c r="L550" t="n">
        <v>0</v>
      </c>
      <c r="M550" t="n">
        <v>0</v>
      </c>
      <c r="N550" t="n">
        <v>0</v>
      </c>
      <c r="O550" t="n">
        <v>0</v>
      </c>
      <c r="P550" t="n">
        <v>0</v>
      </c>
      <c r="Q550" t="n">
        <v>0</v>
      </c>
      <c r="R550" s="2" t="inlineStr"/>
    </row>
    <row r="551" ht="15" customHeight="1">
      <c r="A551" t="inlineStr">
        <is>
          <t>A 8378-2023</t>
        </is>
      </c>
      <c r="B551" s="1" t="n">
        <v>44971</v>
      </c>
      <c r="C551" s="1" t="n">
        <v>46084</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12843-2023</t>
        </is>
      </c>
      <c r="B552" s="1" t="n">
        <v>45001.48423611111</v>
      </c>
      <c r="C552" s="1" t="n">
        <v>46084</v>
      </c>
      <c r="D552" t="inlineStr">
        <is>
          <t>SKÅNE LÄN</t>
        </is>
      </c>
      <c r="E552" t="inlineStr">
        <is>
          <t>HÄSSLEHOLM</t>
        </is>
      </c>
      <c r="G552" t="n">
        <v>3.9</v>
      </c>
      <c r="H552" t="n">
        <v>0</v>
      </c>
      <c r="I552" t="n">
        <v>0</v>
      </c>
      <c r="J552" t="n">
        <v>0</v>
      </c>
      <c r="K552" t="n">
        <v>0</v>
      </c>
      <c r="L552" t="n">
        <v>0</v>
      </c>
      <c r="M552" t="n">
        <v>0</v>
      </c>
      <c r="N552" t="n">
        <v>0</v>
      </c>
      <c r="O552" t="n">
        <v>0</v>
      </c>
      <c r="P552" t="n">
        <v>0</v>
      </c>
      <c r="Q552" t="n">
        <v>0</v>
      </c>
      <c r="R552" s="2" t="inlineStr"/>
    </row>
    <row r="553" ht="15" customHeight="1">
      <c r="A553" t="inlineStr">
        <is>
          <t>A 47647-2024</t>
        </is>
      </c>
      <c r="B553" s="1" t="n">
        <v>45588</v>
      </c>
      <c r="C553" s="1" t="n">
        <v>46084</v>
      </c>
      <c r="D553" t="inlineStr">
        <is>
          <t>SKÅNE LÄN</t>
        </is>
      </c>
      <c r="E553" t="inlineStr">
        <is>
          <t>HÄSSLEHOLM</t>
        </is>
      </c>
      <c r="G553" t="n">
        <v>6.5</v>
      </c>
      <c r="H553" t="n">
        <v>0</v>
      </c>
      <c r="I553" t="n">
        <v>0</v>
      </c>
      <c r="J553" t="n">
        <v>0</v>
      </c>
      <c r="K553" t="n">
        <v>0</v>
      </c>
      <c r="L553" t="n">
        <v>0</v>
      </c>
      <c r="M553" t="n">
        <v>0</v>
      </c>
      <c r="N553" t="n">
        <v>0</v>
      </c>
      <c r="O553" t="n">
        <v>0</v>
      </c>
      <c r="P553" t="n">
        <v>0</v>
      </c>
      <c r="Q553" t="n">
        <v>0</v>
      </c>
      <c r="R553" s="2" t="inlineStr"/>
    </row>
    <row r="554" ht="15" customHeight="1">
      <c r="A554" t="inlineStr">
        <is>
          <t>A 46786-2025</t>
        </is>
      </c>
      <c r="B554" s="1" t="n">
        <v>45926.64484953704</v>
      </c>
      <c r="C554" s="1" t="n">
        <v>46084</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47126-2025</t>
        </is>
      </c>
      <c r="B555" s="1" t="n">
        <v>45929.685625</v>
      </c>
      <c r="C555" s="1" t="n">
        <v>46084</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47127-2025</t>
        </is>
      </c>
      <c r="B556" s="1" t="n">
        <v>45929.6893287037</v>
      </c>
      <c r="C556" s="1" t="n">
        <v>46084</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45398-2024</t>
        </is>
      </c>
      <c r="B557" s="1" t="n">
        <v>45576.56260416667</v>
      </c>
      <c r="C557" s="1" t="n">
        <v>46084</v>
      </c>
      <c r="D557" t="inlineStr">
        <is>
          <t>SKÅNE LÄN</t>
        </is>
      </c>
      <c r="E557" t="inlineStr">
        <is>
          <t>HÄSSLEHOLM</t>
        </is>
      </c>
      <c r="G557" t="n">
        <v>4.2</v>
      </c>
      <c r="H557" t="n">
        <v>0</v>
      </c>
      <c r="I557" t="n">
        <v>0</v>
      </c>
      <c r="J557" t="n">
        <v>0</v>
      </c>
      <c r="K557" t="n">
        <v>0</v>
      </c>
      <c r="L557" t="n">
        <v>0</v>
      </c>
      <c r="M557" t="n">
        <v>0</v>
      </c>
      <c r="N557" t="n">
        <v>0</v>
      </c>
      <c r="O557" t="n">
        <v>0</v>
      </c>
      <c r="P557" t="n">
        <v>0</v>
      </c>
      <c r="Q557" t="n">
        <v>0</v>
      </c>
      <c r="R557" s="2" t="inlineStr"/>
    </row>
    <row r="558" ht="15" customHeight="1">
      <c r="A558" t="inlineStr">
        <is>
          <t>A 4140-2023</t>
        </is>
      </c>
      <c r="B558" s="1" t="n">
        <v>44953</v>
      </c>
      <c r="C558" s="1" t="n">
        <v>46084</v>
      </c>
      <c r="D558" t="inlineStr">
        <is>
          <t>SKÅNE LÄN</t>
        </is>
      </c>
      <c r="E558" t="inlineStr">
        <is>
          <t>HÄSSLEHOLM</t>
        </is>
      </c>
      <c r="G558" t="n">
        <v>10.6</v>
      </c>
      <c r="H558" t="n">
        <v>0</v>
      </c>
      <c r="I558" t="n">
        <v>0</v>
      </c>
      <c r="J558" t="n">
        <v>0</v>
      </c>
      <c r="K558" t="n">
        <v>0</v>
      </c>
      <c r="L558" t="n">
        <v>0</v>
      </c>
      <c r="M558" t="n">
        <v>0</v>
      </c>
      <c r="N558" t="n">
        <v>0</v>
      </c>
      <c r="O558" t="n">
        <v>0</v>
      </c>
      <c r="P558" t="n">
        <v>0</v>
      </c>
      <c r="Q558" t="n">
        <v>0</v>
      </c>
      <c r="R558" s="2" t="inlineStr"/>
    </row>
    <row r="559" ht="15" customHeight="1">
      <c r="A559" t="inlineStr">
        <is>
          <t>A 2479-2024</t>
        </is>
      </c>
      <c r="B559" s="1" t="n">
        <v>45313.40148148148</v>
      </c>
      <c r="C559" s="1" t="n">
        <v>46084</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50000-2023</t>
        </is>
      </c>
      <c r="B560" s="1" t="n">
        <v>45215.4434837963</v>
      </c>
      <c r="C560" s="1" t="n">
        <v>46084</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46761-2025</t>
        </is>
      </c>
      <c r="B561" s="1" t="n">
        <v>45926.62289351852</v>
      </c>
      <c r="C561" s="1" t="n">
        <v>46084</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417-2022</t>
        </is>
      </c>
      <c r="B562" s="1" t="n">
        <v>44565.84615740741</v>
      </c>
      <c r="C562" s="1" t="n">
        <v>46084</v>
      </c>
      <c r="D562" t="inlineStr">
        <is>
          <t>SKÅNE LÄN</t>
        </is>
      </c>
      <c r="E562" t="inlineStr">
        <is>
          <t>HÄSSLEHOLM</t>
        </is>
      </c>
      <c r="G562" t="n">
        <v>0</v>
      </c>
      <c r="H562" t="n">
        <v>0</v>
      </c>
      <c r="I562" t="n">
        <v>0</v>
      </c>
      <c r="J562" t="n">
        <v>0</v>
      </c>
      <c r="K562" t="n">
        <v>0</v>
      </c>
      <c r="L562" t="n">
        <v>0</v>
      </c>
      <c r="M562" t="n">
        <v>0</v>
      </c>
      <c r="N562" t="n">
        <v>0</v>
      </c>
      <c r="O562" t="n">
        <v>0</v>
      </c>
      <c r="P562" t="n">
        <v>0</v>
      </c>
      <c r="Q562" t="n">
        <v>0</v>
      </c>
      <c r="R562" s="2" t="inlineStr"/>
    </row>
    <row r="563" ht="15" customHeight="1">
      <c r="A563" t="inlineStr">
        <is>
          <t>A 46855-2025</t>
        </is>
      </c>
      <c r="B563" s="1" t="n">
        <v>45928.88497685185</v>
      </c>
      <c r="C563" s="1" t="n">
        <v>46084</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51040-2024</t>
        </is>
      </c>
      <c r="B564" s="1" t="n">
        <v>45603.43222222223</v>
      </c>
      <c r="C564" s="1" t="n">
        <v>46084</v>
      </c>
      <c r="D564" t="inlineStr">
        <is>
          <t>SKÅNE LÄN</t>
        </is>
      </c>
      <c r="E564" t="inlineStr">
        <is>
          <t>HÄSSLEHOLM</t>
        </is>
      </c>
      <c r="G564" t="n">
        <v>2.7</v>
      </c>
      <c r="H564" t="n">
        <v>0</v>
      </c>
      <c r="I564" t="n">
        <v>0</v>
      </c>
      <c r="J564" t="n">
        <v>0</v>
      </c>
      <c r="K564" t="n">
        <v>0</v>
      </c>
      <c r="L564" t="n">
        <v>0</v>
      </c>
      <c r="M564" t="n">
        <v>0</v>
      </c>
      <c r="N564" t="n">
        <v>0</v>
      </c>
      <c r="O564" t="n">
        <v>0</v>
      </c>
      <c r="P564" t="n">
        <v>0</v>
      </c>
      <c r="Q564" t="n">
        <v>0</v>
      </c>
      <c r="R564" s="2" t="inlineStr"/>
    </row>
    <row r="565" ht="15" customHeight="1">
      <c r="A565" t="inlineStr">
        <is>
          <t>A 46605-2025</t>
        </is>
      </c>
      <c r="B565" s="1" t="n">
        <v>45926.41214120371</v>
      </c>
      <c r="C565" s="1" t="n">
        <v>46084</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29649-2025</t>
        </is>
      </c>
      <c r="B566" s="1" t="n">
        <v>45825.47446759259</v>
      </c>
      <c r="C566" s="1" t="n">
        <v>46084</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50249-2024</t>
        </is>
      </c>
      <c r="B567" s="1" t="n">
        <v>45600.56866898148</v>
      </c>
      <c r="C567" s="1" t="n">
        <v>46084</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54326-2022</t>
        </is>
      </c>
      <c r="B568" s="1" t="n">
        <v>44882.42965277778</v>
      </c>
      <c r="C568" s="1" t="n">
        <v>46084</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54174-2022</t>
        </is>
      </c>
      <c r="B569" s="1" t="n">
        <v>44881</v>
      </c>
      <c r="C569" s="1" t="n">
        <v>46084</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26397-2023</t>
        </is>
      </c>
      <c r="B570" s="1" t="n">
        <v>45087</v>
      </c>
      <c r="C570" s="1" t="n">
        <v>46084</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38376-2022</t>
        </is>
      </c>
      <c r="B571" s="1" t="n">
        <v>44812</v>
      </c>
      <c r="C571" s="1" t="n">
        <v>46084</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1119-2024</t>
        </is>
      </c>
      <c r="B572" s="1" t="n">
        <v>45302</v>
      </c>
      <c r="C572" s="1" t="n">
        <v>46084</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25726-2025</t>
        </is>
      </c>
      <c r="B573" s="1" t="n">
        <v>45803</v>
      </c>
      <c r="C573" s="1" t="n">
        <v>46084</v>
      </c>
      <c r="D573" t="inlineStr">
        <is>
          <t>SKÅNE LÄN</t>
        </is>
      </c>
      <c r="E573" t="inlineStr">
        <is>
          <t>HÄSSLEHOLM</t>
        </is>
      </c>
      <c r="G573" t="n">
        <v>5.5</v>
      </c>
      <c r="H573" t="n">
        <v>0</v>
      </c>
      <c r="I573" t="n">
        <v>0</v>
      </c>
      <c r="J573" t="n">
        <v>0</v>
      </c>
      <c r="K573" t="n">
        <v>0</v>
      </c>
      <c r="L573" t="n">
        <v>0</v>
      </c>
      <c r="M573" t="n">
        <v>0</v>
      </c>
      <c r="N573" t="n">
        <v>0</v>
      </c>
      <c r="O573" t="n">
        <v>0</v>
      </c>
      <c r="P573" t="n">
        <v>0</v>
      </c>
      <c r="Q573" t="n">
        <v>0</v>
      </c>
      <c r="R573" s="2" t="inlineStr"/>
    </row>
    <row r="574" ht="15" customHeight="1">
      <c r="A574" t="inlineStr">
        <is>
          <t>A 47259-2025</t>
        </is>
      </c>
      <c r="B574" s="1" t="n">
        <v>45930</v>
      </c>
      <c r="C574" s="1" t="n">
        <v>46084</v>
      </c>
      <c r="D574" t="inlineStr">
        <is>
          <t>SKÅNE LÄN</t>
        </is>
      </c>
      <c r="E574" t="inlineStr">
        <is>
          <t>HÄSSLEHOLM</t>
        </is>
      </c>
      <c r="G574" t="n">
        <v>1.6</v>
      </c>
      <c r="H574" t="n">
        <v>0</v>
      </c>
      <c r="I574" t="n">
        <v>0</v>
      </c>
      <c r="J574" t="n">
        <v>0</v>
      </c>
      <c r="K574" t="n">
        <v>0</v>
      </c>
      <c r="L574" t="n">
        <v>0</v>
      </c>
      <c r="M574" t="n">
        <v>0</v>
      </c>
      <c r="N574" t="n">
        <v>0</v>
      </c>
      <c r="O574" t="n">
        <v>0</v>
      </c>
      <c r="P574" t="n">
        <v>0</v>
      </c>
      <c r="Q574" t="n">
        <v>0</v>
      </c>
      <c r="R574" s="2" t="inlineStr"/>
    </row>
    <row r="575" ht="15" customHeight="1">
      <c r="A575" t="inlineStr">
        <is>
          <t>A 32585-2025</t>
        </is>
      </c>
      <c r="B575" s="1" t="n">
        <v>45838.60021990741</v>
      </c>
      <c r="C575" s="1" t="n">
        <v>46084</v>
      </c>
      <c r="D575" t="inlineStr">
        <is>
          <t>SKÅNE LÄN</t>
        </is>
      </c>
      <c r="E575" t="inlineStr">
        <is>
          <t>HÄSSLEHOLM</t>
        </is>
      </c>
      <c r="G575" t="n">
        <v>2.1</v>
      </c>
      <c r="H575" t="n">
        <v>0</v>
      </c>
      <c r="I575" t="n">
        <v>0</v>
      </c>
      <c r="J575" t="n">
        <v>0</v>
      </c>
      <c r="K575" t="n">
        <v>0</v>
      </c>
      <c r="L575" t="n">
        <v>0</v>
      </c>
      <c r="M575" t="n">
        <v>0</v>
      </c>
      <c r="N575" t="n">
        <v>0</v>
      </c>
      <c r="O575" t="n">
        <v>0</v>
      </c>
      <c r="P575" t="n">
        <v>0</v>
      </c>
      <c r="Q575" t="n">
        <v>0</v>
      </c>
      <c r="R575" s="2" t="inlineStr"/>
    </row>
    <row r="576" ht="15" customHeight="1">
      <c r="A576" t="inlineStr">
        <is>
          <t>A 32592-2025</t>
        </is>
      </c>
      <c r="B576" s="1" t="n">
        <v>45838.61020833333</v>
      </c>
      <c r="C576" s="1" t="n">
        <v>46084</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54659-2023</t>
        </is>
      </c>
      <c r="B577" s="1" t="n">
        <v>45235</v>
      </c>
      <c r="C577" s="1" t="n">
        <v>46084</v>
      </c>
      <c r="D577" t="inlineStr">
        <is>
          <t>SKÅNE LÄN</t>
        </is>
      </c>
      <c r="E577" t="inlineStr">
        <is>
          <t>HÄSSLEHOLM</t>
        </is>
      </c>
      <c r="G577" t="n">
        <v>5</v>
      </c>
      <c r="H577" t="n">
        <v>0</v>
      </c>
      <c r="I577" t="n">
        <v>0</v>
      </c>
      <c r="J577" t="n">
        <v>0</v>
      </c>
      <c r="K577" t="n">
        <v>0</v>
      </c>
      <c r="L577" t="n">
        <v>0</v>
      </c>
      <c r="M577" t="n">
        <v>0</v>
      </c>
      <c r="N577" t="n">
        <v>0</v>
      </c>
      <c r="O577" t="n">
        <v>0</v>
      </c>
      <c r="P577" t="n">
        <v>0</v>
      </c>
      <c r="Q577" t="n">
        <v>0</v>
      </c>
      <c r="R577" s="2" t="inlineStr"/>
    </row>
    <row r="578" ht="15" customHeight="1">
      <c r="A578" t="inlineStr">
        <is>
          <t>A 47473-2025</t>
        </is>
      </c>
      <c r="B578" s="1" t="n">
        <v>45930.67763888889</v>
      </c>
      <c r="C578" s="1" t="n">
        <v>46084</v>
      </c>
      <c r="D578" t="inlineStr">
        <is>
          <t>SKÅNE LÄN</t>
        </is>
      </c>
      <c r="E578" t="inlineStr">
        <is>
          <t>HÄSSLEHOLM</t>
        </is>
      </c>
      <c r="G578" t="n">
        <v>4.7</v>
      </c>
      <c r="H578" t="n">
        <v>0</v>
      </c>
      <c r="I578" t="n">
        <v>0</v>
      </c>
      <c r="J578" t="n">
        <v>0</v>
      </c>
      <c r="K578" t="n">
        <v>0</v>
      </c>
      <c r="L578" t="n">
        <v>0</v>
      </c>
      <c r="M578" t="n">
        <v>0</v>
      </c>
      <c r="N578" t="n">
        <v>0</v>
      </c>
      <c r="O578" t="n">
        <v>0</v>
      </c>
      <c r="P578" t="n">
        <v>0</v>
      </c>
      <c r="Q578" t="n">
        <v>0</v>
      </c>
      <c r="R578" s="2" t="inlineStr"/>
    </row>
    <row r="579" ht="15" customHeight="1">
      <c r="A579" t="inlineStr">
        <is>
          <t>A 47466-2025</t>
        </is>
      </c>
      <c r="B579" s="1" t="n">
        <v>45930.66677083333</v>
      </c>
      <c r="C579" s="1" t="n">
        <v>46084</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58888-2024</t>
        </is>
      </c>
      <c r="B580" s="1" t="n">
        <v>45636.45962962963</v>
      </c>
      <c r="C580" s="1" t="n">
        <v>46084</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15036-2024</t>
        </is>
      </c>
      <c r="B581" s="1" t="n">
        <v>45399.48100694444</v>
      </c>
      <c r="C581" s="1" t="n">
        <v>46084</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16334-2024</t>
        </is>
      </c>
      <c r="B582" s="1" t="n">
        <v>45407.54856481482</v>
      </c>
      <c r="C582" s="1" t="n">
        <v>46084</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9709-2023</t>
        </is>
      </c>
      <c r="B583" s="1" t="n">
        <v>44984.48376157408</v>
      </c>
      <c r="C583" s="1" t="n">
        <v>46084</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48184-2025</t>
        </is>
      </c>
      <c r="B584" s="1" t="n">
        <v>45933.46131944445</v>
      </c>
      <c r="C584" s="1" t="n">
        <v>46084</v>
      </c>
      <c r="D584" t="inlineStr">
        <is>
          <t>SKÅNE LÄN</t>
        </is>
      </c>
      <c r="E584" t="inlineStr">
        <is>
          <t>HÄSSLEHOLM</t>
        </is>
      </c>
      <c r="G584" t="n">
        <v>3</v>
      </c>
      <c r="H584" t="n">
        <v>0</v>
      </c>
      <c r="I584" t="n">
        <v>0</v>
      </c>
      <c r="J584" t="n">
        <v>0</v>
      </c>
      <c r="K584" t="n">
        <v>0</v>
      </c>
      <c r="L584" t="n">
        <v>0</v>
      </c>
      <c r="M584" t="n">
        <v>0</v>
      </c>
      <c r="N584" t="n">
        <v>0</v>
      </c>
      <c r="O584" t="n">
        <v>0</v>
      </c>
      <c r="P584" t="n">
        <v>0</v>
      </c>
      <c r="Q584" t="n">
        <v>0</v>
      </c>
      <c r="R584" s="2" t="inlineStr"/>
    </row>
    <row r="585" ht="15" customHeight="1">
      <c r="A585" t="inlineStr">
        <is>
          <t>A 48185-2025</t>
        </is>
      </c>
      <c r="B585" s="1" t="n">
        <v>45933.46434027778</v>
      </c>
      <c r="C585" s="1" t="n">
        <v>46084</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33562-2025</t>
        </is>
      </c>
      <c r="B586" s="1" t="n">
        <v>45841.57803240741</v>
      </c>
      <c r="C586" s="1" t="n">
        <v>46084</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3663-2024</t>
        </is>
      </c>
      <c r="B587" s="1" t="n">
        <v>45321.34775462963</v>
      </c>
      <c r="C587" s="1" t="n">
        <v>46084</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9615-2025</t>
        </is>
      </c>
      <c r="B588" s="1" t="n">
        <v>45715</v>
      </c>
      <c r="C588" s="1" t="n">
        <v>46084</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8524-2024</t>
        </is>
      </c>
      <c r="B589" s="1" t="n">
        <v>45355.48570601852</v>
      </c>
      <c r="C589" s="1" t="n">
        <v>46084</v>
      </c>
      <c r="D589" t="inlineStr">
        <is>
          <t>SKÅNE LÄN</t>
        </is>
      </c>
      <c r="E589" t="inlineStr">
        <is>
          <t>HÄSSLEHOLM</t>
        </is>
      </c>
      <c r="G589" t="n">
        <v>4</v>
      </c>
      <c r="H589" t="n">
        <v>0</v>
      </c>
      <c r="I589" t="n">
        <v>0</v>
      </c>
      <c r="J589" t="n">
        <v>0</v>
      </c>
      <c r="K589" t="n">
        <v>0</v>
      </c>
      <c r="L589" t="n">
        <v>0</v>
      </c>
      <c r="M589" t="n">
        <v>0</v>
      </c>
      <c r="N589" t="n">
        <v>0</v>
      </c>
      <c r="O589" t="n">
        <v>0</v>
      </c>
      <c r="P589" t="n">
        <v>0</v>
      </c>
      <c r="Q589" t="n">
        <v>0</v>
      </c>
      <c r="R589" s="2" t="inlineStr"/>
    </row>
    <row r="590" ht="15" customHeight="1">
      <c r="A590" t="inlineStr">
        <is>
          <t>A 23987-2024</t>
        </is>
      </c>
      <c r="B590" s="1" t="n">
        <v>45456</v>
      </c>
      <c r="C590" s="1" t="n">
        <v>46084</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4042-2023</t>
        </is>
      </c>
      <c r="B591" s="1" t="n">
        <v>44952.59950231481</v>
      </c>
      <c r="C591" s="1" t="n">
        <v>46084</v>
      </c>
      <c r="D591" t="inlineStr">
        <is>
          <t>SKÅNE LÄN</t>
        </is>
      </c>
      <c r="E591" t="inlineStr">
        <is>
          <t>HÄSSLEHOLM</t>
        </is>
      </c>
      <c r="G591" t="n">
        <v>2.7</v>
      </c>
      <c r="H591" t="n">
        <v>0</v>
      </c>
      <c r="I591" t="n">
        <v>0</v>
      </c>
      <c r="J591" t="n">
        <v>0</v>
      </c>
      <c r="K591" t="n">
        <v>0</v>
      </c>
      <c r="L591" t="n">
        <v>0</v>
      </c>
      <c r="M591" t="n">
        <v>0</v>
      </c>
      <c r="N591" t="n">
        <v>0</v>
      </c>
      <c r="O591" t="n">
        <v>0</v>
      </c>
      <c r="P591" t="n">
        <v>0</v>
      </c>
      <c r="Q591" t="n">
        <v>0</v>
      </c>
      <c r="R591" s="2" t="inlineStr"/>
    </row>
    <row r="592" ht="15" customHeight="1">
      <c r="A592" t="inlineStr">
        <is>
          <t>A 33875-2025</t>
        </is>
      </c>
      <c r="B592" s="1" t="n">
        <v>45842.55300925926</v>
      </c>
      <c r="C592" s="1" t="n">
        <v>46084</v>
      </c>
      <c r="D592" t="inlineStr">
        <is>
          <t>SKÅNE LÄN</t>
        </is>
      </c>
      <c r="E592" t="inlineStr">
        <is>
          <t>HÄSSLEHOLM</t>
        </is>
      </c>
      <c r="G592" t="n">
        <v>1.9</v>
      </c>
      <c r="H592" t="n">
        <v>0</v>
      </c>
      <c r="I592" t="n">
        <v>0</v>
      </c>
      <c r="J592" t="n">
        <v>0</v>
      </c>
      <c r="K592" t="n">
        <v>0</v>
      </c>
      <c r="L592" t="n">
        <v>0</v>
      </c>
      <c r="M592" t="n">
        <v>0</v>
      </c>
      <c r="N592" t="n">
        <v>0</v>
      </c>
      <c r="O592" t="n">
        <v>0</v>
      </c>
      <c r="P592" t="n">
        <v>0</v>
      </c>
      <c r="Q592" t="n">
        <v>0</v>
      </c>
      <c r="R592" s="2" t="inlineStr"/>
    </row>
    <row r="593" ht="15" customHeight="1">
      <c r="A593" t="inlineStr">
        <is>
          <t>A 31160-2024</t>
        </is>
      </c>
      <c r="B593" s="1" t="n">
        <v>45503</v>
      </c>
      <c r="C593" s="1" t="n">
        <v>46084</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44593.69065972222</v>
      </c>
      <c r="C594" s="1" t="n">
        <v>46084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33877-2025</t>
        </is>
      </c>
      <c r="B595" s="1" t="n">
        <v>45842.55564814815</v>
      </c>
      <c r="C595" s="1" t="n">
        <v>46084</v>
      </c>
      <c r="D595" t="inlineStr">
        <is>
          <t>SKÅNE LÄN</t>
        </is>
      </c>
      <c r="E595" t="inlineStr">
        <is>
          <t>HÄSSLEHOLM</t>
        </is>
      </c>
      <c r="G595" t="n">
        <v>3.9</v>
      </c>
      <c r="H595" t="n">
        <v>0</v>
      </c>
      <c r="I595" t="n">
        <v>0</v>
      </c>
      <c r="J595" t="n">
        <v>0</v>
      </c>
      <c r="K595" t="n">
        <v>0</v>
      </c>
      <c r="L595" t="n">
        <v>0</v>
      </c>
      <c r="M595" t="n">
        <v>0</v>
      </c>
      <c r="N595" t="n">
        <v>0</v>
      </c>
      <c r="O595" t="n">
        <v>0</v>
      </c>
      <c r="P595" t="n">
        <v>0</v>
      </c>
      <c r="Q595" t="n">
        <v>0</v>
      </c>
      <c r="R595" s="2" t="inlineStr"/>
    </row>
    <row r="596" ht="15" customHeight="1">
      <c r="A596" t="inlineStr">
        <is>
          <t>A 33879-2025</t>
        </is>
      </c>
      <c r="B596" s="1" t="n">
        <v>45842.55766203703</v>
      </c>
      <c r="C596" s="1" t="n">
        <v>46084</v>
      </c>
      <c r="D596" t="inlineStr">
        <is>
          <t>SKÅNE LÄN</t>
        </is>
      </c>
      <c r="E596" t="inlineStr">
        <is>
          <t>HÄSSLEHOLM</t>
        </is>
      </c>
      <c r="G596" t="n">
        <v>6.1</v>
      </c>
      <c r="H596" t="n">
        <v>0</v>
      </c>
      <c r="I596" t="n">
        <v>0</v>
      </c>
      <c r="J596" t="n">
        <v>0</v>
      </c>
      <c r="K596" t="n">
        <v>0</v>
      </c>
      <c r="L596" t="n">
        <v>0</v>
      </c>
      <c r="M596" t="n">
        <v>0</v>
      </c>
      <c r="N596" t="n">
        <v>0</v>
      </c>
      <c r="O596" t="n">
        <v>0</v>
      </c>
      <c r="P596" t="n">
        <v>0</v>
      </c>
      <c r="Q596" t="n">
        <v>0</v>
      </c>
      <c r="R596" s="2" t="inlineStr"/>
    </row>
    <row r="597" ht="15" customHeight="1">
      <c r="A597" t="inlineStr">
        <is>
          <t>A 48722-2025</t>
        </is>
      </c>
      <c r="B597" s="1" t="n">
        <v>45935</v>
      </c>
      <c r="C597" s="1" t="n">
        <v>46084</v>
      </c>
      <c r="D597" t="inlineStr">
        <is>
          <t>SKÅNE LÄN</t>
        </is>
      </c>
      <c r="E597" t="inlineStr">
        <is>
          <t>HÄSSLEHOLM</t>
        </is>
      </c>
      <c r="G597" t="n">
        <v>4.3</v>
      </c>
      <c r="H597" t="n">
        <v>0</v>
      </c>
      <c r="I597" t="n">
        <v>0</v>
      </c>
      <c r="J597" t="n">
        <v>0</v>
      </c>
      <c r="K597" t="n">
        <v>0</v>
      </c>
      <c r="L597" t="n">
        <v>0</v>
      </c>
      <c r="M597" t="n">
        <v>0</v>
      </c>
      <c r="N597" t="n">
        <v>0</v>
      </c>
      <c r="O597" t="n">
        <v>0</v>
      </c>
      <c r="P597" t="n">
        <v>0</v>
      </c>
      <c r="Q597" t="n">
        <v>0</v>
      </c>
      <c r="R597" s="2" t="inlineStr"/>
    </row>
    <row r="598" ht="15" customHeight="1">
      <c r="A598" t="inlineStr">
        <is>
          <t>A 31391-2023</t>
        </is>
      </c>
      <c r="B598" s="1" t="n">
        <v>45114.56143518518</v>
      </c>
      <c r="C598" s="1" t="n">
        <v>46084</v>
      </c>
      <c r="D598" t="inlineStr">
        <is>
          <t>SKÅNE LÄN</t>
        </is>
      </c>
      <c r="E598" t="inlineStr">
        <is>
          <t>HÄSSLEHOLM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23723-2023</t>
        </is>
      </c>
      <c r="B599" s="1" t="n">
        <v>45077</v>
      </c>
      <c r="C599" s="1" t="n">
        <v>46084</v>
      </c>
      <c r="D599" t="inlineStr">
        <is>
          <t>SKÅNE LÄN</t>
        </is>
      </c>
      <c r="E599" t="inlineStr">
        <is>
          <t>HÄSSLEHOLM</t>
        </is>
      </c>
      <c r="G599" t="n">
        <v>3.9</v>
      </c>
      <c r="H599" t="n">
        <v>0</v>
      </c>
      <c r="I599" t="n">
        <v>0</v>
      </c>
      <c r="J599" t="n">
        <v>0</v>
      </c>
      <c r="K599" t="n">
        <v>0</v>
      </c>
      <c r="L599" t="n">
        <v>0</v>
      </c>
      <c r="M599" t="n">
        <v>0</v>
      </c>
      <c r="N599" t="n">
        <v>0</v>
      </c>
      <c r="O599" t="n">
        <v>0</v>
      </c>
      <c r="P599" t="n">
        <v>0</v>
      </c>
      <c r="Q599" t="n">
        <v>0</v>
      </c>
      <c r="R599" s="2" t="inlineStr"/>
    </row>
    <row r="600" ht="15" customHeight="1">
      <c r="A600" t="inlineStr">
        <is>
          <t>A 33948-2025</t>
        </is>
      </c>
      <c r="B600" s="1" t="n">
        <v>45842.65945601852</v>
      </c>
      <c r="C600" s="1" t="n">
        <v>46084</v>
      </c>
      <c r="D600" t="inlineStr">
        <is>
          <t>SKÅNE LÄN</t>
        </is>
      </c>
      <c r="E600" t="inlineStr">
        <is>
          <t>HÄSSLEHOLM</t>
        </is>
      </c>
      <c r="G600" t="n">
        <v>8.5</v>
      </c>
      <c r="H600" t="n">
        <v>0</v>
      </c>
      <c r="I600" t="n">
        <v>0</v>
      </c>
      <c r="J600" t="n">
        <v>0</v>
      </c>
      <c r="K600" t="n">
        <v>0</v>
      </c>
      <c r="L600" t="n">
        <v>0</v>
      </c>
      <c r="M600" t="n">
        <v>0</v>
      </c>
      <c r="N600" t="n">
        <v>0</v>
      </c>
      <c r="O600" t="n">
        <v>0</v>
      </c>
      <c r="P600" t="n">
        <v>0</v>
      </c>
      <c r="Q600" t="n">
        <v>0</v>
      </c>
      <c r="R600" s="2" t="inlineStr"/>
    </row>
    <row r="601" ht="15" customHeight="1">
      <c r="A601" t="inlineStr">
        <is>
          <t>A 22678-2025</t>
        </is>
      </c>
      <c r="B601" s="1" t="n">
        <v>45789.49725694444</v>
      </c>
      <c r="C601" s="1" t="n">
        <v>46084</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31933-2024</t>
        </is>
      </c>
      <c r="B602" s="1" t="n">
        <v>45510.41123842593</v>
      </c>
      <c r="C602" s="1" t="n">
        <v>46084</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31581-2023</t>
        </is>
      </c>
      <c r="B603" s="1" t="n">
        <v>45117.45165509259</v>
      </c>
      <c r="C603" s="1" t="n">
        <v>46084</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49135-2025</t>
        </is>
      </c>
      <c r="B604" s="1" t="n">
        <v>45938.00990740741</v>
      </c>
      <c r="C604" s="1" t="n">
        <v>46084</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49136-2025</t>
        </is>
      </c>
      <c r="B605" s="1" t="n">
        <v>45938.01277777777</v>
      </c>
      <c r="C605" s="1" t="n">
        <v>46084</v>
      </c>
      <c r="D605" t="inlineStr">
        <is>
          <t>SKÅNE LÄN</t>
        </is>
      </c>
      <c r="E605" t="inlineStr">
        <is>
          <t>HÄSSLEHOLM</t>
        </is>
      </c>
      <c r="G605" t="n">
        <v>1.1</v>
      </c>
      <c r="H605" t="n">
        <v>0</v>
      </c>
      <c r="I605" t="n">
        <v>0</v>
      </c>
      <c r="J605" t="n">
        <v>0</v>
      </c>
      <c r="K605" t="n">
        <v>0</v>
      </c>
      <c r="L605" t="n">
        <v>0</v>
      </c>
      <c r="M605" t="n">
        <v>0</v>
      </c>
      <c r="N605" t="n">
        <v>0</v>
      </c>
      <c r="O605" t="n">
        <v>0</v>
      </c>
      <c r="P605" t="n">
        <v>0</v>
      </c>
      <c r="Q605" t="n">
        <v>0</v>
      </c>
      <c r="R605" s="2" t="inlineStr"/>
    </row>
    <row r="606" ht="15" customHeight="1">
      <c r="A606" t="inlineStr">
        <is>
          <t>A 49137-2025</t>
        </is>
      </c>
      <c r="B606" s="1" t="n">
        <v>45938.05672453704</v>
      </c>
      <c r="C606" s="1" t="n">
        <v>46084</v>
      </c>
      <c r="D606" t="inlineStr">
        <is>
          <t>SKÅNE LÄN</t>
        </is>
      </c>
      <c r="E606" t="inlineStr">
        <is>
          <t>HÄSSLEHOLM</t>
        </is>
      </c>
      <c r="G606" t="n">
        <v>1.8</v>
      </c>
      <c r="H606" t="n">
        <v>0</v>
      </c>
      <c r="I606" t="n">
        <v>0</v>
      </c>
      <c r="J606" t="n">
        <v>0</v>
      </c>
      <c r="K606" t="n">
        <v>0</v>
      </c>
      <c r="L606" t="n">
        <v>0</v>
      </c>
      <c r="M606" t="n">
        <v>0</v>
      </c>
      <c r="N606" t="n">
        <v>0</v>
      </c>
      <c r="O606" t="n">
        <v>0</v>
      </c>
      <c r="P606" t="n">
        <v>0</v>
      </c>
      <c r="Q606" t="n">
        <v>0</v>
      </c>
      <c r="R606" s="2" t="inlineStr"/>
    </row>
    <row r="607" ht="15" customHeight="1">
      <c r="A607" t="inlineStr">
        <is>
          <t>A 32958-2023</t>
        </is>
      </c>
      <c r="B607" s="1" t="n">
        <v>45125.52142361111</v>
      </c>
      <c r="C607" s="1" t="n">
        <v>46084</v>
      </c>
      <c r="D607" t="inlineStr">
        <is>
          <t>SKÅNE LÄN</t>
        </is>
      </c>
      <c r="E607" t="inlineStr">
        <is>
          <t>HÄSSLEHOLM</t>
        </is>
      </c>
      <c r="G607" t="n">
        <v>7.9</v>
      </c>
      <c r="H607" t="n">
        <v>0</v>
      </c>
      <c r="I607" t="n">
        <v>0</v>
      </c>
      <c r="J607" t="n">
        <v>0</v>
      </c>
      <c r="K607" t="n">
        <v>0</v>
      </c>
      <c r="L607" t="n">
        <v>0</v>
      </c>
      <c r="M607" t="n">
        <v>0</v>
      </c>
      <c r="N607" t="n">
        <v>0</v>
      </c>
      <c r="O607" t="n">
        <v>0</v>
      </c>
      <c r="P607" t="n">
        <v>0</v>
      </c>
      <c r="Q607" t="n">
        <v>0</v>
      </c>
      <c r="R607" s="2" t="inlineStr"/>
    </row>
    <row r="608" ht="15" customHeight="1">
      <c r="A608" t="inlineStr">
        <is>
          <t>A 34174-2025</t>
        </is>
      </c>
      <c r="B608" s="1" t="n">
        <v>45844</v>
      </c>
      <c r="C608" s="1" t="n">
        <v>46084</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55303-2024</t>
        </is>
      </c>
      <c r="B609" s="1" t="n">
        <v>45621.6434837963</v>
      </c>
      <c r="C609" s="1" t="n">
        <v>46084</v>
      </c>
      <c r="D609" t="inlineStr">
        <is>
          <t>SKÅNE LÄN</t>
        </is>
      </c>
      <c r="E609" t="inlineStr">
        <is>
          <t>HÄSSLEHOLM</t>
        </is>
      </c>
      <c r="G609" t="n">
        <v>3.3</v>
      </c>
      <c r="H609" t="n">
        <v>0</v>
      </c>
      <c r="I609" t="n">
        <v>0</v>
      </c>
      <c r="J609" t="n">
        <v>0</v>
      </c>
      <c r="K609" t="n">
        <v>0</v>
      </c>
      <c r="L609" t="n">
        <v>0</v>
      </c>
      <c r="M609" t="n">
        <v>0</v>
      </c>
      <c r="N609" t="n">
        <v>0</v>
      </c>
      <c r="O609" t="n">
        <v>0</v>
      </c>
      <c r="P609" t="n">
        <v>0</v>
      </c>
      <c r="Q609" t="n">
        <v>0</v>
      </c>
      <c r="R609" s="2" t="inlineStr"/>
    </row>
    <row r="610" ht="15" customHeight="1">
      <c r="A610" t="inlineStr">
        <is>
          <t>A 34177-2025</t>
        </is>
      </c>
      <c r="B610" s="1" t="n">
        <v>45844</v>
      </c>
      <c r="C610" s="1" t="n">
        <v>46084</v>
      </c>
      <c r="D610" t="inlineStr">
        <is>
          <t>SKÅNE LÄN</t>
        </is>
      </c>
      <c r="E610" t="inlineStr">
        <is>
          <t>HÄSSLEHOLM</t>
        </is>
      </c>
      <c r="G610" t="n">
        <v>3</v>
      </c>
      <c r="H610" t="n">
        <v>0</v>
      </c>
      <c r="I610" t="n">
        <v>0</v>
      </c>
      <c r="J610" t="n">
        <v>0</v>
      </c>
      <c r="K610" t="n">
        <v>0</v>
      </c>
      <c r="L610" t="n">
        <v>0</v>
      </c>
      <c r="M610" t="n">
        <v>0</v>
      </c>
      <c r="N610" t="n">
        <v>0</v>
      </c>
      <c r="O610" t="n">
        <v>0</v>
      </c>
      <c r="P610" t="n">
        <v>0</v>
      </c>
      <c r="Q610" t="n">
        <v>0</v>
      </c>
      <c r="R610" s="2" t="inlineStr"/>
    </row>
    <row r="611" ht="15" customHeight="1">
      <c r="A611" t="inlineStr">
        <is>
          <t>A 33950-2025</t>
        </is>
      </c>
      <c r="B611" s="1" t="n">
        <v>45842</v>
      </c>
      <c r="C611" s="1" t="n">
        <v>46084</v>
      </c>
      <c r="D611" t="inlineStr">
        <is>
          <t>SKÅNE LÄN</t>
        </is>
      </c>
      <c r="E611" t="inlineStr">
        <is>
          <t>HÄSSLEHOLM</t>
        </is>
      </c>
      <c r="G611" t="n">
        <v>5.7</v>
      </c>
      <c r="H611" t="n">
        <v>0</v>
      </c>
      <c r="I611" t="n">
        <v>0</v>
      </c>
      <c r="J611" t="n">
        <v>0</v>
      </c>
      <c r="K611" t="n">
        <v>0</v>
      </c>
      <c r="L611" t="n">
        <v>0</v>
      </c>
      <c r="M611" t="n">
        <v>0</v>
      </c>
      <c r="N611" t="n">
        <v>0</v>
      </c>
      <c r="O611" t="n">
        <v>0</v>
      </c>
      <c r="P611" t="n">
        <v>0</v>
      </c>
      <c r="Q611" t="n">
        <v>0</v>
      </c>
      <c r="R611" s="2" t="inlineStr"/>
    </row>
    <row r="612" ht="15" customHeight="1">
      <c r="A612" t="inlineStr">
        <is>
          <t>A 40202-2022</t>
        </is>
      </c>
      <c r="B612" s="1" t="n">
        <v>44820.60614583334</v>
      </c>
      <c r="C612" s="1" t="n">
        <v>46084</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4382-2023</t>
        </is>
      </c>
      <c r="B613" s="1" t="n">
        <v>44955.61152777778</v>
      </c>
      <c r="C613" s="1" t="n">
        <v>46084</v>
      </c>
      <c r="D613" t="inlineStr">
        <is>
          <t>SKÅNE LÄN</t>
        </is>
      </c>
      <c r="E613" t="inlineStr">
        <is>
          <t>HÄSSLEHOLM</t>
        </is>
      </c>
      <c r="G613" t="n">
        <v>0.3</v>
      </c>
      <c r="H613" t="n">
        <v>0</v>
      </c>
      <c r="I613" t="n">
        <v>0</v>
      </c>
      <c r="J613" t="n">
        <v>0</v>
      </c>
      <c r="K613" t="n">
        <v>0</v>
      </c>
      <c r="L613" t="n">
        <v>0</v>
      </c>
      <c r="M613" t="n">
        <v>0</v>
      </c>
      <c r="N613" t="n">
        <v>0</v>
      </c>
      <c r="O613" t="n">
        <v>0</v>
      </c>
      <c r="P613" t="n">
        <v>0</v>
      </c>
      <c r="Q613" t="n">
        <v>0</v>
      </c>
      <c r="R613" s="2" t="inlineStr"/>
    </row>
    <row r="614" ht="15" customHeight="1">
      <c r="A614" t="inlineStr">
        <is>
          <t>A 52608-2023</t>
        </is>
      </c>
      <c r="B614" s="1" t="n">
        <v>45219</v>
      </c>
      <c r="C614" s="1" t="n">
        <v>46084</v>
      </c>
      <c r="D614" t="inlineStr">
        <is>
          <t>SKÅNE LÄN</t>
        </is>
      </c>
      <c r="E614" t="inlineStr">
        <is>
          <t>HÄSSLEHOLM</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34869-2025</t>
        </is>
      </c>
      <c r="B615" s="1" t="n">
        <v>45849</v>
      </c>
      <c r="C615" s="1" t="n">
        <v>46084</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49845-2025</t>
        </is>
      </c>
      <c r="B616" s="1" t="n">
        <v>45940.48015046296</v>
      </c>
      <c r="C616" s="1" t="n">
        <v>46084</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9393-2025</t>
        </is>
      </c>
      <c r="B617" s="1" t="n">
        <v>45715.36230324074</v>
      </c>
      <c r="C617" s="1" t="n">
        <v>46084</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27954-2022</t>
        </is>
      </c>
      <c r="B618" s="1" t="n">
        <v>44743</v>
      </c>
      <c r="C618" s="1" t="n">
        <v>46084</v>
      </c>
      <c r="D618" t="inlineStr">
        <is>
          <t>SKÅNE LÄN</t>
        </is>
      </c>
      <c r="E618" t="inlineStr">
        <is>
          <t>HÄSSLEHOLM</t>
        </is>
      </c>
      <c r="G618" t="n">
        <v>9.4</v>
      </c>
      <c r="H618" t="n">
        <v>0</v>
      </c>
      <c r="I618" t="n">
        <v>0</v>
      </c>
      <c r="J618" t="n">
        <v>0</v>
      </c>
      <c r="K618" t="n">
        <v>0</v>
      </c>
      <c r="L618" t="n">
        <v>0</v>
      </c>
      <c r="M618" t="n">
        <v>0</v>
      </c>
      <c r="N618" t="n">
        <v>0</v>
      </c>
      <c r="O618" t="n">
        <v>0</v>
      </c>
      <c r="P618" t="n">
        <v>0</v>
      </c>
      <c r="Q618" t="n">
        <v>0</v>
      </c>
      <c r="R618" s="2" t="inlineStr"/>
    </row>
    <row r="619" ht="15" customHeight="1">
      <c r="A619" t="inlineStr">
        <is>
          <t>A 20493-2024</t>
        </is>
      </c>
      <c r="B619" s="1" t="n">
        <v>45435</v>
      </c>
      <c r="C619" s="1" t="n">
        <v>46084</v>
      </c>
      <c r="D619" t="inlineStr">
        <is>
          <t>SKÅNE LÄN</t>
        </is>
      </c>
      <c r="E619" t="inlineStr">
        <is>
          <t>HÄSSLEHOLM</t>
        </is>
      </c>
      <c r="G619" t="n">
        <v>1.2</v>
      </c>
      <c r="H619" t="n">
        <v>0</v>
      </c>
      <c r="I619" t="n">
        <v>0</v>
      </c>
      <c r="J619" t="n">
        <v>0</v>
      </c>
      <c r="K619" t="n">
        <v>0</v>
      </c>
      <c r="L619" t="n">
        <v>0</v>
      </c>
      <c r="M619" t="n">
        <v>0</v>
      </c>
      <c r="N619" t="n">
        <v>0</v>
      </c>
      <c r="O619" t="n">
        <v>0</v>
      </c>
      <c r="P619" t="n">
        <v>0</v>
      </c>
      <c r="Q619" t="n">
        <v>0</v>
      </c>
      <c r="R619" s="2" t="inlineStr"/>
    </row>
    <row r="620" ht="15" customHeight="1">
      <c r="A620" t="inlineStr">
        <is>
          <t>A 41873-2023</t>
        </is>
      </c>
      <c r="B620" s="1" t="n">
        <v>45176</v>
      </c>
      <c r="C620" s="1" t="n">
        <v>46084</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15897-2025</t>
        </is>
      </c>
      <c r="B621" s="1" t="n">
        <v>45749.41598379629</v>
      </c>
      <c r="C621" s="1" t="n">
        <v>46084</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41998-2021</t>
        </is>
      </c>
      <c r="B622" s="1" t="n">
        <v>44425</v>
      </c>
      <c r="C622" s="1" t="n">
        <v>46084</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54982-2024</t>
        </is>
      </c>
      <c r="B623" s="1" t="n">
        <v>45620.7580787037</v>
      </c>
      <c r="C623" s="1" t="n">
        <v>46084</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1886-2025</t>
        </is>
      </c>
      <c r="B624" s="1" t="n">
        <v>45671</v>
      </c>
      <c r="C624" s="1" t="n">
        <v>46084</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15536-2025</t>
        </is>
      </c>
      <c r="B625" s="1" t="n">
        <v>45747</v>
      </c>
      <c r="C625" s="1" t="n">
        <v>46084</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35712-2024</t>
        </is>
      </c>
      <c r="B626" s="1" t="n">
        <v>45532</v>
      </c>
      <c r="C626" s="1" t="n">
        <v>46084</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61691-2021</t>
        </is>
      </c>
      <c r="B627" s="1" t="n">
        <v>44501</v>
      </c>
      <c r="C627" s="1" t="n">
        <v>46084</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24904-2025</t>
        </is>
      </c>
      <c r="B628" s="1" t="n">
        <v>45799</v>
      </c>
      <c r="C628" s="1" t="n">
        <v>46084</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61182-2024</t>
        </is>
      </c>
      <c r="B629" s="1" t="n">
        <v>45645</v>
      </c>
      <c r="C629" s="1" t="n">
        <v>46084</v>
      </c>
      <c r="D629" t="inlineStr">
        <is>
          <t>SKÅNE LÄN</t>
        </is>
      </c>
      <c r="E629" t="inlineStr">
        <is>
          <t>HÄSSLEHOLM</t>
        </is>
      </c>
      <c r="G629" t="n">
        <v>3.2</v>
      </c>
      <c r="H629" t="n">
        <v>0</v>
      </c>
      <c r="I629" t="n">
        <v>0</v>
      </c>
      <c r="J629" t="n">
        <v>0</v>
      </c>
      <c r="K629" t="n">
        <v>0</v>
      </c>
      <c r="L629" t="n">
        <v>0</v>
      </c>
      <c r="M629" t="n">
        <v>0</v>
      </c>
      <c r="N629" t="n">
        <v>0</v>
      </c>
      <c r="O629" t="n">
        <v>0</v>
      </c>
      <c r="P629" t="n">
        <v>0</v>
      </c>
      <c r="Q629" t="n">
        <v>0</v>
      </c>
      <c r="R629" s="2" t="inlineStr"/>
    </row>
    <row r="630" ht="15" customHeight="1">
      <c r="A630" t="inlineStr">
        <is>
          <t>A 49824-2024</t>
        </is>
      </c>
      <c r="B630" s="1" t="n">
        <v>45597</v>
      </c>
      <c r="C630" s="1" t="n">
        <v>46084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57647-2024</t>
        </is>
      </c>
      <c r="B631" s="1" t="n">
        <v>45630</v>
      </c>
      <c r="C631" s="1" t="n">
        <v>46084</v>
      </c>
      <c r="D631" t="inlineStr">
        <is>
          <t>SKÅNE LÄN</t>
        </is>
      </c>
      <c r="E631" t="inlineStr">
        <is>
          <t>HÄSSLEHOLM</t>
        </is>
      </c>
      <c r="G631" t="n">
        <v>2.9</v>
      </c>
      <c r="H631" t="n">
        <v>0</v>
      </c>
      <c r="I631" t="n">
        <v>0</v>
      </c>
      <c r="J631" t="n">
        <v>0</v>
      </c>
      <c r="K631" t="n">
        <v>0</v>
      </c>
      <c r="L631" t="n">
        <v>0</v>
      </c>
      <c r="M631" t="n">
        <v>0</v>
      </c>
      <c r="N631" t="n">
        <v>0</v>
      </c>
      <c r="O631" t="n">
        <v>0</v>
      </c>
      <c r="P631" t="n">
        <v>0</v>
      </c>
      <c r="Q631" t="n">
        <v>0</v>
      </c>
      <c r="R631" s="2" t="inlineStr"/>
    </row>
    <row r="632" ht="15" customHeight="1">
      <c r="A632" t="inlineStr">
        <is>
          <t>A 20970-2025</t>
        </is>
      </c>
      <c r="B632" s="1" t="n">
        <v>45777.45417824074</v>
      </c>
      <c r="C632" s="1" t="n">
        <v>46084</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50676-2025</t>
        </is>
      </c>
      <c r="B633" s="1" t="n">
        <v>45945</v>
      </c>
      <c r="C633" s="1" t="n">
        <v>46084</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50678-2025</t>
        </is>
      </c>
      <c r="B634" s="1" t="n">
        <v>45945</v>
      </c>
      <c r="C634" s="1" t="n">
        <v>46084</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20564-2023</t>
        </is>
      </c>
      <c r="B635" s="1" t="n">
        <v>45057</v>
      </c>
      <c r="C635" s="1" t="n">
        <v>46084</v>
      </c>
      <c r="D635" t="inlineStr">
        <is>
          <t>SKÅNE LÄN</t>
        </is>
      </c>
      <c r="E635" t="inlineStr">
        <is>
          <t>HÄSSLEHOLM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50677-2025</t>
        </is>
      </c>
      <c r="B636" s="1" t="n">
        <v>45945</v>
      </c>
      <c r="C636" s="1" t="n">
        <v>46084</v>
      </c>
      <c r="D636" t="inlineStr">
        <is>
          <t>SKÅNE LÄN</t>
        </is>
      </c>
      <c r="E636" t="inlineStr">
        <is>
          <t>HÄSSLEHOLM</t>
        </is>
      </c>
      <c r="G636" t="n">
        <v>2.3</v>
      </c>
      <c r="H636" t="n">
        <v>0</v>
      </c>
      <c r="I636" t="n">
        <v>0</v>
      </c>
      <c r="J636" t="n">
        <v>0</v>
      </c>
      <c r="K636" t="n">
        <v>0</v>
      </c>
      <c r="L636" t="n">
        <v>0</v>
      </c>
      <c r="M636" t="n">
        <v>0</v>
      </c>
      <c r="N636" t="n">
        <v>0</v>
      </c>
      <c r="O636" t="n">
        <v>0</v>
      </c>
      <c r="P636" t="n">
        <v>0</v>
      </c>
      <c r="Q636" t="n">
        <v>0</v>
      </c>
      <c r="R636" s="2" t="inlineStr"/>
    </row>
    <row r="637" ht="15" customHeight="1">
      <c r="A637" t="inlineStr">
        <is>
          <t>A 46641-2023</t>
        </is>
      </c>
      <c r="B637" s="1" t="n">
        <v>45198.44523148148</v>
      </c>
      <c r="C637" s="1" t="n">
        <v>46084</v>
      </c>
      <c r="D637" t="inlineStr">
        <is>
          <t>SKÅNE LÄN</t>
        </is>
      </c>
      <c r="E637" t="inlineStr">
        <is>
          <t>HÄSSLEHOLM</t>
        </is>
      </c>
      <c r="G637" t="n">
        <v>1.2</v>
      </c>
      <c r="H637" t="n">
        <v>0</v>
      </c>
      <c r="I637" t="n">
        <v>0</v>
      </c>
      <c r="J637" t="n">
        <v>0</v>
      </c>
      <c r="K637" t="n">
        <v>0</v>
      </c>
      <c r="L637" t="n">
        <v>0</v>
      </c>
      <c r="M637" t="n">
        <v>0</v>
      </c>
      <c r="N637" t="n">
        <v>0</v>
      </c>
      <c r="O637" t="n">
        <v>0</v>
      </c>
      <c r="P637" t="n">
        <v>0</v>
      </c>
      <c r="Q637" t="n">
        <v>0</v>
      </c>
      <c r="R637" s="2" t="inlineStr"/>
    </row>
    <row r="638" ht="15" customHeight="1">
      <c r="A638" t="inlineStr">
        <is>
          <t>A 8239-2025</t>
        </is>
      </c>
      <c r="B638" s="1" t="n">
        <v>45708.47984953703</v>
      </c>
      <c r="C638" s="1" t="n">
        <v>46084</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46645-2023</t>
        </is>
      </c>
      <c r="B639" s="1" t="n">
        <v>45198.44686342592</v>
      </c>
      <c r="C639" s="1" t="n">
        <v>46084</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35259-2025</t>
        </is>
      </c>
      <c r="B640" s="1" t="n">
        <v>45853.76912037037</v>
      </c>
      <c r="C640" s="1" t="n">
        <v>46084</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50834-2025</t>
        </is>
      </c>
      <c r="B641" s="1" t="n">
        <v>45946.55746527778</v>
      </c>
      <c r="C641" s="1" t="n">
        <v>46084</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31986-2023</t>
        </is>
      </c>
      <c r="B642" s="1" t="n">
        <v>45119</v>
      </c>
      <c r="C642" s="1" t="n">
        <v>46084</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62044-2022</t>
        </is>
      </c>
      <c r="B643" s="1" t="n">
        <v>44918.55976851852</v>
      </c>
      <c r="C643" s="1" t="n">
        <v>46084</v>
      </c>
      <c r="D643" t="inlineStr">
        <is>
          <t>SKÅNE LÄN</t>
        </is>
      </c>
      <c r="E643" t="inlineStr">
        <is>
          <t>HÄSSLEHOLM</t>
        </is>
      </c>
      <c r="G643" t="n">
        <v>2.1</v>
      </c>
      <c r="H643" t="n">
        <v>0</v>
      </c>
      <c r="I643" t="n">
        <v>0</v>
      </c>
      <c r="J643" t="n">
        <v>0</v>
      </c>
      <c r="K643" t="n">
        <v>0</v>
      </c>
      <c r="L643" t="n">
        <v>0</v>
      </c>
      <c r="M643" t="n">
        <v>0</v>
      </c>
      <c r="N643" t="n">
        <v>0</v>
      </c>
      <c r="O643" t="n">
        <v>0</v>
      </c>
      <c r="P643" t="n">
        <v>0</v>
      </c>
      <c r="Q643" t="n">
        <v>0</v>
      </c>
      <c r="R643" s="2" t="inlineStr"/>
    </row>
    <row r="644" ht="15" customHeight="1">
      <c r="A644" t="inlineStr">
        <is>
          <t>A 17413-2025</t>
        </is>
      </c>
      <c r="B644" s="1" t="n">
        <v>45757.37480324074</v>
      </c>
      <c r="C644" s="1" t="n">
        <v>46084</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6619-2024</t>
        </is>
      </c>
      <c r="B645" s="1" t="n">
        <v>45341.6021412037</v>
      </c>
      <c r="C645" s="1" t="n">
        <v>46084</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14255-2024</t>
        </is>
      </c>
      <c r="B646" s="1" t="n">
        <v>45393</v>
      </c>
      <c r="C646" s="1" t="n">
        <v>46084</v>
      </c>
      <c r="D646" t="inlineStr">
        <is>
          <t>SKÅNE LÄN</t>
        </is>
      </c>
      <c r="E646" t="inlineStr">
        <is>
          <t>HÄSSLEHOLM</t>
        </is>
      </c>
      <c r="G646" t="n">
        <v>11.9</v>
      </c>
      <c r="H646" t="n">
        <v>0</v>
      </c>
      <c r="I646" t="n">
        <v>0</v>
      </c>
      <c r="J646" t="n">
        <v>0</v>
      </c>
      <c r="K646" t="n">
        <v>0</v>
      </c>
      <c r="L646" t="n">
        <v>0</v>
      </c>
      <c r="M646" t="n">
        <v>0</v>
      </c>
      <c r="N646" t="n">
        <v>0</v>
      </c>
      <c r="O646" t="n">
        <v>0</v>
      </c>
      <c r="P646" t="n">
        <v>0</v>
      </c>
      <c r="Q646" t="n">
        <v>0</v>
      </c>
      <c r="R646" s="2" t="inlineStr"/>
    </row>
    <row r="647" ht="15" customHeight="1">
      <c r="A647" t="inlineStr">
        <is>
          <t>A 51024-2025</t>
        </is>
      </c>
      <c r="B647" s="1" t="n">
        <v>45947.395</v>
      </c>
      <c r="C647" s="1" t="n">
        <v>46084</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50839-2025</t>
        </is>
      </c>
      <c r="B648" s="1" t="n">
        <v>45946</v>
      </c>
      <c r="C648" s="1" t="n">
        <v>46084</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52341-2023</t>
        </is>
      </c>
      <c r="B649" s="1" t="n">
        <v>45224.67006944444</v>
      </c>
      <c r="C649" s="1" t="n">
        <v>46084</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50829-2025</t>
        </is>
      </c>
      <c r="B650" s="1" t="n">
        <v>45946.55309027778</v>
      </c>
      <c r="C650" s="1" t="n">
        <v>46084</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51097-2025</t>
        </is>
      </c>
      <c r="B651" s="1" t="n">
        <v>45947.48018518519</v>
      </c>
      <c r="C651" s="1" t="n">
        <v>46084</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27464-2022</t>
        </is>
      </c>
      <c r="B652" s="1" t="n">
        <v>44742.58704861111</v>
      </c>
      <c r="C652" s="1" t="n">
        <v>46084</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12338-2024</t>
        </is>
      </c>
      <c r="B653" s="1" t="n">
        <v>45378.72869212963</v>
      </c>
      <c r="C653" s="1" t="n">
        <v>46084</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51597-2025</t>
        </is>
      </c>
      <c r="B654" s="1" t="n">
        <v>45951.37163194444</v>
      </c>
      <c r="C654" s="1" t="n">
        <v>46084</v>
      </c>
      <c r="D654" t="inlineStr">
        <is>
          <t>SKÅNE LÄN</t>
        </is>
      </c>
      <c r="E654" t="inlineStr">
        <is>
          <t>HÄSSLEHOLM</t>
        </is>
      </c>
      <c r="G654" t="n">
        <v>3.5</v>
      </c>
      <c r="H654" t="n">
        <v>0</v>
      </c>
      <c r="I654" t="n">
        <v>0</v>
      </c>
      <c r="J654" t="n">
        <v>0</v>
      </c>
      <c r="K654" t="n">
        <v>0</v>
      </c>
      <c r="L654" t="n">
        <v>0</v>
      </c>
      <c r="M654" t="n">
        <v>0</v>
      </c>
      <c r="N654" t="n">
        <v>0</v>
      </c>
      <c r="O654" t="n">
        <v>0</v>
      </c>
      <c r="P654" t="n">
        <v>0</v>
      </c>
      <c r="Q654" t="n">
        <v>0</v>
      </c>
      <c r="R654" s="2" t="inlineStr"/>
    </row>
    <row r="655" ht="15" customHeight="1">
      <c r="A655" t="inlineStr">
        <is>
          <t>A 51795-2025</t>
        </is>
      </c>
      <c r="B655" s="1" t="n">
        <v>45951</v>
      </c>
      <c r="C655" s="1" t="n">
        <v>46084</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51796-2025</t>
        </is>
      </c>
      <c r="B656" s="1" t="n">
        <v>45951.74546296296</v>
      </c>
      <c r="C656" s="1" t="n">
        <v>46084</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6798-2025</t>
        </is>
      </c>
      <c r="B657" s="1" t="n">
        <v>45700.668125</v>
      </c>
      <c r="C657" s="1" t="n">
        <v>46084</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51640-2025</t>
        </is>
      </c>
      <c r="B658" s="1" t="n">
        <v>45951.44361111111</v>
      </c>
      <c r="C658" s="1" t="n">
        <v>46084</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10752-2025</t>
        </is>
      </c>
      <c r="B659" s="1" t="n">
        <v>45722</v>
      </c>
      <c r="C659" s="1" t="n">
        <v>46084</v>
      </c>
      <c r="D659" t="inlineStr">
        <is>
          <t>SKÅNE LÄN</t>
        </is>
      </c>
      <c r="E659" t="inlineStr">
        <is>
          <t>HÄSSLEHOLM</t>
        </is>
      </c>
      <c r="G659" t="n">
        <v>1.2</v>
      </c>
      <c r="H659" t="n">
        <v>0</v>
      </c>
      <c r="I659" t="n">
        <v>0</v>
      </c>
      <c r="J659" t="n">
        <v>0</v>
      </c>
      <c r="K659" t="n">
        <v>0</v>
      </c>
      <c r="L659" t="n">
        <v>0</v>
      </c>
      <c r="M659" t="n">
        <v>0</v>
      </c>
      <c r="N659" t="n">
        <v>0</v>
      </c>
      <c r="O659" t="n">
        <v>0</v>
      </c>
      <c r="P659" t="n">
        <v>0</v>
      </c>
      <c r="Q659" t="n">
        <v>0</v>
      </c>
      <c r="R659" s="2" t="inlineStr"/>
    </row>
    <row r="660" ht="15" customHeight="1">
      <c r="A660" t="inlineStr">
        <is>
          <t>A 36259-2025</t>
        </is>
      </c>
      <c r="B660" s="1" t="n">
        <v>45867.59799768519</v>
      </c>
      <c r="C660" s="1" t="n">
        <v>46084</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36130-2025</t>
        </is>
      </c>
      <c r="B661" s="1" t="n">
        <v>45866.62273148148</v>
      </c>
      <c r="C661" s="1" t="n">
        <v>46084</v>
      </c>
      <c r="D661" t="inlineStr">
        <is>
          <t>SKÅNE LÄN</t>
        </is>
      </c>
      <c r="E661" t="inlineStr">
        <is>
          <t>HÄSSLEHOLM</t>
        </is>
      </c>
      <c r="G661" t="n">
        <v>4.7</v>
      </c>
      <c r="H661" t="n">
        <v>0</v>
      </c>
      <c r="I661" t="n">
        <v>0</v>
      </c>
      <c r="J661" t="n">
        <v>0</v>
      </c>
      <c r="K661" t="n">
        <v>0</v>
      </c>
      <c r="L661" t="n">
        <v>0</v>
      </c>
      <c r="M661" t="n">
        <v>0</v>
      </c>
      <c r="N661" t="n">
        <v>0</v>
      </c>
      <c r="O661" t="n">
        <v>0</v>
      </c>
      <c r="P661" t="n">
        <v>0</v>
      </c>
      <c r="Q661" t="n">
        <v>0</v>
      </c>
      <c r="R661" s="2" t="inlineStr"/>
    </row>
    <row r="662" ht="15" customHeight="1">
      <c r="A662" t="inlineStr">
        <is>
          <t>A 15055-2023</t>
        </is>
      </c>
      <c r="B662" s="1" t="n">
        <v>45015</v>
      </c>
      <c r="C662" s="1" t="n">
        <v>46084</v>
      </c>
      <c r="D662" t="inlineStr">
        <is>
          <t>SKÅNE LÄN</t>
        </is>
      </c>
      <c r="E662" t="inlineStr">
        <is>
          <t>HÄSSLEHOLM</t>
        </is>
      </c>
      <c r="G662" t="n">
        <v>1.9</v>
      </c>
      <c r="H662" t="n">
        <v>0</v>
      </c>
      <c r="I662" t="n">
        <v>0</v>
      </c>
      <c r="J662" t="n">
        <v>0</v>
      </c>
      <c r="K662" t="n">
        <v>0</v>
      </c>
      <c r="L662" t="n">
        <v>0</v>
      </c>
      <c r="M662" t="n">
        <v>0</v>
      </c>
      <c r="N662" t="n">
        <v>0</v>
      </c>
      <c r="O662" t="n">
        <v>0</v>
      </c>
      <c r="P662" t="n">
        <v>0</v>
      </c>
      <c r="Q662" t="n">
        <v>0</v>
      </c>
      <c r="R662" s="2" t="inlineStr"/>
    </row>
    <row r="663" ht="15" customHeight="1">
      <c r="A663" t="inlineStr">
        <is>
          <t>A 14008-2023</t>
        </is>
      </c>
      <c r="B663" s="1" t="n">
        <v>45008.56725694444</v>
      </c>
      <c r="C663" s="1" t="n">
        <v>46084</v>
      </c>
      <c r="D663" t="inlineStr">
        <is>
          <t>SKÅNE LÄN</t>
        </is>
      </c>
      <c r="E663" t="inlineStr">
        <is>
          <t>HÄSSLEHOLM</t>
        </is>
      </c>
      <c r="G663" t="n">
        <v>3.3</v>
      </c>
      <c r="H663" t="n">
        <v>0</v>
      </c>
      <c r="I663" t="n">
        <v>0</v>
      </c>
      <c r="J663" t="n">
        <v>0</v>
      </c>
      <c r="K663" t="n">
        <v>0</v>
      </c>
      <c r="L663" t="n">
        <v>0</v>
      </c>
      <c r="M663" t="n">
        <v>0</v>
      </c>
      <c r="N663" t="n">
        <v>0</v>
      </c>
      <c r="O663" t="n">
        <v>0</v>
      </c>
      <c r="P663" t="n">
        <v>0</v>
      </c>
      <c r="Q663" t="n">
        <v>0</v>
      </c>
      <c r="R663" s="2" t="inlineStr"/>
    </row>
    <row r="664" ht="15" customHeight="1">
      <c r="A664" t="inlineStr">
        <is>
          <t>A 19666-2025</t>
        </is>
      </c>
      <c r="B664" s="1" t="n">
        <v>45770.69326388889</v>
      </c>
      <c r="C664" s="1" t="n">
        <v>46084</v>
      </c>
      <c r="D664" t="inlineStr">
        <is>
          <t>SKÅNE LÄN</t>
        </is>
      </c>
      <c r="E664" t="inlineStr">
        <is>
          <t>HÄSSLEHOLM</t>
        </is>
      </c>
      <c r="G664" t="n">
        <v>2.4</v>
      </c>
      <c r="H664" t="n">
        <v>0</v>
      </c>
      <c r="I664" t="n">
        <v>0</v>
      </c>
      <c r="J664" t="n">
        <v>0</v>
      </c>
      <c r="K664" t="n">
        <v>0</v>
      </c>
      <c r="L664" t="n">
        <v>0</v>
      </c>
      <c r="M664" t="n">
        <v>0</v>
      </c>
      <c r="N664" t="n">
        <v>0</v>
      </c>
      <c r="O664" t="n">
        <v>0</v>
      </c>
      <c r="P664" t="n">
        <v>0</v>
      </c>
      <c r="Q664" t="n">
        <v>0</v>
      </c>
      <c r="R664" s="2" t="inlineStr"/>
    </row>
    <row r="665" ht="15" customHeight="1">
      <c r="A665" t="inlineStr">
        <is>
          <t>A 36359-2025</t>
        </is>
      </c>
      <c r="B665" s="1" t="n">
        <v>45867</v>
      </c>
      <c r="C665" s="1" t="n">
        <v>46084</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36361-2025</t>
        </is>
      </c>
      <c r="B666" s="1" t="n">
        <v>45867</v>
      </c>
      <c r="C666" s="1" t="n">
        <v>46084</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36085-2025</t>
        </is>
      </c>
      <c r="B667" s="1" t="n">
        <v>45866.46190972222</v>
      </c>
      <c r="C667" s="1" t="n">
        <v>46084</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315-2022</t>
        </is>
      </c>
      <c r="B668" s="1" t="n">
        <v>44565.55630787037</v>
      </c>
      <c r="C668" s="1" t="n">
        <v>46084</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34187-2023</t>
        </is>
      </c>
      <c r="B669" s="1" t="n">
        <v>45138</v>
      </c>
      <c r="C669" s="1" t="n">
        <v>46084</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42372-2024</t>
        </is>
      </c>
      <c r="B670" s="1" t="n">
        <v>45564.5127199074</v>
      </c>
      <c r="C670" s="1" t="n">
        <v>46084</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36358-2025</t>
        </is>
      </c>
      <c r="B671" s="1" t="n">
        <v>45867</v>
      </c>
      <c r="C671" s="1" t="n">
        <v>46084</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17138-2025</t>
        </is>
      </c>
      <c r="B672" s="1" t="n">
        <v>45755.80378472222</v>
      </c>
      <c r="C672" s="1" t="n">
        <v>46084</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52126-2025</t>
        </is>
      </c>
      <c r="B673" s="1" t="n">
        <v>45952.72109953704</v>
      </c>
      <c r="C673" s="1" t="n">
        <v>46084</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57695-2023</t>
        </is>
      </c>
      <c r="B674" s="1" t="n">
        <v>45246</v>
      </c>
      <c r="C674" s="1" t="n">
        <v>46084</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12162-2023</t>
        </is>
      </c>
      <c r="B675" s="1" t="n">
        <v>44998.49619212963</v>
      </c>
      <c r="C675" s="1" t="n">
        <v>46084</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13347-2025</t>
        </is>
      </c>
      <c r="B676" s="1" t="n">
        <v>45735.63175925926</v>
      </c>
      <c r="C676" s="1" t="n">
        <v>46084</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4916-2024</t>
        </is>
      </c>
      <c r="B677" s="1" t="n">
        <v>45329</v>
      </c>
      <c r="C677" s="1" t="n">
        <v>46084</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27175-2024</t>
        </is>
      </c>
      <c r="B678" s="1" t="n">
        <v>45471.57111111111</v>
      </c>
      <c r="C678" s="1" t="n">
        <v>46084</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54658-2023</t>
        </is>
      </c>
      <c r="B679" s="1" t="n">
        <v>45235</v>
      </c>
      <c r="C679" s="1" t="n">
        <v>46084</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23666-2023</t>
        </is>
      </c>
      <c r="B680" s="1" t="n">
        <v>45077</v>
      </c>
      <c r="C680" s="1" t="n">
        <v>46084</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3726-2024</t>
        </is>
      </c>
      <c r="B681" s="1" t="n">
        <v>45321</v>
      </c>
      <c r="C681" s="1" t="n">
        <v>46084</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53085-2022</t>
        </is>
      </c>
      <c r="B682" s="1" t="n">
        <v>44873</v>
      </c>
      <c r="C682" s="1" t="n">
        <v>46084</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28211-2022</t>
        </is>
      </c>
      <c r="B683" s="1" t="n">
        <v>44746</v>
      </c>
      <c r="C683" s="1" t="n">
        <v>46084</v>
      </c>
      <c r="D683" t="inlineStr">
        <is>
          <t>SKÅNE LÄN</t>
        </is>
      </c>
      <c r="E683" t="inlineStr">
        <is>
          <t>HÄSSLEHOLM</t>
        </is>
      </c>
      <c r="G683" t="n">
        <v>2.8</v>
      </c>
      <c r="H683" t="n">
        <v>0</v>
      </c>
      <c r="I683" t="n">
        <v>0</v>
      </c>
      <c r="J683" t="n">
        <v>0</v>
      </c>
      <c r="K683" t="n">
        <v>0</v>
      </c>
      <c r="L683" t="n">
        <v>0</v>
      </c>
      <c r="M683" t="n">
        <v>0</v>
      </c>
      <c r="N683" t="n">
        <v>0</v>
      </c>
      <c r="O683" t="n">
        <v>0</v>
      </c>
      <c r="P683" t="n">
        <v>0</v>
      </c>
      <c r="Q683" t="n">
        <v>0</v>
      </c>
      <c r="R683" s="2" t="inlineStr"/>
    </row>
    <row r="684" ht="15" customHeight="1">
      <c r="A684" t="inlineStr">
        <is>
          <t>A 15990-2023</t>
        </is>
      </c>
      <c r="B684" s="1" t="n">
        <v>45023.39584490741</v>
      </c>
      <c r="C684" s="1" t="n">
        <v>46084</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26207-2021</t>
        </is>
      </c>
      <c r="B685" s="1" t="n">
        <v>44347</v>
      </c>
      <c r="C685" s="1" t="n">
        <v>46084</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62199-2022</t>
        </is>
      </c>
      <c r="B686" s="1" t="n">
        <v>44915</v>
      </c>
      <c r="C686" s="1" t="n">
        <v>46084</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9098-2022</t>
        </is>
      </c>
      <c r="B687" s="1" t="n">
        <v>44615</v>
      </c>
      <c r="C687" s="1" t="n">
        <v>46084</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19151-2023</t>
        </is>
      </c>
      <c r="B688" s="1" t="n">
        <v>45044</v>
      </c>
      <c r="C688" s="1" t="n">
        <v>46084</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8209-2025</t>
        </is>
      </c>
      <c r="B689" s="1" t="n">
        <v>45708.44244212963</v>
      </c>
      <c r="C689" s="1" t="n">
        <v>46084</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53020-2025</t>
        </is>
      </c>
      <c r="B690" s="1" t="n">
        <v>45957.90707175926</v>
      </c>
      <c r="C690" s="1" t="n">
        <v>46084</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53424-2025</t>
        </is>
      </c>
      <c r="B691" s="1" t="n">
        <v>45959</v>
      </c>
      <c r="C691" s="1" t="n">
        <v>46084</v>
      </c>
      <c r="D691" t="inlineStr">
        <is>
          <t>SKÅNE LÄN</t>
        </is>
      </c>
      <c r="E691" t="inlineStr">
        <is>
          <t>HÄSSLEHOLM</t>
        </is>
      </c>
      <c r="G691" t="n">
        <v>3.4</v>
      </c>
      <c r="H691" t="n">
        <v>0</v>
      </c>
      <c r="I691" t="n">
        <v>0</v>
      </c>
      <c r="J691" t="n">
        <v>0</v>
      </c>
      <c r="K691" t="n">
        <v>0</v>
      </c>
      <c r="L691" t="n">
        <v>0</v>
      </c>
      <c r="M691" t="n">
        <v>0</v>
      </c>
      <c r="N691" t="n">
        <v>0</v>
      </c>
      <c r="O691" t="n">
        <v>0</v>
      </c>
      <c r="P691" t="n">
        <v>0</v>
      </c>
      <c r="Q691" t="n">
        <v>0</v>
      </c>
      <c r="R691" s="2" t="inlineStr"/>
    </row>
    <row r="692" ht="15" customHeight="1">
      <c r="A692" t="inlineStr">
        <is>
          <t>A 53018-2025</t>
        </is>
      </c>
      <c r="B692" s="1" t="n">
        <v>45957.90064814815</v>
      </c>
      <c r="C692" s="1" t="n">
        <v>46084</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2688-2024</t>
        </is>
      </c>
      <c r="B693" s="1" t="n">
        <v>45314</v>
      </c>
      <c r="C693" s="1" t="n">
        <v>46084</v>
      </c>
      <c r="D693" t="inlineStr">
        <is>
          <t>SKÅNE LÄN</t>
        </is>
      </c>
      <c r="E693" t="inlineStr">
        <is>
          <t>HÄSSLEHOLM</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29850-2024</t>
        </is>
      </c>
      <c r="B694" s="1" t="n">
        <v>45485.64620370371</v>
      </c>
      <c r="C694" s="1" t="n">
        <v>46084</v>
      </c>
      <c r="D694" t="inlineStr">
        <is>
          <t>SKÅNE LÄN</t>
        </is>
      </c>
      <c r="E694" t="inlineStr">
        <is>
          <t>HÄSSLEHOLM</t>
        </is>
      </c>
      <c r="G694" t="n">
        <v>0.9</v>
      </c>
      <c r="H694" t="n">
        <v>0</v>
      </c>
      <c r="I694" t="n">
        <v>0</v>
      </c>
      <c r="J694" t="n">
        <v>0</v>
      </c>
      <c r="K694" t="n">
        <v>0</v>
      </c>
      <c r="L694" t="n">
        <v>0</v>
      </c>
      <c r="M694" t="n">
        <v>0</v>
      </c>
      <c r="N694" t="n">
        <v>0</v>
      </c>
      <c r="O694" t="n">
        <v>0</v>
      </c>
      <c r="P694" t="n">
        <v>0</v>
      </c>
      <c r="Q694" t="n">
        <v>0</v>
      </c>
      <c r="R694" s="2" t="inlineStr"/>
    </row>
    <row r="695" ht="15" customHeight="1">
      <c r="A695" t="inlineStr">
        <is>
          <t>A 53056-2025</t>
        </is>
      </c>
      <c r="B695" s="1" t="n">
        <v>45958.36518518518</v>
      </c>
      <c r="C695" s="1" t="n">
        <v>46084</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31255-2024</t>
        </is>
      </c>
      <c r="B696" s="1" t="n">
        <v>45503.69114583333</v>
      </c>
      <c r="C696" s="1" t="n">
        <v>46084</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30007-2023</t>
        </is>
      </c>
      <c r="B697" s="1" t="n">
        <v>45109.80349537037</v>
      </c>
      <c r="C697" s="1" t="n">
        <v>46084</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44697-2021</t>
        </is>
      </c>
      <c r="B698" s="1" t="n">
        <v>44438</v>
      </c>
      <c r="C698" s="1" t="n">
        <v>46084</v>
      </c>
      <c r="D698" t="inlineStr">
        <is>
          <t>SKÅNE LÄN</t>
        </is>
      </c>
      <c r="E698" t="inlineStr">
        <is>
          <t>HÄSSLEHOLM</t>
        </is>
      </c>
      <c r="G698" t="n">
        <v>4.8</v>
      </c>
      <c r="H698" t="n">
        <v>0</v>
      </c>
      <c r="I698" t="n">
        <v>0</v>
      </c>
      <c r="J698" t="n">
        <v>0</v>
      </c>
      <c r="K698" t="n">
        <v>0</v>
      </c>
      <c r="L698" t="n">
        <v>0</v>
      </c>
      <c r="M698" t="n">
        <v>0</v>
      </c>
      <c r="N698" t="n">
        <v>0</v>
      </c>
      <c r="O698" t="n">
        <v>0</v>
      </c>
      <c r="P698" t="n">
        <v>0</v>
      </c>
      <c r="Q698" t="n">
        <v>0</v>
      </c>
      <c r="R698" s="2" t="inlineStr"/>
    </row>
    <row r="699" ht="15" customHeight="1">
      <c r="A699" t="inlineStr">
        <is>
          <t>A 4187-2023</t>
        </is>
      </c>
      <c r="B699" s="1" t="n">
        <v>44953</v>
      </c>
      <c r="C699" s="1" t="n">
        <v>46084</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44830.77003472222</v>
      </c>
      <c r="C700" s="1" t="n">
        <v>46084</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8433-2024</t>
        </is>
      </c>
      <c r="B701" s="1" t="n">
        <v>45353.48434027778</v>
      </c>
      <c r="C701" s="1" t="n">
        <v>46084</v>
      </c>
      <c r="D701" t="inlineStr">
        <is>
          <t>SKÅNE LÄN</t>
        </is>
      </c>
      <c r="E701" t="inlineStr">
        <is>
          <t>HÄSSLEHOLM</t>
        </is>
      </c>
      <c r="G701" t="n">
        <v>1.9</v>
      </c>
      <c r="H701" t="n">
        <v>0</v>
      </c>
      <c r="I701" t="n">
        <v>0</v>
      </c>
      <c r="J701" t="n">
        <v>0</v>
      </c>
      <c r="K701" t="n">
        <v>0</v>
      </c>
      <c r="L701" t="n">
        <v>0</v>
      </c>
      <c r="M701" t="n">
        <v>0</v>
      </c>
      <c r="N701" t="n">
        <v>0</v>
      </c>
      <c r="O701" t="n">
        <v>0</v>
      </c>
      <c r="P701" t="n">
        <v>0</v>
      </c>
      <c r="Q701" t="n">
        <v>0</v>
      </c>
      <c r="R701" s="2" t="inlineStr"/>
    </row>
    <row r="702" ht="15" customHeight="1">
      <c r="A702" t="inlineStr">
        <is>
          <t>A 48807-2021</t>
        </is>
      </c>
      <c r="B702" s="1" t="n">
        <v>44452</v>
      </c>
      <c r="C702" s="1" t="n">
        <v>46084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28457-2024</t>
        </is>
      </c>
      <c r="B703" s="1" t="n">
        <v>45477.68884259259</v>
      </c>
      <c r="C703" s="1" t="n">
        <v>46084</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36938-2025</t>
        </is>
      </c>
      <c r="B704" s="1" t="n">
        <v>45874.58476851852</v>
      </c>
      <c r="C704" s="1" t="n">
        <v>46084</v>
      </c>
      <c r="D704" t="inlineStr">
        <is>
          <t>SKÅNE LÄN</t>
        </is>
      </c>
      <c r="E704" t="inlineStr">
        <is>
          <t>HÄSSLEHOLM</t>
        </is>
      </c>
      <c r="G704" t="n">
        <v>3.7</v>
      </c>
      <c r="H704" t="n">
        <v>0</v>
      </c>
      <c r="I704" t="n">
        <v>0</v>
      </c>
      <c r="J704" t="n">
        <v>0</v>
      </c>
      <c r="K704" t="n">
        <v>0</v>
      </c>
      <c r="L704" t="n">
        <v>0</v>
      </c>
      <c r="M704" t="n">
        <v>0</v>
      </c>
      <c r="N704" t="n">
        <v>0</v>
      </c>
      <c r="O704" t="n">
        <v>0</v>
      </c>
      <c r="P704" t="n">
        <v>0</v>
      </c>
      <c r="Q704" t="n">
        <v>0</v>
      </c>
      <c r="R704" s="2" t="inlineStr"/>
    </row>
    <row r="705" ht="15" customHeight="1">
      <c r="A705" t="inlineStr">
        <is>
          <t>A 59390-2021</t>
        </is>
      </c>
      <c r="B705" s="1" t="n">
        <v>44490</v>
      </c>
      <c r="C705" s="1" t="n">
        <v>46084</v>
      </c>
      <c r="D705" t="inlineStr">
        <is>
          <t>SKÅNE LÄN</t>
        </is>
      </c>
      <c r="E705" t="inlineStr">
        <is>
          <t>HÄSSLEHOLM</t>
        </is>
      </c>
      <c r="G705" t="n">
        <v>7.1</v>
      </c>
      <c r="H705" t="n">
        <v>0</v>
      </c>
      <c r="I705" t="n">
        <v>0</v>
      </c>
      <c r="J705" t="n">
        <v>0</v>
      </c>
      <c r="K705" t="n">
        <v>0</v>
      </c>
      <c r="L705" t="n">
        <v>0</v>
      </c>
      <c r="M705" t="n">
        <v>0</v>
      </c>
      <c r="N705" t="n">
        <v>0</v>
      </c>
      <c r="O705" t="n">
        <v>0</v>
      </c>
      <c r="P705" t="n">
        <v>0</v>
      </c>
      <c r="Q705" t="n">
        <v>0</v>
      </c>
      <c r="R705" s="2" t="inlineStr"/>
    </row>
    <row r="706" ht="15" customHeight="1">
      <c r="A706" t="inlineStr">
        <is>
          <t>A 47161-2025</t>
        </is>
      </c>
      <c r="B706" s="1" t="n">
        <v>45929</v>
      </c>
      <c r="C706" s="1" t="n">
        <v>46084</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37286-2025</t>
        </is>
      </c>
      <c r="B707" s="1" t="n">
        <v>45876.50116898148</v>
      </c>
      <c r="C707" s="1" t="n">
        <v>46084</v>
      </c>
      <c r="D707" t="inlineStr">
        <is>
          <t>SKÅNE LÄN</t>
        </is>
      </c>
      <c r="E707" t="inlineStr">
        <is>
          <t>HÄSSLEHOLM</t>
        </is>
      </c>
      <c r="G707" t="n">
        <v>2.9</v>
      </c>
      <c r="H707" t="n">
        <v>0</v>
      </c>
      <c r="I707" t="n">
        <v>0</v>
      </c>
      <c r="J707" t="n">
        <v>0</v>
      </c>
      <c r="K707" t="n">
        <v>0</v>
      </c>
      <c r="L707" t="n">
        <v>0</v>
      </c>
      <c r="M707" t="n">
        <v>0</v>
      </c>
      <c r="N707" t="n">
        <v>0</v>
      </c>
      <c r="O707" t="n">
        <v>0</v>
      </c>
      <c r="P707" t="n">
        <v>0</v>
      </c>
      <c r="Q707" t="n">
        <v>0</v>
      </c>
      <c r="R707" s="2" t="inlineStr"/>
    </row>
    <row r="708" ht="15" customHeight="1">
      <c r="A708" t="inlineStr">
        <is>
          <t>A 13309-2025</t>
        </is>
      </c>
      <c r="B708" s="1" t="n">
        <v>45735.58512731481</v>
      </c>
      <c r="C708" s="1" t="n">
        <v>46084</v>
      </c>
      <c r="D708" t="inlineStr">
        <is>
          <t>SKÅNE LÄN</t>
        </is>
      </c>
      <c r="E708" t="inlineStr">
        <is>
          <t>HÄSSLEHOLM</t>
        </is>
      </c>
      <c r="G708" t="n">
        <v>1.2</v>
      </c>
      <c r="H708" t="n">
        <v>0</v>
      </c>
      <c r="I708" t="n">
        <v>0</v>
      </c>
      <c r="J708" t="n">
        <v>0</v>
      </c>
      <c r="K708" t="n">
        <v>0</v>
      </c>
      <c r="L708" t="n">
        <v>0</v>
      </c>
      <c r="M708" t="n">
        <v>0</v>
      </c>
      <c r="N708" t="n">
        <v>0</v>
      </c>
      <c r="O708" t="n">
        <v>0</v>
      </c>
      <c r="P708" t="n">
        <v>0</v>
      </c>
      <c r="Q708" t="n">
        <v>0</v>
      </c>
      <c r="R708" s="2" t="inlineStr"/>
    </row>
    <row r="709" ht="15" customHeight="1">
      <c r="A709" t="inlineStr">
        <is>
          <t>A 37271-2025</t>
        </is>
      </c>
      <c r="B709" s="1" t="n">
        <v>45876.47828703704</v>
      </c>
      <c r="C709" s="1" t="n">
        <v>46084</v>
      </c>
      <c r="D709" t="inlineStr">
        <is>
          <t>SKÅNE LÄN</t>
        </is>
      </c>
      <c r="E709" t="inlineStr">
        <is>
          <t>HÄSSLEHOLM</t>
        </is>
      </c>
      <c r="G709" t="n">
        <v>4.1</v>
      </c>
      <c r="H709" t="n">
        <v>0</v>
      </c>
      <c r="I709" t="n">
        <v>0</v>
      </c>
      <c r="J709" t="n">
        <v>0</v>
      </c>
      <c r="K709" t="n">
        <v>0</v>
      </c>
      <c r="L709" t="n">
        <v>0</v>
      </c>
      <c r="M709" t="n">
        <v>0</v>
      </c>
      <c r="N709" t="n">
        <v>0</v>
      </c>
      <c r="O709" t="n">
        <v>0</v>
      </c>
      <c r="P709" t="n">
        <v>0</v>
      </c>
      <c r="Q709" t="n">
        <v>0</v>
      </c>
      <c r="R709" s="2" t="inlineStr"/>
    </row>
    <row r="710" ht="15" customHeight="1">
      <c r="A710" t="inlineStr">
        <is>
          <t>A 3452-2023</t>
        </is>
      </c>
      <c r="B710" s="1" t="n">
        <v>44949</v>
      </c>
      <c r="C710" s="1" t="n">
        <v>46084</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51752-2023</t>
        </is>
      </c>
      <c r="B711" s="1" t="n">
        <v>45222</v>
      </c>
      <c r="C711" s="1" t="n">
        <v>46084</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50525-2024</t>
        </is>
      </c>
      <c r="B712" s="1" t="n">
        <v>45601</v>
      </c>
      <c r="C712" s="1" t="n">
        <v>46084</v>
      </c>
      <c r="D712" t="inlineStr">
        <is>
          <t>SKÅNE LÄN</t>
        </is>
      </c>
      <c r="E712" t="inlineStr">
        <is>
          <t>HÄSSLEHOLM</t>
        </is>
      </c>
      <c r="G712" t="n">
        <v>2.6</v>
      </c>
      <c r="H712" t="n">
        <v>0</v>
      </c>
      <c r="I712" t="n">
        <v>0</v>
      </c>
      <c r="J712" t="n">
        <v>0</v>
      </c>
      <c r="K712" t="n">
        <v>0</v>
      </c>
      <c r="L712" t="n">
        <v>0</v>
      </c>
      <c r="M712" t="n">
        <v>0</v>
      </c>
      <c r="N712" t="n">
        <v>0</v>
      </c>
      <c r="O712" t="n">
        <v>0</v>
      </c>
      <c r="P712" t="n">
        <v>0</v>
      </c>
      <c r="Q712" t="n">
        <v>0</v>
      </c>
      <c r="R712" s="2" t="inlineStr"/>
    </row>
    <row r="713" ht="15" customHeight="1">
      <c r="A713" t="inlineStr">
        <is>
          <t>A 260-2024</t>
        </is>
      </c>
      <c r="B713" s="1" t="n">
        <v>45294</v>
      </c>
      <c r="C713" s="1" t="n">
        <v>46084</v>
      </c>
      <c r="D713" t="inlineStr">
        <is>
          <t>SKÅNE LÄN</t>
        </is>
      </c>
      <c r="E713" t="inlineStr">
        <is>
          <t>HÄSSLEHOLM</t>
        </is>
      </c>
      <c r="G713" t="n">
        <v>0.2</v>
      </c>
      <c r="H713" t="n">
        <v>0</v>
      </c>
      <c r="I713" t="n">
        <v>0</v>
      </c>
      <c r="J713" t="n">
        <v>0</v>
      </c>
      <c r="K713" t="n">
        <v>0</v>
      </c>
      <c r="L713" t="n">
        <v>0</v>
      </c>
      <c r="M713" t="n">
        <v>0</v>
      </c>
      <c r="N713" t="n">
        <v>0</v>
      </c>
      <c r="O713" t="n">
        <v>0</v>
      </c>
      <c r="P713" t="n">
        <v>0</v>
      </c>
      <c r="Q713" t="n">
        <v>0</v>
      </c>
      <c r="R713" s="2" t="inlineStr"/>
    </row>
    <row r="714" ht="15" customHeight="1">
      <c r="A714" t="inlineStr">
        <is>
          <t>A 5016-2024</t>
        </is>
      </c>
      <c r="B714" s="1" t="n">
        <v>45329</v>
      </c>
      <c r="C714" s="1" t="n">
        <v>46084</v>
      </c>
      <c r="D714" t="inlineStr">
        <is>
          <t>SKÅNE LÄN</t>
        </is>
      </c>
      <c r="E714" t="inlineStr">
        <is>
          <t>HÄSSLEHOLM</t>
        </is>
      </c>
      <c r="G714" t="n">
        <v>3.2</v>
      </c>
      <c r="H714" t="n">
        <v>0</v>
      </c>
      <c r="I714" t="n">
        <v>0</v>
      </c>
      <c r="J714" t="n">
        <v>0</v>
      </c>
      <c r="K714" t="n">
        <v>0</v>
      </c>
      <c r="L714" t="n">
        <v>0</v>
      </c>
      <c r="M714" t="n">
        <v>0</v>
      </c>
      <c r="N714" t="n">
        <v>0</v>
      </c>
      <c r="O714" t="n">
        <v>0</v>
      </c>
      <c r="P714" t="n">
        <v>0</v>
      </c>
      <c r="Q714" t="n">
        <v>0</v>
      </c>
      <c r="R714" s="2" t="inlineStr"/>
    </row>
    <row r="715" ht="15" customHeight="1">
      <c r="A715" t="inlineStr">
        <is>
          <t>A 11603-2025</t>
        </is>
      </c>
      <c r="B715" s="1" t="n">
        <v>45727</v>
      </c>
      <c r="C715" s="1" t="n">
        <v>46084</v>
      </c>
      <c r="D715" t="inlineStr">
        <is>
          <t>SKÅNE LÄN</t>
        </is>
      </c>
      <c r="E715" t="inlineStr">
        <is>
          <t>HÄSSLEHOLM</t>
        </is>
      </c>
      <c r="G715" t="n">
        <v>5.6</v>
      </c>
      <c r="H715" t="n">
        <v>0</v>
      </c>
      <c r="I715" t="n">
        <v>0</v>
      </c>
      <c r="J715" t="n">
        <v>0</v>
      </c>
      <c r="K715" t="n">
        <v>0</v>
      </c>
      <c r="L715" t="n">
        <v>0</v>
      </c>
      <c r="M715" t="n">
        <v>0</v>
      </c>
      <c r="N715" t="n">
        <v>0</v>
      </c>
      <c r="O715" t="n">
        <v>0</v>
      </c>
      <c r="P715" t="n">
        <v>0</v>
      </c>
      <c r="Q715" t="n">
        <v>0</v>
      </c>
      <c r="R715" s="2" t="inlineStr"/>
    </row>
    <row r="716" ht="15" customHeight="1">
      <c r="A716" t="inlineStr">
        <is>
          <t>A 54771-2025</t>
        </is>
      </c>
      <c r="B716" s="1" t="n">
        <v>45966.60829861111</v>
      </c>
      <c r="C716" s="1" t="n">
        <v>46084</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54664-2025</t>
        </is>
      </c>
      <c r="B717" s="1" t="n">
        <v>45966.40738425926</v>
      </c>
      <c r="C717" s="1" t="n">
        <v>46084</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32981-2025</t>
        </is>
      </c>
      <c r="B718" s="1" t="n">
        <v>45839.86820601852</v>
      </c>
      <c r="C718" s="1" t="n">
        <v>46084</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54763-2025</t>
        </is>
      </c>
      <c r="B719" s="1" t="n">
        <v>45966.60167824074</v>
      </c>
      <c r="C719" s="1" t="n">
        <v>46084</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25206-2023</t>
        </is>
      </c>
      <c r="B720" s="1" t="n">
        <v>45086.59318287037</v>
      </c>
      <c r="C720" s="1" t="n">
        <v>46084</v>
      </c>
      <c r="D720" t="inlineStr">
        <is>
          <t>SKÅNE LÄN</t>
        </is>
      </c>
      <c r="E720" t="inlineStr">
        <is>
          <t>HÄSSLEHOLM</t>
        </is>
      </c>
      <c r="G720" t="n">
        <v>2.9</v>
      </c>
      <c r="H720" t="n">
        <v>0</v>
      </c>
      <c r="I720" t="n">
        <v>0</v>
      </c>
      <c r="J720" t="n">
        <v>0</v>
      </c>
      <c r="K720" t="n">
        <v>0</v>
      </c>
      <c r="L720" t="n">
        <v>0</v>
      </c>
      <c r="M720" t="n">
        <v>0</v>
      </c>
      <c r="N720" t="n">
        <v>0</v>
      </c>
      <c r="O720" t="n">
        <v>0</v>
      </c>
      <c r="P720" t="n">
        <v>0</v>
      </c>
      <c r="Q720" t="n">
        <v>0</v>
      </c>
      <c r="R720" s="2" t="inlineStr"/>
    </row>
    <row r="721" ht="15" customHeight="1">
      <c r="A721" t="inlineStr">
        <is>
          <t>A 25221-2023</t>
        </is>
      </c>
      <c r="B721" s="1" t="n">
        <v>45086.60842592592</v>
      </c>
      <c r="C721" s="1" t="n">
        <v>46084</v>
      </c>
      <c r="D721" t="inlineStr">
        <is>
          <t>SKÅNE LÄN</t>
        </is>
      </c>
      <c r="E721" t="inlineStr">
        <is>
          <t>HÄSSLEHOLM</t>
        </is>
      </c>
      <c r="G721" t="n">
        <v>2.5</v>
      </c>
      <c r="H721" t="n">
        <v>0</v>
      </c>
      <c r="I721" t="n">
        <v>0</v>
      </c>
      <c r="J721" t="n">
        <v>0</v>
      </c>
      <c r="K721" t="n">
        <v>0</v>
      </c>
      <c r="L721" t="n">
        <v>0</v>
      </c>
      <c r="M721" t="n">
        <v>0</v>
      </c>
      <c r="N721" t="n">
        <v>0</v>
      </c>
      <c r="O721" t="n">
        <v>0</v>
      </c>
      <c r="P721" t="n">
        <v>0</v>
      </c>
      <c r="Q721" t="n">
        <v>0</v>
      </c>
      <c r="R721" s="2" t="inlineStr"/>
    </row>
    <row r="722" ht="15" customHeight="1">
      <c r="A722" t="inlineStr">
        <is>
          <t>A 16862-2025</t>
        </is>
      </c>
      <c r="B722" s="1" t="n">
        <v>45751</v>
      </c>
      <c r="C722" s="1" t="n">
        <v>46084</v>
      </c>
      <c r="D722" t="inlineStr">
        <is>
          <t>SKÅNE LÄN</t>
        </is>
      </c>
      <c r="E722" t="inlineStr">
        <is>
          <t>HÄSSLEHOLM</t>
        </is>
      </c>
      <c r="G722" t="n">
        <v>2.3</v>
      </c>
      <c r="H722" t="n">
        <v>0</v>
      </c>
      <c r="I722" t="n">
        <v>0</v>
      </c>
      <c r="J722" t="n">
        <v>0</v>
      </c>
      <c r="K722" t="n">
        <v>0</v>
      </c>
      <c r="L722" t="n">
        <v>0</v>
      </c>
      <c r="M722" t="n">
        <v>0</v>
      </c>
      <c r="N722" t="n">
        <v>0</v>
      </c>
      <c r="O722" t="n">
        <v>0</v>
      </c>
      <c r="P722" t="n">
        <v>0</v>
      </c>
      <c r="Q722" t="n">
        <v>0</v>
      </c>
      <c r="R722" s="2" t="inlineStr"/>
    </row>
    <row r="723" ht="15" customHeight="1">
      <c r="A723" t="inlineStr">
        <is>
          <t>A 18109-2025</t>
        </is>
      </c>
      <c r="B723" s="1" t="n">
        <v>45761</v>
      </c>
      <c r="C723" s="1" t="n">
        <v>46084</v>
      </c>
      <c r="D723" t="inlineStr">
        <is>
          <t>SKÅNE LÄN</t>
        </is>
      </c>
      <c r="E723" t="inlineStr">
        <is>
          <t>HÄSSLEHOLM</t>
        </is>
      </c>
      <c r="G723" t="n">
        <v>1.4</v>
      </c>
      <c r="H723" t="n">
        <v>0</v>
      </c>
      <c r="I723" t="n">
        <v>0</v>
      </c>
      <c r="J723" t="n">
        <v>0</v>
      </c>
      <c r="K723" t="n">
        <v>0</v>
      </c>
      <c r="L723" t="n">
        <v>0</v>
      </c>
      <c r="M723" t="n">
        <v>0</v>
      </c>
      <c r="N723" t="n">
        <v>0</v>
      </c>
      <c r="O723" t="n">
        <v>0</v>
      </c>
      <c r="P723" t="n">
        <v>0</v>
      </c>
      <c r="Q723" t="n">
        <v>0</v>
      </c>
      <c r="R723" s="2" t="inlineStr"/>
    </row>
    <row r="724" ht="15" customHeight="1">
      <c r="A724" t="inlineStr">
        <is>
          <t>A 57272-2023</t>
        </is>
      </c>
      <c r="B724" s="1" t="n">
        <v>45245</v>
      </c>
      <c r="C724" s="1" t="n">
        <v>46084</v>
      </c>
      <c r="D724" t="inlineStr">
        <is>
          <t>SKÅNE LÄN</t>
        </is>
      </c>
      <c r="E724" t="inlineStr">
        <is>
          <t>HÄSSLEHOLM</t>
        </is>
      </c>
      <c r="G724" t="n">
        <v>2.3</v>
      </c>
      <c r="H724" t="n">
        <v>0</v>
      </c>
      <c r="I724" t="n">
        <v>0</v>
      </c>
      <c r="J724" t="n">
        <v>0</v>
      </c>
      <c r="K724" t="n">
        <v>0</v>
      </c>
      <c r="L724" t="n">
        <v>0</v>
      </c>
      <c r="M724" t="n">
        <v>0</v>
      </c>
      <c r="N724" t="n">
        <v>0</v>
      </c>
      <c r="O724" t="n">
        <v>0</v>
      </c>
      <c r="P724" t="n">
        <v>0</v>
      </c>
      <c r="Q724" t="n">
        <v>0</v>
      </c>
      <c r="R724" s="2" t="inlineStr"/>
    </row>
    <row r="725" ht="15" customHeight="1">
      <c r="A725" t="inlineStr">
        <is>
          <t>A 27297-2023</t>
        </is>
      </c>
      <c r="B725" s="1" t="n">
        <v>45096</v>
      </c>
      <c r="C725" s="1" t="n">
        <v>46084</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32834-2024</t>
        </is>
      </c>
      <c r="B726" s="1" t="n">
        <v>45516.6025</v>
      </c>
      <c r="C726" s="1" t="n">
        <v>46084</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13856-2025</t>
        </is>
      </c>
      <c r="B727" s="1" t="n">
        <v>45737.57289351852</v>
      </c>
      <c r="C727" s="1" t="n">
        <v>46084</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9397-2025</t>
        </is>
      </c>
      <c r="B728" s="1" t="n">
        <v>45715.37361111111</v>
      </c>
      <c r="C728" s="1" t="n">
        <v>46084</v>
      </c>
      <c r="D728" t="inlineStr">
        <is>
          <t>SKÅNE LÄN</t>
        </is>
      </c>
      <c r="E728" t="inlineStr">
        <is>
          <t>HÄSSLEHOLM</t>
        </is>
      </c>
      <c r="G728" t="n">
        <v>1.2</v>
      </c>
      <c r="H728" t="n">
        <v>0</v>
      </c>
      <c r="I728" t="n">
        <v>0</v>
      </c>
      <c r="J728" t="n">
        <v>0</v>
      </c>
      <c r="K728" t="n">
        <v>0</v>
      </c>
      <c r="L728" t="n">
        <v>0</v>
      </c>
      <c r="M728" t="n">
        <v>0</v>
      </c>
      <c r="N728" t="n">
        <v>0</v>
      </c>
      <c r="O728" t="n">
        <v>0</v>
      </c>
      <c r="P728" t="n">
        <v>0</v>
      </c>
      <c r="Q728" t="n">
        <v>0</v>
      </c>
      <c r="R728" s="2" t="inlineStr"/>
    </row>
    <row r="729" ht="15" customHeight="1">
      <c r="A729" t="inlineStr">
        <is>
          <t>A 54668-2025</t>
        </is>
      </c>
      <c r="B729" s="1" t="n">
        <v>45966.40803240741</v>
      </c>
      <c r="C729" s="1" t="n">
        <v>46084</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9747-2024</t>
        </is>
      </c>
      <c r="B730" s="1" t="n">
        <v>45362</v>
      </c>
      <c r="C730" s="1" t="n">
        <v>46084</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59109-2023</t>
        </is>
      </c>
      <c r="B731" s="1" t="n">
        <v>45253.30819444444</v>
      </c>
      <c r="C731" s="1" t="n">
        <v>46084</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49384-2021</t>
        </is>
      </c>
      <c r="B732" s="1" t="n">
        <v>44454</v>
      </c>
      <c r="C732" s="1" t="n">
        <v>46084</v>
      </c>
      <c r="D732" t="inlineStr">
        <is>
          <t>SKÅNE LÄN</t>
        </is>
      </c>
      <c r="E732" t="inlineStr">
        <is>
          <t>HÄSSLEHOLM</t>
        </is>
      </c>
      <c r="G732" t="n">
        <v>2.6</v>
      </c>
      <c r="H732" t="n">
        <v>0</v>
      </c>
      <c r="I732" t="n">
        <v>0</v>
      </c>
      <c r="J732" t="n">
        <v>0</v>
      </c>
      <c r="K732" t="n">
        <v>0</v>
      </c>
      <c r="L732" t="n">
        <v>0</v>
      </c>
      <c r="M732" t="n">
        <v>0</v>
      </c>
      <c r="N732" t="n">
        <v>0</v>
      </c>
      <c r="O732" t="n">
        <v>0</v>
      </c>
      <c r="P732" t="n">
        <v>0</v>
      </c>
      <c r="Q732" t="n">
        <v>0</v>
      </c>
      <c r="R732" s="2" t="inlineStr"/>
    </row>
    <row r="733" ht="15" customHeight="1">
      <c r="A733" t="inlineStr">
        <is>
          <t>A 54462-2022</t>
        </is>
      </c>
      <c r="B733" s="1" t="n">
        <v>44882</v>
      </c>
      <c r="C733" s="1" t="n">
        <v>46084</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25611-2024</t>
        </is>
      </c>
      <c r="B734" s="1" t="n">
        <v>45463</v>
      </c>
      <c r="C734" s="1" t="n">
        <v>46084</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55268-2025</t>
        </is>
      </c>
      <c r="B735" s="1" t="n">
        <v>45968.6715625</v>
      </c>
      <c r="C735" s="1" t="n">
        <v>46084</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7094-2023</t>
        </is>
      </c>
      <c r="B736" s="1" t="n">
        <v>44970.36958333333</v>
      </c>
      <c r="C736" s="1" t="n">
        <v>46084</v>
      </c>
      <c r="D736" t="inlineStr">
        <is>
          <t>SKÅNE LÄN</t>
        </is>
      </c>
      <c r="E736" t="inlineStr">
        <is>
          <t>HÄSSLEHOLM</t>
        </is>
      </c>
      <c r="G736" t="n">
        <v>3.6</v>
      </c>
      <c r="H736" t="n">
        <v>0</v>
      </c>
      <c r="I736" t="n">
        <v>0</v>
      </c>
      <c r="J736" t="n">
        <v>0</v>
      </c>
      <c r="K736" t="n">
        <v>0</v>
      </c>
      <c r="L736" t="n">
        <v>0</v>
      </c>
      <c r="M736" t="n">
        <v>0</v>
      </c>
      <c r="N736" t="n">
        <v>0</v>
      </c>
      <c r="O736" t="n">
        <v>0</v>
      </c>
      <c r="P736" t="n">
        <v>0</v>
      </c>
      <c r="Q736" t="n">
        <v>0</v>
      </c>
      <c r="R736" s="2" t="inlineStr"/>
    </row>
    <row r="737" ht="15" customHeight="1">
      <c r="A737" t="inlineStr">
        <is>
          <t>A 48889-2024</t>
        </is>
      </c>
      <c r="B737" s="1" t="n">
        <v>45594.33754629629</v>
      </c>
      <c r="C737" s="1" t="n">
        <v>46084</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55549-2025</t>
        </is>
      </c>
      <c r="B738" s="1" t="n">
        <v>45971.63805555556</v>
      </c>
      <c r="C738" s="1" t="n">
        <v>46084</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8263-2025</t>
        </is>
      </c>
      <c r="B739" s="1" t="n">
        <v>45708.50398148148</v>
      </c>
      <c r="C739" s="1" t="n">
        <v>46084</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32100-2024</t>
        </is>
      </c>
      <c r="B740" s="1" t="n">
        <v>45511.41451388889</v>
      </c>
      <c r="C740" s="1" t="n">
        <v>46084</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10220-2023</t>
        </is>
      </c>
      <c r="B741" s="1" t="n">
        <v>44986.60916666667</v>
      </c>
      <c r="C741" s="1" t="n">
        <v>46084</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29275-2023</t>
        </is>
      </c>
      <c r="B742" s="1" t="n">
        <v>45105</v>
      </c>
      <c r="C742" s="1" t="n">
        <v>46084</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13018-2024</t>
        </is>
      </c>
      <c r="B743" s="1" t="n">
        <v>45385.58274305556</v>
      </c>
      <c r="C743" s="1" t="n">
        <v>46084</v>
      </c>
      <c r="D743" t="inlineStr">
        <is>
          <t>SKÅNE LÄN</t>
        </is>
      </c>
      <c r="E743" t="inlineStr">
        <is>
          <t>HÄSSLEHOLM</t>
        </is>
      </c>
      <c r="G743" t="n">
        <v>4.8</v>
      </c>
      <c r="H743" t="n">
        <v>0</v>
      </c>
      <c r="I743" t="n">
        <v>0</v>
      </c>
      <c r="J743" t="n">
        <v>0</v>
      </c>
      <c r="K743" t="n">
        <v>0</v>
      </c>
      <c r="L743" t="n">
        <v>0</v>
      </c>
      <c r="M743" t="n">
        <v>0</v>
      </c>
      <c r="N743" t="n">
        <v>0</v>
      </c>
      <c r="O743" t="n">
        <v>0</v>
      </c>
      <c r="P743" t="n">
        <v>0</v>
      </c>
      <c r="Q743" t="n">
        <v>0</v>
      </c>
      <c r="R743" s="2" t="inlineStr"/>
    </row>
    <row r="744" ht="15" customHeight="1">
      <c r="A744" t="inlineStr">
        <is>
          <t>A 35810-2023</t>
        </is>
      </c>
      <c r="B744" s="1" t="n">
        <v>45148.44046296296</v>
      </c>
      <c r="C744" s="1" t="n">
        <v>46084</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11260-2021</t>
        </is>
      </c>
      <c r="B745" s="1" t="n">
        <v>44263</v>
      </c>
      <c r="C745" s="1" t="n">
        <v>46084</v>
      </c>
      <c r="D745" t="inlineStr">
        <is>
          <t>SKÅNE LÄN</t>
        </is>
      </c>
      <c r="E745" t="inlineStr">
        <is>
          <t>HÄSSLEHOLM</t>
        </is>
      </c>
      <c r="G745" t="n">
        <v>5.4</v>
      </c>
      <c r="H745" t="n">
        <v>0</v>
      </c>
      <c r="I745" t="n">
        <v>0</v>
      </c>
      <c r="J745" t="n">
        <v>0</v>
      </c>
      <c r="K745" t="n">
        <v>0</v>
      </c>
      <c r="L745" t="n">
        <v>0</v>
      </c>
      <c r="M745" t="n">
        <v>0</v>
      </c>
      <c r="N745" t="n">
        <v>0</v>
      </c>
      <c r="O745" t="n">
        <v>0</v>
      </c>
      <c r="P745" t="n">
        <v>0</v>
      </c>
      <c r="Q745" t="n">
        <v>0</v>
      </c>
      <c r="R745" s="2" t="inlineStr"/>
    </row>
    <row r="746" ht="15" customHeight="1">
      <c r="A746" t="inlineStr">
        <is>
          <t>A 35833-2023</t>
        </is>
      </c>
      <c r="B746" s="1" t="n">
        <v>45148</v>
      </c>
      <c r="C746" s="1" t="n">
        <v>46084</v>
      </c>
      <c r="D746" t="inlineStr">
        <is>
          <t>SKÅNE LÄN</t>
        </is>
      </c>
      <c r="E746" t="inlineStr">
        <is>
          <t>HÄSSLEHOLM</t>
        </is>
      </c>
      <c r="F746" t="inlineStr">
        <is>
          <t>Kommuner</t>
        </is>
      </c>
      <c r="G746" t="n">
        <v>2</v>
      </c>
      <c r="H746" t="n">
        <v>0</v>
      </c>
      <c r="I746" t="n">
        <v>0</v>
      </c>
      <c r="J746" t="n">
        <v>0</v>
      </c>
      <c r="K746" t="n">
        <v>0</v>
      </c>
      <c r="L746" t="n">
        <v>0</v>
      </c>
      <c r="M746" t="n">
        <v>0</v>
      </c>
      <c r="N746" t="n">
        <v>0</v>
      </c>
      <c r="O746" t="n">
        <v>0</v>
      </c>
      <c r="P746" t="n">
        <v>0</v>
      </c>
      <c r="Q746" t="n">
        <v>0</v>
      </c>
      <c r="R746" s="2" t="inlineStr"/>
    </row>
    <row r="747" ht="15" customHeight="1">
      <c r="A747" t="inlineStr">
        <is>
          <t>A 55458-2025</t>
        </is>
      </c>
      <c r="B747" s="1" t="n">
        <v>45971</v>
      </c>
      <c r="C747" s="1" t="n">
        <v>46084</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59556-2023</t>
        </is>
      </c>
      <c r="B748" s="1" t="n">
        <v>45254.56313657408</v>
      </c>
      <c r="C748" s="1" t="n">
        <v>46084</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53077-2022</t>
        </is>
      </c>
      <c r="B749" s="1" t="n">
        <v>44873</v>
      </c>
      <c r="C749" s="1" t="n">
        <v>46084</v>
      </c>
      <c r="D749" t="inlineStr">
        <is>
          <t>SKÅNE LÄN</t>
        </is>
      </c>
      <c r="E749" t="inlineStr">
        <is>
          <t>HÄSSLEHOLM</t>
        </is>
      </c>
      <c r="G749" t="n">
        <v>3</v>
      </c>
      <c r="H749" t="n">
        <v>0</v>
      </c>
      <c r="I749" t="n">
        <v>0</v>
      </c>
      <c r="J749" t="n">
        <v>0</v>
      </c>
      <c r="K749" t="n">
        <v>0</v>
      </c>
      <c r="L749" t="n">
        <v>0</v>
      </c>
      <c r="M749" t="n">
        <v>0</v>
      </c>
      <c r="N749" t="n">
        <v>0</v>
      </c>
      <c r="O749" t="n">
        <v>0</v>
      </c>
      <c r="P749" t="n">
        <v>0</v>
      </c>
      <c r="Q749" t="n">
        <v>0</v>
      </c>
      <c r="R749" s="2" t="inlineStr"/>
    </row>
    <row r="750" ht="15" customHeight="1">
      <c r="A750" t="inlineStr">
        <is>
          <t>A 22595-2024</t>
        </is>
      </c>
      <c r="B750" s="1" t="n">
        <v>45447.61053240741</v>
      </c>
      <c r="C750" s="1" t="n">
        <v>46084</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60704-2023</t>
        </is>
      </c>
      <c r="B751" s="1" t="n">
        <v>45260.51340277777</v>
      </c>
      <c r="C751" s="1" t="n">
        <v>46084</v>
      </c>
      <c r="D751" t="inlineStr">
        <is>
          <t>SKÅNE LÄN</t>
        </is>
      </c>
      <c r="E751" t="inlineStr">
        <is>
          <t>HÄSSLEHOLM</t>
        </is>
      </c>
      <c r="G751" t="n">
        <v>2.1</v>
      </c>
      <c r="H751" t="n">
        <v>0</v>
      </c>
      <c r="I751" t="n">
        <v>0</v>
      </c>
      <c r="J751" t="n">
        <v>0</v>
      </c>
      <c r="K751" t="n">
        <v>0</v>
      </c>
      <c r="L751" t="n">
        <v>0</v>
      </c>
      <c r="M751" t="n">
        <v>0</v>
      </c>
      <c r="N751" t="n">
        <v>0</v>
      </c>
      <c r="O751" t="n">
        <v>0</v>
      </c>
      <c r="P751" t="n">
        <v>0</v>
      </c>
      <c r="Q751" t="n">
        <v>0</v>
      </c>
      <c r="R751" s="2" t="inlineStr"/>
    </row>
    <row r="752" ht="15" customHeight="1">
      <c r="A752" t="inlineStr">
        <is>
          <t>A 55455-2025</t>
        </is>
      </c>
      <c r="B752" s="1" t="n">
        <v>45971</v>
      </c>
      <c r="C752" s="1" t="n">
        <v>46084</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8538-2026</t>
        </is>
      </c>
      <c r="B753" s="1" t="n">
        <v>46064</v>
      </c>
      <c r="C753" s="1" t="n">
        <v>46084</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20279-2025</t>
        </is>
      </c>
      <c r="B754" s="1" t="n">
        <v>45774.38643518519</v>
      </c>
      <c r="C754" s="1" t="n">
        <v>46084</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59431-2023</t>
        </is>
      </c>
      <c r="B755" s="1" t="n">
        <v>45254.29207175926</v>
      </c>
      <c r="C755" s="1" t="n">
        <v>46084</v>
      </c>
      <c r="D755" t="inlineStr">
        <is>
          <t>SKÅNE LÄN</t>
        </is>
      </c>
      <c r="E755" t="inlineStr">
        <is>
          <t>HÄSSLEHOLM</t>
        </is>
      </c>
      <c r="G755" t="n">
        <v>1.7</v>
      </c>
      <c r="H755" t="n">
        <v>0</v>
      </c>
      <c r="I755" t="n">
        <v>0</v>
      </c>
      <c r="J755" t="n">
        <v>0</v>
      </c>
      <c r="K755" t="n">
        <v>0</v>
      </c>
      <c r="L755" t="n">
        <v>0</v>
      </c>
      <c r="M755" t="n">
        <v>0</v>
      </c>
      <c r="N755" t="n">
        <v>0</v>
      </c>
      <c r="O755" t="n">
        <v>0</v>
      </c>
      <c r="P755" t="n">
        <v>0</v>
      </c>
      <c r="Q755" t="n">
        <v>0</v>
      </c>
      <c r="R755" s="2" t="inlineStr"/>
    </row>
    <row r="756" ht="15" customHeight="1">
      <c r="A756" t="inlineStr">
        <is>
          <t>A 59433-2023</t>
        </is>
      </c>
      <c r="B756" s="1" t="n">
        <v>45254.29768518519</v>
      </c>
      <c r="C756" s="1" t="n">
        <v>46084</v>
      </c>
      <c r="D756" t="inlineStr">
        <is>
          <t>SKÅNE LÄN</t>
        </is>
      </c>
      <c r="E756" t="inlineStr">
        <is>
          <t>HÄSSLEHOLM</t>
        </is>
      </c>
      <c r="G756" t="n">
        <v>3.1</v>
      </c>
      <c r="H756" t="n">
        <v>0</v>
      </c>
      <c r="I756" t="n">
        <v>0</v>
      </c>
      <c r="J756" t="n">
        <v>0</v>
      </c>
      <c r="K756" t="n">
        <v>0</v>
      </c>
      <c r="L756" t="n">
        <v>0</v>
      </c>
      <c r="M756" t="n">
        <v>0</v>
      </c>
      <c r="N756" t="n">
        <v>0</v>
      </c>
      <c r="O756" t="n">
        <v>0</v>
      </c>
      <c r="P756" t="n">
        <v>0</v>
      </c>
      <c r="Q756" t="n">
        <v>0</v>
      </c>
      <c r="R756" s="2" t="inlineStr"/>
    </row>
    <row r="757" ht="15" customHeight="1">
      <c r="A757" t="inlineStr">
        <is>
          <t>A 55416-2021</t>
        </is>
      </c>
      <c r="B757" s="1" t="n">
        <v>44475</v>
      </c>
      <c r="C757" s="1" t="n">
        <v>46084</v>
      </c>
      <c r="D757" t="inlineStr">
        <is>
          <t>SKÅNE LÄN</t>
        </is>
      </c>
      <c r="E757" t="inlineStr">
        <is>
          <t>HÄSSLEHOLM</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8539-2026</t>
        </is>
      </c>
      <c r="B758" s="1" t="n">
        <v>46064</v>
      </c>
      <c r="C758" s="1" t="n">
        <v>46084</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47394-2025</t>
        </is>
      </c>
      <c r="B759" s="1" t="n">
        <v>45930</v>
      </c>
      <c r="C759" s="1" t="n">
        <v>46084</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4579-2025</t>
        </is>
      </c>
      <c r="B760" s="1" t="n">
        <v>45687.5009375</v>
      </c>
      <c r="C760" s="1" t="n">
        <v>46084</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21141-2024</t>
        </is>
      </c>
      <c r="B761" s="1" t="n">
        <v>45440.39012731481</v>
      </c>
      <c r="C761" s="1" t="n">
        <v>46084</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49379-2021</t>
        </is>
      </c>
      <c r="B762" s="1" t="n">
        <v>44454</v>
      </c>
      <c r="C762" s="1" t="n">
        <v>46084</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56667-2025</t>
        </is>
      </c>
      <c r="B763" s="1" t="n">
        <v>45975.68508101852</v>
      </c>
      <c r="C763" s="1" t="n">
        <v>46084</v>
      </c>
      <c r="D763" t="inlineStr">
        <is>
          <t>SKÅNE LÄN</t>
        </is>
      </c>
      <c r="E763" t="inlineStr">
        <is>
          <t>HÄSSLEHOLM</t>
        </is>
      </c>
      <c r="G763" t="n">
        <v>4.4</v>
      </c>
      <c r="H763" t="n">
        <v>0</v>
      </c>
      <c r="I763" t="n">
        <v>0</v>
      </c>
      <c r="J763" t="n">
        <v>0</v>
      </c>
      <c r="K763" t="n">
        <v>0</v>
      </c>
      <c r="L763" t="n">
        <v>0</v>
      </c>
      <c r="M763" t="n">
        <v>0</v>
      </c>
      <c r="N763" t="n">
        <v>0</v>
      </c>
      <c r="O763" t="n">
        <v>0</v>
      </c>
      <c r="P763" t="n">
        <v>0</v>
      </c>
      <c r="Q763" t="n">
        <v>0</v>
      </c>
      <c r="R763" s="2" t="inlineStr"/>
    </row>
    <row r="764" ht="15" customHeight="1">
      <c r="A764" t="inlineStr">
        <is>
          <t>A 36240-2023</t>
        </is>
      </c>
      <c r="B764" s="1" t="n">
        <v>45150.89295138889</v>
      </c>
      <c r="C764" s="1" t="n">
        <v>46084</v>
      </c>
      <c r="D764" t="inlineStr">
        <is>
          <t>SKÅNE LÄN</t>
        </is>
      </c>
      <c r="E764" t="inlineStr">
        <is>
          <t>HÄSSLEHOLM</t>
        </is>
      </c>
      <c r="G764" t="n">
        <v>1.5</v>
      </c>
      <c r="H764" t="n">
        <v>0</v>
      </c>
      <c r="I764" t="n">
        <v>0</v>
      </c>
      <c r="J764" t="n">
        <v>0</v>
      </c>
      <c r="K764" t="n">
        <v>0</v>
      </c>
      <c r="L764" t="n">
        <v>0</v>
      </c>
      <c r="M764" t="n">
        <v>0</v>
      </c>
      <c r="N764" t="n">
        <v>0</v>
      </c>
      <c r="O764" t="n">
        <v>0</v>
      </c>
      <c r="P764" t="n">
        <v>0</v>
      </c>
      <c r="Q764" t="n">
        <v>0</v>
      </c>
      <c r="R764" s="2" t="inlineStr"/>
    </row>
    <row r="765" ht="15" customHeight="1">
      <c r="A765" t="inlineStr">
        <is>
          <t>A 19744-2023</t>
        </is>
      </c>
      <c r="B765" s="1" t="n">
        <v>45051</v>
      </c>
      <c r="C765" s="1" t="n">
        <v>46084</v>
      </c>
      <c r="D765" t="inlineStr">
        <is>
          <t>SKÅNE LÄN</t>
        </is>
      </c>
      <c r="E765" t="inlineStr">
        <is>
          <t>HÄSSLEHOLM</t>
        </is>
      </c>
      <c r="G765" t="n">
        <v>0.4</v>
      </c>
      <c r="H765" t="n">
        <v>0</v>
      </c>
      <c r="I765" t="n">
        <v>0</v>
      </c>
      <c r="J765" t="n">
        <v>0</v>
      </c>
      <c r="K765" t="n">
        <v>0</v>
      </c>
      <c r="L765" t="n">
        <v>0</v>
      </c>
      <c r="M765" t="n">
        <v>0</v>
      </c>
      <c r="N765" t="n">
        <v>0</v>
      </c>
      <c r="O765" t="n">
        <v>0</v>
      </c>
      <c r="P765" t="n">
        <v>0</v>
      </c>
      <c r="Q765" t="n">
        <v>0</v>
      </c>
      <c r="R765" s="2" t="inlineStr"/>
    </row>
    <row r="766" ht="15" customHeight="1">
      <c r="A766" t="inlineStr">
        <is>
          <t>A 14655-2025</t>
        </is>
      </c>
      <c r="B766" s="1" t="n">
        <v>45742.5072337963</v>
      </c>
      <c r="C766" s="1" t="n">
        <v>46084</v>
      </c>
      <c r="D766" t="inlineStr">
        <is>
          <t>SKÅNE LÄN</t>
        </is>
      </c>
      <c r="E766" t="inlineStr">
        <is>
          <t>HÄSSLEHOLM</t>
        </is>
      </c>
      <c r="G766" t="n">
        <v>4.5</v>
      </c>
      <c r="H766" t="n">
        <v>0</v>
      </c>
      <c r="I766" t="n">
        <v>0</v>
      </c>
      <c r="J766" t="n">
        <v>0</v>
      </c>
      <c r="K766" t="n">
        <v>0</v>
      </c>
      <c r="L766" t="n">
        <v>0</v>
      </c>
      <c r="M766" t="n">
        <v>0</v>
      </c>
      <c r="N766" t="n">
        <v>0</v>
      </c>
      <c r="O766" t="n">
        <v>0</v>
      </c>
      <c r="P766" t="n">
        <v>0</v>
      </c>
      <c r="Q766" t="n">
        <v>0</v>
      </c>
      <c r="R766" s="2" t="inlineStr"/>
    </row>
    <row r="767" ht="15" customHeight="1">
      <c r="A767" t="inlineStr">
        <is>
          <t>A 13851-2025</t>
        </is>
      </c>
      <c r="B767" s="1" t="n">
        <v>45737.56777777777</v>
      </c>
      <c r="C767" s="1" t="n">
        <v>46084</v>
      </c>
      <c r="D767" t="inlineStr">
        <is>
          <t>SKÅNE LÄN</t>
        </is>
      </c>
      <c r="E767" t="inlineStr">
        <is>
          <t>HÄSSLEHOLM</t>
        </is>
      </c>
      <c r="G767" t="n">
        <v>3</v>
      </c>
      <c r="H767" t="n">
        <v>0</v>
      </c>
      <c r="I767" t="n">
        <v>0</v>
      </c>
      <c r="J767" t="n">
        <v>0</v>
      </c>
      <c r="K767" t="n">
        <v>0</v>
      </c>
      <c r="L767" t="n">
        <v>0</v>
      </c>
      <c r="M767" t="n">
        <v>0</v>
      </c>
      <c r="N767" t="n">
        <v>0</v>
      </c>
      <c r="O767" t="n">
        <v>0</v>
      </c>
      <c r="P767" t="n">
        <v>0</v>
      </c>
      <c r="Q767" t="n">
        <v>0</v>
      </c>
      <c r="R767" s="2" t="inlineStr"/>
    </row>
    <row r="768" ht="15" customHeight="1">
      <c r="A768" t="inlineStr">
        <is>
          <t>A 14926-2024</t>
        </is>
      </c>
      <c r="B768" s="1" t="n">
        <v>45398</v>
      </c>
      <c r="C768" s="1" t="n">
        <v>46084</v>
      </c>
      <c r="D768" t="inlineStr">
        <is>
          <t>SKÅNE LÄN</t>
        </is>
      </c>
      <c r="E768" t="inlineStr">
        <is>
          <t>HÄSSLEHOLM</t>
        </is>
      </c>
      <c r="G768" t="n">
        <v>3.4</v>
      </c>
      <c r="H768" t="n">
        <v>0</v>
      </c>
      <c r="I768" t="n">
        <v>0</v>
      </c>
      <c r="J768" t="n">
        <v>0</v>
      </c>
      <c r="K768" t="n">
        <v>0</v>
      </c>
      <c r="L768" t="n">
        <v>0</v>
      </c>
      <c r="M768" t="n">
        <v>0</v>
      </c>
      <c r="N768" t="n">
        <v>0</v>
      </c>
      <c r="O768" t="n">
        <v>0</v>
      </c>
      <c r="P768" t="n">
        <v>0</v>
      </c>
      <c r="Q768" t="n">
        <v>0</v>
      </c>
      <c r="R768" s="2" t="inlineStr"/>
    </row>
    <row r="769" ht="15" customHeight="1">
      <c r="A769" t="inlineStr">
        <is>
          <t>A 56797-2025</t>
        </is>
      </c>
      <c r="B769" s="1" t="n">
        <v>45978.43273148148</v>
      </c>
      <c r="C769" s="1" t="n">
        <v>46084</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12469-2023</t>
        </is>
      </c>
      <c r="B770" s="1" t="n">
        <v>44999.62109953703</v>
      </c>
      <c r="C770" s="1" t="n">
        <v>46084</v>
      </c>
      <c r="D770" t="inlineStr">
        <is>
          <t>SKÅNE LÄN</t>
        </is>
      </c>
      <c r="E770" t="inlineStr">
        <is>
          <t>HÄSSLEHOLM</t>
        </is>
      </c>
      <c r="G770" t="n">
        <v>2.6</v>
      </c>
      <c r="H770" t="n">
        <v>0</v>
      </c>
      <c r="I770" t="n">
        <v>0</v>
      </c>
      <c r="J770" t="n">
        <v>0</v>
      </c>
      <c r="K770" t="n">
        <v>0</v>
      </c>
      <c r="L770" t="n">
        <v>0</v>
      </c>
      <c r="M770" t="n">
        <v>0</v>
      </c>
      <c r="N770" t="n">
        <v>0</v>
      </c>
      <c r="O770" t="n">
        <v>0</v>
      </c>
      <c r="P770" t="n">
        <v>0</v>
      </c>
      <c r="Q770" t="n">
        <v>0</v>
      </c>
      <c r="R770" s="2" t="inlineStr"/>
    </row>
    <row r="771" ht="15" customHeight="1">
      <c r="A771" t="inlineStr">
        <is>
          <t>A 60843-2022</t>
        </is>
      </c>
      <c r="B771" s="1" t="n">
        <v>44914</v>
      </c>
      <c r="C771" s="1" t="n">
        <v>46084</v>
      </c>
      <c r="D771" t="inlineStr">
        <is>
          <t>SKÅNE LÄN</t>
        </is>
      </c>
      <c r="E771" t="inlineStr">
        <is>
          <t>HÄSSLEHOLM</t>
        </is>
      </c>
      <c r="G771" t="n">
        <v>2.2</v>
      </c>
      <c r="H771" t="n">
        <v>0</v>
      </c>
      <c r="I771" t="n">
        <v>0</v>
      </c>
      <c r="J771" t="n">
        <v>0</v>
      </c>
      <c r="K771" t="n">
        <v>0</v>
      </c>
      <c r="L771" t="n">
        <v>0</v>
      </c>
      <c r="M771" t="n">
        <v>0</v>
      </c>
      <c r="N771" t="n">
        <v>0</v>
      </c>
      <c r="O771" t="n">
        <v>0</v>
      </c>
      <c r="P771" t="n">
        <v>0</v>
      </c>
      <c r="Q771" t="n">
        <v>0</v>
      </c>
      <c r="R771" s="2" t="inlineStr"/>
    </row>
    <row r="772" ht="15" customHeight="1">
      <c r="A772" t="inlineStr">
        <is>
          <t>A 56798-2025</t>
        </is>
      </c>
      <c r="B772" s="1" t="n">
        <v>45978.43378472222</v>
      </c>
      <c r="C772" s="1" t="n">
        <v>46084</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8674-2026</t>
        </is>
      </c>
      <c r="B773" s="1" t="n">
        <v>46066.4059837963</v>
      </c>
      <c r="C773" s="1" t="n">
        <v>46084</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45400-2022</t>
        </is>
      </c>
      <c r="B774" s="1" t="n">
        <v>44844.713125</v>
      </c>
      <c r="C774" s="1" t="n">
        <v>46084</v>
      </c>
      <c r="D774" t="inlineStr">
        <is>
          <t>SKÅNE LÄN</t>
        </is>
      </c>
      <c r="E774" t="inlineStr">
        <is>
          <t>HÄSSLEHOLM</t>
        </is>
      </c>
      <c r="G774" t="n">
        <v>1.6</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46084</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56767-2025</t>
        </is>
      </c>
      <c r="B776" s="1" t="n">
        <v>45978.38178240741</v>
      </c>
      <c r="C776" s="1" t="n">
        <v>46084</v>
      </c>
      <c r="D776" t="inlineStr">
        <is>
          <t>SKÅNE LÄN</t>
        </is>
      </c>
      <c r="E776" t="inlineStr">
        <is>
          <t>HÄSSLEHOLM</t>
        </is>
      </c>
      <c r="G776" t="n">
        <v>1.7</v>
      </c>
      <c r="H776" t="n">
        <v>0</v>
      </c>
      <c r="I776" t="n">
        <v>0</v>
      </c>
      <c r="J776" t="n">
        <v>0</v>
      </c>
      <c r="K776" t="n">
        <v>0</v>
      </c>
      <c r="L776" t="n">
        <v>0</v>
      </c>
      <c r="M776" t="n">
        <v>0</v>
      </c>
      <c r="N776" t="n">
        <v>0</v>
      </c>
      <c r="O776" t="n">
        <v>0</v>
      </c>
      <c r="P776" t="n">
        <v>0</v>
      </c>
      <c r="Q776" t="n">
        <v>0</v>
      </c>
      <c r="R776" s="2" t="inlineStr"/>
    </row>
    <row r="777" ht="15" customHeight="1">
      <c r="A777" t="inlineStr">
        <is>
          <t>A 56769-2025</t>
        </is>
      </c>
      <c r="B777" s="1" t="n">
        <v>45978.38429398148</v>
      </c>
      <c r="C777" s="1" t="n">
        <v>46084</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56794-2025</t>
        </is>
      </c>
      <c r="B778" s="1" t="n">
        <v>45978.43039351852</v>
      </c>
      <c r="C778" s="1" t="n">
        <v>46084</v>
      </c>
      <c r="D778" t="inlineStr">
        <is>
          <t>SKÅNE LÄN</t>
        </is>
      </c>
      <c r="E778" t="inlineStr">
        <is>
          <t>HÄSSLEHOLM</t>
        </is>
      </c>
      <c r="G778" t="n">
        <v>2.3</v>
      </c>
      <c r="H778" t="n">
        <v>0</v>
      </c>
      <c r="I778" t="n">
        <v>0</v>
      </c>
      <c r="J778" t="n">
        <v>0</v>
      </c>
      <c r="K778" t="n">
        <v>0</v>
      </c>
      <c r="L778" t="n">
        <v>0</v>
      </c>
      <c r="M778" t="n">
        <v>0</v>
      </c>
      <c r="N778" t="n">
        <v>0</v>
      </c>
      <c r="O778" t="n">
        <v>0</v>
      </c>
      <c r="P778" t="n">
        <v>0</v>
      </c>
      <c r="Q778" t="n">
        <v>0</v>
      </c>
      <c r="R778" s="2" t="inlineStr"/>
    </row>
    <row r="779" ht="15" customHeight="1">
      <c r="A779" t="inlineStr">
        <is>
          <t>A 54807-2025</t>
        </is>
      </c>
      <c r="B779" s="1" t="n">
        <v>45966</v>
      </c>
      <c r="C779" s="1" t="n">
        <v>46084</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13961-2023</t>
        </is>
      </c>
      <c r="B780" s="1" t="n">
        <v>45008</v>
      </c>
      <c r="C780" s="1" t="n">
        <v>46084</v>
      </c>
      <c r="D780" t="inlineStr">
        <is>
          <t>SKÅNE LÄN</t>
        </is>
      </c>
      <c r="E780" t="inlineStr">
        <is>
          <t>HÄSSLEHOLM</t>
        </is>
      </c>
      <c r="G780" t="n">
        <v>3.8</v>
      </c>
      <c r="H780" t="n">
        <v>0</v>
      </c>
      <c r="I780" t="n">
        <v>0</v>
      </c>
      <c r="J780" t="n">
        <v>0</v>
      </c>
      <c r="K780" t="n">
        <v>0</v>
      </c>
      <c r="L780" t="n">
        <v>0</v>
      </c>
      <c r="M780" t="n">
        <v>0</v>
      </c>
      <c r="N780" t="n">
        <v>0</v>
      </c>
      <c r="O780" t="n">
        <v>0</v>
      </c>
      <c r="P780" t="n">
        <v>0</v>
      </c>
      <c r="Q780" t="n">
        <v>0</v>
      </c>
      <c r="R780" s="2" t="inlineStr"/>
    </row>
    <row r="781" ht="15" customHeight="1">
      <c r="A781" t="inlineStr">
        <is>
          <t>A 7581-2023</t>
        </is>
      </c>
      <c r="B781" s="1" t="n">
        <v>44972.39556712963</v>
      </c>
      <c r="C781" s="1" t="n">
        <v>46084</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48191-2021</t>
        </is>
      </c>
      <c r="B782" s="1" t="n">
        <v>44449</v>
      </c>
      <c r="C782" s="1" t="n">
        <v>46084</v>
      </c>
      <c r="D782" t="inlineStr">
        <is>
          <t>SKÅNE LÄN</t>
        </is>
      </c>
      <c r="E782" t="inlineStr">
        <is>
          <t>HÄSSLEHOLM</t>
        </is>
      </c>
      <c r="G782" t="n">
        <v>6</v>
      </c>
      <c r="H782" t="n">
        <v>0</v>
      </c>
      <c r="I782" t="n">
        <v>0</v>
      </c>
      <c r="J782" t="n">
        <v>0</v>
      </c>
      <c r="K782" t="n">
        <v>0</v>
      </c>
      <c r="L782" t="n">
        <v>0</v>
      </c>
      <c r="M782" t="n">
        <v>0</v>
      </c>
      <c r="N782" t="n">
        <v>0</v>
      </c>
      <c r="O782" t="n">
        <v>0</v>
      </c>
      <c r="P782" t="n">
        <v>0</v>
      </c>
      <c r="Q782" t="n">
        <v>0</v>
      </c>
      <c r="R782" s="2" t="inlineStr"/>
    </row>
    <row r="783" ht="15" customHeight="1">
      <c r="A783" t="inlineStr">
        <is>
          <t>A 19739-2023</t>
        </is>
      </c>
      <c r="B783" s="1" t="n">
        <v>45051</v>
      </c>
      <c r="C783" s="1" t="n">
        <v>46084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55569-2025</t>
        </is>
      </c>
      <c r="B784" s="1" t="n">
        <v>45971</v>
      </c>
      <c r="C784" s="1" t="n">
        <v>46084</v>
      </c>
      <c r="D784" t="inlineStr">
        <is>
          <t>SKÅNE LÄN</t>
        </is>
      </c>
      <c r="E784" t="inlineStr">
        <is>
          <t>HÄSSLEHOLM</t>
        </is>
      </c>
      <c r="G784" t="n">
        <v>4.2</v>
      </c>
      <c r="H784" t="n">
        <v>0</v>
      </c>
      <c r="I784" t="n">
        <v>0</v>
      </c>
      <c r="J784" t="n">
        <v>0</v>
      </c>
      <c r="K784" t="n">
        <v>0</v>
      </c>
      <c r="L784" t="n">
        <v>0</v>
      </c>
      <c r="M784" t="n">
        <v>0</v>
      </c>
      <c r="N784" t="n">
        <v>0</v>
      </c>
      <c r="O784" t="n">
        <v>0</v>
      </c>
      <c r="P784" t="n">
        <v>0</v>
      </c>
      <c r="Q784" t="n">
        <v>0</v>
      </c>
      <c r="R784" s="2" t="inlineStr"/>
    </row>
    <row r="785" ht="15" customHeight="1">
      <c r="A785" t="inlineStr">
        <is>
          <t>A 57817-2025</t>
        </is>
      </c>
      <c r="B785" s="1" t="n">
        <v>45981.59475694445</v>
      </c>
      <c r="C785" s="1" t="n">
        <v>46084</v>
      </c>
      <c r="D785" t="inlineStr">
        <is>
          <t>SKÅNE LÄN</t>
        </is>
      </c>
      <c r="E785" t="inlineStr">
        <is>
          <t>HÄSSLEHOLM</t>
        </is>
      </c>
      <c r="G785" t="n">
        <v>3.8</v>
      </c>
      <c r="H785" t="n">
        <v>0</v>
      </c>
      <c r="I785" t="n">
        <v>0</v>
      </c>
      <c r="J785" t="n">
        <v>0</v>
      </c>
      <c r="K785" t="n">
        <v>0</v>
      </c>
      <c r="L785" t="n">
        <v>0</v>
      </c>
      <c r="M785" t="n">
        <v>0</v>
      </c>
      <c r="N785" t="n">
        <v>0</v>
      </c>
      <c r="O785" t="n">
        <v>0</v>
      </c>
      <c r="P785" t="n">
        <v>0</v>
      </c>
      <c r="Q785" t="n">
        <v>0</v>
      </c>
      <c r="R785" s="2" t="inlineStr"/>
    </row>
    <row r="786" ht="15" customHeight="1">
      <c r="A786" t="inlineStr">
        <is>
          <t>A 52968-2022</t>
        </is>
      </c>
      <c r="B786" s="1" t="n">
        <v>44875</v>
      </c>
      <c r="C786" s="1" t="n">
        <v>46084</v>
      </c>
      <c r="D786" t="inlineStr">
        <is>
          <t>SKÅNE LÄN</t>
        </is>
      </c>
      <c r="E786" t="inlineStr">
        <is>
          <t>HÄSSLEHOLM</t>
        </is>
      </c>
      <c r="G786" t="n">
        <v>2.6</v>
      </c>
      <c r="H786" t="n">
        <v>0</v>
      </c>
      <c r="I786" t="n">
        <v>0</v>
      </c>
      <c r="J786" t="n">
        <v>0</v>
      </c>
      <c r="K786" t="n">
        <v>0</v>
      </c>
      <c r="L786" t="n">
        <v>0</v>
      </c>
      <c r="M786" t="n">
        <v>0</v>
      </c>
      <c r="N786" t="n">
        <v>0</v>
      </c>
      <c r="O786" t="n">
        <v>0</v>
      </c>
      <c r="P786" t="n">
        <v>0</v>
      </c>
      <c r="Q786" t="n">
        <v>0</v>
      </c>
      <c r="R786" s="2" t="inlineStr"/>
    </row>
    <row r="787" ht="15" customHeight="1">
      <c r="A787" t="inlineStr">
        <is>
          <t>A 5282-2023</t>
        </is>
      </c>
      <c r="B787" s="1" t="n">
        <v>44959.50471064815</v>
      </c>
      <c r="C787" s="1" t="n">
        <v>46084</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52548-2023</t>
        </is>
      </c>
      <c r="B788" s="1" t="n">
        <v>45218</v>
      </c>
      <c r="C788" s="1" t="n">
        <v>46084</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54426-2025</t>
        </is>
      </c>
      <c r="B789" s="1" t="n">
        <v>45965</v>
      </c>
      <c r="C789" s="1" t="n">
        <v>46084</v>
      </c>
      <c r="D789" t="inlineStr">
        <is>
          <t>SKÅNE LÄN</t>
        </is>
      </c>
      <c r="E789" t="inlineStr">
        <is>
          <t>HÄSSLEHOLM</t>
        </is>
      </c>
      <c r="G789" t="n">
        <v>3.7</v>
      </c>
      <c r="H789" t="n">
        <v>0</v>
      </c>
      <c r="I789" t="n">
        <v>0</v>
      </c>
      <c r="J789" t="n">
        <v>0</v>
      </c>
      <c r="K789" t="n">
        <v>0</v>
      </c>
      <c r="L789" t="n">
        <v>0</v>
      </c>
      <c r="M789" t="n">
        <v>0</v>
      </c>
      <c r="N789" t="n">
        <v>0</v>
      </c>
      <c r="O789" t="n">
        <v>0</v>
      </c>
      <c r="P789" t="n">
        <v>0</v>
      </c>
      <c r="Q789" t="n">
        <v>0</v>
      </c>
      <c r="R789" s="2" t="inlineStr"/>
    </row>
    <row r="790" ht="15" customHeight="1">
      <c r="A790" t="inlineStr">
        <is>
          <t>A 12503-2022</t>
        </is>
      </c>
      <c r="B790" s="1" t="n">
        <v>44638</v>
      </c>
      <c r="C790" s="1" t="n">
        <v>46084</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30092-2025</t>
        </is>
      </c>
      <c r="B791" s="1" t="n">
        <v>45826</v>
      </c>
      <c r="C791" s="1" t="n">
        <v>46084</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8852-2026</t>
        </is>
      </c>
      <c r="B792" s="1" t="n">
        <v>46066.66105324074</v>
      </c>
      <c r="C792" s="1" t="n">
        <v>46084</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30109-2025</t>
        </is>
      </c>
      <c r="B793" s="1" t="n">
        <v>45826</v>
      </c>
      <c r="C793" s="1" t="n">
        <v>46084</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58241-2025</t>
        </is>
      </c>
      <c r="B794" s="1" t="n">
        <v>45985.38797453704</v>
      </c>
      <c r="C794" s="1" t="n">
        <v>46084</v>
      </c>
      <c r="D794" t="inlineStr">
        <is>
          <t>SKÅNE LÄN</t>
        </is>
      </c>
      <c r="E794" t="inlineStr">
        <is>
          <t>HÄSSLEHOLM</t>
        </is>
      </c>
      <c r="G794" t="n">
        <v>3.6</v>
      </c>
      <c r="H794" t="n">
        <v>0</v>
      </c>
      <c r="I794" t="n">
        <v>0</v>
      </c>
      <c r="J794" t="n">
        <v>0</v>
      </c>
      <c r="K794" t="n">
        <v>0</v>
      </c>
      <c r="L794" t="n">
        <v>0</v>
      </c>
      <c r="M794" t="n">
        <v>0</v>
      </c>
      <c r="N794" t="n">
        <v>0</v>
      </c>
      <c r="O794" t="n">
        <v>0</v>
      </c>
      <c r="P794" t="n">
        <v>0</v>
      </c>
      <c r="Q794" t="n">
        <v>0</v>
      </c>
      <c r="R794" s="2" t="inlineStr"/>
    </row>
    <row r="795" ht="15" customHeight="1">
      <c r="A795" t="inlineStr">
        <is>
          <t>A 59763-2022</t>
        </is>
      </c>
      <c r="B795" s="1" t="n">
        <v>44900</v>
      </c>
      <c r="C795" s="1" t="n">
        <v>46084</v>
      </c>
      <c r="D795" t="inlineStr">
        <is>
          <t>SKÅNE LÄN</t>
        </is>
      </c>
      <c r="E795" t="inlineStr">
        <is>
          <t>HÄSSLEHOLM</t>
        </is>
      </c>
      <c r="F795" t="inlineStr">
        <is>
          <t>Övriga Aktiebolag</t>
        </is>
      </c>
      <c r="G795" t="n">
        <v>1.2</v>
      </c>
      <c r="H795" t="n">
        <v>0</v>
      </c>
      <c r="I795" t="n">
        <v>0</v>
      </c>
      <c r="J795" t="n">
        <v>0</v>
      </c>
      <c r="K795" t="n">
        <v>0</v>
      </c>
      <c r="L795" t="n">
        <v>0</v>
      </c>
      <c r="M795" t="n">
        <v>0</v>
      </c>
      <c r="N795" t="n">
        <v>0</v>
      </c>
      <c r="O795" t="n">
        <v>0</v>
      </c>
      <c r="P795" t="n">
        <v>0</v>
      </c>
      <c r="Q795" t="n">
        <v>0</v>
      </c>
      <c r="R795" s="2" t="inlineStr"/>
    </row>
    <row r="796" ht="15" customHeight="1">
      <c r="A796" t="inlineStr">
        <is>
          <t>A 9485-2023</t>
        </is>
      </c>
      <c r="B796" s="1" t="n">
        <v>44981.60901620371</v>
      </c>
      <c r="C796" s="1" t="n">
        <v>46084</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3364-2023</t>
        </is>
      </c>
      <c r="B797" s="1" t="n">
        <v>44949</v>
      </c>
      <c r="C797" s="1" t="n">
        <v>46084</v>
      </c>
      <c r="D797" t="inlineStr">
        <is>
          <t>SKÅNE LÄN</t>
        </is>
      </c>
      <c r="E797" t="inlineStr">
        <is>
          <t>HÄSSLEHOLM</t>
        </is>
      </c>
      <c r="G797" t="n">
        <v>5.1</v>
      </c>
      <c r="H797" t="n">
        <v>0</v>
      </c>
      <c r="I797" t="n">
        <v>0</v>
      </c>
      <c r="J797" t="n">
        <v>0</v>
      </c>
      <c r="K797" t="n">
        <v>0</v>
      </c>
      <c r="L797" t="n">
        <v>0</v>
      </c>
      <c r="M797" t="n">
        <v>0</v>
      </c>
      <c r="N797" t="n">
        <v>0</v>
      </c>
      <c r="O797" t="n">
        <v>0</v>
      </c>
      <c r="P797" t="n">
        <v>0</v>
      </c>
      <c r="Q797" t="n">
        <v>0</v>
      </c>
      <c r="R797" s="2" t="inlineStr"/>
    </row>
    <row r="798" ht="15" customHeight="1">
      <c r="A798" t="inlineStr">
        <is>
          <t>A 54777-2022</t>
        </is>
      </c>
      <c r="B798" s="1" t="n">
        <v>44883</v>
      </c>
      <c r="C798" s="1" t="n">
        <v>46084</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61929-2023</t>
        </is>
      </c>
      <c r="B799" s="1" t="n">
        <v>45266</v>
      </c>
      <c r="C799" s="1" t="n">
        <v>46084</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13555-2025</t>
        </is>
      </c>
      <c r="B800" s="1" t="n">
        <v>45736</v>
      </c>
      <c r="C800" s="1" t="n">
        <v>46084</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706-2026</t>
        </is>
      </c>
      <c r="B801" s="1" t="n">
        <v>46029.61739583333</v>
      </c>
      <c r="C801" s="1" t="n">
        <v>46084</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52642-2021</t>
        </is>
      </c>
      <c r="B802" s="1" t="n">
        <v>44466.64298611111</v>
      </c>
      <c r="C802" s="1" t="n">
        <v>46084</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47352-2025</t>
        </is>
      </c>
      <c r="B803" s="1" t="n">
        <v>45930</v>
      </c>
      <c r="C803" s="1" t="n">
        <v>46084</v>
      </c>
      <c r="D803" t="inlineStr">
        <is>
          <t>SKÅNE LÄN</t>
        </is>
      </c>
      <c r="E803" t="inlineStr">
        <is>
          <t>HÄSSLEHOLM</t>
        </is>
      </c>
      <c r="G803" t="n">
        <v>16.6</v>
      </c>
      <c r="H803" t="n">
        <v>0</v>
      </c>
      <c r="I803" t="n">
        <v>0</v>
      </c>
      <c r="J803" t="n">
        <v>0</v>
      </c>
      <c r="K803" t="n">
        <v>0</v>
      </c>
      <c r="L803" t="n">
        <v>0</v>
      </c>
      <c r="M803" t="n">
        <v>0</v>
      </c>
      <c r="N803" t="n">
        <v>0</v>
      </c>
      <c r="O803" t="n">
        <v>0</v>
      </c>
      <c r="P803" t="n">
        <v>0</v>
      </c>
      <c r="Q803" t="n">
        <v>0</v>
      </c>
      <c r="R803" s="2" t="inlineStr"/>
    </row>
    <row r="804" ht="15" customHeight="1">
      <c r="A804" t="inlineStr">
        <is>
          <t>A 44940-2023</t>
        </is>
      </c>
      <c r="B804" s="1" t="n">
        <v>45190.68653935185</v>
      </c>
      <c r="C804" s="1" t="n">
        <v>46084</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25533-2024</t>
        </is>
      </c>
      <c r="B805" s="1" t="n">
        <v>45463</v>
      </c>
      <c r="C805" s="1" t="n">
        <v>46084</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61498-2022</t>
        </is>
      </c>
      <c r="B806" s="1" t="n">
        <v>44910</v>
      </c>
      <c r="C806" s="1" t="n">
        <v>46084</v>
      </c>
      <c r="D806" t="inlineStr">
        <is>
          <t>SKÅNE LÄN</t>
        </is>
      </c>
      <c r="E806" t="inlineStr">
        <is>
          <t>HÄSSLEHOLM</t>
        </is>
      </c>
      <c r="F806" t="inlineStr">
        <is>
          <t>Kyrkan</t>
        </is>
      </c>
      <c r="G806" t="n">
        <v>3.2</v>
      </c>
      <c r="H806" t="n">
        <v>0</v>
      </c>
      <c r="I806" t="n">
        <v>0</v>
      </c>
      <c r="J806" t="n">
        <v>0</v>
      </c>
      <c r="K806" t="n">
        <v>0</v>
      </c>
      <c r="L806" t="n">
        <v>0</v>
      </c>
      <c r="M806" t="n">
        <v>0</v>
      </c>
      <c r="N806" t="n">
        <v>0</v>
      </c>
      <c r="O806" t="n">
        <v>0</v>
      </c>
      <c r="P806" t="n">
        <v>0</v>
      </c>
      <c r="Q806" t="n">
        <v>0</v>
      </c>
      <c r="R806" s="2" t="inlineStr"/>
    </row>
    <row r="807" ht="15" customHeight="1">
      <c r="A807" t="inlineStr">
        <is>
          <t>A 22696-2023</t>
        </is>
      </c>
      <c r="B807" s="1" t="n">
        <v>45071.69464120371</v>
      </c>
      <c r="C807" s="1" t="n">
        <v>46084</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15562-2024</t>
        </is>
      </c>
      <c r="B808" s="1" t="n">
        <v>45401.64975694445</v>
      </c>
      <c r="C808" s="1" t="n">
        <v>46084</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52337-2023</t>
        </is>
      </c>
      <c r="B809" s="1" t="n">
        <v>45224.66359953704</v>
      </c>
      <c r="C809" s="1" t="n">
        <v>46084</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11753-2025</t>
        </is>
      </c>
      <c r="B810" s="1" t="n">
        <v>45727</v>
      </c>
      <c r="C810" s="1" t="n">
        <v>46084</v>
      </c>
      <c r="D810" t="inlineStr">
        <is>
          <t>SKÅNE LÄN</t>
        </is>
      </c>
      <c r="E810" t="inlineStr">
        <is>
          <t>HÄSSLEHOLM</t>
        </is>
      </c>
      <c r="G810" t="n">
        <v>2.7</v>
      </c>
      <c r="H810" t="n">
        <v>0</v>
      </c>
      <c r="I810" t="n">
        <v>0</v>
      </c>
      <c r="J810" t="n">
        <v>0</v>
      </c>
      <c r="K810" t="n">
        <v>0</v>
      </c>
      <c r="L810" t="n">
        <v>0</v>
      </c>
      <c r="M810" t="n">
        <v>0</v>
      </c>
      <c r="N810" t="n">
        <v>0</v>
      </c>
      <c r="O810" t="n">
        <v>0</v>
      </c>
      <c r="P810" t="n">
        <v>0</v>
      </c>
      <c r="Q810" t="n">
        <v>0</v>
      </c>
      <c r="R810" s="2" t="inlineStr"/>
    </row>
    <row r="811" ht="15" customHeight="1">
      <c r="A811" t="inlineStr">
        <is>
          <t>A 58933-2025</t>
        </is>
      </c>
      <c r="B811" s="1" t="n">
        <v>45987.56107638889</v>
      </c>
      <c r="C811" s="1" t="n">
        <v>46084</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23955-2023</t>
        </is>
      </c>
      <c r="B812" s="1" t="n">
        <v>45078.62217592593</v>
      </c>
      <c r="C812" s="1" t="n">
        <v>46084</v>
      </c>
      <c r="D812" t="inlineStr">
        <is>
          <t>SKÅNE LÄN</t>
        </is>
      </c>
      <c r="E812" t="inlineStr">
        <is>
          <t>HÄSSLEHOLM</t>
        </is>
      </c>
      <c r="G812" t="n">
        <v>1.4</v>
      </c>
      <c r="H812" t="n">
        <v>0</v>
      </c>
      <c r="I812" t="n">
        <v>0</v>
      </c>
      <c r="J812" t="n">
        <v>0</v>
      </c>
      <c r="K812" t="n">
        <v>0</v>
      </c>
      <c r="L812" t="n">
        <v>0</v>
      </c>
      <c r="M812" t="n">
        <v>0</v>
      </c>
      <c r="N812" t="n">
        <v>0</v>
      </c>
      <c r="O812" t="n">
        <v>0</v>
      </c>
      <c r="P812" t="n">
        <v>0</v>
      </c>
      <c r="Q812" t="n">
        <v>0</v>
      </c>
      <c r="R812" s="2" t="inlineStr"/>
    </row>
    <row r="813" ht="15" customHeight="1">
      <c r="A813" t="inlineStr">
        <is>
          <t>A 10897-2023</t>
        </is>
      </c>
      <c r="B813" s="1" t="n">
        <v>44985</v>
      </c>
      <c r="C813" s="1" t="n">
        <v>46084</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50571-2023</t>
        </is>
      </c>
      <c r="B814" s="1" t="n">
        <v>45217.38359953704</v>
      </c>
      <c r="C814" s="1" t="n">
        <v>46084</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18908-2023</t>
        </is>
      </c>
      <c r="B815" s="1" t="n">
        <v>45044</v>
      </c>
      <c r="C815" s="1" t="n">
        <v>46084</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10028-2024</t>
        </is>
      </c>
      <c r="B816" s="1" t="n">
        <v>45363.97292824074</v>
      </c>
      <c r="C816" s="1" t="n">
        <v>46084</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13084-2025</t>
        </is>
      </c>
      <c r="B817" s="1" t="n">
        <v>45734</v>
      </c>
      <c r="C817" s="1" t="n">
        <v>46084</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16285-2025</t>
        </is>
      </c>
      <c r="B818" s="1" t="n">
        <v>45751.30045138889</v>
      </c>
      <c r="C818" s="1" t="n">
        <v>46084</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46000-2021</t>
        </is>
      </c>
      <c r="B819" s="1" t="n">
        <v>44441</v>
      </c>
      <c r="C819" s="1" t="n">
        <v>46084</v>
      </c>
      <c r="D819" t="inlineStr">
        <is>
          <t>SKÅNE LÄN</t>
        </is>
      </c>
      <c r="E819" t="inlineStr">
        <is>
          <t>HÄSSLEHOLM</t>
        </is>
      </c>
      <c r="G819" t="n">
        <v>1.6</v>
      </c>
      <c r="H819" t="n">
        <v>0</v>
      </c>
      <c r="I819" t="n">
        <v>0</v>
      </c>
      <c r="J819" t="n">
        <v>0</v>
      </c>
      <c r="K819" t="n">
        <v>0</v>
      </c>
      <c r="L819" t="n">
        <v>0</v>
      </c>
      <c r="M819" t="n">
        <v>0</v>
      </c>
      <c r="N819" t="n">
        <v>0</v>
      </c>
      <c r="O819" t="n">
        <v>0</v>
      </c>
      <c r="P819" t="n">
        <v>0</v>
      </c>
      <c r="Q819" t="n">
        <v>0</v>
      </c>
      <c r="R819" s="2" t="inlineStr"/>
    </row>
    <row r="820" ht="15" customHeight="1">
      <c r="A820" t="inlineStr">
        <is>
          <t>A 4009-2024</t>
        </is>
      </c>
      <c r="B820" s="1" t="n">
        <v>45323</v>
      </c>
      <c r="C820" s="1" t="n">
        <v>46084</v>
      </c>
      <c r="D820" t="inlineStr">
        <is>
          <t>SKÅNE LÄN</t>
        </is>
      </c>
      <c r="E820" t="inlineStr">
        <is>
          <t>HÄSSLEHOLM</t>
        </is>
      </c>
      <c r="G820" t="n">
        <v>2.4</v>
      </c>
      <c r="H820" t="n">
        <v>0</v>
      </c>
      <c r="I820" t="n">
        <v>0</v>
      </c>
      <c r="J820" t="n">
        <v>0</v>
      </c>
      <c r="K820" t="n">
        <v>0</v>
      </c>
      <c r="L820" t="n">
        <v>0</v>
      </c>
      <c r="M820" t="n">
        <v>0</v>
      </c>
      <c r="N820" t="n">
        <v>0</v>
      </c>
      <c r="O820" t="n">
        <v>0</v>
      </c>
      <c r="P820" t="n">
        <v>0</v>
      </c>
      <c r="Q820" t="n">
        <v>0</v>
      </c>
      <c r="R820" s="2" t="inlineStr"/>
    </row>
    <row r="821" ht="15" customHeight="1">
      <c r="A821" t="inlineStr">
        <is>
          <t>A 28071-2023</t>
        </is>
      </c>
      <c r="B821" s="1" t="n">
        <v>45099.37755787037</v>
      </c>
      <c r="C821" s="1" t="n">
        <v>46084</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10928-2024</t>
        </is>
      </c>
      <c r="B822" s="1" t="n">
        <v>45370</v>
      </c>
      <c r="C822" s="1" t="n">
        <v>46084</v>
      </c>
      <c r="D822" t="inlineStr">
        <is>
          <t>SKÅNE LÄN</t>
        </is>
      </c>
      <c r="E822" t="inlineStr">
        <is>
          <t>HÄSSLEHOLM</t>
        </is>
      </c>
      <c r="F822" t="inlineStr">
        <is>
          <t>Övriga Aktiebolag</t>
        </is>
      </c>
      <c r="G822" t="n">
        <v>0.5</v>
      </c>
      <c r="H822" t="n">
        <v>0</v>
      </c>
      <c r="I822" t="n">
        <v>0</v>
      </c>
      <c r="J822" t="n">
        <v>0</v>
      </c>
      <c r="K822" t="n">
        <v>0</v>
      </c>
      <c r="L822" t="n">
        <v>0</v>
      </c>
      <c r="M822" t="n">
        <v>0</v>
      </c>
      <c r="N822" t="n">
        <v>0</v>
      </c>
      <c r="O822" t="n">
        <v>0</v>
      </c>
      <c r="P822" t="n">
        <v>0</v>
      </c>
      <c r="Q822" t="n">
        <v>0</v>
      </c>
      <c r="R822" s="2" t="inlineStr"/>
    </row>
    <row r="823" ht="15" customHeight="1">
      <c r="A823" t="inlineStr">
        <is>
          <t>A 10944-2024</t>
        </is>
      </c>
      <c r="B823" s="1" t="n">
        <v>45370</v>
      </c>
      <c r="C823" s="1" t="n">
        <v>46084</v>
      </c>
      <c r="D823" t="inlineStr">
        <is>
          <t>SKÅNE LÄN</t>
        </is>
      </c>
      <c r="E823" t="inlineStr">
        <is>
          <t>HÄSSLEHOLM</t>
        </is>
      </c>
      <c r="F823" t="inlineStr">
        <is>
          <t>Övriga Aktiebolag</t>
        </is>
      </c>
      <c r="G823" t="n">
        <v>2.6</v>
      </c>
      <c r="H823" t="n">
        <v>0</v>
      </c>
      <c r="I823" t="n">
        <v>0</v>
      </c>
      <c r="J823" t="n">
        <v>0</v>
      </c>
      <c r="K823" t="n">
        <v>0</v>
      </c>
      <c r="L823" t="n">
        <v>0</v>
      </c>
      <c r="M823" t="n">
        <v>0</v>
      </c>
      <c r="N823" t="n">
        <v>0</v>
      </c>
      <c r="O823" t="n">
        <v>0</v>
      </c>
      <c r="P823" t="n">
        <v>0</v>
      </c>
      <c r="Q823" t="n">
        <v>0</v>
      </c>
      <c r="R823" s="2" t="inlineStr"/>
    </row>
    <row r="824" ht="15" customHeight="1">
      <c r="A824" t="inlineStr">
        <is>
          <t>A 18648-2021</t>
        </is>
      </c>
      <c r="B824" s="1" t="n">
        <v>44306.70583333333</v>
      </c>
      <c r="C824" s="1" t="n">
        <v>46084</v>
      </c>
      <c r="D824" t="inlineStr">
        <is>
          <t>SKÅNE LÄN</t>
        </is>
      </c>
      <c r="E824" t="inlineStr">
        <is>
          <t>HÄSSLEHOLM</t>
        </is>
      </c>
      <c r="G824" t="n">
        <v>2.5</v>
      </c>
      <c r="H824" t="n">
        <v>0</v>
      </c>
      <c r="I824" t="n">
        <v>0</v>
      </c>
      <c r="J824" t="n">
        <v>0</v>
      </c>
      <c r="K824" t="n">
        <v>0</v>
      </c>
      <c r="L824" t="n">
        <v>0</v>
      </c>
      <c r="M824" t="n">
        <v>0</v>
      </c>
      <c r="N824" t="n">
        <v>0</v>
      </c>
      <c r="O824" t="n">
        <v>0</v>
      </c>
      <c r="P824" t="n">
        <v>0</v>
      </c>
      <c r="Q824" t="n">
        <v>0</v>
      </c>
      <c r="R824" s="2" t="inlineStr"/>
    </row>
    <row r="825" ht="15" customHeight="1">
      <c r="A825" t="inlineStr">
        <is>
          <t>A 23946-2023</t>
        </is>
      </c>
      <c r="B825" s="1" t="n">
        <v>45078.61601851852</v>
      </c>
      <c r="C825" s="1" t="n">
        <v>46084</v>
      </c>
      <c r="D825" t="inlineStr">
        <is>
          <t>SKÅNE LÄN</t>
        </is>
      </c>
      <c r="E825" t="inlineStr">
        <is>
          <t>HÄSSLEHOLM</t>
        </is>
      </c>
      <c r="G825" t="n">
        <v>0.2</v>
      </c>
      <c r="H825" t="n">
        <v>0</v>
      </c>
      <c r="I825" t="n">
        <v>0</v>
      </c>
      <c r="J825" t="n">
        <v>0</v>
      </c>
      <c r="K825" t="n">
        <v>0</v>
      </c>
      <c r="L825" t="n">
        <v>0</v>
      </c>
      <c r="M825" t="n">
        <v>0</v>
      </c>
      <c r="N825" t="n">
        <v>0</v>
      </c>
      <c r="O825" t="n">
        <v>0</v>
      </c>
      <c r="P825" t="n">
        <v>0</v>
      </c>
      <c r="Q825" t="n">
        <v>0</v>
      </c>
      <c r="R825" s="2" t="inlineStr"/>
    </row>
    <row r="826" ht="15" customHeight="1">
      <c r="A826" t="inlineStr">
        <is>
          <t>A 6087-2025</t>
        </is>
      </c>
      <c r="B826" s="1" t="n">
        <v>45697.69782407407</v>
      </c>
      <c r="C826" s="1" t="n">
        <v>46084</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33466-2024</t>
        </is>
      </c>
      <c r="B827" s="1" t="n">
        <v>45519</v>
      </c>
      <c r="C827" s="1" t="n">
        <v>46084</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41459-2022</t>
        </is>
      </c>
      <c r="B828" s="1" t="n">
        <v>44826.93372685185</v>
      </c>
      <c r="C828" s="1" t="n">
        <v>46084</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6612-2024</t>
        </is>
      </c>
      <c r="B829" s="1" t="n">
        <v>45341.58859953703</v>
      </c>
      <c r="C829" s="1" t="n">
        <v>46084</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26879-2024</t>
        </is>
      </c>
      <c r="B830" s="1" t="n">
        <v>45470</v>
      </c>
      <c r="C830" s="1" t="n">
        <v>46084</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54473-2023</t>
        </is>
      </c>
      <c r="B831" s="1" t="n">
        <v>45233</v>
      </c>
      <c r="C831" s="1" t="n">
        <v>46084</v>
      </c>
      <c r="D831" t="inlineStr">
        <is>
          <t>SKÅNE LÄN</t>
        </is>
      </c>
      <c r="E831" t="inlineStr">
        <is>
          <t>HÄSSLEHOLM</t>
        </is>
      </c>
      <c r="G831" t="n">
        <v>24.5</v>
      </c>
      <c r="H831" t="n">
        <v>0</v>
      </c>
      <c r="I831" t="n">
        <v>0</v>
      </c>
      <c r="J831" t="n">
        <v>0</v>
      </c>
      <c r="K831" t="n">
        <v>0</v>
      </c>
      <c r="L831" t="n">
        <v>0</v>
      </c>
      <c r="M831" t="n">
        <v>0</v>
      </c>
      <c r="N831" t="n">
        <v>0</v>
      </c>
      <c r="O831" t="n">
        <v>0</v>
      </c>
      <c r="P831" t="n">
        <v>0</v>
      </c>
      <c r="Q831" t="n">
        <v>0</v>
      </c>
      <c r="R831" s="2" t="inlineStr"/>
    </row>
    <row r="832" ht="15" customHeight="1">
      <c r="A832" t="inlineStr">
        <is>
          <t>A 11240-2023</t>
        </is>
      </c>
      <c r="B832" s="1" t="n">
        <v>44992</v>
      </c>
      <c r="C832" s="1" t="n">
        <v>46084</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931-2026</t>
        </is>
      </c>
      <c r="B833" s="1" t="n">
        <v>46030.51495370371</v>
      </c>
      <c r="C833" s="1" t="n">
        <v>46084</v>
      </c>
      <c r="D833" t="inlineStr">
        <is>
          <t>SKÅNE LÄN</t>
        </is>
      </c>
      <c r="E833" t="inlineStr">
        <is>
          <t>HÄSSLEHOLM</t>
        </is>
      </c>
      <c r="F833" t="inlineStr">
        <is>
          <t>Övriga Aktiebolag</t>
        </is>
      </c>
      <c r="G833" t="n">
        <v>2.3</v>
      </c>
      <c r="H833" t="n">
        <v>0</v>
      </c>
      <c r="I833" t="n">
        <v>0</v>
      </c>
      <c r="J833" t="n">
        <v>0</v>
      </c>
      <c r="K833" t="n">
        <v>0</v>
      </c>
      <c r="L833" t="n">
        <v>0</v>
      </c>
      <c r="M833" t="n">
        <v>0</v>
      </c>
      <c r="N833" t="n">
        <v>0</v>
      </c>
      <c r="O833" t="n">
        <v>0</v>
      </c>
      <c r="P833" t="n">
        <v>0</v>
      </c>
      <c r="Q833" t="n">
        <v>0</v>
      </c>
      <c r="R833" s="2" t="inlineStr"/>
    </row>
    <row r="834" ht="15" customHeight="1">
      <c r="A834" t="inlineStr">
        <is>
          <t>A 59722-2025</t>
        </is>
      </c>
      <c r="B834" s="1" t="n">
        <v>45992.5474537037</v>
      </c>
      <c r="C834" s="1" t="n">
        <v>46084</v>
      </c>
      <c r="D834" t="inlineStr">
        <is>
          <t>SKÅNE LÄN</t>
        </is>
      </c>
      <c r="E834" t="inlineStr">
        <is>
          <t>HÄSSLEHOLM</t>
        </is>
      </c>
      <c r="G834" t="n">
        <v>1.6</v>
      </c>
      <c r="H834" t="n">
        <v>0</v>
      </c>
      <c r="I834" t="n">
        <v>0</v>
      </c>
      <c r="J834" t="n">
        <v>0</v>
      </c>
      <c r="K834" t="n">
        <v>0</v>
      </c>
      <c r="L834" t="n">
        <v>0</v>
      </c>
      <c r="M834" t="n">
        <v>0</v>
      </c>
      <c r="N834" t="n">
        <v>0</v>
      </c>
      <c r="O834" t="n">
        <v>0</v>
      </c>
      <c r="P834" t="n">
        <v>0</v>
      </c>
      <c r="Q834" t="n">
        <v>0</v>
      </c>
      <c r="R834" s="2" t="inlineStr"/>
    </row>
    <row r="835" ht="15" customHeight="1">
      <c r="A835" t="inlineStr">
        <is>
          <t>A 16108-2025</t>
        </is>
      </c>
      <c r="B835" s="1" t="n">
        <v>45750.34667824074</v>
      </c>
      <c r="C835" s="1" t="n">
        <v>46084</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1616-2025</t>
        </is>
      </c>
      <c r="B836" s="1" t="n">
        <v>45670</v>
      </c>
      <c r="C836" s="1" t="n">
        <v>46084</v>
      </c>
      <c r="D836" t="inlineStr">
        <is>
          <t>SKÅNE LÄN</t>
        </is>
      </c>
      <c r="E836" t="inlineStr">
        <is>
          <t>HÄSSLEHOLM</t>
        </is>
      </c>
      <c r="G836" t="n">
        <v>3.6</v>
      </c>
      <c r="H836" t="n">
        <v>0</v>
      </c>
      <c r="I836" t="n">
        <v>0</v>
      </c>
      <c r="J836" t="n">
        <v>0</v>
      </c>
      <c r="K836" t="n">
        <v>0</v>
      </c>
      <c r="L836" t="n">
        <v>0</v>
      </c>
      <c r="M836" t="n">
        <v>0</v>
      </c>
      <c r="N836" t="n">
        <v>0</v>
      </c>
      <c r="O836" t="n">
        <v>0</v>
      </c>
      <c r="P836" t="n">
        <v>0</v>
      </c>
      <c r="Q836" t="n">
        <v>0</v>
      </c>
      <c r="R836" s="2" t="inlineStr"/>
    </row>
    <row r="837" ht="15" customHeight="1">
      <c r="A837" t="inlineStr">
        <is>
          <t>A 48326-2023</t>
        </is>
      </c>
      <c r="B837" s="1" t="n">
        <v>45205</v>
      </c>
      <c r="C837" s="1" t="n">
        <v>46084</v>
      </c>
      <c r="D837" t="inlineStr">
        <is>
          <t>SKÅNE LÄN</t>
        </is>
      </c>
      <c r="E837" t="inlineStr">
        <is>
          <t>HÄSSLEHOLM</t>
        </is>
      </c>
      <c r="G837" t="n">
        <v>12.7</v>
      </c>
      <c r="H837" t="n">
        <v>0</v>
      </c>
      <c r="I837" t="n">
        <v>0</v>
      </c>
      <c r="J837" t="n">
        <v>0</v>
      </c>
      <c r="K837" t="n">
        <v>0</v>
      </c>
      <c r="L837" t="n">
        <v>0</v>
      </c>
      <c r="M837" t="n">
        <v>0</v>
      </c>
      <c r="N837" t="n">
        <v>0</v>
      </c>
      <c r="O837" t="n">
        <v>0</v>
      </c>
      <c r="P837" t="n">
        <v>0</v>
      </c>
      <c r="Q837" t="n">
        <v>0</v>
      </c>
      <c r="R837" s="2" t="inlineStr"/>
    </row>
    <row r="838" ht="15" customHeight="1">
      <c r="A838" t="inlineStr">
        <is>
          <t>A 53055-2021</t>
        </is>
      </c>
      <c r="B838" s="1" t="n">
        <v>44467</v>
      </c>
      <c r="C838" s="1" t="n">
        <v>46084</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1645-2026</t>
        </is>
      </c>
      <c r="B839" s="1" t="n">
        <v>46034.5069212963</v>
      </c>
      <c r="C839" s="1" t="n">
        <v>46084</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54518-2022</t>
        </is>
      </c>
      <c r="B840" s="1" t="n">
        <v>44882</v>
      </c>
      <c r="C840" s="1" t="n">
        <v>46084</v>
      </c>
      <c r="D840" t="inlineStr">
        <is>
          <t>SKÅNE LÄN</t>
        </is>
      </c>
      <c r="E840" t="inlineStr">
        <is>
          <t>HÄSSLEHOLM</t>
        </is>
      </c>
      <c r="F840" t="inlineStr">
        <is>
          <t>Övriga Aktiebolag</t>
        </is>
      </c>
      <c r="G840" t="n">
        <v>6.8</v>
      </c>
      <c r="H840" t="n">
        <v>0</v>
      </c>
      <c r="I840" t="n">
        <v>0</v>
      </c>
      <c r="J840" t="n">
        <v>0</v>
      </c>
      <c r="K840" t="n">
        <v>0</v>
      </c>
      <c r="L840" t="n">
        <v>0</v>
      </c>
      <c r="M840" t="n">
        <v>0</v>
      </c>
      <c r="N840" t="n">
        <v>0</v>
      </c>
      <c r="O840" t="n">
        <v>0</v>
      </c>
      <c r="P840" t="n">
        <v>0</v>
      </c>
      <c r="Q840" t="n">
        <v>0</v>
      </c>
      <c r="R840" s="2" t="inlineStr"/>
    </row>
    <row r="841" ht="15" customHeight="1">
      <c r="A841" t="inlineStr">
        <is>
          <t>A 57491-2024</t>
        </is>
      </c>
      <c r="B841" s="1" t="n">
        <v>45629</v>
      </c>
      <c r="C841" s="1" t="n">
        <v>46084</v>
      </c>
      <c r="D841" t="inlineStr">
        <is>
          <t>SKÅNE LÄN</t>
        </is>
      </c>
      <c r="E841" t="inlineStr">
        <is>
          <t>HÄSSLEHOLM</t>
        </is>
      </c>
      <c r="G841" t="n">
        <v>3.2</v>
      </c>
      <c r="H841" t="n">
        <v>0</v>
      </c>
      <c r="I841" t="n">
        <v>0</v>
      </c>
      <c r="J841" t="n">
        <v>0</v>
      </c>
      <c r="K841" t="n">
        <v>0</v>
      </c>
      <c r="L841" t="n">
        <v>0</v>
      </c>
      <c r="M841" t="n">
        <v>0</v>
      </c>
      <c r="N841" t="n">
        <v>0</v>
      </c>
      <c r="O841" t="n">
        <v>0</v>
      </c>
      <c r="P841" t="n">
        <v>0</v>
      </c>
      <c r="Q841" t="n">
        <v>0</v>
      </c>
      <c r="R841" s="2" t="inlineStr"/>
    </row>
    <row r="842" ht="15" customHeight="1">
      <c r="A842" t="inlineStr">
        <is>
          <t>A 52912-2022</t>
        </is>
      </c>
      <c r="B842" s="1" t="n">
        <v>44872</v>
      </c>
      <c r="C842" s="1" t="n">
        <v>46084</v>
      </c>
      <c r="D842" t="inlineStr">
        <is>
          <t>SKÅNE LÄN</t>
        </is>
      </c>
      <c r="E842" t="inlineStr">
        <is>
          <t>HÄSSLEHOLM</t>
        </is>
      </c>
      <c r="G842" t="n">
        <v>4.7</v>
      </c>
      <c r="H842" t="n">
        <v>0</v>
      </c>
      <c r="I842" t="n">
        <v>0</v>
      </c>
      <c r="J842" t="n">
        <v>0</v>
      </c>
      <c r="K842" t="n">
        <v>0</v>
      </c>
      <c r="L842" t="n">
        <v>0</v>
      </c>
      <c r="M842" t="n">
        <v>0</v>
      </c>
      <c r="N842" t="n">
        <v>0</v>
      </c>
      <c r="O842" t="n">
        <v>0</v>
      </c>
      <c r="P842" t="n">
        <v>0</v>
      </c>
      <c r="Q842" t="n">
        <v>0</v>
      </c>
      <c r="R842" s="2" t="inlineStr"/>
    </row>
    <row r="843" ht="15" customHeight="1">
      <c r="A843" t="inlineStr">
        <is>
          <t>A 16950-2025</t>
        </is>
      </c>
      <c r="B843" s="1" t="n">
        <v>45755</v>
      </c>
      <c r="C843" s="1" t="n">
        <v>46084</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27502-2023</t>
        </is>
      </c>
      <c r="B844" s="1" t="n">
        <v>45092</v>
      </c>
      <c r="C844" s="1" t="n">
        <v>46084</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1659-2026</t>
        </is>
      </c>
      <c r="B845" s="1" t="n">
        <v>46034.55335648148</v>
      </c>
      <c r="C845" s="1" t="n">
        <v>46084</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2306-2026</t>
        </is>
      </c>
      <c r="B846" s="1" t="n">
        <v>46034</v>
      </c>
      <c r="C846" s="1" t="n">
        <v>46084</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6836-2023</t>
        </is>
      </c>
      <c r="B847" s="1" t="n">
        <v>44967</v>
      </c>
      <c r="C847" s="1" t="n">
        <v>46084</v>
      </c>
      <c r="D847" t="inlineStr">
        <is>
          <t>SKÅNE LÄN</t>
        </is>
      </c>
      <c r="E847" t="inlineStr">
        <is>
          <t>HÄSSLEHOLM</t>
        </is>
      </c>
      <c r="G847" t="n">
        <v>3.5</v>
      </c>
      <c r="H847" t="n">
        <v>0</v>
      </c>
      <c r="I847" t="n">
        <v>0</v>
      </c>
      <c r="J847" t="n">
        <v>0</v>
      </c>
      <c r="K847" t="n">
        <v>0</v>
      </c>
      <c r="L847" t="n">
        <v>0</v>
      </c>
      <c r="M847" t="n">
        <v>0</v>
      </c>
      <c r="N847" t="n">
        <v>0</v>
      </c>
      <c r="O847" t="n">
        <v>0</v>
      </c>
      <c r="P847" t="n">
        <v>0</v>
      </c>
      <c r="Q847" t="n">
        <v>0</v>
      </c>
      <c r="R847" s="2" t="inlineStr"/>
    </row>
    <row r="848" ht="15" customHeight="1">
      <c r="A848" t="inlineStr">
        <is>
          <t>A 6845-2023</t>
        </is>
      </c>
      <c r="B848" s="1" t="n">
        <v>44967</v>
      </c>
      <c r="C848" s="1" t="n">
        <v>46084</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29847-2024</t>
        </is>
      </c>
      <c r="B849" s="1" t="n">
        <v>45485.6278587963</v>
      </c>
      <c r="C849" s="1" t="n">
        <v>46084</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10051-2026</t>
        </is>
      </c>
      <c r="B850" s="1" t="n">
        <v>46073</v>
      </c>
      <c r="C850" s="1" t="n">
        <v>46084</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53887-2023</t>
        </is>
      </c>
      <c r="B851" s="1" t="n">
        <v>45231.52675925926</v>
      </c>
      <c r="C851" s="1" t="n">
        <v>46084</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8367-2026</t>
        </is>
      </c>
      <c r="B852" s="1" t="n">
        <v>46064</v>
      </c>
      <c r="C852" s="1" t="n">
        <v>46084</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1640-2026</t>
        </is>
      </c>
      <c r="B853" s="1" t="n">
        <v>46034.4961574074</v>
      </c>
      <c r="C853" s="1" t="n">
        <v>46084</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1656-2026</t>
        </is>
      </c>
      <c r="B854" s="1" t="n">
        <v>46034.54035879629</v>
      </c>
      <c r="C854" s="1" t="n">
        <v>46084</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21329-2023</t>
        </is>
      </c>
      <c r="B855" s="1" t="n">
        <v>45062</v>
      </c>
      <c r="C855" s="1" t="n">
        <v>46084</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58632-2025</t>
        </is>
      </c>
      <c r="B856" s="1" t="n">
        <v>45986</v>
      </c>
      <c r="C856" s="1" t="n">
        <v>46084</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1543-2024</t>
        </is>
      </c>
      <c r="B857" s="1" t="n">
        <v>45306</v>
      </c>
      <c r="C857" s="1" t="n">
        <v>46084</v>
      </c>
      <c r="D857" t="inlineStr">
        <is>
          <t>SKÅNE LÄN</t>
        </is>
      </c>
      <c r="E857" t="inlineStr">
        <is>
          <t>HÄSSLEHOLM</t>
        </is>
      </c>
      <c r="G857" t="n">
        <v>2.6</v>
      </c>
      <c r="H857" t="n">
        <v>0</v>
      </c>
      <c r="I857" t="n">
        <v>0</v>
      </c>
      <c r="J857" t="n">
        <v>0</v>
      </c>
      <c r="K857" t="n">
        <v>0</v>
      </c>
      <c r="L857" t="n">
        <v>0</v>
      </c>
      <c r="M857" t="n">
        <v>0</v>
      </c>
      <c r="N857" t="n">
        <v>0</v>
      </c>
      <c r="O857" t="n">
        <v>0</v>
      </c>
      <c r="P857" t="n">
        <v>0</v>
      </c>
      <c r="Q857" t="n">
        <v>0</v>
      </c>
      <c r="R857" s="2" t="inlineStr"/>
    </row>
    <row r="858" ht="15" customHeight="1">
      <c r="A858" t="inlineStr">
        <is>
          <t>A 2617-2026</t>
        </is>
      </c>
      <c r="B858" s="1" t="n">
        <v>46035</v>
      </c>
      <c r="C858" s="1" t="n">
        <v>46084</v>
      </c>
      <c r="D858" t="inlineStr">
        <is>
          <t>SKÅNE LÄN</t>
        </is>
      </c>
      <c r="E858" t="inlineStr">
        <is>
          <t>HÄSSLEHOLM</t>
        </is>
      </c>
      <c r="F858" t="inlineStr">
        <is>
          <t>Kyrkan</t>
        </is>
      </c>
      <c r="G858" t="n">
        <v>5.5</v>
      </c>
      <c r="H858" t="n">
        <v>0</v>
      </c>
      <c r="I858" t="n">
        <v>0</v>
      </c>
      <c r="J858" t="n">
        <v>0</v>
      </c>
      <c r="K858" t="n">
        <v>0</v>
      </c>
      <c r="L858" t="n">
        <v>0</v>
      </c>
      <c r="M858" t="n">
        <v>0</v>
      </c>
      <c r="N858" t="n">
        <v>0</v>
      </c>
      <c r="O858" t="n">
        <v>0</v>
      </c>
      <c r="P858" t="n">
        <v>0</v>
      </c>
      <c r="Q858" t="n">
        <v>0</v>
      </c>
      <c r="R858" s="2" t="inlineStr"/>
    </row>
    <row r="859" ht="15" customHeight="1">
      <c r="A859" t="inlineStr">
        <is>
          <t>A 18800-2023</t>
        </is>
      </c>
      <c r="B859" s="1" t="n">
        <v>45044</v>
      </c>
      <c r="C859" s="1" t="n">
        <v>46084</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2618-2026</t>
        </is>
      </c>
      <c r="B860" s="1" t="n">
        <v>46035</v>
      </c>
      <c r="C860" s="1" t="n">
        <v>46084</v>
      </c>
      <c r="D860" t="inlineStr">
        <is>
          <t>SKÅNE LÄN</t>
        </is>
      </c>
      <c r="E860" t="inlineStr">
        <is>
          <t>HÄSSLEHOLM</t>
        </is>
      </c>
      <c r="F860" t="inlineStr">
        <is>
          <t>Kyrkan</t>
        </is>
      </c>
      <c r="G860" t="n">
        <v>4.8</v>
      </c>
      <c r="H860" t="n">
        <v>0</v>
      </c>
      <c r="I860" t="n">
        <v>0</v>
      </c>
      <c r="J860" t="n">
        <v>0</v>
      </c>
      <c r="K860" t="n">
        <v>0</v>
      </c>
      <c r="L860" t="n">
        <v>0</v>
      </c>
      <c r="M860" t="n">
        <v>0</v>
      </c>
      <c r="N860" t="n">
        <v>0</v>
      </c>
      <c r="O860" t="n">
        <v>0</v>
      </c>
      <c r="P860" t="n">
        <v>0</v>
      </c>
      <c r="Q860" t="n">
        <v>0</v>
      </c>
      <c r="R860" s="2" t="inlineStr"/>
    </row>
    <row r="861" ht="15" customHeight="1">
      <c r="A861" t="inlineStr">
        <is>
          <t>A 22384-2024</t>
        </is>
      </c>
      <c r="B861" s="1" t="n">
        <v>45446.65592592592</v>
      </c>
      <c r="C861" s="1" t="n">
        <v>46084</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32008-2024</t>
        </is>
      </c>
      <c r="B862" s="1" t="n">
        <v>45510</v>
      </c>
      <c r="C862" s="1" t="n">
        <v>46084</v>
      </c>
      <c r="D862" t="inlineStr">
        <is>
          <t>SKÅNE LÄN</t>
        </is>
      </c>
      <c r="E862" t="inlineStr">
        <is>
          <t>HÄSSLEHOLM</t>
        </is>
      </c>
      <c r="G862" t="n">
        <v>5.1</v>
      </c>
      <c r="H862" t="n">
        <v>0</v>
      </c>
      <c r="I862" t="n">
        <v>0</v>
      </c>
      <c r="J862" t="n">
        <v>0</v>
      </c>
      <c r="K862" t="n">
        <v>0</v>
      </c>
      <c r="L862" t="n">
        <v>0</v>
      </c>
      <c r="M862" t="n">
        <v>0</v>
      </c>
      <c r="N862" t="n">
        <v>0</v>
      </c>
      <c r="O862" t="n">
        <v>0</v>
      </c>
      <c r="P862" t="n">
        <v>0</v>
      </c>
      <c r="Q862" t="n">
        <v>0</v>
      </c>
      <c r="R862" s="2" t="inlineStr"/>
    </row>
    <row r="863" ht="15" customHeight="1">
      <c r="A863" t="inlineStr">
        <is>
          <t>A 25077-2024</t>
        </is>
      </c>
      <c r="B863" s="1" t="n">
        <v>45462</v>
      </c>
      <c r="C863" s="1" t="n">
        <v>46084</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56065-2025</t>
        </is>
      </c>
      <c r="B864" s="1" t="n">
        <v>45973</v>
      </c>
      <c r="C864" s="1" t="n">
        <v>46084</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3715-2026</t>
        </is>
      </c>
      <c r="B865" s="1" t="n">
        <v>46043.48746527778</v>
      </c>
      <c r="C865" s="1" t="n">
        <v>46084</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22535-2024</t>
        </is>
      </c>
      <c r="B866" s="1" t="n">
        <v>45447</v>
      </c>
      <c r="C866" s="1" t="n">
        <v>46084</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61322-2025</t>
        </is>
      </c>
      <c r="B867" s="1" t="n">
        <v>46000</v>
      </c>
      <c r="C867" s="1" t="n">
        <v>46084</v>
      </c>
      <c r="D867" t="inlineStr">
        <is>
          <t>SKÅNE LÄN</t>
        </is>
      </c>
      <c r="E867" t="inlineStr">
        <is>
          <t>HÄSSLEHOLM</t>
        </is>
      </c>
      <c r="G867" t="n">
        <v>2.2</v>
      </c>
      <c r="H867" t="n">
        <v>0</v>
      </c>
      <c r="I867" t="n">
        <v>0</v>
      </c>
      <c r="J867" t="n">
        <v>0</v>
      </c>
      <c r="K867" t="n">
        <v>0</v>
      </c>
      <c r="L867" t="n">
        <v>0</v>
      </c>
      <c r="M867" t="n">
        <v>0</v>
      </c>
      <c r="N867" t="n">
        <v>0</v>
      </c>
      <c r="O867" t="n">
        <v>0</v>
      </c>
      <c r="P867" t="n">
        <v>0</v>
      </c>
      <c r="Q867" t="n">
        <v>0</v>
      </c>
      <c r="R867" s="2" t="inlineStr"/>
    </row>
    <row r="868" ht="15" customHeight="1">
      <c r="A868" t="inlineStr">
        <is>
          <t>A 15060-2023</t>
        </is>
      </c>
      <c r="B868" s="1" t="n">
        <v>45015.69832175926</v>
      </c>
      <c r="C868" s="1" t="n">
        <v>46084</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26857-2025</t>
        </is>
      </c>
      <c r="B869" s="1" t="n">
        <v>45810</v>
      </c>
      <c r="C869" s="1" t="n">
        <v>46084</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4787-2023</t>
        </is>
      </c>
      <c r="B870" s="1" t="n">
        <v>44957.60079861111</v>
      </c>
      <c r="C870" s="1" t="n">
        <v>46084</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4788-2023</t>
        </is>
      </c>
      <c r="B871" s="1" t="n">
        <v>44957.60130787037</v>
      </c>
      <c r="C871" s="1" t="n">
        <v>46084</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34348-2022</t>
        </is>
      </c>
      <c r="B872" s="1" t="n">
        <v>44792</v>
      </c>
      <c r="C872" s="1" t="n">
        <v>46084</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3862-2026</t>
        </is>
      </c>
      <c r="B873" s="1" t="n">
        <v>46043.62646990741</v>
      </c>
      <c r="C873" s="1" t="n">
        <v>46084</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32154-2024</t>
        </is>
      </c>
      <c r="B874" s="1" t="n">
        <v>45511</v>
      </c>
      <c r="C874" s="1" t="n">
        <v>46084</v>
      </c>
      <c r="D874" t="inlineStr">
        <is>
          <t>SKÅNE LÄN</t>
        </is>
      </c>
      <c r="E874" t="inlineStr">
        <is>
          <t>HÄSSLEHOLM</t>
        </is>
      </c>
      <c r="G874" t="n">
        <v>6.4</v>
      </c>
      <c r="H874" t="n">
        <v>0</v>
      </c>
      <c r="I874" t="n">
        <v>0</v>
      </c>
      <c r="J874" t="n">
        <v>0</v>
      </c>
      <c r="K874" t="n">
        <v>0</v>
      </c>
      <c r="L874" t="n">
        <v>0</v>
      </c>
      <c r="M874" t="n">
        <v>0</v>
      </c>
      <c r="N874" t="n">
        <v>0</v>
      </c>
      <c r="O874" t="n">
        <v>0</v>
      </c>
      <c r="P874" t="n">
        <v>0</v>
      </c>
      <c r="Q874" t="n">
        <v>0</v>
      </c>
      <c r="R874" s="2" t="inlineStr"/>
    </row>
    <row r="875" ht="15" customHeight="1">
      <c r="A875" t="inlineStr">
        <is>
          <t>A 45399-2022</t>
        </is>
      </c>
      <c r="B875" s="1" t="n">
        <v>44844.70513888889</v>
      </c>
      <c r="C875" s="1" t="n">
        <v>46084</v>
      </c>
      <c r="D875" t="inlineStr">
        <is>
          <t>SKÅNE LÄN</t>
        </is>
      </c>
      <c r="E875" t="inlineStr">
        <is>
          <t>HÄSSLEHOLM</t>
        </is>
      </c>
      <c r="G875" t="n">
        <v>0</v>
      </c>
      <c r="H875" t="n">
        <v>0</v>
      </c>
      <c r="I875" t="n">
        <v>0</v>
      </c>
      <c r="J875" t="n">
        <v>0</v>
      </c>
      <c r="K875" t="n">
        <v>0</v>
      </c>
      <c r="L875" t="n">
        <v>0</v>
      </c>
      <c r="M875" t="n">
        <v>0</v>
      </c>
      <c r="N875" t="n">
        <v>0</v>
      </c>
      <c r="O875" t="n">
        <v>0</v>
      </c>
      <c r="P875" t="n">
        <v>0</v>
      </c>
      <c r="Q875" t="n">
        <v>0</v>
      </c>
      <c r="R875" s="2" t="inlineStr"/>
    </row>
    <row r="876" ht="15" customHeight="1">
      <c r="A876" t="inlineStr">
        <is>
          <t>A 35640-2023</t>
        </is>
      </c>
      <c r="B876" s="1" t="n">
        <v>45147</v>
      </c>
      <c r="C876" s="1" t="n">
        <v>46084</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2681-2024</t>
        </is>
      </c>
      <c r="B877" s="1" t="n">
        <v>45314</v>
      </c>
      <c r="C877" s="1" t="n">
        <v>46084</v>
      </c>
      <c r="D877" t="inlineStr">
        <is>
          <t>SKÅNE LÄN</t>
        </is>
      </c>
      <c r="E877" t="inlineStr">
        <is>
          <t>HÄSSLEHOLM</t>
        </is>
      </c>
      <c r="F877" t="inlineStr">
        <is>
          <t>Övriga Aktiebolag</t>
        </is>
      </c>
      <c r="G877" t="n">
        <v>1.4</v>
      </c>
      <c r="H877" t="n">
        <v>0</v>
      </c>
      <c r="I877" t="n">
        <v>0</v>
      </c>
      <c r="J877" t="n">
        <v>0</v>
      </c>
      <c r="K877" t="n">
        <v>0</v>
      </c>
      <c r="L877" t="n">
        <v>0</v>
      </c>
      <c r="M877" t="n">
        <v>0</v>
      </c>
      <c r="N877" t="n">
        <v>0</v>
      </c>
      <c r="O877" t="n">
        <v>0</v>
      </c>
      <c r="P877" t="n">
        <v>0</v>
      </c>
      <c r="Q877" t="n">
        <v>0</v>
      </c>
      <c r="R877" s="2" t="inlineStr"/>
    </row>
    <row r="878" ht="15" customHeight="1">
      <c r="A878" t="inlineStr">
        <is>
          <t>A 3904-2026</t>
        </is>
      </c>
      <c r="B878" s="1" t="n">
        <v>46043.69711805556</v>
      </c>
      <c r="C878" s="1" t="n">
        <v>46084</v>
      </c>
      <c r="D878" t="inlineStr">
        <is>
          <t>SKÅNE LÄN</t>
        </is>
      </c>
      <c r="E878" t="inlineStr">
        <is>
          <t>HÄSSLEHOLM</t>
        </is>
      </c>
      <c r="G878" t="n">
        <v>1.3</v>
      </c>
      <c r="H878" t="n">
        <v>0</v>
      </c>
      <c r="I878" t="n">
        <v>0</v>
      </c>
      <c r="J878" t="n">
        <v>0</v>
      </c>
      <c r="K878" t="n">
        <v>0</v>
      </c>
      <c r="L878" t="n">
        <v>0</v>
      </c>
      <c r="M878" t="n">
        <v>0</v>
      </c>
      <c r="N878" t="n">
        <v>0</v>
      </c>
      <c r="O878" t="n">
        <v>0</v>
      </c>
      <c r="P878" t="n">
        <v>0</v>
      </c>
      <c r="Q878" t="n">
        <v>0</v>
      </c>
      <c r="R878" s="2" t="inlineStr"/>
    </row>
    <row r="879" ht="15" customHeight="1">
      <c r="A879" t="inlineStr">
        <is>
          <t>A 27177-2024</t>
        </is>
      </c>
      <c r="B879" s="1" t="n">
        <v>45471.57201388889</v>
      </c>
      <c r="C879" s="1" t="n">
        <v>46084</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49219-2024</t>
        </is>
      </c>
      <c r="B880" s="1" t="n">
        <v>45595.40923611111</v>
      </c>
      <c r="C880" s="1" t="n">
        <v>46084</v>
      </c>
      <c r="D880" t="inlineStr">
        <is>
          <t>SKÅNE LÄN</t>
        </is>
      </c>
      <c r="E880" t="inlineStr">
        <is>
          <t>HÄSSLEHOLM</t>
        </is>
      </c>
      <c r="G880" t="n">
        <v>1.8</v>
      </c>
      <c r="H880" t="n">
        <v>0</v>
      </c>
      <c r="I880" t="n">
        <v>0</v>
      </c>
      <c r="J880" t="n">
        <v>0</v>
      </c>
      <c r="K880" t="n">
        <v>0</v>
      </c>
      <c r="L880" t="n">
        <v>0</v>
      </c>
      <c r="M880" t="n">
        <v>0</v>
      </c>
      <c r="N880" t="n">
        <v>0</v>
      </c>
      <c r="O880" t="n">
        <v>0</v>
      </c>
      <c r="P880" t="n">
        <v>0</v>
      </c>
      <c r="Q880" t="n">
        <v>0</v>
      </c>
      <c r="R880" s="2" t="inlineStr"/>
    </row>
    <row r="881" ht="15" customHeight="1">
      <c r="A881" t="inlineStr">
        <is>
          <t>A 61474-2025</t>
        </is>
      </c>
      <c r="B881" s="1" t="n">
        <v>46001.61886574074</v>
      </c>
      <c r="C881" s="1" t="n">
        <v>46084</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13646-2024</t>
        </is>
      </c>
      <c r="B882" s="1" t="n">
        <v>45387</v>
      </c>
      <c r="C882" s="1" t="n">
        <v>46084</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4750-2024</t>
        </is>
      </c>
      <c r="B883" s="1" t="n">
        <v>45328</v>
      </c>
      <c r="C883" s="1" t="n">
        <v>46084</v>
      </c>
      <c r="D883" t="inlineStr">
        <is>
          <t>SKÅNE LÄN</t>
        </is>
      </c>
      <c r="E883" t="inlineStr">
        <is>
          <t>HÄSSLEHOLM</t>
        </is>
      </c>
      <c r="G883" t="n">
        <v>0.3</v>
      </c>
      <c r="H883" t="n">
        <v>0</v>
      </c>
      <c r="I883" t="n">
        <v>0</v>
      </c>
      <c r="J883" t="n">
        <v>0</v>
      </c>
      <c r="K883" t="n">
        <v>0</v>
      </c>
      <c r="L883" t="n">
        <v>0</v>
      </c>
      <c r="M883" t="n">
        <v>0</v>
      </c>
      <c r="N883" t="n">
        <v>0</v>
      </c>
      <c r="O883" t="n">
        <v>0</v>
      </c>
      <c r="P883" t="n">
        <v>0</v>
      </c>
      <c r="Q883" t="n">
        <v>0</v>
      </c>
      <c r="R883" s="2" t="inlineStr"/>
    </row>
    <row r="884" ht="15" customHeight="1">
      <c r="A884" t="inlineStr">
        <is>
          <t>A 58891-2022</t>
        </is>
      </c>
      <c r="B884" s="1" t="n">
        <v>44896</v>
      </c>
      <c r="C884" s="1" t="n">
        <v>46084</v>
      </c>
      <c r="D884" t="inlineStr">
        <is>
          <t>SKÅNE LÄN</t>
        </is>
      </c>
      <c r="E884" t="inlineStr">
        <is>
          <t>HÄSSLEHOLM</t>
        </is>
      </c>
      <c r="F884" t="inlineStr">
        <is>
          <t>Kyrkan</t>
        </is>
      </c>
      <c r="G884" t="n">
        <v>1.6</v>
      </c>
      <c r="H884" t="n">
        <v>0</v>
      </c>
      <c r="I884" t="n">
        <v>0</v>
      </c>
      <c r="J884" t="n">
        <v>0</v>
      </c>
      <c r="K884" t="n">
        <v>0</v>
      </c>
      <c r="L884" t="n">
        <v>0</v>
      </c>
      <c r="M884" t="n">
        <v>0</v>
      </c>
      <c r="N884" t="n">
        <v>0</v>
      </c>
      <c r="O884" t="n">
        <v>0</v>
      </c>
      <c r="P884" t="n">
        <v>0</v>
      </c>
      <c r="Q884" t="n">
        <v>0</v>
      </c>
      <c r="R884" s="2" t="inlineStr"/>
    </row>
    <row r="885" ht="15" customHeight="1">
      <c r="A885" t="inlineStr">
        <is>
          <t>A 51571-2023</t>
        </is>
      </c>
      <c r="B885" s="1" t="n">
        <v>45222</v>
      </c>
      <c r="C885" s="1" t="n">
        <v>46084</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36568-2024</t>
        </is>
      </c>
      <c r="B886" s="1" t="n">
        <v>45537</v>
      </c>
      <c r="C886" s="1" t="n">
        <v>46084</v>
      </c>
      <c r="D886" t="inlineStr">
        <is>
          <t>SKÅNE LÄN</t>
        </is>
      </c>
      <c r="E886" t="inlineStr">
        <is>
          <t>HÄSSLEHOLM</t>
        </is>
      </c>
      <c r="G886" t="n">
        <v>4.3</v>
      </c>
      <c r="H886" t="n">
        <v>0</v>
      </c>
      <c r="I886" t="n">
        <v>0</v>
      </c>
      <c r="J886" t="n">
        <v>0</v>
      </c>
      <c r="K886" t="n">
        <v>0</v>
      </c>
      <c r="L886" t="n">
        <v>0</v>
      </c>
      <c r="M886" t="n">
        <v>0</v>
      </c>
      <c r="N886" t="n">
        <v>0</v>
      </c>
      <c r="O886" t="n">
        <v>0</v>
      </c>
      <c r="P886" t="n">
        <v>0</v>
      </c>
      <c r="Q886" t="n">
        <v>0</v>
      </c>
      <c r="R886" s="2" t="inlineStr"/>
    </row>
    <row r="887" ht="15" customHeight="1">
      <c r="A887" t="inlineStr">
        <is>
          <t>A 9323-2025</t>
        </is>
      </c>
      <c r="B887" s="1" t="n">
        <v>45714.73532407408</v>
      </c>
      <c r="C887" s="1" t="n">
        <v>46084</v>
      </c>
      <c r="D887" t="inlineStr">
        <is>
          <t>SKÅNE LÄN</t>
        </is>
      </c>
      <c r="E887" t="inlineStr">
        <is>
          <t>HÄSSLEHOLM</t>
        </is>
      </c>
      <c r="G887" t="n">
        <v>5.2</v>
      </c>
      <c r="H887" t="n">
        <v>0</v>
      </c>
      <c r="I887" t="n">
        <v>0</v>
      </c>
      <c r="J887" t="n">
        <v>0</v>
      </c>
      <c r="K887" t="n">
        <v>0</v>
      </c>
      <c r="L887" t="n">
        <v>0</v>
      </c>
      <c r="M887" t="n">
        <v>0</v>
      </c>
      <c r="N887" t="n">
        <v>0</v>
      </c>
      <c r="O887" t="n">
        <v>0</v>
      </c>
      <c r="P887" t="n">
        <v>0</v>
      </c>
      <c r="Q887" t="n">
        <v>0</v>
      </c>
      <c r="R887" s="2" t="inlineStr"/>
    </row>
    <row r="888" ht="15" customHeight="1">
      <c r="A888" t="inlineStr">
        <is>
          <t>A 19593-2023</t>
        </is>
      </c>
      <c r="B888" s="1" t="n">
        <v>45050.75895833333</v>
      </c>
      <c r="C888" s="1" t="n">
        <v>46084</v>
      </c>
      <c r="D888" t="inlineStr">
        <is>
          <t>SKÅNE LÄN</t>
        </is>
      </c>
      <c r="E888" t="inlineStr">
        <is>
          <t>HÄSSLEHOLM</t>
        </is>
      </c>
      <c r="G888" t="n">
        <v>11</v>
      </c>
      <c r="H888" t="n">
        <v>0</v>
      </c>
      <c r="I888" t="n">
        <v>0</v>
      </c>
      <c r="J888" t="n">
        <v>0</v>
      </c>
      <c r="K888" t="n">
        <v>0</v>
      </c>
      <c r="L888" t="n">
        <v>0</v>
      </c>
      <c r="M888" t="n">
        <v>0</v>
      </c>
      <c r="N888" t="n">
        <v>0</v>
      </c>
      <c r="O888" t="n">
        <v>0</v>
      </c>
      <c r="P888" t="n">
        <v>0</v>
      </c>
      <c r="Q888" t="n">
        <v>0</v>
      </c>
      <c r="R888" s="2" t="inlineStr"/>
    </row>
    <row r="889" ht="15" customHeight="1">
      <c r="A889" t="inlineStr">
        <is>
          <t>A 58689-2025</t>
        </is>
      </c>
      <c r="B889" s="1" t="n">
        <v>45986</v>
      </c>
      <c r="C889" s="1" t="n">
        <v>46084</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16017-2023</t>
        </is>
      </c>
      <c r="B890" s="1" t="n">
        <v>45026</v>
      </c>
      <c r="C890" s="1" t="n">
        <v>46084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524-2024</t>
        </is>
      </c>
      <c r="B891" s="1" t="n">
        <v>45299</v>
      </c>
      <c r="C891" s="1" t="n">
        <v>46084</v>
      </c>
      <c r="D891" t="inlineStr">
        <is>
          <t>SKÅNE LÄN</t>
        </is>
      </c>
      <c r="E891" t="inlineStr">
        <is>
          <t>HÄSSLEHOLM</t>
        </is>
      </c>
      <c r="G891" t="n">
        <v>29.4</v>
      </c>
      <c r="H891" t="n">
        <v>0</v>
      </c>
      <c r="I891" t="n">
        <v>0</v>
      </c>
      <c r="J891" t="n">
        <v>0</v>
      </c>
      <c r="K891" t="n">
        <v>0</v>
      </c>
      <c r="L891" t="n">
        <v>0</v>
      </c>
      <c r="M891" t="n">
        <v>0</v>
      </c>
      <c r="N891" t="n">
        <v>0</v>
      </c>
      <c r="O891" t="n">
        <v>0</v>
      </c>
      <c r="P891" t="n">
        <v>0</v>
      </c>
      <c r="Q891" t="n">
        <v>0</v>
      </c>
      <c r="R891" s="2" t="inlineStr"/>
    </row>
    <row r="892" ht="15" customHeight="1">
      <c r="A892" t="inlineStr">
        <is>
          <t>A 49181-2024</t>
        </is>
      </c>
      <c r="B892" s="1" t="n">
        <v>45595</v>
      </c>
      <c r="C892" s="1" t="n">
        <v>46084</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9394-2025</t>
        </is>
      </c>
      <c r="B893" s="1" t="n">
        <v>45715.36387731481</v>
      </c>
      <c r="C893" s="1" t="n">
        <v>46084</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4981-2026</t>
        </is>
      </c>
      <c r="B894" s="1" t="n">
        <v>46049.37100694444</v>
      </c>
      <c r="C894" s="1" t="n">
        <v>46084</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3298-2026</t>
        </is>
      </c>
      <c r="B895" s="1" t="n">
        <v>46041</v>
      </c>
      <c r="C895" s="1" t="n">
        <v>46084</v>
      </c>
      <c r="D895" t="inlineStr">
        <is>
          <t>SKÅNE LÄN</t>
        </is>
      </c>
      <c r="E895" t="inlineStr">
        <is>
          <t>HÄSSLEHOLM</t>
        </is>
      </c>
      <c r="G895" t="n">
        <v>1.2</v>
      </c>
      <c r="H895" t="n">
        <v>0</v>
      </c>
      <c r="I895" t="n">
        <v>0</v>
      </c>
      <c r="J895" t="n">
        <v>0</v>
      </c>
      <c r="K895" t="n">
        <v>0</v>
      </c>
      <c r="L895" t="n">
        <v>0</v>
      </c>
      <c r="M895" t="n">
        <v>0</v>
      </c>
      <c r="N895" t="n">
        <v>0</v>
      </c>
      <c r="O895" t="n">
        <v>0</v>
      </c>
      <c r="P895" t="n">
        <v>0</v>
      </c>
      <c r="Q895" t="n">
        <v>0</v>
      </c>
      <c r="R895" s="2" t="inlineStr"/>
    </row>
    <row r="896" ht="15" customHeight="1">
      <c r="A896" t="inlineStr">
        <is>
          <t>A 39223-2024</t>
        </is>
      </c>
      <c r="B896" s="1" t="n">
        <v>45550</v>
      </c>
      <c r="C896" s="1" t="n">
        <v>46084</v>
      </c>
      <c r="D896" t="inlineStr">
        <is>
          <t>SKÅNE LÄN</t>
        </is>
      </c>
      <c r="E896" t="inlineStr">
        <is>
          <t>HÄSSLEHOLM</t>
        </is>
      </c>
      <c r="G896" t="n">
        <v>3.1</v>
      </c>
      <c r="H896" t="n">
        <v>0</v>
      </c>
      <c r="I896" t="n">
        <v>0</v>
      </c>
      <c r="J896" t="n">
        <v>0</v>
      </c>
      <c r="K896" t="n">
        <v>0</v>
      </c>
      <c r="L896" t="n">
        <v>0</v>
      </c>
      <c r="M896" t="n">
        <v>0</v>
      </c>
      <c r="N896" t="n">
        <v>0</v>
      </c>
      <c r="O896" t="n">
        <v>0</v>
      </c>
      <c r="P896" t="n">
        <v>0</v>
      </c>
      <c r="Q896" t="n">
        <v>0</v>
      </c>
      <c r="R896" s="2" t="inlineStr"/>
    </row>
    <row r="897" ht="15" customHeight="1">
      <c r="A897" t="inlineStr">
        <is>
          <t>A 27304-2023</t>
        </is>
      </c>
      <c r="B897" s="1" t="n">
        <v>45096.65199074074</v>
      </c>
      <c r="C897" s="1" t="n">
        <v>46084</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22693-2022</t>
        </is>
      </c>
      <c r="B898" s="1" t="n">
        <v>44714.54729166667</v>
      </c>
      <c r="C898" s="1" t="n">
        <v>46084</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62376-2025</t>
        </is>
      </c>
      <c r="B899" s="1" t="n">
        <v>46006</v>
      </c>
      <c r="C899" s="1" t="n">
        <v>46084</v>
      </c>
      <c r="D899" t="inlineStr">
        <is>
          <t>SKÅNE LÄN</t>
        </is>
      </c>
      <c r="E899" t="inlineStr">
        <is>
          <t>HÄSSLEHOLM</t>
        </is>
      </c>
      <c r="G899" t="n">
        <v>1.2</v>
      </c>
      <c r="H899" t="n">
        <v>0</v>
      </c>
      <c r="I899" t="n">
        <v>0</v>
      </c>
      <c r="J899" t="n">
        <v>0</v>
      </c>
      <c r="K899" t="n">
        <v>0</v>
      </c>
      <c r="L899" t="n">
        <v>0</v>
      </c>
      <c r="M899" t="n">
        <v>0</v>
      </c>
      <c r="N899" t="n">
        <v>0</v>
      </c>
      <c r="O899" t="n">
        <v>0</v>
      </c>
      <c r="P899" t="n">
        <v>0</v>
      </c>
      <c r="Q899" t="n">
        <v>0</v>
      </c>
      <c r="R899" s="2" t="inlineStr"/>
    </row>
    <row r="900" ht="15" customHeight="1">
      <c r="A900" t="inlineStr">
        <is>
          <t>A 62271-2025</t>
        </is>
      </c>
      <c r="B900" s="1" t="n">
        <v>46006.62256944444</v>
      </c>
      <c r="C900" s="1" t="n">
        <v>46084</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62264-2025</t>
        </is>
      </c>
      <c r="B901" s="1" t="n">
        <v>46006.61644675926</v>
      </c>
      <c r="C901" s="1" t="n">
        <v>46084</v>
      </c>
      <c r="D901" t="inlineStr">
        <is>
          <t>SKÅNE LÄN</t>
        </is>
      </c>
      <c r="E901" t="inlineStr">
        <is>
          <t>HÄSSLEHOLM</t>
        </is>
      </c>
      <c r="G901" t="n">
        <v>7.5</v>
      </c>
      <c r="H901" t="n">
        <v>0</v>
      </c>
      <c r="I901" t="n">
        <v>0</v>
      </c>
      <c r="J901" t="n">
        <v>0</v>
      </c>
      <c r="K901" t="n">
        <v>0</v>
      </c>
      <c r="L901" t="n">
        <v>0</v>
      </c>
      <c r="M901" t="n">
        <v>0</v>
      </c>
      <c r="N901" t="n">
        <v>0</v>
      </c>
      <c r="O901" t="n">
        <v>0</v>
      </c>
      <c r="P901" t="n">
        <v>0</v>
      </c>
      <c r="Q901" t="n">
        <v>0</v>
      </c>
      <c r="R901" s="2" t="inlineStr"/>
    </row>
    <row r="902" ht="15" customHeight="1">
      <c r="A902" t="inlineStr">
        <is>
          <t>A 32794-2023</t>
        </is>
      </c>
      <c r="B902" s="1" t="n">
        <v>45124.40446759259</v>
      </c>
      <c r="C902" s="1" t="n">
        <v>46084</v>
      </c>
      <c r="D902" t="inlineStr">
        <is>
          <t>SKÅNE LÄN</t>
        </is>
      </c>
      <c r="E902" t="inlineStr">
        <is>
          <t>HÄSSLEHOLM</t>
        </is>
      </c>
      <c r="G902" t="n">
        <v>1.8</v>
      </c>
      <c r="H902" t="n">
        <v>0</v>
      </c>
      <c r="I902" t="n">
        <v>0</v>
      </c>
      <c r="J902" t="n">
        <v>0</v>
      </c>
      <c r="K902" t="n">
        <v>0</v>
      </c>
      <c r="L902" t="n">
        <v>0</v>
      </c>
      <c r="M902" t="n">
        <v>0</v>
      </c>
      <c r="N902" t="n">
        <v>0</v>
      </c>
      <c r="O902" t="n">
        <v>0</v>
      </c>
      <c r="P902" t="n">
        <v>0</v>
      </c>
      <c r="Q902" t="n">
        <v>0</v>
      </c>
      <c r="R902" s="2" t="inlineStr"/>
    </row>
    <row r="903" ht="15" customHeight="1">
      <c r="A903" t="inlineStr">
        <is>
          <t>A 46813-2024</t>
        </is>
      </c>
      <c r="B903" s="1" t="n">
        <v>45583</v>
      </c>
      <c r="C903" s="1" t="n">
        <v>46084</v>
      </c>
      <c r="D903" t="inlineStr">
        <is>
          <t>SKÅNE LÄN</t>
        </is>
      </c>
      <c r="E903" t="inlineStr">
        <is>
          <t>HÄSSLEHOLM</t>
        </is>
      </c>
      <c r="G903" t="n">
        <v>14.9</v>
      </c>
      <c r="H903" t="n">
        <v>0</v>
      </c>
      <c r="I903" t="n">
        <v>0</v>
      </c>
      <c r="J903" t="n">
        <v>0</v>
      </c>
      <c r="K903" t="n">
        <v>0</v>
      </c>
      <c r="L903" t="n">
        <v>0</v>
      </c>
      <c r="M903" t="n">
        <v>0</v>
      </c>
      <c r="N903" t="n">
        <v>0</v>
      </c>
      <c r="O903" t="n">
        <v>0</v>
      </c>
      <c r="P903" t="n">
        <v>0</v>
      </c>
      <c r="Q903" t="n">
        <v>0</v>
      </c>
      <c r="R903" s="2" t="inlineStr"/>
    </row>
    <row r="904" ht="15" customHeight="1">
      <c r="A904" t="inlineStr">
        <is>
          <t>A 61436-2024</t>
        </is>
      </c>
      <c r="B904" s="1" t="n">
        <v>45646.46329861111</v>
      </c>
      <c r="C904" s="1" t="n">
        <v>46084</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15104-2023</t>
        </is>
      </c>
      <c r="B905" s="1" t="n">
        <v>45016.40576388889</v>
      </c>
      <c r="C905" s="1" t="n">
        <v>46084</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12507-2022</t>
        </is>
      </c>
      <c r="B906" s="1" t="n">
        <v>44638</v>
      </c>
      <c r="C906" s="1" t="n">
        <v>46084</v>
      </c>
      <c r="D906" t="inlineStr">
        <is>
          <t>SKÅNE LÄN</t>
        </is>
      </c>
      <c r="E906" t="inlineStr">
        <is>
          <t>HÄSSLEHOLM</t>
        </is>
      </c>
      <c r="G906" t="n">
        <v>2.7</v>
      </c>
      <c r="H906" t="n">
        <v>0</v>
      </c>
      <c r="I906" t="n">
        <v>0</v>
      </c>
      <c r="J906" t="n">
        <v>0</v>
      </c>
      <c r="K906" t="n">
        <v>0</v>
      </c>
      <c r="L906" t="n">
        <v>0</v>
      </c>
      <c r="M906" t="n">
        <v>0</v>
      </c>
      <c r="N906" t="n">
        <v>0</v>
      </c>
      <c r="O906" t="n">
        <v>0</v>
      </c>
      <c r="P906" t="n">
        <v>0</v>
      </c>
      <c r="Q906" t="n">
        <v>0</v>
      </c>
      <c r="R906" s="2" t="inlineStr"/>
    </row>
    <row r="907" ht="15" customHeight="1">
      <c r="A907" t="inlineStr">
        <is>
          <t>A 37300-2023</t>
        </is>
      </c>
      <c r="B907" s="1" t="n">
        <v>45156</v>
      </c>
      <c r="C907" s="1" t="n">
        <v>46084</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35644-2023</t>
        </is>
      </c>
      <c r="B908" s="1" t="n">
        <v>45147</v>
      </c>
      <c r="C908" s="1" t="n">
        <v>46084</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5759-2026</t>
        </is>
      </c>
      <c r="B909" s="1" t="n">
        <v>46051.61814814815</v>
      </c>
      <c r="C909" s="1" t="n">
        <v>46084</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2597-2024</t>
        </is>
      </c>
      <c r="B910" s="1" t="n">
        <v>45313</v>
      </c>
      <c r="C910" s="1" t="n">
        <v>46084</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5497-2026</t>
        </is>
      </c>
      <c r="B911" s="1" t="n">
        <v>46050.61875</v>
      </c>
      <c r="C911" s="1" t="n">
        <v>46084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3531-2023</t>
        </is>
      </c>
      <c r="B912" s="1" t="n">
        <v>44950</v>
      </c>
      <c r="C912" s="1" t="n">
        <v>46084</v>
      </c>
      <c r="D912" t="inlineStr">
        <is>
          <t>SKÅNE LÄN</t>
        </is>
      </c>
      <c r="E912" t="inlineStr">
        <is>
          <t>HÄSSLEHOLM</t>
        </is>
      </c>
      <c r="G912" t="n">
        <v>10.1</v>
      </c>
      <c r="H912" t="n">
        <v>0</v>
      </c>
      <c r="I912" t="n">
        <v>0</v>
      </c>
      <c r="J912" t="n">
        <v>0</v>
      </c>
      <c r="K912" t="n">
        <v>0</v>
      </c>
      <c r="L912" t="n">
        <v>0</v>
      </c>
      <c r="M912" t="n">
        <v>0</v>
      </c>
      <c r="N912" t="n">
        <v>0</v>
      </c>
      <c r="O912" t="n">
        <v>0</v>
      </c>
      <c r="P912" t="n">
        <v>0</v>
      </c>
      <c r="Q912" t="n">
        <v>0</v>
      </c>
      <c r="R912" s="2" t="inlineStr"/>
    </row>
    <row r="913" ht="15" customHeight="1">
      <c r="A913" t="inlineStr">
        <is>
          <t>A 15417-2022</t>
        </is>
      </c>
      <c r="B913" s="1" t="n">
        <v>44659</v>
      </c>
      <c r="C913" s="1" t="n">
        <v>46084</v>
      </c>
      <c r="D913" t="inlineStr">
        <is>
          <t>SKÅNE LÄN</t>
        </is>
      </c>
      <c r="E913" t="inlineStr">
        <is>
          <t>HÄSSLEHOLM</t>
        </is>
      </c>
      <c r="F913" t="inlineStr">
        <is>
          <t>Kyrkan</t>
        </is>
      </c>
      <c r="G913" t="n">
        <v>2.9</v>
      </c>
      <c r="H913" t="n">
        <v>0</v>
      </c>
      <c r="I913" t="n">
        <v>0</v>
      </c>
      <c r="J913" t="n">
        <v>0</v>
      </c>
      <c r="K913" t="n">
        <v>0</v>
      </c>
      <c r="L913" t="n">
        <v>0</v>
      </c>
      <c r="M913" t="n">
        <v>0</v>
      </c>
      <c r="N913" t="n">
        <v>0</v>
      </c>
      <c r="O913" t="n">
        <v>0</v>
      </c>
      <c r="P913" t="n">
        <v>0</v>
      </c>
      <c r="Q913" t="n">
        <v>0</v>
      </c>
      <c r="R913" s="2" t="inlineStr"/>
    </row>
    <row r="914" ht="15" customHeight="1">
      <c r="A914" t="inlineStr">
        <is>
          <t>A 44262-2021</t>
        </is>
      </c>
      <c r="B914" s="1" t="n">
        <v>44434</v>
      </c>
      <c r="C914" s="1" t="n">
        <v>46084</v>
      </c>
      <c r="D914" t="inlineStr">
        <is>
          <t>SKÅNE LÄN</t>
        </is>
      </c>
      <c r="E914" t="inlineStr">
        <is>
          <t>HÄSSLEHOLM</t>
        </is>
      </c>
      <c r="G914" t="n">
        <v>4.7</v>
      </c>
      <c r="H914" t="n">
        <v>0</v>
      </c>
      <c r="I914" t="n">
        <v>0</v>
      </c>
      <c r="J914" t="n">
        <v>0</v>
      </c>
      <c r="K914" t="n">
        <v>0</v>
      </c>
      <c r="L914" t="n">
        <v>0</v>
      </c>
      <c r="M914" t="n">
        <v>0</v>
      </c>
      <c r="N914" t="n">
        <v>0</v>
      </c>
      <c r="O914" t="n">
        <v>0</v>
      </c>
      <c r="P914" t="n">
        <v>0</v>
      </c>
      <c r="Q914" t="n">
        <v>0</v>
      </c>
      <c r="R914" s="2" t="inlineStr"/>
    </row>
    <row r="915" ht="15" customHeight="1">
      <c r="A915" t="inlineStr">
        <is>
          <t>A 50659-2023</t>
        </is>
      </c>
      <c r="B915" s="1" t="n">
        <v>45217</v>
      </c>
      <c r="C915" s="1" t="n">
        <v>46084</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54798-2025</t>
        </is>
      </c>
      <c r="B916" s="1" t="n">
        <v>45966</v>
      </c>
      <c r="C916" s="1" t="n">
        <v>46084</v>
      </c>
      <c r="D916" t="inlineStr">
        <is>
          <t>SKÅNE LÄN</t>
        </is>
      </c>
      <c r="E916" t="inlineStr">
        <is>
          <t>HÄSSLEHOLM</t>
        </is>
      </c>
      <c r="G916" t="n">
        <v>0.7</v>
      </c>
      <c r="H916" t="n">
        <v>0</v>
      </c>
      <c r="I916" t="n">
        <v>0</v>
      </c>
      <c r="J916" t="n">
        <v>0</v>
      </c>
      <c r="K916" t="n">
        <v>0</v>
      </c>
      <c r="L916" t="n">
        <v>0</v>
      </c>
      <c r="M916" t="n">
        <v>0</v>
      </c>
      <c r="N916" t="n">
        <v>0</v>
      </c>
      <c r="O916" t="n">
        <v>0</v>
      </c>
      <c r="P916" t="n">
        <v>0</v>
      </c>
      <c r="Q916" t="n">
        <v>0</v>
      </c>
      <c r="R916" s="2" t="inlineStr"/>
    </row>
    <row r="917" ht="15" customHeight="1">
      <c r="A917" t="inlineStr">
        <is>
          <t>A 4994-2026</t>
        </is>
      </c>
      <c r="B917" s="1" t="n">
        <v>46049</v>
      </c>
      <c r="C917" s="1" t="n">
        <v>46084</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13808-2021</t>
        </is>
      </c>
      <c r="B918" s="1" t="n">
        <v>44276</v>
      </c>
      <c r="C918" s="1" t="n">
        <v>46084</v>
      </c>
      <c r="D918" t="inlineStr">
        <is>
          <t>SKÅNE LÄN</t>
        </is>
      </c>
      <c r="E918" t="inlineStr">
        <is>
          <t>HÄSSLEHOLM</t>
        </is>
      </c>
      <c r="G918" t="n">
        <v>10.3</v>
      </c>
      <c r="H918" t="n">
        <v>0</v>
      </c>
      <c r="I918" t="n">
        <v>0</v>
      </c>
      <c r="J918" t="n">
        <v>0</v>
      </c>
      <c r="K918" t="n">
        <v>0</v>
      </c>
      <c r="L918" t="n">
        <v>0</v>
      </c>
      <c r="M918" t="n">
        <v>0</v>
      </c>
      <c r="N918" t="n">
        <v>0</v>
      </c>
      <c r="O918" t="n">
        <v>0</v>
      </c>
      <c r="P918" t="n">
        <v>0</v>
      </c>
      <c r="Q918" t="n">
        <v>0</v>
      </c>
      <c r="R918" s="2" t="inlineStr"/>
    </row>
    <row r="919" ht="15" customHeight="1">
      <c r="A919" t="inlineStr">
        <is>
          <t>A 3123-2023</t>
        </is>
      </c>
      <c r="B919" s="1" t="n">
        <v>44946.4925</v>
      </c>
      <c r="C919" s="1" t="n">
        <v>46084</v>
      </c>
      <c r="D919" t="inlineStr">
        <is>
          <t>SKÅNE LÄN</t>
        </is>
      </c>
      <c r="E919" t="inlineStr">
        <is>
          <t>HÄSSLEHOLM</t>
        </is>
      </c>
      <c r="G919" t="n">
        <v>3.5</v>
      </c>
      <c r="H919" t="n">
        <v>0</v>
      </c>
      <c r="I919" t="n">
        <v>0</v>
      </c>
      <c r="J919" t="n">
        <v>0</v>
      </c>
      <c r="K919" t="n">
        <v>0</v>
      </c>
      <c r="L919" t="n">
        <v>0</v>
      </c>
      <c r="M919" t="n">
        <v>0</v>
      </c>
      <c r="N919" t="n">
        <v>0</v>
      </c>
      <c r="O919" t="n">
        <v>0</v>
      </c>
      <c r="P919" t="n">
        <v>0</v>
      </c>
      <c r="Q919" t="n">
        <v>0</v>
      </c>
      <c r="R919" s="2" t="inlineStr"/>
    </row>
    <row r="920" ht="15" customHeight="1">
      <c r="A920" t="inlineStr">
        <is>
          <t>A 3126-2023</t>
        </is>
      </c>
      <c r="B920" s="1" t="n">
        <v>44946.49570601852</v>
      </c>
      <c r="C920" s="1" t="n">
        <v>46084</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67801-2021</t>
        </is>
      </c>
      <c r="B921" s="1" t="n">
        <v>44525</v>
      </c>
      <c r="C921" s="1" t="n">
        <v>46084</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2144-2023</t>
        </is>
      </c>
      <c r="B922" s="1" t="n">
        <v>44940.79054398148</v>
      </c>
      <c r="C922" s="1" t="n">
        <v>46084</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5757-2026</t>
        </is>
      </c>
      <c r="B923" s="1" t="n">
        <v>46051.61309027778</v>
      </c>
      <c r="C923" s="1" t="n">
        <v>46084</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5103-2026</t>
        </is>
      </c>
      <c r="B924" s="1" t="n">
        <v>46049.56725694444</v>
      </c>
      <c r="C924" s="1" t="n">
        <v>46084</v>
      </c>
      <c r="D924" t="inlineStr">
        <is>
          <t>SKÅNE LÄN</t>
        </is>
      </c>
      <c r="E924" t="inlineStr">
        <is>
          <t>HÄSSLEHOLM</t>
        </is>
      </c>
      <c r="G924" t="n">
        <v>5.4</v>
      </c>
      <c r="H924" t="n">
        <v>0</v>
      </c>
      <c r="I924" t="n">
        <v>0</v>
      </c>
      <c r="J924" t="n">
        <v>0</v>
      </c>
      <c r="K924" t="n">
        <v>0</v>
      </c>
      <c r="L924" t="n">
        <v>0</v>
      </c>
      <c r="M924" t="n">
        <v>0</v>
      </c>
      <c r="N924" t="n">
        <v>0</v>
      </c>
      <c r="O924" t="n">
        <v>0</v>
      </c>
      <c r="P924" t="n">
        <v>0</v>
      </c>
      <c r="Q924" t="n">
        <v>0</v>
      </c>
      <c r="R924" s="2" t="inlineStr"/>
    </row>
    <row r="925" ht="15" customHeight="1">
      <c r="A925" t="inlineStr">
        <is>
          <t>A 37141-2021</t>
        </is>
      </c>
      <c r="B925" s="1" t="n">
        <v>44396</v>
      </c>
      <c r="C925" s="1" t="n">
        <v>46084</v>
      </c>
      <c r="D925" t="inlineStr">
        <is>
          <t>SKÅNE LÄN</t>
        </is>
      </c>
      <c r="E925" t="inlineStr">
        <is>
          <t>HÄSSLEHOLM</t>
        </is>
      </c>
      <c r="G925" t="n">
        <v>12.8</v>
      </c>
      <c r="H925" t="n">
        <v>0</v>
      </c>
      <c r="I925" t="n">
        <v>0</v>
      </c>
      <c r="J925" t="n">
        <v>0</v>
      </c>
      <c r="K925" t="n">
        <v>0</v>
      </c>
      <c r="L925" t="n">
        <v>0</v>
      </c>
      <c r="M925" t="n">
        <v>0</v>
      </c>
      <c r="N925" t="n">
        <v>0</v>
      </c>
      <c r="O925" t="n">
        <v>0</v>
      </c>
      <c r="P925" t="n">
        <v>0</v>
      </c>
      <c r="Q925" t="n">
        <v>0</v>
      </c>
      <c r="R925" s="2" t="inlineStr"/>
    </row>
    <row r="926" ht="15" customHeight="1">
      <c r="A926" t="inlineStr">
        <is>
          <t>A 7202-2022</t>
        </is>
      </c>
      <c r="B926" s="1" t="n">
        <v>44606</v>
      </c>
      <c r="C926" s="1" t="n">
        <v>46084</v>
      </c>
      <c r="D926" t="inlineStr">
        <is>
          <t>SKÅNE LÄN</t>
        </is>
      </c>
      <c r="E926" t="inlineStr">
        <is>
          <t>HÄSSLEHOLM</t>
        </is>
      </c>
      <c r="G926" t="n">
        <v>4.7</v>
      </c>
      <c r="H926" t="n">
        <v>0</v>
      </c>
      <c r="I926" t="n">
        <v>0</v>
      </c>
      <c r="J926" t="n">
        <v>0</v>
      </c>
      <c r="K926" t="n">
        <v>0</v>
      </c>
      <c r="L926" t="n">
        <v>0</v>
      </c>
      <c r="M926" t="n">
        <v>0</v>
      </c>
      <c r="N926" t="n">
        <v>0</v>
      </c>
      <c r="O926" t="n">
        <v>0</v>
      </c>
      <c r="P926" t="n">
        <v>0</v>
      </c>
      <c r="Q926" t="n">
        <v>0</v>
      </c>
      <c r="R926" s="2" t="inlineStr"/>
    </row>
    <row r="927" ht="15" customHeight="1">
      <c r="A927" t="inlineStr">
        <is>
          <t>A 37318-2024</t>
        </is>
      </c>
      <c r="B927" s="1" t="n">
        <v>45540</v>
      </c>
      <c r="C927" s="1" t="n">
        <v>46084</v>
      </c>
      <c r="D927" t="inlineStr">
        <is>
          <t>SKÅNE LÄN</t>
        </is>
      </c>
      <c r="E927" t="inlineStr">
        <is>
          <t>HÄSSLEHOLM</t>
        </is>
      </c>
      <c r="G927" t="n">
        <v>3.9</v>
      </c>
      <c r="H927" t="n">
        <v>0</v>
      </c>
      <c r="I927" t="n">
        <v>0</v>
      </c>
      <c r="J927" t="n">
        <v>0</v>
      </c>
      <c r="K927" t="n">
        <v>0</v>
      </c>
      <c r="L927" t="n">
        <v>0</v>
      </c>
      <c r="M927" t="n">
        <v>0</v>
      </c>
      <c r="N927" t="n">
        <v>0</v>
      </c>
      <c r="O927" t="n">
        <v>0</v>
      </c>
      <c r="P927" t="n">
        <v>0</v>
      </c>
      <c r="Q927" t="n">
        <v>0</v>
      </c>
      <c r="R927" s="2" t="inlineStr"/>
    </row>
    <row r="928" ht="15" customHeight="1">
      <c r="A928" t="inlineStr">
        <is>
          <t>A 37324-2024</t>
        </is>
      </c>
      <c r="B928" s="1" t="n">
        <v>45540.50104166667</v>
      </c>
      <c r="C928" s="1" t="n">
        <v>46084</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57656-2022</t>
        </is>
      </c>
      <c r="B929" s="1" t="n">
        <v>44897.4325925926</v>
      </c>
      <c r="C929" s="1" t="n">
        <v>46084</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32881-2024</t>
        </is>
      </c>
      <c r="B930" s="1" t="n">
        <v>45516</v>
      </c>
      <c r="C930" s="1" t="n">
        <v>46084</v>
      </c>
      <c r="D930" t="inlineStr">
        <is>
          <t>SKÅNE LÄN</t>
        </is>
      </c>
      <c r="E930" t="inlineStr">
        <is>
          <t>HÄSSLEHOLM</t>
        </is>
      </c>
      <c r="G930" t="n">
        <v>6.3</v>
      </c>
      <c r="H930" t="n">
        <v>0</v>
      </c>
      <c r="I930" t="n">
        <v>0</v>
      </c>
      <c r="J930" t="n">
        <v>0</v>
      </c>
      <c r="K930" t="n">
        <v>0</v>
      </c>
      <c r="L930" t="n">
        <v>0</v>
      </c>
      <c r="M930" t="n">
        <v>0</v>
      </c>
      <c r="N930" t="n">
        <v>0</v>
      </c>
      <c r="O930" t="n">
        <v>0</v>
      </c>
      <c r="P930" t="n">
        <v>0</v>
      </c>
      <c r="Q930" t="n">
        <v>0</v>
      </c>
      <c r="R930" s="2" t="inlineStr"/>
    </row>
    <row r="931" ht="15" customHeight="1">
      <c r="A931" t="inlineStr">
        <is>
          <t>A 5503-2026</t>
        </is>
      </c>
      <c r="B931" s="1" t="n">
        <v>46050.62509259259</v>
      </c>
      <c r="C931" s="1" t="n">
        <v>46084</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5516-2026</t>
        </is>
      </c>
      <c r="B932" s="1" t="n">
        <v>46050.64197916666</v>
      </c>
      <c r="C932" s="1" t="n">
        <v>46084</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23860-2024</t>
        </is>
      </c>
      <c r="B933" s="1" t="n">
        <v>45455</v>
      </c>
      <c r="C933" s="1" t="n">
        <v>46084</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23864-2024</t>
        </is>
      </c>
      <c r="B934" s="1" t="n">
        <v>45455</v>
      </c>
      <c r="C934" s="1" t="n">
        <v>46084</v>
      </c>
      <c r="D934" t="inlineStr">
        <is>
          <t>SKÅNE LÄN</t>
        </is>
      </c>
      <c r="E934" t="inlineStr">
        <is>
          <t>HÄSSLEHOLM</t>
        </is>
      </c>
      <c r="G934" t="n">
        <v>6.2</v>
      </c>
      <c r="H934" t="n">
        <v>0</v>
      </c>
      <c r="I934" t="n">
        <v>0</v>
      </c>
      <c r="J934" t="n">
        <v>0</v>
      </c>
      <c r="K934" t="n">
        <v>0</v>
      </c>
      <c r="L934" t="n">
        <v>0</v>
      </c>
      <c r="M934" t="n">
        <v>0</v>
      </c>
      <c r="N934" t="n">
        <v>0</v>
      </c>
      <c r="O934" t="n">
        <v>0</v>
      </c>
      <c r="P934" t="n">
        <v>0</v>
      </c>
      <c r="Q934" t="n">
        <v>0</v>
      </c>
      <c r="R934" s="2" t="inlineStr"/>
    </row>
    <row r="935" ht="15" customHeight="1">
      <c r="A935" t="inlineStr">
        <is>
          <t>A 62417-2025</t>
        </is>
      </c>
      <c r="B935" s="1" t="n">
        <v>46007</v>
      </c>
      <c r="C935" s="1" t="n">
        <v>46084</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7192-2025</t>
        </is>
      </c>
      <c r="B936" s="1" t="n">
        <v>45702.44746527778</v>
      </c>
      <c r="C936" s="1" t="n">
        <v>46084</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21494-2023</t>
        </is>
      </c>
      <c r="B937" s="1" t="n">
        <v>45063</v>
      </c>
      <c r="C937" s="1" t="n">
        <v>46084</v>
      </c>
      <c r="D937" t="inlineStr">
        <is>
          <t>SKÅNE LÄN</t>
        </is>
      </c>
      <c r="E937" t="inlineStr">
        <is>
          <t>HÄSSLEHOLM</t>
        </is>
      </c>
      <c r="G937" t="n">
        <v>3.7</v>
      </c>
      <c r="H937" t="n">
        <v>0</v>
      </c>
      <c r="I937" t="n">
        <v>0</v>
      </c>
      <c r="J937" t="n">
        <v>0</v>
      </c>
      <c r="K937" t="n">
        <v>0</v>
      </c>
      <c r="L937" t="n">
        <v>0</v>
      </c>
      <c r="M937" t="n">
        <v>0</v>
      </c>
      <c r="N937" t="n">
        <v>0</v>
      </c>
      <c r="O937" t="n">
        <v>0</v>
      </c>
      <c r="P937" t="n">
        <v>0</v>
      </c>
      <c r="Q937" t="n">
        <v>0</v>
      </c>
      <c r="R937" s="2" t="inlineStr"/>
    </row>
    <row r="938" ht="15" customHeight="1">
      <c r="A938" t="inlineStr">
        <is>
          <t>A 21495-2023</t>
        </is>
      </c>
      <c r="B938" s="1" t="n">
        <v>45063</v>
      </c>
      <c r="C938" s="1" t="n">
        <v>46084</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62167-2022</t>
        </is>
      </c>
      <c r="B939" s="1" t="n">
        <v>44915</v>
      </c>
      <c r="C939" s="1" t="n">
        <v>46084</v>
      </c>
      <c r="D939" t="inlineStr">
        <is>
          <t>SKÅNE LÄN</t>
        </is>
      </c>
      <c r="E939" t="inlineStr">
        <is>
          <t>HÄSSLEHOLM</t>
        </is>
      </c>
      <c r="F939" t="inlineStr">
        <is>
          <t>Kyrkan</t>
        </is>
      </c>
      <c r="G939" t="n">
        <v>3.1</v>
      </c>
      <c r="H939" t="n">
        <v>0</v>
      </c>
      <c r="I939" t="n">
        <v>0</v>
      </c>
      <c r="J939" t="n">
        <v>0</v>
      </c>
      <c r="K939" t="n">
        <v>0</v>
      </c>
      <c r="L939" t="n">
        <v>0</v>
      </c>
      <c r="M939" t="n">
        <v>0</v>
      </c>
      <c r="N939" t="n">
        <v>0</v>
      </c>
      <c r="O939" t="n">
        <v>0</v>
      </c>
      <c r="P939" t="n">
        <v>0</v>
      </c>
      <c r="Q939" t="n">
        <v>0</v>
      </c>
      <c r="R939" s="2" t="inlineStr"/>
    </row>
    <row r="940" ht="15" customHeight="1">
      <c r="A940" t="inlineStr">
        <is>
          <t>A 62234-2022</t>
        </is>
      </c>
      <c r="B940" s="1" t="n">
        <v>44922</v>
      </c>
      <c r="C940" s="1" t="n">
        <v>46084</v>
      </c>
      <c r="D940" t="inlineStr">
        <is>
          <t>SKÅNE LÄN</t>
        </is>
      </c>
      <c r="E940" t="inlineStr">
        <is>
          <t>HÄSSLEHOLM</t>
        </is>
      </c>
      <c r="G940" t="n">
        <v>1.3</v>
      </c>
      <c r="H940" t="n">
        <v>0</v>
      </c>
      <c r="I940" t="n">
        <v>0</v>
      </c>
      <c r="J940" t="n">
        <v>0</v>
      </c>
      <c r="K940" t="n">
        <v>0</v>
      </c>
      <c r="L940" t="n">
        <v>0</v>
      </c>
      <c r="M940" t="n">
        <v>0</v>
      </c>
      <c r="N940" t="n">
        <v>0</v>
      </c>
      <c r="O940" t="n">
        <v>0</v>
      </c>
      <c r="P940" t="n">
        <v>0</v>
      </c>
      <c r="Q940" t="n">
        <v>0</v>
      </c>
      <c r="R940" s="2" t="inlineStr"/>
    </row>
    <row r="941" ht="15" customHeight="1">
      <c r="A941" t="inlineStr">
        <is>
          <t>A 34299-2024</t>
        </is>
      </c>
      <c r="B941" s="1" t="n">
        <v>45524</v>
      </c>
      <c r="C941" s="1" t="n">
        <v>46084</v>
      </c>
      <c r="D941" t="inlineStr">
        <is>
          <t>SKÅNE LÄN</t>
        </is>
      </c>
      <c r="E941" t="inlineStr">
        <is>
          <t>HÄSSLEHOLM</t>
        </is>
      </c>
      <c r="G941" t="n">
        <v>0.7</v>
      </c>
      <c r="H941" t="n">
        <v>0</v>
      </c>
      <c r="I941" t="n">
        <v>0</v>
      </c>
      <c r="J941" t="n">
        <v>0</v>
      </c>
      <c r="K941" t="n">
        <v>0</v>
      </c>
      <c r="L941" t="n">
        <v>0</v>
      </c>
      <c r="M941" t="n">
        <v>0</v>
      </c>
      <c r="N941" t="n">
        <v>0</v>
      </c>
      <c r="O941" t="n">
        <v>0</v>
      </c>
      <c r="P941" t="n">
        <v>0</v>
      </c>
      <c r="Q941" t="n">
        <v>0</v>
      </c>
      <c r="R941" s="2" t="inlineStr"/>
    </row>
    <row r="942" ht="15" customHeight="1">
      <c r="A942" t="inlineStr">
        <is>
          <t>A 6299-2026</t>
        </is>
      </c>
      <c r="B942" s="1" t="n">
        <v>46055.56623842593</v>
      </c>
      <c r="C942" s="1" t="n">
        <v>46084</v>
      </c>
      <c r="D942" t="inlineStr">
        <is>
          <t>SKÅNE LÄN</t>
        </is>
      </c>
      <c r="E942" t="inlineStr">
        <is>
          <t>HÄSSLEHOLM</t>
        </is>
      </c>
      <c r="G942" t="n">
        <v>5.2</v>
      </c>
      <c r="H942" t="n">
        <v>0</v>
      </c>
      <c r="I942" t="n">
        <v>0</v>
      </c>
      <c r="J942" t="n">
        <v>0</v>
      </c>
      <c r="K942" t="n">
        <v>0</v>
      </c>
      <c r="L942" t="n">
        <v>0</v>
      </c>
      <c r="M942" t="n">
        <v>0</v>
      </c>
      <c r="N942" t="n">
        <v>0</v>
      </c>
      <c r="O942" t="n">
        <v>0</v>
      </c>
      <c r="P942" t="n">
        <v>0</v>
      </c>
      <c r="Q942" t="n">
        <v>0</v>
      </c>
      <c r="R942" s="2" t="inlineStr"/>
    </row>
    <row r="943" ht="15" customHeight="1">
      <c r="A943" t="inlineStr">
        <is>
          <t>A 11798-2022</t>
        </is>
      </c>
      <c r="B943" s="1" t="n">
        <v>44634.64900462963</v>
      </c>
      <c r="C943" s="1" t="n">
        <v>46084</v>
      </c>
      <c r="D943" t="inlineStr">
        <is>
          <t>SKÅNE LÄN</t>
        </is>
      </c>
      <c r="E943" t="inlineStr">
        <is>
          <t>HÄSSLEHOLM</t>
        </is>
      </c>
      <c r="G943" t="n">
        <v>2.8</v>
      </c>
      <c r="H943" t="n">
        <v>0</v>
      </c>
      <c r="I943" t="n">
        <v>0</v>
      </c>
      <c r="J943" t="n">
        <v>0</v>
      </c>
      <c r="K943" t="n">
        <v>0</v>
      </c>
      <c r="L943" t="n">
        <v>0</v>
      </c>
      <c r="M943" t="n">
        <v>0</v>
      </c>
      <c r="N943" t="n">
        <v>0</v>
      </c>
      <c r="O943" t="n">
        <v>0</v>
      </c>
      <c r="P943" t="n">
        <v>0</v>
      </c>
      <c r="Q943" t="n">
        <v>0</v>
      </c>
      <c r="R943" s="2" t="inlineStr"/>
    </row>
    <row r="944" ht="15" customHeight="1">
      <c r="A944" t="inlineStr">
        <is>
          <t>A 9697-2023</t>
        </is>
      </c>
      <c r="B944" s="1" t="n">
        <v>44984</v>
      </c>
      <c r="C944" s="1" t="n">
        <v>46084</v>
      </c>
      <c r="D944" t="inlineStr">
        <is>
          <t>SKÅNE LÄN</t>
        </is>
      </c>
      <c r="E944" t="inlineStr">
        <is>
          <t>HÄSSLEHOLM</t>
        </is>
      </c>
      <c r="G944" t="n">
        <v>0.3</v>
      </c>
      <c r="H944" t="n">
        <v>0</v>
      </c>
      <c r="I944" t="n">
        <v>0</v>
      </c>
      <c r="J944" t="n">
        <v>0</v>
      </c>
      <c r="K944" t="n">
        <v>0</v>
      </c>
      <c r="L944" t="n">
        <v>0</v>
      </c>
      <c r="M944" t="n">
        <v>0</v>
      </c>
      <c r="N944" t="n">
        <v>0</v>
      </c>
      <c r="O944" t="n">
        <v>0</v>
      </c>
      <c r="P944" t="n">
        <v>0</v>
      </c>
      <c r="Q944" t="n">
        <v>0</v>
      </c>
      <c r="R944" s="2" t="inlineStr"/>
    </row>
    <row r="945" ht="15" customHeight="1">
      <c r="A945" t="inlineStr">
        <is>
          <t>A 56881-2021</t>
        </is>
      </c>
      <c r="B945" s="1" t="n">
        <v>44481</v>
      </c>
      <c r="C945" s="1" t="n">
        <v>46084</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27349-2025</t>
        </is>
      </c>
      <c r="B946" s="1" t="n">
        <v>45812</v>
      </c>
      <c r="C946" s="1" t="n">
        <v>46084</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42232-2022</t>
        </is>
      </c>
      <c r="B947" s="1" t="n">
        <v>44830.77591435185</v>
      </c>
      <c r="C947" s="1" t="n">
        <v>46084</v>
      </c>
      <c r="D947" t="inlineStr">
        <is>
          <t>SKÅNE LÄN</t>
        </is>
      </c>
      <c r="E947" t="inlineStr">
        <is>
          <t>HÄSSLEHOLM</t>
        </is>
      </c>
      <c r="G947" t="n">
        <v>1.3</v>
      </c>
      <c r="H947" t="n">
        <v>0</v>
      </c>
      <c r="I947" t="n">
        <v>0</v>
      </c>
      <c r="J947" t="n">
        <v>0</v>
      </c>
      <c r="K947" t="n">
        <v>0</v>
      </c>
      <c r="L947" t="n">
        <v>0</v>
      </c>
      <c r="M947" t="n">
        <v>0</v>
      </c>
      <c r="N947" t="n">
        <v>0</v>
      </c>
      <c r="O947" t="n">
        <v>0</v>
      </c>
      <c r="P947" t="n">
        <v>0</v>
      </c>
      <c r="Q947" t="n">
        <v>0</v>
      </c>
      <c r="R947" s="2" t="inlineStr"/>
    </row>
    <row r="948" ht="15" customHeight="1">
      <c r="A948" t="inlineStr">
        <is>
          <t>A 63415-2025</t>
        </is>
      </c>
      <c r="B948" s="1" t="n">
        <v>46013.32163194445</v>
      </c>
      <c r="C948" s="1" t="n">
        <v>46084</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63416-2025</t>
        </is>
      </c>
      <c r="B949" s="1" t="n">
        <v>46013.3232175926</v>
      </c>
      <c r="C949" s="1" t="n">
        <v>46084</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63510-2025</t>
        </is>
      </c>
      <c r="B950" s="1" t="n">
        <v>46013.49172453704</v>
      </c>
      <c r="C950" s="1" t="n">
        <v>46084</v>
      </c>
      <c r="D950" t="inlineStr">
        <is>
          <t>SKÅNE LÄN</t>
        </is>
      </c>
      <c r="E950" t="inlineStr">
        <is>
          <t>HÄSSLEHOLM</t>
        </is>
      </c>
      <c r="F950" t="inlineStr">
        <is>
          <t>Kommuner</t>
        </is>
      </c>
      <c r="G950" t="n">
        <v>2</v>
      </c>
      <c r="H950" t="n">
        <v>0</v>
      </c>
      <c r="I950" t="n">
        <v>0</v>
      </c>
      <c r="J950" t="n">
        <v>0</v>
      </c>
      <c r="K950" t="n">
        <v>0</v>
      </c>
      <c r="L950" t="n">
        <v>0</v>
      </c>
      <c r="M950" t="n">
        <v>0</v>
      </c>
      <c r="N950" t="n">
        <v>0</v>
      </c>
      <c r="O950" t="n">
        <v>0</v>
      </c>
      <c r="P950" t="n">
        <v>0</v>
      </c>
      <c r="Q950" t="n">
        <v>0</v>
      </c>
      <c r="R950" s="2" t="inlineStr"/>
    </row>
    <row r="951" ht="15" customHeight="1">
      <c r="A951" t="inlineStr">
        <is>
          <t>A 13673-2023</t>
        </is>
      </c>
      <c r="B951" s="1" t="n">
        <v>45006.87957175926</v>
      </c>
      <c r="C951" s="1" t="n">
        <v>46084</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6295-2026</t>
        </is>
      </c>
      <c r="B952" s="1" t="n">
        <v>46055.56115740741</v>
      </c>
      <c r="C952" s="1" t="n">
        <v>46084</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6309-2026</t>
        </is>
      </c>
      <c r="B953" s="1" t="n">
        <v>46055.57369212963</v>
      </c>
      <c r="C953" s="1" t="n">
        <v>46084</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6363-2026</t>
        </is>
      </c>
      <c r="B954" s="1" t="n">
        <v>46055.62319444444</v>
      </c>
      <c r="C954" s="1" t="n">
        <v>46084</v>
      </c>
      <c r="D954" t="inlineStr">
        <is>
          <t>SKÅNE LÄN</t>
        </is>
      </c>
      <c r="E954" t="inlineStr">
        <is>
          <t>HÄSSLEHOLM</t>
        </is>
      </c>
      <c r="G954" t="n">
        <v>4.4</v>
      </c>
      <c r="H954" t="n">
        <v>0</v>
      </c>
      <c r="I954" t="n">
        <v>0</v>
      </c>
      <c r="J954" t="n">
        <v>0</v>
      </c>
      <c r="K954" t="n">
        <v>0</v>
      </c>
      <c r="L954" t="n">
        <v>0</v>
      </c>
      <c r="M954" t="n">
        <v>0</v>
      </c>
      <c r="N954" t="n">
        <v>0</v>
      </c>
      <c r="O954" t="n">
        <v>0</v>
      </c>
      <c r="P954" t="n">
        <v>0</v>
      </c>
      <c r="Q954" t="n">
        <v>0</v>
      </c>
      <c r="R954" s="2" t="inlineStr"/>
    </row>
    <row r="955" ht="15" customHeight="1">
      <c r="A955" t="inlineStr">
        <is>
          <t>A 37038-2022</t>
        </is>
      </c>
      <c r="B955" s="1" t="n">
        <v>44806.44232638889</v>
      </c>
      <c r="C955" s="1" t="n">
        <v>46084</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5894-2023</t>
        </is>
      </c>
      <c r="B956" s="1" t="n">
        <v>44963.65148148148</v>
      </c>
      <c r="C956" s="1" t="n">
        <v>46084</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9502-2023</t>
        </is>
      </c>
      <c r="B957" s="1" t="n">
        <v>44981.63278935185</v>
      </c>
      <c r="C957" s="1" t="n">
        <v>46084</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48046-2023</t>
        </is>
      </c>
      <c r="B958" s="1" t="n">
        <v>45204.85201388889</v>
      </c>
      <c r="C958" s="1" t="n">
        <v>46084</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63354-2025</t>
        </is>
      </c>
      <c r="B959" s="1" t="n">
        <v>46010.66957175926</v>
      </c>
      <c r="C959" s="1" t="n">
        <v>46084</v>
      </c>
      <c r="D959" t="inlineStr">
        <is>
          <t>SKÅNE LÄN</t>
        </is>
      </c>
      <c r="E959" t="inlineStr">
        <is>
          <t>HÄSSLEHOLM</t>
        </is>
      </c>
      <c r="G959" t="n">
        <v>1.3</v>
      </c>
      <c r="H959" t="n">
        <v>0</v>
      </c>
      <c r="I959" t="n">
        <v>0</v>
      </c>
      <c r="J959" t="n">
        <v>0</v>
      </c>
      <c r="K959" t="n">
        <v>0</v>
      </c>
      <c r="L959" t="n">
        <v>0</v>
      </c>
      <c r="M959" t="n">
        <v>0</v>
      </c>
      <c r="N959" t="n">
        <v>0</v>
      </c>
      <c r="O959" t="n">
        <v>0</v>
      </c>
      <c r="P959" t="n">
        <v>0</v>
      </c>
      <c r="Q959" t="n">
        <v>0</v>
      </c>
      <c r="R959" s="2" t="inlineStr"/>
    </row>
    <row r="960" ht="15" customHeight="1">
      <c r="A960" t="inlineStr">
        <is>
          <t>A 63473-2025</t>
        </is>
      </c>
      <c r="B960" s="1" t="n">
        <v>46013.44364583334</v>
      </c>
      <c r="C960" s="1" t="n">
        <v>46084</v>
      </c>
      <c r="D960" t="inlineStr">
        <is>
          <t>SKÅNE LÄN</t>
        </is>
      </c>
      <c r="E960" t="inlineStr">
        <is>
          <t>HÄSSLEHOLM</t>
        </is>
      </c>
      <c r="F960" t="inlineStr">
        <is>
          <t>Kommuner</t>
        </is>
      </c>
      <c r="G960" t="n">
        <v>5.9</v>
      </c>
      <c r="H960" t="n">
        <v>0</v>
      </c>
      <c r="I960" t="n">
        <v>0</v>
      </c>
      <c r="J960" t="n">
        <v>0</v>
      </c>
      <c r="K960" t="n">
        <v>0</v>
      </c>
      <c r="L960" t="n">
        <v>0</v>
      </c>
      <c r="M960" t="n">
        <v>0</v>
      </c>
      <c r="N960" t="n">
        <v>0</v>
      </c>
      <c r="O960" t="n">
        <v>0</v>
      </c>
      <c r="P960" t="n">
        <v>0</v>
      </c>
      <c r="Q960" t="n">
        <v>0</v>
      </c>
      <c r="R960" s="2" t="inlineStr"/>
    </row>
    <row r="961" ht="15" customHeight="1">
      <c r="A961" t="inlineStr">
        <is>
          <t>A 63487-2025</t>
        </is>
      </c>
      <c r="B961" s="1" t="n">
        <v>46013.46878472222</v>
      </c>
      <c r="C961" s="1" t="n">
        <v>46084</v>
      </c>
      <c r="D961" t="inlineStr">
        <is>
          <t>SKÅNE LÄN</t>
        </is>
      </c>
      <c r="E961" t="inlineStr">
        <is>
          <t>HÄSSLEHOLM</t>
        </is>
      </c>
      <c r="F961" t="inlineStr">
        <is>
          <t>Kommuner</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57749-2023</t>
        </is>
      </c>
      <c r="B962" s="1" t="n">
        <v>45246</v>
      </c>
      <c r="C962" s="1" t="n">
        <v>46084</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38306-2022</t>
        </is>
      </c>
      <c r="B963" s="1" t="n">
        <v>44812.57515046297</v>
      </c>
      <c r="C963" s="1" t="n">
        <v>46084</v>
      </c>
      <c r="D963" t="inlineStr">
        <is>
          <t>SKÅNE LÄN</t>
        </is>
      </c>
      <c r="E963" t="inlineStr">
        <is>
          <t>HÄSSLEHOLM</t>
        </is>
      </c>
      <c r="G963" t="n">
        <v>2.2</v>
      </c>
      <c r="H963" t="n">
        <v>0</v>
      </c>
      <c r="I963" t="n">
        <v>0</v>
      </c>
      <c r="J963" t="n">
        <v>0</v>
      </c>
      <c r="K963" t="n">
        <v>0</v>
      </c>
      <c r="L963" t="n">
        <v>0</v>
      </c>
      <c r="M963" t="n">
        <v>0</v>
      </c>
      <c r="N963" t="n">
        <v>0</v>
      </c>
      <c r="O963" t="n">
        <v>0</v>
      </c>
      <c r="P963" t="n">
        <v>0</v>
      </c>
      <c r="Q963" t="n">
        <v>0</v>
      </c>
      <c r="R963" s="2" t="inlineStr"/>
    </row>
    <row r="964" ht="15" customHeight="1">
      <c r="A964" t="inlineStr">
        <is>
          <t>A 1538-2024</t>
        </is>
      </c>
      <c r="B964" s="1" t="n">
        <v>45306</v>
      </c>
      <c r="C964" s="1" t="n">
        <v>46084</v>
      </c>
      <c r="D964" t="inlineStr">
        <is>
          <t>SKÅNE LÄN</t>
        </is>
      </c>
      <c r="E964" t="inlineStr">
        <is>
          <t>HÄSSLEHOLM</t>
        </is>
      </c>
      <c r="G964" t="n">
        <v>4.8</v>
      </c>
      <c r="H964" t="n">
        <v>0</v>
      </c>
      <c r="I964" t="n">
        <v>0</v>
      </c>
      <c r="J964" t="n">
        <v>0</v>
      </c>
      <c r="K964" t="n">
        <v>0</v>
      </c>
      <c r="L964" t="n">
        <v>0</v>
      </c>
      <c r="M964" t="n">
        <v>0</v>
      </c>
      <c r="N964" t="n">
        <v>0</v>
      </c>
      <c r="O964" t="n">
        <v>0</v>
      </c>
      <c r="P964" t="n">
        <v>0</v>
      </c>
      <c r="Q964" t="n">
        <v>0</v>
      </c>
      <c r="R964" s="2" t="inlineStr"/>
    </row>
    <row r="965" ht="15" customHeight="1">
      <c r="A965" t="inlineStr">
        <is>
          <t>A 3135-2023</t>
        </is>
      </c>
      <c r="B965" s="1" t="n">
        <v>44946.51672453704</v>
      </c>
      <c r="C965" s="1" t="n">
        <v>46084</v>
      </c>
      <c r="D965" t="inlineStr">
        <is>
          <t>SKÅNE LÄN</t>
        </is>
      </c>
      <c r="E965" t="inlineStr">
        <is>
          <t>HÄSSLEHOLM</t>
        </is>
      </c>
      <c r="G965" t="n">
        <v>7.2</v>
      </c>
      <c r="H965" t="n">
        <v>0</v>
      </c>
      <c r="I965" t="n">
        <v>0</v>
      </c>
      <c r="J965" t="n">
        <v>0</v>
      </c>
      <c r="K965" t="n">
        <v>0</v>
      </c>
      <c r="L965" t="n">
        <v>0</v>
      </c>
      <c r="M965" t="n">
        <v>0</v>
      </c>
      <c r="N965" t="n">
        <v>0</v>
      </c>
      <c r="O965" t="n">
        <v>0</v>
      </c>
      <c r="P965" t="n">
        <v>0</v>
      </c>
      <c r="Q965" t="n">
        <v>0</v>
      </c>
      <c r="R965" s="2" t="inlineStr"/>
    </row>
    <row r="966" ht="15" customHeight="1">
      <c r="A966" t="inlineStr">
        <is>
          <t>A 63414-2025</t>
        </is>
      </c>
      <c r="B966" s="1" t="n">
        <v>46013.32008101852</v>
      </c>
      <c r="C966" s="1" t="n">
        <v>46084</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63476-2025</t>
        </is>
      </c>
      <c r="B967" s="1" t="n">
        <v>46013.44621527778</v>
      </c>
      <c r="C967" s="1" t="n">
        <v>46084</v>
      </c>
      <c r="D967" t="inlineStr">
        <is>
          <t>SKÅNE LÄN</t>
        </is>
      </c>
      <c r="E967" t="inlineStr">
        <is>
          <t>HÄSSLEHOLM</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38712-2024</t>
        </is>
      </c>
      <c r="B968" s="1" t="n">
        <v>45547</v>
      </c>
      <c r="C968" s="1" t="n">
        <v>46084</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63284-2025</t>
        </is>
      </c>
      <c r="B969" s="1" t="n">
        <v>46010</v>
      </c>
      <c r="C969" s="1" t="n">
        <v>46084</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13310-2025</t>
        </is>
      </c>
      <c r="B970" s="1" t="n">
        <v>45735.58814814815</v>
      </c>
      <c r="C970" s="1" t="n">
        <v>46084</v>
      </c>
      <c r="D970" t="inlineStr">
        <is>
          <t>SKÅNE LÄN</t>
        </is>
      </c>
      <c r="E970" t="inlineStr">
        <is>
          <t>HÄSSLEHOLM</t>
        </is>
      </c>
      <c r="G970" t="n">
        <v>2</v>
      </c>
      <c r="H970" t="n">
        <v>0</v>
      </c>
      <c r="I970" t="n">
        <v>0</v>
      </c>
      <c r="J970" t="n">
        <v>0</v>
      </c>
      <c r="K970" t="n">
        <v>0</v>
      </c>
      <c r="L970" t="n">
        <v>0</v>
      </c>
      <c r="M970" t="n">
        <v>0</v>
      </c>
      <c r="N970" t="n">
        <v>0</v>
      </c>
      <c r="O970" t="n">
        <v>0</v>
      </c>
      <c r="P970" t="n">
        <v>0</v>
      </c>
      <c r="Q970" t="n">
        <v>0</v>
      </c>
      <c r="R970" s="2" t="inlineStr"/>
    </row>
    <row r="971" ht="15" customHeight="1">
      <c r="A971" t="inlineStr">
        <is>
          <t>A 34342-2021</t>
        </is>
      </c>
      <c r="B971" s="1" t="n">
        <v>44379</v>
      </c>
      <c r="C971" s="1" t="n">
        <v>46084</v>
      </c>
      <c r="D971" t="inlineStr">
        <is>
          <t>SKÅNE LÄN</t>
        </is>
      </c>
      <c r="E971" t="inlineStr">
        <is>
          <t>HÄSSLEHOLM</t>
        </is>
      </c>
      <c r="G971" t="n">
        <v>7</v>
      </c>
      <c r="H971" t="n">
        <v>0</v>
      </c>
      <c r="I971" t="n">
        <v>0</v>
      </c>
      <c r="J971" t="n">
        <v>0</v>
      </c>
      <c r="K971" t="n">
        <v>0</v>
      </c>
      <c r="L971" t="n">
        <v>0</v>
      </c>
      <c r="M971" t="n">
        <v>0</v>
      </c>
      <c r="N971" t="n">
        <v>0</v>
      </c>
      <c r="O971" t="n">
        <v>0</v>
      </c>
      <c r="P971" t="n">
        <v>0</v>
      </c>
      <c r="Q971" t="n">
        <v>0</v>
      </c>
      <c r="R971" s="2" t="inlineStr"/>
    </row>
    <row r="972" ht="15" customHeight="1">
      <c r="A972" t="inlineStr">
        <is>
          <t>A 3746-2024</t>
        </is>
      </c>
      <c r="B972" s="1" t="n">
        <v>45321.50745370371</v>
      </c>
      <c r="C972" s="1" t="n">
        <v>46084</v>
      </c>
      <c r="D972" t="inlineStr">
        <is>
          <t>SKÅNE LÄN</t>
        </is>
      </c>
      <c r="E972" t="inlineStr">
        <is>
          <t>HÄSSLEHOLM</t>
        </is>
      </c>
      <c r="G972" t="n">
        <v>3.4</v>
      </c>
      <c r="H972" t="n">
        <v>0</v>
      </c>
      <c r="I972" t="n">
        <v>0</v>
      </c>
      <c r="J972" t="n">
        <v>0</v>
      </c>
      <c r="K972" t="n">
        <v>0</v>
      </c>
      <c r="L972" t="n">
        <v>0</v>
      </c>
      <c r="M972" t="n">
        <v>0</v>
      </c>
      <c r="N972" t="n">
        <v>0</v>
      </c>
      <c r="O972" t="n">
        <v>0</v>
      </c>
      <c r="P972" t="n">
        <v>0</v>
      </c>
      <c r="Q972" t="n">
        <v>0</v>
      </c>
      <c r="R972" s="2" t="inlineStr"/>
    </row>
    <row r="973" ht="15" customHeight="1">
      <c r="A973" t="inlineStr">
        <is>
          <t>A 3507-2024</t>
        </is>
      </c>
      <c r="B973" s="1" t="n">
        <v>45320.4906712963</v>
      </c>
      <c r="C973" s="1" t="n">
        <v>46084</v>
      </c>
      <c r="D973" t="inlineStr">
        <is>
          <t>SKÅNE LÄN</t>
        </is>
      </c>
      <c r="E973" t="inlineStr">
        <is>
          <t>HÄSSLEHOLM</t>
        </is>
      </c>
      <c r="G973" t="n">
        <v>6.4</v>
      </c>
      <c r="H973" t="n">
        <v>0</v>
      </c>
      <c r="I973" t="n">
        <v>0</v>
      </c>
      <c r="J973" t="n">
        <v>0</v>
      </c>
      <c r="K973" t="n">
        <v>0</v>
      </c>
      <c r="L973" t="n">
        <v>0</v>
      </c>
      <c r="M973" t="n">
        <v>0</v>
      </c>
      <c r="N973" t="n">
        <v>0</v>
      </c>
      <c r="O973" t="n">
        <v>0</v>
      </c>
      <c r="P973" t="n">
        <v>0</v>
      </c>
      <c r="Q973" t="n">
        <v>0</v>
      </c>
      <c r="R973" s="2" t="inlineStr"/>
    </row>
    <row r="974" ht="15" customHeight="1">
      <c r="A974" t="inlineStr">
        <is>
          <t>A 49111-2023</t>
        </is>
      </c>
      <c r="B974" s="1" t="n">
        <v>45210.44464120371</v>
      </c>
      <c r="C974" s="1" t="n">
        <v>46084</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6449-2026</t>
        </is>
      </c>
      <c r="B975" s="1" t="n">
        <v>46055.87239583334</v>
      </c>
      <c r="C975" s="1" t="n">
        <v>46084</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61178-2022</t>
        </is>
      </c>
      <c r="B976" s="1" t="n">
        <v>44915</v>
      </c>
      <c r="C976" s="1" t="n">
        <v>46084</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61185-2022</t>
        </is>
      </c>
      <c r="B977" s="1" t="n">
        <v>44915</v>
      </c>
      <c r="C977" s="1" t="n">
        <v>46084</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47422-2025</t>
        </is>
      </c>
      <c r="B978" s="1" t="n">
        <v>45930</v>
      </c>
      <c r="C978" s="1" t="n">
        <v>46084</v>
      </c>
      <c r="D978" t="inlineStr">
        <is>
          <t>SKÅNE LÄN</t>
        </is>
      </c>
      <c r="E978" t="inlineStr">
        <is>
          <t>HÄSSLEHOLM</t>
        </is>
      </c>
      <c r="G978" t="n">
        <v>3.5</v>
      </c>
      <c r="H978" t="n">
        <v>0</v>
      </c>
      <c r="I978" t="n">
        <v>0</v>
      </c>
      <c r="J978" t="n">
        <v>0</v>
      </c>
      <c r="K978" t="n">
        <v>0</v>
      </c>
      <c r="L978" t="n">
        <v>0</v>
      </c>
      <c r="M978" t="n">
        <v>0</v>
      </c>
      <c r="N978" t="n">
        <v>0</v>
      </c>
      <c r="O978" t="n">
        <v>0</v>
      </c>
      <c r="P978" t="n">
        <v>0</v>
      </c>
      <c r="Q978" t="n">
        <v>0</v>
      </c>
      <c r="R978" s="2" t="inlineStr"/>
    </row>
    <row r="979" ht="15" customHeight="1">
      <c r="A979" t="inlineStr">
        <is>
          <t>A 58915-2023</t>
        </is>
      </c>
      <c r="B979" s="1" t="n">
        <v>45250</v>
      </c>
      <c r="C979" s="1" t="n">
        <v>46084</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15508-2023</t>
        </is>
      </c>
      <c r="B980" s="1" t="n">
        <v>45020.50045138889</v>
      </c>
      <c r="C980" s="1" t="n">
        <v>46084</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47432-2025</t>
        </is>
      </c>
      <c r="B981" s="1" t="n">
        <v>45930</v>
      </c>
      <c r="C981" s="1" t="n">
        <v>46084</v>
      </c>
      <c r="D981" t="inlineStr">
        <is>
          <t>SKÅNE LÄN</t>
        </is>
      </c>
      <c r="E981" t="inlineStr">
        <is>
          <t>HÄSSLEHOLM</t>
        </is>
      </c>
      <c r="G981" t="n">
        <v>3.1</v>
      </c>
      <c r="H981" t="n">
        <v>0</v>
      </c>
      <c r="I981" t="n">
        <v>0</v>
      </c>
      <c r="J981" t="n">
        <v>0</v>
      </c>
      <c r="K981" t="n">
        <v>0</v>
      </c>
      <c r="L981" t="n">
        <v>0</v>
      </c>
      <c r="M981" t="n">
        <v>0</v>
      </c>
      <c r="N981" t="n">
        <v>0</v>
      </c>
      <c r="O981" t="n">
        <v>0</v>
      </c>
      <c r="P981" t="n">
        <v>0</v>
      </c>
      <c r="Q981" t="n">
        <v>0</v>
      </c>
      <c r="R981" s="2" t="inlineStr"/>
    </row>
    <row r="982" ht="15" customHeight="1">
      <c r="A982" t="inlineStr">
        <is>
          <t>A 47450-2025</t>
        </is>
      </c>
      <c r="B982" s="1" t="n">
        <v>45930</v>
      </c>
      <c r="C982" s="1" t="n">
        <v>46084</v>
      </c>
      <c r="D982" t="inlineStr">
        <is>
          <t>SKÅNE LÄN</t>
        </is>
      </c>
      <c r="E982" t="inlineStr">
        <is>
          <t>HÄSSLEHOLM</t>
        </is>
      </c>
      <c r="G982" t="n">
        <v>3.2</v>
      </c>
      <c r="H982" t="n">
        <v>0</v>
      </c>
      <c r="I982" t="n">
        <v>0</v>
      </c>
      <c r="J982" t="n">
        <v>0</v>
      </c>
      <c r="K982" t="n">
        <v>0</v>
      </c>
      <c r="L982" t="n">
        <v>0</v>
      </c>
      <c r="M982" t="n">
        <v>0</v>
      </c>
      <c r="N982" t="n">
        <v>0</v>
      </c>
      <c r="O982" t="n">
        <v>0</v>
      </c>
      <c r="P982" t="n">
        <v>0</v>
      </c>
      <c r="Q982" t="n">
        <v>0</v>
      </c>
      <c r="R982" s="2" t="inlineStr"/>
    </row>
    <row r="983" ht="15" customHeight="1">
      <c r="A983" t="inlineStr">
        <is>
          <t>A 6877-2026</t>
        </is>
      </c>
      <c r="B983" s="1" t="n">
        <v>46057.45768518518</v>
      </c>
      <c r="C983" s="1" t="n">
        <v>46084</v>
      </c>
      <c r="D983" t="inlineStr">
        <is>
          <t>SKÅNE LÄN</t>
        </is>
      </c>
      <c r="E983" t="inlineStr">
        <is>
          <t>HÄSSLEHOLM</t>
        </is>
      </c>
      <c r="G983" t="n">
        <v>1.3</v>
      </c>
      <c r="H983" t="n">
        <v>0</v>
      </c>
      <c r="I983" t="n">
        <v>0</v>
      </c>
      <c r="J983" t="n">
        <v>0</v>
      </c>
      <c r="K983" t="n">
        <v>0</v>
      </c>
      <c r="L983" t="n">
        <v>0</v>
      </c>
      <c r="M983" t="n">
        <v>0</v>
      </c>
      <c r="N983" t="n">
        <v>0</v>
      </c>
      <c r="O983" t="n">
        <v>0</v>
      </c>
      <c r="P983" t="n">
        <v>0</v>
      </c>
      <c r="Q983" t="n">
        <v>0</v>
      </c>
      <c r="R983" s="2" t="inlineStr"/>
    </row>
    <row r="984" ht="15" customHeight="1">
      <c r="A984" t="inlineStr">
        <is>
          <t>A 63710-2025</t>
        </is>
      </c>
      <c r="B984" s="1" t="n">
        <v>46014.62143518519</v>
      </c>
      <c r="C984" s="1" t="n">
        <v>46084</v>
      </c>
      <c r="D984" t="inlineStr">
        <is>
          <t>SKÅNE LÄN</t>
        </is>
      </c>
      <c r="E984" t="inlineStr">
        <is>
          <t>HÄSSLEHOLM</t>
        </is>
      </c>
      <c r="G984" t="n">
        <v>1.3</v>
      </c>
      <c r="H984" t="n">
        <v>0</v>
      </c>
      <c r="I984" t="n">
        <v>0</v>
      </c>
      <c r="J984" t="n">
        <v>0</v>
      </c>
      <c r="K984" t="n">
        <v>0</v>
      </c>
      <c r="L984" t="n">
        <v>0</v>
      </c>
      <c r="M984" t="n">
        <v>0</v>
      </c>
      <c r="N984" t="n">
        <v>0</v>
      </c>
      <c r="O984" t="n">
        <v>0</v>
      </c>
      <c r="P984" t="n">
        <v>0</v>
      </c>
      <c r="Q984" t="n">
        <v>0</v>
      </c>
      <c r="R984" s="2" t="inlineStr"/>
    </row>
    <row r="985" ht="15" customHeight="1">
      <c r="A985" t="inlineStr">
        <is>
          <t>A 57649-2022</t>
        </is>
      </c>
      <c r="B985" s="1" t="n">
        <v>44897.42755787037</v>
      </c>
      <c r="C985" s="1" t="n">
        <v>46084</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57665-2022</t>
        </is>
      </c>
      <c r="B986" s="1" t="n">
        <v>44897.4494212963</v>
      </c>
      <c r="C986" s="1" t="n">
        <v>46084</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57676-2022</t>
        </is>
      </c>
      <c r="B987" s="1" t="n">
        <v>44897</v>
      </c>
      <c r="C987" s="1" t="n">
        <v>46084</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14145-2023</t>
        </is>
      </c>
      <c r="B988" s="1" t="n">
        <v>45009</v>
      </c>
      <c r="C988" s="1" t="n">
        <v>46084</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63712-2025</t>
        </is>
      </c>
      <c r="B989" s="1" t="n">
        <v>46014.63092592593</v>
      </c>
      <c r="C989" s="1" t="n">
        <v>46084</v>
      </c>
      <c r="D989" t="inlineStr">
        <is>
          <t>SKÅNE LÄN</t>
        </is>
      </c>
      <c r="E989" t="inlineStr">
        <is>
          <t>HÄSSLEHOLM</t>
        </is>
      </c>
      <c r="G989" t="n">
        <v>3.9</v>
      </c>
      <c r="H989" t="n">
        <v>0</v>
      </c>
      <c r="I989" t="n">
        <v>0</v>
      </c>
      <c r="J989" t="n">
        <v>0</v>
      </c>
      <c r="K989" t="n">
        <v>0</v>
      </c>
      <c r="L989" t="n">
        <v>0</v>
      </c>
      <c r="M989" t="n">
        <v>0</v>
      </c>
      <c r="N989" t="n">
        <v>0</v>
      </c>
      <c r="O989" t="n">
        <v>0</v>
      </c>
      <c r="P989" t="n">
        <v>0</v>
      </c>
      <c r="Q989" t="n">
        <v>0</v>
      </c>
      <c r="R989" s="2" t="inlineStr"/>
    </row>
    <row r="990" ht="15" customHeight="1">
      <c r="A990" t="inlineStr">
        <is>
          <t>A 8244-2023</t>
        </is>
      </c>
      <c r="B990" s="1" t="n">
        <v>44974</v>
      </c>
      <c r="C990" s="1" t="n">
        <v>46084</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63709-2025</t>
        </is>
      </c>
      <c r="B991" s="1" t="n">
        <v>46014.61700231482</v>
      </c>
      <c r="C991" s="1" t="n">
        <v>46084</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8246-2023</t>
        </is>
      </c>
      <c r="B992" s="1" t="n">
        <v>44974</v>
      </c>
      <c r="C992" s="1" t="n">
        <v>46084</v>
      </c>
      <c r="D992" t="inlineStr">
        <is>
          <t>SKÅNE LÄN</t>
        </is>
      </c>
      <c r="E992" t="inlineStr">
        <is>
          <t>HÄSSLEHOLM</t>
        </is>
      </c>
      <c r="G992" t="n">
        <v>1.6</v>
      </c>
      <c r="H992" t="n">
        <v>0</v>
      </c>
      <c r="I992" t="n">
        <v>0</v>
      </c>
      <c r="J992" t="n">
        <v>0</v>
      </c>
      <c r="K992" t="n">
        <v>0</v>
      </c>
      <c r="L992" t="n">
        <v>0</v>
      </c>
      <c r="M992" t="n">
        <v>0</v>
      </c>
      <c r="N992" t="n">
        <v>0</v>
      </c>
      <c r="O992" t="n">
        <v>0</v>
      </c>
      <c r="P992" t="n">
        <v>0</v>
      </c>
      <c r="Q992" t="n">
        <v>0</v>
      </c>
      <c r="R992" s="2" t="inlineStr"/>
    </row>
    <row r="993" ht="15" customHeight="1">
      <c r="A993" t="inlineStr">
        <is>
          <t>A 12584-2025</t>
        </is>
      </c>
      <c r="B993" s="1" t="n">
        <v>45732</v>
      </c>
      <c r="C993" s="1" t="n">
        <v>46084</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25606-2024</t>
        </is>
      </c>
      <c r="B994" s="1" t="n">
        <v>45463.63179398148</v>
      </c>
      <c r="C994" s="1" t="n">
        <v>46084</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61934-2023</t>
        </is>
      </c>
      <c r="B995" s="1" t="n">
        <v>45266.54125</v>
      </c>
      <c r="C995" s="1" t="n">
        <v>46084</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8160-2024</t>
        </is>
      </c>
      <c r="B996" s="1" t="n">
        <v>45351</v>
      </c>
      <c r="C996" s="1" t="n">
        <v>46084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11715-2023</t>
        </is>
      </c>
      <c r="B997" s="1" t="n">
        <v>44992</v>
      </c>
      <c r="C997" s="1" t="n">
        <v>46084</v>
      </c>
      <c r="D997" t="inlineStr">
        <is>
          <t>SKÅNE LÄN</t>
        </is>
      </c>
      <c r="E997" t="inlineStr">
        <is>
          <t>HÄSSLEHOLM</t>
        </is>
      </c>
      <c r="F997" t="inlineStr">
        <is>
          <t>Övriga Aktiebolag</t>
        </is>
      </c>
      <c r="G997" t="n">
        <v>2</v>
      </c>
      <c r="H997" t="n">
        <v>0</v>
      </c>
      <c r="I997" t="n">
        <v>0</v>
      </c>
      <c r="J997" t="n">
        <v>0</v>
      </c>
      <c r="K997" t="n">
        <v>0</v>
      </c>
      <c r="L997" t="n">
        <v>0</v>
      </c>
      <c r="M997" t="n">
        <v>0</v>
      </c>
      <c r="N997" t="n">
        <v>0</v>
      </c>
      <c r="O997" t="n">
        <v>0</v>
      </c>
      <c r="P997" t="n">
        <v>0</v>
      </c>
      <c r="Q997" t="n">
        <v>0</v>
      </c>
      <c r="R997" s="2" t="inlineStr"/>
    </row>
    <row r="998" ht="15" customHeight="1">
      <c r="A998" t="inlineStr">
        <is>
          <t>A 38888-2023</t>
        </is>
      </c>
      <c r="B998" s="1" t="n">
        <v>45161</v>
      </c>
      <c r="C998" s="1" t="n">
        <v>46084</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41680-2024</t>
        </is>
      </c>
      <c r="B999" s="1" t="n">
        <v>45560</v>
      </c>
      <c r="C999" s="1" t="n">
        <v>46084</v>
      </c>
      <c r="D999" t="inlineStr">
        <is>
          <t>SKÅNE LÄN</t>
        </is>
      </c>
      <c r="E999" t="inlineStr">
        <is>
          <t>HÄSSLEHOLM</t>
        </is>
      </c>
      <c r="G999" t="n">
        <v>0.2</v>
      </c>
      <c r="H999" t="n">
        <v>0</v>
      </c>
      <c r="I999" t="n">
        <v>0</v>
      </c>
      <c r="J999" t="n">
        <v>0</v>
      </c>
      <c r="K999" t="n">
        <v>0</v>
      </c>
      <c r="L999" t="n">
        <v>0</v>
      </c>
      <c r="M999" t="n">
        <v>0</v>
      </c>
      <c r="N999" t="n">
        <v>0</v>
      </c>
      <c r="O999" t="n">
        <v>0</v>
      </c>
      <c r="P999" t="n">
        <v>0</v>
      </c>
      <c r="Q999" t="n">
        <v>0</v>
      </c>
      <c r="R999" s="2" t="inlineStr"/>
    </row>
    <row r="1000" ht="15" customHeight="1">
      <c r="A1000" t="inlineStr">
        <is>
          <t>A 7244-2026</t>
        </is>
      </c>
      <c r="B1000" s="1" t="n">
        <v>46058.58646990741</v>
      </c>
      <c r="C1000" s="1" t="n">
        <v>46084</v>
      </c>
      <c r="D1000" t="inlineStr">
        <is>
          <t>SKÅNE LÄN</t>
        </is>
      </c>
      <c r="E1000" t="inlineStr">
        <is>
          <t>HÄSSLEHOLM</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14939-2023</t>
        </is>
      </c>
      <c r="B1001" s="1" t="n">
        <v>45014</v>
      </c>
      <c r="C1001" s="1" t="n">
        <v>46084</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59030-2024</t>
        </is>
      </c>
      <c r="B1002" s="1" t="n">
        <v>45636.68916666666</v>
      </c>
      <c r="C1002" s="1" t="n">
        <v>46084</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48663-2024</t>
        </is>
      </c>
      <c r="B1003" s="1" t="n">
        <v>45593.48892361111</v>
      </c>
      <c r="C1003" s="1" t="n">
        <v>46084</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13345-2025</t>
        </is>
      </c>
      <c r="B1004" s="1" t="n">
        <v>45735.63017361111</v>
      </c>
      <c r="C1004" s="1" t="n">
        <v>46084</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4945-2022</t>
        </is>
      </c>
      <c r="B1005" s="1" t="n">
        <v>44593</v>
      </c>
      <c r="C1005" s="1" t="n">
        <v>46084</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6316-2026</t>
        </is>
      </c>
      <c r="B1006" s="1" t="n">
        <v>46055</v>
      </c>
      <c r="C1006" s="1" t="n">
        <v>46084</v>
      </c>
      <c r="D1006" t="inlineStr">
        <is>
          <t>SKÅNE LÄN</t>
        </is>
      </c>
      <c r="E1006" t="inlineStr">
        <is>
          <t>HÄSSLEHOLM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6328-2026</t>
        </is>
      </c>
      <c r="B1007" s="1" t="n">
        <v>46055</v>
      </c>
      <c r="C1007" s="1" t="n">
        <v>46084</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12558-2023</t>
        </is>
      </c>
      <c r="B1008" s="1" t="n">
        <v>45000.36103009259</v>
      </c>
      <c r="C1008" s="1" t="n">
        <v>46084</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7721-2026</t>
        </is>
      </c>
      <c r="B1009" s="1" t="n">
        <v>46059</v>
      </c>
      <c r="C1009" s="1" t="n">
        <v>46084</v>
      </c>
      <c r="D1009" t="inlineStr">
        <is>
          <t>SKÅNE LÄN</t>
        </is>
      </c>
      <c r="E1009" t="inlineStr">
        <is>
          <t>HÄSSLEHOLM</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4119-2024</t>
        </is>
      </c>
      <c r="B1010" s="1" t="n">
        <v>45323.67920138889</v>
      </c>
      <c r="C1010" s="1" t="n">
        <v>46084</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6835-2023</t>
        </is>
      </c>
      <c r="B1011" s="1" t="n">
        <v>44967</v>
      </c>
      <c r="C1011" s="1" t="n">
        <v>46084</v>
      </c>
      <c r="D1011" t="inlineStr">
        <is>
          <t>SKÅNE LÄN</t>
        </is>
      </c>
      <c r="E1011" t="inlineStr">
        <is>
          <t>HÄSSLEHOLM</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47757-2024</t>
        </is>
      </c>
      <c r="B1012" s="1" t="n">
        <v>45588.55075231481</v>
      </c>
      <c r="C1012" s="1" t="n">
        <v>46084</v>
      </c>
      <c r="D1012" t="inlineStr">
        <is>
          <t>SKÅNE LÄN</t>
        </is>
      </c>
      <c r="E1012" t="inlineStr">
        <is>
          <t>HÄSSLEHOLM</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16550-2025</t>
        </is>
      </c>
      <c r="B1013" s="1" t="n">
        <v>45751.69412037037</v>
      </c>
      <c r="C1013" s="1" t="n">
        <v>46084</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26536-2022</t>
        </is>
      </c>
      <c r="B1014" s="1" t="n">
        <v>44739.45496527778</v>
      </c>
      <c r="C1014" s="1" t="n">
        <v>46084</v>
      </c>
      <c r="D1014" t="inlineStr">
        <is>
          <t>SKÅNE LÄN</t>
        </is>
      </c>
      <c r="E1014" t="inlineStr">
        <is>
          <t>HÄSSLEHOLM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25057-2024</t>
        </is>
      </c>
      <c r="B1015" s="1" t="n">
        <v>45462</v>
      </c>
      <c r="C1015" s="1" t="n">
        <v>46084</v>
      </c>
      <c r="D1015" t="inlineStr">
        <is>
          <t>SKÅNE LÄN</t>
        </is>
      </c>
      <c r="E1015" t="inlineStr">
        <is>
          <t>HÄSSLEHOLM</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7494-2023</t>
        </is>
      </c>
      <c r="B1016" s="1" t="n">
        <v>44971.70835648148</v>
      </c>
      <c r="C1016" s="1" t="n">
        <v>46084</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10115-2024</t>
        </is>
      </c>
      <c r="B1017" s="1" t="n">
        <v>45364.55339120371</v>
      </c>
      <c r="C1017" s="1" t="n">
        <v>46084</v>
      </c>
      <c r="D1017" t="inlineStr">
        <is>
          <t>SKÅNE LÄN</t>
        </is>
      </c>
      <c r="E1017" t="inlineStr">
        <is>
          <t>HÄSSLEHOLM</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7785-2026</t>
        </is>
      </c>
      <c r="B1018" s="1" t="n">
        <v>46062.58422453704</v>
      </c>
      <c r="C1018" s="1" t="n">
        <v>46084</v>
      </c>
      <c r="D1018" t="inlineStr">
        <is>
          <t>SKÅNE LÄN</t>
        </is>
      </c>
      <c r="E1018" t="inlineStr">
        <is>
          <t>HÄSSLEHOLM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21328-2023</t>
        </is>
      </c>
      <c r="B1019" s="1" t="n">
        <v>45062</v>
      </c>
      <c r="C1019" s="1" t="n">
        <v>46084</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12570-2023</t>
        </is>
      </c>
      <c r="B1020" s="1" t="n">
        <v>44999</v>
      </c>
      <c r="C1020" s="1" t="n">
        <v>46084</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20435-2021</t>
        </is>
      </c>
      <c r="B1021" s="1" t="n">
        <v>44315.5793287037</v>
      </c>
      <c r="C1021" s="1" t="n">
        <v>46084</v>
      </c>
      <c r="D1021" t="inlineStr">
        <is>
          <t>SKÅNE LÄN</t>
        </is>
      </c>
      <c r="E1021" t="inlineStr">
        <is>
          <t>HÄSSLEHOLM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25219-2023</t>
        </is>
      </c>
      <c r="B1022" s="1" t="n">
        <v>45086.60541666667</v>
      </c>
      <c r="C1022" s="1" t="n">
        <v>46084</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7306-2025</t>
        </is>
      </c>
      <c r="B1023" s="1" t="n">
        <v>45702</v>
      </c>
      <c r="C1023" s="1" t="n">
        <v>46084</v>
      </c>
      <c r="D1023" t="inlineStr">
        <is>
          <t>SKÅNE LÄN</t>
        </is>
      </c>
      <c r="E1023" t="inlineStr">
        <is>
          <t>HÄSSLEHOLM</t>
        </is>
      </c>
      <c r="F1023" t="inlineStr">
        <is>
          <t>Övriga Aktiebolag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7308-2025</t>
        </is>
      </c>
      <c r="B1024" s="1" t="n">
        <v>45702</v>
      </c>
      <c r="C1024" s="1" t="n">
        <v>46084</v>
      </c>
      <c r="D1024" t="inlineStr">
        <is>
          <t>SKÅNE LÄN</t>
        </is>
      </c>
      <c r="E1024" t="inlineStr">
        <is>
          <t>HÄSSLEHOLM</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58250-2024</t>
        </is>
      </c>
      <c r="B1025" s="1" t="n">
        <v>45632.55643518519</v>
      </c>
      <c r="C1025" s="1" t="n">
        <v>46084</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54671-2022</t>
        </is>
      </c>
      <c r="B1026" s="1" t="n">
        <v>44883</v>
      </c>
      <c r="C1026" s="1" t="n">
        <v>46084</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40739-2024</t>
        </is>
      </c>
      <c r="B1027" s="1" t="n">
        <v>45558</v>
      </c>
      <c r="C1027" s="1" t="n">
        <v>46084</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13932-2023</t>
        </is>
      </c>
      <c r="B1028" s="1" t="n">
        <v>45008.43935185186</v>
      </c>
      <c r="C1028" s="1" t="n">
        <v>46084</v>
      </c>
      <c r="D1028" t="inlineStr">
        <is>
          <t>SKÅNE LÄN</t>
        </is>
      </c>
      <c r="E1028" t="inlineStr">
        <is>
          <t>HÄSSLEHOLM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35889-2023</t>
        </is>
      </c>
      <c r="B1029" s="1" t="n">
        <v>45148</v>
      </c>
      <c r="C1029" s="1" t="n">
        <v>46084</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35894-2023</t>
        </is>
      </c>
      <c r="B1030" s="1" t="n">
        <v>45148</v>
      </c>
      <c r="C1030" s="1" t="n">
        <v>46084</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45299-2024</t>
        </is>
      </c>
      <c r="B1031" s="1" t="n">
        <v>45576.40599537037</v>
      </c>
      <c r="C1031" s="1" t="n">
        <v>46084</v>
      </c>
      <c r="D1031" t="inlineStr">
        <is>
          <t>SKÅNE LÄN</t>
        </is>
      </c>
      <c r="E1031" t="inlineStr">
        <is>
          <t>HÄSSLEHOLM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25176-2024</t>
        </is>
      </c>
      <c r="B1032" s="1" t="n">
        <v>45462.54582175926</v>
      </c>
      <c r="C1032" s="1" t="n">
        <v>46084</v>
      </c>
      <c r="D1032" t="inlineStr">
        <is>
          <t>SKÅNE LÄN</t>
        </is>
      </c>
      <c r="E1032" t="inlineStr">
        <is>
          <t>HÄSSLEHOLM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44741-2023</t>
        </is>
      </c>
      <c r="B1033" s="1" t="n">
        <v>45190.38804398148</v>
      </c>
      <c r="C1033" s="1" t="n">
        <v>46084</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7476-2025</t>
        </is>
      </c>
      <c r="B1034" s="1" t="n">
        <v>45702</v>
      </c>
      <c r="C1034" s="1" t="n">
        <v>46084</v>
      </c>
      <c r="D1034" t="inlineStr">
        <is>
          <t>SKÅNE LÄN</t>
        </is>
      </c>
      <c r="E1034" t="inlineStr">
        <is>
          <t>HÄSSLEHOLM</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7513-2025</t>
        </is>
      </c>
      <c r="B1035" s="1" t="n">
        <v>45702</v>
      </c>
      <c r="C1035" s="1" t="n">
        <v>46084</v>
      </c>
      <c r="D1035" t="inlineStr">
        <is>
          <t>SKÅNE LÄN</t>
        </is>
      </c>
      <c r="E1035" t="inlineStr">
        <is>
          <t>HÄSSLEHOLM</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31161-2024</t>
        </is>
      </c>
      <c r="B1036" s="1" t="n">
        <v>45503</v>
      </c>
      <c r="C1036" s="1" t="n">
        <v>46084</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22157-2024</t>
        </is>
      </c>
      <c r="B1037" s="1" t="n">
        <v>45445.85290509259</v>
      </c>
      <c r="C1037" s="1" t="n">
        <v>46084</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13316-2023</t>
        </is>
      </c>
      <c r="B1038" s="1" t="n">
        <v>45005.39013888889</v>
      </c>
      <c r="C1038" s="1" t="n">
        <v>46084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13358-2023</t>
        </is>
      </c>
      <c r="B1039" s="1" t="n">
        <v>45005</v>
      </c>
      <c r="C1039" s="1" t="n">
        <v>46084</v>
      </c>
      <c r="D1039" t="inlineStr">
        <is>
          <t>SKÅNE LÄN</t>
        </is>
      </c>
      <c r="E1039" t="inlineStr">
        <is>
          <t>HÄSSLEHOLM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3245-2022</t>
        </is>
      </c>
      <c r="B1040" s="1" t="n">
        <v>44583.39136574074</v>
      </c>
      <c r="C1040" s="1" t="n">
        <v>46084</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38228-2021</t>
        </is>
      </c>
      <c r="B1041" s="1" t="n">
        <v>44405</v>
      </c>
      <c r="C1041" s="1" t="n">
        <v>46084</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3248-2022</t>
        </is>
      </c>
      <c r="B1042" s="1" t="n">
        <v>44583</v>
      </c>
      <c r="C1042" s="1" t="n">
        <v>46084</v>
      </c>
      <c r="D1042" t="inlineStr">
        <is>
          <t>SKÅNE LÄN</t>
        </is>
      </c>
      <c r="E1042" t="inlineStr">
        <is>
          <t>HÄSSLEHOLM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25538-2024</t>
        </is>
      </c>
      <c r="B1043" s="1" t="n">
        <v>45463</v>
      </c>
      <c r="C1043" s="1" t="n">
        <v>46084</v>
      </c>
      <c r="D1043" t="inlineStr">
        <is>
          <t>SKÅNE LÄN</t>
        </is>
      </c>
      <c r="E1043" t="inlineStr">
        <is>
          <t>HÄSSLEHOLM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36733-2023</t>
        </is>
      </c>
      <c r="B1044" s="1" t="n">
        <v>45153.69989583334</v>
      </c>
      <c r="C1044" s="1" t="n">
        <v>46084</v>
      </c>
      <c r="D1044" t="inlineStr">
        <is>
          <t>SKÅNE LÄN</t>
        </is>
      </c>
      <c r="E1044" t="inlineStr">
        <is>
          <t>HÄSSLEHOLM</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60509-2023</t>
        </is>
      </c>
      <c r="B1045" s="1" t="n">
        <v>45259</v>
      </c>
      <c r="C1045" s="1" t="n">
        <v>46084</v>
      </c>
      <c r="D1045" t="inlineStr">
        <is>
          <t>SKÅNE LÄN</t>
        </is>
      </c>
      <c r="E1045" t="inlineStr">
        <is>
          <t>HÄSSLEHOLM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1562-2023</t>
        </is>
      </c>
      <c r="B1046" s="1" t="n">
        <v>44937.60450231482</v>
      </c>
      <c r="C1046" s="1" t="n">
        <v>46084</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45220-2023</t>
        </is>
      </c>
      <c r="B1047" s="1" t="n">
        <v>45191</v>
      </c>
      <c r="C1047" s="1" t="n">
        <v>46084</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32967-2023</t>
        </is>
      </c>
      <c r="B1048" s="1" t="n">
        <v>45125</v>
      </c>
      <c r="C1048" s="1" t="n">
        <v>46084</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32968-2023</t>
        </is>
      </c>
      <c r="B1049" s="1" t="n">
        <v>45125</v>
      </c>
      <c r="C1049" s="1" t="n">
        <v>46084</v>
      </c>
      <c r="D1049" t="inlineStr">
        <is>
          <t>SKÅNE LÄN</t>
        </is>
      </c>
      <c r="E1049" t="inlineStr">
        <is>
          <t>HÄSSLEHOLM</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10277-2023</t>
        </is>
      </c>
      <c r="B1050" s="1" t="n">
        <v>44986</v>
      </c>
      <c r="C1050" s="1" t="n">
        <v>46084</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10290-2023</t>
        </is>
      </c>
      <c r="B1051" s="1" t="n">
        <v>44986</v>
      </c>
      <c r="C1051" s="1" t="n">
        <v>46084</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45145.74532407407</v>
      </c>
      <c r="C1052" s="1" t="n">
        <v>46084</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57967-2023</t>
        </is>
      </c>
      <c r="B1053" s="1" t="n">
        <v>45247.57984953704</v>
      </c>
      <c r="C1053" s="1" t="n">
        <v>46084</v>
      </c>
      <c r="D1053" t="inlineStr">
        <is>
          <t>SKÅNE LÄN</t>
        </is>
      </c>
      <c r="E1053" t="inlineStr">
        <is>
          <t>HÄSSLEHOLM</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62041-2022</t>
        </is>
      </c>
      <c r="B1054" s="1" t="n">
        <v>44918.55743055556</v>
      </c>
      <c r="C1054" s="1" t="n">
        <v>46084</v>
      </c>
      <c r="D1054" t="inlineStr">
        <is>
          <t>SKÅNE LÄN</t>
        </is>
      </c>
      <c r="E1054" t="inlineStr">
        <is>
          <t>HÄSSLEHOLM</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12468-2024</t>
        </is>
      </c>
      <c r="B1055" s="1" t="n">
        <v>45379</v>
      </c>
      <c r="C1055" s="1" t="n">
        <v>46084</v>
      </c>
      <c r="D1055" t="inlineStr">
        <is>
          <t>SKÅNE LÄN</t>
        </is>
      </c>
      <c r="E1055" t="inlineStr">
        <is>
          <t>HÄSSLEHOLM</t>
        </is>
      </c>
      <c r="G1055" t="n">
        <v>15.5</v>
      </c>
      <c r="H1055" t="n">
        <v>0</v>
      </c>
      <c r="I1055" t="n">
        <v>0</v>
      </c>
      <c r="J1055" t="n">
        <v>0</v>
      </c>
      <c r="K1055" t="n">
        <v>0</v>
      </c>
      <c r="L1055" t="n">
        <v>0</v>
      </c>
      <c r="M1055" t="n">
        <v>0</v>
      </c>
      <c r="N1055" t="n">
        <v>0</v>
      </c>
      <c r="O1055" t="n">
        <v>0</v>
      </c>
      <c r="P1055" t="n">
        <v>0</v>
      </c>
      <c r="Q1055" t="n">
        <v>0</v>
      </c>
      <c r="R1055" s="2" t="inlineStr"/>
    </row>
    <row r="1056" ht="15" customHeight="1">
      <c r="A1056" t="inlineStr">
        <is>
          <t>A 1553-2023</t>
        </is>
      </c>
      <c r="B1056" s="1" t="n">
        <v>44937</v>
      </c>
      <c r="C1056" s="1" t="n">
        <v>46084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22690-2022</t>
        </is>
      </c>
      <c r="B1057" s="1" t="n">
        <v>44714.5421875</v>
      </c>
      <c r="C1057" s="1" t="n">
        <v>46084</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53897-2023</t>
        </is>
      </c>
      <c r="B1058" s="1" t="n">
        <v>45231.53934027778</v>
      </c>
      <c r="C1058" s="1" t="n">
        <v>46084</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1170-2025</t>
        </is>
      </c>
      <c r="B1059" s="1" t="n">
        <v>45667.29226851852</v>
      </c>
      <c r="C1059" s="1" t="n">
        <v>46084</v>
      </c>
      <c r="D1059" t="inlineStr">
        <is>
          <t>SKÅNE LÄN</t>
        </is>
      </c>
      <c r="E1059" t="inlineStr">
        <is>
          <t>HÄSSLEHOLM</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22132-2024</t>
        </is>
      </c>
      <c r="B1060" s="1" t="n">
        <v>45444.37234953704</v>
      </c>
      <c r="C1060" s="1" t="n">
        <v>46084</v>
      </c>
      <c r="D1060" t="inlineStr">
        <is>
          <t>SKÅNE LÄN</t>
        </is>
      </c>
      <c r="E1060" t="inlineStr">
        <is>
          <t>HÄSSLEHOLM</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32210-2024</t>
        </is>
      </c>
      <c r="B1061" s="1" t="n">
        <v>45511.67777777778</v>
      </c>
      <c r="C1061" s="1" t="n">
        <v>46084</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2743-2023</t>
        </is>
      </c>
      <c r="B1062" s="1" t="n">
        <v>44944</v>
      </c>
      <c r="C1062" s="1" t="n">
        <v>46084</v>
      </c>
      <c r="D1062" t="inlineStr">
        <is>
          <t>SKÅNE LÄN</t>
        </is>
      </c>
      <c r="E1062" t="inlineStr">
        <is>
          <t>HÄSSLEHOLM</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8749-2024</t>
        </is>
      </c>
      <c r="B1063" s="1" t="n">
        <v>45356.50387731481</v>
      </c>
      <c r="C1063" s="1" t="n">
        <v>46084</v>
      </c>
      <c r="D1063" t="inlineStr">
        <is>
          <t>SKÅNE LÄN</t>
        </is>
      </c>
      <c r="E1063" t="inlineStr">
        <is>
          <t>HÄSSLEHOLM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8752-2024</t>
        </is>
      </c>
      <c r="B1064" s="1" t="n">
        <v>45356</v>
      </c>
      <c r="C1064" s="1" t="n">
        <v>46084</v>
      </c>
      <c r="D1064" t="inlineStr">
        <is>
          <t>SKÅNE LÄN</t>
        </is>
      </c>
      <c r="E1064" t="inlineStr">
        <is>
          <t>HÄSSLEHOLM</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8759-2024</t>
        </is>
      </c>
      <c r="B1065" s="1" t="n">
        <v>45356.52271990741</v>
      </c>
      <c r="C1065" s="1" t="n">
        <v>46084</v>
      </c>
      <c r="D1065" t="inlineStr">
        <is>
          <t>SKÅNE LÄN</t>
        </is>
      </c>
      <c r="E1065" t="inlineStr">
        <is>
          <t>HÄSSLEHOLM</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48624-2021</t>
        </is>
      </c>
      <c r="B1066" s="1" t="n">
        <v>44452</v>
      </c>
      <c r="C1066" s="1" t="n">
        <v>46084</v>
      </c>
      <c r="D1066" t="inlineStr">
        <is>
          <t>SKÅNE LÄN</t>
        </is>
      </c>
      <c r="E1066" t="inlineStr">
        <is>
          <t>HÄSSLEHOLM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59434-2023</t>
        </is>
      </c>
      <c r="B1067" s="1" t="n">
        <v>45254.30440972222</v>
      </c>
      <c r="C1067" s="1" t="n">
        <v>46084</v>
      </c>
      <c r="D1067" t="inlineStr">
        <is>
          <t>SKÅNE LÄN</t>
        </is>
      </c>
      <c r="E1067" t="inlineStr">
        <is>
          <t>HÄSSLEHOLM</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2290-2024</t>
        </is>
      </c>
      <c r="B1068" s="1" t="n">
        <v>45310</v>
      </c>
      <c r="C1068" s="1" t="n">
        <v>46084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33067-2024</t>
        </is>
      </c>
      <c r="B1069" s="1" t="n">
        <v>45517.6520949074</v>
      </c>
      <c r="C1069" s="1" t="n">
        <v>46084</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28236-2022</t>
        </is>
      </c>
      <c r="B1070" s="1" t="n">
        <v>44746</v>
      </c>
      <c r="C1070" s="1" t="n">
        <v>46084</v>
      </c>
      <c r="D1070" t="inlineStr">
        <is>
          <t>SKÅNE LÄN</t>
        </is>
      </c>
      <c r="E1070" t="inlineStr">
        <is>
          <t>HÄSSLEHOLM</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61625-2022</t>
        </is>
      </c>
      <c r="B1071" s="1" t="n">
        <v>44916</v>
      </c>
      <c r="C1071" s="1" t="n">
        <v>46084</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38829-2024</t>
        </is>
      </c>
      <c r="B1072" s="1" t="n">
        <v>45547.57247685185</v>
      </c>
      <c r="C1072" s="1" t="n">
        <v>46084</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13890-2024</t>
        </is>
      </c>
      <c r="B1073" s="1" t="n">
        <v>45391</v>
      </c>
      <c r="C1073" s="1" t="n">
        <v>46084</v>
      </c>
      <c r="D1073" t="inlineStr">
        <is>
          <t>SKÅNE LÄN</t>
        </is>
      </c>
      <c r="E1073" t="inlineStr">
        <is>
          <t>HÄSSLEHOLM</t>
        </is>
      </c>
      <c r="F1073" t="inlineStr">
        <is>
          <t>Kommuner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55218-2023</t>
        </is>
      </c>
      <c r="B1074" s="1" t="n">
        <v>45237</v>
      </c>
      <c r="C1074" s="1" t="n">
        <v>46084</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46288-2023</t>
        </is>
      </c>
      <c r="B1075" s="1" t="n">
        <v>45197.30221064815</v>
      </c>
      <c r="C1075" s="1" t="n">
        <v>46084</v>
      </c>
      <c r="D1075" t="inlineStr">
        <is>
          <t>SKÅNE LÄN</t>
        </is>
      </c>
      <c r="E1075" t="inlineStr">
        <is>
          <t>HÄSSLEHOLM</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49106-2023</t>
        </is>
      </c>
      <c r="B1076" s="1" t="n">
        <v>45210</v>
      </c>
      <c r="C1076" s="1" t="n">
        <v>46084</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10409-2024</t>
        </is>
      </c>
      <c r="B1077" s="1" t="n">
        <v>45365.6978125</v>
      </c>
      <c r="C1077" s="1" t="n">
        <v>46084</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47248-2023</t>
        </is>
      </c>
      <c r="B1078" s="1" t="n">
        <v>45202</v>
      </c>
      <c r="C1078" s="1" t="n">
        <v>46084</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20990-2023</t>
        </is>
      </c>
      <c r="B1079" s="1" t="n">
        <v>45061.46186342592</v>
      </c>
      <c r="C1079" s="1" t="n">
        <v>46084</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54171-2022</t>
        </is>
      </c>
      <c r="B1080" s="1" t="n">
        <v>44881</v>
      </c>
      <c r="C1080" s="1" t="n">
        <v>46084</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57277-2023</t>
        </is>
      </c>
      <c r="B1081" s="1" t="n">
        <v>45245.59104166667</v>
      </c>
      <c r="C1081" s="1" t="n">
        <v>46084</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35150-2023</t>
        </is>
      </c>
      <c r="B1082" s="1" t="n">
        <v>45145</v>
      </c>
      <c r="C1082" s="1" t="n">
        <v>46084</v>
      </c>
      <c r="D1082" t="inlineStr">
        <is>
          <t>SKÅNE LÄN</t>
        </is>
      </c>
      <c r="E1082" t="inlineStr">
        <is>
          <t>HÄSSLEHOLM</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18041-2023</t>
        </is>
      </c>
      <c r="B1083" s="1" t="n">
        <v>45040</v>
      </c>
      <c r="C1083" s="1" t="n">
        <v>46084</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49250-2022</t>
        </is>
      </c>
      <c r="B1084" s="1" t="n">
        <v>44858</v>
      </c>
      <c r="C1084" s="1" t="n">
        <v>46084</v>
      </c>
      <c r="D1084" t="inlineStr">
        <is>
          <t>SKÅNE LÄN</t>
        </is>
      </c>
      <c r="E1084" t="inlineStr">
        <is>
          <t>HÄSSLEHOLM</t>
        </is>
      </c>
      <c r="F1084" t="inlineStr">
        <is>
          <t>Kyrkan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27197-2021</t>
        </is>
      </c>
      <c r="B1085" s="1" t="n">
        <v>44350</v>
      </c>
      <c r="C1085" s="1" t="n">
        <v>46084</v>
      </c>
      <c r="D1085" t="inlineStr">
        <is>
          <t>SKÅNE LÄN</t>
        </is>
      </c>
      <c r="E1085" t="inlineStr">
        <is>
          <t>HÄSSLEHOLM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45222-2023</t>
        </is>
      </c>
      <c r="B1086" s="1" t="n">
        <v>45191</v>
      </c>
      <c r="C1086" s="1" t="n">
        <v>46084</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35890-2023</t>
        </is>
      </c>
      <c r="B1087" s="1" t="n">
        <v>45148</v>
      </c>
      <c r="C1087" s="1" t="n">
        <v>46084</v>
      </c>
      <c r="D1087" t="inlineStr">
        <is>
          <t>SKÅNE LÄN</t>
        </is>
      </c>
      <c r="E1087" t="inlineStr">
        <is>
          <t>HÄSSLEHOLM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35895-2023</t>
        </is>
      </c>
      <c r="B1088" s="1" t="n">
        <v>45148</v>
      </c>
      <c r="C1088" s="1" t="n">
        <v>46084</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61569-2023</t>
        </is>
      </c>
      <c r="B1089" s="1" t="n">
        <v>45265</v>
      </c>
      <c r="C1089" s="1" t="n">
        <v>46084</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52235-2021</t>
        </is>
      </c>
      <c r="B1090" s="1" t="n">
        <v>44463.60085648148</v>
      </c>
      <c r="C1090" s="1" t="n">
        <v>46084</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54471-2023</t>
        </is>
      </c>
      <c r="B1091" s="1" t="n">
        <v>45233.4640162037</v>
      </c>
      <c r="C1091" s="1" t="n">
        <v>46084</v>
      </c>
      <c r="D1091" t="inlineStr">
        <is>
          <t>SKÅNE LÄN</t>
        </is>
      </c>
      <c r="E1091" t="inlineStr">
        <is>
          <t>HÄSSLEHOLM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50607-2023</t>
        </is>
      </c>
      <c r="B1092" s="1" t="n">
        <v>45210</v>
      </c>
      <c r="C1092" s="1" t="n">
        <v>46084</v>
      </c>
      <c r="D1092" t="inlineStr">
        <is>
          <t>SKÅNE LÄN</t>
        </is>
      </c>
      <c r="E1092" t="inlineStr">
        <is>
          <t>HÄSSLEHOLM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38148-2022</t>
        </is>
      </c>
      <c r="B1093" s="1" t="n">
        <v>44811</v>
      </c>
      <c r="C1093" s="1" t="n">
        <v>46084</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31944-2023</t>
        </is>
      </c>
      <c r="B1094" s="1" t="n">
        <v>45119.34895833334</v>
      </c>
      <c r="C1094" s="1" t="n">
        <v>46084</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1706-2025</t>
        </is>
      </c>
      <c r="B1095" s="1" t="n">
        <v>45670</v>
      </c>
      <c r="C1095" s="1" t="n">
        <v>46084</v>
      </c>
      <c r="D1095" t="inlineStr">
        <is>
          <t>SKÅNE LÄN</t>
        </is>
      </c>
      <c r="E1095" t="inlineStr">
        <is>
          <t>HÄSSLEHOLM</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55056-2021</t>
        </is>
      </c>
      <c r="B1096" s="1" t="n">
        <v>44474.62072916667</v>
      </c>
      <c r="C1096" s="1" t="n">
        <v>46084</v>
      </c>
      <c r="D1096" t="inlineStr">
        <is>
          <t>SKÅNE LÄN</t>
        </is>
      </c>
      <c r="E1096" t="inlineStr">
        <is>
          <t>HÄSSLEHOLM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13544-2025</t>
        </is>
      </c>
      <c r="B1097" s="1" t="n">
        <v>45736</v>
      </c>
      <c r="C1097" s="1" t="n">
        <v>46084</v>
      </c>
      <c r="D1097" t="inlineStr">
        <is>
          <t>SKÅNE LÄN</t>
        </is>
      </c>
      <c r="E1097" t="inlineStr">
        <is>
          <t>HÄSSLEHOLM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8755-2024</t>
        </is>
      </c>
      <c r="B1098" s="1" t="n">
        <v>45356</v>
      </c>
      <c r="C1098" s="1" t="n">
        <v>46084</v>
      </c>
      <c r="D1098" t="inlineStr">
        <is>
          <t>SKÅNE LÄN</t>
        </is>
      </c>
      <c r="E1098" t="inlineStr">
        <is>
          <t>HÄSSLEHOLM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8760-2024</t>
        </is>
      </c>
      <c r="B1099" s="1" t="n">
        <v>45356.53420138889</v>
      </c>
      <c r="C1099" s="1" t="n">
        <v>46084</v>
      </c>
      <c r="D1099" t="inlineStr">
        <is>
          <t>SKÅNE LÄN</t>
        </is>
      </c>
      <c r="E1099" t="inlineStr">
        <is>
          <t>HÄSSLEHOLM</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33257-2024</t>
        </is>
      </c>
      <c r="B1100" s="1" t="n">
        <v>45518</v>
      </c>
      <c r="C1100" s="1" t="n">
        <v>46084</v>
      </c>
      <c r="D1100" t="inlineStr">
        <is>
          <t>SKÅNE LÄN</t>
        </is>
      </c>
      <c r="E1100" t="inlineStr">
        <is>
          <t>HÄSSLEHOLM</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24865-2024</t>
        </is>
      </c>
      <c r="B1101" s="1" t="n">
        <v>45461.48974537037</v>
      </c>
      <c r="C1101" s="1" t="n">
        <v>46084</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58272-2024</t>
        </is>
      </c>
      <c r="B1102" s="1" t="n">
        <v>45632.57025462963</v>
      </c>
      <c r="C1102" s="1" t="n">
        <v>46084</v>
      </c>
      <c r="D1102" t="inlineStr">
        <is>
          <t>SKÅNE LÄN</t>
        </is>
      </c>
      <c r="E1102" t="inlineStr">
        <is>
          <t>HÄSSLEHOLM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18580-2023</t>
        </is>
      </c>
      <c r="B1103" s="1" t="n">
        <v>45043.37037037037</v>
      </c>
      <c r="C1103" s="1" t="n">
        <v>46084</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9611-2025</t>
        </is>
      </c>
      <c r="B1104" s="1" t="n">
        <v>45715</v>
      </c>
      <c r="C1104" s="1" t="n">
        <v>46084</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24906-2022</t>
        </is>
      </c>
      <c r="B1105" s="1" t="n">
        <v>44728</v>
      </c>
      <c r="C1105" s="1" t="n">
        <v>46084</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3890-2024</t>
        </is>
      </c>
      <c r="B1106" s="1" t="n">
        <v>45322.45366898148</v>
      </c>
      <c r="C1106" s="1" t="n">
        <v>46084</v>
      </c>
      <c r="D1106" t="inlineStr">
        <is>
          <t>SKÅNE LÄN</t>
        </is>
      </c>
      <c r="E1106" t="inlineStr">
        <is>
          <t>HÄSSLEHOLM</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15800-2025</t>
        </is>
      </c>
      <c r="B1107" s="1" t="n">
        <v>45748.64831018518</v>
      </c>
      <c r="C1107" s="1" t="n">
        <v>46084</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13897-2024</t>
        </is>
      </c>
      <c r="B1108" s="1" t="n">
        <v>45391</v>
      </c>
      <c r="C1108" s="1" t="n">
        <v>46084</v>
      </c>
      <c r="D1108" t="inlineStr">
        <is>
          <t>SKÅNE LÄN</t>
        </is>
      </c>
      <c r="E1108" t="inlineStr">
        <is>
          <t>HÄSSLEHOLM</t>
        </is>
      </c>
      <c r="F1108" t="inlineStr">
        <is>
          <t>Kommuner</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56355-2023</t>
        </is>
      </c>
      <c r="B1109" s="1" t="n">
        <v>45243.3702662037</v>
      </c>
      <c r="C1109" s="1" t="n">
        <v>46084</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59246-2024</t>
        </is>
      </c>
      <c r="B1110" s="1" t="n">
        <v>45636</v>
      </c>
      <c r="C1110" s="1" t="n">
        <v>46084</v>
      </c>
      <c r="D1110" t="inlineStr">
        <is>
          <t>SKÅNE LÄN</t>
        </is>
      </c>
      <c r="E1110" t="inlineStr">
        <is>
          <t>HÄSSLEHOLM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20800-2023</t>
        </is>
      </c>
      <c r="B1111" s="1" t="n">
        <v>45058.61640046296</v>
      </c>
      <c r="C1111" s="1" t="n">
        <v>46084</v>
      </c>
      <c r="D1111" t="inlineStr">
        <is>
          <t>SKÅNE LÄN</t>
        </is>
      </c>
      <c r="E1111" t="inlineStr">
        <is>
          <t>HÄSSLEHOLM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11019-2025</t>
        </is>
      </c>
      <c r="B1112" s="1" t="n">
        <v>45723</v>
      </c>
      <c r="C1112" s="1" t="n">
        <v>46084</v>
      </c>
      <c r="D1112" t="inlineStr">
        <is>
          <t>SKÅNE LÄN</t>
        </is>
      </c>
      <c r="E1112" t="inlineStr">
        <is>
          <t>HÄSSLEHOLM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11681-2023</t>
        </is>
      </c>
      <c r="B1113" s="1" t="n">
        <v>44992</v>
      </c>
      <c r="C1113" s="1" t="n">
        <v>46084</v>
      </c>
      <c r="D1113" t="inlineStr">
        <is>
          <t>SKÅNE LÄN</t>
        </is>
      </c>
      <c r="E1113" t="inlineStr">
        <is>
          <t>HÄSSLEHOLM</t>
        </is>
      </c>
      <c r="F1113" t="inlineStr">
        <is>
          <t>Övriga Aktiebolag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33927-2021</t>
        </is>
      </c>
      <c r="B1114" s="1" t="n">
        <v>44378</v>
      </c>
      <c r="C1114" s="1" t="n">
        <v>46084</v>
      </c>
      <c r="D1114" t="inlineStr">
        <is>
          <t>SKÅNE LÄN</t>
        </is>
      </c>
      <c r="E1114" t="inlineStr">
        <is>
          <t>HÄSSLEHOLM</t>
        </is>
      </c>
      <c r="G1114" t="n">
        <v>16.7</v>
      </c>
      <c r="H1114" t="n">
        <v>0</v>
      </c>
      <c r="I1114" t="n">
        <v>0</v>
      </c>
      <c r="J1114" t="n">
        <v>0</v>
      </c>
      <c r="K1114" t="n">
        <v>0</v>
      </c>
      <c r="L1114" t="n">
        <v>0</v>
      </c>
      <c r="M1114" t="n">
        <v>0</v>
      </c>
      <c r="N1114" t="n">
        <v>0</v>
      </c>
      <c r="O1114" t="n">
        <v>0</v>
      </c>
      <c r="P1114" t="n">
        <v>0</v>
      </c>
      <c r="Q1114" t="n">
        <v>0</v>
      </c>
      <c r="R1114" s="2" t="inlineStr"/>
    </row>
    <row r="1115" ht="15" customHeight="1">
      <c r="A1115" t="inlineStr">
        <is>
          <t>A 7305-2025</t>
        </is>
      </c>
      <c r="B1115" s="1" t="n">
        <v>45702</v>
      </c>
      <c r="C1115" s="1" t="n">
        <v>46084</v>
      </c>
      <c r="D1115" t="inlineStr">
        <is>
          <t>SKÅNE LÄN</t>
        </is>
      </c>
      <c r="E1115" t="inlineStr">
        <is>
          <t>HÄSSLEHOLM</t>
        </is>
      </c>
      <c r="F1115" t="inlineStr">
        <is>
          <t>Övriga Aktiebolag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5116-2023</t>
        </is>
      </c>
      <c r="B1116" s="1" t="n">
        <v>44958.67546296296</v>
      </c>
      <c r="C1116" s="1" t="n">
        <v>46084</v>
      </c>
      <c r="D1116" t="inlineStr">
        <is>
          <t>SKÅNE LÄN</t>
        </is>
      </c>
      <c r="E1116" t="inlineStr">
        <is>
          <t>HÄSSLEHOLM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42364-2023</t>
        </is>
      </c>
      <c r="B1117" s="1" t="n">
        <v>45180.54754629629</v>
      </c>
      <c r="C1117" s="1" t="n">
        <v>46084</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54408-2024</t>
        </is>
      </c>
      <c r="B1118" s="1" t="n">
        <v>45617.47263888889</v>
      </c>
      <c r="C1118" s="1" t="n">
        <v>46084</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5780-2024</t>
        </is>
      </c>
      <c r="B1119" s="1" t="n">
        <v>45335.41983796296</v>
      </c>
      <c r="C1119" s="1" t="n">
        <v>46084</v>
      </c>
      <c r="D1119" t="inlineStr">
        <is>
          <t>SKÅNE LÄN</t>
        </is>
      </c>
      <c r="E1119" t="inlineStr">
        <is>
          <t>HÄSSLEHOLM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7481-2023</t>
        </is>
      </c>
      <c r="B1120" s="1" t="n">
        <v>44971</v>
      </c>
      <c r="C1120" s="1" t="n">
        <v>46084</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59728-2022</t>
        </is>
      </c>
      <c r="B1121" s="1" t="n">
        <v>44900</v>
      </c>
      <c r="C1121" s="1" t="n">
        <v>46084</v>
      </c>
      <c r="D1121" t="inlineStr">
        <is>
          <t>SKÅNE LÄN</t>
        </is>
      </c>
      <c r="E1121" t="inlineStr">
        <is>
          <t>HÄSSLEHOLM</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23683-2023</t>
        </is>
      </c>
      <c r="B1122" s="1" t="n">
        <v>45077</v>
      </c>
      <c r="C1122" s="1" t="n">
        <v>46084</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2663-2023</t>
        </is>
      </c>
      <c r="B1123" s="1" t="n">
        <v>44942</v>
      </c>
      <c r="C1123" s="1" t="n">
        <v>46084</v>
      </c>
      <c r="D1123" t="inlineStr">
        <is>
          <t>SKÅNE LÄN</t>
        </is>
      </c>
      <c r="E1123" t="inlineStr">
        <is>
          <t>HÄSSLEHOLM</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23172-2022</t>
        </is>
      </c>
      <c r="B1124" s="1" t="n">
        <v>44719</v>
      </c>
      <c r="C1124" s="1" t="n">
        <v>46084</v>
      </c>
      <c r="D1124" t="inlineStr">
        <is>
          <t>SKÅNE LÄN</t>
        </is>
      </c>
      <c r="E1124" t="inlineStr">
        <is>
          <t>HÄSSLEHOLM</t>
        </is>
      </c>
      <c r="F1124" t="inlineStr">
        <is>
          <t>Övriga Aktiebolag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23173-2022</t>
        </is>
      </c>
      <c r="B1125" s="1" t="n">
        <v>44719.72155092593</v>
      </c>
      <c r="C1125" s="1" t="n">
        <v>46084</v>
      </c>
      <c r="D1125" t="inlineStr">
        <is>
          <t>SKÅNE LÄN</t>
        </is>
      </c>
      <c r="E1125" t="inlineStr">
        <is>
          <t>HÄSSLEHOLM</t>
        </is>
      </c>
      <c r="F1125" t="inlineStr">
        <is>
          <t>Övriga Aktiebolag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17492-2025</t>
        </is>
      </c>
      <c r="B1126" s="1" t="n">
        <v>45747</v>
      </c>
      <c r="C1126" s="1" t="n">
        <v>46084</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50664-2023</t>
        </is>
      </c>
      <c r="B1127" s="1" t="n">
        <v>45217</v>
      </c>
      <c r="C1127" s="1" t="n">
        <v>46084</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42428-2022</t>
        </is>
      </c>
      <c r="B1128" s="1" t="n">
        <v>44831</v>
      </c>
      <c r="C1128" s="1" t="n">
        <v>46084</v>
      </c>
      <c r="D1128" t="inlineStr">
        <is>
          <t>SKÅNE LÄN</t>
        </is>
      </c>
      <c r="E1128" t="inlineStr">
        <is>
          <t>HÄSSLEHOLM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62171-2022</t>
        </is>
      </c>
      <c r="B1129" s="1" t="n">
        <v>44915</v>
      </c>
      <c r="C1129" s="1" t="n">
        <v>46084</v>
      </c>
      <c r="D1129" t="inlineStr">
        <is>
          <t>SKÅNE LÄN</t>
        </is>
      </c>
      <c r="E1129" t="inlineStr">
        <is>
          <t>HÄSSLEHOLM</t>
        </is>
      </c>
      <c r="F1129" t="inlineStr">
        <is>
          <t>Kyrkan</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56956-2024</t>
        </is>
      </c>
      <c r="B1130" s="1" t="n">
        <v>45626</v>
      </c>
      <c r="C1130" s="1" t="n">
        <v>46084</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35711-2024</t>
        </is>
      </c>
      <c r="B1131" s="1" t="n">
        <v>45532</v>
      </c>
      <c r="C1131" s="1" t="n">
        <v>46084</v>
      </c>
      <c r="D1131" t="inlineStr">
        <is>
          <t>SKÅNE LÄN</t>
        </is>
      </c>
      <c r="E1131" t="inlineStr">
        <is>
          <t>HÄSSLEHOLM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56490-2021</t>
        </is>
      </c>
      <c r="B1132" s="1" t="n">
        <v>44480</v>
      </c>
      <c r="C1132" s="1" t="n">
        <v>46084</v>
      </c>
      <c r="D1132" t="inlineStr">
        <is>
          <t>SKÅNE LÄN</t>
        </is>
      </c>
      <c r="E1132" t="inlineStr">
        <is>
          <t>HÄSSLEHOLM</t>
        </is>
      </c>
      <c r="F1132" t="inlineStr">
        <is>
          <t>Kyrkan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61680-2022</t>
        </is>
      </c>
      <c r="B1133" s="1" t="n">
        <v>44917.36372685185</v>
      </c>
      <c r="C1133" s="1" t="n">
        <v>46084</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61489-2024</t>
        </is>
      </c>
      <c r="B1134" s="1" t="n">
        <v>45646.54875</v>
      </c>
      <c r="C1134" s="1" t="n">
        <v>46084</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17699-2024</t>
        </is>
      </c>
      <c r="B1135" s="1" t="n">
        <v>45418.46094907408</v>
      </c>
      <c r="C1135" s="1" t="n">
        <v>46084</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17702-2024</t>
        </is>
      </c>
      <c r="B1136" s="1" t="n">
        <v>45418.46534722222</v>
      </c>
      <c r="C1136" s="1" t="n">
        <v>46084</v>
      </c>
      <c r="D1136" t="inlineStr">
        <is>
          <t>SKÅNE LÄN</t>
        </is>
      </c>
      <c r="E1136" t="inlineStr">
        <is>
          <t>HÄSSLEHOLM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6101-2022</t>
        </is>
      </c>
      <c r="B1137" s="1" t="n">
        <v>44599.63016203704</v>
      </c>
      <c r="C1137" s="1" t="n">
        <v>46084</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16951-2025</t>
        </is>
      </c>
      <c r="B1138" s="1" t="n">
        <v>45755</v>
      </c>
      <c r="C1138" s="1" t="n">
        <v>46084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16614-2025</t>
        </is>
      </c>
      <c r="B1139" s="1" t="n">
        <v>45754.283125</v>
      </c>
      <c r="C1139" s="1" t="n">
        <v>46084</v>
      </c>
      <c r="D1139" t="inlineStr">
        <is>
          <t>SKÅNE LÄN</t>
        </is>
      </c>
      <c r="E1139" t="inlineStr">
        <is>
          <t>HÄSSLEHOLM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3888-2024</t>
        </is>
      </c>
      <c r="B1140" s="1" t="n">
        <v>45322.45089120371</v>
      </c>
      <c r="C1140" s="1" t="n">
        <v>46084</v>
      </c>
      <c r="D1140" t="inlineStr">
        <is>
          <t>SKÅNE LÄN</t>
        </is>
      </c>
      <c r="E1140" t="inlineStr">
        <is>
          <t>HÄSSLEHOLM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3889-2024</t>
        </is>
      </c>
      <c r="B1141" s="1" t="n">
        <v>45322.45234953704</v>
      </c>
      <c r="C1141" s="1" t="n">
        <v>46084</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3294-2025</t>
        </is>
      </c>
      <c r="B1142" s="1" t="n">
        <v>45679.64125</v>
      </c>
      <c r="C1142" s="1" t="n">
        <v>46084</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9669-2025</t>
        </is>
      </c>
      <c r="B1143" s="1" t="n">
        <v>45716.32921296296</v>
      </c>
      <c r="C1143" s="1" t="n">
        <v>46084</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31995-2023</t>
        </is>
      </c>
      <c r="B1144" s="1" t="n">
        <v>45107</v>
      </c>
      <c r="C1144" s="1" t="n">
        <v>46084</v>
      </c>
      <c r="D1144" t="inlineStr">
        <is>
          <t>SKÅNE LÄN</t>
        </is>
      </c>
      <c r="E1144" t="inlineStr">
        <is>
          <t>HÄSSLEHOLM</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31998-2023</t>
        </is>
      </c>
      <c r="B1145" s="1" t="n">
        <v>45119</v>
      </c>
      <c r="C1145" s="1" t="n">
        <v>46084</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7150-2025</t>
        </is>
      </c>
      <c r="B1146" s="1" t="n">
        <v>45702.38239583333</v>
      </c>
      <c r="C1146" s="1" t="n">
        <v>46084</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20185-2023</t>
        </is>
      </c>
      <c r="B1147" s="1" t="n">
        <v>45055.56795138889</v>
      </c>
      <c r="C1147" s="1" t="n">
        <v>46084</v>
      </c>
      <c r="D1147" t="inlineStr">
        <is>
          <t>SKÅNE LÄN</t>
        </is>
      </c>
      <c r="E1147" t="inlineStr">
        <is>
          <t>HÄSSLEHOLM</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61170-2022</t>
        </is>
      </c>
      <c r="B1148" s="1" t="n">
        <v>44915.48543981482</v>
      </c>
      <c r="C1148" s="1" t="n">
        <v>46084</v>
      </c>
      <c r="D1148" t="inlineStr">
        <is>
          <t>SKÅNE LÄN</t>
        </is>
      </c>
      <c r="E1148" t="inlineStr">
        <is>
          <t>HÄSSLEHOLM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43629-2023</t>
        </is>
      </c>
      <c r="B1149" s="1" t="n">
        <v>45184</v>
      </c>
      <c r="C1149" s="1" t="n">
        <v>46084</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13990-2022</t>
        </is>
      </c>
      <c r="B1150" s="1" t="n">
        <v>44650</v>
      </c>
      <c r="C1150" s="1" t="n">
        <v>46084</v>
      </c>
      <c r="D1150" t="inlineStr">
        <is>
          <t>SKÅNE LÄN</t>
        </is>
      </c>
      <c r="E1150" t="inlineStr">
        <is>
          <t>HÄSSLEHOLM</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45217.37957175926</v>
      </c>
      <c r="C1151" s="1" t="n">
        <v>46084</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43061-2024</t>
        </is>
      </c>
      <c r="B1152" s="1" t="n">
        <v>45567</v>
      </c>
      <c r="C1152" s="1" t="n">
        <v>46084</v>
      </c>
      <c r="D1152" t="inlineStr">
        <is>
          <t>SKÅNE LÄN</t>
        </is>
      </c>
      <c r="E1152" t="inlineStr">
        <is>
          <t>HÄSSLEHOLM</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54171-2021</t>
        </is>
      </c>
      <c r="B1153" s="1" t="n">
        <v>44470</v>
      </c>
      <c r="C1153" s="1" t="n">
        <v>46084</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24640-2023</t>
        </is>
      </c>
      <c r="B1154" s="1" t="n">
        <v>45084.43181712963</v>
      </c>
      <c r="C1154" s="1" t="n">
        <v>46084</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51618-2024</t>
        </is>
      </c>
      <c r="B1155" s="1" t="n">
        <v>45604.82615740741</v>
      </c>
      <c r="C1155" s="1" t="n">
        <v>46084</v>
      </c>
      <c r="D1155" t="inlineStr">
        <is>
          <t>SKÅNE LÄN</t>
        </is>
      </c>
      <c r="E1155" t="inlineStr">
        <is>
          <t>HÄSSLEHOLM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8249-2023</t>
        </is>
      </c>
      <c r="B1156" s="1" t="n">
        <v>44974</v>
      </c>
      <c r="C1156" s="1" t="n">
        <v>46084</v>
      </c>
      <c r="D1156" t="inlineStr">
        <is>
          <t>SKÅNE LÄN</t>
        </is>
      </c>
      <c r="E1156" t="inlineStr">
        <is>
          <t>HÄSSLEHOLM</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47840-2023</t>
        </is>
      </c>
      <c r="B1157" s="1" t="n">
        <v>45204</v>
      </c>
      <c r="C1157" s="1" t="n">
        <v>46084</v>
      </c>
      <c r="D1157" t="inlineStr">
        <is>
          <t>SKÅNE LÄN</t>
        </is>
      </c>
      <c r="E1157" t="inlineStr">
        <is>
          <t>HÄSSLEHOLM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62277-2023</t>
        </is>
      </c>
      <c r="B1158" s="1" t="n">
        <v>45266</v>
      </c>
      <c r="C1158" s="1" t="n">
        <v>46084</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34369-2023</t>
        </is>
      </c>
      <c r="B1159" s="1" t="n">
        <v>45139.47817129629</v>
      </c>
      <c r="C1159" s="1" t="n">
        <v>46084</v>
      </c>
      <c r="D1159" t="inlineStr">
        <is>
          <t>SKÅNE LÄN</t>
        </is>
      </c>
      <c r="E1159" t="inlineStr">
        <is>
          <t>HÄSSLEHOLM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34834-2023</t>
        </is>
      </c>
      <c r="B1160" s="1" t="n">
        <v>45141.7199537037</v>
      </c>
      <c r="C1160" s="1" t="n">
        <v>46084</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48627-2023</t>
        </is>
      </c>
      <c r="B1161" s="1" t="n">
        <v>45208.57371527778</v>
      </c>
      <c r="C1161" s="1" t="n">
        <v>46084</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11607-2025</t>
        </is>
      </c>
      <c r="B1162" s="1" t="n">
        <v>45727</v>
      </c>
      <c r="C1162" s="1" t="n">
        <v>46084</v>
      </c>
      <c r="D1162" t="inlineStr">
        <is>
          <t>SKÅNE LÄN</t>
        </is>
      </c>
      <c r="E1162" t="inlineStr">
        <is>
          <t>HÄSSLEHOLM</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720-2025</t>
        </is>
      </c>
      <c r="B1163" s="1" t="n">
        <v>45665.3744212963</v>
      </c>
      <c r="C1163" s="1" t="n">
        <v>46084</v>
      </c>
      <c r="D1163" t="inlineStr">
        <is>
          <t>SKÅNE LÄN</t>
        </is>
      </c>
      <c r="E1163" t="inlineStr">
        <is>
          <t>HÄSSLEHOLM</t>
        </is>
      </c>
      <c r="G1163" t="n">
        <v>1.3</v>
      </c>
      <c r="H1163" t="n">
        <v>0</v>
      </c>
      <c r="I1163" t="n">
        <v>0</v>
      </c>
      <c r="J1163" t="n">
        <v>0</v>
      </c>
      <c r="K1163" t="n">
        <v>0</v>
      </c>
      <c r="L1163" t="n">
        <v>0</v>
      </c>
      <c r="M1163" t="n">
        <v>0</v>
      </c>
      <c r="N1163" t="n">
        <v>0</v>
      </c>
      <c r="O1163" t="n">
        <v>0</v>
      </c>
      <c r="P1163" t="n">
        <v>0</v>
      </c>
      <c r="Q1163" t="n">
        <v>0</v>
      </c>
      <c r="R1163" s="2" t="inlineStr"/>
    </row>
    <row r="1164">
      <c r="A1164" t="inlineStr">
        <is>
          <t>A 12182-2025</t>
        </is>
      </c>
      <c r="B1164" s="1" t="n">
        <v>45729</v>
      </c>
      <c r="C1164" s="1" t="n">
        <v>46084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2026-03-03T11:12:39Z</dcterms:created>
  <dcterms:modified xmlns:dcterms="http://purl.org/dc/terms/" xmlns:xsi="http://www.w3.org/2001/XMLSchema-instance" xsi:type="dcterms:W3CDTF">2026-03-03T11:12:40Z</dcterms:modified>
</cp:coreProperties>
</file>