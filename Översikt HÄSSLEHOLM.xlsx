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46171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46171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46171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46171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46171</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46171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46171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46171</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46171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46171</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46171</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46171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46171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46171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46171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46171</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46171</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21659-2026</t>
        </is>
      </c>
      <c r="B19" s="1" t="n">
        <v>46149.4594212963</v>
      </c>
      <c r="C19" s="1" t="n">
        <v>46171</v>
      </c>
      <c r="D19" t="inlineStr">
        <is>
          <t>SKÅNE LÄN</t>
        </is>
      </c>
      <c r="E19" t="inlineStr">
        <is>
          <t>HÄSSLEHOLM</t>
        </is>
      </c>
      <c r="G19" t="n">
        <v>1.8</v>
      </c>
      <c r="H19" t="n">
        <v>2</v>
      </c>
      <c r="I19" t="n">
        <v>0</v>
      </c>
      <c r="J19" t="n">
        <v>0</v>
      </c>
      <c r="K19" t="n">
        <v>0</v>
      </c>
      <c r="L19" t="n">
        <v>0</v>
      </c>
      <c r="M19" t="n">
        <v>0</v>
      </c>
      <c r="N19" t="n">
        <v>0</v>
      </c>
      <c r="O19" t="n">
        <v>0</v>
      </c>
      <c r="P19" t="n">
        <v>0</v>
      </c>
      <c r="Q19" t="n">
        <v>2</v>
      </c>
      <c r="R19" s="2" t="inlineStr">
        <is>
          <t>Göktyta
Skogsduva</t>
        </is>
      </c>
      <c r="S19">
        <f>HYPERLINK("https://klasma.github.io/Logging_1293/artfynd/A 21659-2026 artfynd.xlsx", "A 21659-2026")</f>
        <v/>
      </c>
      <c r="T19">
        <f>HYPERLINK("https://klasma.github.io/Logging_1293/kartor/A 21659-2026 karta.png", "A 21659-2026")</f>
        <v/>
      </c>
      <c r="V19">
        <f>HYPERLINK("https://klasma.github.io/Logging_1293/klagomål/A 21659-2026 FSC-klagomål.docx", "A 21659-2026")</f>
        <v/>
      </c>
      <c r="W19">
        <f>HYPERLINK("https://klasma.github.io/Logging_1293/klagomålsmail/A 21659-2026 FSC-klagomål mail.docx", "A 21659-2026")</f>
        <v/>
      </c>
      <c r="X19">
        <f>HYPERLINK("https://klasma.github.io/Logging_1293/tillsyn/A 21659-2026 tillsynsbegäran.docx", "A 21659-2026")</f>
        <v/>
      </c>
      <c r="Y19">
        <f>HYPERLINK("https://klasma.github.io/Logging_1293/tillsynsmail/A 21659-2026 tillsynsbegäran mail.docx", "A 21659-2026")</f>
        <v/>
      </c>
      <c r="Z19">
        <f>HYPERLINK("https://klasma.github.io/Logging_1293/fåglar/A 21659-2026 prioriterade fågelarter.docx", "A 21659-2026")</f>
        <v/>
      </c>
    </row>
    <row r="20" ht="15" customHeight="1">
      <c r="A20" t="inlineStr">
        <is>
          <t>A 13705-2022</t>
        </is>
      </c>
      <c r="B20" s="1" t="n">
        <v>44648</v>
      </c>
      <c r="C20" s="1" t="n">
        <v>46171</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46602-2023</t>
        </is>
      </c>
      <c r="B21" s="1" t="n">
        <v>45194</v>
      </c>
      <c r="C21" s="1" t="n">
        <v>46171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46171</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6634-2024</t>
        </is>
      </c>
      <c r="B23" s="1" t="n">
        <v>45341</v>
      </c>
      <c r="C23" s="1" t="n">
        <v>46171</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46171</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40613-2025</t>
        </is>
      </c>
      <c r="B25" s="1" t="n">
        <v>45896</v>
      </c>
      <c r="C25" s="1" t="n">
        <v>46171</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54523-2024</t>
        </is>
      </c>
      <c r="B26" s="1" t="n">
        <v>45617</v>
      </c>
      <c r="C26" s="1" t="n">
        <v>46171</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46171</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46171</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46171</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46171</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46171</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46171</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46171</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13894-2026</t>
        </is>
      </c>
      <c r="B34" s="1" t="n">
        <v>46098</v>
      </c>
      <c r="C34" s="1" t="n">
        <v>46171</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16107-2025</t>
        </is>
      </c>
      <c r="B35" s="1" t="n">
        <v>45750.34537037037</v>
      </c>
      <c r="C35" s="1" t="n">
        <v>46171</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46171</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46171</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7862-2024</t>
        </is>
      </c>
      <c r="B38" s="1" t="n">
        <v>45348</v>
      </c>
      <c r="C38" s="1" t="n">
        <v>46171</v>
      </c>
      <c r="D38" t="inlineStr">
        <is>
          <t>SKÅNE LÄN</t>
        </is>
      </c>
      <c r="E38" t="inlineStr">
        <is>
          <t>HÄSSLEHOLM</t>
        </is>
      </c>
      <c r="G38" t="n">
        <v>5</v>
      </c>
      <c r="H38" t="n">
        <v>0</v>
      </c>
      <c r="I38" t="n">
        <v>1</v>
      </c>
      <c r="J38" t="n">
        <v>0</v>
      </c>
      <c r="K38" t="n">
        <v>0</v>
      </c>
      <c r="L38" t="n">
        <v>0</v>
      </c>
      <c r="M38" t="n">
        <v>0</v>
      </c>
      <c r="N38" t="n">
        <v>0</v>
      </c>
      <c r="O38" t="n">
        <v>0</v>
      </c>
      <c r="P38" t="n">
        <v>0</v>
      </c>
      <c r="Q38" t="n">
        <v>1</v>
      </c>
      <c r="R38" s="2" t="inlineStr">
        <is>
          <t>Stor revmossa</t>
        </is>
      </c>
      <c r="S38">
        <f>HYPERLINK("https://klasma.github.io/Logging_1293/artfynd/A 7862-2024 artfynd.xlsx", "A 7862-2024")</f>
        <v/>
      </c>
      <c r="T38">
        <f>HYPERLINK("https://klasma.github.io/Logging_1293/kartor/A 7862-2024 karta.png", "A 7862-2024")</f>
        <v/>
      </c>
      <c r="V38">
        <f>HYPERLINK("https://klasma.github.io/Logging_1293/klagomål/A 7862-2024 FSC-klagomål.docx", "A 7862-2024")</f>
        <v/>
      </c>
      <c r="W38">
        <f>HYPERLINK("https://klasma.github.io/Logging_1293/klagomålsmail/A 7862-2024 FSC-klagomål mail.docx", "A 7862-2024")</f>
        <v/>
      </c>
      <c r="X38">
        <f>HYPERLINK("https://klasma.github.io/Logging_1293/tillsyn/A 7862-2024 tillsynsbegäran.docx", "A 7862-2024")</f>
        <v/>
      </c>
      <c r="Y38">
        <f>HYPERLINK("https://klasma.github.io/Logging_1293/tillsynsmail/A 7862-2024 tillsynsbegäran mail.docx", "A 7862-2024")</f>
        <v/>
      </c>
    </row>
    <row r="39" ht="15" customHeight="1">
      <c r="A39" t="inlineStr">
        <is>
          <t>A 20280-2025</t>
        </is>
      </c>
      <c r="B39" s="1" t="n">
        <v>45774.38790509259</v>
      </c>
      <c r="C39" s="1" t="n">
        <v>46171</v>
      </c>
      <c r="D39" t="inlineStr">
        <is>
          <t>SKÅNE LÄN</t>
        </is>
      </c>
      <c r="E39" t="inlineStr">
        <is>
          <t>HÄSSLEHOLM</t>
        </is>
      </c>
      <c r="G39" t="n">
        <v>3</v>
      </c>
      <c r="H39" t="n">
        <v>0</v>
      </c>
      <c r="I39" t="n">
        <v>0</v>
      </c>
      <c r="J39" t="n">
        <v>0</v>
      </c>
      <c r="K39" t="n">
        <v>1</v>
      </c>
      <c r="L39" t="n">
        <v>0</v>
      </c>
      <c r="M39" t="n">
        <v>0</v>
      </c>
      <c r="N39" t="n">
        <v>0</v>
      </c>
      <c r="O39" t="n">
        <v>1</v>
      </c>
      <c r="P39" t="n">
        <v>1</v>
      </c>
      <c r="Q39" t="n">
        <v>1</v>
      </c>
      <c r="R39" s="2" t="inlineStr">
        <is>
          <t>Revig blodrot</t>
        </is>
      </c>
      <c r="S39">
        <f>HYPERLINK("https://klasma.github.io/Logging_1293/artfynd/A 20280-2025 artfynd.xlsx", "A 20280-2025")</f>
        <v/>
      </c>
      <c r="T39">
        <f>HYPERLINK("https://klasma.github.io/Logging_1293/kartor/A 20280-2025 karta.png", "A 20280-2025")</f>
        <v/>
      </c>
      <c r="V39">
        <f>HYPERLINK("https://klasma.github.io/Logging_1293/klagomål/A 20280-2025 FSC-klagomål.docx", "A 20280-2025")</f>
        <v/>
      </c>
      <c r="W39">
        <f>HYPERLINK("https://klasma.github.io/Logging_1293/klagomålsmail/A 20280-2025 FSC-klagomål mail.docx", "A 20280-2025")</f>
        <v/>
      </c>
      <c r="X39">
        <f>HYPERLINK("https://klasma.github.io/Logging_1293/tillsyn/A 20280-2025 tillsynsbegäran.docx", "A 20280-2025")</f>
        <v/>
      </c>
      <c r="Y39">
        <f>HYPERLINK("https://klasma.github.io/Logging_1293/tillsynsmail/A 20280-2025 tillsynsbegäran mail.docx", "A 20280-2025")</f>
        <v/>
      </c>
    </row>
    <row r="40" ht="15" customHeight="1">
      <c r="A40" t="inlineStr">
        <is>
          <t>A 61707-2024</t>
        </is>
      </c>
      <c r="B40" s="1" t="n">
        <v>45648.61747685185</v>
      </c>
      <c r="C40" s="1" t="n">
        <v>46171</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37457-2022</t>
        </is>
      </c>
      <c r="B41" s="1" t="n">
        <v>44809</v>
      </c>
      <c r="C41" s="1" t="n">
        <v>46171</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46171</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46171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46171</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46171</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46171</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46171</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46171</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46171</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46171</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46171</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46171</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46171</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46171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46171</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46171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46171</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46171</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46171</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46171</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46171</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46171</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46171</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46171</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46171</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46171</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46171</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46171</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46171</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46171</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46171</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46171</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46171</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46171</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26387-2022</t>
        </is>
      </c>
      <c r="B75" s="1" t="n">
        <v>44735.68328703703</v>
      </c>
      <c r="C75" s="1" t="n">
        <v>46171</v>
      </c>
      <c r="D75" t="inlineStr">
        <is>
          <t>SKÅNE LÄN</t>
        </is>
      </c>
      <c r="E75" t="inlineStr">
        <is>
          <t>HÄSSLEHOLM</t>
        </is>
      </c>
      <c r="G75" t="n">
        <v>0.4</v>
      </c>
      <c r="H75" t="n">
        <v>0</v>
      </c>
      <c r="I75" t="n">
        <v>0</v>
      </c>
      <c r="J75" t="n">
        <v>0</v>
      </c>
      <c r="K75" t="n">
        <v>0</v>
      </c>
      <c r="L75" t="n">
        <v>0</v>
      </c>
      <c r="M75" t="n">
        <v>0</v>
      </c>
      <c r="N75" t="n">
        <v>0</v>
      </c>
      <c r="O75" t="n">
        <v>0</v>
      </c>
      <c r="P75" t="n">
        <v>0</v>
      </c>
      <c r="Q75" t="n">
        <v>0</v>
      </c>
      <c r="R75" s="2" t="inlineStr"/>
    </row>
    <row r="76" ht="15" customHeight="1">
      <c r="A76" t="inlineStr">
        <is>
          <t>A 50618-2021</t>
        </is>
      </c>
      <c r="B76" s="1" t="n">
        <v>44459</v>
      </c>
      <c r="C76" s="1" t="n">
        <v>46171</v>
      </c>
      <c r="D76" t="inlineStr">
        <is>
          <t>SKÅNE LÄN</t>
        </is>
      </c>
      <c r="E76" t="inlineStr">
        <is>
          <t>HÄSSLEHOLM</t>
        </is>
      </c>
      <c r="F76" t="inlineStr">
        <is>
          <t>Kyrkan</t>
        </is>
      </c>
      <c r="G76" t="n">
        <v>15.1</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46171</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46171</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30992-2021</t>
        </is>
      </c>
      <c r="B79" s="1" t="n">
        <v>44366.36262731482</v>
      </c>
      <c r="C79" s="1" t="n">
        <v>46171</v>
      </c>
      <c r="D79" t="inlineStr">
        <is>
          <t>SKÅNE LÄN</t>
        </is>
      </c>
      <c r="E79" t="inlineStr">
        <is>
          <t>HÄSSLEHOLM</t>
        </is>
      </c>
      <c r="G79" t="n">
        <v>3.1</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46171</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44755-2021</t>
        </is>
      </c>
      <c r="B81" s="1" t="n">
        <v>44438</v>
      </c>
      <c r="C81" s="1" t="n">
        <v>46171</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44770-2021</t>
        </is>
      </c>
      <c r="B82" s="1" t="n">
        <v>44438</v>
      </c>
      <c r="C82" s="1" t="n">
        <v>46171</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46171</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2765-2022</t>
        </is>
      </c>
      <c r="B84" s="1" t="n">
        <v>44580</v>
      </c>
      <c r="C84" s="1" t="n">
        <v>46171</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37181-2022</t>
        </is>
      </c>
      <c r="B85" s="1" t="n">
        <v>44806</v>
      </c>
      <c r="C85" s="1" t="n">
        <v>46171</v>
      </c>
      <c r="D85" t="inlineStr">
        <is>
          <t>SKÅNE LÄN</t>
        </is>
      </c>
      <c r="E85" t="inlineStr">
        <is>
          <t>HÄSSLEHOLM</t>
        </is>
      </c>
      <c r="F85" t="inlineStr">
        <is>
          <t>Kyrkan</t>
        </is>
      </c>
      <c r="G85" t="n">
        <v>3.5</v>
      </c>
      <c r="H85" t="n">
        <v>0</v>
      </c>
      <c r="I85" t="n">
        <v>0</v>
      </c>
      <c r="J85" t="n">
        <v>0</v>
      </c>
      <c r="K85" t="n">
        <v>0</v>
      </c>
      <c r="L85" t="n">
        <v>0</v>
      </c>
      <c r="M85" t="n">
        <v>0</v>
      </c>
      <c r="N85" t="n">
        <v>0</v>
      </c>
      <c r="O85" t="n">
        <v>0</v>
      </c>
      <c r="P85" t="n">
        <v>0</v>
      </c>
      <c r="Q85" t="n">
        <v>0</v>
      </c>
      <c r="R85" s="2" t="inlineStr"/>
    </row>
    <row r="86" ht="15" customHeight="1">
      <c r="A86" t="inlineStr">
        <is>
          <t>A 61072-2021</t>
        </is>
      </c>
      <c r="B86" s="1" t="n">
        <v>44497.83344907407</v>
      </c>
      <c r="C86" s="1" t="n">
        <v>46171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46171</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34982-2022</t>
        </is>
      </c>
      <c r="B88" s="1" t="n">
        <v>44796.69055555556</v>
      </c>
      <c r="C88" s="1" t="n">
        <v>46171</v>
      </c>
      <c r="D88" t="inlineStr">
        <is>
          <t>SKÅNE LÄN</t>
        </is>
      </c>
      <c r="E88" t="inlineStr">
        <is>
          <t>HÄSSLEHOLM</t>
        </is>
      </c>
      <c r="F88" t="inlineStr">
        <is>
          <t>Kyrkan</t>
        </is>
      </c>
      <c r="G88" t="n">
        <v>3.4</v>
      </c>
      <c r="H88" t="n">
        <v>0</v>
      </c>
      <c r="I88" t="n">
        <v>0</v>
      </c>
      <c r="J88" t="n">
        <v>0</v>
      </c>
      <c r="K88" t="n">
        <v>0</v>
      </c>
      <c r="L88" t="n">
        <v>0</v>
      </c>
      <c r="M88" t="n">
        <v>0</v>
      </c>
      <c r="N88" t="n">
        <v>0</v>
      </c>
      <c r="O88" t="n">
        <v>0</v>
      </c>
      <c r="P88" t="n">
        <v>0</v>
      </c>
      <c r="Q88" t="n">
        <v>0</v>
      </c>
      <c r="R88" s="2" t="inlineStr"/>
    </row>
    <row r="89" ht="15" customHeight="1">
      <c r="A89" t="inlineStr">
        <is>
          <t>A 37170-2022</t>
        </is>
      </c>
      <c r="B89" s="1" t="n">
        <v>44806.61038194445</v>
      </c>
      <c r="C89" s="1" t="n">
        <v>46171</v>
      </c>
      <c r="D89" t="inlineStr">
        <is>
          <t>SKÅNE LÄN</t>
        </is>
      </c>
      <c r="E89" t="inlineStr">
        <is>
          <t>HÄSSLEHOLM</t>
        </is>
      </c>
      <c r="F89" t="inlineStr">
        <is>
          <t>Kyrkan</t>
        </is>
      </c>
      <c r="G89" t="n">
        <v>4.5</v>
      </c>
      <c r="H89" t="n">
        <v>0</v>
      </c>
      <c r="I89" t="n">
        <v>0</v>
      </c>
      <c r="J89" t="n">
        <v>0</v>
      </c>
      <c r="K89" t="n">
        <v>0</v>
      </c>
      <c r="L89" t="n">
        <v>0</v>
      </c>
      <c r="M89" t="n">
        <v>0</v>
      </c>
      <c r="N89" t="n">
        <v>0</v>
      </c>
      <c r="O89" t="n">
        <v>0</v>
      </c>
      <c r="P89" t="n">
        <v>0</v>
      </c>
      <c r="Q89" t="n">
        <v>0</v>
      </c>
      <c r="R89" s="2" t="inlineStr"/>
    </row>
    <row r="90" ht="15" customHeight="1">
      <c r="A90" t="inlineStr">
        <is>
          <t>A 55425-2022</t>
        </is>
      </c>
      <c r="B90" s="1" t="n">
        <v>44887.60577546297</v>
      </c>
      <c r="C90" s="1" t="n">
        <v>46171</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3277-2022</t>
        </is>
      </c>
      <c r="B91" s="1" t="n">
        <v>44584.41274305555</v>
      </c>
      <c r="C91" s="1" t="n">
        <v>46171</v>
      </c>
      <c r="D91" t="inlineStr">
        <is>
          <t>SKÅNE LÄN</t>
        </is>
      </c>
      <c r="E91" t="inlineStr">
        <is>
          <t>HÄSSLEHOLM</t>
        </is>
      </c>
      <c r="G91" t="n">
        <v>0.2</v>
      </c>
      <c r="H91" t="n">
        <v>0</v>
      </c>
      <c r="I91" t="n">
        <v>0</v>
      </c>
      <c r="J91" t="n">
        <v>0</v>
      </c>
      <c r="K91" t="n">
        <v>0</v>
      </c>
      <c r="L91" t="n">
        <v>0</v>
      </c>
      <c r="M91" t="n">
        <v>0</v>
      </c>
      <c r="N91" t="n">
        <v>0</v>
      </c>
      <c r="O91" t="n">
        <v>0</v>
      </c>
      <c r="P91" t="n">
        <v>0</v>
      </c>
      <c r="Q91" t="n">
        <v>0</v>
      </c>
      <c r="R91" s="2" t="inlineStr"/>
    </row>
    <row r="92" ht="15" customHeight="1">
      <c r="A92" t="inlineStr">
        <is>
          <t>A 9292-2022</t>
        </is>
      </c>
      <c r="B92" s="1" t="n">
        <v>44616</v>
      </c>
      <c r="C92" s="1" t="n">
        <v>46171</v>
      </c>
      <c r="D92" t="inlineStr">
        <is>
          <t>SKÅNE LÄN</t>
        </is>
      </c>
      <c r="E92" t="inlineStr">
        <is>
          <t>HÄSSLEHOLM</t>
        </is>
      </c>
      <c r="G92" t="n">
        <v>1.6</v>
      </c>
      <c r="H92" t="n">
        <v>0</v>
      </c>
      <c r="I92" t="n">
        <v>0</v>
      </c>
      <c r="J92" t="n">
        <v>0</v>
      </c>
      <c r="K92" t="n">
        <v>0</v>
      </c>
      <c r="L92" t="n">
        <v>0</v>
      </c>
      <c r="M92" t="n">
        <v>0</v>
      </c>
      <c r="N92" t="n">
        <v>0</v>
      </c>
      <c r="O92" t="n">
        <v>0</v>
      </c>
      <c r="P92" t="n">
        <v>0</v>
      </c>
      <c r="Q92" t="n">
        <v>0</v>
      </c>
      <c r="R92" s="2" t="inlineStr"/>
    </row>
    <row r="93" ht="15" customHeight="1">
      <c r="A93" t="inlineStr">
        <is>
          <t>A 4156-2022</t>
        </is>
      </c>
      <c r="B93" s="1" t="n">
        <v>44588</v>
      </c>
      <c r="C93" s="1" t="n">
        <v>46171</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46171</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41581-2021</t>
        </is>
      </c>
      <c r="B95" s="1" t="n">
        <v>44425.40167824074</v>
      </c>
      <c r="C95" s="1" t="n">
        <v>46171</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44328-2021</t>
        </is>
      </c>
      <c r="B96" s="1" t="n">
        <v>44435</v>
      </c>
      <c r="C96" s="1" t="n">
        <v>46171</v>
      </c>
      <c r="D96" t="inlineStr">
        <is>
          <t>SKÅNE LÄN</t>
        </is>
      </c>
      <c r="E96" t="inlineStr">
        <is>
          <t>HÄSSLEHOLM</t>
        </is>
      </c>
      <c r="G96" t="n">
        <v>2.7</v>
      </c>
      <c r="H96" t="n">
        <v>0</v>
      </c>
      <c r="I96" t="n">
        <v>0</v>
      </c>
      <c r="J96" t="n">
        <v>0</v>
      </c>
      <c r="K96" t="n">
        <v>0</v>
      </c>
      <c r="L96" t="n">
        <v>0</v>
      </c>
      <c r="M96" t="n">
        <v>0</v>
      </c>
      <c r="N96" t="n">
        <v>0</v>
      </c>
      <c r="O96" t="n">
        <v>0</v>
      </c>
      <c r="P96" t="n">
        <v>0</v>
      </c>
      <c r="Q96" t="n">
        <v>0</v>
      </c>
      <c r="R96" s="2" t="inlineStr"/>
    </row>
    <row r="97" ht="15" customHeight="1">
      <c r="A97" t="inlineStr">
        <is>
          <t>A 34684-2021</t>
        </is>
      </c>
      <c r="B97" s="1" t="n">
        <v>44382</v>
      </c>
      <c r="C97" s="1" t="n">
        <v>46171</v>
      </c>
      <c r="D97" t="inlineStr">
        <is>
          <t>SKÅNE LÄN</t>
        </is>
      </c>
      <c r="E97" t="inlineStr">
        <is>
          <t>HÄSSLEHOLM</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74293-2021</t>
        </is>
      </c>
      <c r="B98" s="1" t="n">
        <v>44558</v>
      </c>
      <c r="C98" s="1" t="n">
        <v>46171</v>
      </c>
      <c r="D98" t="inlineStr">
        <is>
          <t>SKÅNE LÄN</t>
        </is>
      </c>
      <c r="E98" t="inlineStr">
        <is>
          <t>HÄSSLEHOLM</t>
        </is>
      </c>
      <c r="F98" t="inlineStr">
        <is>
          <t>Kyrkan</t>
        </is>
      </c>
      <c r="G98" t="n">
        <v>3.3</v>
      </c>
      <c r="H98" t="n">
        <v>0</v>
      </c>
      <c r="I98" t="n">
        <v>0</v>
      </c>
      <c r="J98" t="n">
        <v>0</v>
      </c>
      <c r="K98" t="n">
        <v>0</v>
      </c>
      <c r="L98" t="n">
        <v>0</v>
      </c>
      <c r="M98" t="n">
        <v>0</v>
      </c>
      <c r="N98" t="n">
        <v>0</v>
      </c>
      <c r="O98" t="n">
        <v>0</v>
      </c>
      <c r="P98" t="n">
        <v>0</v>
      </c>
      <c r="Q98" t="n">
        <v>0</v>
      </c>
      <c r="R98" s="2" t="inlineStr"/>
    </row>
    <row r="99" ht="15" customHeight="1">
      <c r="A99" t="inlineStr">
        <is>
          <t>A 46217-2022</t>
        </is>
      </c>
      <c r="B99" s="1" t="n">
        <v>44846</v>
      </c>
      <c r="C99" s="1" t="n">
        <v>46171</v>
      </c>
      <c r="D99" t="inlineStr">
        <is>
          <t>SKÅNE LÄN</t>
        </is>
      </c>
      <c r="E99" t="inlineStr">
        <is>
          <t>HÄSSLEHOLM</t>
        </is>
      </c>
      <c r="G99" t="n">
        <v>3.1</v>
      </c>
      <c r="H99" t="n">
        <v>0</v>
      </c>
      <c r="I99" t="n">
        <v>0</v>
      </c>
      <c r="J99" t="n">
        <v>0</v>
      </c>
      <c r="K99" t="n">
        <v>0</v>
      </c>
      <c r="L99" t="n">
        <v>0</v>
      </c>
      <c r="M99" t="n">
        <v>0</v>
      </c>
      <c r="N99" t="n">
        <v>0</v>
      </c>
      <c r="O99" t="n">
        <v>0</v>
      </c>
      <c r="P99" t="n">
        <v>0</v>
      </c>
      <c r="Q99" t="n">
        <v>0</v>
      </c>
      <c r="R99" s="2" t="inlineStr"/>
    </row>
    <row r="100" ht="15" customHeight="1">
      <c r="A100" t="inlineStr">
        <is>
          <t>A 45349-2022</t>
        </is>
      </c>
      <c r="B100" s="1" t="n">
        <v>44844.6118287037</v>
      </c>
      <c r="C100" s="1" t="n">
        <v>46171</v>
      </c>
      <c r="D100" t="inlineStr">
        <is>
          <t>SKÅNE LÄN</t>
        </is>
      </c>
      <c r="E100" t="inlineStr">
        <is>
          <t>HÄSSLEHOLM</t>
        </is>
      </c>
      <c r="G100" t="n">
        <v>6.2</v>
      </c>
      <c r="H100" t="n">
        <v>0</v>
      </c>
      <c r="I100" t="n">
        <v>0</v>
      </c>
      <c r="J100" t="n">
        <v>0</v>
      </c>
      <c r="K100" t="n">
        <v>0</v>
      </c>
      <c r="L100" t="n">
        <v>0</v>
      </c>
      <c r="M100" t="n">
        <v>0</v>
      </c>
      <c r="N100" t="n">
        <v>0</v>
      </c>
      <c r="O100" t="n">
        <v>0</v>
      </c>
      <c r="P100" t="n">
        <v>0</v>
      </c>
      <c r="Q100" t="n">
        <v>0</v>
      </c>
      <c r="R100" s="2" t="inlineStr"/>
    </row>
    <row r="101" ht="15" customHeight="1">
      <c r="A101" t="inlineStr">
        <is>
          <t>A 15118-2022</t>
        </is>
      </c>
      <c r="B101" s="1" t="n">
        <v>44659</v>
      </c>
      <c r="C101" s="1" t="n">
        <v>46171</v>
      </c>
      <c r="D101" t="inlineStr">
        <is>
          <t>SKÅNE LÄN</t>
        </is>
      </c>
      <c r="E101" t="inlineStr">
        <is>
          <t>HÄSSLEHOLM</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43639-2021</t>
        </is>
      </c>
      <c r="B102" s="1" t="n">
        <v>44433</v>
      </c>
      <c r="C102" s="1" t="n">
        <v>46171</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3276-2022</t>
        </is>
      </c>
      <c r="B103" s="1" t="n">
        <v>44584.40916666666</v>
      </c>
      <c r="C103" s="1" t="n">
        <v>46171</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52461-2021</t>
        </is>
      </c>
      <c r="B104" s="1" t="n">
        <v>44466</v>
      </c>
      <c r="C104" s="1" t="n">
        <v>46171</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46171</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5564-2022</t>
        </is>
      </c>
      <c r="B106" s="1" t="n">
        <v>44595</v>
      </c>
      <c r="C106" s="1" t="n">
        <v>46171</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34027-2021</t>
        </is>
      </c>
      <c r="B107" s="1" t="n">
        <v>44379</v>
      </c>
      <c r="C107" s="1" t="n">
        <v>46171</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46171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32792-2021</t>
        </is>
      </c>
      <c r="B109" s="1" t="n">
        <v>44375</v>
      </c>
      <c r="C109" s="1" t="n">
        <v>46171</v>
      </c>
      <c r="D109" t="inlineStr">
        <is>
          <t>SKÅNE LÄN</t>
        </is>
      </c>
      <c r="E109" t="inlineStr">
        <is>
          <t>HÄSSLEHOLM</t>
        </is>
      </c>
      <c r="G109" t="n">
        <v>1</v>
      </c>
      <c r="H109" t="n">
        <v>0</v>
      </c>
      <c r="I109" t="n">
        <v>0</v>
      </c>
      <c r="J109" t="n">
        <v>0</v>
      </c>
      <c r="K109" t="n">
        <v>0</v>
      </c>
      <c r="L109" t="n">
        <v>0</v>
      </c>
      <c r="M109" t="n">
        <v>0</v>
      </c>
      <c r="N109" t="n">
        <v>0</v>
      </c>
      <c r="O109" t="n">
        <v>0</v>
      </c>
      <c r="P109" t="n">
        <v>0</v>
      </c>
      <c r="Q109" t="n">
        <v>0</v>
      </c>
      <c r="R109" s="2" t="inlineStr"/>
    </row>
    <row r="110" ht="15" customHeight="1">
      <c r="A110" t="inlineStr">
        <is>
          <t>A 3167-2022</t>
        </is>
      </c>
      <c r="B110" s="1" t="n">
        <v>44582</v>
      </c>
      <c r="C110" s="1" t="n">
        <v>46171</v>
      </c>
      <c r="D110" t="inlineStr">
        <is>
          <t>SKÅNE LÄN</t>
        </is>
      </c>
      <c r="E110" t="inlineStr">
        <is>
          <t>HÄSSLEHOLM</t>
        </is>
      </c>
      <c r="F110" t="inlineStr">
        <is>
          <t>Kommuner</t>
        </is>
      </c>
      <c r="G110" t="n">
        <v>1.5</v>
      </c>
      <c r="H110" t="n">
        <v>0</v>
      </c>
      <c r="I110" t="n">
        <v>0</v>
      </c>
      <c r="J110" t="n">
        <v>0</v>
      </c>
      <c r="K110" t="n">
        <v>0</v>
      </c>
      <c r="L110" t="n">
        <v>0</v>
      </c>
      <c r="M110" t="n">
        <v>0</v>
      </c>
      <c r="N110" t="n">
        <v>0</v>
      </c>
      <c r="O110" t="n">
        <v>0</v>
      </c>
      <c r="P110" t="n">
        <v>0</v>
      </c>
      <c r="Q110" t="n">
        <v>0</v>
      </c>
      <c r="R110" s="2" t="inlineStr"/>
    </row>
    <row r="111" ht="15" customHeight="1">
      <c r="A111" t="inlineStr">
        <is>
          <t>A 33736-2021</t>
        </is>
      </c>
      <c r="B111" s="1" t="n">
        <v>44378</v>
      </c>
      <c r="C111" s="1" t="n">
        <v>46171</v>
      </c>
      <c r="D111" t="inlineStr">
        <is>
          <t>SKÅNE LÄN</t>
        </is>
      </c>
      <c r="E111" t="inlineStr">
        <is>
          <t>HÄSSLEHOLM</t>
        </is>
      </c>
      <c r="G111" t="n">
        <v>7.6</v>
      </c>
      <c r="H111" t="n">
        <v>0</v>
      </c>
      <c r="I111" t="n">
        <v>0</v>
      </c>
      <c r="J111" t="n">
        <v>0</v>
      </c>
      <c r="K111" t="n">
        <v>0</v>
      </c>
      <c r="L111" t="n">
        <v>0</v>
      </c>
      <c r="M111" t="n">
        <v>0</v>
      </c>
      <c r="N111" t="n">
        <v>0</v>
      </c>
      <c r="O111" t="n">
        <v>0</v>
      </c>
      <c r="P111" t="n">
        <v>0</v>
      </c>
      <c r="Q111" t="n">
        <v>0</v>
      </c>
      <c r="R111" s="2" t="inlineStr"/>
    </row>
    <row r="112" ht="15" customHeight="1">
      <c r="A112" t="inlineStr">
        <is>
          <t>A 34679-2021</t>
        </is>
      </c>
      <c r="B112" s="1" t="n">
        <v>44382</v>
      </c>
      <c r="C112" s="1" t="n">
        <v>46171</v>
      </c>
      <c r="D112" t="inlineStr">
        <is>
          <t>SKÅNE LÄN</t>
        </is>
      </c>
      <c r="E112" t="inlineStr">
        <is>
          <t>HÄSSLEHOLM</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4161-2022</t>
        </is>
      </c>
      <c r="B113" s="1" t="n">
        <v>44588</v>
      </c>
      <c r="C113" s="1" t="n">
        <v>46171</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1535-2022</t>
        </is>
      </c>
      <c r="B114" s="1" t="n">
        <v>44573</v>
      </c>
      <c r="C114" s="1" t="n">
        <v>46171</v>
      </c>
      <c r="D114" t="inlineStr">
        <is>
          <t>SKÅNE LÄN</t>
        </is>
      </c>
      <c r="E114" t="inlineStr">
        <is>
          <t>HÄSSLEHOLM</t>
        </is>
      </c>
      <c r="G114" t="n">
        <v>15</v>
      </c>
      <c r="H114" t="n">
        <v>0</v>
      </c>
      <c r="I114" t="n">
        <v>0</v>
      </c>
      <c r="J114" t="n">
        <v>0</v>
      </c>
      <c r="K114" t="n">
        <v>0</v>
      </c>
      <c r="L114" t="n">
        <v>0</v>
      </c>
      <c r="M114" t="n">
        <v>0</v>
      </c>
      <c r="N114" t="n">
        <v>0</v>
      </c>
      <c r="O114" t="n">
        <v>0</v>
      </c>
      <c r="P114" t="n">
        <v>0</v>
      </c>
      <c r="Q114" t="n">
        <v>0</v>
      </c>
      <c r="R114" s="2" t="inlineStr"/>
    </row>
    <row r="115" ht="15" customHeight="1">
      <c r="A115" t="inlineStr">
        <is>
          <t>A 40702-2021</t>
        </is>
      </c>
      <c r="B115" s="1" t="n">
        <v>44420.61719907408</v>
      </c>
      <c r="C115" s="1" t="n">
        <v>46171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64607-2021</t>
        </is>
      </c>
      <c r="B116" s="1" t="n">
        <v>44511</v>
      </c>
      <c r="C116" s="1" t="n">
        <v>46171</v>
      </c>
      <c r="D116" t="inlineStr">
        <is>
          <t>SKÅNE LÄN</t>
        </is>
      </c>
      <c r="E116" t="inlineStr">
        <is>
          <t>HÄSSLEHOLM</t>
        </is>
      </c>
      <c r="G116" t="n">
        <v>1.5</v>
      </c>
      <c r="H116" t="n">
        <v>0</v>
      </c>
      <c r="I116" t="n">
        <v>0</v>
      </c>
      <c r="J116" t="n">
        <v>0</v>
      </c>
      <c r="K116" t="n">
        <v>0</v>
      </c>
      <c r="L116" t="n">
        <v>0</v>
      </c>
      <c r="M116" t="n">
        <v>0</v>
      </c>
      <c r="N116" t="n">
        <v>0</v>
      </c>
      <c r="O116" t="n">
        <v>0</v>
      </c>
      <c r="P116" t="n">
        <v>0</v>
      </c>
      <c r="Q116" t="n">
        <v>0</v>
      </c>
      <c r="R116" s="2" t="inlineStr"/>
    </row>
    <row r="117" ht="15" customHeight="1">
      <c r="A117" t="inlineStr">
        <is>
          <t>A 2631-2022</t>
        </is>
      </c>
      <c r="B117" s="1" t="n">
        <v>44580</v>
      </c>
      <c r="C117" s="1" t="n">
        <v>46171</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15423-2022</t>
        </is>
      </c>
      <c r="B118" s="1" t="n">
        <v>44659</v>
      </c>
      <c r="C118" s="1" t="n">
        <v>46171</v>
      </c>
      <c r="D118" t="inlineStr">
        <is>
          <t>SKÅNE LÄN</t>
        </is>
      </c>
      <c r="E118" t="inlineStr">
        <is>
          <t>HÄSSLEHOLM</t>
        </is>
      </c>
      <c r="F118" t="inlineStr">
        <is>
          <t>Kyrkan</t>
        </is>
      </c>
      <c r="G118" t="n">
        <v>0.9</v>
      </c>
      <c r="H118" t="n">
        <v>0</v>
      </c>
      <c r="I118" t="n">
        <v>0</v>
      </c>
      <c r="J118" t="n">
        <v>0</v>
      </c>
      <c r="K118" t="n">
        <v>0</v>
      </c>
      <c r="L118" t="n">
        <v>0</v>
      </c>
      <c r="M118" t="n">
        <v>0</v>
      </c>
      <c r="N118" t="n">
        <v>0</v>
      </c>
      <c r="O118" t="n">
        <v>0</v>
      </c>
      <c r="P118" t="n">
        <v>0</v>
      </c>
      <c r="Q118" t="n">
        <v>0</v>
      </c>
      <c r="R118" s="2" t="inlineStr"/>
    </row>
    <row r="119" ht="15" customHeight="1">
      <c r="A119" t="inlineStr">
        <is>
          <t>A 56989-2021</t>
        </is>
      </c>
      <c r="B119" s="1" t="n">
        <v>44482</v>
      </c>
      <c r="C119" s="1" t="n">
        <v>46171</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51159-2021</t>
        </is>
      </c>
      <c r="B120" s="1" t="n">
        <v>44461</v>
      </c>
      <c r="C120" s="1" t="n">
        <v>46171</v>
      </c>
      <c r="D120" t="inlineStr">
        <is>
          <t>SKÅNE LÄN</t>
        </is>
      </c>
      <c r="E120" t="inlineStr">
        <is>
          <t>HÄSSLEHOLM</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27330-2021</t>
        </is>
      </c>
      <c r="B121" s="1" t="n">
        <v>44351</v>
      </c>
      <c r="C121" s="1" t="n">
        <v>46171</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46171</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32892-2021</t>
        </is>
      </c>
      <c r="B123" s="1" t="n">
        <v>44375</v>
      </c>
      <c r="C123" s="1" t="n">
        <v>46171</v>
      </c>
      <c r="D123" t="inlineStr">
        <is>
          <t>SKÅNE LÄN</t>
        </is>
      </c>
      <c r="E123" t="inlineStr">
        <is>
          <t>HÄSSLEHOLM</t>
        </is>
      </c>
      <c r="G123" t="n">
        <v>2.9</v>
      </c>
      <c r="H123" t="n">
        <v>0</v>
      </c>
      <c r="I123" t="n">
        <v>0</v>
      </c>
      <c r="J123" t="n">
        <v>0</v>
      </c>
      <c r="K123" t="n">
        <v>0</v>
      </c>
      <c r="L123" t="n">
        <v>0</v>
      </c>
      <c r="M123" t="n">
        <v>0</v>
      </c>
      <c r="N123" t="n">
        <v>0</v>
      </c>
      <c r="O123" t="n">
        <v>0</v>
      </c>
      <c r="P123" t="n">
        <v>0</v>
      </c>
      <c r="Q123" t="n">
        <v>0</v>
      </c>
      <c r="R123" s="2" t="inlineStr"/>
    </row>
    <row r="124" ht="15" customHeight="1">
      <c r="A124" t="inlineStr">
        <is>
          <t>A 39102-2022</t>
        </is>
      </c>
      <c r="B124" s="1" t="n">
        <v>44817.43260416666</v>
      </c>
      <c r="C124" s="1" t="n">
        <v>46171</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47112-2021</t>
        </is>
      </c>
      <c r="B125" s="1" t="n">
        <v>44446</v>
      </c>
      <c r="C125" s="1" t="n">
        <v>46171</v>
      </c>
      <c r="D125" t="inlineStr">
        <is>
          <t>SKÅNE LÄN</t>
        </is>
      </c>
      <c r="E125" t="inlineStr">
        <is>
          <t>HÄSSLEHOLM</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6414-2022</t>
        </is>
      </c>
      <c r="B126" s="1" t="n">
        <v>44600</v>
      </c>
      <c r="C126" s="1" t="n">
        <v>46171</v>
      </c>
      <c r="D126" t="inlineStr">
        <is>
          <t>SKÅNE LÄN</t>
        </is>
      </c>
      <c r="E126" t="inlineStr">
        <is>
          <t>HÄSSLEHOLM</t>
        </is>
      </c>
      <c r="G126" t="n">
        <v>2.9</v>
      </c>
      <c r="H126" t="n">
        <v>0</v>
      </c>
      <c r="I126" t="n">
        <v>0</v>
      </c>
      <c r="J126" t="n">
        <v>0</v>
      </c>
      <c r="K126" t="n">
        <v>0</v>
      </c>
      <c r="L126" t="n">
        <v>0</v>
      </c>
      <c r="M126" t="n">
        <v>0</v>
      </c>
      <c r="N126" t="n">
        <v>0</v>
      </c>
      <c r="O126" t="n">
        <v>0</v>
      </c>
      <c r="P126" t="n">
        <v>0</v>
      </c>
      <c r="Q126" t="n">
        <v>0</v>
      </c>
      <c r="R126" s="2" t="inlineStr"/>
    </row>
    <row r="127" ht="15" customHeight="1">
      <c r="A127" t="inlineStr">
        <is>
          <t>A 56431-2021</t>
        </is>
      </c>
      <c r="B127" s="1" t="n">
        <v>44480</v>
      </c>
      <c r="C127" s="1" t="n">
        <v>46171</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52567-2021</t>
        </is>
      </c>
      <c r="B128" s="1" t="n">
        <v>44466</v>
      </c>
      <c r="C128" s="1" t="n">
        <v>46171</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74297-2021</t>
        </is>
      </c>
      <c r="B129" s="1" t="n">
        <v>44558</v>
      </c>
      <c r="C129" s="1" t="n">
        <v>46171</v>
      </c>
      <c r="D129" t="inlineStr">
        <is>
          <t>SKÅNE LÄN</t>
        </is>
      </c>
      <c r="E129" t="inlineStr">
        <is>
          <t>HÄSSLEHOLM</t>
        </is>
      </c>
      <c r="F129" t="inlineStr">
        <is>
          <t>Kyrkan</t>
        </is>
      </c>
      <c r="G129" t="n">
        <v>3.8</v>
      </c>
      <c r="H129" t="n">
        <v>0</v>
      </c>
      <c r="I129" t="n">
        <v>0</v>
      </c>
      <c r="J129" t="n">
        <v>0</v>
      </c>
      <c r="K129" t="n">
        <v>0</v>
      </c>
      <c r="L129" t="n">
        <v>0</v>
      </c>
      <c r="M129" t="n">
        <v>0</v>
      </c>
      <c r="N129" t="n">
        <v>0</v>
      </c>
      <c r="O129" t="n">
        <v>0</v>
      </c>
      <c r="P129" t="n">
        <v>0</v>
      </c>
      <c r="Q129" t="n">
        <v>0</v>
      </c>
      <c r="R129" s="2" t="inlineStr"/>
    </row>
    <row r="130" ht="15" customHeight="1">
      <c r="A130" t="inlineStr">
        <is>
          <t>A 52295-2021</t>
        </is>
      </c>
      <c r="B130" s="1" t="n">
        <v>44463</v>
      </c>
      <c r="C130" s="1" t="n">
        <v>46171</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68909-2021</t>
        </is>
      </c>
      <c r="B131" s="1" t="n">
        <v>44530.46730324074</v>
      </c>
      <c r="C131" s="1" t="n">
        <v>46171</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5091-2022</t>
        </is>
      </c>
      <c r="B132" s="1" t="n">
        <v>44593.85114583333</v>
      </c>
      <c r="C132" s="1" t="n">
        <v>46171</v>
      </c>
      <c r="D132" t="inlineStr">
        <is>
          <t>SKÅNE LÄN</t>
        </is>
      </c>
      <c r="E132" t="inlineStr">
        <is>
          <t>HÄSSLEHOLM</t>
        </is>
      </c>
      <c r="G132" t="n">
        <v>2.5</v>
      </c>
      <c r="H132" t="n">
        <v>0</v>
      </c>
      <c r="I132" t="n">
        <v>0</v>
      </c>
      <c r="J132" t="n">
        <v>0</v>
      </c>
      <c r="K132" t="n">
        <v>0</v>
      </c>
      <c r="L132" t="n">
        <v>0</v>
      </c>
      <c r="M132" t="n">
        <v>0</v>
      </c>
      <c r="N132" t="n">
        <v>0</v>
      </c>
      <c r="O132" t="n">
        <v>0</v>
      </c>
      <c r="P132" t="n">
        <v>0</v>
      </c>
      <c r="Q132" t="n">
        <v>0</v>
      </c>
      <c r="R132" s="2" t="inlineStr"/>
    </row>
    <row r="133" ht="15" customHeight="1">
      <c r="A133" t="inlineStr">
        <is>
          <t>A 60260-2021</t>
        </is>
      </c>
      <c r="B133" s="1" t="n">
        <v>44495</v>
      </c>
      <c r="C133" s="1" t="n">
        <v>46171</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15986-2022</t>
        </is>
      </c>
      <c r="B134" s="1" t="n">
        <v>44664</v>
      </c>
      <c r="C134" s="1" t="n">
        <v>46171</v>
      </c>
      <c r="D134" t="inlineStr">
        <is>
          <t>SKÅNE LÄN</t>
        </is>
      </c>
      <c r="E134" t="inlineStr">
        <is>
          <t>HÄSSLEHOLM</t>
        </is>
      </c>
      <c r="F134" t="inlineStr">
        <is>
          <t>Kyrkan</t>
        </is>
      </c>
      <c r="G134" t="n">
        <v>6</v>
      </c>
      <c r="H134" t="n">
        <v>0</v>
      </c>
      <c r="I134" t="n">
        <v>0</v>
      </c>
      <c r="J134" t="n">
        <v>0</v>
      </c>
      <c r="K134" t="n">
        <v>0</v>
      </c>
      <c r="L134" t="n">
        <v>0</v>
      </c>
      <c r="M134" t="n">
        <v>0</v>
      </c>
      <c r="N134" t="n">
        <v>0</v>
      </c>
      <c r="O134" t="n">
        <v>0</v>
      </c>
      <c r="P134" t="n">
        <v>0</v>
      </c>
      <c r="Q134" t="n">
        <v>0</v>
      </c>
      <c r="R134" s="2" t="inlineStr"/>
    </row>
    <row r="135" ht="15" customHeight="1">
      <c r="A135" t="inlineStr">
        <is>
          <t>A 52786-2021</t>
        </is>
      </c>
      <c r="B135" s="1" t="n">
        <v>44467.36061342592</v>
      </c>
      <c r="C135" s="1" t="n">
        <v>46171</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51888-2021</t>
        </is>
      </c>
      <c r="B136" s="1" t="n">
        <v>44462</v>
      </c>
      <c r="C136" s="1" t="n">
        <v>46171</v>
      </c>
      <c r="D136" t="inlineStr">
        <is>
          <t>SKÅNE LÄN</t>
        </is>
      </c>
      <c r="E136" t="inlineStr">
        <is>
          <t>HÄSSLEHOLM</t>
        </is>
      </c>
      <c r="G136" t="n">
        <v>5.6</v>
      </c>
      <c r="H136" t="n">
        <v>0</v>
      </c>
      <c r="I136" t="n">
        <v>0</v>
      </c>
      <c r="J136" t="n">
        <v>0</v>
      </c>
      <c r="K136" t="n">
        <v>0</v>
      </c>
      <c r="L136" t="n">
        <v>0</v>
      </c>
      <c r="M136" t="n">
        <v>0</v>
      </c>
      <c r="N136" t="n">
        <v>0</v>
      </c>
      <c r="O136" t="n">
        <v>0</v>
      </c>
      <c r="P136" t="n">
        <v>0</v>
      </c>
      <c r="Q136" t="n">
        <v>0</v>
      </c>
      <c r="R136" s="2" t="inlineStr"/>
    </row>
    <row r="137" ht="15" customHeight="1">
      <c r="A137" t="inlineStr">
        <is>
          <t>A 29143-2021</t>
        </is>
      </c>
      <c r="B137" s="1" t="n">
        <v>44358.6319212963</v>
      </c>
      <c r="C137" s="1" t="n">
        <v>46171</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44669-2022</t>
        </is>
      </c>
      <c r="B138" s="1" t="n">
        <v>44840</v>
      </c>
      <c r="C138" s="1" t="n">
        <v>46171</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26386-2022</t>
        </is>
      </c>
      <c r="B139" s="1" t="n">
        <v>44735.6803125</v>
      </c>
      <c r="C139" s="1" t="n">
        <v>46171</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73513-2021</t>
        </is>
      </c>
      <c r="B140" s="1" t="n">
        <v>44551.69012731482</v>
      </c>
      <c r="C140" s="1" t="n">
        <v>46171</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25469-2022</t>
        </is>
      </c>
      <c r="B141" s="1" t="n">
        <v>44732</v>
      </c>
      <c r="C141" s="1" t="n">
        <v>46171</v>
      </c>
      <c r="D141" t="inlineStr">
        <is>
          <t>SKÅNE LÄN</t>
        </is>
      </c>
      <c r="E141" t="inlineStr">
        <is>
          <t>HÄSSLEHOLM</t>
        </is>
      </c>
      <c r="G141" t="n">
        <v>4.2</v>
      </c>
      <c r="H141" t="n">
        <v>0</v>
      </c>
      <c r="I141" t="n">
        <v>0</v>
      </c>
      <c r="J141" t="n">
        <v>0</v>
      </c>
      <c r="K141" t="n">
        <v>0</v>
      </c>
      <c r="L141" t="n">
        <v>0</v>
      </c>
      <c r="M141" t="n">
        <v>0</v>
      </c>
      <c r="N141" t="n">
        <v>0</v>
      </c>
      <c r="O141" t="n">
        <v>0</v>
      </c>
      <c r="P141" t="n">
        <v>0</v>
      </c>
      <c r="Q141" t="n">
        <v>0</v>
      </c>
      <c r="R141" s="2" t="inlineStr"/>
    </row>
    <row r="142" ht="15" customHeight="1">
      <c r="A142" t="inlineStr">
        <is>
          <t>A 27959-2022</t>
        </is>
      </c>
      <c r="B142" s="1" t="n">
        <v>44744</v>
      </c>
      <c r="C142" s="1" t="n">
        <v>46171</v>
      </c>
      <c r="D142" t="inlineStr">
        <is>
          <t>SKÅNE LÄN</t>
        </is>
      </c>
      <c r="E142" t="inlineStr">
        <is>
          <t>HÄSSLEHOLM</t>
        </is>
      </c>
      <c r="G142" t="n">
        <v>3</v>
      </c>
      <c r="H142" t="n">
        <v>0</v>
      </c>
      <c r="I142" t="n">
        <v>0</v>
      </c>
      <c r="J142" t="n">
        <v>0</v>
      </c>
      <c r="K142" t="n">
        <v>0</v>
      </c>
      <c r="L142" t="n">
        <v>0</v>
      </c>
      <c r="M142" t="n">
        <v>0</v>
      </c>
      <c r="N142" t="n">
        <v>0</v>
      </c>
      <c r="O142" t="n">
        <v>0</v>
      </c>
      <c r="P142" t="n">
        <v>0</v>
      </c>
      <c r="Q142" t="n">
        <v>0</v>
      </c>
      <c r="R142" s="2" t="inlineStr"/>
    </row>
    <row r="143" ht="15" customHeight="1">
      <c r="A143" t="inlineStr">
        <is>
          <t>A 2858-2022</t>
        </is>
      </c>
      <c r="B143" s="1" t="n">
        <v>44581</v>
      </c>
      <c r="C143" s="1" t="n">
        <v>46171</v>
      </c>
      <c r="D143" t="inlineStr">
        <is>
          <t>SKÅNE LÄN</t>
        </is>
      </c>
      <c r="E143" t="inlineStr">
        <is>
          <t>HÄSSLEHOLM</t>
        </is>
      </c>
      <c r="F143" t="inlineStr">
        <is>
          <t>Övriga Aktiebolag</t>
        </is>
      </c>
      <c r="G143" t="n">
        <v>1.3</v>
      </c>
      <c r="H143" t="n">
        <v>0</v>
      </c>
      <c r="I143" t="n">
        <v>0</v>
      </c>
      <c r="J143" t="n">
        <v>0</v>
      </c>
      <c r="K143" t="n">
        <v>0</v>
      </c>
      <c r="L143" t="n">
        <v>0</v>
      </c>
      <c r="M143" t="n">
        <v>0</v>
      </c>
      <c r="N143" t="n">
        <v>0</v>
      </c>
      <c r="O143" t="n">
        <v>0</v>
      </c>
      <c r="P143" t="n">
        <v>0</v>
      </c>
      <c r="Q143" t="n">
        <v>0</v>
      </c>
      <c r="R143" s="2" t="inlineStr"/>
    </row>
    <row r="144" ht="15" customHeight="1">
      <c r="A144" t="inlineStr">
        <is>
          <t>A 418-2022</t>
        </is>
      </c>
      <c r="B144" s="1" t="n">
        <v>44565.84958333334</v>
      </c>
      <c r="C144" s="1" t="n">
        <v>46171</v>
      </c>
      <c r="D144" t="inlineStr">
        <is>
          <t>SKÅNE LÄN</t>
        </is>
      </c>
      <c r="E144" t="inlineStr">
        <is>
          <t>HÄSSLEHOLM</t>
        </is>
      </c>
      <c r="G144" t="n">
        <v>0</v>
      </c>
      <c r="H144" t="n">
        <v>0</v>
      </c>
      <c r="I144" t="n">
        <v>0</v>
      </c>
      <c r="J144" t="n">
        <v>0</v>
      </c>
      <c r="K144" t="n">
        <v>0</v>
      </c>
      <c r="L144" t="n">
        <v>0</v>
      </c>
      <c r="M144" t="n">
        <v>0</v>
      </c>
      <c r="N144" t="n">
        <v>0</v>
      </c>
      <c r="O144" t="n">
        <v>0</v>
      </c>
      <c r="P144" t="n">
        <v>0</v>
      </c>
      <c r="Q144" t="n">
        <v>0</v>
      </c>
      <c r="R144" s="2" t="inlineStr"/>
    </row>
    <row r="145" ht="15" customHeight="1">
      <c r="A145" t="inlineStr">
        <is>
          <t>A 55394-2022</t>
        </is>
      </c>
      <c r="B145" s="1" t="n">
        <v>44887.57112268519</v>
      </c>
      <c r="C145" s="1" t="n">
        <v>46171</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51893-2021</t>
        </is>
      </c>
      <c r="B146" s="1" t="n">
        <v>44462</v>
      </c>
      <c r="C146" s="1" t="n">
        <v>46171</v>
      </c>
      <c r="D146" t="inlineStr">
        <is>
          <t>SKÅNE LÄN</t>
        </is>
      </c>
      <c r="E146" t="inlineStr">
        <is>
          <t>HÄSSLEHOLM</t>
        </is>
      </c>
      <c r="G146" t="n">
        <v>1</v>
      </c>
      <c r="H146" t="n">
        <v>0</v>
      </c>
      <c r="I146" t="n">
        <v>0</v>
      </c>
      <c r="J146" t="n">
        <v>0</v>
      </c>
      <c r="K146" t="n">
        <v>0</v>
      </c>
      <c r="L146" t="n">
        <v>0</v>
      </c>
      <c r="M146" t="n">
        <v>0</v>
      </c>
      <c r="N146" t="n">
        <v>0</v>
      </c>
      <c r="O146" t="n">
        <v>0</v>
      </c>
      <c r="P146" t="n">
        <v>0</v>
      </c>
      <c r="Q146" t="n">
        <v>0</v>
      </c>
      <c r="R146" s="2" t="inlineStr"/>
    </row>
    <row r="147" ht="15" customHeight="1">
      <c r="A147" t="inlineStr">
        <is>
          <t>A 45989-2021</t>
        </is>
      </c>
      <c r="B147" s="1" t="n">
        <v>44441.74627314815</v>
      </c>
      <c r="C147" s="1" t="n">
        <v>46171</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45357-2022</t>
        </is>
      </c>
      <c r="B148" s="1" t="n">
        <v>44844.61952546296</v>
      </c>
      <c r="C148" s="1" t="n">
        <v>46171</v>
      </c>
      <c r="D148" t="inlineStr">
        <is>
          <t>SKÅNE LÄN</t>
        </is>
      </c>
      <c r="E148" t="inlineStr">
        <is>
          <t>HÄSSLEHOLM</t>
        </is>
      </c>
      <c r="G148" t="n">
        <v>5.8</v>
      </c>
      <c r="H148" t="n">
        <v>0</v>
      </c>
      <c r="I148" t="n">
        <v>0</v>
      </c>
      <c r="J148" t="n">
        <v>0</v>
      </c>
      <c r="K148" t="n">
        <v>0</v>
      </c>
      <c r="L148" t="n">
        <v>0</v>
      </c>
      <c r="M148" t="n">
        <v>0</v>
      </c>
      <c r="N148" t="n">
        <v>0</v>
      </c>
      <c r="O148" t="n">
        <v>0</v>
      </c>
      <c r="P148" t="n">
        <v>0</v>
      </c>
      <c r="Q148" t="n">
        <v>0</v>
      </c>
      <c r="R148" s="2" t="inlineStr"/>
    </row>
    <row r="149" ht="15" customHeight="1">
      <c r="A149" t="inlineStr">
        <is>
          <t>A 7904-2022</t>
        </is>
      </c>
      <c r="B149" s="1" t="n">
        <v>44607</v>
      </c>
      <c r="C149" s="1" t="n">
        <v>46171</v>
      </c>
      <c r="D149" t="inlineStr">
        <is>
          <t>SKÅNE LÄN</t>
        </is>
      </c>
      <c r="E149" t="inlineStr">
        <is>
          <t>HÄSSLEHOLM</t>
        </is>
      </c>
      <c r="F149" t="inlineStr">
        <is>
          <t>Kyrkan</t>
        </is>
      </c>
      <c r="G149" t="n">
        <v>3.9</v>
      </c>
      <c r="H149" t="n">
        <v>0</v>
      </c>
      <c r="I149" t="n">
        <v>0</v>
      </c>
      <c r="J149" t="n">
        <v>0</v>
      </c>
      <c r="K149" t="n">
        <v>0</v>
      </c>
      <c r="L149" t="n">
        <v>0</v>
      </c>
      <c r="M149" t="n">
        <v>0</v>
      </c>
      <c r="N149" t="n">
        <v>0</v>
      </c>
      <c r="O149" t="n">
        <v>0</v>
      </c>
      <c r="P149" t="n">
        <v>0</v>
      </c>
      <c r="Q149" t="n">
        <v>0</v>
      </c>
      <c r="R149" s="2" t="inlineStr"/>
    </row>
    <row r="150" ht="15" customHeight="1">
      <c r="A150" t="inlineStr">
        <is>
          <t>A 51895-2021</t>
        </is>
      </c>
      <c r="B150" s="1" t="n">
        <v>44462</v>
      </c>
      <c r="C150" s="1" t="n">
        <v>46171</v>
      </c>
      <c r="D150" t="inlineStr">
        <is>
          <t>SKÅNE LÄN</t>
        </is>
      </c>
      <c r="E150" t="inlineStr">
        <is>
          <t>HÄSSLEHOLM</t>
        </is>
      </c>
      <c r="G150" t="n">
        <v>5.7</v>
      </c>
      <c r="H150" t="n">
        <v>0</v>
      </c>
      <c r="I150" t="n">
        <v>0</v>
      </c>
      <c r="J150" t="n">
        <v>0</v>
      </c>
      <c r="K150" t="n">
        <v>0</v>
      </c>
      <c r="L150" t="n">
        <v>0</v>
      </c>
      <c r="M150" t="n">
        <v>0</v>
      </c>
      <c r="N150" t="n">
        <v>0</v>
      </c>
      <c r="O150" t="n">
        <v>0</v>
      </c>
      <c r="P150" t="n">
        <v>0</v>
      </c>
      <c r="Q150" t="n">
        <v>0</v>
      </c>
      <c r="R150" s="2" t="inlineStr"/>
    </row>
    <row r="151" ht="15" customHeight="1">
      <c r="A151" t="inlineStr">
        <is>
          <t>A 7250-2022</t>
        </is>
      </c>
      <c r="B151" s="1" t="n">
        <v>44606</v>
      </c>
      <c r="C151" s="1" t="n">
        <v>46171</v>
      </c>
      <c r="D151" t="inlineStr">
        <is>
          <t>SKÅNE LÄN</t>
        </is>
      </c>
      <c r="E151" t="inlineStr">
        <is>
          <t>HÄSSLEHOLM</t>
        </is>
      </c>
      <c r="F151" t="inlineStr">
        <is>
          <t>Övriga Aktiebolag</t>
        </is>
      </c>
      <c r="G151" t="n">
        <v>2.6</v>
      </c>
      <c r="H151" t="n">
        <v>0</v>
      </c>
      <c r="I151" t="n">
        <v>0</v>
      </c>
      <c r="J151" t="n">
        <v>0</v>
      </c>
      <c r="K151" t="n">
        <v>0</v>
      </c>
      <c r="L151" t="n">
        <v>0</v>
      </c>
      <c r="M151" t="n">
        <v>0</v>
      </c>
      <c r="N151" t="n">
        <v>0</v>
      </c>
      <c r="O151" t="n">
        <v>0</v>
      </c>
      <c r="P151" t="n">
        <v>0</v>
      </c>
      <c r="Q151" t="n">
        <v>0</v>
      </c>
      <c r="R151" s="2" t="inlineStr"/>
    </row>
    <row r="152" ht="15" customHeight="1">
      <c r="A152" t="inlineStr">
        <is>
          <t>A 219-2022</t>
        </is>
      </c>
      <c r="B152" s="1" t="n">
        <v>44564</v>
      </c>
      <c r="C152" s="1" t="n">
        <v>46171</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6048-2022</t>
        </is>
      </c>
      <c r="B153" s="1" t="n">
        <v>44599.5174537037</v>
      </c>
      <c r="C153" s="1" t="n">
        <v>46171</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53576-2022</t>
        </is>
      </c>
      <c r="B154" s="1" t="n">
        <v>44875</v>
      </c>
      <c r="C154" s="1" t="n">
        <v>46171</v>
      </c>
      <c r="D154" t="inlineStr">
        <is>
          <t>SKÅNE LÄN</t>
        </is>
      </c>
      <c r="E154" t="inlineStr">
        <is>
          <t>HÄSSLEHOLM</t>
        </is>
      </c>
      <c r="F154" t="inlineStr">
        <is>
          <t>Övriga Aktiebolag</t>
        </is>
      </c>
      <c r="G154" t="n">
        <v>1.2</v>
      </c>
      <c r="H154" t="n">
        <v>0</v>
      </c>
      <c r="I154" t="n">
        <v>0</v>
      </c>
      <c r="J154" t="n">
        <v>0</v>
      </c>
      <c r="K154" t="n">
        <v>0</v>
      </c>
      <c r="L154" t="n">
        <v>0</v>
      </c>
      <c r="M154" t="n">
        <v>0</v>
      </c>
      <c r="N154" t="n">
        <v>0</v>
      </c>
      <c r="O154" t="n">
        <v>0</v>
      </c>
      <c r="P154" t="n">
        <v>0</v>
      </c>
      <c r="Q154" t="n">
        <v>0</v>
      </c>
      <c r="R154" s="2" t="inlineStr"/>
    </row>
    <row r="155" ht="15" customHeight="1">
      <c r="A155" t="inlineStr">
        <is>
          <t>A 55412-2022</t>
        </is>
      </c>
      <c r="B155" s="1" t="n">
        <v>44882</v>
      </c>
      <c r="C155" s="1" t="n">
        <v>46171</v>
      </c>
      <c r="D155" t="inlineStr">
        <is>
          <t>SKÅNE LÄN</t>
        </is>
      </c>
      <c r="E155" t="inlineStr">
        <is>
          <t>HÄSSLEHOLM</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6253-2022</t>
        </is>
      </c>
      <c r="B156" s="1" t="n">
        <v>44600</v>
      </c>
      <c r="C156" s="1" t="n">
        <v>46171</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7262-2022</t>
        </is>
      </c>
      <c r="B157" s="1" t="n">
        <v>44606</v>
      </c>
      <c r="C157" s="1" t="n">
        <v>46171</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64826-2021</t>
        </is>
      </c>
      <c r="B158" s="1" t="n">
        <v>44512.55935185185</v>
      </c>
      <c r="C158" s="1" t="n">
        <v>46171</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23967-2022</t>
        </is>
      </c>
      <c r="B159" s="1" t="n">
        <v>44722.74079861111</v>
      </c>
      <c r="C159" s="1" t="n">
        <v>46171</v>
      </c>
      <c r="D159" t="inlineStr">
        <is>
          <t>SKÅNE LÄN</t>
        </is>
      </c>
      <c r="E159" t="inlineStr">
        <is>
          <t>HÄSSLEHOLM</t>
        </is>
      </c>
      <c r="F159" t="inlineStr">
        <is>
          <t>Kyrkan</t>
        </is>
      </c>
      <c r="G159" t="n">
        <v>12.4</v>
      </c>
      <c r="H159" t="n">
        <v>0</v>
      </c>
      <c r="I159" t="n">
        <v>0</v>
      </c>
      <c r="J159" t="n">
        <v>0</v>
      </c>
      <c r="K159" t="n">
        <v>0</v>
      </c>
      <c r="L159" t="n">
        <v>0</v>
      </c>
      <c r="M159" t="n">
        <v>0</v>
      </c>
      <c r="N159" t="n">
        <v>0</v>
      </c>
      <c r="O159" t="n">
        <v>0</v>
      </c>
      <c r="P159" t="n">
        <v>0</v>
      </c>
      <c r="Q159" t="n">
        <v>0</v>
      </c>
      <c r="R159" s="2" t="inlineStr"/>
    </row>
    <row r="160" ht="15" customHeight="1">
      <c r="A160" t="inlineStr">
        <is>
          <t>A 25464-2022</t>
        </is>
      </c>
      <c r="B160" s="1" t="n">
        <v>44729</v>
      </c>
      <c r="C160" s="1" t="n">
        <v>46171</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8177-2022</t>
        </is>
      </c>
      <c r="B161" s="1" t="n">
        <v>44607</v>
      </c>
      <c r="C161" s="1" t="n">
        <v>46171</v>
      </c>
      <c r="D161" t="inlineStr">
        <is>
          <t>SKÅNE LÄN</t>
        </is>
      </c>
      <c r="E161" t="inlineStr">
        <is>
          <t>HÄSSLEHOLM</t>
        </is>
      </c>
      <c r="F161" t="inlineStr">
        <is>
          <t>Kyrkan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30344-2022</t>
        </is>
      </c>
      <c r="B162" s="1" t="n">
        <v>44760.50783564815</v>
      </c>
      <c r="C162" s="1" t="n">
        <v>46171</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56527-2021</t>
        </is>
      </c>
      <c r="B163" s="1" t="n">
        <v>44480</v>
      </c>
      <c r="C163" s="1" t="n">
        <v>46171</v>
      </c>
      <c r="D163" t="inlineStr">
        <is>
          <t>SKÅNE LÄN</t>
        </is>
      </c>
      <c r="E163" t="inlineStr">
        <is>
          <t>HÄSSLEHOLM</t>
        </is>
      </c>
      <c r="F163" t="inlineStr">
        <is>
          <t>Kyrkan</t>
        </is>
      </c>
      <c r="G163" t="n">
        <v>2.7</v>
      </c>
      <c r="H163" t="n">
        <v>0</v>
      </c>
      <c r="I163" t="n">
        <v>0</v>
      </c>
      <c r="J163" t="n">
        <v>0</v>
      </c>
      <c r="K163" t="n">
        <v>0</v>
      </c>
      <c r="L163" t="n">
        <v>0</v>
      </c>
      <c r="M163" t="n">
        <v>0</v>
      </c>
      <c r="N163" t="n">
        <v>0</v>
      </c>
      <c r="O163" t="n">
        <v>0</v>
      </c>
      <c r="P163" t="n">
        <v>0</v>
      </c>
      <c r="Q163" t="n">
        <v>0</v>
      </c>
      <c r="R163" s="2" t="inlineStr"/>
    </row>
    <row r="164" ht="15" customHeight="1">
      <c r="A164" t="inlineStr">
        <is>
          <t>A 20657-2022</t>
        </is>
      </c>
      <c r="B164" s="1" t="n">
        <v>44700</v>
      </c>
      <c r="C164" s="1" t="n">
        <v>46171</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25955-2022</t>
        </is>
      </c>
      <c r="B165" s="1" t="n">
        <v>44734</v>
      </c>
      <c r="C165" s="1" t="n">
        <v>46171</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7306-2025</t>
        </is>
      </c>
      <c r="B166" s="1" t="n">
        <v>45702</v>
      </c>
      <c r="C166" s="1" t="n">
        <v>46171</v>
      </c>
      <c r="D166" t="inlineStr">
        <is>
          <t>SKÅNE LÄN</t>
        </is>
      </c>
      <c r="E166" t="inlineStr">
        <is>
          <t>HÄSSLEHOLM</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7308-2025</t>
        </is>
      </c>
      <c r="B167" s="1" t="n">
        <v>45702</v>
      </c>
      <c r="C167" s="1" t="n">
        <v>46171</v>
      </c>
      <c r="D167" t="inlineStr">
        <is>
          <t>SKÅNE LÄN</t>
        </is>
      </c>
      <c r="E167" t="inlineStr">
        <is>
          <t>HÄSSLEHOLM</t>
        </is>
      </c>
      <c r="F167" t="inlineStr">
        <is>
          <t>Övriga Aktiebolag</t>
        </is>
      </c>
      <c r="G167" t="n">
        <v>4.8</v>
      </c>
      <c r="H167" t="n">
        <v>0</v>
      </c>
      <c r="I167" t="n">
        <v>0</v>
      </c>
      <c r="J167" t="n">
        <v>0</v>
      </c>
      <c r="K167" t="n">
        <v>0</v>
      </c>
      <c r="L167" t="n">
        <v>0</v>
      </c>
      <c r="M167" t="n">
        <v>0</v>
      </c>
      <c r="N167" t="n">
        <v>0</v>
      </c>
      <c r="O167" t="n">
        <v>0</v>
      </c>
      <c r="P167" t="n">
        <v>0</v>
      </c>
      <c r="Q167" t="n">
        <v>0</v>
      </c>
      <c r="R167" s="2" t="inlineStr"/>
    </row>
    <row r="168" ht="15" customHeight="1">
      <c r="A168" t="inlineStr">
        <is>
          <t>A 3992-2022</t>
        </is>
      </c>
      <c r="B168" s="1" t="n">
        <v>44587</v>
      </c>
      <c r="C168" s="1" t="n">
        <v>46171</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28236-2022</t>
        </is>
      </c>
      <c r="B169" s="1" t="n">
        <v>44746</v>
      </c>
      <c r="C169" s="1" t="n">
        <v>46171</v>
      </c>
      <c r="D169" t="inlineStr">
        <is>
          <t>SKÅNE LÄN</t>
        </is>
      </c>
      <c r="E169" t="inlineStr">
        <is>
          <t>HÄSSLEHOLM</t>
        </is>
      </c>
      <c r="G169" t="n">
        <v>3.5</v>
      </c>
      <c r="H169" t="n">
        <v>0</v>
      </c>
      <c r="I169" t="n">
        <v>0</v>
      </c>
      <c r="J169" t="n">
        <v>0</v>
      </c>
      <c r="K169" t="n">
        <v>0</v>
      </c>
      <c r="L169" t="n">
        <v>0</v>
      </c>
      <c r="M169" t="n">
        <v>0</v>
      </c>
      <c r="N169" t="n">
        <v>0</v>
      </c>
      <c r="O169" t="n">
        <v>0</v>
      </c>
      <c r="P169" t="n">
        <v>0</v>
      </c>
      <c r="Q169" t="n">
        <v>0</v>
      </c>
      <c r="R169" s="2" t="inlineStr"/>
    </row>
    <row r="170" ht="15" customHeight="1">
      <c r="A170" t="inlineStr">
        <is>
          <t>A 26642-2023</t>
        </is>
      </c>
      <c r="B170" s="1" t="n">
        <v>45092.8975</v>
      </c>
      <c r="C170" s="1" t="n">
        <v>46171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5016-2024</t>
        </is>
      </c>
      <c r="B171" s="1" t="n">
        <v>45329</v>
      </c>
      <c r="C171" s="1" t="n">
        <v>46171</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20279-2025</t>
        </is>
      </c>
      <c r="B172" s="1" t="n">
        <v>45774.38643518519</v>
      </c>
      <c r="C172" s="1" t="n">
        <v>46171</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4512-2024</t>
        </is>
      </c>
      <c r="B173" s="1" t="n">
        <v>45327.6312962963</v>
      </c>
      <c r="C173" s="1" t="n">
        <v>46171</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18580-2023</t>
        </is>
      </c>
      <c r="B174" s="1" t="n">
        <v>45043.37037037037</v>
      </c>
      <c r="C174" s="1" t="n">
        <v>46171</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17335-2024</t>
        </is>
      </c>
      <c r="B175" s="1" t="n">
        <v>45414.5687962963</v>
      </c>
      <c r="C175" s="1" t="n">
        <v>46171</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4916-2024</t>
        </is>
      </c>
      <c r="B176" s="1" t="n">
        <v>45329</v>
      </c>
      <c r="C176" s="1" t="n">
        <v>46171</v>
      </c>
      <c r="D176" t="inlineStr">
        <is>
          <t>SKÅNE LÄN</t>
        </is>
      </c>
      <c r="E176" t="inlineStr">
        <is>
          <t>HÄSSLEHOLM</t>
        </is>
      </c>
      <c r="G176" t="n">
        <v>1.3</v>
      </c>
      <c r="H176" t="n">
        <v>0</v>
      </c>
      <c r="I176" t="n">
        <v>0</v>
      </c>
      <c r="J176" t="n">
        <v>0</v>
      </c>
      <c r="K176" t="n">
        <v>0</v>
      </c>
      <c r="L176" t="n">
        <v>0</v>
      </c>
      <c r="M176" t="n">
        <v>0</v>
      </c>
      <c r="N176" t="n">
        <v>0</v>
      </c>
      <c r="O176" t="n">
        <v>0</v>
      </c>
      <c r="P176" t="n">
        <v>0</v>
      </c>
      <c r="Q176" t="n">
        <v>0</v>
      </c>
      <c r="R176" s="2" t="inlineStr"/>
    </row>
    <row r="177" ht="15" customHeight="1">
      <c r="A177" t="inlineStr">
        <is>
          <t>A 50000-2023</t>
        </is>
      </c>
      <c r="B177" s="1" t="n">
        <v>45215.4434837963</v>
      </c>
      <c r="C177" s="1" t="n">
        <v>46171</v>
      </c>
      <c r="D177" t="inlineStr">
        <is>
          <t>SKÅNE LÄN</t>
        </is>
      </c>
      <c r="E177" t="inlineStr">
        <is>
          <t>HÄSSLEHOLM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62199-2022</t>
        </is>
      </c>
      <c r="B178" s="1" t="n">
        <v>44915</v>
      </c>
      <c r="C178" s="1" t="n">
        <v>46171</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50607-2023</t>
        </is>
      </c>
      <c r="B179" s="1" t="n">
        <v>45210</v>
      </c>
      <c r="C179" s="1" t="n">
        <v>46171</v>
      </c>
      <c r="D179" t="inlineStr">
        <is>
          <t>SKÅNE LÄN</t>
        </is>
      </c>
      <c r="E179" t="inlineStr">
        <is>
          <t>HÄSSLEHOLM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50616-2023</t>
        </is>
      </c>
      <c r="B180" s="1" t="n">
        <v>45210</v>
      </c>
      <c r="C180" s="1" t="n">
        <v>46171</v>
      </c>
      <c r="D180" t="inlineStr">
        <is>
          <t>SKÅNE LÄN</t>
        </is>
      </c>
      <c r="E180" t="inlineStr">
        <is>
          <t>HÄSSLEHOLM</t>
        </is>
      </c>
      <c r="G180" t="n">
        <v>1.1</v>
      </c>
      <c r="H180" t="n">
        <v>0</v>
      </c>
      <c r="I180" t="n">
        <v>0</v>
      </c>
      <c r="J180" t="n">
        <v>0</v>
      </c>
      <c r="K180" t="n">
        <v>0</v>
      </c>
      <c r="L180" t="n">
        <v>0</v>
      </c>
      <c r="M180" t="n">
        <v>0</v>
      </c>
      <c r="N180" t="n">
        <v>0</v>
      </c>
      <c r="O180" t="n">
        <v>0</v>
      </c>
      <c r="P180" t="n">
        <v>0</v>
      </c>
      <c r="Q180" t="n">
        <v>0</v>
      </c>
      <c r="R180" s="2" t="inlineStr"/>
    </row>
    <row r="181" ht="15" customHeight="1">
      <c r="A181" t="inlineStr">
        <is>
          <t>A 9323-2025</t>
        </is>
      </c>
      <c r="B181" s="1" t="n">
        <v>45714.73532407408</v>
      </c>
      <c r="C181" s="1" t="n">
        <v>46171</v>
      </c>
      <c r="D181" t="inlineStr">
        <is>
          <t>SKÅNE LÄN</t>
        </is>
      </c>
      <c r="E181" t="inlineStr">
        <is>
          <t>HÄSSLEHOLM</t>
        </is>
      </c>
      <c r="G181" t="n">
        <v>5.2</v>
      </c>
      <c r="H181" t="n">
        <v>0</v>
      </c>
      <c r="I181" t="n">
        <v>0</v>
      </c>
      <c r="J181" t="n">
        <v>0</v>
      </c>
      <c r="K181" t="n">
        <v>0</v>
      </c>
      <c r="L181" t="n">
        <v>0</v>
      </c>
      <c r="M181" t="n">
        <v>0</v>
      </c>
      <c r="N181" t="n">
        <v>0</v>
      </c>
      <c r="O181" t="n">
        <v>0</v>
      </c>
      <c r="P181" t="n">
        <v>0</v>
      </c>
      <c r="Q181" t="n">
        <v>0</v>
      </c>
      <c r="R181" s="2" t="inlineStr"/>
    </row>
    <row r="182" ht="15" customHeight="1">
      <c r="A182" t="inlineStr">
        <is>
          <t>A 49250-2022</t>
        </is>
      </c>
      <c r="B182" s="1" t="n">
        <v>44858</v>
      </c>
      <c r="C182" s="1" t="n">
        <v>46171</v>
      </c>
      <c r="D182" t="inlineStr">
        <is>
          <t>SKÅNE LÄN</t>
        </is>
      </c>
      <c r="E182" t="inlineStr">
        <is>
          <t>HÄSSLEHOLM</t>
        </is>
      </c>
      <c r="F182" t="inlineStr">
        <is>
          <t>Kyrkan</t>
        </is>
      </c>
      <c r="G182" t="n">
        <v>1.5</v>
      </c>
      <c r="H182" t="n">
        <v>0</v>
      </c>
      <c r="I182" t="n">
        <v>0</v>
      </c>
      <c r="J182" t="n">
        <v>0</v>
      </c>
      <c r="K182" t="n">
        <v>0</v>
      </c>
      <c r="L182" t="n">
        <v>0</v>
      </c>
      <c r="M182" t="n">
        <v>0</v>
      </c>
      <c r="N182" t="n">
        <v>0</v>
      </c>
      <c r="O182" t="n">
        <v>0</v>
      </c>
      <c r="P182" t="n">
        <v>0</v>
      </c>
      <c r="Q182" t="n">
        <v>0</v>
      </c>
      <c r="R182" s="2" t="inlineStr"/>
    </row>
    <row r="183" ht="15" customHeight="1">
      <c r="A183" t="inlineStr">
        <is>
          <t>A 677-2024</t>
        </is>
      </c>
      <c r="B183" s="1" t="n">
        <v>45300</v>
      </c>
      <c r="C183" s="1" t="n">
        <v>46171</v>
      </c>
      <c r="D183" t="inlineStr">
        <is>
          <t>SKÅNE LÄN</t>
        </is>
      </c>
      <c r="E183" t="inlineStr">
        <is>
          <t>HÄSSLEHOLM</t>
        </is>
      </c>
      <c r="G183" t="n">
        <v>6.8</v>
      </c>
      <c r="H183" t="n">
        <v>0</v>
      </c>
      <c r="I183" t="n">
        <v>0</v>
      </c>
      <c r="J183" t="n">
        <v>0</v>
      </c>
      <c r="K183" t="n">
        <v>0</v>
      </c>
      <c r="L183" t="n">
        <v>0</v>
      </c>
      <c r="M183" t="n">
        <v>0</v>
      </c>
      <c r="N183" t="n">
        <v>0</v>
      </c>
      <c r="O183" t="n">
        <v>0</v>
      </c>
      <c r="P183" t="n">
        <v>0</v>
      </c>
      <c r="Q183" t="n">
        <v>0</v>
      </c>
      <c r="R183" s="2" t="inlineStr"/>
    </row>
    <row r="184" ht="15" customHeight="1">
      <c r="A184" t="inlineStr">
        <is>
          <t>A 8759-2024</t>
        </is>
      </c>
      <c r="B184" s="1" t="n">
        <v>45356.52271990741</v>
      </c>
      <c r="C184" s="1" t="n">
        <v>46171</v>
      </c>
      <c r="D184" t="inlineStr">
        <is>
          <t>SKÅNE LÄN</t>
        </is>
      </c>
      <c r="E184" t="inlineStr">
        <is>
          <t>HÄSSLEHOLM</t>
        </is>
      </c>
      <c r="G184" t="n">
        <v>5.7</v>
      </c>
      <c r="H184" t="n">
        <v>0</v>
      </c>
      <c r="I184" t="n">
        <v>0</v>
      </c>
      <c r="J184" t="n">
        <v>0</v>
      </c>
      <c r="K184" t="n">
        <v>0</v>
      </c>
      <c r="L184" t="n">
        <v>0</v>
      </c>
      <c r="M184" t="n">
        <v>0</v>
      </c>
      <c r="N184" t="n">
        <v>0</v>
      </c>
      <c r="O184" t="n">
        <v>0</v>
      </c>
      <c r="P184" t="n">
        <v>0</v>
      </c>
      <c r="Q184" t="n">
        <v>0</v>
      </c>
      <c r="R184" s="2" t="inlineStr"/>
    </row>
    <row r="185" ht="15" customHeight="1">
      <c r="A185" t="inlineStr">
        <is>
          <t>A 10020-2024</t>
        </is>
      </c>
      <c r="B185" s="1" t="n">
        <v>45363.96944444445</v>
      </c>
      <c r="C185" s="1" t="n">
        <v>46171</v>
      </c>
      <c r="D185" t="inlineStr">
        <is>
          <t>SKÅNE LÄN</t>
        </is>
      </c>
      <c r="E185" t="inlineStr">
        <is>
          <t>HÄSSLEHOLM</t>
        </is>
      </c>
      <c r="G185" t="n">
        <v>5.3</v>
      </c>
      <c r="H185" t="n">
        <v>0</v>
      </c>
      <c r="I185" t="n">
        <v>0</v>
      </c>
      <c r="J185" t="n">
        <v>0</v>
      </c>
      <c r="K185" t="n">
        <v>0</v>
      </c>
      <c r="L185" t="n">
        <v>0</v>
      </c>
      <c r="M185" t="n">
        <v>0</v>
      </c>
      <c r="N185" t="n">
        <v>0</v>
      </c>
      <c r="O185" t="n">
        <v>0</v>
      </c>
      <c r="P185" t="n">
        <v>0</v>
      </c>
      <c r="Q185" t="n">
        <v>0</v>
      </c>
      <c r="R185" s="2" t="inlineStr"/>
    </row>
    <row r="186" ht="15" customHeight="1">
      <c r="A186" t="inlineStr">
        <is>
          <t>A 15562-2024</t>
        </is>
      </c>
      <c r="B186" s="1" t="n">
        <v>45401.64975694445</v>
      </c>
      <c r="C186" s="1" t="n">
        <v>46171</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23946-2023</t>
        </is>
      </c>
      <c r="B187" s="1" t="n">
        <v>45078.61601851852</v>
      </c>
      <c r="C187" s="1" t="n">
        <v>46171</v>
      </c>
      <c r="D187" t="inlineStr">
        <is>
          <t>SKÅNE LÄN</t>
        </is>
      </c>
      <c r="E187" t="inlineStr">
        <is>
          <t>HÄSSLEHOLM</t>
        </is>
      </c>
      <c r="G187" t="n">
        <v>0.2</v>
      </c>
      <c r="H187" t="n">
        <v>0</v>
      </c>
      <c r="I187" t="n">
        <v>0</v>
      </c>
      <c r="J187" t="n">
        <v>0</v>
      </c>
      <c r="K187" t="n">
        <v>0</v>
      </c>
      <c r="L187" t="n">
        <v>0</v>
      </c>
      <c r="M187" t="n">
        <v>0</v>
      </c>
      <c r="N187" t="n">
        <v>0</v>
      </c>
      <c r="O187" t="n">
        <v>0</v>
      </c>
      <c r="P187" t="n">
        <v>0</v>
      </c>
      <c r="Q187" t="n">
        <v>0</v>
      </c>
      <c r="R187" s="2" t="inlineStr"/>
    </row>
    <row r="188" ht="15" customHeight="1">
      <c r="A188" t="inlineStr">
        <is>
          <t>A 15036-2024</t>
        </is>
      </c>
      <c r="B188" s="1" t="n">
        <v>45399.48100694444</v>
      </c>
      <c r="C188" s="1" t="n">
        <v>46171</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12936-2025</t>
        </is>
      </c>
      <c r="B189" s="1" t="n">
        <v>45734</v>
      </c>
      <c r="C189" s="1" t="n">
        <v>46171</v>
      </c>
      <c r="D189" t="inlineStr">
        <is>
          <t>SKÅNE LÄN</t>
        </is>
      </c>
      <c r="E189" t="inlineStr">
        <is>
          <t>HÄSSLEHOLM</t>
        </is>
      </c>
      <c r="G189" t="n">
        <v>1.7</v>
      </c>
      <c r="H189" t="n">
        <v>0</v>
      </c>
      <c r="I189" t="n">
        <v>0</v>
      </c>
      <c r="J189" t="n">
        <v>0</v>
      </c>
      <c r="K189" t="n">
        <v>0</v>
      </c>
      <c r="L189" t="n">
        <v>0</v>
      </c>
      <c r="M189" t="n">
        <v>0</v>
      </c>
      <c r="N189" t="n">
        <v>0</v>
      </c>
      <c r="O189" t="n">
        <v>0</v>
      </c>
      <c r="P189" t="n">
        <v>0</v>
      </c>
      <c r="Q189" t="n">
        <v>0</v>
      </c>
      <c r="R189" s="2" t="inlineStr"/>
    </row>
    <row r="190" ht="15" customHeight="1">
      <c r="A190" t="inlineStr">
        <is>
          <t>A 8749-2024</t>
        </is>
      </c>
      <c r="B190" s="1" t="n">
        <v>45356.50387731481</v>
      </c>
      <c r="C190" s="1" t="n">
        <v>46171</v>
      </c>
      <c r="D190" t="inlineStr">
        <is>
          <t>SKÅNE LÄN</t>
        </is>
      </c>
      <c r="E190" t="inlineStr">
        <is>
          <t>HÄSSLEHOLM</t>
        </is>
      </c>
      <c r="G190" t="n">
        <v>2.9</v>
      </c>
      <c r="H190" t="n">
        <v>0</v>
      </c>
      <c r="I190" t="n">
        <v>0</v>
      </c>
      <c r="J190" t="n">
        <v>0</v>
      </c>
      <c r="K190" t="n">
        <v>0</v>
      </c>
      <c r="L190" t="n">
        <v>0</v>
      </c>
      <c r="M190" t="n">
        <v>0</v>
      </c>
      <c r="N190" t="n">
        <v>0</v>
      </c>
      <c r="O190" t="n">
        <v>0</v>
      </c>
      <c r="P190" t="n">
        <v>0</v>
      </c>
      <c r="Q190" t="n">
        <v>0</v>
      </c>
      <c r="R190" s="2" t="inlineStr"/>
    </row>
    <row r="191" ht="15" customHeight="1">
      <c r="A191" t="inlineStr">
        <is>
          <t>A 8752-2024</t>
        </is>
      </c>
      <c r="B191" s="1" t="n">
        <v>45356</v>
      </c>
      <c r="C191" s="1" t="n">
        <v>46171</v>
      </c>
      <c r="D191" t="inlineStr">
        <is>
          <t>SKÅNE LÄN</t>
        </is>
      </c>
      <c r="E191" t="inlineStr">
        <is>
          <t>HÄSSLEHOLM</t>
        </is>
      </c>
      <c r="G191" t="n">
        <v>3.4</v>
      </c>
      <c r="H191" t="n">
        <v>0</v>
      </c>
      <c r="I191" t="n">
        <v>0</v>
      </c>
      <c r="J191" t="n">
        <v>0</v>
      </c>
      <c r="K191" t="n">
        <v>0</v>
      </c>
      <c r="L191" t="n">
        <v>0</v>
      </c>
      <c r="M191" t="n">
        <v>0</v>
      </c>
      <c r="N191" t="n">
        <v>0</v>
      </c>
      <c r="O191" t="n">
        <v>0</v>
      </c>
      <c r="P191" t="n">
        <v>0</v>
      </c>
      <c r="Q191" t="n">
        <v>0</v>
      </c>
      <c r="R191" s="2" t="inlineStr"/>
    </row>
    <row r="192" ht="15" customHeight="1">
      <c r="A192" t="inlineStr">
        <is>
          <t>A 42906-2022</t>
        </is>
      </c>
      <c r="B192" s="1" t="n">
        <v>44833</v>
      </c>
      <c r="C192" s="1" t="n">
        <v>46171</v>
      </c>
      <c r="D192" t="inlineStr">
        <is>
          <t>SKÅNE LÄN</t>
        </is>
      </c>
      <c r="E192" t="inlineStr">
        <is>
          <t>HÄSSLEHOLM</t>
        </is>
      </c>
      <c r="G192" t="n">
        <v>1.1</v>
      </c>
      <c r="H192" t="n">
        <v>0</v>
      </c>
      <c r="I192" t="n">
        <v>0</v>
      </c>
      <c r="J192" t="n">
        <v>0</v>
      </c>
      <c r="K192" t="n">
        <v>0</v>
      </c>
      <c r="L192" t="n">
        <v>0</v>
      </c>
      <c r="M192" t="n">
        <v>0</v>
      </c>
      <c r="N192" t="n">
        <v>0</v>
      </c>
      <c r="O192" t="n">
        <v>0</v>
      </c>
      <c r="P192" t="n">
        <v>0</v>
      </c>
      <c r="Q192" t="n">
        <v>0</v>
      </c>
      <c r="R192" s="2" t="inlineStr"/>
    </row>
    <row r="193" ht="15" customHeight="1">
      <c r="A193" t="inlineStr">
        <is>
          <t>A 44697-2021</t>
        </is>
      </c>
      <c r="B193" s="1" t="n">
        <v>44438</v>
      </c>
      <c r="C193" s="1" t="n">
        <v>46171</v>
      </c>
      <c r="D193" t="inlineStr">
        <is>
          <t>SKÅNE LÄN</t>
        </is>
      </c>
      <c r="E193" t="inlineStr">
        <is>
          <t>HÄSSLEHOLM</t>
        </is>
      </c>
      <c r="G193" t="n">
        <v>4.8</v>
      </c>
      <c r="H193" t="n">
        <v>0</v>
      </c>
      <c r="I193" t="n">
        <v>0</v>
      </c>
      <c r="J193" t="n">
        <v>0</v>
      </c>
      <c r="K193" t="n">
        <v>0</v>
      </c>
      <c r="L193" t="n">
        <v>0</v>
      </c>
      <c r="M193" t="n">
        <v>0</v>
      </c>
      <c r="N193" t="n">
        <v>0</v>
      </c>
      <c r="O193" t="n">
        <v>0</v>
      </c>
      <c r="P193" t="n">
        <v>0</v>
      </c>
      <c r="Q193" t="n">
        <v>0</v>
      </c>
      <c r="R193" s="2" t="inlineStr"/>
    </row>
    <row r="194" ht="15" customHeight="1">
      <c r="A194" t="inlineStr">
        <is>
          <t>A 53067-2022</t>
        </is>
      </c>
      <c r="B194" s="1" t="n">
        <v>44873</v>
      </c>
      <c r="C194" s="1" t="n">
        <v>46171</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61929-2023</t>
        </is>
      </c>
      <c r="B195" s="1" t="n">
        <v>45266</v>
      </c>
      <c r="C195" s="1" t="n">
        <v>46171</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58915-2023</t>
        </is>
      </c>
      <c r="B196" s="1" t="n">
        <v>45250</v>
      </c>
      <c r="C196" s="1" t="n">
        <v>46171</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1120-2024</t>
        </is>
      </c>
      <c r="B197" s="1" t="n">
        <v>45302.4452662037</v>
      </c>
      <c r="C197" s="1" t="n">
        <v>46171</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61186-2022</t>
        </is>
      </c>
      <c r="B198" s="1" t="n">
        <v>44915.50745370371</v>
      </c>
      <c r="C198" s="1" t="n">
        <v>46171</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27177-2024</t>
        </is>
      </c>
      <c r="B199" s="1" t="n">
        <v>45471.57201388889</v>
      </c>
      <c r="C199" s="1" t="n">
        <v>46171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42428-2022</t>
        </is>
      </c>
      <c r="B200" s="1" t="n">
        <v>44831</v>
      </c>
      <c r="C200" s="1" t="n">
        <v>46171</v>
      </c>
      <c r="D200" t="inlineStr">
        <is>
          <t>SKÅNE LÄN</t>
        </is>
      </c>
      <c r="E200" t="inlineStr">
        <is>
          <t>HÄSSLEHOLM</t>
        </is>
      </c>
      <c r="G200" t="n">
        <v>2.8</v>
      </c>
      <c r="H200" t="n">
        <v>0</v>
      </c>
      <c r="I200" t="n">
        <v>0</v>
      </c>
      <c r="J200" t="n">
        <v>0</v>
      </c>
      <c r="K200" t="n">
        <v>0</v>
      </c>
      <c r="L200" t="n">
        <v>0</v>
      </c>
      <c r="M200" t="n">
        <v>0</v>
      </c>
      <c r="N200" t="n">
        <v>0</v>
      </c>
      <c r="O200" t="n">
        <v>0</v>
      </c>
      <c r="P200" t="n">
        <v>0</v>
      </c>
      <c r="Q200" t="n">
        <v>0</v>
      </c>
      <c r="R200" s="2" t="inlineStr"/>
    </row>
    <row r="201" ht="15" customHeight="1">
      <c r="A201" t="inlineStr">
        <is>
          <t>A 20494-2024</t>
        </is>
      </c>
      <c r="B201" s="1" t="n">
        <v>45435</v>
      </c>
      <c r="C201" s="1" t="n">
        <v>46171</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22595-2024</t>
        </is>
      </c>
      <c r="B202" s="1" t="n">
        <v>45447.61053240741</v>
      </c>
      <c r="C202" s="1" t="n">
        <v>46171</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42776-2021</t>
        </is>
      </c>
      <c r="B203" s="1" t="n">
        <v>44428</v>
      </c>
      <c r="C203" s="1" t="n">
        <v>46171</v>
      </c>
      <c r="D203" t="inlineStr">
        <is>
          <t>SKÅNE LÄN</t>
        </is>
      </c>
      <c r="E203" t="inlineStr">
        <is>
          <t>HÄSSLEHOLM</t>
        </is>
      </c>
      <c r="G203" t="n">
        <v>3.2</v>
      </c>
      <c r="H203" t="n">
        <v>0</v>
      </c>
      <c r="I203" t="n">
        <v>0</v>
      </c>
      <c r="J203" t="n">
        <v>0</v>
      </c>
      <c r="K203" t="n">
        <v>0</v>
      </c>
      <c r="L203" t="n">
        <v>0</v>
      </c>
      <c r="M203" t="n">
        <v>0</v>
      </c>
      <c r="N203" t="n">
        <v>0</v>
      </c>
      <c r="O203" t="n">
        <v>0</v>
      </c>
      <c r="P203" t="n">
        <v>0</v>
      </c>
      <c r="Q203" t="n">
        <v>0</v>
      </c>
      <c r="R203" s="2" t="inlineStr"/>
    </row>
    <row r="204" ht="15" customHeight="1">
      <c r="A204" t="inlineStr">
        <is>
          <t>A 57033-2022</t>
        </is>
      </c>
      <c r="B204" s="1" t="n">
        <v>44895.31270833333</v>
      </c>
      <c r="C204" s="1" t="n">
        <v>46171</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38148-2022</t>
        </is>
      </c>
      <c r="B205" s="1" t="n">
        <v>44811</v>
      </c>
      <c r="C205" s="1" t="n">
        <v>46171</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12780-2024</t>
        </is>
      </c>
      <c r="B206" s="1" t="n">
        <v>45384.59726851852</v>
      </c>
      <c r="C206" s="1" t="n">
        <v>46171</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28457-2024</t>
        </is>
      </c>
      <c r="B207" s="1" t="n">
        <v>45477.68884259259</v>
      </c>
      <c r="C207" s="1" t="n">
        <v>46171</v>
      </c>
      <c r="D207" t="inlineStr">
        <is>
          <t>SKÅNE LÄN</t>
        </is>
      </c>
      <c r="E207" t="inlineStr">
        <is>
          <t>HÄSSLEHOLM</t>
        </is>
      </c>
      <c r="G207" t="n">
        <v>0.7</v>
      </c>
      <c r="H207" t="n">
        <v>0</v>
      </c>
      <c r="I207" t="n">
        <v>0</v>
      </c>
      <c r="J207" t="n">
        <v>0</v>
      </c>
      <c r="K207" t="n">
        <v>0</v>
      </c>
      <c r="L207" t="n">
        <v>0</v>
      </c>
      <c r="M207" t="n">
        <v>0</v>
      </c>
      <c r="N207" t="n">
        <v>0</v>
      </c>
      <c r="O207" t="n">
        <v>0</v>
      </c>
      <c r="P207" t="n">
        <v>0</v>
      </c>
      <c r="Q207" t="n">
        <v>0</v>
      </c>
      <c r="R207" s="2" t="inlineStr"/>
    </row>
    <row r="208" ht="15" customHeight="1">
      <c r="A208" t="inlineStr">
        <is>
          <t>A 23007-2025</t>
        </is>
      </c>
      <c r="B208" s="1" t="n">
        <v>45790</v>
      </c>
      <c r="C208" s="1" t="n">
        <v>46171</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7221-2025</t>
        </is>
      </c>
      <c r="B209" s="1" t="n">
        <v>45701</v>
      </c>
      <c r="C209" s="1" t="n">
        <v>46171</v>
      </c>
      <c r="D209" t="inlineStr">
        <is>
          <t>SKÅNE LÄN</t>
        </is>
      </c>
      <c r="E209" t="inlineStr">
        <is>
          <t>HÄSSLEHOLM</t>
        </is>
      </c>
      <c r="G209" t="n">
        <v>1.8</v>
      </c>
      <c r="H209" t="n">
        <v>0</v>
      </c>
      <c r="I209" t="n">
        <v>0</v>
      </c>
      <c r="J209" t="n">
        <v>0</v>
      </c>
      <c r="K209" t="n">
        <v>0</v>
      </c>
      <c r="L209" t="n">
        <v>0</v>
      </c>
      <c r="M209" t="n">
        <v>0</v>
      </c>
      <c r="N209" t="n">
        <v>0</v>
      </c>
      <c r="O209" t="n">
        <v>0</v>
      </c>
      <c r="P209" t="n">
        <v>0</v>
      </c>
      <c r="Q209" t="n">
        <v>0</v>
      </c>
      <c r="R209" s="2" t="inlineStr"/>
    </row>
    <row r="210" ht="15" customHeight="1">
      <c r="A210" t="inlineStr">
        <is>
          <t>A 22594-2024</t>
        </is>
      </c>
      <c r="B210" s="1" t="n">
        <v>45447.60892361111</v>
      </c>
      <c r="C210" s="1" t="n">
        <v>46171</v>
      </c>
      <c r="D210" t="inlineStr">
        <is>
          <t>SKÅNE LÄN</t>
        </is>
      </c>
      <c r="E210" t="inlineStr">
        <is>
          <t>HÄSSLEHOLM</t>
        </is>
      </c>
      <c r="G210" t="n">
        <v>1.1</v>
      </c>
      <c r="H210" t="n">
        <v>0</v>
      </c>
      <c r="I210" t="n">
        <v>0</v>
      </c>
      <c r="J210" t="n">
        <v>0</v>
      </c>
      <c r="K210" t="n">
        <v>0</v>
      </c>
      <c r="L210" t="n">
        <v>0</v>
      </c>
      <c r="M210" t="n">
        <v>0</v>
      </c>
      <c r="N210" t="n">
        <v>0</v>
      </c>
      <c r="O210" t="n">
        <v>0</v>
      </c>
      <c r="P210" t="n">
        <v>0</v>
      </c>
      <c r="Q210" t="n">
        <v>0</v>
      </c>
      <c r="R210" s="2" t="inlineStr"/>
    </row>
    <row r="211" ht="15" customHeight="1">
      <c r="A211" t="inlineStr">
        <is>
          <t>A 74030-2021</t>
        </is>
      </c>
      <c r="B211" s="1" t="n">
        <v>44553</v>
      </c>
      <c r="C211" s="1" t="n">
        <v>46171</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55056-2021</t>
        </is>
      </c>
      <c r="B212" s="1" t="n">
        <v>44474.62072916667</v>
      </c>
      <c r="C212" s="1" t="n">
        <v>46171</v>
      </c>
      <c r="D212" t="inlineStr">
        <is>
          <t>SKÅNE LÄN</t>
        </is>
      </c>
      <c r="E212" t="inlineStr">
        <is>
          <t>HÄSSLEHOLM</t>
        </is>
      </c>
      <c r="G212" t="n">
        <v>2.5</v>
      </c>
      <c r="H212" t="n">
        <v>0</v>
      </c>
      <c r="I212" t="n">
        <v>0</v>
      </c>
      <c r="J212" t="n">
        <v>0</v>
      </c>
      <c r="K212" t="n">
        <v>0</v>
      </c>
      <c r="L212" t="n">
        <v>0</v>
      </c>
      <c r="M212" t="n">
        <v>0</v>
      </c>
      <c r="N212" t="n">
        <v>0</v>
      </c>
      <c r="O212" t="n">
        <v>0</v>
      </c>
      <c r="P212" t="n">
        <v>0</v>
      </c>
      <c r="Q212" t="n">
        <v>0</v>
      </c>
      <c r="R212" s="2" t="inlineStr"/>
    </row>
    <row r="213" ht="15" customHeight="1">
      <c r="A213" t="inlineStr">
        <is>
          <t>A 27606-2024</t>
        </is>
      </c>
      <c r="B213" s="1" t="n">
        <v>45474</v>
      </c>
      <c r="C213" s="1" t="n">
        <v>46171</v>
      </c>
      <c r="D213" t="inlineStr">
        <is>
          <t>SKÅNE LÄN</t>
        </is>
      </c>
      <c r="E213" t="inlineStr">
        <is>
          <t>HÄSSLEHOLM</t>
        </is>
      </c>
      <c r="G213" t="n">
        <v>3.6</v>
      </c>
      <c r="H213" t="n">
        <v>0</v>
      </c>
      <c r="I213" t="n">
        <v>0</v>
      </c>
      <c r="J213" t="n">
        <v>0</v>
      </c>
      <c r="K213" t="n">
        <v>0</v>
      </c>
      <c r="L213" t="n">
        <v>0</v>
      </c>
      <c r="M213" t="n">
        <v>0</v>
      </c>
      <c r="N213" t="n">
        <v>0</v>
      </c>
      <c r="O213" t="n">
        <v>0</v>
      </c>
      <c r="P213" t="n">
        <v>0</v>
      </c>
      <c r="Q213" t="n">
        <v>0</v>
      </c>
      <c r="R213" s="2" t="inlineStr"/>
    </row>
    <row r="214" ht="15" customHeight="1">
      <c r="A214" t="inlineStr">
        <is>
          <t>A 4042-2023</t>
        </is>
      </c>
      <c r="B214" s="1" t="n">
        <v>44952.59950231481</v>
      </c>
      <c r="C214" s="1" t="n">
        <v>46171</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56735-2024</t>
        </is>
      </c>
      <c r="B215" s="1" t="n">
        <v>45628.36234953703</v>
      </c>
      <c r="C215" s="1" t="n">
        <v>46171</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2621-2025</t>
        </is>
      </c>
      <c r="B216" s="1" t="n">
        <v>45675.60765046296</v>
      </c>
      <c r="C216" s="1" t="n">
        <v>46171</v>
      </c>
      <c r="D216" t="inlineStr">
        <is>
          <t>SKÅNE LÄN</t>
        </is>
      </c>
      <c r="E216" t="inlineStr">
        <is>
          <t>HÄSSLEHOLM</t>
        </is>
      </c>
      <c r="F216" t="inlineStr">
        <is>
          <t>Kommuner</t>
        </is>
      </c>
      <c r="G216" t="n">
        <v>3</v>
      </c>
      <c r="H216" t="n">
        <v>0</v>
      </c>
      <c r="I216" t="n">
        <v>0</v>
      </c>
      <c r="J216" t="n">
        <v>0</v>
      </c>
      <c r="K216" t="n">
        <v>0</v>
      </c>
      <c r="L216" t="n">
        <v>0</v>
      </c>
      <c r="M216" t="n">
        <v>0</v>
      </c>
      <c r="N216" t="n">
        <v>0</v>
      </c>
      <c r="O216" t="n">
        <v>0</v>
      </c>
      <c r="P216" t="n">
        <v>0</v>
      </c>
      <c r="Q216" t="n">
        <v>0</v>
      </c>
      <c r="R216" s="2" t="inlineStr"/>
    </row>
    <row r="217" ht="15" customHeight="1">
      <c r="A217" t="inlineStr">
        <is>
          <t>A 3123-2023</t>
        </is>
      </c>
      <c r="B217" s="1" t="n">
        <v>44946.4925</v>
      </c>
      <c r="C217" s="1" t="n">
        <v>46171</v>
      </c>
      <c r="D217" t="inlineStr">
        <is>
          <t>SKÅNE LÄN</t>
        </is>
      </c>
      <c r="E217" t="inlineStr">
        <is>
          <t>HÄSSLEHOLM</t>
        </is>
      </c>
      <c r="G217" t="n">
        <v>3.5</v>
      </c>
      <c r="H217" t="n">
        <v>0</v>
      </c>
      <c r="I217" t="n">
        <v>0</v>
      </c>
      <c r="J217" t="n">
        <v>0</v>
      </c>
      <c r="K217" t="n">
        <v>0</v>
      </c>
      <c r="L217" t="n">
        <v>0</v>
      </c>
      <c r="M217" t="n">
        <v>0</v>
      </c>
      <c r="N217" t="n">
        <v>0</v>
      </c>
      <c r="O217" t="n">
        <v>0</v>
      </c>
      <c r="P217" t="n">
        <v>0</v>
      </c>
      <c r="Q217" t="n">
        <v>0</v>
      </c>
      <c r="R217" s="2" t="inlineStr"/>
    </row>
    <row r="218" ht="15" customHeight="1">
      <c r="A218" t="inlineStr">
        <is>
          <t>A 3126-2023</t>
        </is>
      </c>
      <c r="B218" s="1" t="n">
        <v>44946.49570601852</v>
      </c>
      <c r="C218" s="1" t="n">
        <v>46171</v>
      </c>
      <c r="D218" t="inlineStr">
        <is>
          <t>SKÅNE LÄN</t>
        </is>
      </c>
      <c r="E218" t="inlineStr">
        <is>
          <t>HÄSSLEHOLM</t>
        </is>
      </c>
      <c r="G218" t="n">
        <v>2.2</v>
      </c>
      <c r="H218" t="n">
        <v>0</v>
      </c>
      <c r="I218" t="n">
        <v>0</v>
      </c>
      <c r="J218" t="n">
        <v>0</v>
      </c>
      <c r="K218" t="n">
        <v>0</v>
      </c>
      <c r="L218" t="n">
        <v>0</v>
      </c>
      <c r="M218" t="n">
        <v>0</v>
      </c>
      <c r="N218" t="n">
        <v>0</v>
      </c>
      <c r="O218" t="n">
        <v>0</v>
      </c>
      <c r="P218" t="n">
        <v>0</v>
      </c>
      <c r="Q218" t="n">
        <v>0</v>
      </c>
      <c r="R218" s="2" t="inlineStr"/>
    </row>
    <row r="219" ht="15" customHeight="1">
      <c r="A219" t="inlineStr">
        <is>
          <t>A 25213-2023</t>
        </is>
      </c>
      <c r="B219" s="1" t="n">
        <v>45086.60010416667</v>
      </c>
      <c r="C219" s="1" t="n">
        <v>46171</v>
      </c>
      <c r="D219" t="inlineStr">
        <is>
          <t>SKÅNE LÄN</t>
        </is>
      </c>
      <c r="E219" t="inlineStr">
        <is>
          <t>HÄSSLEHOLM</t>
        </is>
      </c>
      <c r="G219" t="n">
        <v>7.2</v>
      </c>
      <c r="H219" t="n">
        <v>0</v>
      </c>
      <c r="I219" t="n">
        <v>0</v>
      </c>
      <c r="J219" t="n">
        <v>0</v>
      </c>
      <c r="K219" t="n">
        <v>0</v>
      </c>
      <c r="L219" t="n">
        <v>0</v>
      </c>
      <c r="M219" t="n">
        <v>0</v>
      </c>
      <c r="N219" t="n">
        <v>0</v>
      </c>
      <c r="O219" t="n">
        <v>0</v>
      </c>
      <c r="P219" t="n">
        <v>0</v>
      </c>
      <c r="Q219" t="n">
        <v>0</v>
      </c>
      <c r="R219" s="2" t="inlineStr"/>
    </row>
    <row r="220" ht="15" customHeight="1">
      <c r="A220" t="inlineStr">
        <is>
          <t>A 51287-2022</t>
        </is>
      </c>
      <c r="B220" s="1" t="n">
        <v>44868.83146990741</v>
      </c>
      <c r="C220" s="1" t="n">
        <v>46171</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23005-2025</t>
        </is>
      </c>
      <c r="B221" s="1" t="n">
        <v>45790</v>
      </c>
      <c r="C221" s="1" t="n">
        <v>46171</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8737-2025</t>
        </is>
      </c>
      <c r="B222" s="1" t="n">
        <v>45712.54578703704</v>
      </c>
      <c r="C222" s="1" t="n">
        <v>46171</v>
      </c>
      <c r="D222" t="inlineStr">
        <is>
          <t>SKÅNE LÄN</t>
        </is>
      </c>
      <c r="E222" t="inlineStr">
        <is>
          <t>HÄSSLEHOLM</t>
        </is>
      </c>
      <c r="G222" t="n">
        <v>2.7</v>
      </c>
      <c r="H222" t="n">
        <v>0</v>
      </c>
      <c r="I222" t="n">
        <v>0</v>
      </c>
      <c r="J222" t="n">
        <v>0</v>
      </c>
      <c r="K222" t="n">
        <v>0</v>
      </c>
      <c r="L222" t="n">
        <v>0</v>
      </c>
      <c r="M222" t="n">
        <v>0</v>
      </c>
      <c r="N222" t="n">
        <v>0</v>
      </c>
      <c r="O222" t="n">
        <v>0</v>
      </c>
      <c r="P222" t="n">
        <v>0</v>
      </c>
      <c r="Q222" t="n">
        <v>0</v>
      </c>
      <c r="R222" s="2" t="inlineStr"/>
    </row>
    <row r="223" ht="15" customHeight="1">
      <c r="A223" t="inlineStr">
        <is>
          <t>A 22587-2025</t>
        </is>
      </c>
      <c r="B223" s="1" t="n">
        <v>45789.39974537037</v>
      </c>
      <c r="C223" s="1" t="n">
        <v>46171</v>
      </c>
      <c r="D223" t="inlineStr">
        <is>
          <t>SKÅNE LÄN</t>
        </is>
      </c>
      <c r="E223" t="inlineStr">
        <is>
          <t>HÄSSLEHOLM</t>
        </is>
      </c>
      <c r="G223" t="n">
        <v>5.7</v>
      </c>
      <c r="H223" t="n">
        <v>0</v>
      </c>
      <c r="I223" t="n">
        <v>0</v>
      </c>
      <c r="J223" t="n">
        <v>0</v>
      </c>
      <c r="K223" t="n">
        <v>0</v>
      </c>
      <c r="L223" t="n">
        <v>0</v>
      </c>
      <c r="M223" t="n">
        <v>0</v>
      </c>
      <c r="N223" t="n">
        <v>0</v>
      </c>
      <c r="O223" t="n">
        <v>0</v>
      </c>
      <c r="P223" t="n">
        <v>0</v>
      </c>
      <c r="Q223" t="n">
        <v>0</v>
      </c>
      <c r="R223" s="2" t="inlineStr"/>
    </row>
    <row r="224" ht="15" customHeight="1">
      <c r="A224" t="inlineStr">
        <is>
          <t>A 22592-2025</t>
        </is>
      </c>
      <c r="B224" s="1" t="n">
        <v>45789.40502314815</v>
      </c>
      <c r="C224" s="1" t="n">
        <v>46171</v>
      </c>
      <c r="D224" t="inlineStr">
        <is>
          <t>SKÅNE LÄN</t>
        </is>
      </c>
      <c r="E224" t="inlineStr">
        <is>
          <t>HÄSSLEHOLM</t>
        </is>
      </c>
      <c r="G224" t="n">
        <v>7.1</v>
      </c>
      <c r="H224" t="n">
        <v>0</v>
      </c>
      <c r="I224" t="n">
        <v>0</v>
      </c>
      <c r="J224" t="n">
        <v>0</v>
      </c>
      <c r="K224" t="n">
        <v>0</v>
      </c>
      <c r="L224" t="n">
        <v>0</v>
      </c>
      <c r="M224" t="n">
        <v>0</v>
      </c>
      <c r="N224" t="n">
        <v>0</v>
      </c>
      <c r="O224" t="n">
        <v>0</v>
      </c>
      <c r="P224" t="n">
        <v>0</v>
      </c>
      <c r="Q224" t="n">
        <v>0</v>
      </c>
      <c r="R224" s="2" t="inlineStr"/>
    </row>
    <row r="225" ht="15" customHeight="1">
      <c r="A225" t="inlineStr">
        <is>
          <t>A 1560-2023</t>
        </is>
      </c>
      <c r="B225" s="1" t="n">
        <v>44937</v>
      </c>
      <c r="C225" s="1" t="n">
        <v>46171</v>
      </c>
      <c r="D225" t="inlineStr">
        <is>
          <t>SKÅNE LÄN</t>
        </is>
      </c>
      <c r="E225" t="inlineStr">
        <is>
          <t>HÄSSLEHOLM</t>
        </is>
      </c>
      <c r="G225" t="n">
        <v>6.8</v>
      </c>
      <c r="H225" t="n">
        <v>0</v>
      </c>
      <c r="I225" t="n">
        <v>0</v>
      </c>
      <c r="J225" t="n">
        <v>0</v>
      </c>
      <c r="K225" t="n">
        <v>0</v>
      </c>
      <c r="L225" t="n">
        <v>0</v>
      </c>
      <c r="M225" t="n">
        <v>0</v>
      </c>
      <c r="N225" t="n">
        <v>0</v>
      </c>
      <c r="O225" t="n">
        <v>0</v>
      </c>
      <c r="P225" t="n">
        <v>0</v>
      </c>
      <c r="Q225" t="n">
        <v>0</v>
      </c>
      <c r="R225" s="2" t="inlineStr"/>
    </row>
    <row r="226" ht="15" customHeight="1">
      <c r="A226" t="inlineStr">
        <is>
          <t>A 24865-2024</t>
        </is>
      </c>
      <c r="B226" s="1" t="n">
        <v>45461.48974537037</v>
      </c>
      <c r="C226" s="1" t="n">
        <v>46171</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13018-2024</t>
        </is>
      </c>
      <c r="B227" s="1" t="n">
        <v>45385.58274305556</v>
      </c>
      <c r="C227" s="1" t="n">
        <v>46171</v>
      </c>
      <c r="D227" t="inlineStr">
        <is>
          <t>SKÅNE LÄN</t>
        </is>
      </c>
      <c r="E227" t="inlineStr">
        <is>
          <t>HÄSSLEHOLM</t>
        </is>
      </c>
      <c r="G227" t="n">
        <v>4.8</v>
      </c>
      <c r="H227" t="n">
        <v>0</v>
      </c>
      <c r="I227" t="n">
        <v>0</v>
      </c>
      <c r="J227" t="n">
        <v>0</v>
      </c>
      <c r="K227" t="n">
        <v>0</v>
      </c>
      <c r="L227" t="n">
        <v>0</v>
      </c>
      <c r="M227" t="n">
        <v>0</v>
      </c>
      <c r="N227" t="n">
        <v>0</v>
      </c>
      <c r="O227" t="n">
        <v>0</v>
      </c>
      <c r="P227" t="n">
        <v>0</v>
      </c>
      <c r="Q227" t="n">
        <v>0</v>
      </c>
      <c r="R227" s="2" t="inlineStr"/>
    </row>
    <row r="228" ht="15" customHeight="1">
      <c r="A228" t="inlineStr">
        <is>
          <t>A 17171-2025</t>
        </is>
      </c>
      <c r="B228" s="1" t="n">
        <v>45755</v>
      </c>
      <c r="C228" s="1" t="n">
        <v>46171</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34342-2021</t>
        </is>
      </c>
      <c r="B229" s="1" t="n">
        <v>44379</v>
      </c>
      <c r="C229" s="1" t="n">
        <v>46171</v>
      </c>
      <c r="D229" t="inlineStr">
        <is>
          <t>SKÅNE LÄN</t>
        </is>
      </c>
      <c r="E229" t="inlineStr">
        <is>
          <t>HÄSSLEHOLM</t>
        </is>
      </c>
      <c r="G229" t="n">
        <v>7</v>
      </c>
      <c r="H229" t="n">
        <v>0</v>
      </c>
      <c r="I229" t="n">
        <v>0</v>
      </c>
      <c r="J229" t="n">
        <v>0</v>
      </c>
      <c r="K229" t="n">
        <v>0</v>
      </c>
      <c r="L229" t="n">
        <v>0</v>
      </c>
      <c r="M229" t="n">
        <v>0</v>
      </c>
      <c r="N229" t="n">
        <v>0</v>
      </c>
      <c r="O229" t="n">
        <v>0</v>
      </c>
      <c r="P229" t="n">
        <v>0</v>
      </c>
      <c r="Q229" t="n">
        <v>0</v>
      </c>
      <c r="R229" s="2" t="inlineStr"/>
    </row>
    <row r="230" ht="15" customHeight="1">
      <c r="A230" t="inlineStr">
        <is>
          <t>A 33927-2021</t>
        </is>
      </c>
      <c r="B230" s="1" t="n">
        <v>44378</v>
      </c>
      <c r="C230" s="1" t="n">
        <v>46171</v>
      </c>
      <c r="D230" t="inlineStr">
        <is>
          <t>SKÅNE LÄN</t>
        </is>
      </c>
      <c r="E230" t="inlineStr">
        <is>
          <t>HÄSSLEHOLM</t>
        </is>
      </c>
      <c r="G230" t="n">
        <v>16.7</v>
      </c>
      <c r="H230" t="n">
        <v>0</v>
      </c>
      <c r="I230" t="n">
        <v>0</v>
      </c>
      <c r="J230" t="n">
        <v>0</v>
      </c>
      <c r="K230" t="n">
        <v>0</v>
      </c>
      <c r="L230" t="n">
        <v>0</v>
      </c>
      <c r="M230" t="n">
        <v>0</v>
      </c>
      <c r="N230" t="n">
        <v>0</v>
      </c>
      <c r="O230" t="n">
        <v>0</v>
      </c>
      <c r="P230" t="n">
        <v>0</v>
      </c>
      <c r="Q230" t="n">
        <v>0</v>
      </c>
      <c r="R230" s="2" t="inlineStr"/>
    </row>
    <row r="231" ht="15" customHeight="1">
      <c r="A231" t="inlineStr">
        <is>
          <t>A 25057-2024</t>
        </is>
      </c>
      <c r="B231" s="1" t="n">
        <v>45462</v>
      </c>
      <c r="C231" s="1" t="n">
        <v>46171</v>
      </c>
      <c r="D231" t="inlineStr">
        <is>
          <t>SKÅNE LÄN</t>
        </is>
      </c>
      <c r="E231" t="inlineStr">
        <is>
          <t>HÄSSLEHOLM</t>
        </is>
      </c>
      <c r="G231" t="n">
        <v>4.3</v>
      </c>
      <c r="H231" t="n">
        <v>0</v>
      </c>
      <c r="I231" t="n">
        <v>0</v>
      </c>
      <c r="J231" t="n">
        <v>0</v>
      </c>
      <c r="K231" t="n">
        <v>0</v>
      </c>
      <c r="L231" t="n">
        <v>0</v>
      </c>
      <c r="M231" t="n">
        <v>0</v>
      </c>
      <c r="N231" t="n">
        <v>0</v>
      </c>
      <c r="O231" t="n">
        <v>0</v>
      </c>
      <c r="P231" t="n">
        <v>0</v>
      </c>
      <c r="Q231" t="n">
        <v>0</v>
      </c>
      <c r="R231" s="2" t="inlineStr"/>
    </row>
    <row r="232" ht="15" customHeight="1">
      <c r="A232" t="inlineStr">
        <is>
          <t>A 13954-2023</t>
        </is>
      </c>
      <c r="B232" s="1" t="n">
        <v>45008</v>
      </c>
      <c r="C232" s="1" t="n">
        <v>46171</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51018-2023</t>
        </is>
      </c>
      <c r="B233" s="1" t="n">
        <v>45218</v>
      </c>
      <c r="C233" s="1" t="n">
        <v>46171</v>
      </c>
      <c r="D233" t="inlineStr">
        <is>
          <t>SKÅNE LÄN</t>
        </is>
      </c>
      <c r="E233" t="inlineStr">
        <is>
          <t>HÄSSLEHOLM</t>
        </is>
      </c>
      <c r="G233" t="n">
        <v>3.1</v>
      </c>
      <c r="H233" t="n">
        <v>0</v>
      </c>
      <c r="I233" t="n">
        <v>0</v>
      </c>
      <c r="J233" t="n">
        <v>0</v>
      </c>
      <c r="K233" t="n">
        <v>0</v>
      </c>
      <c r="L233" t="n">
        <v>0</v>
      </c>
      <c r="M233" t="n">
        <v>0</v>
      </c>
      <c r="N233" t="n">
        <v>0</v>
      </c>
      <c r="O233" t="n">
        <v>0</v>
      </c>
      <c r="P233" t="n">
        <v>0</v>
      </c>
      <c r="Q233" t="n">
        <v>0</v>
      </c>
      <c r="R233" s="2" t="inlineStr"/>
    </row>
    <row r="234" ht="15" customHeight="1">
      <c r="A234" t="inlineStr">
        <is>
          <t>A 34342-2021</t>
        </is>
      </c>
      <c r="B234" s="1" t="n">
        <v>44379</v>
      </c>
      <c r="C234" s="1" t="n">
        <v>46171</v>
      </c>
      <c r="D234" t="inlineStr">
        <is>
          <t>SKÅNE LÄN</t>
        </is>
      </c>
      <c r="E234" t="inlineStr">
        <is>
          <t>HÄSSLEHOLM</t>
        </is>
      </c>
      <c r="G234" t="n">
        <v>7</v>
      </c>
      <c r="H234" t="n">
        <v>0</v>
      </c>
      <c r="I234" t="n">
        <v>0</v>
      </c>
      <c r="J234" t="n">
        <v>0</v>
      </c>
      <c r="K234" t="n">
        <v>0</v>
      </c>
      <c r="L234" t="n">
        <v>0</v>
      </c>
      <c r="M234" t="n">
        <v>0</v>
      </c>
      <c r="N234" t="n">
        <v>0</v>
      </c>
      <c r="O234" t="n">
        <v>0</v>
      </c>
      <c r="P234" t="n">
        <v>0</v>
      </c>
      <c r="Q234" t="n">
        <v>0</v>
      </c>
      <c r="R234" s="2" t="inlineStr"/>
    </row>
    <row r="235" ht="15" customHeight="1">
      <c r="A235" t="inlineStr">
        <is>
          <t>A 40152-2024</t>
        </is>
      </c>
      <c r="B235" s="1" t="n">
        <v>45554</v>
      </c>
      <c r="C235" s="1" t="n">
        <v>46171</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10028-2024</t>
        </is>
      </c>
      <c r="B236" s="1" t="n">
        <v>45363.97292824074</v>
      </c>
      <c r="C236" s="1" t="n">
        <v>46171</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31254-2024</t>
        </is>
      </c>
      <c r="B237" s="1" t="n">
        <v>45503</v>
      </c>
      <c r="C237" s="1" t="n">
        <v>46171</v>
      </c>
      <c r="D237" t="inlineStr">
        <is>
          <t>SKÅNE LÄN</t>
        </is>
      </c>
      <c r="E237" t="inlineStr">
        <is>
          <t>HÄSSLEHOLM</t>
        </is>
      </c>
      <c r="G237" t="n">
        <v>2.2</v>
      </c>
      <c r="H237" t="n">
        <v>0</v>
      </c>
      <c r="I237" t="n">
        <v>0</v>
      </c>
      <c r="J237" t="n">
        <v>0</v>
      </c>
      <c r="K237" t="n">
        <v>0</v>
      </c>
      <c r="L237" t="n">
        <v>0</v>
      </c>
      <c r="M237" t="n">
        <v>0</v>
      </c>
      <c r="N237" t="n">
        <v>0</v>
      </c>
      <c r="O237" t="n">
        <v>0</v>
      </c>
      <c r="P237" t="n">
        <v>0</v>
      </c>
      <c r="Q237" t="n">
        <v>0</v>
      </c>
      <c r="R237" s="2" t="inlineStr"/>
    </row>
    <row r="238" ht="15" customHeight="1">
      <c r="A238" t="inlineStr">
        <is>
          <t>A 27825-2024</t>
        </is>
      </c>
      <c r="B238" s="1" t="n">
        <v>45475</v>
      </c>
      <c r="C238" s="1" t="n">
        <v>46171</v>
      </c>
      <c r="D238" t="inlineStr">
        <is>
          <t>SKÅNE LÄN</t>
        </is>
      </c>
      <c r="E238" t="inlineStr">
        <is>
          <t>HÄSSLEHOLM</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61158-2022</t>
        </is>
      </c>
      <c r="B239" s="1" t="n">
        <v>44915.47112268519</v>
      </c>
      <c r="C239" s="1" t="n">
        <v>46171</v>
      </c>
      <c r="D239" t="inlineStr">
        <is>
          <t>SKÅNE LÄN</t>
        </is>
      </c>
      <c r="E239" t="inlineStr">
        <is>
          <t>HÄSSLEHOLM</t>
        </is>
      </c>
      <c r="G239" t="n">
        <v>8.4</v>
      </c>
      <c r="H239" t="n">
        <v>0</v>
      </c>
      <c r="I239" t="n">
        <v>0</v>
      </c>
      <c r="J239" t="n">
        <v>0</v>
      </c>
      <c r="K239" t="n">
        <v>0</v>
      </c>
      <c r="L239" t="n">
        <v>0</v>
      </c>
      <c r="M239" t="n">
        <v>0</v>
      </c>
      <c r="N239" t="n">
        <v>0</v>
      </c>
      <c r="O239" t="n">
        <v>0</v>
      </c>
      <c r="P239" t="n">
        <v>0</v>
      </c>
      <c r="Q239" t="n">
        <v>0</v>
      </c>
      <c r="R239" s="2" t="inlineStr"/>
    </row>
    <row r="240" ht="15" customHeight="1">
      <c r="A240" t="inlineStr">
        <is>
          <t>A 12468-2024</t>
        </is>
      </c>
      <c r="B240" s="1" t="n">
        <v>45379</v>
      </c>
      <c r="C240" s="1" t="n">
        <v>46171</v>
      </c>
      <c r="D240" t="inlineStr">
        <is>
          <t>SKÅNE LÄN</t>
        </is>
      </c>
      <c r="E240" t="inlineStr">
        <is>
          <t>HÄSSLEHOLM</t>
        </is>
      </c>
      <c r="G240" t="n">
        <v>15.5</v>
      </c>
      <c r="H240" t="n">
        <v>0</v>
      </c>
      <c r="I240" t="n">
        <v>0</v>
      </c>
      <c r="J240" t="n">
        <v>0</v>
      </c>
      <c r="K240" t="n">
        <v>0</v>
      </c>
      <c r="L240" t="n">
        <v>0</v>
      </c>
      <c r="M240" t="n">
        <v>0</v>
      </c>
      <c r="N240" t="n">
        <v>0</v>
      </c>
      <c r="O240" t="n">
        <v>0</v>
      </c>
      <c r="P240" t="n">
        <v>0</v>
      </c>
      <c r="Q240" t="n">
        <v>0</v>
      </c>
      <c r="R240" s="2" t="inlineStr"/>
    </row>
    <row r="241" ht="15" customHeight="1">
      <c r="A241" t="inlineStr">
        <is>
          <t>A 37764-2022</t>
        </is>
      </c>
      <c r="B241" s="1" t="n">
        <v>44810</v>
      </c>
      <c r="C241" s="1" t="n">
        <v>46171</v>
      </c>
      <c r="D241" t="inlineStr">
        <is>
          <t>SKÅNE LÄN</t>
        </is>
      </c>
      <c r="E241" t="inlineStr">
        <is>
          <t>HÄSSLEHOLM</t>
        </is>
      </c>
      <c r="F241" t="inlineStr">
        <is>
          <t>Kyrkan</t>
        </is>
      </c>
      <c r="G241" t="n">
        <v>9.4</v>
      </c>
      <c r="H241" t="n">
        <v>0</v>
      </c>
      <c r="I241" t="n">
        <v>0</v>
      </c>
      <c r="J241" t="n">
        <v>0</v>
      </c>
      <c r="K241" t="n">
        <v>0</v>
      </c>
      <c r="L241" t="n">
        <v>0</v>
      </c>
      <c r="M241" t="n">
        <v>0</v>
      </c>
      <c r="N241" t="n">
        <v>0</v>
      </c>
      <c r="O241" t="n">
        <v>0</v>
      </c>
      <c r="P241" t="n">
        <v>0</v>
      </c>
      <c r="Q241" t="n">
        <v>0</v>
      </c>
      <c r="R241" s="2" t="inlineStr"/>
    </row>
    <row r="242" ht="15" customHeight="1">
      <c r="A242" t="inlineStr">
        <is>
          <t>A 4009-2024</t>
        </is>
      </c>
      <c r="B242" s="1" t="n">
        <v>45323</v>
      </c>
      <c r="C242" s="1" t="n">
        <v>46171</v>
      </c>
      <c r="D242" t="inlineStr">
        <is>
          <t>SKÅNE LÄN</t>
        </is>
      </c>
      <c r="E242" t="inlineStr">
        <is>
          <t>HÄSSLEHOLM</t>
        </is>
      </c>
      <c r="G242" t="n">
        <v>2.4</v>
      </c>
      <c r="H242" t="n">
        <v>0</v>
      </c>
      <c r="I242" t="n">
        <v>0</v>
      </c>
      <c r="J242" t="n">
        <v>0</v>
      </c>
      <c r="K242" t="n">
        <v>0</v>
      </c>
      <c r="L242" t="n">
        <v>0</v>
      </c>
      <c r="M242" t="n">
        <v>0</v>
      </c>
      <c r="N242" t="n">
        <v>0</v>
      </c>
      <c r="O242" t="n">
        <v>0</v>
      </c>
      <c r="P242" t="n">
        <v>0</v>
      </c>
      <c r="Q242" t="n">
        <v>0</v>
      </c>
      <c r="R242" s="2" t="inlineStr"/>
    </row>
    <row r="243" ht="15" customHeight="1">
      <c r="A243" t="inlineStr">
        <is>
          <t>A 60848-2022</t>
        </is>
      </c>
      <c r="B243" s="1" t="n">
        <v>44914</v>
      </c>
      <c r="C243" s="1" t="n">
        <v>46171</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57649-2022</t>
        </is>
      </c>
      <c r="B244" s="1" t="n">
        <v>44897.42755787037</v>
      </c>
      <c r="C244" s="1" t="n">
        <v>46171</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37486-2024</t>
        </is>
      </c>
      <c r="B245" s="1" t="n">
        <v>45541</v>
      </c>
      <c r="C245" s="1" t="n">
        <v>46171</v>
      </c>
      <c r="D245" t="inlineStr">
        <is>
          <t>SKÅNE LÄN</t>
        </is>
      </c>
      <c r="E245" t="inlineStr">
        <is>
          <t>HÄSSLEHOLM</t>
        </is>
      </c>
      <c r="G245" t="n">
        <v>8.5</v>
      </c>
      <c r="H245" t="n">
        <v>0</v>
      </c>
      <c r="I245" t="n">
        <v>0</v>
      </c>
      <c r="J245" t="n">
        <v>0</v>
      </c>
      <c r="K245" t="n">
        <v>0</v>
      </c>
      <c r="L245" t="n">
        <v>0</v>
      </c>
      <c r="M245" t="n">
        <v>0</v>
      </c>
      <c r="N245" t="n">
        <v>0</v>
      </c>
      <c r="O245" t="n">
        <v>0</v>
      </c>
      <c r="P245" t="n">
        <v>0</v>
      </c>
      <c r="Q245" t="n">
        <v>0</v>
      </c>
      <c r="R245" s="2" t="inlineStr"/>
    </row>
    <row r="246" ht="15" customHeight="1">
      <c r="A246" t="inlineStr">
        <is>
          <t>A 44838-2023</t>
        </is>
      </c>
      <c r="B246" s="1" t="n">
        <v>45190</v>
      </c>
      <c r="C246" s="1" t="n">
        <v>46171</v>
      </c>
      <c r="D246" t="inlineStr">
        <is>
          <t>SKÅNE LÄN</t>
        </is>
      </c>
      <c r="E246" t="inlineStr">
        <is>
          <t>HÄSSLEHOLM</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57665-2022</t>
        </is>
      </c>
      <c r="B247" s="1" t="n">
        <v>44897.4494212963</v>
      </c>
      <c r="C247" s="1" t="n">
        <v>46171</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57676-2022</t>
        </is>
      </c>
      <c r="B248" s="1" t="n">
        <v>44897</v>
      </c>
      <c r="C248" s="1" t="n">
        <v>46171</v>
      </c>
      <c r="D248" t="inlineStr">
        <is>
          <t>SKÅNE LÄN</t>
        </is>
      </c>
      <c r="E248" t="inlineStr">
        <is>
          <t>HÄSSLEHOLM</t>
        </is>
      </c>
      <c r="G248" t="n">
        <v>1</v>
      </c>
      <c r="H248" t="n">
        <v>0</v>
      </c>
      <c r="I248" t="n">
        <v>0</v>
      </c>
      <c r="J248" t="n">
        <v>0</v>
      </c>
      <c r="K248" t="n">
        <v>0</v>
      </c>
      <c r="L248" t="n">
        <v>0</v>
      </c>
      <c r="M248" t="n">
        <v>0</v>
      </c>
      <c r="N248" t="n">
        <v>0</v>
      </c>
      <c r="O248" t="n">
        <v>0</v>
      </c>
      <c r="P248" t="n">
        <v>0</v>
      </c>
      <c r="Q248" t="n">
        <v>0</v>
      </c>
      <c r="R248" s="2" t="inlineStr"/>
    </row>
    <row r="249" ht="15" customHeight="1">
      <c r="A249" t="inlineStr">
        <is>
          <t>A 15072-2024</t>
        </is>
      </c>
      <c r="B249" s="1" t="n">
        <v>45399.5996875</v>
      </c>
      <c r="C249" s="1" t="n">
        <v>46171</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16930-2024</t>
        </is>
      </c>
      <c r="B250" s="1" t="n">
        <v>45411</v>
      </c>
      <c r="C250" s="1" t="n">
        <v>46171</v>
      </c>
      <c r="D250" t="inlineStr">
        <is>
          <t>SKÅNE LÄN</t>
        </is>
      </c>
      <c r="E250" t="inlineStr">
        <is>
          <t>HÄSSLEHOLM</t>
        </is>
      </c>
      <c r="G250" t="n">
        <v>1</v>
      </c>
      <c r="H250" t="n">
        <v>0</v>
      </c>
      <c r="I250" t="n">
        <v>0</v>
      </c>
      <c r="J250" t="n">
        <v>0</v>
      </c>
      <c r="K250" t="n">
        <v>0</v>
      </c>
      <c r="L250" t="n">
        <v>0</v>
      </c>
      <c r="M250" t="n">
        <v>0</v>
      </c>
      <c r="N250" t="n">
        <v>0</v>
      </c>
      <c r="O250" t="n">
        <v>0</v>
      </c>
      <c r="P250" t="n">
        <v>0</v>
      </c>
      <c r="Q250" t="n">
        <v>0</v>
      </c>
      <c r="R250" s="2" t="inlineStr"/>
    </row>
    <row r="251" ht="15" customHeight="1">
      <c r="A251" t="inlineStr">
        <is>
          <t>A 11262-2025</t>
        </is>
      </c>
      <c r="B251" s="1" t="n">
        <v>45726</v>
      </c>
      <c r="C251" s="1" t="n">
        <v>46171</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5395-2024</t>
        </is>
      </c>
      <c r="B252" s="1" t="n">
        <v>45331</v>
      </c>
      <c r="C252" s="1" t="n">
        <v>46171</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54671-2022</t>
        </is>
      </c>
      <c r="B253" s="1" t="n">
        <v>44883</v>
      </c>
      <c r="C253" s="1" t="n">
        <v>46171</v>
      </c>
      <c r="D253" t="inlineStr">
        <is>
          <t>SKÅNE LÄN</t>
        </is>
      </c>
      <c r="E253" t="inlineStr">
        <is>
          <t>HÄSSLEHOLM</t>
        </is>
      </c>
      <c r="G253" t="n">
        <v>1.4</v>
      </c>
      <c r="H253" t="n">
        <v>0</v>
      </c>
      <c r="I253" t="n">
        <v>0</v>
      </c>
      <c r="J253" t="n">
        <v>0</v>
      </c>
      <c r="K253" t="n">
        <v>0</v>
      </c>
      <c r="L253" t="n">
        <v>0</v>
      </c>
      <c r="M253" t="n">
        <v>0</v>
      </c>
      <c r="N253" t="n">
        <v>0</v>
      </c>
      <c r="O253" t="n">
        <v>0</v>
      </c>
      <c r="P253" t="n">
        <v>0</v>
      </c>
      <c r="Q253" t="n">
        <v>0</v>
      </c>
      <c r="R253" s="2" t="inlineStr"/>
    </row>
    <row r="254" ht="15" customHeight="1">
      <c r="A254" t="inlineStr">
        <is>
          <t>A 56069-2024</t>
        </is>
      </c>
      <c r="B254" s="1" t="n">
        <v>45624.38006944444</v>
      </c>
      <c r="C254" s="1" t="n">
        <v>46171</v>
      </c>
      <c r="D254" t="inlineStr">
        <is>
          <t>SKÅNE LÄN</t>
        </is>
      </c>
      <c r="E254" t="inlineStr">
        <is>
          <t>HÄSSLEHOLM</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53887-2023</t>
        </is>
      </c>
      <c r="B255" s="1" t="n">
        <v>45231.52675925926</v>
      </c>
      <c r="C255" s="1" t="n">
        <v>46171</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49167-2022</t>
        </is>
      </c>
      <c r="B256" s="1" t="n">
        <v>44860</v>
      </c>
      <c r="C256" s="1" t="n">
        <v>46171</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28071-2023</t>
        </is>
      </c>
      <c r="B257" s="1" t="n">
        <v>45099.37755787037</v>
      </c>
      <c r="C257" s="1" t="n">
        <v>46171</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60797-2024</t>
        </is>
      </c>
      <c r="B258" s="1" t="n">
        <v>45644</v>
      </c>
      <c r="C258" s="1" t="n">
        <v>46171</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3507-2024</t>
        </is>
      </c>
      <c r="B259" s="1" t="n">
        <v>45320.4906712963</v>
      </c>
      <c r="C259" s="1" t="n">
        <v>46171</v>
      </c>
      <c r="D259" t="inlineStr">
        <is>
          <t>SKÅNE LÄN</t>
        </is>
      </c>
      <c r="E259" t="inlineStr">
        <is>
          <t>HÄSSLEHOLM</t>
        </is>
      </c>
      <c r="G259" t="n">
        <v>6.4</v>
      </c>
      <c r="H259" t="n">
        <v>0</v>
      </c>
      <c r="I259" t="n">
        <v>0</v>
      </c>
      <c r="J259" t="n">
        <v>0</v>
      </c>
      <c r="K259" t="n">
        <v>0</v>
      </c>
      <c r="L259" t="n">
        <v>0</v>
      </c>
      <c r="M259" t="n">
        <v>0</v>
      </c>
      <c r="N259" t="n">
        <v>0</v>
      </c>
      <c r="O259" t="n">
        <v>0</v>
      </c>
      <c r="P259" t="n">
        <v>0</v>
      </c>
      <c r="Q259" t="n">
        <v>0</v>
      </c>
      <c r="R259" s="2" t="inlineStr"/>
    </row>
    <row r="260" ht="15" customHeight="1">
      <c r="A260" t="inlineStr">
        <is>
          <t>A 4119-2024</t>
        </is>
      </c>
      <c r="B260" s="1" t="n">
        <v>45323.67920138889</v>
      </c>
      <c r="C260" s="1" t="n">
        <v>46171</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48877-2024</t>
        </is>
      </c>
      <c r="B261" s="1" t="n">
        <v>45594.31729166667</v>
      </c>
      <c r="C261" s="1" t="n">
        <v>46171</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47647-2024</t>
        </is>
      </c>
      <c r="B262" s="1" t="n">
        <v>45588</v>
      </c>
      <c r="C262" s="1" t="n">
        <v>46171</v>
      </c>
      <c r="D262" t="inlineStr">
        <is>
          <t>SKÅNE LÄN</t>
        </is>
      </c>
      <c r="E262" t="inlineStr">
        <is>
          <t>HÄSSLEHOLM</t>
        </is>
      </c>
      <c r="G262" t="n">
        <v>6.5</v>
      </c>
      <c r="H262" t="n">
        <v>0</v>
      </c>
      <c r="I262" t="n">
        <v>0</v>
      </c>
      <c r="J262" t="n">
        <v>0</v>
      </c>
      <c r="K262" t="n">
        <v>0</v>
      </c>
      <c r="L262" t="n">
        <v>0</v>
      </c>
      <c r="M262" t="n">
        <v>0</v>
      </c>
      <c r="N262" t="n">
        <v>0</v>
      </c>
      <c r="O262" t="n">
        <v>0</v>
      </c>
      <c r="P262" t="n">
        <v>0</v>
      </c>
      <c r="Q262" t="n">
        <v>0</v>
      </c>
      <c r="R262" s="2" t="inlineStr"/>
    </row>
    <row r="263" ht="15" customHeight="1">
      <c r="A263" t="inlineStr">
        <is>
          <t>A 1619-2022</t>
        </is>
      </c>
      <c r="B263" s="1" t="n">
        <v>44573</v>
      </c>
      <c r="C263" s="1" t="n">
        <v>46171</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24034-2025</t>
        </is>
      </c>
      <c r="B264" s="1" t="n">
        <v>45796.48251157408</v>
      </c>
      <c r="C264" s="1" t="n">
        <v>46171</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24039-2025</t>
        </is>
      </c>
      <c r="B265" s="1" t="n">
        <v>45796.48675925926</v>
      </c>
      <c r="C265" s="1" t="n">
        <v>46171</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7681-2025</t>
        </is>
      </c>
      <c r="B266" s="1" t="n">
        <v>45706.36758101852</v>
      </c>
      <c r="C266" s="1" t="n">
        <v>46171</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24032-2025</t>
        </is>
      </c>
      <c r="B267" s="1" t="n">
        <v>45796.478125</v>
      </c>
      <c r="C267" s="1" t="n">
        <v>46171</v>
      </c>
      <c r="D267" t="inlineStr">
        <is>
          <t>SKÅNE LÄN</t>
        </is>
      </c>
      <c r="E267" t="inlineStr">
        <is>
          <t>HÄSSLEHOLM</t>
        </is>
      </c>
      <c r="G267" t="n">
        <v>2.2</v>
      </c>
      <c r="H267" t="n">
        <v>0</v>
      </c>
      <c r="I267" t="n">
        <v>0</v>
      </c>
      <c r="J267" t="n">
        <v>0</v>
      </c>
      <c r="K267" t="n">
        <v>0</v>
      </c>
      <c r="L267" t="n">
        <v>0</v>
      </c>
      <c r="M267" t="n">
        <v>0</v>
      </c>
      <c r="N267" t="n">
        <v>0</v>
      </c>
      <c r="O267" t="n">
        <v>0</v>
      </c>
      <c r="P267" t="n">
        <v>0</v>
      </c>
      <c r="Q267" t="n">
        <v>0</v>
      </c>
      <c r="R267" s="2" t="inlineStr"/>
    </row>
    <row r="268" ht="15" customHeight="1">
      <c r="A268" t="inlineStr">
        <is>
          <t>A 46813-2024</t>
        </is>
      </c>
      <c r="B268" s="1" t="n">
        <v>45583</v>
      </c>
      <c r="C268" s="1" t="n">
        <v>46171</v>
      </c>
      <c r="D268" t="inlineStr">
        <is>
          <t>SKÅNE LÄN</t>
        </is>
      </c>
      <c r="E268" t="inlineStr">
        <is>
          <t>HÄSSLEHOLM</t>
        </is>
      </c>
      <c r="G268" t="n">
        <v>14.9</v>
      </c>
      <c r="H268" t="n">
        <v>0</v>
      </c>
      <c r="I268" t="n">
        <v>0</v>
      </c>
      <c r="J268" t="n">
        <v>0</v>
      </c>
      <c r="K268" t="n">
        <v>0</v>
      </c>
      <c r="L268" t="n">
        <v>0</v>
      </c>
      <c r="M268" t="n">
        <v>0</v>
      </c>
      <c r="N268" t="n">
        <v>0</v>
      </c>
      <c r="O268" t="n">
        <v>0</v>
      </c>
      <c r="P268" t="n">
        <v>0</v>
      </c>
      <c r="Q268" t="n">
        <v>0</v>
      </c>
      <c r="R268" s="2" t="inlineStr"/>
    </row>
    <row r="269" ht="15" customHeight="1">
      <c r="A269" t="inlineStr">
        <is>
          <t>A 62271-2025</t>
        </is>
      </c>
      <c r="B269" s="1" t="n">
        <v>46006.62256944444</v>
      </c>
      <c r="C269" s="1" t="n">
        <v>46171</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62264-2025</t>
        </is>
      </c>
      <c r="B270" s="1" t="n">
        <v>46006.61644675926</v>
      </c>
      <c r="C270" s="1" t="n">
        <v>46171</v>
      </c>
      <c r="D270" t="inlineStr">
        <is>
          <t>SKÅNE LÄN</t>
        </is>
      </c>
      <c r="E270" t="inlineStr">
        <is>
          <t>HÄSSLEHOLM</t>
        </is>
      </c>
      <c r="G270" t="n">
        <v>7.5</v>
      </c>
      <c r="H270" t="n">
        <v>0</v>
      </c>
      <c r="I270" t="n">
        <v>0</v>
      </c>
      <c r="J270" t="n">
        <v>0</v>
      </c>
      <c r="K270" t="n">
        <v>0</v>
      </c>
      <c r="L270" t="n">
        <v>0</v>
      </c>
      <c r="M270" t="n">
        <v>0</v>
      </c>
      <c r="N270" t="n">
        <v>0</v>
      </c>
      <c r="O270" t="n">
        <v>0</v>
      </c>
      <c r="P270" t="n">
        <v>0</v>
      </c>
      <c r="Q270" t="n">
        <v>0</v>
      </c>
      <c r="R270" s="2" t="inlineStr"/>
    </row>
    <row r="271" ht="15" customHeight="1">
      <c r="A271" t="inlineStr">
        <is>
          <t>A 5252-2025</t>
        </is>
      </c>
      <c r="B271" s="1" t="n">
        <v>45692.3449537037</v>
      </c>
      <c r="C271" s="1" t="n">
        <v>46171</v>
      </c>
      <c r="D271" t="inlineStr">
        <is>
          <t>SKÅNE LÄN</t>
        </is>
      </c>
      <c r="E271" t="inlineStr">
        <is>
          <t>HÄSSLEHOLM</t>
        </is>
      </c>
      <c r="G271" t="n">
        <v>2.1</v>
      </c>
      <c r="H271" t="n">
        <v>0</v>
      </c>
      <c r="I271" t="n">
        <v>0</v>
      </c>
      <c r="J271" t="n">
        <v>0</v>
      </c>
      <c r="K271" t="n">
        <v>0</v>
      </c>
      <c r="L271" t="n">
        <v>0</v>
      </c>
      <c r="M271" t="n">
        <v>0</v>
      </c>
      <c r="N271" t="n">
        <v>0</v>
      </c>
      <c r="O271" t="n">
        <v>0</v>
      </c>
      <c r="P271" t="n">
        <v>0</v>
      </c>
      <c r="Q271" t="n">
        <v>0</v>
      </c>
      <c r="R271" s="2" t="inlineStr"/>
    </row>
    <row r="272" ht="15" customHeight="1">
      <c r="A272" t="inlineStr">
        <is>
          <t>A 4734-2025</t>
        </is>
      </c>
      <c r="B272" s="1" t="n">
        <v>45688.44030092593</v>
      </c>
      <c r="C272" s="1" t="n">
        <v>46171</v>
      </c>
      <c r="D272" t="inlineStr">
        <is>
          <t>SKÅNE LÄN</t>
        </is>
      </c>
      <c r="E272" t="inlineStr">
        <is>
          <t>HÄSSLEHOLM</t>
        </is>
      </c>
      <c r="G272" t="n">
        <v>19.6</v>
      </c>
      <c r="H272" t="n">
        <v>0</v>
      </c>
      <c r="I272" t="n">
        <v>0</v>
      </c>
      <c r="J272" t="n">
        <v>0</v>
      </c>
      <c r="K272" t="n">
        <v>0</v>
      </c>
      <c r="L272" t="n">
        <v>0</v>
      </c>
      <c r="M272" t="n">
        <v>0</v>
      </c>
      <c r="N272" t="n">
        <v>0</v>
      </c>
      <c r="O272" t="n">
        <v>0</v>
      </c>
      <c r="P272" t="n">
        <v>0</v>
      </c>
      <c r="Q272" t="n">
        <v>0</v>
      </c>
      <c r="R272" s="2" t="inlineStr"/>
    </row>
    <row r="273" ht="15" customHeight="1">
      <c r="A273" t="inlineStr">
        <is>
          <t>A 24047-2025</t>
        </is>
      </c>
      <c r="B273" s="1" t="n">
        <v>45796.49528935185</v>
      </c>
      <c r="C273" s="1" t="n">
        <v>46171</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22132-2024</t>
        </is>
      </c>
      <c r="B274" s="1" t="n">
        <v>45444.37234953704</v>
      </c>
      <c r="C274" s="1" t="n">
        <v>46171</v>
      </c>
      <c r="D274" t="inlineStr">
        <is>
          <t>SKÅNE LÄN</t>
        </is>
      </c>
      <c r="E274" t="inlineStr">
        <is>
          <t>HÄSSLEHOLM</t>
        </is>
      </c>
      <c r="G274" t="n">
        <v>3.1</v>
      </c>
      <c r="H274" t="n">
        <v>0</v>
      </c>
      <c r="I274" t="n">
        <v>0</v>
      </c>
      <c r="J274" t="n">
        <v>0</v>
      </c>
      <c r="K274" t="n">
        <v>0</v>
      </c>
      <c r="L274" t="n">
        <v>0</v>
      </c>
      <c r="M274" t="n">
        <v>0</v>
      </c>
      <c r="N274" t="n">
        <v>0</v>
      </c>
      <c r="O274" t="n">
        <v>0</v>
      </c>
      <c r="P274" t="n">
        <v>0</v>
      </c>
      <c r="Q274" t="n">
        <v>0</v>
      </c>
      <c r="R274" s="2" t="inlineStr"/>
    </row>
    <row r="275" ht="15" customHeight="1">
      <c r="A275" t="inlineStr">
        <is>
          <t>A 54171-2022</t>
        </is>
      </c>
      <c r="B275" s="1" t="n">
        <v>44881</v>
      </c>
      <c r="C275" s="1" t="n">
        <v>46171</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60789-2024</t>
        </is>
      </c>
      <c r="B276" s="1" t="n">
        <v>45644</v>
      </c>
      <c r="C276" s="1" t="n">
        <v>46171</v>
      </c>
      <c r="D276" t="inlineStr">
        <is>
          <t>SKÅNE LÄN</t>
        </is>
      </c>
      <c r="E276" t="inlineStr">
        <is>
          <t>HÄSSLEHOLM</t>
        </is>
      </c>
      <c r="G276" t="n">
        <v>3</v>
      </c>
      <c r="H276" t="n">
        <v>0</v>
      </c>
      <c r="I276" t="n">
        <v>0</v>
      </c>
      <c r="J276" t="n">
        <v>0</v>
      </c>
      <c r="K276" t="n">
        <v>0</v>
      </c>
      <c r="L276" t="n">
        <v>0</v>
      </c>
      <c r="M276" t="n">
        <v>0</v>
      </c>
      <c r="N276" t="n">
        <v>0</v>
      </c>
      <c r="O276" t="n">
        <v>0</v>
      </c>
      <c r="P276" t="n">
        <v>0</v>
      </c>
      <c r="Q276" t="n">
        <v>0</v>
      </c>
      <c r="R276" s="2" t="inlineStr"/>
    </row>
    <row r="277" ht="15" customHeight="1">
      <c r="A277" t="inlineStr">
        <is>
          <t>A 3245-2022</t>
        </is>
      </c>
      <c r="B277" s="1" t="n">
        <v>44583.39136574074</v>
      </c>
      <c r="C277" s="1" t="n">
        <v>46171</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24029-2025</t>
        </is>
      </c>
      <c r="B278" s="1" t="n">
        <v>45796.47552083333</v>
      </c>
      <c r="C278" s="1" t="n">
        <v>46171</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26403-2024</t>
        </is>
      </c>
      <c r="B279" s="1" t="n">
        <v>45469.44505787037</v>
      </c>
      <c r="C279" s="1" t="n">
        <v>46171</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26403-2024</t>
        </is>
      </c>
      <c r="B280" s="1" t="n">
        <v>45469.44505787037</v>
      </c>
      <c r="C280" s="1" t="n">
        <v>46171</v>
      </c>
      <c r="D280" t="inlineStr">
        <is>
          <t>SKÅNE LÄN</t>
        </is>
      </c>
      <c r="E280" t="inlineStr">
        <is>
          <t>HÄSSLEHOLM</t>
        </is>
      </c>
      <c r="G280" t="n">
        <v>2.6</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46171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24776-2025</t>
        </is>
      </c>
      <c r="B282" s="1" t="n">
        <v>45799.40640046296</v>
      </c>
      <c r="C282" s="1" t="n">
        <v>46171</v>
      </c>
      <c r="D282" t="inlineStr">
        <is>
          <t>SKÅNE LÄN</t>
        </is>
      </c>
      <c r="E282" t="inlineStr">
        <is>
          <t>HÄSSLEHOLM</t>
        </is>
      </c>
      <c r="G282" t="n">
        <v>5.4</v>
      </c>
      <c r="H282" t="n">
        <v>0</v>
      </c>
      <c r="I282" t="n">
        <v>0</v>
      </c>
      <c r="J282" t="n">
        <v>0</v>
      </c>
      <c r="K282" t="n">
        <v>0</v>
      </c>
      <c r="L282" t="n">
        <v>0</v>
      </c>
      <c r="M282" t="n">
        <v>0</v>
      </c>
      <c r="N282" t="n">
        <v>0</v>
      </c>
      <c r="O282" t="n">
        <v>0</v>
      </c>
      <c r="P282" t="n">
        <v>0</v>
      </c>
      <c r="Q282" t="n">
        <v>0</v>
      </c>
      <c r="R282" s="2" t="inlineStr"/>
    </row>
    <row r="283" ht="15" customHeight="1">
      <c r="A283" t="inlineStr">
        <is>
          <t>A 4787-2023</t>
        </is>
      </c>
      <c r="B283" s="1" t="n">
        <v>44957.60079861111</v>
      </c>
      <c r="C283" s="1" t="n">
        <v>46171</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4788-2023</t>
        </is>
      </c>
      <c r="B284" s="1" t="n">
        <v>44957.60130787037</v>
      </c>
      <c r="C284" s="1" t="n">
        <v>46171</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24675-2025</t>
        </is>
      </c>
      <c r="B285" s="1" t="n">
        <v>45798.653125</v>
      </c>
      <c r="C285" s="1" t="n">
        <v>46171</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63284-2025</t>
        </is>
      </c>
      <c r="B286" s="1" t="n">
        <v>46010</v>
      </c>
      <c r="C286" s="1" t="n">
        <v>46171</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32210-2024</t>
        </is>
      </c>
      <c r="B287" s="1" t="n">
        <v>45511.67777777778</v>
      </c>
      <c r="C287" s="1" t="n">
        <v>46171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10562-2025</t>
        </is>
      </c>
      <c r="B288" s="1" t="n">
        <v>45721.52913194444</v>
      </c>
      <c r="C288" s="1" t="n">
        <v>46171</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9239-2025</t>
        </is>
      </c>
      <c r="B289" s="1" t="n">
        <v>45714</v>
      </c>
      <c r="C289" s="1" t="n">
        <v>46171</v>
      </c>
      <c r="D289" t="inlineStr">
        <is>
          <t>SKÅNE LÄN</t>
        </is>
      </c>
      <c r="E289" t="inlineStr">
        <is>
          <t>HÄSSLEHOLM</t>
        </is>
      </c>
      <c r="G289" t="n">
        <v>1.8</v>
      </c>
      <c r="H289" t="n">
        <v>0</v>
      </c>
      <c r="I289" t="n">
        <v>0</v>
      </c>
      <c r="J289" t="n">
        <v>0</v>
      </c>
      <c r="K289" t="n">
        <v>0</v>
      </c>
      <c r="L289" t="n">
        <v>0</v>
      </c>
      <c r="M289" t="n">
        <v>0</v>
      </c>
      <c r="N289" t="n">
        <v>0</v>
      </c>
      <c r="O289" t="n">
        <v>0</v>
      </c>
      <c r="P289" t="n">
        <v>0</v>
      </c>
      <c r="Q289" t="n">
        <v>0</v>
      </c>
      <c r="R289" s="2" t="inlineStr"/>
    </row>
    <row r="290" ht="15" customHeight="1">
      <c r="A290" t="inlineStr">
        <is>
          <t>A 16121-2025</t>
        </is>
      </c>
      <c r="B290" s="1" t="n">
        <v>45750.40384259259</v>
      </c>
      <c r="C290" s="1" t="n">
        <v>46171</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28599-2024</t>
        </is>
      </c>
      <c r="B291" s="1" t="n">
        <v>45478.4247800926</v>
      </c>
      <c r="C291" s="1" t="n">
        <v>46171</v>
      </c>
      <c r="D291" t="inlineStr">
        <is>
          <t>SKÅNE LÄN</t>
        </is>
      </c>
      <c r="E291" t="inlineStr">
        <is>
          <t>HÄSSLEHOLM</t>
        </is>
      </c>
      <c r="G291" t="n">
        <v>8.6</v>
      </c>
      <c r="H291" t="n">
        <v>0</v>
      </c>
      <c r="I291" t="n">
        <v>0</v>
      </c>
      <c r="J291" t="n">
        <v>0</v>
      </c>
      <c r="K291" t="n">
        <v>0</v>
      </c>
      <c r="L291" t="n">
        <v>0</v>
      </c>
      <c r="M291" t="n">
        <v>0</v>
      </c>
      <c r="N291" t="n">
        <v>0</v>
      </c>
      <c r="O291" t="n">
        <v>0</v>
      </c>
      <c r="P291" t="n">
        <v>0</v>
      </c>
      <c r="Q291" t="n">
        <v>0</v>
      </c>
      <c r="R291" s="2" t="inlineStr"/>
    </row>
    <row r="292" ht="15" customHeight="1">
      <c r="A292" t="inlineStr">
        <is>
          <t>A 32512-2024</t>
        </is>
      </c>
      <c r="B292" s="1" t="n">
        <v>45513.45613425926</v>
      </c>
      <c r="C292" s="1" t="n">
        <v>46171</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11446-2025</t>
        </is>
      </c>
      <c r="B293" s="1" t="n">
        <v>45726</v>
      </c>
      <c r="C293" s="1" t="n">
        <v>46171</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55522-2024</t>
        </is>
      </c>
      <c r="B294" s="1" t="n">
        <v>45622</v>
      </c>
      <c r="C294" s="1" t="n">
        <v>46171</v>
      </c>
      <c r="D294" t="inlineStr">
        <is>
          <t>SKÅNE LÄN</t>
        </is>
      </c>
      <c r="E294" t="inlineStr">
        <is>
          <t>HÄSSLEHOLM</t>
        </is>
      </c>
      <c r="G294" t="n">
        <v>5.6</v>
      </c>
      <c r="H294" t="n">
        <v>0</v>
      </c>
      <c r="I294" t="n">
        <v>0</v>
      </c>
      <c r="J294" t="n">
        <v>0</v>
      </c>
      <c r="K294" t="n">
        <v>0</v>
      </c>
      <c r="L294" t="n">
        <v>0</v>
      </c>
      <c r="M294" t="n">
        <v>0</v>
      </c>
      <c r="N294" t="n">
        <v>0</v>
      </c>
      <c r="O294" t="n">
        <v>0</v>
      </c>
      <c r="P294" t="n">
        <v>0</v>
      </c>
      <c r="Q294" t="n">
        <v>0</v>
      </c>
      <c r="R294" s="2" t="inlineStr"/>
    </row>
    <row r="295" ht="15" customHeight="1">
      <c r="A295" t="inlineStr">
        <is>
          <t>A 16860-2025</t>
        </is>
      </c>
      <c r="B295" s="1" t="n">
        <v>45751</v>
      </c>
      <c r="C295" s="1" t="n">
        <v>46171</v>
      </c>
      <c r="D295" t="inlineStr">
        <is>
          <t>SKÅNE LÄN</t>
        </is>
      </c>
      <c r="E295" t="inlineStr">
        <is>
          <t>HÄSSLEHOLM</t>
        </is>
      </c>
      <c r="G295" t="n">
        <v>1.3</v>
      </c>
      <c r="H295" t="n">
        <v>0</v>
      </c>
      <c r="I295" t="n">
        <v>0</v>
      </c>
      <c r="J295" t="n">
        <v>0</v>
      </c>
      <c r="K295" t="n">
        <v>0</v>
      </c>
      <c r="L295" t="n">
        <v>0</v>
      </c>
      <c r="M295" t="n">
        <v>0</v>
      </c>
      <c r="N295" t="n">
        <v>0</v>
      </c>
      <c r="O295" t="n">
        <v>0</v>
      </c>
      <c r="P295" t="n">
        <v>0</v>
      </c>
      <c r="Q295" t="n">
        <v>0</v>
      </c>
      <c r="R295" s="2" t="inlineStr"/>
    </row>
    <row r="296" ht="15" customHeight="1">
      <c r="A296" t="inlineStr">
        <is>
          <t>A 63354-2025</t>
        </is>
      </c>
      <c r="B296" s="1" t="n">
        <v>46010.66957175926</v>
      </c>
      <c r="C296" s="1" t="n">
        <v>46171</v>
      </c>
      <c r="D296" t="inlineStr">
        <is>
          <t>SKÅNE LÄN</t>
        </is>
      </c>
      <c r="E296" t="inlineStr">
        <is>
          <t>HÄSSLEHOLM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59431-2023</t>
        </is>
      </c>
      <c r="B297" s="1" t="n">
        <v>45254.29207175926</v>
      </c>
      <c r="C297" s="1" t="n">
        <v>46171</v>
      </c>
      <c r="D297" t="inlineStr">
        <is>
          <t>SKÅNE LÄN</t>
        </is>
      </c>
      <c r="E297" t="inlineStr">
        <is>
          <t>HÄSSLEHOLM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59433-2023</t>
        </is>
      </c>
      <c r="B298" s="1" t="n">
        <v>45254.29768518519</v>
      </c>
      <c r="C298" s="1" t="n">
        <v>46171</v>
      </c>
      <c r="D298" t="inlineStr">
        <is>
          <t>SKÅNE LÄN</t>
        </is>
      </c>
      <c r="E298" t="inlineStr">
        <is>
          <t>HÄSSLEHOLM</t>
        </is>
      </c>
      <c r="G298" t="n">
        <v>3.1</v>
      </c>
      <c r="H298" t="n">
        <v>0</v>
      </c>
      <c r="I298" t="n">
        <v>0</v>
      </c>
      <c r="J298" t="n">
        <v>0</v>
      </c>
      <c r="K298" t="n">
        <v>0</v>
      </c>
      <c r="L298" t="n">
        <v>0</v>
      </c>
      <c r="M298" t="n">
        <v>0</v>
      </c>
      <c r="N298" t="n">
        <v>0</v>
      </c>
      <c r="O298" t="n">
        <v>0</v>
      </c>
      <c r="P298" t="n">
        <v>0</v>
      </c>
      <c r="Q298" t="n">
        <v>0</v>
      </c>
      <c r="R298" s="2" t="inlineStr"/>
    </row>
    <row r="299" ht="15" customHeight="1">
      <c r="A299" t="inlineStr">
        <is>
          <t>A 9556-2025</t>
        </is>
      </c>
      <c r="B299" s="1" t="n">
        <v>45714</v>
      </c>
      <c r="C299" s="1" t="n">
        <v>46171</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5242-2025</t>
        </is>
      </c>
      <c r="B300" s="1" t="n">
        <v>45692.32883101852</v>
      </c>
      <c r="C300" s="1" t="n">
        <v>46171</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27349-2025</t>
        </is>
      </c>
      <c r="B301" s="1" t="n">
        <v>45812</v>
      </c>
      <c r="C301" s="1" t="n">
        <v>46171</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23864-2024</t>
        </is>
      </c>
      <c r="B302" s="1" t="n">
        <v>45455</v>
      </c>
      <c r="C302" s="1" t="n">
        <v>46171</v>
      </c>
      <c r="D302" t="inlineStr">
        <is>
          <t>SKÅNE LÄN</t>
        </is>
      </c>
      <c r="E302" t="inlineStr">
        <is>
          <t>HÄSSLEHOLM</t>
        </is>
      </c>
      <c r="G302" t="n">
        <v>6.2</v>
      </c>
      <c r="H302" t="n">
        <v>0</v>
      </c>
      <c r="I302" t="n">
        <v>0</v>
      </c>
      <c r="J302" t="n">
        <v>0</v>
      </c>
      <c r="K302" t="n">
        <v>0</v>
      </c>
      <c r="L302" t="n">
        <v>0</v>
      </c>
      <c r="M302" t="n">
        <v>0</v>
      </c>
      <c r="N302" t="n">
        <v>0</v>
      </c>
      <c r="O302" t="n">
        <v>0</v>
      </c>
      <c r="P302" t="n">
        <v>0</v>
      </c>
      <c r="Q302" t="n">
        <v>0</v>
      </c>
      <c r="R302" s="2" t="inlineStr"/>
    </row>
    <row r="303" ht="15" customHeight="1">
      <c r="A303" t="inlineStr">
        <is>
          <t>A 39453-2025</t>
        </is>
      </c>
      <c r="B303" s="1" t="n">
        <v>45889</v>
      </c>
      <c r="C303" s="1" t="n">
        <v>46171</v>
      </c>
      <c r="D303" t="inlineStr">
        <is>
          <t>SKÅNE LÄN</t>
        </is>
      </c>
      <c r="E303" t="inlineStr">
        <is>
          <t>HÄSSLEHOLM</t>
        </is>
      </c>
      <c r="G303" t="n">
        <v>2.5</v>
      </c>
      <c r="H303" t="n">
        <v>0</v>
      </c>
      <c r="I303" t="n">
        <v>0</v>
      </c>
      <c r="J303" t="n">
        <v>0</v>
      </c>
      <c r="K303" t="n">
        <v>0</v>
      </c>
      <c r="L303" t="n">
        <v>0</v>
      </c>
      <c r="M303" t="n">
        <v>0</v>
      </c>
      <c r="N303" t="n">
        <v>0</v>
      </c>
      <c r="O303" t="n">
        <v>0</v>
      </c>
      <c r="P303" t="n">
        <v>0</v>
      </c>
      <c r="Q303" t="n">
        <v>0</v>
      </c>
      <c r="R303" s="2" t="inlineStr"/>
    </row>
    <row r="304" ht="15" customHeight="1">
      <c r="A304" t="inlineStr">
        <is>
          <t>A 54174-2022</t>
        </is>
      </c>
      <c r="B304" s="1" t="n">
        <v>44881</v>
      </c>
      <c r="C304" s="1" t="n">
        <v>46171</v>
      </c>
      <c r="D304" t="inlineStr">
        <is>
          <t>SKÅNE LÄN</t>
        </is>
      </c>
      <c r="E304" t="inlineStr">
        <is>
          <t>HÄSSLEHOLM</t>
        </is>
      </c>
      <c r="G304" t="n">
        <v>0.6</v>
      </c>
      <c r="H304" t="n">
        <v>0</v>
      </c>
      <c r="I304" t="n">
        <v>0</v>
      </c>
      <c r="J304" t="n">
        <v>0</v>
      </c>
      <c r="K304" t="n">
        <v>0</v>
      </c>
      <c r="L304" t="n">
        <v>0</v>
      </c>
      <c r="M304" t="n">
        <v>0</v>
      </c>
      <c r="N304" t="n">
        <v>0</v>
      </c>
      <c r="O304" t="n">
        <v>0</v>
      </c>
      <c r="P304" t="n">
        <v>0</v>
      </c>
      <c r="Q304" t="n">
        <v>0</v>
      </c>
      <c r="R304" s="2" t="inlineStr"/>
    </row>
    <row r="305" ht="15" customHeight="1">
      <c r="A305" t="inlineStr">
        <is>
          <t>A 52235-2021</t>
        </is>
      </c>
      <c r="B305" s="1" t="n">
        <v>44463.60085648148</v>
      </c>
      <c r="C305" s="1" t="n">
        <v>46171</v>
      </c>
      <c r="D305" t="inlineStr">
        <is>
          <t>SKÅNE LÄN</t>
        </is>
      </c>
      <c r="E305" t="inlineStr">
        <is>
          <t>HÄSSLEHOLM</t>
        </is>
      </c>
      <c r="G305" t="n">
        <v>0.8</v>
      </c>
      <c r="H305" t="n">
        <v>0</v>
      </c>
      <c r="I305" t="n">
        <v>0</v>
      </c>
      <c r="J305" t="n">
        <v>0</v>
      </c>
      <c r="K305" t="n">
        <v>0</v>
      </c>
      <c r="L305" t="n">
        <v>0</v>
      </c>
      <c r="M305" t="n">
        <v>0</v>
      </c>
      <c r="N305" t="n">
        <v>0</v>
      </c>
      <c r="O305" t="n">
        <v>0</v>
      </c>
      <c r="P305" t="n">
        <v>0</v>
      </c>
      <c r="Q305" t="n">
        <v>0</v>
      </c>
      <c r="R305" s="2" t="inlineStr"/>
    </row>
    <row r="306" ht="15" customHeight="1">
      <c r="A306" t="inlineStr">
        <is>
          <t>A 39457-2025</t>
        </is>
      </c>
      <c r="B306" s="1" t="n">
        <v>45889.76887731482</v>
      </c>
      <c r="C306" s="1" t="n">
        <v>46171</v>
      </c>
      <c r="D306" t="inlineStr">
        <is>
          <t>SKÅNE LÄN</t>
        </is>
      </c>
      <c r="E306" t="inlineStr">
        <is>
          <t>HÄSSLEHOLM</t>
        </is>
      </c>
      <c r="G306" t="n">
        <v>6.6</v>
      </c>
      <c r="H306" t="n">
        <v>0</v>
      </c>
      <c r="I306" t="n">
        <v>0</v>
      </c>
      <c r="J306" t="n">
        <v>0</v>
      </c>
      <c r="K306" t="n">
        <v>0</v>
      </c>
      <c r="L306" t="n">
        <v>0</v>
      </c>
      <c r="M306" t="n">
        <v>0</v>
      </c>
      <c r="N306" t="n">
        <v>0</v>
      </c>
      <c r="O306" t="n">
        <v>0</v>
      </c>
      <c r="P306" t="n">
        <v>0</v>
      </c>
      <c r="Q306" t="n">
        <v>0</v>
      </c>
      <c r="R306" s="2" t="inlineStr"/>
    </row>
    <row r="307" ht="15" customHeight="1">
      <c r="A307" t="inlineStr">
        <is>
          <t>A 42735-2024</t>
        </is>
      </c>
      <c r="B307" s="1" t="n">
        <v>45566.47274305556</v>
      </c>
      <c r="C307" s="1" t="n">
        <v>46171</v>
      </c>
      <c r="D307" t="inlineStr">
        <is>
          <t>SKÅNE LÄN</t>
        </is>
      </c>
      <c r="E307" t="inlineStr">
        <is>
          <t>HÄSSLEHOLM</t>
        </is>
      </c>
      <c r="G307" t="n">
        <v>3.7</v>
      </c>
      <c r="H307" t="n">
        <v>0</v>
      </c>
      <c r="I307" t="n">
        <v>0</v>
      </c>
      <c r="J307" t="n">
        <v>0</v>
      </c>
      <c r="K307" t="n">
        <v>0</v>
      </c>
      <c r="L307" t="n">
        <v>0</v>
      </c>
      <c r="M307" t="n">
        <v>0</v>
      </c>
      <c r="N307" t="n">
        <v>0</v>
      </c>
      <c r="O307" t="n">
        <v>0</v>
      </c>
      <c r="P307" t="n">
        <v>0</v>
      </c>
      <c r="Q307" t="n">
        <v>0</v>
      </c>
      <c r="R307" s="2" t="inlineStr"/>
    </row>
    <row r="308" ht="15" customHeight="1">
      <c r="A308" t="inlineStr">
        <is>
          <t>A 53302-2022</t>
        </is>
      </c>
      <c r="B308" s="1" t="n">
        <v>44877</v>
      </c>
      <c r="C308" s="1" t="n">
        <v>46171</v>
      </c>
      <c r="D308" t="inlineStr">
        <is>
          <t>SKÅNE LÄN</t>
        </is>
      </c>
      <c r="E308" t="inlineStr">
        <is>
          <t>HÄSSLEHOLM</t>
        </is>
      </c>
      <c r="G308" t="n">
        <v>0.1</v>
      </c>
      <c r="H308" t="n">
        <v>0</v>
      </c>
      <c r="I308" t="n">
        <v>0</v>
      </c>
      <c r="J308" t="n">
        <v>0</v>
      </c>
      <c r="K308" t="n">
        <v>0</v>
      </c>
      <c r="L308" t="n">
        <v>0</v>
      </c>
      <c r="M308" t="n">
        <v>0</v>
      </c>
      <c r="N308" t="n">
        <v>0</v>
      </c>
      <c r="O308" t="n">
        <v>0</v>
      </c>
      <c r="P308" t="n">
        <v>0</v>
      </c>
      <c r="Q308" t="n">
        <v>0</v>
      </c>
      <c r="R308" s="2" t="inlineStr"/>
    </row>
    <row r="309" ht="15" customHeight="1">
      <c r="A309" t="inlineStr">
        <is>
          <t>A 63710-2025</t>
        </is>
      </c>
      <c r="B309" s="1" t="n">
        <v>46014.62143518519</v>
      </c>
      <c r="C309" s="1" t="n">
        <v>46171</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24658-2025</t>
        </is>
      </c>
      <c r="B310" s="1" t="n">
        <v>45798.64134259259</v>
      </c>
      <c r="C310" s="1" t="n">
        <v>46171</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63510-2025</t>
        </is>
      </c>
      <c r="B311" s="1" t="n">
        <v>46013.49172453704</v>
      </c>
      <c r="C311" s="1" t="n">
        <v>46171</v>
      </c>
      <c r="D311" t="inlineStr">
        <is>
          <t>SKÅNE LÄN</t>
        </is>
      </c>
      <c r="E311" t="inlineStr">
        <is>
          <t>HÄSSLEHOLM</t>
        </is>
      </c>
      <c r="F311" t="inlineStr">
        <is>
          <t>Kommuner</t>
        </is>
      </c>
      <c r="G311" t="n">
        <v>2</v>
      </c>
      <c r="H311" t="n">
        <v>0</v>
      </c>
      <c r="I311" t="n">
        <v>0</v>
      </c>
      <c r="J311" t="n">
        <v>0</v>
      </c>
      <c r="K311" t="n">
        <v>0</v>
      </c>
      <c r="L311" t="n">
        <v>0</v>
      </c>
      <c r="M311" t="n">
        <v>0</v>
      </c>
      <c r="N311" t="n">
        <v>0</v>
      </c>
      <c r="O311" t="n">
        <v>0</v>
      </c>
      <c r="P311" t="n">
        <v>0</v>
      </c>
      <c r="Q311" t="n">
        <v>0</v>
      </c>
      <c r="R311" s="2" t="inlineStr"/>
    </row>
    <row r="312" ht="15" customHeight="1">
      <c r="A312" t="inlineStr">
        <is>
          <t>A 52642-2021</t>
        </is>
      </c>
      <c r="B312" s="1" t="n">
        <v>44466.64298611111</v>
      </c>
      <c r="C312" s="1" t="n">
        <v>46171</v>
      </c>
      <c r="D312" t="inlineStr">
        <is>
          <t>SKÅNE LÄN</t>
        </is>
      </c>
      <c r="E312" t="inlineStr">
        <is>
          <t>HÄSSLEHOLM</t>
        </is>
      </c>
      <c r="G312" t="n">
        <v>3.7</v>
      </c>
      <c r="H312" t="n">
        <v>0</v>
      </c>
      <c r="I312" t="n">
        <v>0</v>
      </c>
      <c r="J312" t="n">
        <v>0</v>
      </c>
      <c r="K312" t="n">
        <v>0</v>
      </c>
      <c r="L312" t="n">
        <v>0</v>
      </c>
      <c r="M312" t="n">
        <v>0</v>
      </c>
      <c r="N312" t="n">
        <v>0</v>
      </c>
      <c r="O312" t="n">
        <v>0</v>
      </c>
      <c r="P312" t="n">
        <v>0</v>
      </c>
      <c r="Q312" t="n">
        <v>0</v>
      </c>
      <c r="R312" s="2" t="inlineStr"/>
    </row>
    <row r="313" ht="15" customHeight="1">
      <c r="A313" t="inlineStr">
        <is>
          <t>A 29850-2024</t>
        </is>
      </c>
      <c r="B313" s="1" t="n">
        <v>45485.64620370371</v>
      </c>
      <c r="C313" s="1" t="n">
        <v>46171</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63487-2025</t>
        </is>
      </c>
      <c r="B314" s="1" t="n">
        <v>46013.46878472222</v>
      </c>
      <c r="C314" s="1" t="n">
        <v>46171</v>
      </c>
      <c r="D314" t="inlineStr">
        <is>
          <t>SKÅNE LÄN</t>
        </is>
      </c>
      <c r="E314" t="inlineStr">
        <is>
          <t>HÄSSLEHOLM</t>
        </is>
      </c>
      <c r="F314" t="inlineStr">
        <is>
          <t>Kommuner</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24250-2025</t>
        </is>
      </c>
      <c r="B315" s="1" t="n">
        <v>45797.40260416667</v>
      </c>
      <c r="C315" s="1" t="n">
        <v>46171</v>
      </c>
      <c r="D315" t="inlineStr">
        <is>
          <t>SKÅNE LÄN</t>
        </is>
      </c>
      <c r="E315" t="inlineStr">
        <is>
          <t>HÄSSLEHOLM</t>
        </is>
      </c>
      <c r="G315" t="n">
        <v>2.3</v>
      </c>
      <c r="H315" t="n">
        <v>0</v>
      </c>
      <c r="I315" t="n">
        <v>0</v>
      </c>
      <c r="J315" t="n">
        <v>0</v>
      </c>
      <c r="K315" t="n">
        <v>0</v>
      </c>
      <c r="L315" t="n">
        <v>0</v>
      </c>
      <c r="M315" t="n">
        <v>0</v>
      </c>
      <c r="N315" t="n">
        <v>0</v>
      </c>
      <c r="O315" t="n">
        <v>0</v>
      </c>
      <c r="P315" t="n">
        <v>0</v>
      </c>
      <c r="Q315" t="n">
        <v>0</v>
      </c>
      <c r="R315" s="2" t="inlineStr"/>
    </row>
    <row r="316" ht="15" customHeight="1">
      <c r="A316" t="inlineStr">
        <is>
          <t>A 63414-2025</t>
        </is>
      </c>
      <c r="B316" s="1" t="n">
        <v>46013.32008101852</v>
      </c>
      <c r="C316" s="1" t="n">
        <v>46171</v>
      </c>
      <c r="D316" t="inlineStr">
        <is>
          <t>SKÅNE LÄN</t>
        </is>
      </c>
      <c r="E316" t="inlineStr">
        <is>
          <t>HÄSSLEHOLM</t>
        </is>
      </c>
      <c r="G316" t="n">
        <v>1.3</v>
      </c>
      <c r="H316" t="n">
        <v>0</v>
      </c>
      <c r="I316" t="n">
        <v>0</v>
      </c>
      <c r="J316" t="n">
        <v>0</v>
      </c>
      <c r="K316" t="n">
        <v>0</v>
      </c>
      <c r="L316" t="n">
        <v>0</v>
      </c>
      <c r="M316" t="n">
        <v>0</v>
      </c>
      <c r="N316" t="n">
        <v>0</v>
      </c>
      <c r="O316" t="n">
        <v>0</v>
      </c>
      <c r="P316" t="n">
        <v>0</v>
      </c>
      <c r="Q316" t="n">
        <v>0</v>
      </c>
      <c r="R316" s="2" t="inlineStr"/>
    </row>
    <row r="317" ht="15" customHeight="1">
      <c r="A317" t="inlineStr">
        <is>
          <t>A 8160-2024</t>
        </is>
      </c>
      <c r="B317" s="1" t="n">
        <v>45351</v>
      </c>
      <c r="C317" s="1" t="n">
        <v>46171</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63415-2025</t>
        </is>
      </c>
      <c r="B318" s="1" t="n">
        <v>46013.32163194445</v>
      </c>
      <c r="C318" s="1" t="n">
        <v>46171</v>
      </c>
      <c r="D318" t="inlineStr">
        <is>
          <t>SKÅNE LÄN</t>
        </is>
      </c>
      <c r="E318" t="inlineStr">
        <is>
          <t>HÄSSLEHOLM</t>
        </is>
      </c>
      <c r="G318" t="n">
        <v>1.3</v>
      </c>
      <c r="H318" t="n">
        <v>0</v>
      </c>
      <c r="I318" t="n">
        <v>0</v>
      </c>
      <c r="J318" t="n">
        <v>0</v>
      </c>
      <c r="K318" t="n">
        <v>0</v>
      </c>
      <c r="L318" t="n">
        <v>0</v>
      </c>
      <c r="M318" t="n">
        <v>0</v>
      </c>
      <c r="N318" t="n">
        <v>0</v>
      </c>
      <c r="O318" t="n">
        <v>0</v>
      </c>
      <c r="P318" t="n">
        <v>0</v>
      </c>
      <c r="Q318" t="n">
        <v>0</v>
      </c>
      <c r="R318" s="2" t="inlineStr"/>
    </row>
    <row r="319" ht="15" customHeight="1">
      <c r="A319" t="inlineStr">
        <is>
          <t>A 63416-2025</t>
        </is>
      </c>
      <c r="B319" s="1" t="n">
        <v>46013.3232175926</v>
      </c>
      <c r="C319" s="1" t="n">
        <v>46171</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35711-2024</t>
        </is>
      </c>
      <c r="B320" s="1" t="n">
        <v>45532</v>
      </c>
      <c r="C320" s="1" t="n">
        <v>46171</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39366-2025</t>
        </is>
      </c>
      <c r="B321" s="1" t="n">
        <v>45889</v>
      </c>
      <c r="C321" s="1" t="n">
        <v>46171</v>
      </c>
      <c r="D321" t="inlineStr">
        <is>
          <t>SKÅNE LÄN</t>
        </is>
      </c>
      <c r="E321" t="inlineStr">
        <is>
          <t>HÄSSLEHOLM</t>
        </is>
      </c>
      <c r="G321" t="n">
        <v>1</v>
      </c>
      <c r="H321" t="n">
        <v>0</v>
      </c>
      <c r="I321" t="n">
        <v>0</v>
      </c>
      <c r="J321" t="n">
        <v>0</v>
      </c>
      <c r="K321" t="n">
        <v>0</v>
      </c>
      <c r="L321" t="n">
        <v>0</v>
      </c>
      <c r="M321" t="n">
        <v>0</v>
      </c>
      <c r="N321" t="n">
        <v>0</v>
      </c>
      <c r="O321" t="n">
        <v>0</v>
      </c>
      <c r="P321" t="n">
        <v>0</v>
      </c>
      <c r="Q321" t="n">
        <v>0</v>
      </c>
      <c r="R321" s="2" t="inlineStr"/>
    </row>
    <row r="322" ht="15" customHeight="1">
      <c r="A322" t="inlineStr">
        <is>
          <t>A 6316-2026</t>
        </is>
      </c>
      <c r="B322" s="1" t="n">
        <v>46055</v>
      </c>
      <c r="C322" s="1" t="n">
        <v>46171</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63709-2025</t>
        </is>
      </c>
      <c r="B323" s="1" t="n">
        <v>46014.61700231482</v>
      </c>
      <c r="C323" s="1" t="n">
        <v>46171</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6328-2026</t>
        </is>
      </c>
      <c r="B324" s="1" t="n">
        <v>46055</v>
      </c>
      <c r="C324" s="1" t="n">
        <v>46171</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62041-2022</t>
        </is>
      </c>
      <c r="B325" s="1" t="n">
        <v>44918.55743055556</v>
      </c>
      <c r="C325" s="1" t="n">
        <v>46171</v>
      </c>
      <c r="D325" t="inlineStr">
        <is>
          <t>SKÅNE LÄN</t>
        </is>
      </c>
      <c r="E325" t="inlineStr">
        <is>
          <t>HÄSSLEHOLM</t>
        </is>
      </c>
      <c r="G325" t="n">
        <v>2.8</v>
      </c>
      <c r="H325" t="n">
        <v>0</v>
      </c>
      <c r="I325" t="n">
        <v>0</v>
      </c>
      <c r="J325" t="n">
        <v>0</v>
      </c>
      <c r="K325" t="n">
        <v>0</v>
      </c>
      <c r="L325" t="n">
        <v>0</v>
      </c>
      <c r="M325" t="n">
        <v>0</v>
      </c>
      <c r="N325" t="n">
        <v>0</v>
      </c>
      <c r="O325" t="n">
        <v>0</v>
      </c>
      <c r="P325" t="n">
        <v>0</v>
      </c>
      <c r="Q325" t="n">
        <v>0</v>
      </c>
      <c r="R325" s="2" t="inlineStr"/>
    </row>
    <row r="326" ht="15" customHeight="1">
      <c r="A326" t="inlineStr">
        <is>
          <t>A 63712-2025</t>
        </is>
      </c>
      <c r="B326" s="1" t="n">
        <v>46014.63092592593</v>
      </c>
      <c r="C326" s="1" t="n">
        <v>46171</v>
      </c>
      <c r="D326" t="inlineStr">
        <is>
          <t>SKÅNE LÄN</t>
        </is>
      </c>
      <c r="E326" t="inlineStr">
        <is>
          <t>HÄSSLEHOLM</t>
        </is>
      </c>
      <c r="G326" t="n">
        <v>3.9</v>
      </c>
      <c r="H326" t="n">
        <v>0</v>
      </c>
      <c r="I326" t="n">
        <v>0</v>
      </c>
      <c r="J326" t="n">
        <v>0</v>
      </c>
      <c r="K326" t="n">
        <v>0</v>
      </c>
      <c r="L326" t="n">
        <v>0</v>
      </c>
      <c r="M326" t="n">
        <v>0</v>
      </c>
      <c r="N326" t="n">
        <v>0</v>
      </c>
      <c r="O326" t="n">
        <v>0</v>
      </c>
      <c r="P326" t="n">
        <v>0</v>
      </c>
      <c r="Q326" t="n">
        <v>0</v>
      </c>
      <c r="R326" s="2" t="inlineStr"/>
    </row>
    <row r="327" ht="15" customHeight="1">
      <c r="A327" t="inlineStr">
        <is>
          <t>A 32826-2024</t>
        </is>
      </c>
      <c r="B327" s="1" t="n">
        <v>45516.59056712963</v>
      </c>
      <c r="C327" s="1" t="n">
        <v>46171</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40734-2024</t>
        </is>
      </c>
      <c r="B328" s="1" t="n">
        <v>45558</v>
      </c>
      <c r="C328" s="1" t="n">
        <v>46171</v>
      </c>
      <c r="D328" t="inlineStr">
        <is>
          <t>SKÅNE LÄN</t>
        </is>
      </c>
      <c r="E328" t="inlineStr">
        <is>
          <t>HÄSSLEHOLM</t>
        </is>
      </c>
      <c r="G328" t="n">
        <v>1.4</v>
      </c>
      <c r="H328" t="n">
        <v>0</v>
      </c>
      <c r="I328" t="n">
        <v>0</v>
      </c>
      <c r="J328" t="n">
        <v>0</v>
      </c>
      <c r="K328" t="n">
        <v>0</v>
      </c>
      <c r="L328" t="n">
        <v>0</v>
      </c>
      <c r="M328" t="n">
        <v>0</v>
      </c>
      <c r="N328" t="n">
        <v>0</v>
      </c>
      <c r="O328" t="n">
        <v>0</v>
      </c>
      <c r="P328" t="n">
        <v>0</v>
      </c>
      <c r="Q328" t="n">
        <v>0</v>
      </c>
      <c r="R328" s="2" t="inlineStr"/>
    </row>
    <row r="329" ht="15" customHeight="1">
      <c r="A329" t="inlineStr">
        <is>
          <t>A 40738-2024</t>
        </is>
      </c>
      <c r="B329" s="1" t="n">
        <v>45558</v>
      </c>
      <c r="C329" s="1" t="n">
        <v>46171</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24985-2025</t>
        </is>
      </c>
      <c r="B330" s="1" t="n">
        <v>45799.60256944445</v>
      </c>
      <c r="C330" s="1" t="n">
        <v>46171</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27837-2024</t>
        </is>
      </c>
      <c r="B331" s="1" t="n">
        <v>45475</v>
      </c>
      <c r="C331" s="1" t="n">
        <v>46171</v>
      </c>
      <c r="D331" t="inlineStr">
        <is>
          <t>SKÅNE LÄN</t>
        </is>
      </c>
      <c r="E331" t="inlineStr">
        <is>
          <t>HÄSSLEHOLM</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29659-2024</t>
        </is>
      </c>
      <c r="B332" s="1" t="n">
        <v>45484.92587962963</v>
      </c>
      <c r="C332" s="1" t="n">
        <v>46171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1679-2022</t>
        </is>
      </c>
      <c r="B333" s="1" t="n">
        <v>44573</v>
      </c>
      <c r="C333" s="1" t="n">
        <v>46171</v>
      </c>
      <c r="D333" t="inlineStr">
        <is>
          <t>SKÅNE LÄN</t>
        </is>
      </c>
      <c r="E333" t="inlineStr">
        <is>
          <t>HÄSSLEHOLM</t>
        </is>
      </c>
      <c r="F333" t="inlineStr">
        <is>
          <t>Kyrkan</t>
        </is>
      </c>
      <c r="G333" t="n">
        <v>4.3</v>
      </c>
      <c r="H333" t="n">
        <v>0</v>
      </c>
      <c r="I333" t="n">
        <v>0</v>
      </c>
      <c r="J333" t="n">
        <v>0</v>
      </c>
      <c r="K333" t="n">
        <v>0</v>
      </c>
      <c r="L333" t="n">
        <v>0</v>
      </c>
      <c r="M333" t="n">
        <v>0</v>
      </c>
      <c r="N333" t="n">
        <v>0</v>
      </c>
      <c r="O333" t="n">
        <v>0</v>
      </c>
      <c r="P333" t="n">
        <v>0</v>
      </c>
      <c r="Q333" t="n">
        <v>0</v>
      </c>
      <c r="R333" s="2" t="inlineStr"/>
    </row>
    <row r="334" ht="15" customHeight="1">
      <c r="A334" t="inlineStr">
        <is>
          <t>A 39934-2025</t>
        </is>
      </c>
      <c r="B334" s="1" t="n">
        <v>45891.71465277778</v>
      </c>
      <c r="C334" s="1" t="n">
        <v>46171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259-2024</t>
        </is>
      </c>
      <c r="B335" s="1" t="n">
        <v>45294</v>
      </c>
      <c r="C335" s="1" t="n">
        <v>46171</v>
      </c>
      <c r="D335" t="inlineStr">
        <is>
          <t>SKÅNE LÄN</t>
        </is>
      </c>
      <c r="E335" t="inlineStr">
        <is>
          <t>HÄSSLEHOLM</t>
        </is>
      </c>
      <c r="G335" t="n">
        <v>8</v>
      </c>
      <c r="H335" t="n">
        <v>0</v>
      </c>
      <c r="I335" t="n">
        <v>0</v>
      </c>
      <c r="J335" t="n">
        <v>0</v>
      </c>
      <c r="K335" t="n">
        <v>0</v>
      </c>
      <c r="L335" t="n">
        <v>0</v>
      </c>
      <c r="M335" t="n">
        <v>0</v>
      </c>
      <c r="N335" t="n">
        <v>0</v>
      </c>
      <c r="O335" t="n">
        <v>0</v>
      </c>
      <c r="P335" t="n">
        <v>0</v>
      </c>
      <c r="Q335" t="n">
        <v>0</v>
      </c>
      <c r="R335" s="2" t="inlineStr"/>
    </row>
    <row r="336" ht="15" customHeight="1">
      <c r="A336" t="inlineStr">
        <is>
          <t>A 37141-2021</t>
        </is>
      </c>
      <c r="B336" s="1" t="n">
        <v>44396</v>
      </c>
      <c r="C336" s="1" t="n">
        <v>46171</v>
      </c>
      <c r="D336" t="inlineStr">
        <is>
          <t>SKÅNE LÄN</t>
        </is>
      </c>
      <c r="E336" t="inlineStr">
        <is>
          <t>HÄSSLEHOLM</t>
        </is>
      </c>
      <c r="G336" t="n">
        <v>12.8</v>
      </c>
      <c r="H336" t="n">
        <v>0</v>
      </c>
      <c r="I336" t="n">
        <v>0</v>
      </c>
      <c r="J336" t="n">
        <v>0</v>
      </c>
      <c r="K336" t="n">
        <v>0</v>
      </c>
      <c r="L336" t="n">
        <v>0</v>
      </c>
      <c r="M336" t="n">
        <v>0</v>
      </c>
      <c r="N336" t="n">
        <v>0</v>
      </c>
      <c r="O336" t="n">
        <v>0</v>
      </c>
      <c r="P336" t="n">
        <v>0</v>
      </c>
      <c r="Q336" t="n">
        <v>0</v>
      </c>
      <c r="R336" s="2" t="inlineStr"/>
    </row>
    <row r="337" ht="15" customHeight="1">
      <c r="A337" t="inlineStr">
        <is>
          <t>A 39937-2025</t>
        </is>
      </c>
      <c r="B337" s="1" t="n">
        <v>45891.73162037037</v>
      </c>
      <c r="C337" s="1" t="n">
        <v>46171</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9555-2025</t>
        </is>
      </c>
      <c r="B338" s="1" t="n">
        <v>45714</v>
      </c>
      <c r="C338" s="1" t="n">
        <v>46171</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46171</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45399-2022</t>
        </is>
      </c>
      <c r="B340" s="1" t="n">
        <v>44844.70513888889</v>
      </c>
      <c r="C340" s="1" t="n">
        <v>46171</v>
      </c>
      <c r="D340" t="inlineStr">
        <is>
          <t>SKÅNE LÄN</t>
        </is>
      </c>
      <c r="E340" t="inlineStr">
        <is>
          <t>HÄSSLEHOLM</t>
        </is>
      </c>
      <c r="G340" t="n">
        <v>0</v>
      </c>
      <c r="H340" t="n">
        <v>0</v>
      </c>
      <c r="I340" t="n">
        <v>0</v>
      </c>
      <c r="J340" t="n">
        <v>0</v>
      </c>
      <c r="K340" t="n">
        <v>0</v>
      </c>
      <c r="L340" t="n">
        <v>0</v>
      </c>
      <c r="M340" t="n">
        <v>0</v>
      </c>
      <c r="N340" t="n">
        <v>0</v>
      </c>
      <c r="O340" t="n">
        <v>0</v>
      </c>
      <c r="P340" t="n">
        <v>0</v>
      </c>
      <c r="Q340" t="n">
        <v>0</v>
      </c>
      <c r="R340" s="2" t="inlineStr"/>
    </row>
    <row r="341" ht="15" customHeight="1">
      <c r="A341" t="inlineStr">
        <is>
          <t>A 25372-2025</t>
        </is>
      </c>
      <c r="B341" s="1" t="n">
        <v>45799</v>
      </c>
      <c r="C341" s="1" t="n">
        <v>46171</v>
      </c>
      <c r="D341" t="inlineStr">
        <is>
          <t>SKÅNE LÄN</t>
        </is>
      </c>
      <c r="E341" t="inlineStr">
        <is>
          <t>HÄSSLEHOLM</t>
        </is>
      </c>
      <c r="G341" t="n">
        <v>3.1</v>
      </c>
      <c r="H341" t="n">
        <v>0</v>
      </c>
      <c r="I341" t="n">
        <v>0</v>
      </c>
      <c r="J341" t="n">
        <v>0</v>
      </c>
      <c r="K341" t="n">
        <v>0</v>
      </c>
      <c r="L341" t="n">
        <v>0</v>
      </c>
      <c r="M341" t="n">
        <v>0</v>
      </c>
      <c r="N341" t="n">
        <v>0</v>
      </c>
      <c r="O341" t="n">
        <v>0</v>
      </c>
      <c r="P341" t="n">
        <v>0</v>
      </c>
      <c r="Q341" t="n">
        <v>0</v>
      </c>
      <c r="R341" s="2" t="inlineStr"/>
    </row>
    <row r="342" ht="15" customHeight="1">
      <c r="A342" t="inlineStr">
        <is>
          <t>A 9399-2025</t>
        </is>
      </c>
      <c r="B342" s="1" t="n">
        <v>45715.37861111111</v>
      </c>
      <c r="C342" s="1" t="n">
        <v>46171</v>
      </c>
      <c r="D342" t="inlineStr">
        <is>
          <t>SKÅNE LÄN</t>
        </is>
      </c>
      <c r="E342" t="inlineStr">
        <is>
          <t>HÄSSLEHOLM</t>
        </is>
      </c>
      <c r="G342" t="n">
        <v>5.2</v>
      </c>
      <c r="H342" t="n">
        <v>0</v>
      </c>
      <c r="I342" t="n">
        <v>0</v>
      </c>
      <c r="J342" t="n">
        <v>0</v>
      </c>
      <c r="K342" t="n">
        <v>0</v>
      </c>
      <c r="L342" t="n">
        <v>0</v>
      </c>
      <c r="M342" t="n">
        <v>0</v>
      </c>
      <c r="N342" t="n">
        <v>0</v>
      </c>
      <c r="O342" t="n">
        <v>0</v>
      </c>
      <c r="P342" t="n">
        <v>0</v>
      </c>
      <c r="Q342" t="n">
        <v>0</v>
      </c>
      <c r="R342" s="2" t="inlineStr"/>
    </row>
    <row r="343" ht="15" customHeight="1">
      <c r="A343" t="inlineStr">
        <is>
          <t>A 49379-2021</t>
        </is>
      </c>
      <c r="B343" s="1" t="n">
        <v>44454</v>
      </c>
      <c r="C343" s="1" t="n">
        <v>46171</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32881-2024</t>
        </is>
      </c>
      <c r="B344" s="1" t="n">
        <v>45516</v>
      </c>
      <c r="C344" s="1" t="n">
        <v>46171</v>
      </c>
      <c r="D344" t="inlineStr">
        <is>
          <t>SKÅNE LÄN</t>
        </is>
      </c>
      <c r="E344" t="inlineStr">
        <is>
          <t>HÄSSLEHOLM</t>
        </is>
      </c>
      <c r="G344" t="n">
        <v>6.3</v>
      </c>
      <c r="H344" t="n">
        <v>0</v>
      </c>
      <c r="I344" t="n">
        <v>0</v>
      </c>
      <c r="J344" t="n">
        <v>0</v>
      </c>
      <c r="K344" t="n">
        <v>0</v>
      </c>
      <c r="L344" t="n">
        <v>0</v>
      </c>
      <c r="M344" t="n">
        <v>0</v>
      </c>
      <c r="N344" t="n">
        <v>0</v>
      </c>
      <c r="O344" t="n">
        <v>0</v>
      </c>
      <c r="P344" t="n">
        <v>0</v>
      </c>
      <c r="Q344" t="n">
        <v>0</v>
      </c>
      <c r="R344" s="2" t="inlineStr"/>
    </row>
    <row r="345" ht="15" customHeight="1">
      <c r="A345" t="inlineStr">
        <is>
          <t>A 2743-2023</t>
        </is>
      </c>
      <c r="B345" s="1" t="n">
        <v>44944</v>
      </c>
      <c r="C345" s="1" t="n">
        <v>46171</v>
      </c>
      <c r="D345" t="inlineStr">
        <is>
          <t>SKÅNE LÄN</t>
        </is>
      </c>
      <c r="E345" t="inlineStr">
        <is>
          <t>HÄSSLEHOLM</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51565-2023</t>
        </is>
      </c>
      <c r="B346" s="1" t="n">
        <v>45222</v>
      </c>
      <c r="C346" s="1" t="n">
        <v>46171</v>
      </c>
      <c r="D346" t="inlineStr">
        <is>
          <t>SKÅNE LÄN</t>
        </is>
      </c>
      <c r="E346" t="inlineStr">
        <is>
          <t>HÄSSLEHOLM</t>
        </is>
      </c>
      <c r="G346" t="n">
        <v>2.1</v>
      </c>
      <c r="H346" t="n">
        <v>0</v>
      </c>
      <c r="I346" t="n">
        <v>0</v>
      </c>
      <c r="J346" t="n">
        <v>0</v>
      </c>
      <c r="K346" t="n">
        <v>0</v>
      </c>
      <c r="L346" t="n">
        <v>0</v>
      </c>
      <c r="M346" t="n">
        <v>0</v>
      </c>
      <c r="N346" t="n">
        <v>0</v>
      </c>
      <c r="O346" t="n">
        <v>0</v>
      </c>
      <c r="P346" t="n">
        <v>0</v>
      </c>
      <c r="Q346" t="n">
        <v>0</v>
      </c>
      <c r="R346" s="2" t="inlineStr"/>
    </row>
    <row r="347" ht="15" customHeight="1">
      <c r="A347" t="inlineStr">
        <is>
          <t>A 25430-2025</t>
        </is>
      </c>
      <c r="B347" s="1" t="n">
        <v>45800.78212962963</v>
      </c>
      <c r="C347" s="1" t="n">
        <v>46171</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62044-2022</t>
        </is>
      </c>
      <c r="B348" s="1" t="n">
        <v>44918.55976851852</v>
      </c>
      <c r="C348" s="1" t="n">
        <v>46171</v>
      </c>
      <c r="D348" t="inlineStr">
        <is>
          <t>SKÅNE LÄN</t>
        </is>
      </c>
      <c r="E348" t="inlineStr">
        <is>
          <t>HÄSSLEHOLM</t>
        </is>
      </c>
      <c r="G348" t="n">
        <v>2.1</v>
      </c>
      <c r="H348" t="n">
        <v>0</v>
      </c>
      <c r="I348" t="n">
        <v>0</v>
      </c>
      <c r="J348" t="n">
        <v>0</v>
      </c>
      <c r="K348" t="n">
        <v>0</v>
      </c>
      <c r="L348" t="n">
        <v>0</v>
      </c>
      <c r="M348" t="n">
        <v>0</v>
      </c>
      <c r="N348" t="n">
        <v>0</v>
      </c>
      <c r="O348" t="n">
        <v>0</v>
      </c>
      <c r="P348" t="n">
        <v>0</v>
      </c>
      <c r="Q348" t="n">
        <v>0</v>
      </c>
      <c r="R348" s="2" t="inlineStr"/>
    </row>
    <row r="349" ht="15" customHeight="1">
      <c r="A349" t="inlineStr">
        <is>
          <t>A 6164-2023</t>
        </is>
      </c>
      <c r="B349" s="1" t="n">
        <v>44964.66871527778</v>
      </c>
      <c r="C349" s="1" t="n">
        <v>46171</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11470-2025</t>
        </is>
      </c>
      <c r="B350" s="1" t="n">
        <v>45726</v>
      </c>
      <c r="C350" s="1" t="n">
        <v>46171</v>
      </c>
      <c r="D350" t="inlineStr">
        <is>
          <t>SKÅNE LÄN</t>
        </is>
      </c>
      <c r="E350" t="inlineStr">
        <is>
          <t>HÄSSLEHOLM</t>
        </is>
      </c>
      <c r="G350" t="n">
        <v>0.4</v>
      </c>
      <c r="H350" t="n">
        <v>0</v>
      </c>
      <c r="I350" t="n">
        <v>0</v>
      </c>
      <c r="J350" t="n">
        <v>0</v>
      </c>
      <c r="K350" t="n">
        <v>0</v>
      </c>
      <c r="L350" t="n">
        <v>0</v>
      </c>
      <c r="M350" t="n">
        <v>0</v>
      </c>
      <c r="N350" t="n">
        <v>0</v>
      </c>
      <c r="O350" t="n">
        <v>0</v>
      </c>
      <c r="P350" t="n">
        <v>0</v>
      </c>
      <c r="Q350" t="n">
        <v>0</v>
      </c>
      <c r="R350" s="2" t="inlineStr"/>
    </row>
    <row r="351" ht="15" customHeight="1">
      <c r="A351" t="inlineStr">
        <is>
          <t>A 25615-2025</t>
        </is>
      </c>
      <c r="B351" s="1" t="n">
        <v>45803</v>
      </c>
      <c r="C351" s="1" t="n">
        <v>46171</v>
      </c>
      <c r="D351" t="inlineStr">
        <is>
          <t>SKÅNE LÄN</t>
        </is>
      </c>
      <c r="E351" t="inlineStr">
        <is>
          <t>HÄSSLEHOLM</t>
        </is>
      </c>
      <c r="G351" t="n">
        <v>2.6</v>
      </c>
      <c r="H351" t="n">
        <v>0</v>
      </c>
      <c r="I351" t="n">
        <v>0</v>
      </c>
      <c r="J351" t="n">
        <v>0</v>
      </c>
      <c r="K351" t="n">
        <v>0</v>
      </c>
      <c r="L351" t="n">
        <v>0</v>
      </c>
      <c r="M351" t="n">
        <v>0</v>
      </c>
      <c r="N351" t="n">
        <v>0</v>
      </c>
      <c r="O351" t="n">
        <v>0</v>
      </c>
      <c r="P351" t="n">
        <v>0</v>
      </c>
      <c r="Q351" t="n">
        <v>0</v>
      </c>
      <c r="R351" s="2" t="inlineStr"/>
    </row>
    <row r="352" ht="15" customHeight="1">
      <c r="A352" t="inlineStr">
        <is>
          <t>A 37318-2024</t>
        </is>
      </c>
      <c r="B352" s="1" t="n">
        <v>45540</v>
      </c>
      <c r="C352" s="1" t="n">
        <v>46171</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58891-2022</t>
        </is>
      </c>
      <c r="B353" s="1" t="n">
        <v>44896</v>
      </c>
      <c r="C353" s="1" t="n">
        <v>46171</v>
      </c>
      <c r="D353" t="inlineStr">
        <is>
          <t>SKÅNE LÄN</t>
        </is>
      </c>
      <c r="E353" t="inlineStr">
        <is>
          <t>HÄSSLEHOLM</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37324-2024</t>
        </is>
      </c>
      <c r="B354" s="1" t="n">
        <v>45540.50104166667</v>
      </c>
      <c r="C354" s="1" t="n">
        <v>46171</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25176-2024</t>
        </is>
      </c>
      <c r="B355" s="1" t="n">
        <v>45462.54582175926</v>
      </c>
      <c r="C355" s="1" t="n">
        <v>46171</v>
      </c>
      <c r="D355" t="inlineStr">
        <is>
          <t>SKÅNE LÄN</t>
        </is>
      </c>
      <c r="E355" t="inlineStr">
        <is>
          <t>HÄSSLEHOLM</t>
        </is>
      </c>
      <c r="G355" t="n">
        <v>3.8</v>
      </c>
      <c r="H355" t="n">
        <v>0</v>
      </c>
      <c r="I355" t="n">
        <v>0</v>
      </c>
      <c r="J355" t="n">
        <v>0</v>
      </c>
      <c r="K355" t="n">
        <v>0</v>
      </c>
      <c r="L355" t="n">
        <v>0</v>
      </c>
      <c r="M355" t="n">
        <v>0</v>
      </c>
      <c r="N355" t="n">
        <v>0</v>
      </c>
      <c r="O355" t="n">
        <v>0</v>
      </c>
      <c r="P355" t="n">
        <v>0</v>
      </c>
      <c r="Q355" t="n">
        <v>0</v>
      </c>
      <c r="R355" s="2" t="inlineStr"/>
    </row>
    <row r="356" ht="15" customHeight="1">
      <c r="A356" t="inlineStr">
        <is>
          <t>A 25431-2025</t>
        </is>
      </c>
      <c r="B356" s="1" t="n">
        <v>45800.78340277778</v>
      </c>
      <c r="C356" s="1" t="n">
        <v>46171</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25432-2025</t>
        </is>
      </c>
      <c r="B357" s="1" t="n">
        <v>45800.7847800926</v>
      </c>
      <c r="C357" s="1" t="n">
        <v>46171</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11412-2025</t>
        </is>
      </c>
      <c r="B358" s="1" t="n">
        <v>45726</v>
      </c>
      <c r="C358" s="1" t="n">
        <v>46171</v>
      </c>
      <c r="D358" t="inlineStr">
        <is>
          <t>SKÅNE LÄN</t>
        </is>
      </c>
      <c r="E358" t="inlineStr">
        <is>
          <t>HÄSSLEHOLM</t>
        </is>
      </c>
      <c r="G358" t="n">
        <v>2.1</v>
      </c>
      <c r="H358" t="n">
        <v>0</v>
      </c>
      <c r="I358" t="n">
        <v>0</v>
      </c>
      <c r="J358" t="n">
        <v>0</v>
      </c>
      <c r="K358" t="n">
        <v>0</v>
      </c>
      <c r="L358" t="n">
        <v>0</v>
      </c>
      <c r="M358" t="n">
        <v>0</v>
      </c>
      <c r="N358" t="n">
        <v>0</v>
      </c>
      <c r="O358" t="n">
        <v>0</v>
      </c>
      <c r="P358" t="n">
        <v>0</v>
      </c>
      <c r="Q358" t="n">
        <v>0</v>
      </c>
      <c r="R358" s="2" t="inlineStr"/>
    </row>
    <row r="359" ht="15" customHeight="1">
      <c r="A359" t="inlineStr">
        <is>
          <t>A 41400-2025</t>
        </is>
      </c>
      <c r="B359" s="1" t="n">
        <v>45901</v>
      </c>
      <c r="C359" s="1" t="n">
        <v>46171</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3726-2024</t>
        </is>
      </c>
      <c r="B360" s="1" t="n">
        <v>45321</v>
      </c>
      <c r="C360" s="1" t="n">
        <v>46171</v>
      </c>
      <c r="D360" t="inlineStr">
        <is>
          <t>SKÅNE LÄN</t>
        </is>
      </c>
      <c r="E360" t="inlineStr">
        <is>
          <t>HÄSSLEHOLM</t>
        </is>
      </c>
      <c r="G360" t="n">
        <v>0.3</v>
      </c>
      <c r="H360" t="n">
        <v>0</v>
      </c>
      <c r="I360" t="n">
        <v>0</v>
      </c>
      <c r="J360" t="n">
        <v>0</v>
      </c>
      <c r="K360" t="n">
        <v>0</v>
      </c>
      <c r="L360" t="n">
        <v>0</v>
      </c>
      <c r="M360" t="n">
        <v>0</v>
      </c>
      <c r="N360" t="n">
        <v>0</v>
      </c>
      <c r="O360" t="n">
        <v>0</v>
      </c>
      <c r="P360" t="n">
        <v>0</v>
      </c>
      <c r="Q360" t="n">
        <v>0</v>
      </c>
      <c r="R360" s="2" t="inlineStr"/>
    </row>
    <row r="361" ht="15" customHeight="1">
      <c r="A361" t="inlineStr">
        <is>
          <t>A 39044-2024</t>
        </is>
      </c>
      <c r="B361" s="1" t="n">
        <v>45548.47707175926</v>
      </c>
      <c r="C361" s="1" t="n">
        <v>46171</v>
      </c>
      <c r="D361" t="inlineStr">
        <is>
          <t>SKÅNE LÄN</t>
        </is>
      </c>
      <c r="E361" t="inlineStr">
        <is>
          <t>HÄSSLEHOLM</t>
        </is>
      </c>
      <c r="G361" t="n">
        <v>2.8</v>
      </c>
      <c r="H361" t="n">
        <v>0</v>
      </c>
      <c r="I361" t="n">
        <v>0</v>
      </c>
      <c r="J361" t="n">
        <v>0</v>
      </c>
      <c r="K361" t="n">
        <v>0</v>
      </c>
      <c r="L361" t="n">
        <v>0</v>
      </c>
      <c r="M361" t="n">
        <v>0</v>
      </c>
      <c r="N361" t="n">
        <v>0</v>
      </c>
      <c r="O361" t="n">
        <v>0</v>
      </c>
      <c r="P361" t="n">
        <v>0</v>
      </c>
      <c r="Q361" t="n">
        <v>0</v>
      </c>
      <c r="R361" s="2" t="inlineStr"/>
    </row>
    <row r="362" ht="15" customHeight="1">
      <c r="A362" t="inlineStr">
        <is>
          <t>A 11466-2025</t>
        </is>
      </c>
      <c r="B362" s="1" t="n">
        <v>45726</v>
      </c>
      <c r="C362" s="1" t="n">
        <v>46171</v>
      </c>
      <c r="D362" t="inlineStr">
        <is>
          <t>SKÅNE LÄN</t>
        </is>
      </c>
      <c r="E362" t="inlineStr">
        <is>
          <t>HÄSSLEHOLM</t>
        </is>
      </c>
      <c r="G362" t="n">
        <v>3.2</v>
      </c>
      <c r="H362" t="n">
        <v>0</v>
      </c>
      <c r="I362" t="n">
        <v>0</v>
      </c>
      <c r="J362" t="n">
        <v>0</v>
      </c>
      <c r="K362" t="n">
        <v>0</v>
      </c>
      <c r="L362" t="n">
        <v>0</v>
      </c>
      <c r="M362" t="n">
        <v>0</v>
      </c>
      <c r="N362" t="n">
        <v>0</v>
      </c>
      <c r="O362" t="n">
        <v>0</v>
      </c>
      <c r="P362" t="n">
        <v>0</v>
      </c>
      <c r="Q362" t="n">
        <v>0</v>
      </c>
      <c r="R362" s="2" t="inlineStr"/>
    </row>
    <row r="363" ht="15" customHeight="1">
      <c r="A363" t="inlineStr">
        <is>
          <t>A 26232-2025</t>
        </is>
      </c>
      <c r="B363" s="1" t="n">
        <v>45805.56642361111</v>
      </c>
      <c r="C363" s="1" t="n">
        <v>46171</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41401-2025</t>
        </is>
      </c>
      <c r="B364" s="1" t="n">
        <v>45901</v>
      </c>
      <c r="C364" s="1" t="n">
        <v>46171</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14255-2024</t>
        </is>
      </c>
      <c r="B365" s="1" t="n">
        <v>45393</v>
      </c>
      <c r="C365" s="1" t="n">
        <v>46171</v>
      </c>
      <c r="D365" t="inlineStr">
        <is>
          <t>SKÅNE LÄN</t>
        </is>
      </c>
      <c r="E365" t="inlineStr">
        <is>
          <t>HÄSSLEHOLM</t>
        </is>
      </c>
      <c r="G365" t="n">
        <v>11.9</v>
      </c>
      <c r="H365" t="n">
        <v>0</v>
      </c>
      <c r="I365" t="n">
        <v>0</v>
      </c>
      <c r="J365" t="n">
        <v>0</v>
      </c>
      <c r="K365" t="n">
        <v>0</v>
      </c>
      <c r="L365" t="n">
        <v>0</v>
      </c>
      <c r="M365" t="n">
        <v>0</v>
      </c>
      <c r="N365" t="n">
        <v>0</v>
      </c>
      <c r="O365" t="n">
        <v>0</v>
      </c>
      <c r="P365" t="n">
        <v>0</v>
      </c>
      <c r="Q365" t="n">
        <v>0</v>
      </c>
      <c r="R365" s="2" t="inlineStr"/>
    </row>
    <row r="366" ht="15" customHeight="1">
      <c r="A366" t="inlineStr">
        <is>
          <t>A 20058-2023</t>
        </is>
      </c>
      <c r="B366" s="1" t="n">
        <v>45054.68476851852</v>
      </c>
      <c r="C366" s="1" t="n">
        <v>46171</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10897-2023</t>
        </is>
      </c>
      <c r="B367" s="1" t="n">
        <v>44985</v>
      </c>
      <c r="C367" s="1" t="n">
        <v>46171</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16108-2025</t>
        </is>
      </c>
      <c r="B368" s="1" t="n">
        <v>45750.34667824074</v>
      </c>
      <c r="C368" s="1" t="n">
        <v>46171</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26244-2025</t>
        </is>
      </c>
      <c r="B369" s="1" t="n">
        <v>45805.57364583333</v>
      </c>
      <c r="C369" s="1" t="n">
        <v>46171</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56986-2024</t>
        </is>
      </c>
      <c r="B370" s="1" t="n">
        <v>45626</v>
      </c>
      <c r="C370" s="1" t="n">
        <v>46171</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49111-2023</t>
        </is>
      </c>
      <c r="B371" s="1" t="n">
        <v>45210.44464120371</v>
      </c>
      <c r="C371" s="1" t="n">
        <v>46171</v>
      </c>
      <c r="D371" t="inlineStr">
        <is>
          <t>SKÅNE LÄN</t>
        </is>
      </c>
      <c r="E371" t="inlineStr">
        <is>
          <t>HÄSSLEHOLM</t>
        </is>
      </c>
      <c r="G371" t="n">
        <v>0.2</v>
      </c>
      <c r="H371" t="n">
        <v>0</v>
      </c>
      <c r="I371" t="n">
        <v>0</v>
      </c>
      <c r="J371" t="n">
        <v>0</v>
      </c>
      <c r="K371" t="n">
        <v>0</v>
      </c>
      <c r="L371" t="n">
        <v>0</v>
      </c>
      <c r="M371" t="n">
        <v>0</v>
      </c>
      <c r="N371" t="n">
        <v>0</v>
      </c>
      <c r="O371" t="n">
        <v>0</v>
      </c>
      <c r="P371" t="n">
        <v>0</v>
      </c>
      <c r="Q371" t="n">
        <v>0</v>
      </c>
      <c r="R371" s="2" t="inlineStr"/>
    </row>
    <row r="372" ht="15" customHeight="1">
      <c r="A372" t="inlineStr">
        <is>
          <t>A 38358-2024</t>
        </is>
      </c>
      <c r="B372" s="1" t="n">
        <v>45545.79068287037</v>
      </c>
      <c r="C372" s="1" t="n">
        <v>46171</v>
      </c>
      <c r="D372" t="inlineStr">
        <is>
          <t>SKÅNE LÄN</t>
        </is>
      </c>
      <c r="E372" t="inlineStr">
        <is>
          <t>HÄSSLEHOLM</t>
        </is>
      </c>
      <c r="G372" t="n">
        <v>9</v>
      </c>
      <c r="H372" t="n">
        <v>0</v>
      </c>
      <c r="I372" t="n">
        <v>0</v>
      </c>
      <c r="J372" t="n">
        <v>0</v>
      </c>
      <c r="K372" t="n">
        <v>0</v>
      </c>
      <c r="L372" t="n">
        <v>0</v>
      </c>
      <c r="M372" t="n">
        <v>0</v>
      </c>
      <c r="N372" t="n">
        <v>0</v>
      </c>
      <c r="O372" t="n">
        <v>0</v>
      </c>
      <c r="P372" t="n">
        <v>0</v>
      </c>
      <c r="Q372" t="n">
        <v>0</v>
      </c>
      <c r="R372" s="2" t="inlineStr"/>
    </row>
    <row r="373" ht="15" customHeight="1">
      <c r="A373" t="inlineStr">
        <is>
          <t>A 34299-2024</t>
        </is>
      </c>
      <c r="B373" s="1" t="n">
        <v>45524</v>
      </c>
      <c r="C373" s="1" t="n">
        <v>46171</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60846-2022</t>
        </is>
      </c>
      <c r="B374" s="1" t="n">
        <v>44914</v>
      </c>
      <c r="C374" s="1" t="n">
        <v>46171</v>
      </c>
      <c r="D374" t="inlineStr">
        <is>
          <t>SKÅNE LÄN</t>
        </is>
      </c>
      <c r="E374" t="inlineStr">
        <is>
          <t>HÄSSLEHOLM</t>
        </is>
      </c>
      <c r="G374" t="n">
        <v>2.1</v>
      </c>
      <c r="H374" t="n">
        <v>0</v>
      </c>
      <c r="I374" t="n">
        <v>0</v>
      </c>
      <c r="J374" t="n">
        <v>0</v>
      </c>
      <c r="K374" t="n">
        <v>0</v>
      </c>
      <c r="L374" t="n">
        <v>0</v>
      </c>
      <c r="M374" t="n">
        <v>0</v>
      </c>
      <c r="N374" t="n">
        <v>0</v>
      </c>
      <c r="O374" t="n">
        <v>0</v>
      </c>
      <c r="P374" t="n">
        <v>0</v>
      </c>
      <c r="Q374" t="n">
        <v>0</v>
      </c>
      <c r="R374" s="2" t="inlineStr"/>
    </row>
    <row r="375" ht="15" customHeight="1">
      <c r="A375" t="inlineStr">
        <is>
          <t>A 54408-2024</t>
        </is>
      </c>
      <c r="B375" s="1" t="n">
        <v>45617.47263888889</v>
      </c>
      <c r="C375" s="1" t="n">
        <v>46171</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14008-2023</t>
        </is>
      </c>
      <c r="B376" s="1" t="n">
        <v>45008.56725694444</v>
      </c>
      <c r="C376" s="1" t="n">
        <v>46171</v>
      </c>
      <c r="D376" t="inlineStr">
        <is>
          <t>SKÅNE LÄN</t>
        </is>
      </c>
      <c r="E376" t="inlineStr">
        <is>
          <t>HÄSSLEHOLM</t>
        </is>
      </c>
      <c r="G376" t="n">
        <v>3.3</v>
      </c>
      <c r="H376" t="n">
        <v>0</v>
      </c>
      <c r="I376" t="n">
        <v>0</v>
      </c>
      <c r="J376" t="n">
        <v>0</v>
      </c>
      <c r="K376" t="n">
        <v>0</v>
      </c>
      <c r="L376" t="n">
        <v>0</v>
      </c>
      <c r="M376" t="n">
        <v>0</v>
      </c>
      <c r="N376" t="n">
        <v>0</v>
      </c>
      <c r="O376" t="n">
        <v>0</v>
      </c>
      <c r="P376" t="n">
        <v>0</v>
      </c>
      <c r="Q376" t="n">
        <v>0</v>
      </c>
      <c r="R376" s="2" t="inlineStr"/>
    </row>
    <row r="377" ht="15" customHeight="1">
      <c r="A377" t="inlineStr">
        <is>
          <t>A 20493-2024</t>
        </is>
      </c>
      <c r="B377" s="1" t="n">
        <v>45435</v>
      </c>
      <c r="C377" s="1" t="n">
        <v>46171</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13851-2025</t>
        </is>
      </c>
      <c r="B378" s="1" t="n">
        <v>45737.56777777777</v>
      </c>
      <c r="C378" s="1" t="n">
        <v>46171</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16368-2025</t>
        </is>
      </c>
      <c r="B379" s="1" t="n">
        <v>45751</v>
      </c>
      <c r="C379" s="1" t="n">
        <v>46171</v>
      </c>
      <c r="D379" t="inlineStr">
        <is>
          <t>SKÅNE LÄN</t>
        </is>
      </c>
      <c r="E379" t="inlineStr">
        <is>
          <t>HÄSSLEHOLM</t>
        </is>
      </c>
      <c r="G379" t="n">
        <v>5</v>
      </c>
      <c r="H379" t="n">
        <v>0</v>
      </c>
      <c r="I379" t="n">
        <v>0</v>
      </c>
      <c r="J379" t="n">
        <v>0</v>
      </c>
      <c r="K379" t="n">
        <v>0</v>
      </c>
      <c r="L379" t="n">
        <v>0</v>
      </c>
      <c r="M379" t="n">
        <v>0</v>
      </c>
      <c r="N379" t="n">
        <v>0</v>
      </c>
      <c r="O379" t="n">
        <v>0</v>
      </c>
      <c r="P379" t="n">
        <v>0</v>
      </c>
      <c r="Q379" t="n">
        <v>0</v>
      </c>
      <c r="R379" s="2" t="inlineStr"/>
    </row>
    <row r="380" ht="15" customHeight="1">
      <c r="A380" t="inlineStr">
        <is>
          <t>A 41874-2024</t>
        </is>
      </c>
      <c r="B380" s="1" t="n">
        <v>45561</v>
      </c>
      <c r="C380" s="1" t="n">
        <v>46171</v>
      </c>
      <c r="D380" t="inlineStr">
        <is>
          <t>SKÅNE LÄN</t>
        </is>
      </c>
      <c r="E380" t="inlineStr">
        <is>
          <t>HÄSSLEHOLM</t>
        </is>
      </c>
      <c r="G380" t="n">
        <v>1</v>
      </c>
      <c r="H380" t="n">
        <v>0</v>
      </c>
      <c r="I380" t="n">
        <v>0</v>
      </c>
      <c r="J380" t="n">
        <v>0</v>
      </c>
      <c r="K380" t="n">
        <v>0</v>
      </c>
      <c r="L380" t="n">
        <v>0</v>
      </c>
      <c r="M380" t="n">
        <v>0</v>
      </c>
      <c r="N380" t="n">
        <v>0</v>
      </c>
      <c r="O380" t="n">
        <v>0</v>
      </c>
      <c r="P380" t="n">
        <v>0</v>
      </c>
      <c r="Q380" t="n">
        <v>0</v>
      </c>
      <c r="R380" s="2" t="inlineStr"/>
    </row>
    <row r="381" ht="15" customHeight="1">
      <c r="A381" t="inlineStr">
        <is>
          <t>A 42520-2025</t>
        </is>
      </c>
      <c r="B381" s="1" t="n">
        <v>45905.54846064815</v>
      </c>
      <c r="C381" s="1" t="n">
        <v>46171</v>
      </c>
      <c r="D381" t="inlineStr">
        <is>
          <t>SKÅNE LÄN</t>
        </is>
      </c>
      <c r="E381" t="inlineStr">
        <is>
          <t>HÄSSLEHOLM</t>
        </is>
      </c>
      <c r="G381" t="n">
        <v>2.5</v>
      </c>
      <c r="H381" t="n">
        <v>0</v>
      </c>
      <c r="I381" t="n">
        <v>0</v>
      </c>
      <c r="J381" t="n">
        <v>0</v>
      </c>
      <c r="K381" t="n">
        <v>0</v>
      </c>
      <c r="L381" t="n">
        <v>0</v>
      </c>
      <c r="M381" t="n">
        <v>0</v>
      </c>
      <c r="N381" t="n">
        <v>0</v>
      </c>
      <c r="O381" t="n">
        <v>0</v>
      </c>
      <c r="P381" t="n">
        <v>0</v>
      </c>
      <c r="Q381" t="n">
        <v>0</v>
      </c>
      <c r="R381" s="2" t="inlineStr"/>
    </row>
    <row r="382" ht="15" customHeight="1">
      <c r="A382" t="inlineStr">
        <is>
          <t>A 706-2026</t>
        </is>
      </c>
      <c r="B382" s="1" t="n">
        <v>46029.61739583333</v>
      </c>
      <c r="C382" s="1" t="n">
        <v>46171</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11798-2022</t>
        </is>
      </c>
      <c r="B383" s="1" t="n">
        <v>44634.64900462963</v>
      </c>
      <c r="C383" s="1" t="n">
        <v>46171</v>
      </c>
      <c r="D383" t="inlineStr">
        <is>
          <t>SKÅNE LÄN</t>
        </is>
      </c>
      <c r="E383" t="inlineStr">
        <is>
          <t>HÄSSLEHOLM</t>
        </is>
      </c>
      <c r="G383" t="n">
        <v>2.8</v>
      </c>
      <c r="H383" t="n">
        <v>0</v>
      </c>
      <c r="I383" t="n">
        <v>0</v>
      </c>
      <c r="J383" t="n">
        <v>0</v>
      </c>
      <c r="K383" t="n">
        <v>0</v>
      </c>
      <c r="L383" t="n">
        <v>0</v>
      </c>
      <c r="M383" t="n">
        <v>0</v>
      </c>
      <c r="N383" t="n">
        <v>0</v>
      </c>
      <c r="O383" t="n">
        <v>0</v>
      </c>
      <c r="P383" t="n">
        <v>0</v>
      </c>
      <c r="Q383" t="n">
        <v>0</v>
      </c>
      <c r="R383" s="2" t="inlineStr"/>
    </row>
    <row r="384" ht="15" customHeight="1">
      <c r="A384" t="inlineStr">
        <is>
          <t>A 43333-2025</t>
        </is>
      </c>
      <c r="B384" s="1" t="n">
        <v>45910</v>
      </c>
      <c r="C384" s="1" t="n">
        <v>46171</v>
      </c>
      <c r="D384" t="inlineStr">
        <is>
          <t>SKÅNE LÄN</t>
        </is>
      </c>
      <c r="E384" t="inlineStr">
        <is>
          <t>HÄSSLEHOLM</t>
        </is>
      </c>
      <c r="G384" t="n">
        <v>10.1</v>
      </c>
      <c r="H384" t="n">
        <v>0</v>
      </c>
      <c r="I384" t="n">
        <v>0</v>
      </c>
      <c r="J384" t="n">
        <v>0</v>
      </c>
      <c r="K384" t="n">
        <v>0</v>
      </c>
      <c r="L384" t="n">
        <v>0</v>
      </c>
      <c r="M384" t="n">
        <v>0</v>
      </c>
      <c r="N384" t="n">
        <v>0</v>
      </c>
      <c r="O384" t="n">
        <v>0</v>
      </c>
      <c r="P384" t="n">
        <v>0</v>
      </c>
      <c r="Q384" t="n">
        <v>0</v>
      </c>
      <c r="R384" s="2" t="inlineStr"/>
    </row>
    <row r="385" ht="15" customHeight="1">
      <c r="A385" t="inlineStr">
        <is>
          <t>A 43332-2025</t>
        </is>
      </c>
      <c r="B385" s="1" t="n">
        <v>45910.70217592592</v>
      </c>
      <c r="C385" s="1" t="n">
        <v>46171</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27393-2025</t>
        </is>
      </c>
      <c r="B386" s="1" t="n">
        <v>45812.68295138889</v>
      </c>
      <c r="C386" s="1" t="n">
        <v>46171</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13890-2024</t>
        </is>
      </c>
      <c r="B387" s="1" t="n">
        <v>45391</v>
      </c>
      <c r="C387" s="1" t="n">
        <v>46171</v>
      </c>
      <c r="D387" t="inlineStr">
        <is>
          <t>SKÅNE LÄN</t>
        </is>
      </c>
      <c r="E387" t="inlineStr">
        <is>
          <t>HÄSSLEHOLM</t>
        </is>
      </c>
      <c r="F387" t="inlineStr">
        <is>
          <t>Kommuner</t>
        </is>
      </c>
      <c r="G387" t="n">
        <v>1.4</v>
      </c>
      <c r="H387" t="n">
        <v>0</v>
      </c>
      <c r="I387" t="n">
        <v>0</v>
      </c>
      <c r="J387" t="n">
        <v>0</v>
      </c>
      <c r="K387" t="n">
        <v>0</v>
      </c>
      <c r="L387" t="n">
        <v>0</v>
      </c>
      <c r="M387" t="n">
        <v>0</v>
      </c>
      <c r="N387" t="n">
        <v>0</v>
      </c>
      <c r="O387" t="n">
        <v>0</v>
      </c>
      <c r="P387" t="n">
        <v>0</v>
      </c>
      <c r="Q387" t="n">
        <v>0</v>
      </c>
      <c r="R387" s="2" t="inlineStr"/>
    </row>
    <row r="388" ht="15" customHeight="1">
      <c r="A388" t="inlineStr">
        <is>
          <t>A 39223-2024</t>
        </is>
      </c>
      <c r="B388" s="1" t="n">
        <v>45550</v>
      </c>
      <c r="C388" s="1" t="n">
        <v>46171</v>
      </c>
      <c r="D388" t="inlineStr">
        <is>
          <t>SKÅNE LÄN</t>
        </is>
      </c>
      <c r="E388" t="inlineStr">
        <is>
          <t>HÄSSLEHOLM</t>
        </is>
      </c>
      <c r="G388" t="n">
        <v>3.1</v>
      </c>
      <c r="H388" t="n">
        <v>0</v>
      </c>
      <c r="I388" t="n">
        <v>0</v>
      </c>
      <c r="J388" t="n">
        <v>0</v>
      </c>
      <c r="K388" t="n">
        <v>0</v>
      </c>
      <c r="L388" t="n">
        <v>0</v>
      </c>
      <c r="M388" t="n">
        <v>0</v>
      </c>
      <c r="N388" t="n">
        <v>0</v>
      </c>
      <c r="O388" t="n">
        <v>0</v>
      </c>
      <c r="P388" t="n">
        <v>0</v>
      </c>
      <c r="Q388" t="n">
        <v>0</v>
      </c>
      <c r="R388" s="2" t="inlineStr"/>
    </row>
    <row r="389" ht="15" customHeight="1">
      <c r="A389" t="inlineStr">
        <is>
          <t>A 931-2026</t>
        </is>
      </c>
      <c r="B389" s="1" t="n">
        <v>46030.51495370371</v>
      </c>
      <c r="C389" s="1" t="n">
        <v>46171</v>
      </c>
      <c r="D389" t="inlineStr">
        <is>
          <t>SKÅNE LÄN</t>
        </is>
      </c>
      <c r="E389" t="inlineStr">
        <is>
          <t>HÄSSLEHOLM</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13932-2023</t>
        </is>
      </c>
      <c r="B390" s="1" t="n">
        <v>45008.43935185186</v>
      </c>
      <c r="C390" s="1" t="n">
        <v>46171</v>
      </c>
      <c r="D390" t="inlineStr">
        <is>
          <t>SKÅNE LÄN</t>
        </is>
      </c>
      <c r="E390" t="inlineStr">
        <is>
          <t>HÄSSLEHOLM</t>
        </is>
      </c>
      <c r="G390" t="n">
        <v>3.3</v>
      </c>
      <c r="H390" t="n">
        <v>0</v>
      </c>
      <c r="I390" t="n">
        <v>0</v>
      </c>
      <c r="J390" t="n">
        <v>0</v>
      </c>
      <c r="K390" t="n">
        <v>0</v>
      </c>
      <c r="L390" t="n">
        <v>0</v>
      </c>
      <c r="M390" t="n">
        <v>0</v>
      </c>
      <c r="N390" t="n">
        <v>0</v>
      </c>
      <c r="O390" t="n">
        <v>0</v>
      </c>
      <c r="P390" t="n">
        <v>0</v>
      </c>
      <c r="Q390" t="n">
        <v>0</v>
      </c>
      <c r="R390" s="2" t="inlineStr"/>
    </row>
    <row r="391" ht="15" customHeight="1">
      <c r="A391" t="inlineStr">
        <is>
          <t>A 17138-2025</t>
        </is>
      </c>
      <c r="B391" s="1" t="n">
        <v>45755.80378472222</v>
      </c>
      <c r="C391" s="1" t="n">
        <v>46171</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15512-2025</t>
        </is>
      </c>
      <c r="B392" s="1" t="n">
        <v>45747</v>
      </c>
      <c r="C392" s="1" t="n">
        <v>46171</v>
      </c>
      <c r="D392" t="inlineStr">
        <is>
          <t>SKÅNE LÄN</t>
        </is>
      </c>
      <c r="E392" t="inlineStr">
        <is>
          <t>HÄSSLEHOLM</t>
        </is>
      </c>
      <c r="G392" t="n">
        <v>3.5</v>
      </c>
      <c r="H392" t="n">
        <v>0</v>
      </c>
      <c r="I392" t="n">
        <v>0</v>
      </c>
      <c r="J392" t="n">
        <v>0</v>
      </c>
      <c r="K392" t="n">
        <v>0</v>
      </c>
      <c r="L392" t="n">
        <v>0</v>
      </c>
      <c r="M392" t="n">
        <v>0</v>
      </c>
      <c r="N392" t="n">
        <v>0</v>
      </c>
      <c r="O392" t="n">
        <v>0</v>
      </c>
      <c r="P392" t="n">
        <v>0</v>
      </c>
      <c r="Q392" t="n">
        <v>0</v>
      </c>
      <c r="R392" s="2" t="inlineStr"/>
    </row>
    <row r="393" ht="15" customHeight="1">
      <c r="A393" t="inlineStr">
        <is>
          <t>A 43516-2025</t>
        </is>
      </c>
      <c r="B393" s="1" t="n">
        <v>45911</v>
      </c>
      <c r="C393" s="1" t="n">
        <v>46171</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43738-2025</t>
        </is>
      </c>
      <c r="B394" s="1" t="n">
        <v>45912.45037037037</v>
      </c>
      <c r="C394" s="1" t="n">
        <v>46171</v>
      </c>
      <c r="D394" t="inlineStr">
        <is>
          <t>SKÅNE LÄN</t>
        </is>
      </c>
      <c r="E394" t="inlineStr">
        <is>
          <t>HÄSSLEHOLM</t>
        </is>
      </c>
      <c r="G394" t="n">
        <v>1.3</v>
      </c>
      <c r="H394" t="n">
        <v>0</v>
      </c>
      <c r="I394" t="n">
        <v>0</v>
      </c>
      <c r="J394" t="n">
        <v>0</v>
      </c>
      <c r="K394" t="n">
        <v>0</v>
      </c>
      <c r="L394" t="n">
        <v>0</v>
      </c>
      <c r="M394" t="n">
        <v>0</v>
      </c>
      <c r="N394" t="n">
        <v>0</v>
      </c>
      <c r="O394" t="n">
        <v>0</v>
      </c>
      <c r="P394" t="n">
        <v>0</v>
      </c>
      <c r="Q394" t="n">
        <v>0</v>
      </c>
      <c r="R394" s="2" t="inlineStr"/>
    </row>
    <row r="395" ht="15" customHeight="1">
      <c r="A395" t="inlineStr">
        <is>
          <t>A 43741-2025</t>
        </is>
      </c>
      <c r="B395" s="1" t="n">
        <v>45912.45541666666</v>
      </c>
      <c r="C395" s="1" t="n">
        <v>46171</v>
      </c>
      <c r="D395" t="inlineStr">
        <is>
          <t>SKÅNE LÄN</t>
        </is>
      </c>
      <c r="E395" t="inlineStr">
        <is>
          <t>HÄSSLEHOLM</t>
        </is>
      </c>
      <c r="G395" t="n">
        <v>4.3</v>
      </c>
      <c r="H395" t="n">
        <v>0</v>
      </c>
      <c r="I395" t="n">
        <v>0</v>
      </c>
      <c r="J395" t="n">
        <v>0</v>
      </c>
      <c r="K395" t="n">
        <v>0</v>
      </c>
      <c r="L395" t="n">
        <v>0</v>
      </c>
      <c r="M395" t="n">
        <v>0</v>
      </c>
      <c r="N395" t="n">
        <v>0</v>
      </c>
      <c r="O395" t="n">
        <v>0</v>
      </c>
      <c r="P395" t="n">
        <v>0</v>
      </c>
      <c r="Q395" t="n">
        <v>0</v>
      </c>
      <c r="R395" s="2" t="inlineStr"/>
    </row>
    <row r="396" ht="15" customHeight="1">
      <c r="A396" t="inlineStr">
        <is>
          <t>A 28240-2025</t>
        </is>
      </c>
      <c r="B396" s="1" t="n">
        <v>45817</v>
      </c>
      <c r="C396" s="1" t="n">
        <v>46171</v>
      </c>
      <c r="D396" t="inlineStr">
        <is>
          <t>SKÅNE LÄN</t>
        </is>
      </c>
      <c r="E396" t="inlineStr">
        <is>
          <t>HÄSSLEHOLM</t>
        </is>
      </c>
      <c r="G396" t="n">
        <v>7.7</v>
      </c>
      <c r="H396" t="n">
        <v>0</v>
      </c>
      <c r="I396" t="n">
        <v>0</v>
      </c>
      <c r="J396" t="n">
        <v>0</v>
      </c>
      <c r="K396" t="n">
        <v>0</v>
      </c>
      <c r="L396" t="n">
        <v>0</v>
      </c>
      <c r="M396" t="n">
        <v>0</v>
      </c>
      <c r="N396" t="n">
        <v>0</v>
      </c>
      <c r="O396" t="n">
        <v>0</v>
      </c>
      <c r="P396" t="n">
        <v>0</v>
      </c>
      <c r="Q396" t="n">
        <v>0</v>
      </c>
      <c r="R396" s="2" t="inlineStr"/>
    </row>
    <row r="397" ht="15" customHeight="1">
      <c r="A397" t="inlineStr">
        <is>
          <t>A 1640-2026</t>
        </is>
      </c>
      <c r="B397" s="1" t="n">
        <v>46034.4961574074</v>
      </c>
      <c r="C397" s="1" t="n">
        <v>46171</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14700-2023</t>
        </is>
      </c>
      <c r="B398" s="1" t="n">
        <v>45014.38376157408</v>
      </c>
      <c r="C398" s="1" t="n">
        <v>46171</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3531-2023</t>
        </is>
      </c>
      <c r="B399" s="1" t="n">
        <v>44950</v>
      </c>
      <c r="C399" s="1" t="n">
        <v>46171</v>
      </c>
      <c r="D399" t="inlineStr">
        <is>
          <t>SKÅNE LÄN</t>
        </is>
      </c>
      <c r="E399" t="inlineStr">
        <is>
          <t>HÄSSLEHOLM</t>
        </is>
      </c>
      <c r="G399" t="n">
        <v>10.1</v>
      </c>
      <c r="H399" t="n">
        <v>0</v>
      </c>
      <c r="I399" t="n">
        <v>0</v>
      </c>
      <c r="J399" t="n">
        <v>0</v>
      </c>
      <c r="K399" t="n">
        <v>0</v>
      </c>
      <c r="L399" t="n">
        <v>0</v>
      </c>
      <c r="M399" t="n">
        <v>0</v>
      </c>
      <c r="N399" t="n">
        <v>0</v>
      </c>
      <c r="O399" t="n">
        <v>0</v>
      </c>
      <c r="P399" t="n">
        <v>0</v>
      </c>
      <c r="Q399" t="n">
        <v>0</v>
      </c>
      <c r="R399" s="2" t="inlineStr"/>
    </row>
    <row r="400" ht="15" customHeight="1">
      <c r="A400" t="inlineStr">
        <is>
          <t>A 4579-2025</t>
        </is>
      </c>
      <c r="B400" s="1" t="n">
        <v>45687.5009375</v>
      </c>
      <c r="C400" s="1" t="n">
        <v>46171</v>
      </c>
      <c r="D400" t="inlineStr">
        <is>
          <t>SKÅNE LÄN</t>
        </is>
      </c>
      <c r="E400" t="inlineStr">
        <is>
          <t>HÄSSLEHOLM</t>
        </is>
      </c>
      <c r="G400" t="n">
        <v>2.8</v>
      </c>
      <c r="H400" t="n">
        <v>0</v>
      </c>
      <c r="I400" t="n">
        <v>0</v>
      </c>
      <c r="J400" t="n">
        <v>0</v>
      </c>
      <c r="K400" t="n">
        <v>0</v>
      </c>
      <c r="L400" t="n">
        <v>0</v>
      </c>
      <c r="M400" t="n">
        <v>0</v>
      </c>
      <c r="N400" t="n">
        <v>0</v>
      </c>
      <c r="O400" t="n">
        <v>0</v>
      </c>
      <c r="P400" t="n">
        <v>0</v>
      </c>
      <c r="Q400" t="n">
        <v>0</v>
      </c>
      <c r="R400" s="2" t="inlineStr"/>
    </row>
    <row r="401" ht="15" customHeight="1">
      <c r="A401" t="inlineStr">
        <is>
          <t>A 43869-2025</t>
        </is>
      </c>
      <c r="B401" s="1" t="n">
        <v>45912.66452546296</v>
      </c>
      <c r="C401" s="1" t="n">
        <v>46171</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28095-2025</t>
        </is>
      </c>
      <c r="B402" s="1" t="n">
        <v>45817</v>
      </c>
      <c r="C402" s="1" t="n">
        <v>46171</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18623-2023</t>
        </is>
      </c>
      <c r="B403" s="1" t="n">
        <v>45043</v>
      </c>
      <c r="C403" s="1" t="n">
        <v>46171</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10115-2024</t>
        </is>
      </c>
      <c r="B404" s="1" t="n">
        <v>45364.55339120371</v>
      </c>
      <c r="C404" s="1" t="n">
        <v>46171</v>
      </c>
      <c r="D404" t="inlineStr">
        <is>
          <t>SKÅNE LÄN</t>
        </is>
      </c>
      <c r="E404" t="inlineStr">
        <is>
          <t>HÄSSLEHOLM</t>
        </is>
      </c>
      <c r="G404" t="n">
        <v>7</v>
      </c>
      <c r="H404" t="n">
        <v>0</v>
      </c>
      <c r="I404" t="n">
        <v>0</v>
      </c>
      <c r="J404" t="n">
        <v>0</v>
      </c>
      <c r="K404" t="n">
        <v>0</v>
      </c>
      <c r="L404" t="n">
        <v>0</v>
      </c>
      <c r="M404" t="n">
        <v>0</v>
      </c>
      <c r="N404" t="n">
        <v>0</v>
      </c>
      <c r="O404" t="n">
        <v>0</v>
      </c>
      <c r="P404" t="n">
        <v>0</v>
      </c>
      <c r="Q404" t="n">
        <v>0</v>
      </c>
      <c r="R404" s="2" t="inlineStr"/>
    </row>
    <row r="405" ht="15" customHeight="1">
      <c r="A405" t="inlineStr">
        <is>
          <t>A 3663-2024</t>
        </is>
      </c>
      <c r="B405" s="1" t="n">
        <v>45321.34775462963</v>
      </c>
      <c r="C405" s="1" t="n">
        <v>46171</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2306-2026</t>
        </is>
      </c>
      <c r="B406" s="1" t="n">
        <v>46034</v>
      </c>
      <c r="C406" s="1" t="n">
        <v>46171</v>
      </c>
      <c r="D406" t="inlineStr">
        <is>
          <t>SKÅNE LÄN</t>
        </is>
      </c>
      <c r="E406" t="inlineStr">
        <is>
          <t>HÄSSLEHOLM</t>
        </is>
      </c>
      <c r="G406" t="n">
        <v>3.4</v>
      </c>
      <c r="H406" t="n">
        <v>0</v>
      </c>
      <c r="I406" t="n">
        <v>0</v>
      </c>
      <c r="J406" t="n">
        <v>0</v>
      </c>
      <c r="K406" t="n">
        <v>0</v>
      </c>
      <c r="L406" t="n">
        <v>0</v>
      </c>
      <c r="M406" t="n">
        <v>0</v>
      </c>
      <c r="N406" t="n">
        <v>0</v>
      </c>
      <c r="O406" t="n">
        <v>0</v>
      </c>
      <c r="P406" t="n">
        <v>0</v>
      </c>
      <c r="Q406" t="n">
        <v>0</v>
      </c>
      <c r="R406" s="2" t="inlineStr"/>
    </row>
    <row r="407" ht="15" customHeight="1">
      <c r="A407" t="inlineStr">
        <is>
          <t>A 67801-2021</t>
        </is>
      </c>
      <c r="B407" s="1" t="n">
        <v>44525</v>
      </c>
      <c r="C407" s="1" t="n">
        <v>46171</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1645-2026</t>
        </is>
      </c>
      <c r="B408" s="1" t="n">
        <v>46034.5069212963</v>
      </c>
      <c r="C408" s="1" t="n">
        <v>46171</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1656-2026</t>
        </is>
      </c>
      <c r="B409" s="1" t="n">
        <v>46034.54035879629</v>
      </c>
      <c r="C409" s="1" t="n">
        <v>46171</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1659-2026</t>
        </is>
      </c>
      <c r="B410" s="1" t="n">
        <v>46034.55335648148</v>
      </c>
      <c r="C410" s="1" t="n">
        <v>46171</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45398-2024</t>
        </is>
      </c>
      <c r="B411" s="1" t="n">
        <v>45576.56260416667</v>
      </c>
      <c r="C411" s="1" t="n">
        <v>46171</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4809-2025</t>
        </is>
      </c>
      <c r="B412" s="1" t="n">
        <v>45688.60148148148</v>
      </c>
      <c r="C412" s="1" t="n">
        <v>46171</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2618-2026</t>
        </is>
      </c>
      <c r="B413" s="1" t="n">
        <v>46035</v>
      </c>
      <c r="C413" s="1" t="n">
        <v>46171</v>
      </c>
      <c r="D413" t="inlineStr">
        <is>
          <t>SKÅNE LÄN</t>
        </is>
      </c>
      <c r="E413" t="inlineStr">
        <is>
          <t>HÄSSLEHOLM</t>
        </is>
      </c>
      <c r="F413" t="inlineStr">
        <is>
          <t>Kyrkan</t>
        </is>
      </c>
      <c r="G413" t="n">
        <v>4.8</v>
      </c>
      <c r="H413" t="n">
        <v>0</v>
      </c>
      <c r="I413" t="n">
        <v>0</v>
      </c>
      <c r="J413" t="n">
        <v>0</v>
      </c>
      <c r="K413" t="n">
        <v>0</v>
      </c>
      <c r="L413" t="n">
        <v>0</v>
      </c>
      <c r="M413" t="n">
        <v>0</v>
      </c>
      <c r="N413" t="n">
        <v>0</v>
      </c>
      <c r="O413" t="n">
        <v>0</v>
      </c>
      <c r="P413" t="n">
        <v>0</v>
      </c>
      <c r="Q413" t="n">
        <v>0</v>
      </c>
      <c r="R413" s="2" t="inlineStr"/>
    </row>
    <row r="414" ht="15" customHeight="1">
      <c r="A414" t="inlineStr">
        <is>
          <t>A 59030-2024</t>
        </is>
      </c>
      <c r="B414" s="1" t="n">
        <v>45636.68916666666</v>
      </c>
      <c r="C414" s="1" t="n">
        <v>46171</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44330-2025</t>
        </is>
      </c>
      <c r="B415" s="1" t="n">
        <v>45916.42120370371</v>
      </c>
      <c r="C415" s="1" t="n">
        <v>46171</v>
      </c>
      <c r="D415" t="inlineStr">
        <is>
          <t>SKÅNE LÄN</t>
        </is>
      </c>
      <c r="E415" t="inlineStr">
        <is>
          <t>HÄSSLEHOLM</t>
        </is>
      </c>
      <c r="G415" t="n">
        <v>2.7</v>
      </c>
      <c r="H415" t="n">
        <v>0</v>
      </c>
      <c r="I415" t="n">
        <v>0</v>
      </c>
      <c r="J415" t="n">
        <v>0</v>
      </c>
      <c r="K415" t="n">
        <v>0</v>
      </c>
      <c r="L415" t="n">
        <v>0</v>
      </c>
      <c r="M415" t="n">
        <v>0</v>
      </c>
      <c r="N415" t="n">
        <v>0</v>
      </c>
      <c r="O415" t="n">
        <v>0</v>
      </c>
      <c r="P415" t="n">
        <v>0</v>
      </c>
      <c r="Q415" t="n">
        <v>0</v>
      </c>
      <c r="R415" s="2" t="inlineStr"/>
    </row>
    <row r="416" ht="15" customHeight="1">
      <c r="A416" t="inlineStr">
        <is>
          <t>A 27940-2025</t>
        </is>
      </c>
      <c r="B416" s="1" t="n">
        <v>45817.50439814815</v>
      </c>
      <c r="C416" s="1" t="n">
        <v>46171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44523-2025</t>
        </is>
      </c>
      <c r="B417" s="1" t="n">
        <v>45916</v>
      </c>
      <c r="C417" s="1" t="n">
        <v>46171</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27887-2025</t>
        </is>
      </c>
      <c r="B418" s="1" t="n">
        <v>45817.45994212963</v>
      </c>
      <c r="C418" s="1" t="n">
        <v>46171</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49827-2022</t>
        </is>
      </c>
      <c r="B419" s="1" t="n">
        <v>44859</v>
      </c>
      <c r="C419" s="1" t="n">
        <v>46171</v>
      </c>
      <c r="D419" t="inlineStr">
        <is>
          <t>SKÅNE LÄN</t>
        </is>
      </c>
      <c r="E419" t="inlineStr">
        <is>
          <t>HÄSSLEHOLM</t>
        </is>
      </c>
      <c r="G419" t="n">
        <v>6.1</v>
      </c>
      <c r="H419" t="n">
        <v>0</v>
      </c>
      <c r="I419" t="n">
        <v>0</v>
      </c>
      <c r="J419" t="n">
        <v>0</v>
      </c>
      <c r="K419" t="n">
        <v>0</v>
      </c>
      <c r="L419" t="n">
        <v>0</v>
      </c>
      <c r="M419" t="n">
        <v>0</v>
      </c>
      <c r="N419" t="n">
        <v>0</v>
      </c>
      <c r="O419" t="n">
        <v>0</v>
      </c>
      <c r="P419" t="n">
        <v>0</v>
      </c>
      <c r="Q419" t="n">
        <v>0</v>
      </c>
      <c r="R419" s="2" t="inlineStr"/>
    </row>
    <row r="420" ht="15" customHeight="1">
      <c r="A420" t="inlineStr">
        <is>
          <t>A 28251-2025</t>
        </is>
      </c>
      <c r="B420" s="1" t="n">
        <v>45817</v>
      </c>
      <c r="C420" s="1" t="n">
        <v>46171</v>
      </c>
      <c r="D420" t="inlineStr">
        <is>
          <t>SKÅNE LÄN</t>
        </is>
      </c>
      <c r="E420" t="inlineStr">
        <is>
          <t>HÄSSLEHOLM</t>
        </is>
      </c>
      <c r="G420" t="n">
        <v>7.2</v>
      </c>
      <c r="H420" t="n">
        <v>0</v>
      </c>
      <c r="I420" t="n">
        <v>0</v>
      </c>
      <c r="J420" t="n">
        <v>0</v>
      </c>
      <c r="K420" t="n">
        <v>0</v>
      </c>
      <c r="L420" t="n">
        <v>0</v>
      </c>
      <c r="M420" t="n">
        <v>0</v>
      </c>
      <c r="N420" t="n">
        <v>0</v>
      </c>
      <c r="O420" t="n">
        <v>0</v>
      </c>
      <c r="P420" t="n">
        <v>0</v>
      </c>
      <c r="Q420" t="n">
        <v>0</v>
      </c>
      <c r="R420" s="2" t="inlineStr"/>
    </row>
    <row r="421" ht="15" customHeight="1">
      <c r="A421" t="inlineStr">
        <is>
          <t>A 27934-2025</t>
        </is>
      </c>
      <c r="B421" s="1" t="n">
        <v>45817.49761574074</v>
      </c>
      <c r="C421" s="1" t="n">
        <v>46171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2617-2026</t>
        </is>
      </c>
      <c r="B422" s="1" t="n">
        <v>46035</v>
      </c>
      <c r="C422" s="1" t="n">
        <v>46171</v>
      </c>
      <c r="D422" t="inlineStr">
        <is>
          <t>SKÅNE LÄN</t>
        </is>
      </c>
      <c r="E422" t="inlineStr">
        <is>
          <t>HÄSSLEHOLM</t>
        </is>
      </c>
      <c r="F422" t="inlineStr">
        <is>
          <t>Kyrkan</t>
        </is>
      </c>
      <c r="G422" t="n">
        <v>5.5</v>
      </c>
      <c r="H422" t="n">
        <v>0</v>
      </c>
      <c r="I422" t="n">
        <v>0</v>
      </c>
      <c r="J422" t="n">
        <v>0</v>
      </c>
      <c r="K422" t="n">
        <v>0</v>
      </c>
      <c r="L422" t="n">
        <v>0</v>
      </c>
      <c r="M422" t="n">
        <v>0</v>
      </c>
      <c r="N422" t="n">
        <v>0</v>
      </c>
      <c r="O422" t="n">
        <v>0</v>
      </c>
      <c r="P422" t="n">
        <v>0</v>
      </c>
      <c r="Q422" t="n">
        <v>0</v>
      </c>
      <c r="R422" s="2" t="inlineStr"/>
    </row>
    <row r="423" ht="15" customHeight="1">
      <c r="A423" t="inlineStr">
        <is>
          <t>A 28122-2025</t>
        </is>
      </c>
      <c r="B423" s="1" t="n">
        <v>45817</v>
      </c>
      <c r="C423" s="1" t="n">
        <v>46171</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7481-2023</t>
        </is>
      </c>
      <c r="B424" s="1" t="n">
        <v>44971</v>
      </c>
      <c r="C424" s="1" t="n">
        <v>46171</v>
      </c>
      <c r="D424" t="inlineStr">
        <is>
          <t>SKÅNE LÄN</t>
        </is>
      </c>
      <c r="E424" t="inlineStr">
        <is>
          <t>HÄSSLEHOLM</t>
        </is>
      </c>
      <c r="G424" t="n">
        <v>1.4</v>
      </c>
      <c r="H424" t="n">
        <v>0</v>
      </c>
      <c r="I424" t="n">
        <v>0</v>
      </c>
      <c r="J424" t="n">
        <v>0</v>
      </c>
      <c r="K424" t="n">
        <v>0</v>
      </c>
      <c r="L424" t="n">
        <v>0</v>
      </c>
      <c r="M424" t="n">
        <v>0</v>
      </c>
      <c r="N424" t="n">
        <v>0</v>
      </c>
      <c r="O424" t="n">
        <v>0</v>
      </c>
      <c r="P424" t="n">
        <v>0</v>
      </c>
      <c r="Q424" t="n">
        <v>0</v>
      </c>
      <c r="R424" s="2" t="inlineStr"/>
    </row>
    <row r="425" ht="15" customHeight="1">
      <c r="A425" t="inlineStr">
        <is>
          <t>A 44515-2025</t>
        </is>
      </c>
      <c r="B425" s="1" t="n">
        <v>45916.7062037037</v>
      </c>
      <c r="C425" s="1" t="n">
        <v>46171</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35150-2023</t>
        </is>
      </c>
      <c r="B426" s="1" t="n">
        <v>45145</v>
      </c>
      <c r="C426" s="1" t="n">
        <v>46171</v>
      </c>
      <c r="D426" t="inlineStr">
        <is>
          <t>SKÅNE LÄN</t>
        </is>
      </c>
      <c r="E426" t="inlineStr">
        <is>
          <t>HÄSSLEHOLM</t>
        </is>
      </c>
      <c r="G426" t="n">
        <v>4.9</v>
      </c>
      <c r="H426" t="n">
        <v>0</v>
      </c>
      <c r="I426" t="n">
        <v>0</v>
      </c>
      <c r="J426" t="n">
        <v>0</v>
      </c>
      <c r="K426" t="n">
        <v>0</v>
      </c>
      <c r="L426" t="n">
        <v>0</v>
      </c>
      <c r="M426" t="n">
        <v>0</v>
      </c>
      <c r="N426" t="n">
        <v>0</v>
      </c>
      <c r="O426" t="n">
        <v>0</v>
      </c>
      <c r="P426" t="n">
        <v>0</v>
      </c>
      <c r="Q426" t="n">
        <v>0</v>
      </c>
      <c r="R426" s="2" t="inlineStr"/>
    </row>
    <row r="427" ht="15" customHeight="1">
      <c r="A427" t="inlineStr">
        <is>
          <t>A 12507-2022</t>
        </is>
      </c>
      <c r="B427" s="1" t="n">
        <v>44638</v>
      </c>
      <c r="C427" s="1" t="n">
        <v>46171</v>
      </c>
      <c r="D427" t="inlineStr">
        <is>
          <t>SKÅNE LÄN</t>
        </is>
      </c>
      <c r="E427" t="inlineStr">
        <is>
          <t>HÄSSLEHOLM</t>
        </is>
      </c>
      <c r="G427" t="n">
        <v>2.7</v>
      </c>
      <c r="H427" t="n">
        <v>0</v>
      </c>
      <c r="I427" t="n">
        <v>0</v>
      </c>
      <c r="J427" t="n">
        <v>0</v>
      </c>
      <c r="K427" t="n">
        <v>0</v>
      </c>
      <c r="L427" t="n">
        <v>0</v>
      </c>
      <c r="M427" t="n">
        <v>0</v>
      </c>
      <c r="N427" t="n">
        <v>0</v>
      </c>
      <c r="O427" t="n">
        <v>0</v>
      </c>
      <c r="P427" t="n">
        <v>0</v>
      </c>
      <c r="Q427" t="n">
        <v>0</v>
      </c>
      <c r="R427" s="2" t="inlineStr"/>
    </row>
    <row r="428" ht="15" customHeight="1">
      <c r="A428" t="inlineStr">
        <is>
          <t>A 44624-2025</t>
        </is>
      </c>
      <c r="B428" s="1" t="n">
        <v>45917.47152777778</v>
      </c>
      <c r="C428" s="1" t="n">
        <v>46171</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44611-2025</t>
        </is>
      </c>
      <c r="B429" s="1" t="n">
        <v>45917.45109953704</v>
      </c>
      <c r="C429" s="1" t="n">
        <v>46171</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22690-2022</t>
        </is>
      </c>
      <c r="B430" s="1" t="n">
        <v>44714.5421875</v>
      </c>
      <c r="C430" s="1" t="n">
        <v>46171</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45084-2025</t>
        </is>
      </c>
      <c r="B431" s="1" t="n">
        <v>45918</v>
      </c>
      <c r="C431" s="1" t="n">
        <v>46171</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57079-2022</t>
        </is>
      </c>
      <c r="B432" s="1" t="n">
        <v>44895</v>
      </c>
      <c r="C432" s="1" t="n">
        <v>46171</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44616-2025</t>
        </is>
      </c>
      <c r="B433" s="1" t="n">
        <v>45917.45572916666</v>
      </c>
      <c r="C433" s="1" t="n">
        <v>46171</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44614-2025</t>
        </is>
      </c>
      <c r="B434" s="1" t="n">
        <v>45917.45422453704</v>
      </c>
      <c r="C434" s="1" t="n">
        <v>46171</v>
      </c>
      <c r="D434" t="inlineStr">
        <is>
          <t>SKÅNE LÄN</t>
        </is>
      </c>
      <c r="E434" t="inlineStr">
        <is>
          <t>HÄSSLEHOLM</t>
        </is>
      </c>
      <c r="G434" t="n">
        <v>5.4</v>
      </c>
      <c r="H434" t="n">
        <v>0</v>
      </c>
      <c r="I434" t="n">
        <v>0</v>
      </c>
      <c r="J434" t="n">
        <v>0</v>
      </c>
      <c r="K434" t="n">
        <v>0</v>
      </c>
      <c r="L434" t="n">
        <v>0</v>
      </c>
      <c r="M434" t="n">
        <v>0</v>
      </c>
      <c r="N434" t="n">
        <v>0</v>
      </c>
      <c r="O434" t="n">
        <v>0</v>
      </c>
      <c r="P434" t="n">
        <v>0</v>
      </c>
      <c r="Q434" t="n">
        <v>0</v>
      </c>
      <c r="R434" s="2" t="inlineStr"/>
    </row>
    <row r="435" ht="15" customHeight="1">
      <c r="A435" t="inlineStr">
        <is>
          <t>A 61498-2022</t>
        </is>
      </c>
      <c r="B435" s="1" t="n">
        <v>44910</v>
      </c>
      <c r="C435" s="1" t="n">
        <v>46171</v>
      </c>
      <c r="D435" t="inlineStr">
        <is>
          <t>SKÅNE LÄN</t>
        </is>
      </c>
      <c r="E435" t="inlineStr">
        <is>
          <t>HÄSSLEHOLM</t>
        </is>
      </c>
      <c r="F435" t="inlineStr">
        <is>
          <t>Kyrkan</t>
        </is>
      </c>
      <c r="G435" t="n">
        <v>3.2</v>
      </c>
      <c r="H435" t="n">
        <v>0</v>
      </c>
      <c r="I435" t="n">
        <v>0</v>
      </c>
      <c r="J435" t="n">
        <v>0</v>
      </c>
      <c r="K435" t="n">
        <v>0</v>
      </c>
      <c r="L435" t="n">
        <v>0</v>
      </c>
      <c r="M435" t="n">
        <v>0</v>
      </c>
      <c r="N435" t="n">
        <v>0</v>
      </c>
      <c r="O435" t="n">
        <v>0</v>
      </c>
      <c r="P435" t="n">
        <v>0</v>
      </c>
      <c r="Q435" t="n">
        <v>0</v>
      </c>
      <c r="R435" s="2" t="inlineStr"/>
    </row>
    <row r="436" ht="15" customHeight="1">
      <c r="A436" t="inlineStr">
        <is>
          <t>A 15417-2022</t>
        </is>
      </c>
      <c r="B436" s="1" t="n">
        <v>44659</v>
      </c>
      <c r="C436" s="1" t="n">
        <v>46171</v>
      </c>
      <c r="D436" t="inlineStr">
        <is>
          <t>SKÅNE LÄN</t>
        </is>
      </c>
      <c r="E436" t="inlineStr">
        <is>
          <t>HÄSSLEHOLM</t>
        </is>
      </c>
      <c r="F436" t="inlineStr">
        <is>
          <t>Kyrkan</t>
        </is>
      </c>
      <c r="G436" t="n">
        <v>2.9</v>
      </c>
      <c r="H436" t="n">
        <v>0</v>
      </c>
      <c r="I436" t="n">
        <v>0</v>
      </c>
      <c r="J436" t="n">
        <v>0</v>
      </c>
      <c r="K436" t="n">
        <v>0</v>
      </c>
      <c r="L436" t="n">
        <v>0</v>
      </c>
      <c r="M436" t="n">
        <v>0</v>
      </c>
      <c r="N436" t="n">
        <v>0</v>
      </c>
      <c r="O436" t="n">
        <v>0</v>
      </c>
      <c r="P436" t="n">
        <v>0</v>
      </c>
      <c r="Q436" t="n">
        <v>0</v>
      </c>
      <c r="R436" s="2" t="inlineStr"/>
    </row>
    <row r="437" ht="15" customHeight="1">
      <c r="A437" t="inlineStr">
        <is>
          <t>A 36240-2023</t>
        </is>
      </c>
      <c r="B437" s="1" t="n">
        <v>45150.89295138889</v>
      </c>
      <c r="C437" s="1" t="n">
        <v>46171</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45495-2025</t>
        </is>
      </c>
      <c r="B438" s="1" t="n">
        <v>45922.56369212963</v>
      </c>
      <c r="C438" s="1" t="n">
        <v>46171</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45176-2025</t>
        </is>
      </c>
      <c r="B439" s="1" t="n">
        <v>45919.52307870371</v>
      </c>
      <c r="C439" s="1" t="n">
        <v>46171</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20564-2023</t>
        </is>
      </c>
      <c r="B440" s="1" t="n">
        <v>45057</v>
      </c>
      <c r="C440" s="1" t="n">
        <v>46171</v>
      </c>
      <c r="D440" t="inlineStr">
        <is>
          <t>SKÅNE LÄN</t>
        </is>
      </c>
      <c r="E440" t="inlineStr">
        <is>
          <t>HÄSSLEHOLM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45273-2025</t>
        </is>
      </c>
      <c r="B441" s="1" t="n">
        <v>45919.70486111111</v>
      </c>
      <c r="C441" s="1" t="n">
        <v>46171</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29170-2025</t>
        </is>
      </c>
      <c r="B442" s="1" t="n">
        <v>45821.69766203704</v>
      </c>
      <c r="C442" s="1" t="n">
        <v>46171</v>
      </c>
      <c r="D442" t="inlineStr">
        <is>
          <t>SKÅNE LÄN</t>
        </is>
      </c>
      <c r="E442" t="inlineStr">
        <is>
          <t>HÄSSLEHOLM</t>
        </is>
      </c>
      <c r="G442" t="n">
        <v>3.1</v>
      </c>
      <c r="H442" t="n">
        <v>0</v>
      </c>
      <c r="I442" t="n">
        <v>0</v>
      </c>
      <c r="J442" t="n">
        <v>0</v>
      </c>
      <c r="K442" t="n">
        <v>0</v>
      </c>
      <c r="L442" t="n">
        <v>0</v>
      </c>
      <c r="M442" t="n">
        <v>0</v>
      </c>
      <c r="N442" t="n">
        <v>0</v>
      </c>
      <c r="O442" t="n">
        <v>0</v>
      </c>
      <c r="P442" t="n">
        <v>0</v>
      </c>
      <c r="Q442" t="n">
        <v>0</v>
      </c>
      <c r="R442" s="2" t="inlineStr"/>
    </row>
    <row r="443" ht="15" customHeight="1">
      <c r="A443" t="inlineStr">
        <is>
          <t>A 41694-2024</t>
        </is>
      </c>
      <c r="B443" s="1" t="n">
        <v>45560.68341435185</v>
      </c>
      <c r="C443" s="1" t="n">
        <v>46171</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45314-2025</t>
        </is>
      </c>
      <c r="B444" s="1" t="n">
        <v>45921.81738425926</v>
      </c>
      <c r="C444" s="1" t="n">
        <v>46171</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47757-2024</t>
        </is>
      </c>
      <c r="B445" s="1" t="n">
        <v>45588.55075231481</v>
      </c>
      <c r="C445" s="1" t="n">
        <v>46171</v>
      </c>
      <c r="D445" t="inlineStr">
        <is>
          <t>SKÅNE LÄN</t>
        </is>
      </c>
      <c r="E445" t="inlineStr">
        <is>
          <t>HÄSSLEHOLM</t>
        </is>
      </c>
      <c r="G445" t="n">
        <v>5.5</v>
      </c>
      <c r="H445" t="n">
        <v>0</v>
      </c>
      <c r="I445" t="n">
        <v>0</v>
      </c>
      <c r="J445" t="n">
        <v>0</v>
      </c>
      <c r="K445" t="n">
        <v>0</v>
      </c>
      <c r="L445" t="n">
        <v>0</v>
      </c>
      <c r="M445" t="n">
        <v>0</v>
      </c>
      <c r="N445" t="n">
        <v>0</v>
      </c>
      <c r="O445" t="n">
        <v>0</v>
      </c>
      <c r="P445" t="n">
        <v>0</v>
      </c>
      <c r="Q445" t="n">
        <v>0</v>
      </c>
      <c r="R445" s="2" t="inlineStr"/>
    </row>
    <row r="446" ht="15" customHeight="1">
      <c r="A446" t="inlineStr">
        <is>
          <t>A 2663-2023</t>
        </is>
      </c>
      <c r="B446" s="1" t="n">
        <v>44942</v>
      </c>
      <c r="C446" s="1" t="n">
        <v>46171</v>
      </c>
      <c r="D446" t="inlineStr">
        <is>
          <t>SKÅNE LÄN</t>
        </is>
      </c>
      <c r="E446" t="inlineStr">
        <is>
          <t>HÄSSLEHOLM</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45516-2025</t>
        </is>
      </c>
      <c r="B447" s="1" t="n">
        <v>45922</v>
      </c>
      <c r="C447" s="1" t="n">
        <v>46171</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7192-2025</t>
        </is>
      </c>
      <c r="B448" s="1" t="n">
        <v>45702.44746527778</v>
      </c>
      <c r="C448" s="1" t="n">
        <v>46171</v>
      </c>
      <c r="D448" t="inlineStr">
        <is>
          <t>SKÅNE LÄN</t>
        </is>
      </c>
      <c r="E448" t="inlineStr">
        <is>
          <t>HÄSSLEHOLM</t>
        </is>
      </c>
      <c r="G448" t="n">
        <v>1.2</v>
      </c>
      <c r="H448" t="n">
        <v>0</v>
      </c>
      <c r="I448" t="n">
        <v>0</v>
      </c>
      <c r="J448" t="n">
        <v>0</v>
      </c>
      <c r="K448" t="n">
        <v>0</v>
      </c>
      <c r="L448" t="n">
        <v>0</v>
      </c>
      <c r="M448" t="n">
        <v>0</v>
      </c>
      <c r="N448" t="n">
        <v>0</v>
      </c>
      <c r="O448" t="n">
        <v>0</v>
      </c>
      <c r="P448" t="n">
        <v>0</v>
      </c>
      <c r="Q448" t="n">
        <v>0</v>
      </c>
      <c r="R448" s="2" t="inlineStr"/>
    </row>
    <row r="449" ht="15" customHeight="1">
      <c r="A449" t="inlineStr">
        <is>
          <t>A 45514-2025</t>
        </is>
      </c>
      <c r="B449" s="1" t="n">
        <v>45922</v>
      </c>
      <c r="C449" s="1" t="n">
        <v>46171</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29168-2025</t>
        </is>
      </c>
      <c r="B450" s="1" t="n">
        <v>45821.69547453704</v>
      </c>
      <c r="C450" s="1" t="n">
        <v>46171</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45221-2025</t>
        </is>
      </c>
      <c r="B451" s="1" t="n">
        <v>45919.57760416667</v>
      </c>
      <c r="C451" s="1" t="n">
        <v>46171</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45414-2025</t>
        </is>
      </c>
      <c r="B452" s="1" t="n">
        <v>45920</v>
      </c>
      <c r="C452" s="1" t="n">
        <v>46171</v>
      </c>
      <c r="D452" t="inlineStr">
        <is>
          <t>SKÅNE LÄN</t>
        </is>
      </c>
      <c r="E452" t="inlineStr">
        <is>
          <t>HÄSSLEHOLM</t>
        </is>
      </c>
      <c r="G452" t="n">
        <v>14.7</v>
      </c>
      <c r="H452" t="n">
        <v>0</v>
      </c>
      <c r="I452" t="n">
        <v>0</v>
      </c>
      <c r="J452" t="n">
        <v>0</v>
      </c>
      <c r="K452" t="n">
        <v>0</v>
      </c>
      <c r="L452" t="n">
        <v>0</v>
      </c>
      <c r="M452" t="n">
        <v>0</v>
      </c>
      <c r="N452" t="n">
        <v>0</v>
      </c>
      <c r="O452" t="n">
        <v>0</v>
      </c>
      <c r="P452" t="n">
        <v>0</v>
      </c>
      <c r="Q452" t="n">
        <v>0</v>
      </c>
      <c r="R452" s="2" t="inlineStr"/>
    </row>
    <row r="453" ht="15" customHeight="1">
      <c r="A453" t="inlineStr">
        <is>
          <t>A 45443-2025</t>
        </is>
      </c>
      <c r="B453" s="1" t="n">
        <v>45920</v>
      </c>
      <c r="C453" s="1" t="n">
        <v>46171</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45496-2025</t>
        </is>
      </c>
      <c r="B454" s="1" t="n">
        <v>45922</v>
      </c>
      <c r="C454" s="1" t="n">
        <v>46171</v>
      </c>
      <c r="D454" t="inlineStr">
        <is>
          <t>SKÅNE LÄN</t>
        </is>
      </c>
      <c r="E454" t="inlineStr">
        <is>
          <t>HÄSSLEHOLM</t>
        </is>
      </c>
      <c r="G454" t="n">
        <v>1.3</v>
      </c>
      <c r="H454" t="n">
        <v>0</v>
      </c>
      <c r="I454" t="n">
        <v>0</v>
      </c>
      <c r="J454" t="n">
        <v>0</v>
      </c>
      <c r="K454" t="n">
        <v>0</v>
      </c>
      <c r="L454" t="n">
        <v>0</v>
      </c>
      <c r="M454" t="n">
        <v>0</v>
      </c>
      <c r="N454" t="n">
        <v>0</v>
      </c>
      <c r="O454" t="n">
        <v>0</v>
      </c>
      <c r="P454" t="n">
        <v>0</v>
      </c>
      <c r="Q454" t="n">
        <v>0</v>
      </c>
      <c r="R454" s="2" t="inlineStr"/>
    </row>
    <row r="455" ht="15" customHeight="1">
      <c r="A455" t="inlineStr">
        <is>
          <t>A 45458-2025</t>
        </is>
      </c>
      <c r="B455" s="1" t="n">
        <v>45920</v>
      </c>
      <c r="C455" s="1" t="n">
        <v>46171</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45465-2025</t>
        </is>
      </c>
      <c r="B456" s="1" t="n">
        <v>45920</v>
      </c>
      <c r="C456" s="1" t="n">
        <v>46171</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27954-2022</t>
        </is>
      </c>
      <c r="B457" s="1" t="n">
        <v>44743</v>
      </c>
      <c r="C457" s="1" t="n">
        <v>46171</v>
      </c>
      <c r="D457" t="inlineStr">
        <is>
          <t>SKÅNE LÄN</t>
        </is>
      </c>
      <c r="E457" t="inlineStr">
        <is>
          <t>HÄSSLEHOLM</t>
        </is>
      </c>
      <c r="G457" t="n">
        <v>9.4</v>
      </c>
      <c r="H457" t="n">
        <v>0</v>
      </c>
      <c r="I457" t="n">
        <v>0</v>
      </c>
      <c r="J457" t="n">
        <v>0</v>
      </c>
      <c r="K457" t="n">
        <v>0</v>
      </c>
      <c r="L457" t="n">
        <v>0</v>
      </c>
      <c r="M457" t="n">
        <v>0</v>
      </c>
      <c r="N457" t="n">
        <v>0</v>
      </c>
      <c r="O457" t="n">
        <v>0</v>
      </c>
      <c r="P457" t="n">
        <v>0</v>
      </c>
      <c r="Q457" t="n">
        <v>0</v>
      </c>
      <c r="R457" s="2" t="inlineStr"/>
    </row>
    <row r="458" ht="15" customHeight="1">
      <c r="A458" t="inlineStr">
        <is>
          <t>A 9678-2025</t>
        </is>
      </c>
      <c r="B458" s="1" t="n">
        <v>45716</v>
      </c>
      <c r="C458" s="1" t="n">
        <v>46171</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29171-2025</t>
        </is>
      </c>
      <c r="B459" s="1" t="n">
        <v>45821.69863425926</v>
      </c>
      <c r="C459" s="1" t="n">
        <v>46171</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45683-2025</t>
        </is>
      </c>
      <c r="B460" s="1" t="n">
        <v>45923.37590277778</v>
      </c>
      <c r="C460" s="1" t="n">
        <v>46171</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45984-2021</t>
        </is>
      </c>
      <c r="B461" s="1" t="n">
        <v>44441</v>
      </c>
      <c r="C461" s="1" t="n">
        <v>46171</v>
      </c>
      <c r="D461" t="inlineStr">
        <is>
          <t>SKÅNE LÄN</t>
        </is>
      </c>
      <c r="E461" t="inlineStr">
        <is>
          <t>HÄSSLEHOLM</t>
        </is>
      </c>
      <c r="G461" t="n">
        <v>2.1</v>
      </c>
      <c r="H461" t="n">
        <v>0</v>
      </c>
      <c r="I461" t="n">
        <v>0</v>
      </c>
      <c r="J461" t="n">
        <v>0</v>
      </c>
      <c r="K461" t="n">
        <v>0</v>
      </c>
      <c r="L461" t="n">
        <v>0</v>
      </c>
      <c r="M461" t="n">
        <v>0</v>
      </c>
      <c r="N461" t="n">
        <v>0</v>
      </c>
      <c r="O461" t="n">
        <v>0</v>
      </c>
      <c r="P461" t="n">
        <v>0</v>
      </c>
      <c r="Q461" t="n">
        <v>0</v>
      </c>
      <c r="R461" s="2" t="inlineStr"/>
    </row>
    <row r="462" ht="15" customHeight="1">
      <c r="A462" t="inlineStr">
        <is>
          <t>A 61170-2022</t>
        </is>
      </c>
      <c r="B462" s="1" t="n">
        <v>44915.48543981482</v>
      </c>
      <c r="C462" s="1" t="n">
        <v>46171</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11121-2023</t>
        </is>
      </c>
      <c r="B463" s="1" t="n">
        <v>44986</v>
      </c>
      <c r="C463" s="1" t="n">
        <v>46171</v>
      </c>
      <c r="D463" t="inlineStr">
        <is>
          <t>SKÅNE LÄN</t>
        </is>
      </c>
      <c r="E463" t="inlineStr">
        <is>
          <t>HÄSSLEHOLM</t>
        </is>
      </c>
      <c r="F463" t="inlineStr">
        <is>
          <t>Kommuner</t>
        </is>
      </c>
      <c r="G463" t="n">
        <v>5.8</v>
      </c>
      <c r="H463" t="n">
        <v>0</v>
      </c>
      <c r="I463" t="n">
        <v>0</v>
      </c>
      <c r="J463" t="n">
        <v>0</v>
      </c>
      <c r="K463" t="n">
        <v>0</v>
      </c>
      <c r="L463" t="n">
        <v>0</v>
      </c>
      <c r="M463" t="n">
        <v>0</v>
      </c>
      <c r="N463" t="n">
        <v>0</v>
      </c>
      <c r="O463" t="n">
        <v>0</v>
      </c>
      <c r="P463" t="n">
        <v>0</v>
      </c>
      <c r="Q463" t="n">
        <v>0</v>
      </c>
      <c r="R463" s="2" t="inlineStr"/>
    </row>
    <row r="464" ht="15" customHeight="1">
      <c r="A464" t="inlineStr">
        <is>
          <t>A 6835-2023</t>
        </is>
      </c>
      <c r="B464" s="1" t="n">
        <v>44967</v>
      </c>
      <c r="C464" s="1" t="n">
        <v>46171</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3298-2026</t>
        </is>
      </c>
      <c r="B465" s="1" t="n">
        <v>46041</v>
      </c>
      <c r="C465" s="1" t="n">
        <v>46171</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30010-2025</t>
        </is>
      </c>
      <c r="B466" s="1" t="n">
        <v>45826</v>
      </c>
      <c r="C466" s="1" t="n">
        <v>46171</v>
      </c>
      <c r="D466" t="inlineStr">
        <is>
          <t>SKÅNE LÄN</t>
        </is>
      </c>
      <c r="E466" t="inlineStr">
        <is>
          <t>HÄSSLEHOLM</t>
        </is>
      </c>
      <c r="G466" t="n">
        <v>4.5</v>
      </c>
      <c r="H466" t="n">
        <v>0</v>
      </c>
      <c r="I466" t="n">
        <v>0</v>
      </c>
      <c r="J466" t="n">
        <v>0</v>
      </c>
      <c r="K466" t="n">
        <v>0</v>
      </c>
      <c r="L466" t="n">
        <v>0</v>
      </c>
      <c r="M466" t="n">
        <v>0</v>
      </c>
      <c r="N466" t="n">
        <v>0</v>
      </c>
      <c r="O466" t="n">
        <v>0</v>
      </c>
      <c r="P466" t="n">
        <v>0</v>
      </c>
      <c r="Q466" t="n">
        <v>0</v>
      </c>
      <c r="R466" s="2" t="inlineStr"/>
    </row>
    <row r="467" ht="15" customHeight="1">
      <c r="A467" t="inlineStr">
        <is>
          <t>A 45763-2025</t>
        </is>
      </c>
      <c r="B467" s="1" t="n">
        <v>45923.51778935185</v>
      </c>
      <c r="C467" s="1" t="n">
        <v>46171</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45764-2025</t>
        </is>
      </c>
      <c r="B468" s="1" t="n">
        <v>45923.52037037037</v>
      </c>
      <c r="C468" s="1" t="n">
        <v>46171</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31933-2024</t>
        </is>
      </c>
      <c r="B469" s="1" t="n">
        <v>45510.41123842593</v>
      </c>
      <c r="C469" s="1" t="n">
        <v>46171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9098-2022</t>
        </is>
      </c>
      <c r="B470" s="1" t="n">
        <v>44615</v>
      </c>
      <c r="C470" s="1" t="n">
        <v>46171</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12338-2024</t>
        </is>
      </c>
      <c r="B471" s="1" t="n">
        <v>45378.72869212963</v>
      </c>
      <c r="C471" s="1" t="n">
        <v>46171</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34883-2023</t>
        </is>
      </c>
      <c r="B472" s="1" t="n">
        <v>45142.37902777778</v>
      </c>
      <c r="C472" s="1" t="n">
        <v>46171</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34886-2023</t>
        </is>
      </c>
      <c r="B473" s="1" t="n">
        <v>45142.38450231482</v>
      </c>
      <c r="C473" s="1" t="n">
        <v>46171</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11116-2023</t>
        </is>
      </c>
      <c r="B474" s="1" t="n">
        <v>44986</v>
      </c>
      <c r="C474" s="1" t="n">
        <v>46171</v>
      </c>
      <c r="D474" t="inlineStr">
        <is>
          <t>SKÅNE LÄN</t>
        </is>
      </c>
      <c r="E474" t="inlineStr">
        <is>
          <t>HÄSSLEHOLM</t>
        </is>
      </c>
      <c r="F474" t="inlineStr">
        <is>
          <t>Kommuner</t>
        </is>
      </c>
      <c r="G474" t="n">
        <v>15.1</v>
      </c>
      <c r="H474" t="n">
        <v>0</v>
      </c>
      <c r="I474" t="n">
        <v>0</v>
      </c>
      <c r="J474" t="n">
        <v>0</v>
      </c>
      <c r="K474" t="n">
        <v>0</v>
      </c>
      <c r="L474" t="n">
        <v>0</v>
      </c>
      <c r="M474" t="n">
        <v>0</v>
      </c>
      <c r="N474" t="n">
        <v>0</v>
      </c>
      <c r="O474" t="n">
        <v>0</v>
      </c>
      <c r="P474" t="n">
        <v>0</v>
      </c>
      <c r="Q474" t="n">
        <v>0</v>
      </c>
      <c r="R474" s="2" t="inlineStr"/>
    </row>
    <row r="475" ht="15" customHeight="1">
      <c r="A475" t="inlineStr">
        <is>
          <t>A 7476-2025</t>
        </is>
      </c>
      <c r="B475" s="1" t="n">
        <v>45702</v>
      </c>
      <c r="C475" s="1" t="n">
        <v>46171</v>
      </c>
      <c r="D475" t="inlineStr">
        <is>
          <t>SKÅNE LÄN</t>
        </is>
      </c>
      <c r="E475" t="inlineStr">
        <is>
          <t>HÄSSLEHOLM</t>
        </is>
      </c>
      <c r="F475" t="inlineStr">
        <is>
          <t>Övriga Aktiebolag</t>
        </is>
      </c>
      <c r="G475" t="n">
        <v>2.1</v>
      </c>
      <c r="H475" t="n">
        <v>0</v>
      </c>
      <c r="I475" t="n">
        <v>0</v>
      </c>
      <c r="J475" t="n">
        <v>0</v>
      </c>
      <c r="K475" t="n">
        <v>0</v>
      </c>
      <c r="L475" t="n">
        <v>0</v>
      </c>
      <c r="M475" t="n">
        <v>0</v>
      </c>
      <c r="N475" t="n">
        <v>0</v>
      </c>
      <c r="O475" t="n">
        <v>0</v>
      </c>
      <c r="P475" t="n">
        <v>0</v>
      </c>
      <c r="Q475" t="n">
        <v>0</v>
      </c>
      <c r="R475" s="2" t="inlineStr"/>
    </row>
    <row r="476" ht="15" customHeight="1">
      <c r="A476" t="inlineStr">
        <is>
          <t>A 3904-2026</t>
        </is>
      </c>
      <c r="B476" s="1" t="n">
        <v>46043.69711805556</v>
      </c>
      <c r="C476" s="1" t="n">
        <v>46171</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54659-2023</t>
        </is>
      </c>
      <c r="B477" s="1" t="n">
        <v>45235</v>
      </c>
      <c r="C477" s="1" t="n">
        <v>46171</v>
      </c>
      <c r="D477" t="inlineStr">
        <is>
          <t>SKÅNE LÄN</t>
        </is>
      </c>
      <c r="E477" t="inlineStr">
        <is>
          <t>HÄSSLEHOLM</t>
        </is>
      </c>
      <c r="G477" t="n">
        <v>5</v>
      </c>
      <c r="H477" t="n">
        <v>0</v>
      </c>
      <c r="I477" t="n">
        <v>0</v>
      </c>
      <c r="J477" t="n">
        <v>0</v>
      </c>
      <c r="K477" t="n">
        <v>0</v>
      </c>
      <c r="L477" t="n">
        <v>0</v>
      </c>
      <c r="M477" t="n">
        <v>0</v>
      </c>
      <c r="N477" t="n">
        <v>0</v>
      </c>
      <c r="O477" t="n">
        <v>0</v>
      </c>
      <c r="P477" t="n">
        <v>0</v>
      </c>
      <c r="Q477" t="n">
        <v>0</v>
      </c>
      <c r="R477" s="2" t="inlineStr"/>
    </row>
    <row r="478" ht="15" customHeight="1">
      <c r="A478" t="inlineStr">
        <is>
          <t>A 45762-2025</t>
        </is>
      </c>
      <c r="B478" s="1" t="n">
        <v>45923.51548611111</v>
      </c>
      <c r="C478" s="1" t="n">
        <v>46171</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9668-2025</t>
        </is>
      </c>
      <c r="B479" s="1" t="n">
        <v>45716</v>
      </c>
      <c r="C479" s="1" t="n">
        <v>46171</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3715-2026</t>
        </is>
      </c>
      <c r="B480" s="1" t="n">
        <v>46043.48746527778</v>
      </c>
      <c r="C480" s="1" t="n">
        <v>46171</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12558-2023</t>
        </is>
      </c>
      <c r="B481" s="1" t="n">
        <v>45000.36103009259</v>
      </c>
      <c r="C481" s="1" t="n">
        <v>46171</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13673-2023</t>
        </is>
      </c>
      <c r="B482" s="1" t="n">
        <v>45006.87957175926</v>
      </c>
      <c r="C482" s="1" t="n">
        <v>46171</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48844-2023</t>
        </is>
      </c>
      <c r="B483" s="1" t="n">
        <v>45209</v>
      </c>
      <c r="C483" s="1" t="n">
        <v>46171</v>
      </c>
      <c r="D483" t="inlineStr">
        <is>
          <t>SKÅNE LÄN</t>
        </is>
      </c>
      <c r="E483" t="inlineStr">
        <is>
          <t>HÄSSLEHOLM</t>
        </is>
      </c>
      <c r="G483" t="n">
        <v>4</v>
      </c>
      <c r="H483" t="n">
        <v>0</v>
      </c>
      <c r="I483" t="n">
        <v>0</v>
      </c>
      <c r="J483" t="n">
        <v>0</v>
      </c>
      <c r="K483" t="n">
        <v>0</v>
      </c>
      <c r="L483" t="n">
        <v>0</v>
      </c>
      <c r="M483" t="n">
        <v>0</v>
      </c>
      <c r="N483" t="n">
        <v>0</v>
      </c>
      <c r="O483" t="n">
        <v>0</v>
      </c>
      <c r="P483" t="n">
        <v>0</v>
      </c>
      <c r="Q483" t="n">
        <v>0</v>
      </c>
      <c r="R483" s="2" t="inlineStr"/>
    </row>
    <row r="484" ht="15" customHeight="1">
      <c r="A484" t="inlineStr">
        <is>
          <t>A 46605-2025</t>
        </is>
      </c>
      <c r="B484" s="1" t="n">
        <v>45926.41214120371</v>
      </c>
      <c r="C484" s="1" t="n">
        <v>46171</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3862-2026</t>
        </is>
      </c>
      <c r="B485" s="1" t="n">
        <v>46043.62646990741</v>
      </c>
      <c r="C485" s="1" t="n">
        <v>46171</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46761-2025</t>
        </is>
      </c>
      <c r="B486" s="1" t="n">
        <v>45926.62289351852</v>
      </c>
      <c r="C486" s="1" t="n">
        <v>46171</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21329-2023</t>
        </is>
      </c>
      <c r="B487" s="1" t="n">
        <v>45062</v>
      </c>
      <c r="C487" s="1" t="n">
        <v>46171</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46786-2025</t>
        </is>
      </c>
      <c r="B488" s="1" t="n">
        <v>45926.64484953704</v>
      </c>
      <c r="C488" s="1" t="n">
        <v>46171</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45222-2023</t>
        </is>
      </c>
      <c r="B489" s="1" t="n">
        <v>45191</v>
      </c>
      <c r="C489" s="1" t="n">
        <v>46171</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13310-2025</t>
        </is>
      </c>
      <c r="B490" s="1" t="n">
        <v>45735.58814814815</v>
      </c>
      <c r="C490" s="1" t="n">
        <v>46171</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47259-2025</t>
        </is>
      </c>
      <c r="B491" s="1" t="n">
        <v>45930</v>
      </c>
      <c r="C491" s="1" t="n">
        <v>46171</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47473-2025</t>
        </is>
      </c>
      <c r="B492" s="1" t="n">
        <v>45930.67763888889</v>
      </c>
      <c r="C492" s="1" t="n">
        <v>46171</v>
      </c>
      <c r="D492" t="inlineStr">
        <is>
          <t>SKÅNE LÄN</t>
        </is>
      </c>
      <c r="E492" t="inlineStr">
        <is>
          <t>HÄSSLEHOLM</t>
        </is>
      </c>
      <c r="G492" t="n">
        <v>4.7</v>
      </c>
      <c r="H492" t="n">
        <v>0</v>
      </c>
      <c r="I492" t="n">
        <v>0</v>
      </c>
      <c r="J492" t="n">
        <v>0</v>
      </c>
      <c r="K492" t="n">
        <v>0</v>
      </c>
      <c r="L492" t="n">
        <v>0</v>
      </c>
      <c r="M492" t="n">
        <v>0</v>
      </c>
      <c r="N492" t="n">
        <v>0</v>
      </c>
      <c r="O492" t="n">
        <v>0</v>
      </c>
      <c r="P492" t="n">
        <v>0</v>
      </c>
      <c r="Q492" t="n">
        <v>0</v>
      </c>
      <c r="R492" s="2" t="inlineStr"/>
    </row>
    <row r="493" ht="15" customHeight="1">
      <c r="A493" t="inlineStr">
        <is>
          <t>A 25538-2024</t>
        </is>
      </c>
      <c r="B493" s="1" t="n">
        <v>45463</v>
      </c>
      <c r="C493" s="1" t="n">
        <v>46171</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46855-2025</t>
        </is>
      </c>
      <c r="B494" s="1" t="n">
        <v>45928.88497685185</v>
      </c>
      <c r="C494" s="1" t="n">
        <v>46171</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47466-2025</t>
        </is>
      </c>
      <c r="B495" s="1" t="n">
        <v>45930.66677083333</v>
      </c>
      <c r="C495" s="1" t="n">
        <v>46171</v>
      </c>
      <c r="D495" t="inlineStr">
        <is>
          <t>SKÅNE LÄN</t>
        </is>
      </c>
      <c r="E495" t="inlineStr">
        <is>
          <t>HÄSSLEHOLM</t>
        </is>
      </c>
      <c r="G495" t="n">
        <v>1.8</v>
      </c>
      <c r="H495" t="n">
        <v>0</v>
      </c>
      <c r="I495" t="n">
        <v>0</v>
      </c>
      <c r="J495" t="n">
        <v>0</v>
      </c>
      <c r="K495" t="n">
        <v>0</v>
      </c>
      <c r="L495" t="n">
        <v>0</v>
      </c>
      <c r="M495" t="n">
        <v>0</v>
      </c>
      <c r="N495" t="n">
        <v>0</v>
      </c>
      <c r="O495" t="n">
        <v>0</v>
      </c>
      <c r="P495" t="n">
        <v>0</v>
      </c>
      <c r="Q495" t="n">
        <v>0</v>
      </c>
      <c r="R495" s="2" t="inlineStr"/>
    </row>
    <row r="496" ht="15" customHeight="1">
      <c r="A496" t="inlineStr">
        <is>
          <t>A 31159-2025</t>
        </is>
      </c>
      <c r="B496" s="1" t="n">
        <v>45832.65322916667</v>
      </c>
      <c r="C496" s="1" t="n">
        <v>46171</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15055-2023</t>
        </is>
      </c>
      <c r="B497" s="1" t="n">
        <v>45015</v>
      </c>
      <c r="C497" s="1" t="n">
        <v>46171</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47126-2025</t>
        </is>
      </c>
      <c r="B498" s="1" t="n">
        <v>45929.685625</v>
      </c>
      <c r="C498" s="1" t="n">
        <v>46171</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47127-2025</t>
        </is>
      </c>
      <c r="B499" s="1" t="n">
        <v>45929.6893287037</v>
      </c>
      <c r="C499" s="1" t="n">
        <v>46171</v>
      </c>
      <c r="D499" t="inlineStr">
        <is>
          <t>SKÅNE LÄN</t>
        </is>
      </c>
      <c r="E499" t="inlineStr">
        <is>
          <t>HÄSSLEHOLM</t>
        </is>
      </c>
      <c r="G499" t="n">
        <v>1.7</v>
      </c>
      <c r="H499" t="n">
        <v>0</v>
      </c>
      <c r="I499" t="n">
        <v>0</v>
      </c>
      <c r="J499" t="n">
        <v>0</v>
      </c>
      <c r="K499" t="n">
        <v>0</v>
      </c>
      <c r="L499" t="n">
        <v>0</v>
      </c>
      <c r="M499" t="n">
        <v>0</v>
      </c>
      <c r="N499" t="n">
        <v>0</v>
      </c>
      <c r="O499" t="n">
        <v>0</v>
      </c>
      <c r="P499" t="n">
        <v>0</v>
      </c>
      <c r="Q499" t="n">
        <v>0</v>
      </c>
      <c r="R499" s="2" t="inlineStr"/>
    </row>
    <row r="500" ht="15" customHeight="1">
      <c r="A500" t="inlineStr">
        <is>
          <t>A 25324-2024</t>
        </is>
      </c>
      <c r="B500" s="1" t="n">
        <v>45462.804375</v>
      </c>
      <c r="C500" s="1" t="n">
        <v>46171</v>
      </c>
      <c r="D500" t="inlineStr">
        <is>
          <t>SKÅNE LÄN</t>
        </is>
      </c>
      <c r="E500" t="inlineStr">
        <is>
          <t>HÄSSLEHOLM</t>
        </is>
      </c>
      <c r="G500" t="n">
        <v>0.2</v>
      </c>
      <c r="H500" t="n">
        <v>0</v>
      </c>
      <c r="I500" t="n">
        <v>0</v>
      </c>
      <c r="J500" t="n">
        <v>0</v>
      </c>
      <c r="K500" t="n">
        <v>0</v>
      </c>
      <c r="L500" t="n">
        <v>0</v>
      </c>
      <c r="M500" t="n">
        <v>0</v>
      </c>
      <c r="N500" t="n">
        <v>0</v>
      </c>
      <c r="O500" t="n">
        <v>0</v>
      </c>
      <c r="P500" t="n">
        <v>0</v>
      </c>
      <c r="Q500" t="n">
        <v>0</v>
      </c>
      <c r="R500" s="2" t="inlineStr"/>
    </row>
    <row r="501" ht="15" customHeight="1">
      <c r="A501" t="inlineStr">
        <is>
          <t>A 2290-2024</t>
        </is>
      </c>
      <c r="B501" s="1" t="n">
        <v>45310</v>
      </c>
      <c r="C501" s="1" t="n">
        <v>46171</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25726-2025</t>
        </is>
      </c>
      <c r="B502" s="1" t="n">
        <v>45803</v>
      </c>
      <c r="C502" s="1" t="n">
        <v>46171</v>
      </c>
      <c r="D502" t="inlineStr">
        <is>
          <t>SKÅNE LÄN</t>
        </is>
      </c>
      <c r="E502" t="inlineStr">
        <is>
          <t>HÄSSLEHOLM</t>
        </is>
      </c>
      <c r="G502" t="n">
        <v>5.5</v>
      </c>
      <c r="H502" t="n">
        <v>0</v>
      </c>
      <c r="I502" t="n">
        <v>0</v>
      </c>
      <c r="J502" t="n">
        <v>0</v>
      </c>
      <c r="K502" t="n">
        <v>0</v>
      </c>
      <c r="L502" t="n">
        <v>0</v>
      </c>
      <c r="M502" t="n">
        <v>0</v>
      </c>
      <c r="N502" t="n">
        <v>0</v>
      </c>
      <c r="O502" t="n">
        <v>0</v>
      </c>
      <c r="P502" t="n">
        <v>0</v>
      </c>
      <c r="Q502" t="n">
        <v>0</v>
      </c>
      <c r="R502" s="2" t="inlineStr"/>
    </row>
    <row r="503" ht="15" customHeight="1">
      <c r="A503" t="inlineStr">
        <is>
          <t>A 13316-2023</t>
        </is>
      </c>
      <c r="B503" s="1" t="n">
        <v>45005.39013888889</v>
      </c>
      <c r="C503" s="1" t="n">
        <v>46171</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65235-2021</t>
        </is>
      </c>
      <c r="B504" s="1" t="n">
        <v>44515</v>
      </c>
      <c r="C504" s="1" t="n">
        <v>46171</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13358-2023</t>
        </is>
      </c>
      <c r="B505" s="1" t="n">
        <v>45005</v>
      </c>
      <c r="C505" s="1" t="n">
        <v>46171</v>
      </c>
      <c r="D505" t="inlineStr">
        <is>
          <t>SKÅNE LÄN</t>
        </is>
      </c>
      <c r="E505" t="inlineStr">
        <is>
          <t>HÄSSLEHOLM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5316-2023</t>
        </is>
      </c>
      <c r="B506" s="1" t="n">
        <v>44959</v>
      </c>
      <c r="C506" s="1" t="n">
        <v>46171</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32794-2023</t>
        </is>
      </c>
      <c r="B507" s="1" t="n">
        <v>45124.40446759259</v>
      </c>
      <c r="C507" s="1" t="n">
        <v>46171</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28211-2022</t>
        </is>
      </c>
      <c r="B508" s="1" t="n">
        <v>44746</v>
      </c>
      <c r="C508" s="1" t="n">
        <v>46171</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12162-2023</t>
        </is>
      </c>
      <c r="B509" s="1" t="n">
        <v>44998.49619212963</v>
      </c>
      <c r="C509" s="1" t="n">
        <v>46171</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48184-2025</t>
        </is>
      </c>
      <c r="B510" s="1" t="n">
        <v>45933.46131944445</v>
      </c>
      <c r="C510" s="1" t="n">
        <v>46171</v>
      </c>
      <c r="D510" t="inlineStr">
        <is>
          <t>SKÅNE LÄN</t>
        </is>
      </c>
      <c r="E510" t="inlineStr">
        <is>
          <t>HÄSSLEHOLM</t>
        </is>
      </c>
      <c r="G510" t="n">
        <v>3</v>
      </c>
      <c r="H510" t="n">
        <v>0</v>
      </c>
      <c r="I510" t="n">
        <v>0</v>
      </c>
      <c r="J510" t="n">
        <v>0</v>
      </c>
      <c r="K510" t="n">
        <v>0</v>
      </c>
      <c r="L510" t="n">
        <v>0</v>
      </c>
      <c r="M510" t="n">
        <v>0</v>
      </c>
      <c r="N510" t="n">
        <v>0</v>
      </c>
      <c r="O510" t="n">
        <v>0</v>
      </c>
      <c r="P510" t="n">
        <v>0</v>
      </c>
      <c r="Q510" t="n">
        <v>0</v>
      </c>
      <c r="R510" s="2" t="inlineStr"/>
    </row>
    <row r="511" ht="15" customHeight="1">
      <c r="A511" t="inlineStr">
        <is>
          <t>A 48185-2025</t>
        </is>
      </c>
      <c r="B511" s="1" t="n">
        <v>45933.46434027778</v>
      </c>
      <c r="C511" s="1" t="n">
        <v>46171</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14702-2025</t>
        </is>
      </c>
      <c r="B512" s="1" t="n">
        <v>45742.60403935185</v>
      </c>
      <c r="C512" s="1" t="n">
        <v>46171</v>
      </c>
      <c r="D512" t="inlineStr">
        <is>
          <t>SKÅNE LÄN</t>
        </is>
      </c>
      <c r="E512" t="inlineStr">
        <is>
          <t>HÄSSLEHOLM</t>
        </is>
      </c>
      <c r="G512" t="n">
        <v>1.8</v>
      </c>
      <c r="H512" t="n">
        <v>0</v>
      </c>
      <c r="I512" t="n">
        <v>0</v>
      </c>
      <c r="J512" t="n">
        <v>0</v>
      </c>
      <c r="K512" t="n">
        <v>0</v>
      </c>
      <c r="L512" t="n">
        <v>0</v>
      </c>
      <c r="M512" t="n">
        <v>0</v>
      </c>
      <c r="N512" t="n">
        <v>0</v>
      </c>
      <c r="O512" t="n">
        <v>0</v>
      </c>
      <c r="P512" t="n">
        <v>0</v>
      </c>
      <c r="Q512" t="n">
        <v>0</v>
      </c>
      <c r="R512" s="2" t="inlineStr"/>
    </row>
    <row r="513" ht="15" customHeight="1">
      <c r="A513" t="inlineStr">
        <is>
          <t>A 9669-2025</t>
        </is>
      </c>
      <c r="B513" s="1" t="n">
        <v>45716.32921296296</v>
      </c>
      <c r="C513" s="1" t="n">
        <v>46171</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59109-2023</t>
        </is>
      </c>
      <c r="B514" s="1" t="n">
        <v>45253.30819444444</v>
      </c>
      <c r="C514" s="1" t="n">
        <v>46171</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48722-2025</t>
        </is>
      </c>
      <c r="B515" s="1" t="n">
        <v>45935</v>
      </c>
      <c r="C515" s="1" t="n">
        <v>46171</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58888-2024</t>
        </is>
      </c>
      <c r="B516" s="1" t="n">
        <v>45636.45962962963</v>
      </c>
      <c r="C516" s="1" t="n">
        <v>46171</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32585-2025</t>
        </is>
      </c>
      <c r="B517" s="1" t="n">
        <v>45838.60021990741</v>
      </c>
      <c r="C517" s="1" t="n">
        <v>46171</v>
      </c>
      <c r="D517" t="inlineStr">
        <is>
          <t>SKÅNE LÄN</t>
        </is>
      </c>
      <c r="E517" t="inlineStr">
        <is>
          <t>HÄSSLEHOLM</t>
        </is>
      </c>
      <c r="G517" t="n">
        <v>2.1</v>
      </c>
      <c r="H517" t="n">
        <v>0</v>
      </c>
      <c r="I517" t="n">
        <v>0</v>
      </c>
      <c r="J517" t="n">
        <v>0</v>
      </c>
      <c r="K517" t="n">
        <v>0</v>
      </c>
      <c r="L517" t="n">
        <v>0</v>
      </c>
      <c r="M517" t="n">
        <v>0</v>
      </c>
      <c r="N517" t="n">
        <v>0</v>
      </c>
      <c r="O517" t="n">
        <v>0</v>
      </c>
      <c r="P517" t="n">
        <v>0</v>
      </c>
      <c r="Q517" t="n">
        <v>0</v>
      </c>
      <c r="R517" s="2" t="inlineStr"/>
    </row>
    <row r="518" ht="15" customHeight="1">
      <c r="A518" t="inlineStr">
        <is>
          <t>A 4981-2026</t>
        </is>
      </c>
      <c r="B518" s="1" t="n">
        <v>46049.37100694444</v>
      </c>
      <c r="C518" s="1" t="n">
        <v>46171</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6165-2023</t>
        </is>
      </c>
      <c r="B519" s="1" t="n">
        <v>44964.67114583333</v>
      </c>
      <c r="C519" s="1" t="n">
        <v>46171</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32592-2025</t>
        </is>
      </c>
      <c r="B520" s="1" t="n">
        <v>45838.61020833333</v>
      </c>
      <c r="C520" s="1" t="n">
        <v>46171</v>
      </c>
      <c r="D520" t="inlineStr">
        <is>
          <t>SKÅNE LÄN</t>
        </is>
      </c>
      <c r="E520" t="inlineStr">
        <is>
          <t>HÄSSLEHOLM</t>
        </is>
      </c>
      <c r="G520" t="n">
        <v>2.1</v>
      </c>
      <c r="H520" t="n">
        <v>0</v>
      </c>
      <c r="I520" t="n">
        <v>0</v>
      </c>
      <c r="J520" t="n">
        <v>0</v>
      </c>
      <c r="K520" t="n">
        <v>0</v>
      </c>
      <c r="L520" t="n">
        <v>0</v>
      </c>
      <c r="M520" t="n">
        <v>0</v>
      </c>
      <c r="N520" t="n">
        <v>0</v>
      </c>
      <c r="O520" t="n">
        <v>0</v>
      </c>
      <c r="P520" t="n">
        <v>0</v>
      </c>
      <c r="Q520" t="n">
        <v>0</v>
      </c>
      <c r="R520" s="2" t="inlineStr"/>
    </row>
    <row r="521" ht="15" customHeight="1">
      <c r="A521" t="inlineStr">
        <is>
          <t>A 5516-2026</t>
        </is>
      </c>
      <c r="B521" s="1" t="n">
        <v>46050.64197916666</v>
      </c>
      <c r="C521" s="1" t="n">
        <v>46171</v>
      </c>
      <c r="D521" t="inlineStr">
        <is>
          <t>SKÅNE LÄN</t>
        </is>
      </c>
      <c r="E521" t="inlineStr">
        <is>
          <t>HÄSSLEHOLM</t>
        </is>
      </c>
      <c r="G521" t="n">
        <v>1.9</v>
      </c>
      <c r="H521" t="n">
        <v>0</v>
      </c>
      <c r="I521" t="n">
        <v>0</v>
      </c>
      <c r="J521" t="n">
        <v>0</v>
      </c>
      <c r="K521" t="n">
        <v>0</v>
      </c>
      <c r="L521" t="n">
        <v>0</v>
      </c>
      <c r="M521" t="n">
        <v>0</v>
      </c>
      <c r="N521" t="n">
        <v>0</v>
      </c>
      <c r="O521" t="n">
        <v>0</v>
      </c>
      <c r="P521" t="n">
        <v>0</v>
      </c>
      <c r="Q521" t="n">
        <v>0</v>
      </c>
      <c r="R521" s="2" t="inlineStr"/>
    </row>
    <row r="522" ht="15" customHeight="1">
      <c r="A522" t="inlineStr">
        <is>
          <t>A 4994-2026</t>
        </is>
      </c>
      <c r="B522" s="1" t="n">
        <v>46049</v>
      </c>
      <c r="C522" s="1" t="n">
        <v>46171</v>
      </c>
      <c r="D522" t="inlineStr">
        <is>
          <t>SKÅNE LÄN</t>
        </is>
      </c>
      <c r="E522" t="inlineStr">
        <is>
          <t>HÄSSLEHOLM</t>
        </is>
      </c>
      <c r="G522" t="n">
        <v>2.4</v>
      </c>
      <c r="H522" t="n">
        <v>0</v>
      </c>
      <c r="I522" t="n">
        <v>0</v>
      </c>
      <c r="J522" t="n">
        <v>0</v>
      </c>
      <c r="K522" t="n">
        <v>0</v>
      </c>
      <c r="L522" t="n">
        <v>0</v>
      </c>
      <c r="M522" t="n">
        <v>0</v>
      </c>
      <c r="N522" t="n">
        <v>0</v>
      </c>
      <c r="O522" t="n">
        <v>0</v>
      </c>
      <c r="P522" t="n">
        <v>0</v>
      </c>
      <c r="Q522" t="n">
        <v>0</v>
      </c>
      <c r="R522" s="2" t="inlineStr"/>
    </row>
    <row r="523" ht="15" customHeight="1">
      <c r="A523" t="inlineStr">
        <is>
          <t>A 16017-2023</t>
        </is>
      </c>
      <c r="B523" s="1" t="n">
        <v>45026</v>
      </c>
      <c r="C523" s="1" t="n">
        <v>46171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5103-2026</t>
        </is>
      </c>
      <c r="B524" s="1" t="n">
        <v>46049.56725694444</v>
      </c>
      <c r="C524" s="1" t="n">
        <v>46171</v>
      </c>
      <c r="D524" t="inlineStr">
        <is>
          <t>SKÅNE LÄN</t>
        </is>
      </c>
      <c r="E524" t="inlineStr">
        <is>
          <t>HÄSSLEHOLM</t>
        </is>
      </c>
      <c r="G524" t="n">
        <v>5.4</v>
      </c>
      <c r="H524" t="n">
        <v>0</v>
      </c>
      <c r="I524" t="n">
        <v>0</v>
      </c>
      <c r="J524" t="n">
        <v>0</v>
      </c>
      <c r="K524" t="n">
        <v>0</v>
      </c>
      <c r="L524" t="n">
        <v>0</v>
      </c>
      <c r="M524" t="n">
        <v>0</v>
      </c>
      <c r="N524" t="n">
        <v>0</v>
      </c>
      <c r="O524" t="n">
        <v>0</v>
      </c>
      <c r="P524" t="n">
        <v>0</v>
      </c>
      <c r="Q524" t="n">
        <v>0</v>
      </c>
      <c r="R524" s="2" t="inlineStr"/>
    </row>
    <row r="525" ht="15" customHeight="1">
      <c r="A525" t="inlineStr">
        <is>
          <t>A 31989-2024</t>
        </is>
      </c>
      <c r="B525" s="1" t="n">
        <v>45510.58085648148</v>
      </c>
      <c r="C525" s="1" t="n">
        <v>46171</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5497-2026</t>
        </is>
      </c>
      <c r="B526" s="1" t="n">
        <v>46050.61875</v>
      </c>
      <c r="C526" s="1" t="n">
        <v>46171</v>
      </c>
      <c r="D526" t="inlineStr">
        <is>
          <t>SKÅNE LÄN</t>
        </is>
      </c>
      <c r="E526" t="inlineStr">
        <is>
          <t>HÄSSLEHOLM</t>
        </is>
      </c>
      <c r="G526" t="n">
        <v>1</v>
      </c>
      <c r="H526" t="n">
        <v>0</v>
      </c>
      <c r="I526" t="n">
        <v>0</v>
      </c>
      <c r="J526" t="n">
        <v>0</v>
      </c>
      <c r="K526" t="n">
        <v>0</v>
      </c>
      <c r="L526" t="n">
        <v>0</v>
      </c>
      <c r="M526" t="n">
        <v>0</v>
      </c>
      <c r="N526" t="n">
        <v>0</v>
      </c>
      <c r="O526" t="n">
        <v>0</v>
      </c>
      <c r="P526" t="n">
        <v>0</v>
      </c>
      <c r="Q526" t="n">
        <v>0</v>
      </c>
      <c r="R526" s="2" t="inlineStr"/>
    </row>
    <row r="527" ht="15" customHeight="1">
      <c r="A527" t="inlineStr">
        <is>
          <t>A 5503-2026</t>
        </is>
      </c>
      <c r="B527" s="1" t="n">
        <v>46050.62509259259</v>
      </c>
      <c r="C527" s="1" t="n">
        <v>46171</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35640-2023</t>
        </is>
      </c>
      <c r="B528" s="1" t="n">
        <v>45147</v>
      </c>
      <c r="C528" s="1" t="n">
        <v>46171</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49135-2025</t>
        </is>
      </c>
      <c r="B529" s="1" t="n">
        <v>45938.00990740741</v>
      </c>
      <c r="C529" s="1" t="n">
        <v>46171</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49136-2025</t>
        </is>
      </c>
      <c r="B530" s="1" t="n">
        <v>45938.01277777777</v>
      </c>
      <c r="C530" s="1" t="n">
        <v>46171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49137-2025</t>
        </is>
      </c>
      <c r="B531" s="1" t="n">
        <v>45938.05672453704</v>
      </c>
      <c r="C531" s="1" t="n">
        <v>46171</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48771-2024</t>
        </is>
      </c>
      <c r="B532" s="1" t="n">
        <v>45593.61284722222</v>
      </c>
      <c r="C532" s="1" t="n">
        <v>46171</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24241-2023</t>
        </is>
      </c>
      <c r="B533" s="1" t="n">
        <v>45079.61476851852</v>
      </c>
      <c r="C533" s="1" t="n">
        <v>46171</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23987-2024</t>
        </is>
      </c>
      <c r="B534" s="1" t="n">
        <v>45456</v>
      </c>
      <c r="C534" s="1" t="n">
        <v>46171</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19739-2023</t>
        </is>
      </c>
      <c r="B535" s="1" t="n">
        <v>45051</v>
      </c>
      <c r="C535" s="1" t="n">
        <v>46171</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59246-2024</t>
        </is>
      </c>
      <c r="B536" s="1" t="n">
        <v>45636</v>
      </c>
      <c r="C536" s="1" t="n">
        <v>46171</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23666-2023</t>
        </is>
      </c>
      <c r="B537" s="1" t="n">
        <v>45077</v>
      </c>
      <c r="C537" s="1" t="n">
        <v>46171</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35237-2023</t>
        </is>
      </c>
      <c r="B538" s="1" t="n">
        <v>45145.74532407407</v>
      </c>
      <c r="C538" s="1" t="n">
        <v>46171</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260-2024</t>
        </is>
      </c>
      <c r="B539" s="1" t="n">
        <v>45294</v>
      </c>
      <c r="C539" s="1" t="n">
        <v>46171</v>
      </c>
      <c r="D539" t="inlineStr">
        <is>
          <t>SKÅNE LÄN</t>
        </is>
      </c>
      <c r="E539" t="inlineStr">
        <is>
          <t>HÄSSLEHOLM</t>
        </is>
      </c>
      <c r="G539" t="n">
        <v>0.2</v>
      </c>
      <c r="H539" t="n">
        <v>0</v>
      </c>
      <c r="I539" t="n">
        <v>0</v>
      </c>
      <c r="J539" t="n">
        <v>0</v>
      </c>
      <c r="K539" t="n">
        <v>0</v>
      </c>
      <c r="L539" t="n">
        <v>0</v>
      </c>
      <c r="M539" t="n">
        <v>0</v>
      </c>
      <c r="N539" t="n">
        <v>0</v>
      </c>
      <c r="O539" t="n">
        <v>0</v>
      </c>
      <c r="P539" t="n">
        <v>0</v>
      </c>
      <c r="Q539" t="n">
        <v>0</v>
      </c>
      <c r="R539" s="2" t="inlineStr"/>
    </row>
    <row r="540" ht="15" customHeight="1">
      <c r="A540" t="inlineStr">
        <is>
          <t>A 49845-2025</t>
        </is>
      </c>
      <c r="B540" s="1" t="n">
        <v>45940.48015046296</v>
      </c>
      <c r="C540" s="1" t="n">
        <v>46171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57275-2023</t>
        </is>
      </c>
      <c r="B541" s="1" t="n">
        <v>45245.58886574074</v>
      </c>
      <c r="C541" s="1" t="n">
        <v>46171</v>
      </c>
      <c r="D541" t="inlineStr">
        <is>
          <t>SKÅNE LÄN</t>
        </is>
      </c>
      <c r="E541" t="inlineStr">
        <is>
          <t>HÄSSLEHOLM</t>
        </is>
      </c>
      <c r="G541" t="n">
        <v>1.7</v>
      </c>
      <c r="H541" t="n">
        <v>0</v>
      </c>
      <c r="I541" t="n">
        <v>0</v>
      </c>
      <c r="J541" t="n">
        <v>0</v>
      </c>
      <c r="K541" t="n">
        <v>0</v>
      </c>
      <c r="L541" t="n">
        <v>0</v>
      </c>
      <c r="M541" t="n">
        <v>0</v>
      </c>
      <c r="N541" t="n">
        <v>0</v>
      </c>
      <c r="O541" t="n">
        <v>0</v>
      </c>
      <c r="P541" t="n">
        <v>0</v>
      </c>
      <c r="Q541" t="n">
        <v>0</v>
      </c>
      <c r="R541" s="2" t="inlineStr"/>
    </row>
    <row r="542" ht="15" customHeight="1">
      <c r="A542" t="inlineStr">
        <is>
          <t>A 5757-2026</t>
        </is>
      </c>
      <c r="B542" s="1" t="n">
        <v>46051.61309027778</v>
      </c>
      <c r="C542" s="1" t="n">
        <v>46171</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5759-2026</t>
        </is>
      </c>
      <c r="B543" s="1" t="n">
        <v>46051.61814814815</v>
      </c>
      <c r="C543" s="1" t="n">
        <v>46171</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58632-2025</t>
        </is>
      </c>
      <c r="B544" s="1" t="n">
        <v>45986</v>
      </c>
      <c r="C544" s="1" t="n">
        <v>46171</v>
      </c>
      <c r="D544" t="inlineStr">
        <is>
          <t>SKÅNE LÄN</t>
        </is>
      </c>
      <c r="E544" t="inlineStr">
        <is>
          <t>HÄSSLEHOLM</t>
        </is>
      </c>
      <c r="G544" t="n">
        <v>1</v>
      </c>
      <c r="H544" t="n">
        <v>0</v>
      </c>
      <c r="I544" t="n">
        <v>0</v>
      </c>
      <c r="J544" t="n">
        <v>0</v>
      </c>
      <c r="K544" t="n">
        <v>0</v>
      </c>
      <c r="L544" t="n">
        <v>0</v>
      </c>
      <c r="M544" t="n">
        <v>0</v>
      </c>
      <c r="N544" t="n">
        <v>0</v>
      </c>
      <c r="O544" t="n">
        <v>0</v>
      </c>
      <c r="P544" t="n">
        <v>0</v>
      </c>
      <c r="Q544" t="n">
        <v>0</v>
      </c>
      <c r="R544" s="2" t="inlineStr"/>
    </row>
    <row r="545" ht="15" customHeight="1">
      <c r="A545" t="inlineStr">
        <is>
          <t>A 29649-2025</t>
        </is>
      </c>
      <c r="B545" s="1" t="n">
        <v>45825.47446759259</v>
      </c>
      <c r="C545" s="1" t="n">
        <v>46171</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27304-2023</t>
        </is>
      </c>
      <c r="B546" s="1" t="n">
        <v>45096.65199074074</v>
      </c>
      <c r="C546" s="1" t="n">
        <v>46171</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33948-2025</t>
        </is>
      </c>
      <c r="B547" s="1" t="n">
        <v>45842.65945601852</v>
      </c>
      <c r="C547" s="1" t="n">
        <v>46171</v>
      </c>
      <c r="D547" t="inlineStr">
        <is>
          <t>SKÅNE LÄN</t>
        </is>
      </c>
      <c r="E547" t="inlineStr">
        <is>
          <t>HÄSSLEHOLM</t>
        </is>
      </c>
      <c r="G547" t="n">
        <v>8.5</v>
      </c>
      <c r="H547" t="n">
        <v>0</v>
      </c>
      <c r="I547" t="n">
        <v>0</v>
      </c>
      <c r="J547" t="n">
        <v>0</v>
      </c>
      <c r="K547" t="n">
        <v>0</v>
      </c>
      <c r="L547" t="n">
        <v>0</v>
      </c>
      <c r="M547" t="n">
        <v>0</v>
      </c>
      <c r="N547" t="n">
        <v>0</v>
      </c>
      <c r="O547" t="n">
        <v>0</v>
      </c>
      <c r="P547" t="n">
        <v>0</v>
      </c>
      <c r="Q547" t="n">
        <v>0</v>
      </c>
      <c r="R547" s="2" t="inlineStr"/>
    </row>
    <row r="548" ht="15" customHeight="1">
      <c r="A548" t="inlineStr">
        <is>
          <t>A 48191-2021</t>
        </is>
      </c>
      <c r="B548" s="1" t="n">
        <v>44449</v>
      </c>
      <c r="C548" s="1" t="n">
        <v>46171</v>
      </c>
      <c r="D548" t="inlineStr">
        <is>
          <t>SKÅNE LÄN</t>
        </is>
      </c>
      <c r="E548" t="inlineStr">
        <is>
          <t>HÄSSLEHOLM</t>
        </is>
      </c>
      <c r="G548" t="n">
        <v>6</v>
      </c>
      <c r="H548" t="n">
        <v>0</v>
      </c>
      <c r="I548" t="n">
        <v>0</v>
      </c>
      <c r="J548" t="n">
        <v>0</v>
      </c>
      <c r="K548" t="n">
        <v>0</v>
      </c>
      <c r="L548" t="n">
        <v>0</v>
      </c>
      <c r="M548" t="n">
        <v>0</v>
      </c>
      <c r="N548" t="n">
        <v>0</v>
      </c>
      <c r="O548" t="n">
        <v>0</v>
      </c>
      <c r="P548" t="n">
        <v>0</v>
      </c>
      <c r="Q548" t="n">
        <v>0</v>
      </c>
      <c r="R548" s="2" t="inlineStr"/>
    </row>
    <row r="549" ht="15" customHeight="1">
      <c r="A549" t="inlineStr">
        <is>
          <t>A 6845-2023</t>
        </is>
      </c>
      <c r="B549" s="1" t="n">
        <v>44967</v>
      </c>
      <c r="C549" s="1" t="n">
        <v>46171</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33875-2025</t>
        </is>
      </c>
      <c r="B550" s="1" t="n">
        <v>45842.55300925926</v>
      </c>
      <c r="C550" s="1" t="n">
        <v>46171</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6309-2026</t>
        </is>
      </c>
      <c r="B551" s="1" t="n">
        <v>46055.57369212963</v>
      </c>
      <c r="C551" s="1" t="n">
        <v>46171</v>
      </c>
      <c r="D551" t="inlineStr">
        <is>
          <t>SKÅNE LÄN</t>
        </is>
      </c>
      <c r="E551" t="inlineStr">
        <is>
          <t>HÄSSLEHOLM</t>
        </is>
      </c>
      <c r="G551" t="n">
        <v>3.5</v>
      </c>
      <c r="H551" t="n">
        <v>0</v>
      </c>
      <c r="I551" t="n">
        <v>0</v>
      </c>
      <c r="J551" t="n">
        <v>0</v>
      </c>
      <c r="K551" t="n">
        <v>0</v>
      </c>
      <c r="L551" t="n">
        <v>0</v>
      </c>
      <c r="M551" t="n">
        <v>0</v>
      </c>
      <c r="N551" t="n">
        <v>0</v>
      </c>
      <c r="O551" t="n">
        <v>0</v>
      </c>
      <c r="P551" t="n">
        <v>0</v>
      </c>
      <c r="Q551" t="n">
        <v>0</v>
      </c>
      <c r="R551" s="2" t="inlineStr"/>
    </row>
    <row r="552" ht="15" customHeight="1">
      <c r="A552" t="inlineStr">
        <is>
          <t>A 6299-2026</t>
        </is>
      </c>
      <c r="B552" s="1" t="n">
        <v>46055.56623842593</v>
      </c>
      <c r="C552" s="1" t="n">
        <v>46171</v>
      </c>
      <c r="D552" t="inlineStr">
        <is>
          <t>SKÅNE LÄN</t>
        </is>
      </c>
      <c r="E552" t="inlineStr">
        <is>
          <t>HÄSSLEHOLM</t>
        </is>
      </c>
      <c r="G552" t="n">
        <v>5.2</v>
      </c>
      <c r="H552" t="n">
        <v>0</v>
      </c>
      <c r="I552" t="n">
        <v>0</v>
      </c>
      <c r="J552" t="n">
        <v>0</v>
      </c>
      <c r="K552" t="n">
        <v>0</v>
      </c>
      <c r="L552" t="n">
        <v>0</v>
      </c>
      <c r="M552" t="n">
        <v>0</v>
      </c>
      <c r="N552" t="n">
        <v>0</v>
      </c>
      <c r="O552" t="n">
        <v>0</v>
      </c>
      <c r="P552" t="n">
        <v>0</v>
      </c>
      <c r="Q552" t="n">
        <v>0</v>
      </c>
      <c r="R552" s="2" t="inlineStr"/>
    </row>
    <row r="553" ht="15" customHeight="1">
      <c r="A553" t="inlineStr">
        <is>
          <t>A 32834-2024</t>
        </is>
      </c>
      <c r="B553" s="1" t="n">
        <v>45516.6025</v>
      </c>
      <c r="C553" s="1" t="n">
        <v>46171</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6363-2026</t>
        </is>
      </c>
      <c r="B554" s="1" t="n">
        <v>46055.62319444444</v>
      </c>
      <c r="C554" s="1" t="n">
        <v>46171</v>
      </c>
      <c r="D554" t="inlineStr">
        <is>
          <t>SKÅNE LÄN</t>
        </is>
      </c>
      <c r="E554" t="inlineStr">
        <is>
          <t>HÄSSLEHOLM</t>
        </is>
      </c>
      <c r="G554" t="n">
        <v>4.4</v>
      </c>
      <c r="H554" t="n">
        <v>0</v>
      </c>
      <c r="I554" t="n">
        <v>0</v>
      </c>
      <c r="J554" t="n">
        <v>0</v>
      </c>
      <c r="K554" t="n">
        <v>0</v>
      </c>
      <c r="L554" t="n">
        <v>0</v>
      </c>
      <c r="M554" t="n">
        <v>0</v>
      </c>
      <c r="N554" t="n">
        <v>0</v>
      </c>
      <c r="O554" t="n">
        <v>0</v>
      </c>
      <c r="P554" t="n">
        <v>0</v>
      </c>
      <c r="Q554" t="n">
        <v>0</v>
      </c>
      <c r="R554" s="2" t="inlineStr"/>
    </row>
    <row r="555" ht="15" customHeight="1">
      <c r="A555" t="inlineStr">
        <is>
          <t>A 6449-2026</t>
        </is>
      </c>
      <c r="B555" s="1" t="n">
        <v>46055.87239583334</v>
      </c>
      <c r="C555" s="1" t="n">
        <v>46171</v>
      </c>
      <c r="D555" t="inlineStr">
        <is>
          <t>SKÅNE LÄN</t>
        </is>
      </c>
      <c r="E555" t="inlineStr">
        <is>
          <t>HÄSSLEHOLM</t>
        </is>
      </c>
      <c r="G555" t="n">
        <v>1.8</v>
      </c>
      <c r="H555" t="n">
        <v>0</v>
      </c>
      <c r="I555" t="n">
        <v>0</v>
      </c>
      <c r="J555" t="n">
        <v>0</v>
      </c>
      <c r="K555" t="n">
        <v>0</v>
      </c>
      <c r="L555" t="n">
        <v>0</v>
      </c>
      <c r="M555" t="n">
        <v>0</v>
      </c>
      <c r="N555" t="n">
        <v>0</v>
      </c>
      <c r="O555" t="n">
        <v>0</v>
      </c>
      <c r="P555" t="n">
        <v>0</v>
      </c>
      <c r="Q555" t="n">
        <v>0</v>
      </c>
      <c r="R555" s="2" t="inlineStr"/>
    </row>
    <row r="556" ht="15" customHeight="1">
      <c r="A556" t="inlineStr">
        <is>
          <t>A 24904-2025</t>
        </is>
      </c>
      <c r="B556" s="1" t="n">
        <v>45799</v>
      </c>
      <c r="C556" s="1" t="n">
        <v>46171</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33877-2025</t>
        </is>
      </c>
      <c r="B557" s="1" t="n">
        <v>45842.55564814815</v>
      </c>
      <c r="C557" s="1" t="n">
        <v>46171</v>
      </c>
      <c r="D557" t="inlineStr">
        <is>
          <t>SKÅNE LÄN</t>
        </is>
      </c>
      <c r="E557" t="inlineStr">
        <is>
          <t>HÄSSLEHOLM</t>
        </is>
      </c>
      <c r="G557" t="n">
        <v>3.9</v>
      </c>
      <c r="H557" t="n">
        <v>0</v>
      </c>
      <c r="I557" t="n">
        <v>0</v>
      </c>
      <c r="J557" t="n">
        <v>0</v>
      </c>
      <c r="K557" t="n">
        <v>0</v>
      </c>
      <c r="L557" t="n">
        <v>0</v>
      </c>
      <c r="M557" t="n">
        <v>0</v>
      </c>
      <c r="N557" t="n">
        <v>0</v>
      </c>
      <c r="O557" t="n">
        <v>0</v>
      </c>
      <c r="P557" t="n">
        <v>0</v>
      </c>
      <c r="Q557" t="n">
        <v>0</v>
      </c>
      <c r="R557" s="2" t="inlineStr"/>
    </row>
    <row r="558" ht="15" customHeight="1">
      <c r="A558" t="inlineStr">
        <is>
          <t>A 33879-2025</t>
        </is>
      </c>
      <c r="B558" s="1" t="n">
        <v>45842.55766203703</v>
      </c>
      <c r="C558" s="1" t="n">
        <v>46171</v>
      </c>
      <c r="D558" t="inlineStr">
        <is>
          <t>SKÅNE LÄN</t>
        </is>
      </c>
      <c r="E558" t="inlineStr">
        <is>
          <t>HÄSSLEHOLM</t>
        </is>
      </c>
      <c r="G558" t="n">
        <v>6.1</v>
      </c>
      <c r="H558" t="n">
        <v>0</v>
      </c>
      <c r="I558" t="n">
        <v>0</v>
      </c>
      <c r="J558" t="n">
        <v>0</v>
      </c>
      <c r="K558" t="n">
        <v>0</v>
      </c>
      <c r="L558" t="n">
        <v>0</v>
      </c>
      <c r="M558" t="n">
        <v>0</v>
      </c>
      <c r="N558" t="n">
        <v>0</v>
      </c>
      <c r="O558" t="n">
        <v>0</v>
      </c>
      <c r="P558" t="n">
        <v>0</v>
      </c>
      <c r="Q558" t="n">
        <v>0</v>
      </c>
      <c r="R558" s="2" t="inlineStr"/>
    </row>
    <row r="559" ht="15" customHeight="1">
      <c r="A559" t="inlineStr">
        <is>
          <t>A 50676-2025</t>
        </is>
      </c>
      <c r="B559" s="1" t="n">
        <v>45945</v>
      </c>
      <c r="C559" s="1" t="n">
        <v>46171</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50677-2025</t>
        </is>
      </c>
      <c r="B560" s="1" t="n">
        <v>45945</v>
      </c>
      <c r="C560" s="1" t="n">
        <v>46171</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50834-2025</t>
        </is>
      </c>
      <c r="B561" s="1" t="n">
        <v>45946.55746527778</v>
      </c>
      <c r="C561" s="1" t="n">
        <v>46171</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6295-2026</t>
        </is>
      </c>
      <c r="B562" s="1" t="n">
        <v>46055.56115740741</v>
      </c>
      <c r="C562" s="1" t="n">
        <v>46171</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49199-2024</t>
        </is>
      </c>
      <c r="B563" s="1" t="n">
        <v>45595</v>
      </c>
      <c r="C563" s="1" t="n">
        <v>46171</v>
      </c>
      <c r="D563" t="inlineStr">
        <is>
          <t>SKÅNE LÄN</t>
        </is>
      </c>
      <c r="E563" t="inlineStr">
        <is>
          <t>HÄSSLEHOLM</t>
        </is>
      </c>
      <c r="G563" t="n">
        <v>5.2</v>
      </c>
      <c r="H563" t="n">
        <v>0</v>
      </c>
      <c r="I563" t="n">
        <v>0</v>
      </c>
      <c r="J563" t="n">
        <v>0</v>
      </c>
      <c r="K563" t="n">
        <v>0</v>
      </c>
      <c r="L563" t="n">
        <v>0</v>
      </c>
      <c r="M563" t="n">
        <v>0</v>
      </c>
      <c r="N563" t="n">
        <v>0</v>
      </c>
      <c r="O563" t="n">
        <v>0</v>
      </c>
      <c r="P563" t="n">
        <v>0</v>
      </c>
      <c r="Q563" t="n">
        <v>0</v>
      </c>
      <c r="R563" s="2" t="inlineStr"/>
    </row>
    <row r="564" ht="15" customHeight="1">
      <c r="A564" t="inlineStr">
        <is>
          <t>A 58886-2024</t>
        </is>
      </c>
      <c r="B564" s="1" t="n">
        <v>45636.45380787037</v>
      </c>
      <c r="C564" s="1" t="n">
        <v>46171</v>
      </c>
      <c r="D564" t="inlineStr">
        <is>
          <t>SKÅNE LÄN</t>
        </is>
      </c>
      <c r="E564" t="inlineStr">
        <is>
          <t>HÄSSLEHOLM</t>
        </is>
      </c>
      <c r="G564" t="n">
        <v>1.9</v>
      </c>
      <c r="H564" t="n">
        <v>0</v>
      </c>
      <c r="I564" t="n">
        <v>0</v>
      </c>
      <c r="J564" t="n">
        <v>0</v>
      </c>
      <c r="K564" t="n">
        <v>0</v>
      </c>
      <c r="L564" t="n">
        <v>0</v>
      </c>
      <c r="M564" t="n">
        <v>0</v>
      </c>
      <c r="N564" t="n">
        <v>0</v>
      </c>
      <c r="O564" t="n">
        <v>0</v>
      </c>
      <c r="P564" t="n">
        <v>0</v>
      </c>
      <c r="Q564" t="n">
        <v>0</v>
      </c>
      <c r="R564" s="2" t="inlineStr"/>
    </row>
    <row r="565" ht="15" customHeight="1">
      <c r="A565" t="inlineStr">
        <is>
          <t>A 33562-2025</t>
        </is>
      </c>
      <c r="B565" s="1" t="n">
        <v>45841.57803240741</v>
      </c>
      <c r="C565" s="1" t="n">
        <v>46171</v>
      </c>
      <c r="D565" t="inlineStr">
        <is>
          <t>SKÅNE LÄN</t>
        </is>
      </c>
      <c r="E565" t="inlineStr">
        <is>
          <t>HÄSSLEHOLM</t>
        </is>
      </c>
      <c r="G565" t="n">
        <v>2.8</v>
      </c>
      <c r="H565" t="n">
        <v>0</v>
      </c>
      <c r="I565" t="n">
        <v>0</v>
      </c>
      <c r="J565" t="n">
        <v>0</v>
      </c>
      <c r="K565" t="n">
        <v>0</v>
      </c>
      <c r="L565" t="n">
        <v>0</v>
      </c>
      <c r="M565" t="n">
        <v>0</v>
      </c>
      <c r="N565" t="n">
        <v>0</v>
      </c>
      <c r="O565" t="n">
        <v>0</v>
      </c>
      <c r="P565" t="n">
        <v>0</v>
      </c>
      <c r="Q565" t="n">
        <v>0</v>
      </c>
      <c r="R565" s="2" t="inlineStr"/>
    </row>
    <row r="566" ht="15" customHeight="1">
      <c r="A566" t="inlineStr">
        <is>
          <t>A 33950-2025</t>
        </is>
      </c>
      <c r="B566" s="1" t="n">
        <v>45842</v>
      </c>
      <c r="C566" s="1" t="n">
        <v>46171</v>
      </c>
      <c r="D566" t="inlineStr">
        <is>
          <t>SKÅNE LÄN</t>
        </is>
      </c>
      <c r="E566" t="inlineStr">
        <is>
          <t>HÄSSLEHOLM</t>
        </is>
      </c>
      <c r="G566" t="n">
        <v>5.7</v>
      </c>
      <c r="H566" t="n">
        <v>0</v>
      </c>
      <c r="I566" t="n">
        <v>0</v>
      </c>
      <c r="J566" t="n">
        <v>0</v>
      </c>
      <c r="K566" t="n">
        <v>0</v>
      </c>
      <c r="L566" t="n">
        <v>0</v>
      </c>
      <c r="M566" t="n">
        <v>0</v>
      </c>
      <c r="N566" t="n">
        <v>0</v>
      </c>
      <c r="O566" t="n">
        <v>0</v>
      </c>
      <c r="P566" t="n">
        <v>0</v>
      </c>
      <c r="Q566" t="n">
        <v>0</v>
      </c>
      <c r="R566" s="2" t="inlineStr"/>
    </row>
    <row r="567" ht="15" customHeight="1">
      <c r="A567" t="inlineStr">
        <is>
          <t>A 50839-2025</t>
        </is>
      </c>
      <c r="B567" s="1" t="n">
        <v>45946</v>
      </c>
      <c r="C567" s="1" t="n">
        <v>46171</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50678-2025</t>
        </is>
      </c>
      <c r="B568" s="1" t="n">
        <v>45945</v>
      </c>
      <c r="C568" s="1" t="n">
        <v>46171</v>
      </c>
      <c r="D568" t="inlineStr">
        <is>
          <t>SKÅNE LÄN</t>
        </is>
      </c>
      <c r="E568" t="inlineStr">
        <is>
          <t>HÄSSLEHOLM</t>
        </is>
      </c>
      <c r="G568" t="n">
        <v>1.2</v>
      </c>
      <c r="H568" t="n">
        <v>0</v>
      </c>
      <c r="I568" t="n">
        <v>0</v>
      </c>
      <c r="J568" t="n">
        <v>0</v>
      </c>
      <c r="K568" t="n">
        <v>0</v>
      </c>
      <c r="L568" t="n">
        <v>0</v>
      </c>
      <c r="M568" t="n">
        <v>0</v>
      </c>
      <c r="N568" t="n">
        <v>0</v>
      </c>
      <c r="O568" t="n">
        <v>0</v>
      </c>
      <c r="P568" t="n">
        <v>0</v>
      </c>
      <c r="Q568" t="n">
        <v>0</v>
      </c>
      <c r="R568" s="2" t="inlineStr"/>
    </row>
    <row r="569" ht="15" customHeight="1">
      <c r="A569" t="inlineStr">
        <is>
          <t>A 13345-2025</t>
        </is>
      </c>
      <c r="B569" s="1" t="n">
        <v>45735.63017361111</v>
      </c>
      <c r="C569" s="1" t="n">
        <v>46171</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1886-2025</t>
        </is>
      </c>
      <c r="B570" s="1" t="n">
        <v>45671</v>
      </c>
      <c r="C570" s="1" t="n">
        <v>46171</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15536-2025</t>
        </is>
      </c>
      <c r="B571" s="1" t="n">
        <v>45747</v>
      </c>
      <c r="C571" s="1" t="n">
        <v>46171</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50829-2025</t>
        </is>
      </c>
      <c r="B572" s="1" t="n">
        <v>45946.55309027778</v>
      </c>
      <c r="C572" s="1" t="n">
        <v>46171</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49824-2024</t>
        </is>
      </c>
      <c r="B573" s="1" t="n">
        <v>45597</v>
      </c>
      <c r="C573" s="1" t="n">
        <v>46171</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12469-2023</t>
        </is>
      </c>
      <c r="B574" s="1" t="n">
        <v>44999.62109953703</v>
      </c>
      <c r="C574" s="1" t="n">
        <v>46171</v>
      </c>
      <c r="D574" t="inlineStr">
        <is>
          <t>SKÅNE LÄN</t>
        </is>
      </c>
      <c r="E574" t="inlineStr">
        <is>
          <t>HÄSSLEHOLM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48663-2024</t>
        </is>
      </c>
      <c r="B575" s="1" t="n">
        <v>45593.48892361111</v>
      </c>
      <c r="C575" s="1" t="n">
        <v>46171</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34174-2025</t>
        </is>
      </c>
      <c r="B576" s="1" t="n">
        <v>45844</v>
      </c>
      <c r="C576" s="1" t="n">
        <v>46171</v>
      </c>
      <c r="D576" t="inlineStr">
        <is>
          <t>SKÅNE LÄN</t>
        </is>
      </c>
      <c r="E576" t="inlineStr">
        <is>
          <t>HÄSSLEHOLM</t>
        </is>
      </c>
      <c r="G576" t="n">
        <v>4.7</v>
      </c>
      <c r="H576" t="n">
        <v>0</v>
      </c>
      <c r="I576" t="n">
        <v>0</v>
      </c>
      <c r="J576" t="n">
        <v>0</v>
      </c>
      <c r="K576" t="n">
        <v>0</v>
      </c>
      <c r="L576" t="n">
        <v>0</v>
      </c>
      <c r="M576" t="n">
        <v>0</v>
      </c>
      <c r="N576" t="n">
        <v>0</v>
      </c>
      <c r="O576" t="n">
        <v>0</v>
      </c>
      <c r="P576" t="n">
        <v>0</v>
      </c>
      <c r="Q576" t="n">
        <v>0</v>
      </c>
      <c r="R576" s="2" t="inlineStr"/>
    </row>
    <row r="577" ht="15" customHeight="1">
      <c r="A577" t="inlineStr">
        <is>
          <t>A 51024-2025</t>
        </is>
      </c>
      <c r="B577" s="1" t="n">
        <v>45947.395</v>
      </c>
      <c r="C577" s="1" t="n">
        <v>46171</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50659-2023</t>
        </is>
      </c>
      <c r="B578" s="1" t="n">
        <v>45217</v>
      </c>
      <c r="C578" s="1" t="n">
        <v>46171</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27464-2022</t>
        </is>
      </c>
      <c r="B579" s="1" t="n">
        <v>44742.58704861111</v>
      </c>
      <c r="C579" s="1" t="n">
        <v>46171</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6877-2026</t>
        </is>
      </c>
      <c r="B580" s="1" t="n">
        <v>46057.45768518518</v>
      </c>
      <c r="C580" s="1" t="n">
        <v>46171</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7244-2026</t>
        </is>
      </c>
      <c r="B581" s="1" t="n">
        <v>46058.58646990741</v>
      </c>
      <c r="C581" s="1" t="n">
        <v>46171</v>
      </c>
      <c r="D581" t="inlineStr">
        <is>
          <t>SKÅNE LÄN</t>
        </is>
      </c>
      <c r="E581" t="inlineStr">
        <is>
          <t>HÄSSLEHOLM</t>
        </is>
      </c>
      <c r="G581" t="n">
        <v>7</v>
      </c>
      <c r="H581" t="n">
        <v>0</v>
      </c>
      <c r="I581" t="n">
        <v>0</v>
      </c>
      <c r="J581" t="n">
        <v>0</v>
      </c>
      <c r="K581" t="n">
        <v>0</v>
      </c>
      <c r="L581" t="n">
        <v>0</v>
      </c>
      <c r="M581" t="n">
        <v>0</v>
      </c>
      <c r="N581" t="n">
        <v>0</v>
      </c>
      <c r="O581" t="n">
        <v>0</v>
      </c>
      <c r="P581" t="n">
        <v>0</v>
      </c>
      <c r="Q581" t="n">
        <v>0</v>
      </c>
      <c r="R581" s="2" t="inlineStr"/>
    </row>
    <row r="582" ht="15" customHeight="1">
      <c r="A582" t="inlineStr">
        <is>
          <t>A 50525-2024</t>
        </is>
      </c>
      <c r="B582" s="1" t="n">
        <v>45601</v>
      </c>
      <c r="C582" s="1" t="n">
        <v>46171</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34177-2025</t>
        </is>
      </c>
      <c r="B583" s="1" t="n">
        <v>45844</v>
      </c>
      <c r="C583" s="1" t="n">
        <v>46171</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22678-2025</t>
        </is>
      </c>
      <c r="B584" s="1" t="n">
        <v>45789.49725694444</v>
      </c>
      <c r="C584" s="1" t="n">
        <v>46171</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32958-2023</t>
        </is>
      </c>
      <c r="B585" s="1" t="n">
        <v>45125.52142361111</v>
      </c>
      <c r="C585" s="1" t="n">
        <v>46171</v>
      </c>
      <c r="D585" t="inlineStr">
        <is>
          <t>SKÅNE LÄN</t>
        </is>
      </c>
      <c r="E585" t="inlineStr">
        <is>
          <t>HÄSSLEHOLM</t>
        </is>
      </c>
      <c r="G585" t="n">
        <v>7.9</v>
      </c>
      <c r="H585" t="n">
        <v>0</v>
      </c>
      <c r="I585" t="n">
        <v>0</v>
      </c>
      <c r="J585" t="n">
        <v>0</v>
      </c>
      <c r="K585" t="n">
        <v>0</v>
      </c>
      <c r="L585" t="n">
        <v>0</v>
      </c>
      <c r="M585" t="n">
        <v>0</v>
      </c>
      <c r="N585" t="n">
        <v>0</v>
      </c>
      <c r="O585" t="n">
        <v>0</v>
      </c>
      <c r="P585" t="n">
        <v>0</v>
      </c>
      <c r="Q585" t="n">
        <v>0</v>
      </c>
      <c r="R585" s="2" t="inlineStr"/>
    </row>
    <row r="586" ht="15" customHeight="1">
      <c r="A586" t="inlineStr">
        <is>
          <t>A 51097-2025</t>
        </is>
      </c>
      <c r="B586" s="1" t="n">
        <v>45947.48018518519</v>
      </c>
      <c r="C586" s="1" t="n">
        <v>46171</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27242-2022</t>
        </is>
      </c>
      <c r="B587" s="1" t="n">
        <v>44741</v>
      </c>
      <c r="C587" s="1" t="n">
        <v>46171</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27197-2021</t>
        </is>
      </c>
      <c r="B588" s="1" t="n">
        <v>44350</v>
      </c>
      <c r="C588" s="1" t="n">
        <v>46171</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51795-2025</t>
        </is>
      </c>
      <c r="B589" s="1" t="n">
        <v>45951</v>
      </c>
      <c r="C589" s="1" t="n">
        <v>46171</v>
      </c>
      <c r="D589" t="inlineStr">
        <is>
          <t>SKÅNE LÄN</t>
        </is>
      </c>
      <c r="E589" t="inlineStr">
        <is>
          <t>HÄSSLEHOLM</t>
        </is>
      </c>
      <c r="G589" t="n">
        <v>2.4</v>
      </c>
      <c r="H589" t="n">
        <v>0</v>
      </c>
      <c r="I589" t="n">
        <v>0</v>
      </c>
      <c r="J589" t="n">
        <v>0</v>
      </c>
      <c r="K589" t="n">
        <v>0</v>
      </c>
      <c r="L589" t="n">
        <v>0</v>
      </c>
      <c r="M589" t="n">
        <v>0</v>
      </c>
      <c r="N589" t="n">
        <v>0</v>
      </c>
      <c r="O589" t="n">
        <v>0</v>
      </c>
      <c r="P589" t="n">
        <v>0</v>
      </c>
      <c r="Q589" t="n">
        <v>0</v>
      </c>
      <c r="R589" s="2" t="inlineStr"/>
    </row>
    <row r="590" ht="15" customHeight="1">
      <c r="A590" t="inlineStr">
        <is>
          <t>A 51796-2025</t>
        </is>
      </c>
      <c r="B590" s="1" t="n">
        <v>45951.74546296296</v>
      </c>
      <c r="C590" s="1" t="n">
        <v>46171</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63473-2025</t>
        </is>
      </c>
      <c r="B591" s="1" t="n">
        <v>46013.44364583334</v>
      </c>
      <c r="C591" s="1" t="n">
        <v>46171</v>
      </c>
      <c r="D591" t="inlineStr">
        <is>
          <t>SKÅNE LÄN</t>
        </is>
      </c>
      <c r="E591" t="inlineStr">
        <is>
          <t>HÄSSLEHOLM</t>
        </is>
      </c>
      <c r="F591" t="inlineStr">
        <is>
          <t>Kommuner</t>
        </is>
      </c>
      <c r="G591" t="n">
        <v>5.9</v>
      </c>
      <c r="H591" t="n">
        <v>0</v>
      </c>
      <c r="I591" t="n">
        <v>0</v>
      </c>
      <c r="J591" t="n">
        <v>0</v>
      </c>
      <c r="K591" t="n">
        <v>0</v>
      </c>
      <c r="L591" t="n">
        <v>0</v>
      </c>
      <c r="M591" t="n">
        <v>0</v>
      </c>
      <c r="N591" t="n">
        <v>0</v>
      </c>
      <c r="O591" t="n">
        <v>0</v>
      </c>
      <c r="P591" t="n">
        <v>0</v>
      </c>
      <c r="Q591" t="n">
        <v>0</v>
      </c>
      <c r="R591" s="2" t="inlineStr"/>
    </row>
    <row r="592" ht="15" customHeight="1">
      <c r="A592" t="inlineStr">
        <is>
          <t>A 51640-2025</t>
        </is>
      </c>
      <c r="B592" s="1" t="n">
        <v>45951.44361111111</v>
      </c>
      <c r="C592" s="1" t="n">
        <v>46171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51597-2025</t>
        </is>
      </c>
      <c r="B593" s="1" t="n">
        <v>45951.37163194444</v>
      </c>
      <c r="C593" s="1" t="n">
        <v>46171</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7721-2026</t>
        </is>
      </c>
      <c r="B594" s="1" t="n">
        <v>46059</v>
      </c>
      <c r="C594" s="1" t="n">
        <v>46171</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52126-2025</t>
        </is>
      </c>
      <c r="B595" s="1" t="n">
        <v>45952.72109953704</v>
      </c>
      <c r="C595" s="1" t="n">
        <v>46171</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33465-2024</t>
        </is>
      </c>
      <c r="B596" s="1" t="n">
        <v>45519.59619212963</v>
      </c>
      <c r="C596" s="1" t="n">
        <v>46171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31986-2023</t>
        </is>
      </c>
      <c r="B597" s="1" t="n">
        <v>45119</v>
      </c>
      <c r="C597" s="1" t="n">
        <v>46171</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41209-2023</t>
        </is>
      </c>
      <c r="B598" s="1" t="n">
        <v>45174.43481481481</v>
      </c>
      <c r="C598" s="1" t="n">
        <v>46171</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61197-2024</t>
        </is>
      </c>
      <c r="B599" s="1" t="n">
        <v>45645.63184027778</v>
      </c>
      <c r="C599" s="1" t="n">
        <v>46171</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34869-2025</t>
        </is>
      </c>
      <c r="B600" s="1" t="n">
        <v>45849</v>
      </c>
      <c r="C600" s="1" t="n">
        <v>46171</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13549-2025</t>
        </is>
      </c>
      <c r="B601" s="1" t="n">
        <v>45736</v>
      </c>
      <c r="C601" s="1" t="n">
        <v>46171</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35833-2023</t>
        </is>
      </c>
      <c r="B602" s="1" t="n">
        <v>45148</v>
      </c>
      <c r="C602" s="1" t="n">
        <v>46171</v>
      </c>
      <c r="D602" t="inlineStr">
        <is>
          <t>SKÅNE LÄN</t>
        </is>
      </c>
      <c r="E602" t="inlineStr">
        <is>
          <t>HÄSSLEHOLM</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7785-2026</t>
        </is>
      </c>
      <c r="B603" s="1" t="n">
        <v>46062.58422453704</v>
      </c>
      <c r="C603" s="1" t="n">
        <v>46171</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57491-2024</t>
        </is>
      </c>
      <c r="B604" s="1" t="n">
        <v>45629</v>
      </c>
      <c r="C604" s="1" t="n">
        <v>46171</v>
      </c>
      <c r="D604" t="inlineStr">
        <is>
          <t>SKÅNE LÄN</t>
        </is>
      </c>
      <c r="E604" t="inlineStr">
        <is>
          <t>HÄSSLEHOLM</t>
        </is>
      </c>
      <c r="G604" t="n">
        <v>3.2</v>
      </c>
      <c r="H604" t="n">
        <v>0</v>
      </c>
      <c r="I604" t="n">
        <v>0</v>
      </c>
      <c r="J604" t="n">
        <v>0</v>
      </c>
      <c r="K604" t="n">
        <v>0</v>
      </c>
      <c r="L604" t="n">
        <v>0</v>
      </c>
      <c r="M604" t="n">
        <v>0</v>
      </c>
      <c r="N604" t="n">
        <v>0</v>
      </c>
      <c r="O604" t="n">
        <v>0</v>
      </c>
      <c r="P604" t="n">
        <v>0</v>
      </c>
      <c r="Q604" t="n">
        <v>0</v>
      </c>
      <c r="R604" s="2" t="inlineStr"/>
    </row>
    <row r="605" ht="15" customHeight="1">
      <c r="A605" t="inlineStr">
        <is>
          <t>A 8538-2026</t>
        </is>
      </c>
      <c r="B605" s="1" t="n">
        <v>46064</v>
      </c>
      <c r="C605" s="1" t="n">
        <v>46171</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53018-2025</t>
        </is>
      </c>
      <c r="B606" s="1" t="n">
        <v>45957.90064814815</v>
      </c>
      <c r="C606" s="1" t="n">
        <v>46171</v>
      </c>
      <c r="D606" t="inlineStr">
        <is>
          <t>SKÅNE LÄN</t>
        </is>
      </c>
      <c r="E606" t="inlineStr">
        <is>
          <t>HÄSSLEHOLM</t>
        </is>
      </c>
      <c r="G606" t="n">
        <v>2.2</v>
      </c>
      <c r="H606" t="n">
        <v>0</v>
      </c>
      <c r="I606" t="n">
        <v>0</v>
      </c>
      <c r="J606" t="n">
        <v>0</v>
      </c>
      <c r="K606" t="n">
        <v>0</v>
      </c>
      <c r="L606" t="n">
        <v>0</v>
      </c>
      <c r="M606" t="n">
        <v>0</v>
      </c>
      <c r="N606" t="n">
        <v>0</v>
      </c>
      <c r="O606" t="n">
        <v>0</v>
      </c>
      <c r="P606" t="n">
        <v>0</v>
      </c>
      <c r="Q606" t="n">
        <v>0</v>
      </c>
      <c r="R606" s="2" t="inlineStr"/>
    </row>
    <row r="607" ht="15" customHeight="1">
      <c r="A607" t="inlineStr">
        <is>
          <t>A 58250-2024</t>
        </is>
      </c>
      <c r="B607" s="1" t="n">
        <v>45632.55643518519</v>
      </c>
      <c r="C607" s="1" t="n">
        <v>46171</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26207-2021</t>
        </is>
      </c>
      <c r="B608" s="1" t="n">
        <v>44347</v>
      </c>
      <c r="C608" s="1" t="n">
        <v>46171</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53056-2025</t>
        </is>
      </c>
      <c r="B609" s="1" t="n">
        <v>45958.36518518518</v>
      </c>
      <c r="C609" s="1" t="n">
        <v>46171</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53020-2025</t>
        </is>
      </c>
      <c r="B610" s="1" t="n">
        <v>45957.90707175926</v>
      </c>
      <c r="C610" s="1" t="n">
        <v>46171</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6798-2025</t>
        </is>
      </c>
      <c r="B611" s="1" t="n">
        <v>45700.668125</v>
      </c>
      <c r="C611" s="1" t="n">
        <v>46171</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69357-2021</t>
        </is>
      </c>
      <c r="B612" s="1" t="n">
        <v>44531</v>
      </c>
      <c r="C612" s="1" t="n">
        <v>46171</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35259-2025</t>
        </is>
      </c>
      <c r="B613" s="1" t="n">
        <v>45853.76912037037</v>
      </c>
      <c r="C613" s="1" t="n">
        <v>46171</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20970-2025</t>
        </is>
      </c>
      <c r="B614" s="1" t="n">
        <v>45777.45417824074</v>
      </c>
      <c r="C614" s="1" t="n">
        <v>46171</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37898-2021</t>
        </is>
      </c>
      <c r="B615" s="1" t="n">
        <v>44403</v>
      </c>
      <c r="C615" s="1" t="n">
        <v>46171</v>
      </c>
      <c r="D615" t="inlineStr">
        <is>
          <t>SKÅNE LÄN</t>
        </is>
      </c>
      <c r="E615" t="inlineStr">
        <is>
          <t>HÄSSLEHOLM</t>
        </is>
      </c>
      <c r="F615" t="inlineStr">
        <is>
          <t>Kommuner</t>
        </is>
      </c>
      <c r="G615" t="n">
        <v>8.4</v>
      </c>
      <c r="H615" t="n">
        <v>0</v>
      </c>
      <c r="I615" t="n">
        <v>0</v>
      </c>
      <c r="J615" t="n">
        <v>0</v>
      </c>
      <c r="K615" t="n">
        <v>0</v>
      </c>
      <c r="L615" t="n">
        <v>0</v>
      </c>
      <c r="M615" t="n">
        <v>0</v>
      </c>
      <c r="N615" t="n">
        <v>0</v>
      </c>
      <c r="O615" t="n">
        <v>0</v>
      </c>
      <c r="P615" t="n">
        <v>0</v>
      </c>
      <c r="Q615" t="n">
        <v>0</v>
      </c>
      <c r="R615" s="2" t="inlineStr"/>
    </row>
    <row r="616" ht="15" customHeight="1">
      <c r="A616" t="inlineStr">
        <is>
          <t>A 17413-2025</t>
        </is>
      </c>
      <c r="B616" s="1" t="n">
        <v>45757.37480324074</v>
      </c>
      <c r="C616" s="1" t="n">
        <v>46171</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35810-2023</t>
        </is>
      </c>
      <c r="B617" s="1" t="n">
        <v>45148.44046296296</v>
      </c>
      <c r="C617" s="1" t="n">
        <v>46171</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23172-2022</t>
        </is>
      </c>
      <c r="B618" s="1" t="n">
        <v>44719</v>
      </c>
      <c r="C618" s="1" t="n">
        <v>46171</v>
      </c>
      <c r="D618" t="inlineStr">
        <is>
          <t>SKÅNE LÄN</t>
        </is>
      </c>
      <c r="E618" t="inlineStr">
        <is>
          <t>HÄSSLEHOLM</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23173-2022</t>
        </is>
      </c>
      <c r="B619" s="1" t="n">
        <v>44719.72155092593</v>
      </c>
      <c r="C619" s="1" t="n">
        <v>46171</v>
      </c>
      <c r="D619" t="inlineStr">
        <is>
          <t>SKÅNE LÄN</t>
        </is>
      </c>
      <c r="E619" t="inlineStr">
        <is>
          <t>HÄSSLEHOLM</t>
        </is>
      </c>
      <c r="F619" t="inlineStr">
        <is>
          <t>Övriga Aktiebolag</t>
        </is>
      </c>
      <c r="G619" t="n">
        <v>0.9</v>
      </c>
      <c r="H619" t="n">
        <v>0</v>
      </c>
      <c r="I619" t="n">
        <v>0</v>
      </c>
      <c r="J619" t="n">
        <v>0</v>
      </c>
      <c r="K619" t="n">
        <v>0</v>
      </c>
      <c r="L619" t="n">
        <v>0</v>
      </c>
      <c r="M619" t="n">
        <v>0</v>
      </c>
      <c r="N619" t="n">
        <v>0</v>
      </c>
      <c r="O619" t="n">
        <v>0</v>
      </c>
      <c r="P619" t="n">
        <v>0</v>
      </c>
      <c r="Q619" t="n">
        <v>0</v>
      </c>
      <c r="R619" s="2" t="inlineStr"/>
    </row>
    <row r="620" ht="15" customHeight="1">
      <c r="A620" t="inlineStr">
        <is>
          <t>A 53424-2025</t>
        </is>
      </c>
      <c r="B620" s="1" t="n">
        <v>45959</v>
      </c>
      <c r="C620" s="1" t="n">
        <v>46171</v>
      </c>
      <c r="D620" t="inlineStr">
        <is>
          <t>SKÅNE LÄN</t>
        </is>
      </c>
      <c r="E620" t="inlineStr">
        <is>
          <t>HÄSSLEHOLM</t>
        </is>
      </c>
      <c r="G620" t="n">
        <v>3.4</v>
      </c>
      <c r="H620" t="n">
        <v>0</v>
      </c>
      <c r="I620" t="n">
        <v>0</v>
      </c>
      <c r="J620" t="n">
        <v>0</v>
      </c>
      <c r="K620" t="n">
        <v>0</v>
      </c>
      <c r="L620" t="n">
        <v>0</v>
      </c>
      <c r="M620" t="n">
        <v>0</v>
      </c>
      <c r="N620" t="n">
        <v>0</v>
      </c>
      <c r="O620" t="n">
        <v>0</v>
      </c>
      <c r="P620" t="n">
        <v>0</v>
      </c>
      <c r="Q620" t="n">
        <v>0</v>
      </c>
      <c r="R620" s="2" t="inlineStr"/>
    </row>
    <row r="621" ht="15" customHeight="1">
      <c r="A621" t="inlineStr">
        <is>
          <t>A 52608-2023</t>
        </is>
      </c>
      <c r="B621" s="1" t="n">
        <v>45219</v>
      </c>
      <c r="C621" s="1" t="n">
        <v>46171</v>
      </c>
      <c r="D621" t="inlineStr">
        <is>
          <t>SKÅNE LÄN</t>
        </is>
      </c>
      <c r="E621" t="inlineStr">
        <is>
          <t>HÄSSLEHOLM</t>
        </is>
      </c>
      <c r="F621" t="inlineStr">
        <is>
          <t>Övriga Aktiebolag</t>
        </is>
      </c>
      <c r="G621" t="n">
        <v>2.1</v>
      </c>
      <c r="H621" t="n">
        <v>0</v>
      </c>
      <c r="I621" t="n">
        <v>0</v>
      </c>
      <c r="J621" t="n">
        <v>0</v>
      </c>
      <c r="K621" t="n">
        <v>0</v>
      </c>
      <c r="L621" t="n">
        <v>0</v>
      </c>
      <c r="M621" t="n">
        <v>0</v>
      </c>
      <c r="N621" t="n">
        <v>0</v>
      </c>
      <c r="O621" t="n">
        <v>0</v>
      </c>
      <c r="P621" t="n">
        <v>0</v>
      </c>
      <c r="Q621" t="n">
        <v>0</v>
      </c>
      <c r="R621" s="2" t="inlineStr"/>
    </row>
    <row r="622" ht="15" customHeight="1">
      <c r="A622" t="inlineStr">
        <is>
          <t>A 8239-2025</t>
        </is>
      </c>
      <c r="B622" s="1" t="n">
        <v>45708.47984953703</v>
      </c>
      <c r="C622" s="1" t="n">
        <v>46171</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56355-2023</t>
        </is>
      </c>
      <c r="B623" s="1" t="n">
        <v>45243.3702662037</v>
      </c>
      <c r="C623" s="1" t="n">
        <v>46171</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9394-2025</t>
        </is>
      </c>
      <c r="B624" s="1" t="n">
        <v>45715.36387731481</v>
      </c>
      <c r="C624" s="1" t="n">
        <v>46171</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7305-2025</t>
        </is>
      </c>
      <c r="B625" s="1" t="n">
        <v>45702</v>
      </c>
      <c r="C625" s="1" t="n">
        <v>46171</v>
      </c>
      <c r="D625" t="inlineStr">
        <is>
          <t>SKÅNE LÄN</t>
        </is>
      </c>
      <c r="E625" t="inlineStr">
        <is>
          <t>HÄSSLEHOLM</t>
        </is>
      </c>
      <c r="F625" t="inlineStr">
        <is>
          <t>Övriga Aktiebolag</t>
        </is>
      </c>
      <c r="G625" t="n">
        <v>2.2</v>
      </c>
      <c r="H625" t="n">
        <v>0</v>
      </c>
      <c r="I625" t="n">
        <v>0</v>
      </c>
      <c r="J625" t="n">
        <v>0</v>
      </c>
      <c r="K625" t="n">
        <v>0</v>
      </c>
      <c r="L625" t="n">
        <v>0</v>
      </c>
      <c r="M625" t="n">
        <v>0</v>
      </c>
      <c r="N625" t="n">
        <v>0</v>
      </c>
      <c r="O625" t="n">
        <v>0</v>
      </c>
      <c r="P625" t="n">
        <v>0</v>
      </c>
      <c r="Q625" t="n">
        <v>0</v>
      </c>
      <c r="R625" s="2" t="inlineStr"/>
    </row>
    <row r="626" ht="15" customHeight="1">
      <c r="A626" t="inlineStr">
        <is>
          <t>A 52341-2023</t>
        </is>
      </c>
      <c r="B626" s="1" t="n">
        <v>45224.67006944444</v>
      </c>
      <c r="C626" s="1" t="n">
        <v>46171</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27173-2024</t>
        </is>
      </c>
      <c r="B627" s="1" t="n">
        <v>45471.57048611111</v>
      </c>
      <c r="C627" s="1" t="n">
        <v>46171</v>
      </c>
      <c r="D627" t="inlineStr">
        <is>
          <t>SKÅNE LÄN</t>
        </is>
      </c>
      <c r="E627" t="inlineStr">
        <is>
          <t>HÄSSLEHOLM</t>
        </is>
      </c>
      <c r="G627" t="n">
        <v>1.8</v>
      </c>
      <c r="H627" t="n">
        <v>0</v>
      </c>
      <c r="I627" t="n">
        <v>0</v>
      </c>
      <c r="J627" t="n">
        <v>0</v>
      </c>
      <c r="K627" t="n">
        <v>0</v>
      </c>
      <c r="L627" t="n">
        <v>0</v>
      </c>
      <c r="M627" t="n">
        <v>0</v>
      </c>
      <c r="N627" t="n">
        <v>0</v>
      </c>
      <c r="O627" t="n">
        <v>0</v>
      </c>
      <c r="P627" t="n">
        <v>0</v>
      </c>
      <c r="Q627" t="n">
        <v>0</v>
      </c>
      <c r="R627" s="2" t="inlineStr"/>
    </row>
    <row r="628" ht="15" customHeight="1">
      <c r="A628" t="inlineStr">
        <is>
          <t>A 15800-2025</t>
        </is>
      </c>
      <c r="B628" s="1" t="n">
        <v>45748.64831018518</v>
      </c>
      <c r="C628" s="1" t="n">
        <v>46171</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40780-2022</t>
        </is>
      </c>
      <c r="B629" s="1" t="n">
        <v>44820</v>
      </c>
      <c r="C629" s="1" t="n">
        <v>46171</v>
      </c>
      <c r="D629" t="inlineStr">
        <is>
          <t>SKÅNE LÄN</t>
        </is>
      </c>
      <c r="E629" t="inlineStr">
        <is>
          <t>HÄSSLEHOLM</t>
        </is>
      </c>
      <c r="G629" t="n">
        <v>7.4</v>
      </c>
      <c r="H629" t="n">
        <v>0</v>
      </c>
      <c r="I629" t="n">
        <v>0</v>
      </c>
      <c r="J629" t="n">
        <v>0</v>
      </c>
      <c r="K629" t="n">
        <v>0</v>
      </c>
      <c r="L629" t="n">
        <v>0</v>
      </c>
      <c r="M629" t="n">
        <v>0</v>
      </c>
      <c r="N629" t="n">
        <v>0</v>
      </c>
      <c r="O629" t="n">
        <v>0</v>
      </c>
      <c r="P629" t="n">
        <v>0</v>
      </c>
      <c r="Q629" t="n">
        <v>0</v>
      </c>
      <c r="R629" s="2" t="inlineStr"/>
    </row>
    <row r="630" ht="15" customHeight="1">
      <c r="A630" t="inlineStr">
        <is>
          <t>A 51245-2023</t>
        </is>
      </c>
      <c r="B630" s="1" t="n">
        <v>45212</v>
      </c>
      <c r="C630" s="1" t="n">
        <v>46171</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47161-2025</t>
        </is>
      </c>
      <c r="B631" s="1" t="n">
        <v>45929</v>
      </c>
      <c r="C631" s="1" t="n">
        <v>46171</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54668-2025</t>
        </is>
      </c>
      <c r="B632" s="1" t="n">
        <v>45966.40803240741</v>
      </c>
      <c r="C632" s="1" t="n">
        <v>46171</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54763-2025</t>
        </is>
      </c>
      <c r="B633" s="1" t="n">
        <v>45966.60167824074</v>
      </c>
      <c r="C633" s="1" t="n">
        <v>46171</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54664-2025</t>
        </is>
      </c>
      <c r="B634" s="1" t="n">
        <v>45966.40738425926</v>
      </c>
      <c r="C634" s="1" t="n">
        <v>46171</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36085-2025</t>
        </is>
      </c>
      <c r="B635" s="1" t="n">
        <v>45866.46190972222</v>
      </c>
      <c r="C635" s="1" t="n">
        <v>46171</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54771-2025</t>
        </is>
      </c>
      <c r="B636" s="1" t="n">
        <v>45966.60829861111</v>
      </c>
      <c r="C636" s="1" t="n">
        <v>46171</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48747-2022</t>
        </is>
      </c>
      <c r="B637" s="1" t="n">
        <v>44859</v>
      </c>
      <c r="C637" s="1" t="n">
        <v>46171</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7153-2025</t>
        </is>
      </c>
      <c r="B638" s="1" t="n">
        <v>45702.38512731482</v>
      </c>
      <c r="C638" s="1" t="n">
        <v>46171</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36130-2025</t>
        </is>
      </c>
      <c r="B639" s="1" t="n">
        <v>45866.62273148148</v>
      </c>
      <c r="C639" s="1" t="n">
        <v>46171</v>
      </c>
      <c r="D639" t="inlineStr">
        <is>
          <t>SKÅNE LÄN</t>
        </is>
      </c>
      <c r="E639" t="inlineStr">
        <is>
          <t>HÄSSLEHOLM</t>
        </is>
      </c>
      <c r="G639" t="n">
        <v>4.7</v>
      </c>
      <c r="H639" t="n">
        <v>0</v>
      </c>
      <c r="I639" t="n">
        <v>0</v>
      </c>
      <c r="J639" t="n">
        <v>0</v>
      </c>
      <c r="K639" t="n">
        <v>0</v>
      </c>
      <c r="L639" t="n">
        <v>0</v>
      </c>
      <c r="M639" t="n">
        <v>0</v>
      </c>
      <c r="N639" t="n">
        <v>0</v>
      </c>
      <c r="O639" t="n">
        <v>0</v>
      </c>
      <c r="P639" t="n">
        <v>0</v>
      </c>
      <c r="Q639" t="n">
        <v>0</v>
      </c>
      <c r="R639" s="2" t="inlineStr"/>
    </row>
    <row r="640" ht="15" customHeight="1">
      <c r="A640" t="inlineStr">
        <is>
          <t>A 19666-2025</t>
        </is>
      </c>
      <c r="B640" s="1" t="n">
        <v>45770.69326388889</v>
      </c>
      <c r="C640" s="1" t="n">
        <v>46171</v>
      </c>
      <c r="D640" t="inlineStr">
        <is>
          <t>SKÅNE LÄN</t>
        </is>
      </c>
      <c r="E640" t="inlineStr">
        <is>
          <t>HÄSSLEHOLM</t>
        </is>
      </c>
      <c r="G640" t="n">
        <v>2.4</v>
      </c>
      <c r="H640" t="n">
        <v>0</v>
      </c>
      <c r="I640" t="n">
        <v>0</v>
      </c>
      <c r="J640" t="n">
        <v>0</v>
      </c>
      <c r="K640" t="n">
        <v>0</v>
      </c>
      <c r="L640" t="n">
        <v>0</v>
      </c>
      <c r="M640" t="n">
        <v>0</v>
      </c>
      <c r="N640" t="n">
        <v>0</v>
      </c>
      <c r="O640" t="n">
        <v>0</v>
      </c>
      <c r="P640" t="n">
        <v>0</v>
      </c>
      <c r="Q640" t="n">
        <v>0</v>
      </c>
      <c r="R640" s="2" t="inlineStr"/>
    </row>
    <row r="641" ht="15" customHeight="1">
      <c r="A641" t="inlineStr">
        <is>
          <t>A 36361-2025</t>
        </is>
      </c>
      <c r="B641" s="1" t="n">
        <v>45867</v>
      </c>
      <c r="C641" s="1" t="n">
        <v>46171</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36358-2025</t>
        </is>
      </c>
      <c r="B642" s="1" t="n">
        <v>45867</v>
      </c>
      <c r="C642" s="1" t="n">
        <v>46171</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36359-2025</t>
        </is>
      </c>
      <c r="B643" s="1" t="n">
        <v>45867</v>
      </c>
      <c r="C643" s="1" t="n">
        <v>46171</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36259-2025</t>
        </is>
      </c>
      <c r="B644" s="1" t="n">
        <v>45867.59799768519</v>
      </c>
      <c r="C644" s="1" t="n">
        <v>46171</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8539-2026</t>
        </is>
      </c>
      <c r="B645" s="1" t="n">
        <v>46064</v>
      </c>
      <c r="C645" s="1" t="n">
        <v>46171</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7581-2023</t>
        </is>
      </c>
      <c r="B646" s="1" t="n">
        <v>44972.39556712963</v>
      </c>
      <c r="C646" s="1" t="n">
        <v>46171</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8367-2026</t>
        </is>
      </c>
      <c r="B647" s="1" t="n">
        <v>46064</v>
      </c>
      <c r="C647" s="1" t="n">
        <v>46171</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21141-2024</t>
        </is>
      </c>
      <c r="B648" s="1" t="n">
        <v>45440.39012731481</v>
      </c>
      <c r="C648" s="1" t="n">
        <v>46171</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8852-2026</t>
        </is>
      </c>
      <c r="B649" s="1" t="n">
        <v>46066.66105324074</v>
      </c>
      <c r="C649" s="1" t="n">
        <v>46171</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11603-2025</t>
        </is>
      </c>
      <c r="B650" s="1" t="n">
        <v>45727</v>
      </c>
      <c r="C650" s="1" t="n">
        <v>46171</v>
      </c>
      <c r="D650" t="inlineStr">
        <is>
          <t>SKÅNE LÄN</t>
        </is>
      </c>
      <c r="E650" t="inlineStr">
        <is>
          <t>HÄSSLEHOLM</t>
        </is>
      </c>
      <c r="G650" t="n">
        <v>5.6</v>
      </c>
      <c r="H650" t="n">
        <v>0</v>
      </c>
      <c r="I650" t="n">
        <v>0</v>
      </c>
      <c r="J650" t="n">
        <v>0</v>
      </c>
      <c r="K650" t="n">
        <v>0</v>
      </c>
      <c r="L650" t="n">
        <v>0</v>
      </c>
      <c r="M650" t="n">
        <v>0</v>
      </c>
      <c r="N650" t="n">
        <v>0</v>
      </c>
      <c r="O650" t="n">
        <v>0</v>
      </c>
      <c r="P650" t="n">
        <v>0</v>
      </c>
      <c r="Q650" t="n">
        <v>0</v>
      </c>
      <c r="R650" s="2" t="inlineStr"/>
    </row>
    <row r="651" ht="15" customHeight="1">
      <c r="A651" t="inlineStr">
        <is>
          <t>A 13712-2025</t>
        </is>
      </c>
      <c r="B651" s="1" t="n">
        <v>45737</v>
      </c>
      <c r="C651" s="1" t="n">
        <v>46171</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55268-2025</t>
        </is>
      </c>
      <c r="B652" s="1" t="n">
        <v>45968.6715625</v>
      </c>
      <c r="C652" s="1" t="n">
        <v>46171</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27297-2023</t>
        </is>
      </c>
      <c r="B653" s="1" t="n">
        <v>45096</v>
      </c>
      <c r="C653" s="1" t="n">
        <v>46171</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46288-2023</t>
        </is>
      </c>
      <c r="B654" s="1" t="n">
        <v>45197.30221064815</v>
      </c>
      <c r="C654" s="1" t="n">
        <v>46171</v>
      </c>
      <c r="D654" t="inlineStr">
        <is>
          <t>SKÅNE LÄN</t>
        </is>
      </c>
      <c r="E654" t="inlineStr">
        <is>
          <t>HÄSSLEHOLM</t>
        </is>
      </c>
      <c r="G654" t="n">
        <v>3</v>
      </c>
      <c r="H654" t="n">
        <v>0</v>
      </c>
      <c r="I654" t="n">
        <v>0</v>
      </c>
      <c r="J654" t="n">
        <v>0</v>
      </c>
      <c r="K654" t="n">
        <v>0</v>
      </c>
      <c r="L654" t="n">
        <v>0</v>
      </c>
      <c r="M654" t="n">
        <v>0</v>
      </c>
      <c r="N654" t="n">
        <v>0</v>
      </c>
      <c r="O654" t="n">
        <v>0</v>
      </c>
      <c r="P654" t="n">
        <v>0</v>
      </c>
      <c r="Q654" t="n">
        <v>0</v>
      </c>
      <c r="R654" s="2" t="inlineStr"/>
    </row>
    <row r="655" ht="15" customHeight="1">
      <c r="A655" t="inlineStr">
        <is>
          <t>A 55549-2025</t>
        </is>
      </c>
      <c r="B655" s="1" t="n">
        <v>45971.63805555556</v>
      </c>
      <c r="C655" s="1" t="n">
        <v>46171</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55455-2025</t>
        </is>
      </c>
      <c r="B656" s="1" t="n">
        <v>45971</v>
      </c>
      <c r="C656" s="1" t="n">
        <v>46171</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57967-2023</t>
        </is>
      </c>
      <c r="B657" s="1" t="n">
        <v>45247.57984953704</v>
      </c>
      <c r="C657" s="1" t="n">
        <v>46171</v>
      </c>
      <c r="D657" t="inlineStr">
        <is>
          <t>SKÅNE LÄN</t>
        </is>
      </c>
      <c r="E657" t="inlineStr">
        <is>
          <t>HÄSSLEHOLM</t>
        </is>
      </c>
      <c r="G657" t="n">
        <v>8.6</v>
      </c>
      <c r="H657" t="n">
        <v>0</v>
      </c>
      <c r="I657" t="n">
        <v>0</v>
      </c>
      <c r="J657" t="n">
        <v>0</v>
      </c>
      <c r="K657" t="n">
        <v>0</v>
      </c>
      <c r="L657" t="n">
        <v>0</v>
      </c>
      <c r="M657" t="n">
        <v>0</v>
      </c>
      <c r="N657" t="n">
        <v>0</v>
      </c>
      <c r="O657" t="n">
        <v>0</v>
      </c>
      <c r="P657" t="n">
        <v>0</v>
      </c>
      <c r="Q657" t="n">
        <v>0</v>
      </c>
      <c r="R657" s="2" t="inlineStr"/>
    </row>
    <row r="658" ht="15" customHeight="1">
      <c r="A658" t="inlineStr">
        <is>
          <t>A 8209-2025</t>
        </is>
      </c>
      <c r="B658" s="1" t="n">
        <v>45708.44244212963</v>
      </c>
      <c r="C658" s="1" t="n">
        <v>46171</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9747-2024</t>
        </is>
      </c>
      <c r="B659" s="1" t="n">
        <v>45362</v>
      </c>
      <c r="C659" s="1" t="n">
        <v>46171</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55458-2025</t>
        </is>
      </c>
      <c r="B660" s="1" t="n">
        <v>45971</v>
      </c>
      <c r="C660" s="1" t="n">
        <v>46171</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36938-2025</t>
        </is>
      </c>
      <c r="B661" s="1" t="n">
        <v>45874.58476851852</v>
      </c>
      <c r="C661" s="1" t="n">
        <v>46171</v>
      </c>
      <c r="D661" t="inlineStr">
        <is>
          <t>SKÅNE LÄN</t>
        </is>
      </c>
      <c r="E661" t="inlineStr">
        <is>
          <t>HÄSSLEHOLM</t>
        </is>
      </c>
      <c r="G661" t="n">
        <v>3.7</v>
      </c>
      <c r="H661" t="n">
        <v>0</v>
      </c>
      <c r="I661" t="n">
        <v>0</v>
      </c>
      <c r="J661" t="n">
        <v>0</v>
      </c>
      <c r="K661" t="n">
        <v>0</v>
      </c>
      <c r="L661" t="n">
        <v>0</v>
      </c>
      <c r="M661" t="n">
        <v>0</v>
      </c>
      <c r="N661" t="n">
        <v>0</v>
      </c>
      <c r="O661" t="n">
        <v>0</v>
      </c>
      <c r="P661" t="n">
        <v>0</v>
      </c>
      <c r="Q661" t="n">
        <v>0</v>
      </c>
      <c r="R661" s="2" t="inlineStr"/>
    </row>
    <row r="662" ht="15" customHeight="1">
      <c r="A662" t="inlineStr">
        <is>
          <t>A 8674-2026</t>
        </is>
      </c>
      <c r="B662" s="1" t="n">
        <v>46066.4059837963</v>
      </c>
      <c r="C662" s="1" t="n">
        <v>46171</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19744-2023</t>
        </is>
      </c>
      <c r="B663" s="1" t="n">
        <v>45051</v>
      </c>
      <c r="C663" s="1" t="n">
        <v>46171</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15990-2023</t>
        </is>
      </c>
      <c r="B664" s="1" t="n">
        <v>45023.39584490741</v>
      </c>
      <c r="C664" s="1" t="n">
        <v>46171</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47907-2021</t>
        </is>
      </c>
      <c r="B665" s="1" t="n">
        <v>44448</v>
      </c>
      <c r="C665" s="1" t="n">
        <v>46171</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7513-2025</t>
        </is>
      </c>
      <c r="B666" s="1" t="n">
        <v>45702</v>
      </c>
      <c r="C666" s="1" t="n">
        <v>46171</v>
      </c>
      <c r="D666" t="inlineStr">
        <is>
          <t>SKÅNE LÄN</t>
        </is>
      </c>
      <c r="E666" t="inlineStr">
        <is>
          <t>HÄSSLEHOLM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45400-2022</t>
        </is>
      </c>
      <c r="B667" s="1" t="n">
        <v>44844.713125</v>
      </c>
      <c r="C667" s="1" t="n">
        <v>46171</v>
      </c>
      <c r="D667" t="inlineStr">
        <is>
          <t>SKÅNE LÄN</t>
        </is>
      </c>
      <c r="E667" t="inlineStr">
        <is>
          <t>HÄSSLEHOLM</t>
        </is>
      </c>
      <c r="G667" t="n">
        <v>1.6</v>
      </c>
      <c r="H667" t="n">
        <v>0</v>
      </c>
      <c r="I667" t="n">
        <v>0</v>
      </c>
      <c r="J667" t="n">
        <v>0</v>
      </c>
      <c r="K667" t="n">
        <v>0</v>
      </c>
      <c r="L667" t="n">
        <v>0</v>
      </c>
      <c r="M667" t="n">
        <v>0</v>
      </c>
      <c r="N667" t="n">
        <v>0</v>
      </c>
      <c r="O667" t="n">
        <v>0</v>
      </c>
      <c r="P667" t="n">
        <v>0</v>
      </c>
      <c r="Q667" t="n">
        <v>0</v>
      </c>
      <c r="R667" s="2" t="inlineStr"/>
    </row>
    <row r="668" ht="15" customHeight="1">
      <c r="A668" t="inlineStr">
        <is>
          <t>A 58689-2025</t>
        </is>
      </c>
      <c r="B668" s="1" t="n">
        <v>45986</v>
      </c>
      <c r="C668" s="1" t="n">
        <v>46171</v>
      </c>
      <c r="D668" t="inlineStr">
        <is>
          <t>SKÅNE LÄN</t>
        </is>
      </c>
      <c r="E668" t="inlineStr">
        <is>
          <t>HÄSSLEHOLM</t>
        </is>
      </c>
      <c r="G668" t="n">
        <v>3.9</v>
      </c>
      <c r="H668" t="n">
        <v>0</v>
      </c>
      <c r="I668" t="n">
        <v>0</v>
      </c>
      <c r="J668" t="n">
        <v>0</v>
      </c>
      <c r="K668" t="n">
        <v>0</v>
      </c>
      <c r="L668" t="n">
        <v>0</v>
      </c>
      <c r="M668" t="n">
        <v>0</v>
      </c>
      <c r="N668" t="n">
        <v>0</v>
      </c>
      <c r="O668" t="n">
        <v>0</v>
      </c>
      <c r="P668" t="n">
        <v>0</v>
      </c>
      <c r="Q668" t="n">
        <v>0</v>
      </c>
      <c r="R668" s="2" t="inlineStr"/>
    </row>
    <row r="669" ht="15" customHeight="1">
      <c r="A669" t="inlineStr">
        <is>
          <t>A 54874-2022</t>
        </is>
      </c>
      <c r="B669" s="1" t="n">
        <v>44881</v>
      </c>
      <c r="C669" s="1" t="n">
        <v>46171</v>
      </c>
      <c r="D669" t="inlineStr">
        <is>
          <t>SKÅNE LÄN</t>
        </is>
      </c>
      <c r="E669" t="inlineStr">
        <is>
          <t>HÄSSLEHOLM</t>
        </is>
      </c>
      <c r="G669" t="n">
        <v>8.1</v>
      </c>
      <c r="H669" t="n">
        <v>0</v>
      </c>
      <c r="I669" t="n">
        <v>0</v>
      </c>
      <c r="J669" t="n">
        <v>0</v>
      </c>
      <c r="K669" t="n">
        <v>0</v>
      </c>
      <c r="L669" t="n">
        <v>0</v>
      </c>
      <c r="M669" t="n">
        <v>0</v>
      </c>
      <c r="N669" t="n">
        <v>0</v>
      </c>
      <c r="O669" t="n">
        <v>0</v>
      </c>
      <c r="P669" t="n">
        <v>0</v>
      </c>
      <c r="Q669" t="n">
        <v>0</v>
      </c>
      <c r="R669" s="2" t="inlineStr"/>
    </row>
    <row r="670" ht="15" customHeight="1">
      <c r="A670" t="inlineStr">
        <is>
          <t>A 1706-2025</t>
        </is>
      </c>
      <c r="B670" s="1" t="n">
        <v>45670</v>
      </c>
      <c r="C670" s="1" t="n">
        <v>46171</v>
      </c>
      <c r="D670" t="inlineStr">
        <is>
          <t>SKÅNE LÄN</t>
        </is>
      </c>
      <c r="E670" t="inlineStr">
        <is>
          <t>HÄSSLEHOLM</t>
        </is>
      </c>
      <c r="G670" t="n">
        <v>5</v>
      </c>
      <c r="H670" t="n">
        <v>0</v>
      </c>
      <c r="I670" t="n">
        <v>0</v>
      </c>
      <c r="J670" t="n">
        <v>0</v>
      </c>
      <c r="K670" t="n">
        <v>0</v>
      </c>
      <c r="L670" t="n">
        <v>0</v>
      </c>
      <c r="M670" t="n">
        <v>0</v>
      </c>
      <c r="N670" t="n">
        <v>0</v>
      </c>
      <c r="O670" t="n">
        <v>0</v>
      </c>
      <c r="P670" t="n">
        <v>0</v>
      </c>
      <c r="Q670" t="n">
        <v>0</v>
      </c>
      <c r="R670" s="2" t="inlineStr"/>
    </row>
    <row r="671" ht="15" customHeight="1">
      <c r="A671" t="inlineStr">
        <is>
          <t>A 26857-2025</t>
        </is>
      </c>
      <c r="B671" s="1" t="n">
        <v>45810</v>
      </c>
      <c r="C671" s="1" t="n">
        <v>46171</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61625-2022</t>
        </is>
      </c>
      <c r="B672" s="1" t="n">
        <v>44916</v>
      </c>
      <c r="C672" s="1" t="n">
        <v>46171</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31268-2024</t>
        </is>
      </c>
      <c r="B673" s="1" t="n">
        <v>45504</v>
      </c>
      <c r="C673" s="1" t="n">
        <v>46171</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13856-2025</t>
        </is>
      </c>
      <c r="B674" s="1" t="n">
        <v>45737.57289351852</v>
      </c>
      <c r="C674" s="1" t="n">
        <v>46171</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36568-2024</t>
        </is>
      </c>
      <c r="B675" s="1" t="n">
        <v>45537</v>
      </c>
      <c r="C675" s="1" t="n">
        <v>46171</v>
      </c>
      <c r="D675" t="inlineStr">
        <is>
          <t>SKÅNE LÄN</t>
        </is>
      </c>
      <c r="E675" t="inlineStr">
        <is>
          <t>HÄSSLEHOLM</t>
        </is>
      </c>
      <c r="G675" t="n">
        <v>4.3</v>
      </c>
      <c r="H675" t="n">
        <v>0</v>
      </c>
      <c r="I675" t="n">
        <v>0</v>
      </c>
      <c r="J675" t="n">
        <v>0</v>
      </c>
      <c r="K675" t="n">
        <v>0</v>
      </c>
      <c r="L675" t="n">
        <v>0</v>
      </c>
      <c r="M675" t="n">
        <v>0</v>
      </c>
      <c r="N675" t="n">
        <v>0</v>
      </c>
      <c r="O675" t="n">
        <v>0</v>
      </c>
      <c r="P675" t="n">
        <v>0</v>
      </c>
      <c r="Q675" t="n">
        <v>0</v>
      </c>
      <c r="R675" s="2" t="inlineStr"/>
    </row>
    <row r="676" ht="15" customHeight="1">
      <c r="A676" t="inlineStr">
        <is>
          <t>A 56794-2025</t>
        </is>
      </c>
      <c r="B676" s="1" t="n">
        <v>45978.43039351852</v>
      </c>
      <c r="C676" s="1" t="n">
        <v>46171</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32794-2021</t>
        </is>
      </c>
      <c r="B677" s="1" t="n">
        <v>44375</v>
      </c>
      <c r="C677" s="1" t="n">
        <v>46171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32154-2024</t>
        </is>
      </c>
      <c r="B678" s="1" t="n">
        <v>45511</v>
      </c>
      <c r="C678" s="1" t="n">
        <v>46171</v>
      </c>
      <c r="D678" t="inlineStr">
        <is>
          <t>SKÅNE LÄN</t>
        </is>
      </c>
      <c r="E678" t="inlineStr">
        <is>
          <t>HÄSSLEHOLM</t>
        </is>
      </c>
      <c r="G678" t="n">
        <v>6.4</v>
      </c>
      <c r="H678" t="n">
        <v>0</v>
      </c>
      <c r="I678" t="n">
        <v>0</v>
      </c>
      <c r="J678" t="n">
        <v>0</v>
      </c>
      <c r="K678" t="n">
        <v>0</v>
      </c>
      <c r="L678" t="n">
        <v>0</v>
      </c>
      <c r="M678" t="n">
        <v>0</v>
      </c>
      <c r="N678" t="n">
        <v>0</v>
      </c>
      <c r="O678" t="n">
        <v>0</v>
      </c>
      <c r="P678" t="n">
        <v>0</v>
      </c>
      <c r="Q678" t="n">
        <v>0</v>
      </c>
      <c r="R678" s="2" t="inlineStr"/>
    </row>
    <row r="679" ht="15" customHeight="1">
      <c r="A679" t="inlineStr">
        <is>
          <t>A 56667-2025</t>
        </is>
      </c>
      <c r="B679" s="1" t="n">
        <v>45975.68508101852</v>
      </c>
      <c r="C679" s="1" t="n">
        <v>46171</v>
      </c>
      <c r="D679" t="inlineStr">
        <is>
          <t>SKÅNE LÄN</t>
        </is>
      </c>
      <c r="E679" t="inlineStr">
        <is>
          <t>HÄSSLEHOLM</t>
        </is>
      </c>
      <c r="G679" t="n">
        <v>4.4</v>
      </c>
      <c r="H679" t="n">
        <v>0</v>
      </c>
      <c r="I679" t="n">
        <v>0</v>
      </c>
      <c r="J679" t="n">
        <v>0</v>
      </c>
      <c r="K679" t="n">
        <v>0</v>
      </c>
      <c r="L679" t="n">
        <v>0</v>
      </c>
      <c r="M679" t="n">
        <v>0</v>
      </c>
      <c r="N679" t="n">
        <v>0</v>
      </c>
      <c r="O679" t="n">
        <v>0</v>
      </c>
      <c r="P679" t="n">
        <v>0</v>
      </c>
      <c r="Q679" t="n">
        <v>0</v>
      </c>
      <c r="R679" s="2" t="inlineStr"/>
    </row>
    <row r="680" ht="15" customHeight="1">
      <c r="A680" t="inlineStr">
        <is>
          <t>A 13961-2023</t>
        </is>
      </c>
      <c r="B680" s="1" t="n">
        <v>45008</v>
      </c>
      <c r="C680" s="1" t="n">
        <v>46171</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56798-2025</t>
        </is>
      </c>
      <c r="B681" s="1" t="n">
        <v>45978.43378472222</v>
      </c>
      <c r="C681" s="1" t="n">
        <v>46171</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56797-2025</t>
        </is>
      </c>
      <c r="B682" s="1" t="n">
        <v>45978.43273148148</v>
      </c>
      <c r="C682" s="1" t="n">
        <v>46171</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3855-2023</t>
        </is>
      </c>
      <c r="B683" s="1" t="n">
        <v>44951.69708333333</v>
      </c>
      <c r="C683" s="1" t="n">
        <v>46171</v>
      </c>
      <c r="D683" t="inlineStr">
        <is>
          <t>SKÅNE LÄN</t>
        </is>
      </c>
      <c r="E683" t="inlineStr">
        <is>
          <t>HÄSSLEHOLM</t>
        </is>
      </c>
      <c r="G683" t="n">
        <v>2.3</v>
      </c>
      <c r="H683" t="n">
        <v>0</v>
      </c>
      <c r="I683" t="n">
        <v>0</v>
      </c>
      <c r="J683" t="n">
        <v>0</v>
      </c>
      <c r="K683" t="n">
        <v>0</v>
      </c>
      <c r="L683" t="n">
        <v>0</v>
      </c>
      <c r="M683" t="n">
        <v>0</v>
      </c>
      <c r="N683" t="n">
        <v>0</v>
      </c>
      <c r="O683" t="n">
        <v>0</v>
      </c>
      <c r="P683" t="n">
        <v>0</v>
      </c>
      <c r="Q683" t="n">
        <v>0</v>
      </c>
      <c r="R683" s="2" t="inlineStr"/>
    </row>
    <row r="684" ht="15" customHeight="1">
      <c r="A684" t="inlineStr">
        <is>
          <t>A 37286-2025</t>
        </is>
      </c>
      <c r="B684" s="1" t="n">
        <v>45876.50116898148</v>
      </c>
      <c r="C684" s="1" t="n">
        <v>46171</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34301-2024</t>
        </is>
      </c>
      <c r="B685" s="1" t="n">
        <v>45524</v>
      </c>
      <c r="C685" s="1" t="n">
        <v>46171</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37271-2025</t>
        </is>
      </c>
      <c r="B686" s="1" t="n">
        <v>45876.47828703704</v>
      </c>
      <c r="C686" s="1" t="n">
        <v>46171</v>
      </c>
      <c r="D686" t="inlineStr">
        <is>
          <t>SKÅNE LÄN</t>
        </is>
      </c>
      <c r="E686" t="inlineStr">
        <is>
          <t>HÄSSLEHOLM</t>
        </is>
      </c>
      <c r="G686" t="n">
        <v>4.1</v>
      </c>
      <c r="H686" t="n">
        <v>0</v>
      </c>
      <c r="I686" t="n">
        <v>0</v>
      </c>
      <c r="J686" t="n">
        <v>0</v>
      </c>
      <c r="K686" t="n">
        <v>0</v>
      </c>
      <c r="L686" t="n">
        <v>0</v>
      </c>
      <c r="M686" t="n">
        <v>0</v>
      </c>
      <c r="N686" t="n">
        <v>0</v>
      </c>
      <c r="O686" t="n">
        <v>0</v>
      </c>
      <c r="P686" t="n">
        <v>0</v>
      </c>
      <c r="Q686" t="n">
        <v>0</v>
      </c>
      <c r="R686" s="2" t="inlineStr"/>
    </row>
    <row r="687" ht="15" customHeight="1">
      <c r="A687" t="inlineStr">
        <is>
          <t>A 15060-2023</t>
        </is>
      </c>
      <c r="B687" s="1" t="n">
        <v>45015.69832175926</v>
      </c>
      <c r="C687" s="1" t="n">
        <v>46171</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54171-2021</t>
        </is>
      </c>
      <c r="B688" s="1" t="n">
        <v>44470</v>
      </c>
      <c r="C688" s="1" t="n">
        <v>46171</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30092-2025</t>
        </is>
      </c>
      <c r="B689" s="1" t="n">
        <v>45826</v>
      </c>
      <c r="C689" s="1" t="n">
        <v>46171</v>
      </c>
      <c r="D689" t="inlineStr">
        <is>
          <t>SKÅNE LÄN</t>
        </is>
      </c>
      <c r="E689" t="inlineStr">
        <is>
          <t>HÄSSLEHOLM</t>
        </is>
      </c>
      <c r="G689" t="n">
        <v>1.4</v>
      </c>
      <c r="H689" t="n">
        <v>0</v>
      </c>
      <c r="I689" t="n">
        <v>0</v>
      </c>
      <c r="J689" t="n">
        <v>0</v>
      </c>
      <c r="K689" t="n">
        <v>0</v>
      </c>
      <c r="L689" t="n">
        <v>0</v>
      </c>
      <c r="M689" t="n">
        <v>0</v>
      </c>
      <c r="N689" t="n">
        <v>0</v>
      </c>
      <c r="O689" t="n">
        <v>0</v>
      </c>
      <c r="P689" t="n">
        <v>0</v>
      </c>
      <c r="Q689" t="n">
        <v>0</v>
      </c>
      <c r="R689" s="2" t="inlineStr"/>
    </row>
    <row r="690" ht="15" customHeight="1">
      <c r="A690" t="inlineStr">
        <is>
          <t>A 30109-2025</t>
        </is>
      </c>
      <c r="B690" s="1" t="n">
        <v>45826</v>
      </c>
      <c r="C690" s="1" t="n">
        <v>46171</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55569-2025</t>
        </is>
      </c>
      <c r="B691" s="1" t="n">
        <v>45971</v>
      </c>
      <c r="C691" s="1" t="n">
        <v>46171</v>
      </c>
      <c r="D691" t="inlineStr">
        <is>
          <t>SKÅNE LÄN</t>
        </is>
      </c>
      <c r="E691" t="inlineStr">
        <is>
          <t>HÄSSLEHOLM</t>
        </is>
      </c>
      <c r="G691" t="n">
        <v>4.2</v>
      </c>
      <c r="H691" t="n">
        <v>0</v>
      </c>
      <c r="I691" t="n">
        <v>0</v>
      </c>
      <c r="J691" t="n">
        <v>0</v>
      </c>
      <c r="K691" t="n">
        <v>0</v>
      </c>
      <c r="L691" t="n">
        <v>0</v>
      </c>
      <c r="M691" t="n">
        <v>0</v>
      </c>
      <c r="N691" t="n">
        <v>0</v>
      </c>
      <c r="O691" t="n">
        <v>0</v>
      </c>
      <c r="P691" t="n">
        <v>0</v>
      </c>
      <c r="Q691" t="n">
        <v>0</v>
      </c>
      <c r="R691" s="2" t="inlineStr"/>
    </row>
    <row r="692" ht="15" customHeight="1">
      <c r="A692" t="inlineStr">
        <is>
          <t>A 13347-2025</t>
        </is>
      </c>
      <c r="B692" s="1" t="n">
        <v>45735.63175925926</v>
      </c>
      <c r="C692" s="1" t="n">
        <v>46171</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32981-2025</t>
        </is>
      </c>
      <c r="B693" s="1" t="n">
        <v>45839.86820601852</v>
      </c>
      <c r="C693" s="1" t="n">
        <v>46171</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57817-2025</t>
        </is>
      </c>
      <c r="B694" s="1" t="n">
        <v>45981.59475694445</v>
      </c>
      <c r="C694" s="1" t="n">
        <v>46171</v>
      </c>
      <c r="D694" t="inlineStr">
        <is>
          <t>SKÅNE LÄN</t>
        </is>
      </c>
      <c r="E694" t="inlineStr">
        <is>
          <t>HÄSSLEHOLM</t>
        </is>
      </c>
      <c r="G694" t="n">
        <v>3.8</v>
      </c>
      <c r="H694" t="n">
        <v>0</v>
      </c>
      <c r="I694" t="n">
        <v>0</v>
      </c>
      <c r="J694" t="n">
        <v>0</v>
      </c>
      <c r="K694" t="n">
        <v>0</v>
      </c>
      <c r="L694" t="n">
        <v>0</v>
      </c>
      <c r="M694" t="n">
        <v>0</v>
      </c>
      <c r="N694" t="n">
        <v>0</v>
      </c>
      <c r="O694" t="n">
        <v>0</v>
      </c>
      <c r="P694" t="n">
        <v>0</v>
      </c>
      <c r="Q694" t="n">
        <v>0</v>
      </c>
      <c r="R694" s="2" t="inlineStr"/>
    </row>
    <row r="695" ht="15" customHeight="1">
      <c r="A695" t="inlineStr">
        <is>
          <t>A 13198-2025</t>
        </is>
      </c>
      <c r="B695" s="1" t="n">
        <v>45735</v>
      </c>
      <c r="C695" s="1" t="n">
        <v>46171</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18109-2025</t>
        </is>
      </c>
      <c r="B696" s="1" t="n">
        <v>45761</v>
      </c>
      <c r="C696" s="1" t="n">
        <v>46171</v>
      </c>
      <c r="D696" t="inlineStr">
        <is>
          <t>SKÅNE LÄN</t>
        </is>
      </c>
      <c r="E696" t="inlineStr">
        <is>
          <t>HÄSSLEHOLM</t>
        </is>
      </c>
      <c r="G696" t="n">
        <v>1.4</v>
      </c>
      <c r="H696" t="n">
        <v>0</v>
      </c>
      <c r="I696" t="n">
        <v>0</v>
      </c>
      <c r="J696" t="n">
        <v>0</v>
      </c>
      <c r="K696" t="n">
        <v>0</v>
      </c>
      <c r="L696" t="n">
        <v>0</v>
      </c>
      <c r="M696" t="n">
        <v>0</v>
      </c>
      <c r="N696" t="n">
        <v>0</v>
      </c>
      <c r="O696" t="n">
        <v>0</v>
      </c>
      <c r="P696" t="n">
        <v>0</v>
      </c>
      <c r="Q696" t="n">
        <v>0</v>
      </c>
      <c r="R696" s="2" t="inlineStr"/>
    </row>
    <row r="697" ht="15" customHeight="1">
      <c r="A697" t="inlineStr">
        <is>
          <t>A 3135-2023</t>
        </is>
      </c>
      <c r="B697" s="1" t="n">
        <v>44946.51672453704</v>
      </c>
      <c r="C697" s="1" t="n">
        <v>46171</v>
      </c>
      <c r="D697" t="inlineStr">
        <is>
          <t>SKÅNE LÄN</t>
        </is>
      </c>
      <c r="E697" t="inlineStr">
        <is>
          <t>HÄSSLEHOLM</t>
        </is>
      </c>
      <c r="G697" t="n">
        <v>7.2</v>
      </c>
      <c r="H697" t="n">
        <v>0</v>
      </c>
      <c r="I697" t="n">
        <v>0</v>
      </c>
      <c r="J697" t="n">
        <v>0</v>
      </c>
      <c r="K697" t="n">
        <v>0</v>
      </c>
      <c r="L697" t="n">
        <v>0</v>
      </c>
      <c r="M697" t="n">
        <v>0</v>
      </c>
      <c r="N697" t="n">
        <v>0</v>
      </c>
      <c r="O697" t="n">
        <v>0</v>
      </c>
      <c r="P697" t="n">
        <v>0</v>
      </c>
      <c r="Q697" t="n">
        <v>0</v>
      </c>
      <c r="R697" s="2" t="inlineStr"/>
    </row>
    <row r="698" ht="15" customHeight="1">
      <c r="A698" t="inlineStr">
        <is>
          <t>A 59429-2023</t>
        </is>
      </c>
      <c r="B698" s="1" t="n">
        <v>45254.2875</v>
      </c>
      <c r="C698" s="1" t="n">
        <v>46171</v>
      </c>
      <c r="D698" t="inlineStr">
        <is>
          <t>SKÅNE LÄN</t>
        </is>
      </c>
      <c r="E698" t="inlineStr">
        <is>
          <t>HÄSSLEHOLM</t>
        </is>
      </c>
      <c r="G698" t="n">
        <v>0</v>
      </c>
      <c r="H698" t="n">
        <v>0</v>
      </c>
      <c r="I698" t="n">
        <v>0</v>
      </c>
      <c r="J698" t="n">
        <v>0</v>
      </c>
      <c r="K698" t="n">
        <v>0</v>
      </c>
      <c r="L698" t="n">
        <v>0</v>
      </c>
      <c r="M698" t="n">
        <v>0</v>
      </c>
      <c r="N698" t="n">
        <v>0</v>
      </c>
      <c r="O698" t="n">
        <v>0</v>
      </c>
      <c r="P698" t="n">
        <v>0</v>
      </c>
      <c r="Q698" t="n">
        <v>0</v>
      </c>
      <c r="R698" s="2" t="inlineStr"/>
    </row>
    <row r="699" ht="15" customHeight="1">
      <c r="A699" t="inlineStr">
        <is>
          <t>A 40202-2022</t>
        </is>
      </c>
      <c r="B699" s="1" t="n">
        <v>44820.60614583334</v>
      </c>
      <c r="C699" s="1" t="n">
        <v>46171</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16862-2025</t>
        </is>
      </c>
      <c r="B700" s="1" t="n">
        <v>45751</v>
      </c>
      <c r="C700" s="1" t="n">
        <v>46171</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54326-2022</t>
        </is>
      </c>
      <c r="B701" s="1" t="n">
        <v>44882.42965277778</v>
      </c>
      <c r="C701" s="1" t="n">
        <v>46171</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41998-2021</t>
        </is>
      </c>
      <c r="B702" s="1" t="n">
        <v>44425</v>
      </c>
      <c r="C702" s="1" t="n">
        <v>46171</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61524-2022</t>
        </is>
      </c>
      <c r="B703" s="1" t="n">
        <v>44910</v>
      </c>
      <c r="C703" s="1" t="n">
        <v>46171</v>
      </c>
      <c r="D703" t="inlineStr">
        <is>
          <t>SKÅNE LÄN</t>
        </is>
      </c>
      <c r="E703" t="inlineStr">
        <is>
          <t>HÄSSLEHOLM</t>
        </is>
      </c>
      <c r="F703" t="inlineStr">
        <is>
          <t>Kyrkan</t>
        </is>
      </c>
      <c r="G703" t="n">
        <v>2.1</v>
      </c>
      <c r="H703" t="n">
        <v>0</v>
      </c>
      <c r="I703" t="n">
        <v>0</v>
      </c>
      <c r="J703" t="n">
        <v>0</v>
      </c>
      <c r="K703" t="n">
        <v>0</v>
      </c>
      <c r="L703" t="n">
        <v>0</v>
      </c>
      <c r="M703" t="n">
        <v>0</v>
      </c>
      <c r="N703" t="n">
        <v>0</v>
      </c>
      <c r="O703" t="n">
        <v>0</v>
      </c>
      <c r="P703" t="n">
        <v>0</v>
      </c>
      <c r="Q703" t="n">
        <v>0</v>
      </c>
      <c r="R703" s="2" t="inlineStr"/>
    </row>
    <row r="704" ht="15" customHeight="1">
      <c r="A704" t="inlineStr">
        <is>
          <t>A 58241-2025</t>
        </is>
      </c>
      <c r="B704" s="1" t="n">
        <v>45985.38797453704</v>
      </c>
      <c r="C704" s="1" t="n">
        <v>46171</v>
      </c>
      <c r="D704" t="inlineStr">
        <is>
          <t>SKÅNE LÄN</t>
        </is>
      </c>
      <c r="E704" t="inlineStr">
        <is>
          <t>HÄSSLEHOLM</t>
        </is>
      </c>
      <c r="G704" t="n">
        <v>3.6</v>
      </c>
      <c r="H704" t="n">
        <v>0</v>
      </c>
      <c r="I704" t="n">
        <v>0</v>
      </c>
      <c r="J704" t="n">
        <v>0</v>
      </c>
      <c r="K704" t="n">
        <v>0</v>
      </c>
      <c r="L704" t="n">
        <v>0</v>
      </c>
      <c r="M704" t="n">
        <v>0</v>
      </c>
      <c r="N704" t="n">
        <v>0</v>
      </c>
      <c r="O704" t="n">
        <v>0</v>
      </c>
      <c r="P704" t="n">
        <v>0</v>
      </c>
      <c r="Q704" t="n">
        <v>0</v>
      </c>
      <c r="R704" s="2" t="inlineStr"/>
    </row>
    <row r="705" ht="15" customHeight="1">
      <c r="A705" t="inlineStr">
        <is>
          <t>A 61533-2022</t>
        </is>
      </c>
      <c r="B705" s="1" t="n">
        <v>44910</v>
      </c>
      <c r="C705" s="1" t="n">
        <v>46171</v>
      </c>
      <c r="D705" t="inlineStr">
        <is>
          <t>SKÅNE LÄN</t>
        </is>
      </c>
      <c r="E705" t="inlineStr">
        <is>
          <t>HÄSSLEHOLM</t>
        </is>
      </c>
      <c r="F705" t="inlineStr">
        <is>
          <t>Kyrkan</t>
        </is>
      </c>
      <c r="G705" t="n">
        <v>1</v>
      </c>
      <c r="H705" t="n">
        <v>0</v>
      </c>
      <c r="I705" t="n">
        <v>0</v>
      </c>
      <c r="J705" t="n">
        <v>0</v>
      </c>
      <c r="K705" t="n">
        <v>0</v>
      </c>
      <c r="L705" t="n">
        <v>0</v>
      </c>
      <c r="M705" t="n">
        <v>0</v>
      </c>
      <c r="N705" t="n">
        <v>0</v>
      </c>
      <c r="O705" t="n">
        <v>0</v>
      </c>
      <c r="P705" t="n">
        <v>0</v>
      </c>
      <c r="Q705" t="n">
        <v>0</v>
      </c>
      <c r="R705" s="2" t="inlineStr"/>
    </row>
    <row r="706" ht="15" customHeight="1">
      <c r="A706" t="inlineStr">
        <is>
          <t>A 11753-2025</t>
        </is>
      </c>
      <c r="B706" s="1" t="n">
        <v>45727</v>
      </c>
      <c r="C706" s="1" t="n">
        <v>46171</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8619-2023</t>
        </is>
      </c>
      <c r="B707" s="1" t="n">
        <v>44977.81979166667</v>
      </c>
      <c r="C707" s="1" t="n">
        <v>46171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49219-2021</t>
        </is>
      </c>
      <c r="B708" s="1" t="n">
        <v>44454</v>
      </c>
      <c r="C708" s="1" t="n">
        <v>46171</v>
      </c>
      <c r="D708" t="inlineStr">
        <is>
          <t>SKÅNE LÄN</t>
        </is>
      </c>
      <c r="E708" t="inlineStr">
        <is>
          <t>HÄSSLEHOLM</t>
        </is>
      </c>
      <c r="G708" t="n">
        <v>7.8</v>
      </c>
      <c r="H708" t="n">
        <v>0</v>
      </c>
      <c r="I708" t="n">
        <v>0</v>
      </c>
      <c r="J708" t="n">
        <v>0</v>
      </c>
      <c r="K708" t="n">
        <v>0</v>
      </c>
      <c r="L708" t="n">
        <v>0</v>
      </c>
      <c r="M708" t="n">
        <v>0</v>
      </c>
      <c r="N708" t="n">
        <v>0</v>
      </c>
      <c r="O708" t="n">
        <v>0</v>
      </c>
      <c r="P708" t="n">
        <v>0</v>
      </c>
      <c r="Q708" t="n">
        <v>0</v>
      </c>
      <c r="R708" s="2" t="inlineStr"/>
    </row>
    <row r="709" ht="15" customHeight="1">
      <c r="A709" t="inlineStr">
        <is>
          <t>A 1557-2023</t>
        </is>
      </c>
      <c r="B709" s="1" t="n">
        <v>44937</v>
      </c>
      <c r="C709" s="1" t="n">
        <v>46171</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46000-2021</t>
        </is>
      </c>
      <c r="B710" s="1" t="n">
        <v>44441</v>
      </c>
      <c r="C710" s="1" t="n">
        <v>46171</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62171-2022</t>
        </is>
      </c>
      <c r="B711" s="1" t="n">
        <v>44915</v>
      </c>
      <c r="C711" s="1" t="n">
        <v>46171</v>
      </c>
      <c r="D711" t="inlineStr">
        <is>
          <t>SKÅNE LÄN</t>
        </is>
      </c>
      <c r="E711" t="inlineStr">
        <is>
          <t>HÄSSLEHOLM</t>
        </is>
      </c>
      <c r="F711" t="inlineStr">
        <is>
          <t>Kyrkan</t>
        </is>
      </c>
      <c r="G711" t="n">
        <v>9</v>
      </c>
      <c r="H711" t="n">
        <v>0</v>
      </c>
      <c r="I711" t="n">
        <v>0</v>
      </c>
      <c r="J711" t="n">
        <v>0</v>
      </c>
      <c r="K711" t="n">
        <v>0</v>
      </c>
      <c r="L711" t="n">
        <v>0</v>
      </c>
      <c r="M711" t="n">
        <v>0</v>
      </c>
      <c r="N711" t="n">
        <v>0</v>
      </c>
      <c r="O711" t="n">
        <v>0</v>
      </c>
      <c r="P711" t="n">
        <v>0</v>
      </c>
      <c r="Q711" t="n">
        <v>0</v>
      </c>
      <c r="R711" s="2" t="inlineStr"/>
    </row>
    <row r="712" ht="15" customHeight="1">
      <c r="A712" t="inlineStr">
        <is>
          <t>A 58933-2025</t>
        </is>
      </c>
      <c r="B712" s="1" t="n">
        <v>45987.56107638889</v>
      </c>
      <c r="C712" s="1" t="n">
        <v>46171</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32100-2024</t>
        </is>
      </c>
      <c r="B713" s="1" t="n">
        <v>45511.41451388889</v>
      </c>
      <c r="C713" s="1" t="n">
        <v>46171</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33481-2024</t>
        </is>
      </c>
      <c r="B714" s="1" t="n">
        <v>45519</v>
      </c>
      <c r="C714" s="1" t="n">
        <v>46171</v>
      </c>
      <c r="D714" t="inlineStr">
        <is>
          <t>SKÅNE LÄN</t>
        </is>
      </c>
      <c r="E714" t="inlineStr">
        <is>
          <t>HÄSSLEHOLM</t>
        </is>
      </c>
      <c r="G714" t="n">
        <v>3</v>
      </c>
      <c r="H714" t="n">
        <v>0</v>
      </c>
      <c r="I714" t="n">
        <v>0</v>
      </c>
      <c r="J714" t="n">
        <v>0</v>
      </c>
      <c r="K714" t="n">
        <v>0</v>
      </c>
      <c r="L714" t="n">
        <v>0</v>
      </c>
      <c r="M714" t="n">
        <v>0</v>
      </c>
      <c r="N714" t="n">
        <v>0</v>
      </c>
      <c r="O714" t="n">
        <v>0</v>
      </c>
      <c r="P714" t="n">
        <v>0</v>
      </c>
      <c r="Q714" t="n">
        <v>0</v>
      </c>
      <c r="R714" s="2" t="inlineStr"/>
    </row>
    <row r="715" ht="15" customHeight="1">
      <c r="A715" t="inlineStr">
        <is>
          <t>A 48807-2021</t>
        </is>
      </c>
      <c r="B715" s="1" t="n">
        <v>44452</v>
      </c>
      <c r="C715" s="1" t="n">
        <v>46171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54176-2022</t>
        </is>
      </c>
      <c r="B716" s="1" t="n">
        <v>44881</v>
      </c>
      <c r="C716" s="1" t="n">
        <v>46171</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16614-2025</t>
        </is>
      </c>
      <c r="B717" s="1" t="n">
        <v>45754.283125</v>
      </c>
      <c r="C717" s="1" t="n">
        <v>46171</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23723-2023</t>
        </is>
      </c>
      <c r="B718" s="1" t="n">
        <v>45077</v>
      </c>
      <c r="C718" s="1" t="n">
        <v>46171</v>
      </c>
      <c r="D718" t="inlineStr">
        <is>
          <t>SKÅNE LÄN</t>
        </is>
      </c>
      <c r="E718" t="inlineStr">
        <is>
          <t>HÄSSLEHOLM</t>
        </is>
      </c>
      <c r="G718" t="n">
        <v>3.9</v>
      </c>
      <c r="H718" t="n">
        <v>0</v>
      </c>
      <c r="I718" t="n">
        <v>0</v>
      </c>
      <c r="J718" t="n">
        <v>0</v>
      </c>
      <c r="K718" t="n">
        <v>0</v>
      </c>
      <c r="L718" t="n">
        <v>0</v>
      </c>
      <c r="M718" t="n">
        <v>0</v>
      </c>
      <c r="N718" t="n">
        <v>0</v>
      </c>
      <c r="O718" t="n">
        <v>0</v>
      </c>
      <c r="P718" t="n">
        <v>0</v>
      </c>
      <c r="Q718" t="n">
        <v>0</v>
      </c>
      <c r="R718" s="2" t="inlineStr"/>
    </row>
    <row r="719" ht="15" customHeight="1">
      <c r="A719" t="inlineStr">
        <is>
          <t>A 53055-2021</t>
        </is>
      </c>
      <c r="B719" s="1" t="n">
        <v>44467</v>
      </c>
      <c r="C719" s="1" t="n">
        <v>46171</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4945-2022</t>
        </is>
      </c>
      <c r="B720" s="1" t="n">
        <v>44593</v>
      </c>
      <c r="C720" s="1" t="n">
        <v>46171</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10051-2026</t>
        </is>
      </c>
      <c r="B721" s="1" t="n">
        <v>46073</v>
      </c>
      <c r="C721" s="1" t="n">
        <v>46171</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47248-2023</t>
        </is>
      </c>
      <c r="B722" s="1" t="n">
        <v>45202</v>
      </c>
      <c r="C722" s="1" t="n">
        <v>46171</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38306-2022</t>
        </is>
      </c>
      <c r="B723" s="1" t="n">
        <v>44812.57515046297</v>
      </c>
      <c r="C723" s="1" t="n">
        <v>46171</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35845-2022</t>
        </is>
      </c>
      <c r="B724" s="1" t="n">
        <v>44802</v>
      </c>
      <c r="C724" s="1" t="n">
        <v>46171</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1616-2025</t>
        </is>
      </c>
      <c r="B725" s="1" t="n">
        <v>45670</v>
      </c>
      <c r="C725" s="1" t="n">
        <v>46171</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59722-2025</t>
        </is>
      </c>
      <c r="B726" s="1" t="n">
        <v>45992.5474537037</v>
      </c>
      <c r="C726" s="1" t="n">
        <v>46171</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56065-2025</t>
        </is>
      </c>
      <c r="B727" s="1" t="n">
        <v>45973</v>
      </c>
      <c r="C727" s="1" t="n">
        <v>46171</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12503-2022</t>
        </is>
      </c>
      <c r="B728" s="1" t="n">
        <v>44638</v>
      </c>
      <c r="C728" s="1" t="n">
        <v>46171</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23950-2023</t>
        </is>
      </c>
      <c r="B729" s="1" t="n">
        <v>45078.61771990741</v>
      </c>
      <c r="C729" s="1" t="n">
        <v>46171</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23952-2023</t>
        </is>
      </c>
      <c r="B730" s="1" t="n">
        <v>45078.62064814815</v>
      </c>
      <c r="C730" s="1" t="n">
        <v>46171</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2144-2023</t>
        </is>
      </c>
      <c r="B731" s="1" t="n">
        <v>44940.79054398148</v>
      </c>
      <c r="C731" s="1" t="n">
        <v>46171</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61680-2022</t>
        </is>
      </c>
      <c r="B732" s="1" t="n">
        <v>44917.36372685185</v>
      </c>
      <c r="C732" s="1" t="n">
        <v>46171</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16550-2025</t>
        </is>
      </c>
      <c r="B733" s="1" t="n">
        <v>45751.69412037037</v>
      </c>
      <c r="C733" s="1" t="n">
        <v>46171</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16285-2025</t>
        </is>
      </c>
      <c r="B734" s="1" t="n">
        <v>45751.30045138889</v>
      </c>
      <c r="C734" s="1" t="n">
        <v>46171</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5780-2024</t>
        </is>
      </c>
      <c r="B735" s="1" t="n">
        <v>45335.41983796296</v>
      </c>
      <c r="C735" s="1" t="n">
        <v>46171</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63476-2025</t>
        </is>
      </c>
      <c r="B736" s="1" t="n">
        <v>46013.44621527778</v>
      </c>
      <c r="C736" s="1" t="n">
        <v>46171</v>
      </c>
      <c r="D736" t="inlineStr">
        <is>
          <t>SKÅNE LÄN</t>
        </is>
      </c>
      <c r="E736" t="inlineStr">
        <is>
          <t>HÄSSLEHOLM</t>
        </is>
      </c>
      <c r="F736" t="inlineStr">
        <is>
          <t>Kommuner</t>
        </is>
      </c>
      <c r="G736" t="n">
        <v>0.6</v>
      </c>
      <c r="H736" t="n">
        <v>0</v>
      </c>
      <c r="I736" t="n">
        <v>0</v>
      </c>
      <c r="J736" t="n">
        <v>0</v>
      </c>
      <c r="K736" t="n">
        <v>0</v>
      </c>
      <c r="L736" t="n">
        <v>0</v>
      </c>
      <c r="M736" t="n">
        <v>0</v>
      </c>
      <c r="N736" t="n">
        <v>0</v>
      </c>
      <c r="O736" t="n">
        <v>0</v>
      </c>
      <c r="P736" t="n">
        <v>0</v>
      </c>
      <c r="Q736" t="n">
        <v>0</v>
      </c>
      <c r="R736" s="2" t="inlineStr"/>
    </row>
    <row r="737" ht="15" customHeight="1">
      <c r="A737" t="inlineStr">
        <is>
          <t>A 15897-2025</t>
        </is>
      </c>
      <c r="B737" s="1" t="n">
        <v>45749.41598379629</v>
      </c>
      <c r="C737" s="1" t="n">
        <v>46171</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61504-2022</t>
        </is>
      </c>
      <c r="B738" s="1" t="n">
        <v>44910</v>
      </c>
      <c r="C738" s="1" t="n">
        <v>46171</v>
      </c>
      <c r="D738" t="inlineStr">
        <is>
          <t>SKÅNE LÄN</t>
        </is>
      </c>
      <c r="E738" t="inlineStr">
        <is>
          <t>HÄSSLEHOLM</t>
        </is>
      </c>
      <c r="F738" t="inlineStr">
        <is>
          <t>Kyrkan</t>
        </is>
      </c>
      <c r="G738" t="n">
        <v>2.9</v>
      </c>
      <c r="H738" t="n">
        <v>0</v>
      </c>
      <c r="I738" t="n">
        <v>0</v>
      </c>
      <c r="J738" t="n">
        <v>0</v>
      </c>
      <c r="K738" t="n">
        <v>0</v>
      </c>
      <c r="L738" t="n">
        <v>0</v>
      </c>
      <c r="M738" t="n">
        <v>0</v>
      </c>
      <c r="N738" t="n">
        <v>0</v>
      </c>
      <c r="O738" t="n">
        <v>0</v>
      </c>
      <c r="P738" t="n">
        <v>0</v>
      </c>
      <c r="Q738" t="n">
        <v>0</v>
      </c>
      <c r="R738" s="2" t="inlineStr"/>
    </row>
    <row r="739" ht="15" customHeight="1">
      <c r="A739" t="inlineStr">
        <is>
          <t>A 29275-2023</t>
        </is>
      </c>
      <c r="B739" s="1" t="n">
        <v>45105</v>
      </c>
      <c r="C739" s="1" t="n">
        <v>46171</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56767-2025</t>
        </is>
      </c>
      <c r="B740" s="1" t="n">
        <v>45978.38178240741</v>
      </c>
      <c r="C740" s="1" t="n">
        <v>46171</v>
      </c>
      <c r="D740" t="inlineStr">
        <is>
          <t>SKÅNE LÄN</t>
        </is>
      </c>
      <c r="E740" t="inlineStr">
        <is>
          <t>HÄSSLEHOLM</t>
        </is>
      </c>
      <c r="G740" t="n">
        <v>1.7</v>
      </c>
      <c r="H740" t="n">
        <v>0</v>
      </c>
      <c r="I740" t="n">
        <v>0</v>
      </c>
      <c r="J740" t="n">
        <v>0</v>
      </c>
      <c r="K740" t="n">
        <v>0</v>
      </c>
      <c r="L740" t="n">
        <v>0</v>
      </c>
      <c r="M740" t="n">
        <v>0</v>
      </c>
      <c r="N740" t="n">
        <v>0</v>
      </c>
      <c r="O740" t="n">
        <v>0</v>
      </c>
      <c r="P740" t="n">
        <v>0</v>
      </c>
      <c r="Q740" t="n">
        <v>0</v>
      </c>
      <c r="R740" s="2" t="inlineStr"/>
    </row>
    <row r="741" ht="15" customHeight="1">
      <c r="A741" t="inlineStr">
        <is>
          <t>A 56769-2025</t>
        </is>
      </c>
      <c r="B741" s="1" t="n">
        <v>45978.38429398148</v>
      </c>
      <c r="C741" s="1" t="n">
        <v>46171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27502-2023</t>
        </is>
      </c>
      <c r="B742" s="1" t="n">
        <v>45092</v>
      </c>
      <c r="C742" s="1" t="n">
        <v>46171</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54473-2023</t>
        </is>
      </c>
      <c r="B743" s="1" t="n">
        <v>45233</v>
      </c>
      <c r="C743" s="1" t="n">
        <v>46171</v>
      </c>
      <c r="D743" t="inlineStr">
        <is>
          <t>SKÅNE LÄN</t>
        </is>
      </c>
      <c r="E743" t="inlineStr">
        <is>
          <t>HÄSSLEHOLM</t>
        </is>
      </c>
      <c r="G743" t="n">
        <v>24.5</v>
      </c>
      <c r="H743" t="n">
        <v>0</v>
      </c>
      <c r="I743" t="n">
        <v>0</v>
      </c>
      <c r="J743" t="n">
        <v>0</v>
      </c>
      <c r="K743" t="n">
        <v>0</v>
      </c>
      <c r="L743" t="n">
        <v>0</v>
      </c>
      <c r="M743" t="n">
        <v>0</v>
      </c>
      <c r="N743" t="n">
        <v>0</v>
      </c>
      <c r="O743" t="n">
        <v>0</v>
      </c>
      <c r="P743" t="n">
        <v>0</v>
      </c>
      <c r="Q743" t="n">
        <v>0</v>
      </c>
      <c r="R743" s="2" t="inlineStr"/>
    </row>
    <row r="744" ht="15" customHeight="1">
      <c r="A744" t="inlineStr">
        <is>
          <t>A 26641-2023</t>
        </is>
      </c>
      <c r="B744" s="1" t="n">
        <v>45092.89619212963</v>
      </c>
      <c r="C744" s="1" t="n">
        <v>46171</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51752-2023</t>
        </is>
      </c>
      <c r="B745" s="1" t="n">
        <v>45222</v>
      </c>
      <c r="C745" s="1" t="n">
        <v>46171</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20800-2023</t>
        </is>
      </c>
      <c r="B746" s="1" t="n">
        <v>45058.61640046296</v>
      </c>
      <c r="C746" s="1" t="n">
        <v>46171</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49219-2024</t>
        </is>
      </c>
      <c r="B747" s="1" t="n">
        <v>45595.40923611111</v>
      </c>
      <c r="C747" s="1" t="n">
        <v>46171</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7152-2025</t>
        </is>
      </c>
      <c r="B748" s="1" t="n">
        <v>45702.3837037037</v>
      </c>
      <c r="C748" s="1" t="n">
        <v>46171</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7160-2025</t>
        </is>
      </c>
      <c r="B749" s="1" t="n">
        <v>45702.3875462963</v>
      </c>
      <c r="C749" s="1" t="n">
        <v>46171</v>
      </c>
      <c r="D749" t="inlineStr">
        <is>
          <t>SKÅNE LÄN</t>
        </is>
      </c>
      <c r="E749" t="inlineStr">
        <is>
          <t>HÄSSLEHOLM</t>
        </is>
      </c>
      <c r="G749" t="n">
        <v>2.5</v>
      </c>
      <c r="H749" t="n">
        <v>0</v>
      </c>
      <c r="I749" t="n">
        <v>0</v>
      </c>
      <c r="J749" t="n">
        <v>0</v>
      </c>
      <c r="K749" t="n">
        <v>0</v>
      </c>
      <c r="L749" t="n">
        <v>0</v>
      </c>
      <c r="M749" t="n">
        <v>0</v>
      </c>
      <c r="N749" t="n">
        <v>0</v>
      </c>
      <c r="O749" t="n">
        <v>0</v>
      </c>
      <c r="P749" t="n">
        <v>0</v>
      </c>
      <c r="Q749" t="n">
        <v>0</v>
      </c>
      <c r="R749" s="2" t="inlineStr"/>
    </row>
    <row r="750" ht="15" customHeight="1">
      <c r="A750" t="inlineStr">
        <is>
          <t>A 14939-2023</t>
        </is>
      </c>
      <c r="B750" s="1" t="n">
        <v>45014</v>
      </c>
      <c r="C750" s="1" t="n">
        <v>46171</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61322-2025</t>
        </is>
      </c>
      <c r="B751" s="1" t="n">
        <v>46000</v>
      </c>
      <c r="C751" s="1" t="n">
        <v>46171</v>
      </c>
      <c r="D751" t="inlineStr">
        <is>
          <t>SKÅNE LÄN</t>
        </is>
      </c>
      <c r="E751" t="inlineStr">
        <is>
          <t>HÄSSLEHOLM</t>
        </is>
      </c>
      <c r="G751" t="n">
        <v>2.2</v>
      </c>
      <c r="H751" t="n">
        <v>0</v>
      </c>
      <c r="I751" t="n">
        <v>0</v>
      </c>
      <c r="J751" t="n">
        <v>0</v>
      </c>
      <c r="K751" t="n">
        <v>0</v>
      </c>
      <c r="L751" t="n">
        <v>0</v>
      </c>
      <c r="M751" t="n">
        <v>0</v>
      </c>
      <c r="N751" t="n">
        <v>0</v>
      </c>
      <c r="O751" t="n">
        <v>0</v>
      </c>
      <c r="P751" t="n">
        <v>0</v>
      </c>
      <c r="Q751" t="n">
        <v>0</v>
      </c>
      <c r="R751" s="2" t="inlineStr"/>
    </row>
    <row r="752" ht="15" customHeight="1">
      <c r="A752" t="inlineStr">
        <is>
          <t>A 15104-2023</t>
        </is>
      </c>
      <c r="B752" s="1" t="n">
        <v>45016.40576388889</v>
      </c>
      <c r="C752" s="1" t="n">
        <v>46171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66321-2021</t>
        </is>
      </c>
      <c r="B753" s="1" t="n">
        <v>44518</v>
      </c>
      <c r="C753" s="1" t="n">
        <v>46171</v>
      </c>
      <c r="D753" t="inlineStr">
        <is>
          <t>SKÅNE LÄN</t>
        </is>
      </c>
      <c r="E753" t="inlineStr">
        <is>
          <t>HÄSSLEHOLM</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21494-2023</t>
        </is>
      </c>
      <c r="B754" s="1" t="n">
        <v>45063</v>
      </c>
      <c r="C754" s="1" t="n">
        <v>46171</v>
      </c>
      <c r="D754" t="inlineStr">
        <is>
          <t>SKÅNE LÄN</t>
        </is>
      </c>
      <c r="E754" t="inlineStr">
        <is>
          <t>HÄSSLEHOLM</t>
        </is>
      </c>
      <c r="G754" t="n">
        <v>3.7</v>
      </c>
      <c r="H754" t="n">
        <v>0</v>
      </c>
      <c r="I754" t="n">
        <v>0</v>
      </c>
      <c r="J754" t="n">
        <v>0</v>
      </c>
      <c r="K754" t="n">
        <v>0</v>
      </c>
      <c r="L754" t="n">
        <v>0</v>
      </c>
      <c r="M754" t="n">
        <v>0</v>
      </c>
      <c r="N754" t="n">
        <v>0</v>
      </c>
      <c r="O754" t="n">
        <v>0</v>
      </c>
      <c r="P754" t="n">
        <v>0</v>
      </c>
      <c r="Q754" t="n">
        <v>0</v>
      </c>
      <c r="R754" s="2" t="inlineStr"/>
    </row>
    <row r="755" ht="15" customHeight="1">
      <c r="A755" t="inlineStr">
        <is>
          <t>A 21495-2023</t>
        </is>
      </c>
      <c r="B755" s="1" t="n">
        <v>45063</v>
      </c>
      <c r="C755" s="1" t="n">
        <v>46171</v>
      </c>
      <c r="D755" t="inlineStr">
        <is>
          <t>SKÅNE LÄN</t>
        </is>
      </c>
      <c r="E755" t="inlineStr">
        <is>
          <t>HÄSSLEHOLM</t>
        </is>
      </c>
      <c r="G755" t="n">
        <v>1.2</v>
      </c>
      <c r="H755" t="n">
        <v>0</v>
      </c>
      <c r="I755" t="n">
        <v>0</v>
      </c>
      <c r="J755" t="n">
        <v>0</v>
      </c>
      <c r="K755" t="n">
        <v>0</v>
      </c>
      <c r="L755" t="n">
        <v>0</v>
      </c>
      <c r="M755" t="n">
        <v>0</v>
      </c>
      <c r="N755" t="n">
        <v>0</v>
      </c>
      <c r="O755" t="n">
        <v>0</v>
      </c>
      <c r="P755" t="n">
        <v>0</v>
      </c>
      <c r="Q755" t="n">
        <v>0</v>
      </c>
      <c r="R755" s="2" t="inlineStr"/>
    </row>
    <row r="756" ht="15" customHeight="1">
      <c r="A756" t="inlineStr">
        <is>
          <t>A 61474-2025</t>
        </is>
      </c>
      <c r="B756" s="1" t="n">
        <v>46001.61886574074</v>
      </c>
      <c r="C756" s="1" t="n">
        <v>46171</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40739-2024</t>
        </is>
      </c>
      <c r="B757" s="1" t="n">
        <v>45558</v>
      </c>
      <c r="C757" s="1" t="n">
        <v>46171</v>
      </c>
      <c r="D757" t="inlineStr">
        <is>
          <t>SKÅNE LÄN</t>
        </is>
      </c>
      <c r="E757" t="inlineStr">
        <is>
          <t>HÄSSLEHOLM</t>
        </is>
      </c>
      <c r="G757" t="n">
        <v>1.6</v>
      </c>
      <c r="H757" t="n">
        <v>0</v>
      </c>
      <c r="I757" t="n">
        <v>0</v>
      </c>
      <c r="J757" t="n">
        <v>0</v>
      </c>
      <c r="K757" t="n">
        <v>0</v>
      </c>
      <c r="L757" t="n">
        <v>0</v>
      </c>
      <c r="M757" t="n">
        <v>0</v>
      </c>
      <c r="N757" t="n">
        <v>0</v>
      </c>
      <c r="O757" t="n">
        <v>0</v>
      </c>
      <c r="P757" t="n">
        <v>0</v>
      </c>
      <c r="Q757" t="n">
        <v>0</v>
      </c>
      <c r="R757" s="2" t="inlineStr"/>
    </row>
    <row r="758" ht="15" customHeight="1">
      <c r="A758" t="inlineStr">
        <is>
          <t>A 64884-2023</t>
        </is>
      </c>
      <c r="B758" s="1" t="n">
        <v>45282.57809027778</v>
      </c>
      <c r="C758" s="1" t="n">
        <v>46171</v>
      </c>
      <c r="D758" t="inlineStr">
        <is>
          <t>SKÅNE LÄN</t>
        </is>
      </c>
      <c r="E758" t="inlineStr">
        <is>
          <t>HÄSSLEHOLM</t>
        </is>
      </c>
      <c r="G758" t="n">
        <v>4.6</v>
      </c>
      <c r="H758" t="n">
        <v>0</v>
      </c>
      <c r="I758" t="n">
        <v>0</v>
      </c>
      <c r="J758" t="n">
        <v>0</v>
      </c>
      <c r="K758" t="n">
        <v>0</v>
      </c>
      <c r="L758" t="n">
        <v>0</v>
      </c>
      <c r="M758" t="n">
        <v>0</v>
      </c>
      <c r="N758" t="n">
        <v>0</v>
      </c>
      <c r="O758" t="n">
        <v>0</v>
      </c>
      <c r="P758" t="n">
        <v>0</v>
      </c>
      <c r="Q758" t="n">
        <v>0</v>
      </c>
      <c r="R758" s="2" t="inlineStr"/>
    </row>
    <row r="759" ht="15" customHeight="1">
      <c r="A759" t="inlineStr">
        <is>
          <t>A 22140-2023</t>
        </is>
      </c>
      <c r="B759" s="1" t="n">
        <v>45065</v>
      </c>
      <c r="C759" s="1" t="n">
        <v>46171</v>
      </c>
      <c r="D759" t="inlineStr">
        <is>
          <t>SKÅNE LÄN</t>
        </is>
      </c>
      <c r="E759" t="inlineStr">
        <is>
          <t>HÄSSLEHOLM</t>
        </is>
      </c>
      <c r="G759" t="n">
        <v>6.7</v>
      </c>
      <c r="H759" t="n">
        <v>0</v>
      </c>
      <c r="I759" t="n">
        <v>0</v>
      </c>
      <c r="J759" t="n">
        <v>0</v>
      </c>
      <c r="K759" t="n">
        <v>0</v>
      </c>
      <c r="L759" t="n">
        <v>0</v>
      </c>
      <c r="M759" t="n">
        <v>0</v>
      </c>
      <c r="N759" t="n">
        <v>0</v>
      </c>
      <c r="O759" t="n">
        <v>0</v>
      </c>
      <c r="P759" t="n">
        <v>0</v>
      </c>
      <c r="Q759" t="n">
        <v>0</v>
      </c>
      <c r="R759" s="2" t="inlineStr"/>
    </row>
    <row r="760" ht="15" customHeight="1">
      <c r="A760" t="inlineStr">
        <is>
          <t>A 31944-2023</t>
        </is>
      </c>
      <c r="B760" s="1" t="n">
        <v>45119.34895833334</v>
      </c>
      <c r="C760" s="1" t="n">
        <v>46171</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7890-2024</t>
        </is>
      </c>
      <c r="B761" s="1" t="n">
        <v>45350.40780092592</v>
      </c>
      <c r="C761" s="1" t="n">
        <v>46171</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31946-2023</t>
        </is>
      </c>
      <c r="B762" s="1" t="n">
        <v>45119.35158564815</v>
      </c>
      <c r="C762" s="1" t="n">
        <v>46171</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8755-2024</t>
        </is>
      </c>
      <c r="B763" s="1" t="n">
        <v>45356</v>
      </c>
      <c r="C763" s="1" t="n">
        <v>46171</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62376-2025</t>
        </is>
      </c>
      <c r="B764" s="1" t="n">
        <v>46006</v>
      </c>
      <c r="C764" s="1" t="n">
        <v>46171</v>
      </c>
      <c r="D764" t="inlineStr">
        <is>
          <t>SKÅNE LÄN</t>
        </is>
      </c>
      <c r="E764" t="inlineStr">
        <is>
          <t>HÄSSLEHOLM</t>
        </is>
      </c>
      <c r="G764" t="n">
        <v>1.2</v>
      </c>
      <c r="H764" t="n">
        <v>0</v>
      </c>
      <c r="I764" t="n">
        <v>0</v>
      </c>
      <c r="J764" t="n">
        <v>0</v>
      </c>
      <c r="K764" t="n">
        <v>0</v>
      </c>
      <c r="L764" t="n">
        <v>0</v>
      </c>
      <c r="M764" t="n">
        <v>0</v>
      </c>
      <c r="N764" t="n">
        <v>0</v>
      </c>
      <c r="O764" t="n">
        <v>0</v>
      </c>
      <c r="P764" t="n">
        <v>0</v>
      </c>
      <c r="Q764" t="n">
        <v>0</v>
      </c>
      <c r="R764" s="2" t="inlineStr"/>
    </row>
    <row r="765" ht="15" customHeight="1">
      <c r="A765" t="inlineStr">
        <is>
          <t>A 61178-2022</t>
        </is>
      </c>
      <c r="B765" s="1" t="n">
        <v>44915</v>
      </c>
      <c r="C765" s="1" t="n">
        <v>46171</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61185-2022</t>
        </is>
      </c>
      <c r="B766" s="1" t="n">
        <v>44915</v>
      </c>
      <c r="C766" s="1" t="n">
        <v>46171</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61691-2021</t>
        </is>
      </c>
      <c r="B767" s="1" t="n">
        <v>44501</v>
      </c>
      <c r="C767" s="1" t="n">
        <v>46171</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25221-2023</t>
        </is>
      </c>
      <c r="B768" s="1" t="n">
        <v>45086.60842592592</v>
      </c>
      <c r="C768" s="1" t="n">
        <v>46171</v>
      </c>
      <c r="D768" t="inlineStr">
        <is>
          <t>SKÅNE LÄN</t>
        </is>
      </c>
      <c r="E768" t="inlineStr">
        <is>
          <t>HÄSSLEHOLM</t>
        </is>
      </c>
      <c r="G768" t="n">
        <v>2.5</v>
      </c>
      <c r="H768" t="n">
        <v>0</v>
      </c>
      <c r="I768" t="n">
        <v>0</v>
      </c>
      <c r="J768" t="n">
        <v>0</v>
      </c>
      <c r="K768" t="n">
        <v>0</v>
      </c>
      <c r="L768" t="n">
        <v>0</v>
      </c>
      <c r="M768" t="n">
        <v>0</v>
      </c>
      <c r="N768" t="n">
        <v>0</v>
      </c>
      <c r="O768" t="n">
        <v>0</v>
      </c>
      <c r="P768" t="n">
        <v>0</v>
      </c>
      <c r="Q768" t="n">
        <v>0</v>
      </c>
      <c r="R768" s="2" t="inlineStr"/>
    </row>
    <row r="769" ht="15" customHeight="1">
      <c r="A769" t="inlineStr">
        <is>
          <t>A 59390-2021</t>
        </is>
      </c>
      <c r="B769" s="1" t="n">
        <v>44490</v>
      </c>
      <c r="C769" s="1" t="n">
        <v>46171</v>
      </c>
      <c r="D769" t="inlineStr">
        <is>
          <t>SKÅNE LÄN</t>
        </is>
      </c>
      <c r="E769" t="inlineStr">
        <is>
          <t>HÄSSLEHOLM</t>
        </is>
      </c>
      <c r="G769" t="n">
        <v>7.1</v>
      </c>
      <c r="H769" t="n">
        <v>0</v>
      </c>
      <c r="I769" t="n">
        <v>0</v>
      </c>
      <c r="J769" t="n">
        <v>0</v>
      </c>
      <c r="K769" t="n">
        <v>0</v>
      </c>
      <c r="L769" t="n">
        <v>0</v>
      </c>
      <c r="M769" t="n">
        <v>0</v>
      </c>
      <c r="N769" t="n">
        <v>0</v>
      </c>
      <c r="O769" t="n">
        <v>0</v>
      </c>
      <c r="P769" t="n">
        <v>0</v>
      </c>
      <c r="Q769" t="n">
        <v>0</v>
      </c>
      <c r="R769" s="2" t="inlineStr"/>
    </row>
    <row r="770" ht="15" customHeight="1">
      <c r="A770" t="inlineStr">
        <is>
          <t>A 50564-2023</t>
        </is>
      </c>
      <c r="B770" s="1" t="n">
        <v>45217.37957175926</v>
      </c>
      <c r="C770" s="1" t="n">
        <v>46171</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15133-2023</t>
        </is>
      </c>
      <c r="B771" s="1" t="n">
        <v>45016</v>
      </c>
      <c r="C771" s="1" t="n">
        <v>46171</v>
      </c>
      <c r="D771" t="inlineStr">
        <is>
          <t>SKÅNE LÄN</t>
        </is>
      </c>
      <c r="E771" t="inlineStr">
        <is>
          <t>HÄSSLEHOLM</t>
        </is>
      </c>
      <c r="G771" t="n">
        <v>7.8</v>
      </c>
      <c r="H771" t="n">
        <v>0</v>
      </c>
      <c r="I771" t="n">
        <v>0</v>
      </c>
      <c r="J771" t="n">
        <v>0</v>
      </c>
      <c r="K771" t="n">
        <v>0</v>
      </c>
      <c r="L771" t="n">
        <v>0</v>
      </c>
      <c r="M771" t="n">
        <v>0</v>
      </c>
      <c r="N771" t="n">
        <v>0</v>
      </c>
      <c r="O771" t="n">
        <v>0</v>
      </c>
      <c r="P771" t="n">
        <v>0</v>
      </c>
      <c r="Q771" t="n">
        <v>0</v>
      </c>
      <c r="R771" s="2" t="inlineStr"/>
    </row>
    <row r="772" ht="15" customHeight="1">
      <c r="A772" t="inlineStr">
        <is>
          <t>A 15053-2023</t>
        </is>
      </c>
      <c r="B772" s="1" t="n">
        <v>45015</v>
      </c>
      <c r="C772" s="1" t="n">
        <v>46171</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23857-2024</t>
        </is>
      </c>
      <c r="B773" s="1" t="n">
        <v>45455</v>
      </c>
      <c r="C773" s="1" t="n">
        <v>46171</v>
      </c>
      <c r="D773" t="inlineStr">
        <is>
          <t>SKÅNE LÄN</t>
        </is>
      </c>
      <c r="E773" t="inlineStr">
        <is>
          <t>HÄSSLEHOLM</t>
        </is>
      </c>
      <c r="G773" t="n">
        <v>3</v>
      </c>
      <c r="H773" t="n">
        <v>0</v>
      </c>
      <c r="I773" t="n">
        <v>0</v>
      </c>
      <c r="J773" t="n">
        <v>0</v>
      </c>
      <c r="K773" t="n">
        <v>0</v>
      </c>
      <c r="L773" t="n">
        <v>0</v>
      </c>
      <c r="M773" t="n">
        <v>0</v>
      </c>
      <c r="N773" t="n">
        <v>0</v>
      </c>
      <c r="O773" t="n">
        <v>0</v>
      </c>
      <c r="P773" t="n">
        <v>0</v>
      </c>
      <c r="Q773" t="n">
        <v>0</v>
      </c>
      <c r="R773" s="2" t="inlineStr"/>
    </row>
    <row r="774" ht="15" customHeight="1">
      <c r="A774" t="inlineStr">
        <is>
          <t>A 35644-2023</t>
        </is>
      </c>
      <c r="B774" s="1" t="n">
        <v>45147</v>
      </c>
      <c r="C774" s="1" t="n">
        <v>46171</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46185-2022</t>
        </is>
      </c>
      <c r="B775" s="1" t="n">
        <v>44847</v>
      </c>
      <c r="C775" s="1" t="n">
        <v>46171</v>
      </c>
      <c r="D775" t="inlineStr">
        <is>
          <t>SKÅNE LÄN</t>
        </is>
      </c>
      <c r="E775" t="inlineStr">
        <is>
          <t>HÄSSLEHOLM</t>
        </is>
      </c>
      <c r="G775" t="n">
        <v>16.8</v>
      </c>
      <c r="H775" t="n">
        <v>0</v>
      </c>
      <c r="I775" t="n">
        <v>0</v>
      </c>
      <c r="J775" t="n">
        <v>0</v>
      </c>
      <c r="K775" t="n">
        <v>0</v>
      </c>
      <c r="L775" t="n">
        <v>0</v>
      </c>
      <c r="M775" t="n">
        <v>0</v>
      </c>
      <c r="N775" t="n">
        <v>0</v>
      </c>
      <c r="O775" t="n">
        <v>0</v>
      </c>
      <c r="P775" t="n">
        <v>0</v>
      </c>
      <c r="Q775" t="n">
        <v>0</v>
      </c>
      <c r="R775" s="2" t="inlineStr"/>
    </row>
    <row r="776" ht="15" customHeight="1">
      <c r="A776" t="inlineStr">
        <is>
          <t>A 8433-2024</t>
        </is>
      </c>
      <c r="B776" s="1" t="n">
        <v>45353.48434027778</v>
      </c>
      <c r="C776" s="1" t="n">
        <v>46171</v>
      </c>
      <c r="D776" t="inlineStr">
        <is>
          <t>SKÅNE LÄN</t>
        </is>
      </c>
      <c r="E776" t="inlineStr">
        <is>
          <t>HÄSSLEHOLM</t>
        </is>
      </c>
      <c r="G776" t="n">
        <v>1.9</v>
      </c>
      <c r="H776" t="n">
        <v>0</v>
      </c>
      <c r="I776" t="n">
        <v>0</v>
      </c>
      <c r="J776" t="n">
        <v>0</v>
      </c>
      <c r="K776" t="n">
        <v>0</v>
      </c>
      <c r="L776" t="n">
        <v>0</v>
      </c>
      <c r="M776" t="n">
        <v>0</v>
      </c>
      <c r="N776" t="n">
        <v>0</v>
      </c>
      <c r="O776" t="n">
        <v>0</v>
      </c>
      <c r="P776" t="n">
        <v>0</v>
      </c>
      <c r="Q776" t="n">
        <v>0</v>
      </c>
      <c r="R776" s="2" t="inlineStr"/>
    </row>
    <row r="777" ht="15" customHeight="1">
      <c r="A777" t="inlineStr">
        <is>
          <t>A 62055-2023</t>
        </is>
      </c>
      <c r="B777" s="1" t="n">
        <v>45266.70287037037</v>
      </c>
      <c r="C777" s="1" t="n">
        <v>46171</v>
      </c>
      <c r="D777" t="inlineStr">
        <is>
          <t>SKÅNE LÄN</t>
        </is>
      </c>
      <c r="E777" t="inlineStr">
        <is>
          <t>HÄSSLEHOLM</t>
        </is>
      </c>
      <c r="G777" t="n">
        <v>5.2</v>
      </c>
      <c r="H777" t="n">
        <v>0</v>
      </c>
      <c r="I777" t="n">
        <v>0</v>
      </c>
      <c r="J777" t="n">
        <v>0</v>
      </c>
      <c r="K777" t="n">
        <v>0</v>
      </c>
      <c r="L777" t="n">
        <v>0</v>
      </c>
      <c r="M777" t="n">
        <v>0</v>
      </c>
      <c r="N777" t="n">
        <v>0</v>
      </c>
      <c r="O777" t="n">
        <v>0</v>
      </c>
      <c r="P777" t="n">
        <v>0</v>
      </c>
      <c r="Q777" t="n">
        <v>0</v>
      </c>
      <c r="R777" s="2" t="inlineStr"/>
    </row>
    <row r="778" ht="15" customHeight="1">
      <c r="A778" t="inlineStr">
        <is>
          <t>A 11998-2026</t>
        </is>
      </c>
      <c r="B778" s="1" t="n">
        <v>46085</v>
      </c>
      <c r="C778" s="1" t="n">
        <v>46171</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13555-2025</t>
        </is>
      </c>
      <c r="B779" s="1" t="n">
        <v>45736</v>
      </c>
      <c r="C779" s="1" t="n">
        <v>46171</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28632-2024</t>
        </is>
      </c>
      <c r="B780" s="1" t="n">
        <v>45478</v>
      </c>
      <c r="C780" s="1" t="n">
        <v>46171</v>
      </c>
      <c r="D780" t="inlineStr">
        <is>
          <t>SKÅNE LÄN</t>
        </is>
      </c>
      <c r="E780" t="inlineStr">
        <is>
          <t>HÄSSLEHOLM</t>
        </is>
      </c>
      <c r="G780" t="n">
        <v>4</v>
      </c>
      <c r="H780" t="n">
        <v>0</v>
      </c>
      <c r="I780" t="n">
        <v>0</v>
      </c>
      <c r="J780" t="n">
        <v>0</v>
      </c>
      <c r="K780" t="n">
        <v>0</v>
      </c>
      <c r="L780" t="n">
        <v>0</v>
      </c>
      <c r="M780" t="n">
        <v>0</v>
      </c>
      <c r="N780" t="n">
        <v>0</v>
      </c>
      <c r="O780" t="n">
        <v>0</v>
      </c>
      <c r="P780" t="n">
        <v>0</v>
      </c>
      <c r="Q780" t="n">
        <v>0</v>
      </c>
      <c r="R780" s="2" t="inlineStr"/>
    </row>
    <row r="781" ht="15" customHeight="1">
      <c r="A781" t="inlineStr">
        <is>
          <t>A 11999-2026</t>
        </is>
      </c>
      <c r="B781" s="1" t="n">
        <v>46085</v>
      </c>
      <c r="C781" s="1" t="n">
        <v>46171</v>
      </c>
      <c r="D781" t="inlineStr">
        <is>
          <t>SKÅNE LÄN</t>
        </is>
      </c>
      <c r="E781" t="inlineStr">
        <is>
          <t>HÄSSLEHOLM</t>
        </is>
      </c>
      <c r="G781" t="n">
        <v>0.2</v>
      </c>
      <c r="H781" t="n">
        <v>0</v>
      </c>
      <c r="I781" t="n">
        <v>0</v>
      </c>
      <c r="J781" t="n">
        <v>0</v>
      </c>
      <c r="K781" t="n">
        <v>0</v>
      </c>
      <c r="L781" t="n">
        <v>0</v>
      </c>
      <c r="M781" t="n">
        <v>0</v>
      </c>
      <c r="N781" t="n">
        <v>0</v>
      </c>
      <c r="O781" t="n">
        <v>0</v>
      </c>
      <c r="P781" t="n">
        <v>0</v>
      </c>
      <c r="Q781" t="n">
        <v>0</v>
      </c>
      <c r="R781" s="2" t="inlineStr"/>
    </row>
    <row r="782" ht="15" customHeight="1">
      <c r="A782" t="inlineStr">
        <is>
          <t>A 35712-2024</t>
        </is>
      </c>
      <c r="B782" s="1" t="n">
        <v>45532</v>
      </c>
      <c r="C782" s="1" t="n">
        <v>46171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46171</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26397-2023</t>
        </is>
      </c>
      <c r="B784" s="1" t="n">
        <v>45087</v>
      </c>
      <c r="C784" s="1" t="n">
        <v>46171</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27175-2024</t>
        </is>
      </c>
      <c r="B785" s="1" t="n">
        <v>45471.57111111111</v>
      </c>
      <c r="C785" s="1" t="n">
        <v>46171</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1197-2024</t>
        </is>
      </c>
      <c r="B786" s="1" t="n">
        <v>45302</v>
      </c>
      <c r="C786" s="1" t="n">
        <v>46171</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48097-2024</t>
        </is>
      </c>
      <c r="B787" s="1" t="n">
        <v>45589.61413194444</v>
      </c>
      <c r="C787" s="1" t="n">
        <v>46171</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53077-2022</t>
        </is>
      </c>
      <c r="B788" s="1" t="n">
        <v>44873</v>
      </c>
      <c r="C788" s="1" t="n">
        <v>46171</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46171</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46171</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46171</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46171</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46171</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46171</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11715-2023</t>
        </is>
      </c>
      <c r="B795" s="1" t="n">
        <v>44992</v>
      </c>
      <c r="C795" s="1" t="n">
        <v>46171</v>
      </c>
      <c r="D795" t="inlineStr">
        <is>
          <t>SKÅNE LÄN</t>
        </is>
      </c>
      <c r="E795" t="inlineStr">
        <is>
          <t>HÄSSLEHOLM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25606-2024</t>
        </is>
      </c>
      <c r="B796" s="1" t="n">
        <v>45463.63179398148</v>
      </c>
      <c r="C796" s="1" t="n">
        <v>46171</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1538-2024</t>
        </is>
      </c>
      <c r="B797" s="1" t="n">
        <v>45306</v>
      </c>
      <c r="C797" s="1" t="n">
        <v>46171</v>
      </c>
      <c r="D797" t="inlineStr">
        <is>
          <t>SKÅNE LÄN</t>
        </is>
      </c>
      <c r="E797" t="inlineStr">
        <is>
          <t>HÄSSLEHOLM</t>
        </is>
      </c>
      <c r="G797" t="n">
        <v>4.8</v>
      </c>
      <c r="H797" t="n">
        <v>0</v>
      </c>
      <c r="I797" t="n">
        <v>0</v>
      </c>
      <c r="J797" t="n">
        <v>0</v>
      </c>
      <c r="K797" t="n">
        <v>0</v>
      </c>
      <c r="L797" t="n">
        <v>0</v>
      </c>
      <c r="M797" t="n">
        <v>0</v>
      </c>
      <c r="N797" t="n">
        <v>0</v>
      </c>
      <c r="O797" t="n">
        <v>0</v>
      </c>
      <c r="P797" t="n">
        <v>0</v>
      </c>
      <c r="Q797" t="n">
        <v>0</v>
      </c>
      <c r="R797" s="2" t="inlineStr"/>
    </row>
    <row r="798" ht="15" customHeight="1">
      <c r="A798" t="inlineStr">
        <is>
          <t>A 25533-2024</t>
        </is>
      </c>
      <c r="B798" s="1" t="n">
        <v>45463</v>
      </c>
      <c r="C798" s="1" t="n">
        <v>46171</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31934-2024</t>
        </is>
      </c>
      <c r="B799" s="1" t="n">
        <v>45510.41177083334</v>
      </c>
      <c r="C799" s="1" t="n">
        <v>46171</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29847-2024</t>
        </is>
      </c>
      <c r="B800" s="1" t="n">
        <v>45485.6278587963</v>
      </c>
      <c r="C800" s="1" t="n">
        <v>46171</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7653-2024</t>
        </is>
      </c>
      <c r="B801" s="1" t="n">
        <v>45348.69043981482</v>
      </c>
      <c r="C801" s="1" t="n">
        <v>46171</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12570-2023</t>
        </is>
      </c>
      <c r="B802" s="1" t="n">
        <v>44999</v>
      </c>
      <c r="C802" s="1" t="n">
        <v>46171</v>
      </c>
      <c r="D802" t="inlineStr">
        <is>
          <t>SKÅNE LÄN</t>
        </is>
      </c>
      <c r="E802" t="inlineStr">
        <is>
          <t>HÄSSLEHOLM</t>
        </is>
      </c>
      <c r="G802" t="n">
        <v>3.4</v>
      </c>
      <c r="H802" t="n">
        <v>0</v>
      </c>
      <c r="I802" t="n">
        <v>0</v>
      </c>
      <c r="J802" t="n">
        <v>0</v>
      </c>
      <c r="K802" t="n">
        <v>0</v>
      </c>
      <c r="L802" t="n">
        <v>0</v>
      </c>
      <c r="M802" t="n">
        <v>0</v>
      </c>
      <c r="N802" t="n">
        <v>0</v>
      </c>
      <c r="O802" t="n">
        <v>0</v>
      </c>
      <c r="P802" t="n">
        <v>0</v>
      </c>
      <c r="Q802" t="n">
        <v>0</v>
      </c>
      <c r="R802" s="2" t="inlineStr"/>
    </row>
    <row r="803" ht="15" customHeight="1">
      <c r="A803" t="inlineStr">
        <is>
          <t>A 14926-2024</t>
        </is>
      </c>
      <c r="B803" s="1" t="n">
        <v>45398</v>
      </c>
      <c r="C803" s="1" t="n">
        <v>46171</v>
      </c>
      <c r="D803" t="inlineStr">
        <is>
          <t>SKÅNE LÄN</t>
        </is>
      </c>
      <c r="E803" t="inlineStr">
        <is>
          <t>HÄSSLEHOLM</t>
        </is>
      </c>
      <c r="G803" t="n">
        <v>3.4</v>
      </c>
      <c r="H803" t="n">
        <v>0</v>
      </c>
      <c r="I803" t="n">
        <v>0</v>
      </c>
      <c r="J803" t="n">
        <v>0</v>
      </c>
      <c r="K803" t="n">
        <v>0</v>
      </c>
      <c r="L803" t="n">
        <v>0</v>
      </c>
      <c r="M803" t="n">
        <v>0</v>
      </c>
      <c r="N803" t="n">
        <v>0</v>
      </c>
      <c r="O803" t="n">
        <v>0</v>
      </c>
      <c r="P803" t="n">
        <v>0</v>
      </c>
      <c r="Q803" t="n">
        <v>0</v>
      </c>
      <c r="R803" s="2" t="inlineStr"/>
    </row>
    <row r="804" ht="15" customHeight="1">
      <c r="A804" t="inlineStr">
        <is>
          <t>A 2688-2024</t>
        </is>
      </c>
      <c r="B804" s="1" t="n">
        <v>45314</v>
      </c>
      <c r="C804" s="1" t="n">
        <v>46171</v>
      </c>
      <c r="D804" t="inlineStr">
        <is>
          <t>SKÅNE LÄN</t>
        </is>
      </c>
      <c r="E804" t="inlineStr">
        <is>
          <t>HÄSSLEHOLM</t>
        </is>
      </c>
      <c r="F804" t="inlineStr">
        <is>
          <t>Övriga Aktiebolag</t>
        </is>
      </c>
      <c r="G804" t="n">
        <v>2.8</v>
      </c>
      <c r="H804" t="n">
        <v>0</v>
      </c>
      <c r="I804" t="n">
        <v>0</v>
      </c>
      <c r="J804" t="n">
        <v>0</v>
      </c>
      <c r="K804" t="n">
        <v>0</v>
      </c>
      <c r="L804" t="n">
        <v>0</v>
      </c>
      <c r="M804" t="n">
        <v>0</v>
      </c>
      <c r="N804" t="n">
        <v>0</v>
      </c>
      <c r="O804" t="n">
        <v>0</v>
      </c>
      <c r="P804" t="n">
        <v>0</v>
      </c>
      <c r="Q804" t="n">
        <v>0</v>
      </c>
      <c r="R804" s="2" t="inlineStr"/>
    </row>
    <row r="805" ht="15" customHeight="1">
      <c r="A805" t="inlineStr">
        <is>
          <t>A 36733-2023</t>
        </is>
      </c>
      <c r="B805" s="1" t="n">
        <v>45153.69989583334</v>
      </c>
      <c r="C805" s="1" t="n">
        <v>46171</v>
      </c>
      <c r="D805" t="inlineStr">
        <is>
          <t>SKÅNE LÄN</t>
        </is>
      </c>
      <c r="E805" t="inlineStr">
        <is>
          <t>HÄSSLEHOLM</t>
        </is>
      </c>
      <c r="G805" t="n">
        <v>4.8</v>
      </c>
      <c r="H805" t="n">
        <v>0</v>
      </c>
      <c r="I805" t="n">
        <v>0</v>
      </c>
      <c r="J805" t="n">
        <v>0</v>
      </c>
      <c r="K805" t="n">
        <v>0</v>
      </c>
      <c r="L805" t="n">
        <v>0</v>
      </c>
      <c r="M805" t="n">
        <v>0</v>
      </c>
      <c r="N805" t="n">
        <v>0</v>
      </c>
      <c r="O805" t="n">
        <v>0</v>
      </c>
      <c r="P805" t="n">
        <v>0</v>
      </c>
      <c r="Q805" t="n">
        <v>0</v>
      </c>
      <c r="R805" s="2" t="inlineStr"/>
    </row>
    <row r="806" ht="15" customHeight="1">
      <c r="A806" t="inlineStr">
        <is>
          <t>A 8244-2023</t>
        </is>
      </c>
      <c r="B806" s="1" t="n">
        <v>44974</v>
      </c>
      <c r="C806" s="1" t="n">
        <v>46171</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8246-2023</t>
        </is>
      </c>
      <c r="B807" s="1" t="n">
        <v>44974</v>
      </c>
      <c r="C807" s="1" t="n">
        <v>46171</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34834-2023</t>
        </is>
      </c>
      <c r="B808" s="1" t="n">
        <v>45141.7199537037</v>
      </c>
      <c r="C808" s="1" t="n">
        <v>46171</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24679-2023</t>
        </is>
      </c>
      <c r="B809" s="1" t="n">
        <v>45084</v>
      </c>
      <c r="C809" s="1" t="n">
        <v>46171</v>
      </c>
      <c r="D809" t="inlineStr">
        <is>
          <t>SKÅNE LÄN</t>
        </is>
      </c>
      <c r="E809" t="inlineStr">
        <is>
          <t>HÄSSLEHOLM</t>
        </is>
      </c>
      <c r="G809" t="n">
        <v>7.1</v>
      </c>
      <c r="H809" t="n">
        <v>0</v>
      </c>
      <c r="I809" t="n">
        <v>0</v>
      </c>
      <c r="J809" t="n">
        <v>0</v>
      </c>
      <c r="K809" t="n">
        <v>0</v>
      </c>
      <c r="L809" t="n">
        <v>0</v>
      </c>
      <c r="M809" t="n">
        <v>0</v>
      </c>
      <c r="N809" t="n">
        <v>0</v>
      </c>
      <c r="O809" t="n">
        <v>0</v>
      </c>
      <c r="P809" t="n">
        <v>0</v>
      </c>
      <c r="Q809" t="n">
        <v>0</v>
      </c>
      <c r="R809" s="2" t="inlineStr"/>
    </row>
    <row r="810" ht="15" customHeight="1">
      <c r="A810" t="inlineStr">
        <is>
          <t>A 15508-2023</t>
        </is>
      </c>
      <c r="B810" s="1" t="n">
        <v>45020.50045138889</v>
      </c>
      <c r="C810" s="1" t="n">
        <v>46171</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34187-2023</t>
        </is>
      </c>
      <c r="B811" s="1" t="n">
        <v>45138</v>
      </c>
      <c r="C811" s="1" t="n">
        <v>46171</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11019-2025</t>
        </is>
      </c>
      <c r="B812" s="1" t="n">
        <v>45723</v>
      </c>
      <c r="C812" s="1" t="n">
        <v>46171</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56062-2024</t>
        </is>
      </c>
      <c r="B813" s="1" t="n">
        <v>45624.37105324074</v>
      </c>
      <c r="C813" s="1" t="n">
        <v>46171</v>
      </c>
      <c r="D813" t="inlineStr">
        <is>
          <t>SKÅNE LÄN</t>
        </is>
      </c>
      <c r="E813" t="inlineStr">
        <is>
          <t>HÄSSLEHOLM</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45299-2024</t>
        </is>
      </c>
      <c r="B814" s="1" t="n">
        <v>45576.40599537037</v>
      </c>
      <c r="C814" s="1" t="n">
        <v>46171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34369-2023</t>
        </is>
      </c>
      <c r="B815" s="1" t="n">
        <v>45139.47817129629</v>
      </c>
      <c r="C815" s="1" t="n">
        <v>46171</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8378-2023</t>
        </is>
      </c>
      <c r="B816" s="1" t="n">
        <v>44971</v>
      </c>
      <c r="C816" s="1" t="n">
        <v>46171</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60704-2023</t>
        </is>
      </c>
      <c r="B817" s="1" t="n">
        <v>45260.51340277777</v>
      </c>
      <c r="C817" s="1" t="n">
        <v>46171</v>
      </c>
      <c r="D817" t="inlineStr">
        <is>
          <t>SKÅNE LÄN</t>
        </is>
      </c>
      <c r="E817" t="inlineStr">
        <is>
          <t>HÄSSLEHOLM</t>
        </is>
      </c>
      <c r="G817" t="n">
        <v>2.1</v>
      </c>
      <c r="H817" t="n">
        <v>0</v>
      </c>
      <c r="I817" t="n">
        <v>0</v>
      </c>
      <c r="J817" t="n">
        <v>0</v>
      </c>
      <c r="K817" t="n">
        <v>0</v>
      </c>
      <c r="L817" t="n">
        <v>0</v>
      </c>
      <c r="M817" t="n">
        <v>0</v>
      </c>
      <c r="N817" t="n">
        <v>0</v>
      </c>
      <c r="O817" t="n">
        <v>0</v>
      </c>
      <c r="P817" t="n">
        <v>0</v>
      </c>
      <c r="Q817" t="n">
        <v>0</v>
      </c>
      <c r="R817" s="2" t="inlineStr"/>
    </row>
    <row r="818" ht="15" customHeight="1">
      <c r="A818" t="inlineStr">
        <is>
          <t>A 61569-2023</t>
        </is>
      </c>
      <c r="B818" s="1" t="n">
        <v>45265</v>
      </c>
      <c r="C818" s="1" t="n">
        <v>46171</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315-2022</t>
        </is>
      </c>
      <c r="B819" s="1" t="n">
        <v>44565.55630787037</v>
      </c>
      <c r="C819" s="1" t="n">
        <v>46171</v>
      </c>
      <c r="D819" t="inlineStr">
        <is>
          <t>SKÅNE LÄN</t>
        </is>
      </c>
      <c r="E819" t="inlineStr">
        <is>
          <t>HÄSSLEHOLM</t>
        </is>
      </c>
      <c r="G819" t="n">
        <v>0.4</v>
      </c>
      <c r="H819" t="n">
        <v>0</v>
      </c>
      <c r="I819" t="n">
        <v>0</v>
      </c>
      <c r="J819" t="n">
        <v>0</v>
      </c>
      <c r="K819" t="n">
        <v>0</v>
      </c>
      <c r="L819" t="n">
        <v>0</v>
      </c>
      <c r="M819" t="n">
        <v>0</v>
      </c>
      <c r="N819" t="n">
        <v>0</v>
      </c>
      <c r="O819" t="n">
        <v>0</v>
      </c>
      <c r="P819" t="n">
        <v>0</v>
      </c>
      <c r="Q819" t="n">
        <v>0</v>
      </c>
      <c r="R819" s="2" t="inlineStr"/>
    </row>
    <row r="820" ht="15" customHeight="1">
      <c r="A820" t="inlineStr">
        <is>
          <t>A 31161-2024</t>
        </is>
      </c>
      <c r="B820" s="1" t="n">
        <v>45503</v>
      </c>
      <c r="C820" s="1" t="n">
        <v>46171</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33067-2024</t>
        </is>
      </c>
      <c r="B821" s="1" t="n">
        <v>45517.6520949074</v>
      </c>
      <c r="C821" s="1" t="n">
        <v>46171</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38888-2023</t>
        </is>
      </c>
      <c r="B822" s="1" t="n">
        <v>45161</v>
      </c>
      <c r="C822" s="1" t="n">
        <v>46171</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5992-2022</t>
        </is>
      </c>
      <c r="B823" s="1" t="n">
        <v>44599</v>
      </c>
      <c r="C823" s="1" t="n">
        <v>46171</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11240-2023</t>
        </is>
      </c>
      <c r="B824" s="1" t="n">
        <v>44992</v>
      </c>
      <c r="C824" s="1" t="n">
        <v>46171</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3248-2022</t>
        </is>
      </c>
      <c r="B825" s="1" t="n">
        <v>44583</v>
      </c>
      <c r="C825" s="1" t="n">
        <v>46171</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6310-2025</t>
        </is>
      </c>
      <c r="B826" s="1" t="n">
        <v>45698</v>
      </c>
      <c r="C826" s="1" t="n">
        <v>46171</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16474-2025</t>
        </is>
      </c>
      <c r="B827" s="1" t="n">
        <v>45751.56834490741</v>
      </c>
      <c r="C827" s="1" t="n">
        <v>46171</v>
      </c>
      <c r="D827" t="inlineStr">
        <is>
          <t>SKÅNE LÄN</t>
        </is>
      </c>
      <c r="E827" t="inlineStr">
        <is>
          <t>HÄSSLEHOLM</t>
        </is>
      </c>
      <c r="G827" t="n">
        <v>5.9</v>
      </c>
      <c r="H827" t="n">
        <v>0</v>
      </c>
      <c r="I827" t="n">
        <v>0</v>
      </c>
      <c r="J827" t="n">
        <v>0</v>
      </c>
      <c r="K827" t="n">
        <v>0</v>
      </c>
      <c r="L827" t="n">
        <v>0</v>
      </c>
      <c r="M827" t="n">
        <v>0</v>
      </c>
      <c r="N827" t="n">
        <v>0</v>
      </c>
      <c r="O827" t="n">
        <v>0</v>
      </c>
      <c r="P827" t="n">
        <v>0</v>
      </c>
      <c r="Q827" t="n">
        <v>0</v>
      </c>
      <c r="R827" s="2" t="inlineStr"/>
    </row>
    <row r="828" ht="15" customHeight="1">
      <c r="A828" t="inlineStr">
        <is>
          <t>A 8524-2024</t>
        </is>
      </c>
      <c r="B828" s="1" t="n">
        <v>45355.48570601852</v>
      </c>
      <c r="C828" s="1" t="n">
        <v>46171</v>
      </c>
      <c r="D828" t="inlineStr">
        <is>
          <t>SKÅNE LÄN</t>
        </is>
      </c>
      <c r="E828" t="inlineStr">
        <is>
          <t>HÄSSLEHOLM</t>
        </is>
      </c>
      <c r="G828" t="n">
        <v>4</v>
      </c>
      <c r="H828" t="n">
        <v>0</v>
      </c>
      <c r="I828" t="n">
        <v>0</v>
      </c>
      <c r="J828" t="n">
        <v>0</v>
      </c>
      <c r="K828" t="n">
        <v>0</v>
      </c>
      <c r="L828" t="n">
        <v>0</v>
      </c>
      <c r="M828" t="n">
        <v>0</v>
      </c>
      <c r="N828" t="n">
        <v>0</v>
      </c>
      <c r="O828" t="n">
        <v>0</v>
      </c>
      <c r="P828" t="n">
        <v>0</v>
      </c>
      <c r="Q828" t="n">
        <v>0</v>
      </c>
      <c r="R828" s="2" t="inlineStr"/>
    </row>
    <row r="829" ht="15" customHeight="1">
      <c r="A829" t="inlineStr">
        <is>
          <t>A 22157-2024</t>
        </is>
      </c>
      <c r="B829" s="1" t="n">
        <v>45445.85290509259</v>
      </c>
      <c r="C829" s="1" t="n">
        <v>46171</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14145-2023</t>
        </is>
      </c>
      <c r="B830" s="1" t="n">
        <v>45009</v>
      </c>
      <c r="C830" s="1" t="n">
        <v>46171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19003-2026</t>
        </is>
      </c>
      <c r="B831" s="1" t="n">
        <v>46129.86017361111</v>
      </c>
      <c r="C831" s="1" t="n">
        <v>46171</v>
      </c>
      <c r="D831" t="inlineStr">
        <is>
          <t>SKÅNE LÄN</t>
        </is>
      </c>
      <c r="E831" t="inlineStr">
        <is>
          <t>HÄSSLEHOLM</t>
        </is>
      </c>
      <c r="G831" t="n">
        <v>9</v>
      </c>
      <c r="H831" t="n">
        <v>0</v>
      </c>
      <c r="I831" t="n">
        <v>0</v>
      </c>
      <c r="J831" t="n">
        <v>0</v>
      </c>
      <c r="K831" t="n">
        <v>0</v>
      </c>
      <c r="L831" t="n">
        <v>0</v>
      </c>
      <c r="M831" t="n">
        <v>0</v>
      </c>
      <c r="N831" t="n">
        <v>0</v>
      </c>
      <c r="O831" t="n">
        <v>0</v>
      </c>
      <c r="P831" t="n">
        <v>0</v>
      </c>
      <c r="Q831" t="n">
        <v>0</v>
      </c>
      <c r="R831" s="2" t="inlineStr"/>
    </row>
    <row r="832" ht="15" customHeight="1">
      <c r="A832" t="inlineStr">
        <is>
          <t>A 12344-2023</t>
        </is>
      </c>
      <c r="B832" s="1" t="n">
        <v>44999</v>
      </c>
      <c r="C832" s="1" t="n">
        <v>46171</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58272-2024</t>
        </is>
      </c>
      <c r="B833" s="1" t="n">
        <v>45632.57025462963</v>
      </c>
      <c r="C833" s="1" t="n">
        <v>46171</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31391-2023</t>
        </is>
      </c>
      <c r="B834" s="1" t="n">
        <v>45114.56143518518</v>
      </c>
      <c r="C834" s="1" t="n">
        <v>46171</v>
      </c>
      <c r="D834" t="inlineStr">
        <is>
          <t>SKÅNE LÄN</t>
        </is>
      </c>
      <c r="E834" t="inlineStr">
        <is>
          <t>HÄSSLEHOLM</t>
        </is>
      </c>
      <c r="G834" t="n">
        <v>3.1</v>
      </c>
      <c r="H834" t="n">
        <v>0</v>
      </c>
      <c r="I834" t="n">
        <v>0</v>
      </c>
      <c r="J834" t="n">
        <v>0</v>
      </c>
      <c r="K834" t="n">
        <v>0</v>
      </c>
      <c r="L834" t="n">
        <v>0</v>
      </c>
      <c r="M834" t="n">
        <v>0</v>
      </c>
      <c r="N834" t="n">
        <v>0</v>
      </c>
      <c r="O834" t="n">
        <v>0</v>
      </c>
      <c r="P834" t="n">
        <v>0</v>
      </c>
      <c r="Q834" t="n">
        <v>0</v>
      </c>
      <c r="R834" s="2" t="inlineStr"/>
    </row>
    <row r="835" ht="15" customHeight="1">
      <c r="A835" t="inlineStr">
        <is>
          <t>A 45361-2023</t>
        </is>
      </c>
      <c r="B835" s="1" t="n">
        <v>45192.49068287037</v>
      </c>
      <c r="C835" s="1" t="n">
        <v>46171</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45220-2023</t>
        </is>
      </c>
      <c r="B836" s="1" t="n">
        <v>45191</v>
      </c>
      <c r="C836" s="1" t="n">
        <v>46171</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38712-2024</t>
        </is>
      </c>
      <c r="B837" s="1" t="n">
        <v>45547</v>
      </c>
      <c r="C837" s="1" t="n">
        <v>46171</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57647-2024</t>
        </is>
      </c>
      <c r="B838" s="1" t="n">
        <v>45630</v>
      </c>
      <c r="C838" s="1" t="n">
        <v>46171</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12493-2026</t>
        </is>
      </c>
      <c r="B839" s="1" t="n">
        <v>46090</v>
      </c>
      <c r="C839" s="1" t="n">
        <v>46171</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19101-2026</t>
        </is>
      </c>
      <c r="B840" s="1" t="n">
        <v>46132.43923611111</v>
      </c>
      <c r="C840" s="1" t="n">
        <v>46171</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61182-2024</t>
        </is>
      </c>
      <c r="B841" s="1" t="n">
        <v>45645</v>
      </c>
      <c r="C841" s="1" t="n">
        <v>46171</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13990-2022</t>
        </is>
      </c>
      <c r="B842" s="1" t="n">
        <v>44650</v>
      </c>
      <c r="C842" s="1" t="n">
        <v>46171</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25219-2023</t>
        </is>
      </c>
      <c r="B843" s="1" t="n">
        <v>45086.60541666667</v>
      </c>
      <c r="C843" s="1" t="n">
        <v>46171</v>
      </c>
      <c r="D843" t="inlineStr">
        <is>
          <t>SKÅNE LÄN</t>
        </is>
      </c>
      <c r="E843" t="inlineStr">
        <is>
          <t>HÄSSLEHOLM</t>
        </is>
      </c>
      <c r="G843" t="n">
        <v>6.9</v>
      </c>
      <c r="H843" t="n">
        <v>0</v>
      </c>
      <c r="I843" t="n">
        <v>0</v>
      </c>
      <c r="J843" t="n">
        <v>0</v>
      </c>
      <c r="K843" t="n">
        <v>0</v>
      </c>
      <c r="L843" t="n">
        <v>0</v>
      </c>
      <c r="M843" t="n">
        <v>0</v>
      </c>
      <c r="N843" t="n">
        <v>0</v>
      </c>
      <c r="O843" t="n">
        <v>0</v>
      </c>
      <c r="P843" t="n">
        <v>0</v>
      </c>
      <c r="Q843" t="n">
        <v>0</v>
      </c>
      <c r="R843" s="2" t="inlineStr"/>
    </row>
    <row r="844" ht="15" customHeight="1">
      <c r="A844" t="inlineStr">
        <is>
          <t>A 9302-2025</t>
        </is>
      </c>
      <c r="B844" s="1" t="n">
        <v>45714.67233796296</v>
      </c>
      <c r="C844" s="1" t="n">
        <v>46171</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9322-2025</t>
        </is>
      </c>
      <c r="B845" s="1" t="n">
        <v>45714.72241898148</v>
      </c>
      <c r="C845" s="1" t="n">
        <v>46171</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37300-2023</t>
        </is>
      </c>
      <c r="B846" s="1" t="n">
        <v>45156</v>
      </c>
      <c r="C846" s="1" t="n">
        <v>46171</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19318-2026</t>
        </is>
      </c>
      <c r="B847" s="1" t="n">
        <v>46133.39378472222</v>
      </c>
      <c r="C847" s="1" t="n">
        <v>46171</v>
      </c>
      <c r="D847" t="inlineStr">
        <is>
          <t>SKÅNE LÄN</t>
        </is>
      </c>
      <c r="E847" t="inlineStr">
        <is>
          <t>HÄSSLEHOLM</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39915-2023</t>
        </is>
      </c>
      <c r="B848" s="1" t="n">
        <v>45168.4684375</v>
      </c>
      <c r="C848" s="1" t="n">
        <v>46171</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13199-2026</t>
        </is>
      </c>
      <c r="B849" s="1" t="n">
        <v>46093</v>
      </c>
      <c r="C849" s="1" t="n">
        <v>46171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35890-2023</t>
        </is>
      </c>
      <c r="B850" s="1" t="n">
        <v>45148</v>
      </c>
      <c r="C850" s="1" t="n">
        <v>46171</v>
      </c>
      <c r="D850" t="inlineStr">
        <is>
          <t>SKÅNE LÄN</t>
        </is>
      </c>
      <c r="E850" t="inlineStr">
        <is>
          <t>HÄSSLEHOLM</t>
        </is>
      </c>
      <c r="G850" t="n">
        <v>2</v>
      </c>
      <c r="H850" t="n">
        <v>0</v>
      </c>
      <c r="I850" t="n">
        <v>0</v>
      </c>
      <c r="J850" t="n">
        <v>0</v>
      </c>
      <c r="K850" t="n">
        <v>0</v>
      </c>
      <c r="L850" t="n">
        <v>0</v>
      </c>
      <c r="M850" t="n">
        <v>0</v>
      </c>
      <c r="N850" t="n">
        <v>0</v>
      </c>
      <c r="O850" t="n">
        <v>0</v>
      </c>
      <c r="P850" t="n">
        <v>0</v>
      </c>
      <c r="Q850" t="n">
        <v>0</v>
      </c>
      <c r="R850" s="2" t="inlineStr"/>
    </row>
    <row r="851" ht="15" customHeight="1">
      <c r="A851" t="inlineStr">
        <is>
          <t>A 35895-2023</t>
        </is>
      </c>
      <c r="B851" s="1" t="n">
        <v>45148</v>
      </c>
      <c r="C851" s="1" t="n">
        <v>46171</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4750-2024</t>
        </is>
      </c>
      <c r="B852" s="1" t="n">
        <v>45328</v>
      </c>
      <c r="C852" s="1" t="n">
        <v>46171</v>
      </c>
      <c r="D852" t="inlineStr">
        <is>
          <t>SKÅNE LÄN</t>
        </is>
      </c>
      <c r="E852" t="inlineStr">
        <is>
          <t>HÄSSLEHOLM</t>
        </is>
      </c>
      <c r="G852" t="n">
        <v>0.3</v>
      </c>
      <c r="H852" t="n">
        <v>0</v>
      </c>
      <c r="I852" t="n">
        <v>0</v>
      </c>
      <c r="J852" t="n">
        <v>0</v>
      </c>
      <c r="K852" t="n">
        <v>0</v>
      </c>
      <c r="L852" t="n">
        <v>0</v>
      </c>
      <c r="M852" t="n">
        <v>0</v>
      </c>
      <c r="N852" t="n">
        <v>0</v>
      </c>
      <c r="O852" t="n">
        <v>0</v>
      </c>
      <c r="P852" t="n">
        <v>0</v>
      </c>
      <c r="Q852" t="n">
        <v>0</v>
      </c>
      <c r="R852" s="2" t="inlineStr"/>
    </row>
    <row r="853" ht="15" customHeight="1">
      <c r="A853" t="inlineStr">
        <is>
          <t>A 23956-2023</t>
        </is>
      </c>
      <c r="B853" s="1" t="n">
        <v>45078.62302083334</v>
      </c>
      <c r="C853" s="1" t="n">
        <v>46171</v>
      </c>
      <c r="D853" t="inlineStr">
        <is>
          <t>SKÅNE LÄN</t>
        </is>
      </c>
      <c r="E853" t="inlineStr">
        <is>
          <t>HÄSSLEHOLM</t>
        </is>
      </c>
      <c r="G853" t="n">
        <v>0.1</v>
      </c>
      <c r="H853" t="n">
        <v>0</v>
      </c>
      <c r="I853" t="n">
        <v>0</v>
      </c>
      <c r="J853" t="n">
        <v>0</v>
      </c>
      <c r="K853" t="n">
        <v>0</v>
      </c>
      <c r="L853" t="n">
        <v>0</v>
      </c>
      <c r="M853" t="n">
        <v>0</v>
      </c>
      <c r="N853" t="n">
        <v>0</v>
      </c>
      <c r="O853" t="n">
        <v>0</v>
      </c>
      <c r="P853" t="n">
        <v>0</v>
      </c>
      <c r="Q853" t="n">
        <v>0</v>
      </c>
      <c r="R853" s="2" t="inlineStr"/>
    </row>
    <row r="854" ht="15" customHeight="1">
      <c r="A854" t="inlineStr">
        <is>
          <t>A 11708-2025</t>
        </is>
      </c>
      <c r="B854" s="1" t="n">
        <v>45727.58626157408</v>
      </c>
      <c r="C854" s="1" t="n">
        <v>46171</v>
      </c>
      <c r="D854" t="inlineStr">
        <is>
          <t>SKÅNE LÄN</t>
        </is>
      </c>
      <c r="E854" t="inlineStr">
        <is>
          <t>HÄSSLEHOLM</t>
        </is>
      </c>
      <c r="G854" t="n">
        <v>1.3</v>
      </c>
      <c r="H854" t="n">
        <v>0</v>
      </c>
      <c r="I854" t="n">
        <v>0</v>
      </c>
      <c r="J854" t="n">
        <v>0</v>
      </c>
      <c r="K854" t="n">
        <v>0</v>
      </c>
      <c r="L854" t="n">
        <v>0</v>
      </c>
      <c r="M854" t="n">
        <v>0</v>
      </c>
      <c r="N854" t="n">
        <v>0</v>
      </c>
      <c r="O854" t="n">
        <v>0</v>
      </c>
      <c r="P854" t="n">
        <v>0</v>
      </c>
      <c r="Q854" t="n">
        <v>0</v>
      </c>
      <c r="R854" s="2" t="inlineStr"/>
    </row>
    <row r="855" ht="15" customHeight="1">
      <c r="A855" t="inlineStr">
        <is>
          <t>A 48112-2024</t>
        </is>
      </c>
      <c r="B855" s="1" t="n">
        <v>45589.6295949074</v>
      </c>
      <c r="C855" s="1" t="n">
        <v>46171</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24246-2023</t>
        </is>
      </c>
      <c r="B856" s="1" t="n">
        <v>45079</v>
      </c>
      <c r="C856" s="1" t="n">
        <v>46171</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24249-2023</t>
        </is>
      </c>
      <c r="B857" s="1" t="n">
        <v>45079.62466435185</v>
      </c>
      <c r="C857" s="1" t="n">
        <v>46171</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52548-2023</t>
        </is>
      </c>
      <c r="B858" s="1" t="n">
        <v>45218</v>
      </c>
      <c r="C858" s="1" t="n">
        <v>46171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43696-2024</t>
        </is>
      </c>
      <c r="B859" s="1" t="n">
        <v>45569.58855324074</v>
      </c>
      <c r="C859" s="1" t="n">
        <v>46171</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12182-2025</t>
        </is>
      </c>
      <c r="B860" s="1" t="n">
        <v>45729</v>
      </c>
      <c r="C860" s="1" t="n">
        <v>46171</v>
      </c>
      <c r="D860" t="inlineStr">
        <is>
          <t>SKÅNE LÄN</t>
        </is>
      </c>
      <c r="E860" t="inlineStr">
        <is>
          <t>HÄSSLEHOLM</t>
        </is>
      </c>
      <c r="G860" t="n">
        <v>1.8</v>
      </c>
      <c r="H860" t="n">
        <v>0</v>
      </c>
      <c r="I860" t="n">
        <v>0</v>
      </c>
      <c r="J860" t="n">
        <v>0</v>
      </c>
      <c r="K860" t="n">
        <v>0</v>
      </c>
      <c r="L860" t="n">
        <v>0</v>
      </c>
      <c r="M860" t="n">
        <v>0</v>
      </c>
      <c r="N860" t="n">
        <v>0</v>
      </c>
      <c r="O860" t="n">
        <v>0</v>
      </c>
      <c r="P860" t="n">
        <v>0</v>
      </c>
      <c r="Q860" t="n">
        <v>0</v>
      </c>
      <c r="R860" s="2" t="inlineStr"/>
    </row>
    <row r="861" ht="15" customHeight="1">
      <c r="A861" t="inlineStr">
        <is>
          <t>A 20185-2023</t>
        </is>
      </c>
      <c r="B861" s="1" t="n">
        <v>45055.56795138889</v>
      </c>
      <c r="C861" s="1" t="n">
        <v>46171</v>
      </c>
      <c r="D861" t="inlineStr">
        <is>
          <t>SKÅNE LÄN</t>
        </is>
      </c>
      <c r="E861" t="inlineStr">
        <is>
          <t>HÄSSLEHOLM</t>
        </is>
      </c>
      <c r="G861" t="n">
        <v>3.5</v>
      </c>
      <c r="H861" t="n">
        <v>0</v>
      </c>
      <c r="I861" t="n">
        <v>0</v>
      </c>
      <c r="J861" t="n">
        <v>0</v>
      </c>
      <c r="K861" t="n">
        <v>0</v>
      </c>
      <c r="L861" t="n">
        <v>0</v>
      </c>
      <c r="M861" t="n">
        <v>0</v>
      </c>
      <c r="N861" t="n">
        <v>0</v>
      </c>
      <c r="O861" t="n">
        <v>0</v>
      </c>
      <c r="P861" t="n">
        <v>0</v>
      </c>
      <c r="Q861" t="n">
        <v>0</v>
      </c>
      <c r="R861" s="2" t="inlineStr"/>
    </row>
    <row r="862" ht="15" customHeight="1">
      <c r="A862" t="inlineStr">
        <is>
          <t>A 13280-2026</t>
        </is>
      </c>
      <c r="B862" s="1" t="n">
        <v>46093.74789351852</v>
      </c>
      <c r="C862" s="1" t="n">
        <v>46171</v>
      </c>
      <c r="D862" t="inlineStr">
        <is>
          <t>SKÅNE LÄN</t>
        </is>
      </c>
      <c r="E862" t="inlineStr">
        <is>
          <t>HÄSSLEHOLM</t>
        </is>
      </c>
      <c r="G862" t="n">
        <v>4.4</v>
      </c>
      <c r="H862" t="n">
        <v>0</v>
      </c>
      <c r="I862" t="n">
        <v>0</v>
      </c>
      <c r="J862" t="n">
        <v>0</v>
      </c>
      <c r="K862" t="n">
        <v>0</v>
      </c>
      <c r="L862" t="n">
        <v>0</v>
      </c>
      <c r="M862" t="n">
        <v>0</v>
      </c>
      <c r="N862" t="n">
        <v>0</v>
      </c>
      <c r="O862" t="n">
        <v>0</v>
      </c>
      <c r="P862" t="n">
        <v>0</v>
      </c>
      <c r="Q862" t="n">
        <v>0</v>
      </c>
      <c r="R862" s="2" t="inlineStr"/>
    </row>
    <row r="863" ht="15" customHeight="1">
      <c r="A863" t="inlineStr">
        <is>
          <t>A 38376-2022</t>
        </is>
      </c>
      <c r="B863" s="1" t="n">
        <v>44812</v>
      </c>
      <c r="C863" s="1" t="n">
        <v>46171</v>
      </c>
      <c r="D863" t="inlineStr">
        <is>
          <t>SKÅNE LÄN</t>
        </is>
      </c>
      <c r="E863" t="inlineStr">
        <is>
          <t>HÄSSLEHOLM</t>
        </is>
      </c>
      <c r="G863" t="n">
        <v>1.9</v>
      </c>
      <c r="H863" t="n">
        <v>0</v>
      </c>
      <c r="I863" t="n">
        <v>0</v>
      </c>
      <c r="J863" t="n">
        <v>0</v>
      </c>
      <c r="K863" t="n">
        <v>0</v>
      </c>
      <c r="L863" t="n">
        <v>0</v>
      </c>
      <c r="M863" t="n">
        <v>0</v>
      </c>
      <c r="N863" t="n">
        <v>0</v>
      </c>
      <c r="O863" t="n">
        <v>0</v>
      </c>
      <c r="P863" t="n">
        <v>0</v>
      </c>
      <c r="Q863" t="n">
        <v>0</v>
      </c>
      <c r="R863" s="2" t="inlineStr"/>
    </row>
    <row r="864" ht="15" customHeight="1">
      <c r="A864" t="inlineStr">
        <is>
          <t>A 18908-2023</t>
        </is>
      </c>
      <c r="B864" s="1" t="n">
        <v>45044</v>
      </c>
      <c r="C864" s="1" t="n">
        <v>46171</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61436-2024</t>
        </is>
      </c>
      <c r="B865" s="1" t="n">
        <v>45646.46329861111</v>
      </c>
      <c r="C865" s="1" t="n">
        <v>46171</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54435-2024</t>
        </is>
      </c>
      <c r="B866" s="1" t="n">
        <v>45617.49494212963</v>
      </c>
      <c r="C866" s="1" t="n">
        <v>46171</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720-2025</t>
        </is>
      </c>
      <c r="B867" s="1" t="n">
        <v>45665.3744212963</v>
      </c>
      <c r="C867" s="1" t="n">
        <v>46171</v>
      </c>
      <c r="D867" t="inlineStr">
        <is>
          <t>SKÅNE LÄN</t>
        </is>
      </c>
      <c r="E867" t="inlineStr">
        <is>
          <t>HÄSSLEHOLM</t>
        </is>
      </c>
      <c r="G867" t="n">
        <v>1.3</v>
      </c>
      <c r="H867" t="n">
        <v>0</v>
      </c>
      <c r="I867" t="n">
        <v>0</v>
      </c>
      <c r="J867" t="n">
        <v>0</v>
      </c>
      <c r="K867" t="n">
        <v>0</v>
      </c>
      <c r="L867" t="n">
        <v>0</v>
      </c>
      <c r="M867" t="n">
        <v>0</v>
      </c>
      <c r="N867" t="n">
        <v>0</v>
      </c>
      <c r="O867" t="n">
        <v>0</v>
      </c>
      <c r="P867" t="n">
        <v>0</v>
      </c>
      <c r="Q867" t="n">
        <v>0</v>
      </c>
      <c r="R867" s="2" t="inlineStr"/>
    </row>
    <row r="868" ht="15" customHeight="1">
      <c r="A868" t="inlineStr">
        <is>
          <t>A 31581-2023</t>
        </is>
      </c>
      <c r="B868" s="1" t="n">
        <v>45117.45165509259</v>
      </c>
      <c r="C868" s="1" t="n">
        <v>46171</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33597-2023</t>
        </is>
      </c>
      <c r="B869" s="1" t="n">
        <v>45132</v>
      </c>
      <c r="C869" s="1" t="n">
        <v>46171</v>
      </c>
      <c r="D869" t="inlineStr">
        <is>
          <t>SKÅNE LÄN</t>
        </is>
      </c>
      <c r="E869" t="inlineStr">
        <is>
          <t>HÄSSLEHOLM</t>
        </is>
      </c>
      <c r="G869" t="n">
        <v>3.9</v>
      </c>
      <c r="H869" t="n">
        <v>0</v>
      </c>
      <c r="I869" t="n">
        <v>0</v>
      </c>
      <c r="J869" t="n">
        <v>0</v>
      </c>
      <c r="K869" t="n">
        <v>0</v>
      </c>
      <c r="L869" t="n">
        <v>0</v>
      </c>
      <c r="M869" t="n">
        <v>0</v>
      </c>
      <c r="N869" t="n">
        <v>0</v>
      </c>
      <c r="O869" t="n">
        <v>0</v>
      </c>
      <c r="P869" t="n">
        <v>0</v>
      </c>
      <c r="Q869" t="n">
        <v>0</v>
      </c>
      <c r="R869" s="2" t="inlineStr"/>
    </row>
    <row r="870" ht="15" customHeight="1">
      <c r="A870" t="inlineStr">
        <is>
          <t>A 33599-2023</t>
        </is>
      </c>
      <c r="B870" s="1" t="n">
        <v>45132</v>
      </c>
      <c r="C870" s="1" t="n">
        <v>46171</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33938-2023</t>
        </is>
      </c>
      <c r="B871" s="1" t="n">
        <v>45124</v>
      </c>
      <c r="C871" s="1" t="n">
        <v>46171</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22693-2022</t>
        </is>
      </c>
      <c r="B872" s="1" t="n">
        <v>44714.54729166667</v>
      </c>
      <c r="C872" s="1" t="n">
        <v>46171</v>
      </c>
      <c r="D872" t="inlineStr">
        <is>
          <t>SKÅNE LÄN</t>
        </is>
      </c>
      <c r="E872" t="inlineStr">
        <is>
          <t>HÄSSLEHOLM</t>
        </is>
      </c>
      <c r="G872" t="n">
        <v>2.8</v>
      </c>
      <c r="H872" t="n">
        <v>0</v>
      </c>
      <c r="I872" t="n">
        <v>0</v>
      </c>
      <c r="J872" t="n">
        <v>0</v>
      </c>
      <c r="K872" t="n">
        <v>0</v>
      </c>
      <c r="L872" t="n">
        <v>0</v>
      </c>
      <c r="M872" t="n">
        <v>0</v>
      </c>
      <c r="N872" t="n">
        <v>0</v>
      </c>
      <c r="O872" t="n">
        <v>0</v>
      </c>
      <c r="P872" t="n">
        <v>0</v>
      </c>
      <c r="Q872" t="n">
        <v>0</v>
      </c>
      <c r="R872" s="2" t="inlineStr"/>
    </row>
    <row r="873" ht="15" customHeight="1">
      <c r="A873" t="inlineStr">
        <is>
          <t>A 35889-2023</t>
        </is>
      </c>
      <c r="B873" s="1" t="n">
        <v>45148</v>
      </c>
      <c r="C873" s="1" t="n">
        <v>46171</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35894-2023</t>
        </is>
      </c>
      <c r="B874" s="1" t="n">
        <v>45148</v>
      </c>
      <c r="C874" s="1" t="n">
        <v>46171</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35974-2022</t>
        </is>
      </c>
      <c r="B875" s="1" t="n">
        <v>44802</v>
      </c>
      <c r="C875" s="1" t="n">
        <v>46171</v>
      </c>
      <c r="D875" t="inlineStr">
        <is>
          <t>SKÅNE LÄN</t>
        </is>
      </c>
      <c r="E875" t="inlineStr">
        <is>
          <t>HÄSSLEHOLM</t>
        </is>
      </c>
      <c r="G875" t="n">
        <v>3.8</v>
      </c>
      <c r="H875" t="n">
        <v>0</v>
      </c>
      <c r="I875" t="n">
        <v>0</v>
      </c>
      <c r="J875" t="n">
        <v>0</v>
      </c>
      <c r="K875" t="n">
        <v>0</v>
      </c>
      <c r="L875" t="n">
        <v>0</v>
      </c>
      <c r="M875" t="n">
        <v>0</v>
      </c>
      <c r="N875" t="n">
        <v>0</v>
      </c>
      <c r="O875" t="n">
        <v>0</v>
      </c>
      <c r="P875" t="n">
        <v>0</v>
      </c>
      <c r="Q875" t="n">
        <v>0</v>
      </c>
      <c r="R875" s="2" t="inlineStr"/>
    </row>
    <row r="876" ht="15" customHeight="1">
      <c r="A876" t="inlineStr">
        <is>
          <t>A 24906-2022</t>
        </is>
      </c>
      <c r="B876" s="1" t="n">
        <v>44728</v>
      </c>
      <c r="C876" s="1" t="n">
        <v>46171</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7150-2025</t>
        </is>
      </c>
      <c r="B877" s="1" t="n">
        <v>45702.38239583333</v>
      </c>
      <c r="C877" s="1" t="n">
        <v>46171</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55303-2024</t>
        </is>
      </c>
      <c r="B878" s="1" t="n">
        <v>45621.6434837963</v>
      </c>
      <c r="C878" s="1" t="n">
        <v>46171</v>
      </c>
      <c r="D878" t="inlineStr">
        <is>
          <t>SKÅNE LÄN</t>
        </is>
      </c>
      <c r="E878" t="inlineStr">
        <is>
          <t>HÄSSLEHOLM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16397-2022</t>
        </is>
      </c>
      <c r="B879" s="1" t="n">
        <v>44671</v>
      </c>
      <c r="C879" s="1" t="n">
        <v>46171</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16398-2022</t>
        </is>
      </c>
      <c r="B880" s="1" t="n">
        <v>44671</v>
      </c>
      <c r="C880" s="1" t="n">
        <v>46171</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59434-2023</t>
        </is>
      </c>
      <c r="B881" s="1" t="n">
        <v>45254.30440972222</v>
      </c>
      <c r="C881" s="1" t="n">
        <v>46171</v>
      </c>
      <c r="D881" t="inlineStr">
        <is>
          <t>SKÅNE LÄN</t>
        </is>
      </c>
      <c r="E881" t="inlineStr">
        <is>
          <t>HÄSSLEHOLM</t>
        </is>
      </c>
      <c r="G881" t="n">
        <v>3.6</v>
      </c>
      <c r="H881" t="n">
        <v>0</v>
      </c>
      <c r="I881" t="n">
        <v>0</v>
      </c>
      <c r="J881" t="n">
        <v>0</v>
      </c>
      <c r="K881" t="n">
        <v>0</v>
      </c>
      <c r="L881" t="n">
        <v>0</v>
      </c>
      <c r="M881" t="n">
        <v>0</v>
      </c>
      <c r="N881" t="n">
        <v>0</v>
      </c>
      <c r="O881" t="n">
        <v>0</v>
      </c>
      <c r="P881" t="n">
        <v>0</v>
      </c>
      <c r="Q881" t="n">
        <v>0</v>
      </c>
      <c r="R881" s="2" t="inlineStr"/>
    </row>
    <row r="882" ht="15" customHeight="1">
      <c r="A882" t="inlineStr">
        <is>
          <t>A 55284-2023</t>
        </is>
      </c>
      <c r="B882" s="1" t="n">
        <v>45237.74259259259</v>
      </c>
      <c r="C882" s="1" t="n">
        <v>46171</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22384-2024</t>
        </is>
      </c>
      <c r="B883" s="1" t="n">
        <v>45446.65592592592</v>
      </c>
      <c r="C883" s="1" t="n">
        <v>46171</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46641-2023</t>
        </is>
      </c>
      <c r="B884" s="1" t="n">
        <v>45198.44523148148</v>
      </c>
      <c r="C884" s="1" t="n">
        <v>46171</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46645-2023</t>
        </is>
      </c>
      <c r="B885" s="1" t="n">
        <v>45198.44686342592</v>
      </c>
      <c r="C885" s="1" t="n">
        <v>46171</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59556-2023</t>
        </is>
      </c>
      <c r="B886" s="1" t="n">
        <v>45254.56313657408</v>
      </c>
      <c r="C886" s="1" t="n">
        <v>46171</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13588-2026</t>
        </is>
      </c>
      <c r="B887" s="1" t="n">
        <v>46095.80452546296</v>
      </c>
      <c r="C887" s="1" t="n">
        <v>46171</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13282-2026</t>
        </is>
      </c>
      <c r="B888" s="1" t="n">
        <v>46093.75166666666</v>
      </c>
      <c r="C888" s="1" t="n">
        <v>46171</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9543-2025</t>
        </is>
      </c>
      <c r="B889" s="1" t="n">
        <v>45715</v>
      </c>
      <c r="C889" s="1" t="n">
        <v>46171</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20382-2026</t>
        </is>
      </c>
      <c r="B890" s="1" t="n">
        <v>46139</v>
      </c>
      <c r="C890" s="1" t="n">
        <v>46171</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51571-2023</t>
        </is>
      </c>
      <c r="B891" s="1" t="n">
        <v>45222</v>
      </c>
      <c r="C891" s="1" t="n">
        <v>46171</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14191-2026</t>
        </is>
      </c>
      <c r="B892" s="1" t="n">
        <v>46099.528125</v>
      </c>
      <c r="C892" s="1" t="n">
        <v>46171</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27291-2023</t>
        </is>
      </c>
      <c r="B893" s="1" t="n">
        <v>45096</v>
      </c>
      <c r="C893" s="1" t="n">
        <v>46171</v>
      </c>
      <c r="D893" t="inlineStr">
        <is>
          <t>SKÅNE LÄN</t>
        </is>
      </c>
      <c r="E893" t="inlineStr">
        <is>
          <t>HÄSSLEHOLM</t>
        </is>
      </c>
      <c r="G893" t="n">
        <v>3.5</v>
      </c>
      <c r="H893" t="n">
        <v>0</v>
      </c>
      <c r="I893" t="n">
        <v>0</v>
      </c>
      <c r="J893" t="n">
        <v>0</v>
      </c>
      <c r="K893" t="n">
        <v>0</v>
      </c>
      <c r="L893" t="n">
        <v>0</v>
      </c>
      <c r="M893" t="n">
        <v>0</v>
      </c>
      <c r="N893" t="n">
        <v>0</v>
      </c>
      <c r="O893" t="n">
        <v>0</v>
      </c>
      <c r="P893" t="n">
        <v>0</v>
      </c>
      <c r="Q893" t="n">
        <v>0</v>
      </c>
      <c r="R893" s="2" t="inlineStr"/>
    </row>
    <row r="894" ht="15" customHeight="1">
      <c r="A894" t="inlineStr">
        <is>
          <t>A 19831-2026</t>
        </is>
      </c>
      <c r="B894" s="1" t="n">
        <v>46135</v>
      </c>
      <c r="C894" s="1" t="n">
        <v>46171</v>
      </c>
      <c r="D894" t="inlineStr">
        <is>
          <t>SKÅNE LÄN</t>
        </is>
      </c>
      <c r="E894" t="inlineStr">
        <is>
          <t>HÄSSLEHOLM</t>
        </is>
      </c>
      <c r="G894" t="n">
        <v>2.8</v>
      </c>
      <c r="H894" t="n">
        <v>0</v>
      </c>
      <c r="I894" t="n">
        <v>0</v>
      </c>
      <c r="J894" t="n">
        <v>0</v>
      </c>
      <c r="K894" t="n">
        <v>0</v>
      </c>
      <c r="L894" t="n">
        <v>0</v>
      </c>
      <c r="M894" t="n">
        <v>0</v>
      </c>
      <c r="N894" t="n">
        <v>0</v>
      </c>
      <c r="O894" t="n">
        <v>0</v>
      </c>
      <c r="P894" t="n">
        <v>0</v>
      </c>
      <c r="Q894" t="n">
        <v>0</v>
      </c>
      <c r="R894" s="2" t="inlineStr"/>
    </row>
    <row r="895" ht="15" customHeight="1">
      <c r="A895" t="inlineStr">
        <is>
          <t>A 13906-2026</t>
        </is>
      </c>
      <c r="B895" s="1" t="n">
        <v>46098</v>
      </c>
      <c r="C895" s="1" t="n">
        <v>46171</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48798-2023</t>
        </is>
      </c>
      <c r="B896" s="1" t="n">
        <v>45209.25318287037</v>
      </c>
      <c r="C896" s="1" t="n">
        <v>46171</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13842-2026</t>
        </is>
      </c>
      <c r="B897" s="1" t="n">
        <v>46098.37758101852</v>
      </c>
      <c r="C897" s="1" t="n">
        <v>46171</v>
      </c>
      <c r="D897" t="inlineStr">
        <is>
          <t>SKÅNE LÄN</t>
        </is>
      </c>
      <c r="E897" t="inlineStr">
        <is>
          <t>HÄSSLEHOLM</t>
        </is>
      </c>
      <c r="G897" t="n">
        <v>10</v>
      </c>
      <c r="H897" t="n">
        <v>0</v>
      </c>
      <c r="I897" t="n">
        <v>0</v>
      </c>
      <c r="J897" t="n">
        <v>0</v>
      </c>
      <c r="K897" t="n">
        <v>0</v>
      </c>
      <c r="L897" t="n">
        <v>0</v>
      </c>
      <c r="M897" t="n">
        <v>0</v>
      </c>
      <c r="N897" t="n">
        <v>0</v>
      </c>
      <c r="O897" t="n">
        <v>0</v>
      </c>
      <c r="P897" t="n">
        <v>0</v>
      </c>
      <c r="Q897" t="n">
        <v>0</v>
      </c>
      <c r="R897" s="2" t="inlineStr"/>
    </row>
    <row r="898" ht="15" customHeight="1">
      <c r="A898" t="inlineStr">
        <is>
          <t>A 13886-2026</t>
        </is>
      </c>
      <c r="B898" s="1" t="n">
        <v>46098</v>
      </c>
      <c r="C898" s="1" t="n">
        <v>46171</v>
      </c>
      <c r="D898" t="inlineStr">
        <is>
          <t>SKÅNE LÄN</t>
        </is>
      </c>
      <c r="E898" t="inlineStr">
        <is>
          <t>HÄSSLEHOLM</t>
        </is>
      </c>
      <c r="G898" t="n">
        <v>1.6</v>
      </c>
      <c r="H898" t="n">
        <v>0</v>
      </c>
      <c r="I898" t="n">
        <v>0</v>
      </c>
      <c r="J898" t="n">
        <v>0</v>
      </c>
      <c r="K898" t="n">
        <v>0</v>
      </c>
      <c r="L898" t="n">
        <v>0</v>
      </c>
      <c r="M898" t="n">
        <v>0</v>
      </c>
      <c r="N898" t="n">
        <v>0</v>
      </c>
      <c r="O898" t="n">
        <v>0</v>
      </c>
      <c r="P898" t="n">
        <v>0</v>
      </c>
      <c r="Q898" t="n">
        <v>0</v>
      </c>
      <c r="R898" s="2" t="inlineStr"/>
    </row>
    <row r="899" ht="15" customHeight="1">
      <c r="A899" t="inlineStr">
        <is>
          <t>A 13910-2026</t>
        </is>
      </c>
      <c r="B899" s="1" t="n">
        <v>46098</v>
      </c>
      <c r="C899" s="1" t="n">
        <v>46171</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48627-2023</t>
        </is>
      </c>
      <c r="B900" s="1" t="n">
        <v>45208.57371527778</v>
      </c>
      <c r="C900" s="1" t="n">
        <v>46171</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20381-2026</t>
        </is>
      </c>
      <c r="B901" s="1" t="n">
        <v>46139</v>
      </c>
      <c r="C901" s="1" t="n">
        <v>46171</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17152-2025</t>
        </is>
      </c>
      <c r="B902" s="1" t="n">
        <v>45756.33318287037</v>
      </c>
      <c r="C902" s="1" t="n">
        <v>46171</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48326-2023</t>
        </is>
      </c>
      <c r="B903" s="1" t="n">
        <v>45205</v>
      </c>
      <c r="C903" s="1" t="n">
        <v>46171</v>
      </c>
      <c r="D903" t="inlineStr">
        <is>
          <t>SKÅNE LÄN</t>
        </is>
      </c>
      <c r="E903" t="inlineStr">
        <is>
          <t>HÄSSLEHOLM</t>
        </is>
      </c>
      <c r="G903" t="n">
        <v>12.7</v>
      </c>
      <c r="H903" t="n">
        <v>0</v>
      </c>
      <c r="I903" t="n">
        <v>0</v>
      </c>
      <c r="J903" t="n">
        <v>0</v>
      </c>
      <c r="K903" t="n">
        <v>0</v>
      </c>
      <c r="L903" t="n">
        <v>0</v>
      </c>
      <c r="M903" t="n">
        <v>0</v>
      </c>
      <c r="N903" t="n">
        <v>0</v>
      </c>
      <c r="O903" t="n">
        <v>0</v>
      </c>
      <c r="P903" t="n">
        <v>0</v>
      </c>
      <c r="Q903" t="n">
        <v>0</v>
      </c>
      <c r="R903" s="2" t="inlineStr"/>
    </row>
    <row r="904" ht="15" customHeight="1">
      <c r="A904" t="inlineStr">
        <is>
          <t>A 10752-2025</t>
        </is>
      </c>
      <c r="B904" s="1" t="n">
        <v>45722</v>
      </c>
      <c r="C904" s="1" t="n">
        <v>46171</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14541-2026</t>
        </is>
      </c>
      <c r="B905" s="1" t="n">
        <v>46100.67851851852</v>
      </c>
      <c r="C905" s="1" t="n">
        <v>46171</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54462-2022</t>
        </is>
      </c>
      <c r="B906" s="1" t="n">
        <v>44882</v>
      </c>
      <c r="C906" s="1" t="n">
        <v>46171</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3890-2024</t>
        </is>
      </c>
      <c r="B907" s="1" t="n">
        <v>45322.45366898148</v>
      </c>
      <c r="C907" s="1" t="n">
        <v>46171</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14538-2026</t>
        </is>
      </c>
      <c r="B908" s="1" t="n">
        <v>46100.67711805556</v>
      </c>
      <c r="C908" s="1" t="n">
        <v>46171</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14549-2026</t>
        </is>
      </c>
      <c r="B909" s="1" t="n">
        <v>46100</v>
      </c>
      <c r="C909" s="1" t="n">
        <v>46171</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54471-2023</t>
        </is>
      </c>
      <c r="B910" s="1" t="n">
        <v>45233.4640162037</v>
      </c>
      <c r="C910" s="1" t="n">
        <v>46171</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57963-2023</t>
        </is>
      </c>
      <c r="B911" s="1" t="n">
        <v>45247.57732638889</v>
      </c>
      <c r="C911" s="1" t="n">
        <v>46171</v>
      </c>
      <c r="D911" t="inlineStr">
        <is>
          <t>SKÅNE LÄN</t>
        </is>
      </c>
      <c r="E911" t="inlineStr">
        <is>
          <t>HÄSSLEHOLM</t>
        </is>
      </c>
      <c r="G911" t="n">
        <v>4.6</v>
      </c>
      <c r="H911" t="n">
        <v>0</v>
      </c>
      <c r="I911" t="n">
        <v>0</v>
      </c>
      <c r="J911" t="n">
        <v>0</v>
      </c>
      <c r="K911" t="n">
        <v>0</v>
      </c>
      <c r="L911" t="n">
        <v>0</v>
      </c>
      <c r="M911" t="n">
        <v>0</v>
      </c>
      <c r="N911" t="n">
        <v>0</v>
      </c>
      <c r="O911" t="n">
        <v>0</v>
      </c>
      <c r="P911" t="n">
        <v>0</v>
      </c>
      <c r="Q911" t="n">
        <v>0</v>
      </c>
      <c r="R911" s="2" t="inlineStr"/>
    </row>
    <row r="912" ht="15" customHeight="1">
      <c r="A912" t="inlineStr">
        <is>
          <t>A 59028-2023</t>
        </is>
      </c>
      <c r="B912" s="1" t="n">
        <v>45252.67900462963</v>
      </c>
      <c r="C912" s="1" t="n">
        <v>46171</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13544-2025</t>
        </is>
      </c>
      <c r="B913" s="1" t="n">
        <v>45736</v>
      </c>
      <c r="C913" s="1" t="n">
        <v>46171</v>
      </c>
      <c r="D913" t="inlineStr">
        <is>
          <t>SKÅNE LÄN</t>
        </is>
      </c>
      <c r="E913" t="inlineStr">
        <is>
          <t>HÄSSLEHOLM</t>
        </is>
      </c>
      <c r="G913" t="n">
        <v>2.5</v>
      </c>
      <c r="H913" t="n">
        <v>0</v>
      </c>
      <c r="I913" t="n">
        <v>0</v>
      </c>
      <c r="J913" t="n">
        <v>0</v>
      </c>
      <c r="K913" t="n">
        <v>0</v>
      </c>
      <c r="L913" t="n">
        <v>0</v>
      </c>
      <c r="M913" t="n">
        <v>0</v>
      </c>
      <c r="N913" t="n">
        <v>0</v>
      </c>
      <c r="O913" t="n">
        <v>0</v>
      </c>
      <c r="P913" t="n">
        <v>0</v>
      </c>
      <c r="Q913" t="n">
        <v>0</v>
      </c>
      <c r="R913" s="2" t="inlineStr"/>
    </row>
    <row r="914" ht="15" customHeight="1">
      <c r="A914" t="inlineStr">
        <is>
          <t>A 2712-2024</t>
        </is>
      </c>
      <c r="B914" s="1" t="n">
        <v>45314</v>
      </c>
      <c r="C914" s="1" t="n">
        <v>46171</v>
      </c>
      <c r="D914" t="inlineStr">
        <is>
          <t>SKÅNE LÄN</t>
        </is>
      </c>
      <c r="E914" t="inlineStr">
        <is>
          <t>HÄSSLEHOLM</t>
        </is>
      </c>
      <c r="G914" t="n">
        <v>11.3</v>
      </c>
      <c r="H914" t="n">
        <v>0</v>
      </c>
      <c r="I914" t="n">
        <v>0</v>
      </c>
      <c r="J914" t="n">
        <v>0</v>
      </c>
      <c r="K914" t="n">
        <v>0</v>
      </c>
      <c r="L914" t="n">
        <v>0</v>
      </c>
      <c r="M914" t="n">
        <v>0</v>
      </c>
      <c r="N914" t="n">
        <v>0</v>
      </c>
      <c r="O914" t="n">
        <v>0</v>
      </c>
      <c r="P914" t="n">
        <v>0</v>
      </c>
      <c r="Q914" t="n">
        <v>0</v>
      </c>
      <c r="R914" s="2" t="inlineStr"/>
    </row>
    <row r="915" ht="15" customHeight="1">
      <c r="A915" t="inlineStr">
        <is>
          <t>A 14540-2026</t>
        </is>
      </c>
      <c r="B915" s="1" t="n">
        <v>46100.67826388889</v>
      </c>
      <c r="C915" s="1" t="n">
        <v>46171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260-2024</t>
        </is>
      </c>
      <c r="B916" s="1" t="n">
        <v>45294</v>
      </c>
      <c r="C916" s="1" t="n">
        <v>46171</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8263-2025</t>
        </is>
      </c>
      <c r="B917" s="1" t="n">
        <v>45708.50398148148</v>
      </c>
      <c r="C917" s="1" t="n">
        <v>46171</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30006-2023</t>
        </is>
      </c>
      <c r="B918" s="1" t="n">
        <v>45109.79962962963</v>
      </c>
      <c r="C918" s="1" t="n">
        <v>46171</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42364-2023</t>
        </is>
      </c>
      <c r="B919" s="1" t="n">
        <v>45180.54754629629</v>
      </c>
      <c r="C919" s="1" t="n">
        <v>46171</v>
      </c>
      <c r="D919" t="inlineStr">
        <is>
          <t>SKÅNE LÄN</t>
        </is>
      </c>
      <c r="E919" t="inlineStr">
        <is>
          <t>HÄSSLEHOLM</t>
        </is>
      </c>
      <c r="G919" t="n">
        <v>1.1</v>
      </c>
      <c r="H919" t="n">
        <v>0</v>
      </c>
      <c r="I919" t="n">
        <v>0</v>
      </c>
      <c r="J919" t="n">
        <v>0</v>
      </c>
      <c r="K919" t="n">
        <v>0</v>
      </c>
      <c r="L919" t="n">
        <v>0</v>
      </c>
      <c r="M919" t="n">
        <v>0</v>
      </c>
      <c r="N919" t="n">
        <v>0</v>
      </c>
      <c r="O919" t="n">
        <v>0</v>
      </c>
      <c r="P919" t="n">
        <v>0</v>
      </c>
      <c r="Q919" t="n">
        <v>0</v>
      </c>
      <c r="R919" s="2" t="inlineStr"/>
    </row>
    <row r="920" ht="15" customHeight="1">
      <c r="A920" t="inlineStr">
        <is>
          <t>A 61578-2023</t>
        </is>
      </c>
      <c r="B920" s="1" t="n">
        <v>45265.47399305556</v>
      </c>
      <c r="C920" s="1" t="n">
        <v>46171</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2597-2024</t>
        </is>
      </c>
      <c r="B921" s="1" t="n">
        <v>45313</v>
      </c>
      <c r="C921" s="1" t="n">
        <v>46171</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62277-2023</t>
        </is>
      </c>
      <c r="B922" s="1" t="n">
        <v>45266</v>
      </c>
      <c r="C922" s="1" t="n">
        <v>46171</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3888-2024</t>
        </is>
      </c>
      <c r="B923" s="1" t="n">
        <v>45322.45089120371</v>
      </c>
      <c r="C923" s="1" t="n">
        <v>46171</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3889-2024</t>
        </is>
      </c>
      <c r="B924" s="1" t="n">
        <v>45322.45234953704</v>
      </c>
      <c r="C924" s="1" t="n">
        <v>46171</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8249-2023</t>
        </is>
      </c>
      <c r="B925" s="1" t="n">
        <v>44974</v>
      </c>
      <c r="C925" s="1" t="n">
        <v>46171</v>
      </c>
      <c r="D925" t="inlineStr">
        <is>
          <t>SKÅNE LÄN</t>
        </is>
      </c>
      <c r="E925" t="inlineStr">
        <is>
          <t>HÄSSLEHOLM</t>
        </is>
      </c>
      <c r="G925" t="n">
        <v>5.8</v>
      </c>
      <c r="H925" t="n">
        <v>0</v>
      </c>
      <c r="I925" t="n">
        <v>0</v>
      </c>
      <c r="J925" t="n">
        <v>0</v>
      </c>
      <c r="K925" t="n">
        <v>0</v>
      </c>
      <c r="L925" t="n">
        <v>0</v>
      </c>
      <c r="M925" t="n">
        <v>0</v>
      </c>
      <c r="N925" t="n">
        <v>0</v>
      </c>
      <c r="O925" t="n">
        <v>0</v>
      </c>
      <c r="P925" t="n">
        <v>0</v>
      </c>
      <c r="Q925" t="n">
        <v>0</v>
      </c>
      <c r="R925" s="2" t="inlineStr"/>
    </row>
    <row r="926" ht="15" customHeight="1">
      <c r="A926" t="inlineStr">
        <is>
          <t>A 3480-2024</t>
        </is>
      </c>
      <c r="B926" s="1" t="n">
        <v>45320.43998842593</v>
      </c>
      <c r="C926" s="1" t="n">
        <v>46171</v>
      </c>
      <c r="D926" t="inlineStr">
        <is>
          <t>SKÅNE LÄN</t>
        </is>
      </c>
      <c r="E926" t="inlineStr">
        <is>
          <t>HÄSSLEHOLM</t>
        </is>
      </c>
      <c r="G926" t="n">
        <v>0.4</v>
      </c>
      <c r="H926" t="n">
        <v>0</v>
      </c>
      <c r="I926" t="n">
        <v>0</v>
      </c>
      <c r="J926" t="n">
        <v>0</v>
      </c>
      <c r="K926" t="n">
        <v>0</v>
      </c>
      <c r="L926" t="n">
        <v>0</v>
      </c>
      <c r="M926" t="n">
        <v>0</v>
      </c>
      <c r="N926" t="n">
        <v>0</v>
      </c>
      <c r="O926" t="n">
        <v>0</v>
      </c>
      <c r="P926" t="n">
        <v>0</v>
      </c>
      <c r="Q926" t="n">
        <v>0</v>
      </c>
      <c r="R926" s="2" t="inlineStr"/>
    </row>
    <row r="927" ht="15" customHeight="1">
      <c r="A927" t="inlineStr">
        <is>
          <t>A 55218-2023</t>
        </is>
      </c>
      <c r="B927" s="1" t="n">
        <v>45237</v>
      </c>
      <c r="C927" s="1" t="n">
        <v>46171</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1119-2024</t>
        </is>
      </c>
      <c r="B928" s="1" t="n">
        <v>45302</v>
      </c>
      <c r="C928" s="1" t="n">
        <v>46171</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9393-2025</t>
        </is>
      </c>
      <c r="B929" s="1" t="n">
        <v>45715.36230324074</v>
      </c>
      <c r="C929" s="1" t="n">
        <v>46171</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11422-2025</t>
        </is>
      </c>
      <c r="B930" s="1" t="n">
        <v>45726</v>
      </c>
      <c r="C930" s="1" t="n">
        <v>46171</v>
      </c>
      <c r="D930" t="inlineStr">
        <is>
          <t>SKÅNE LÄN</t>
        </is>
      </c>
      <c r="E930" t="inlineStr">
        <is>
          <t>HÄSSLEHOLM</t>
        </is>
      </c>
      <c r="G930" t="n">
        <v>14.9</v>
      </c>
      <c r="H930" t="n">
        <v>0</v>
      </c>
      <c r="I930" t="n">
        <v>0</v>
      </c>
      <c r="J930" t="n">
        <v>0</v>
      </c>
      <c r="K930" t="n">
        <v>0</v>
      </c>
      <c r="L930" t="n">
        <v>0</v>
      </c>
      <c r="M930" t="n">
        <v>0</v>
      </c>
      <c r="N930" t="n">
        <v>0</v>
      </c>
      <c r="O930" t="n">
        <v>0</v>
      </c>
      <c r="P930" t="n">
        <v>0</v>
      </c>
      <c r="Q930" t="n">
        <v>0</v>
      </c>
      <c r="R930" s="2" t="inlineStr"/>
    </row>
    <row r="931" ht="15" customHeight="1">
      <c r="A931" t="inlineStr">
        <is>
          <t>A 57277-2023</t>
        </is>
      </c>
      <c r="B931" s="1" t="n">
        <v>45245.59104166667</v>
      </c>
      <c r="C931" s="1" t="n">
        <v>46171</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9611-2025</t>
        </is>
      </c>
      <c r="B932" s="1" t="n">
        <v>45715</v>
      </c>
      <c r="C932" s="1" t="n">
        <v>46171</v>
      </c>
      <c r="D932" t="inlineStr">
        <is>
          <t>SKÅNE LÄN</t>
        </is>
      </c>
      <c r="E932" t="inlineStr">
        <is>
          <t>HÄSSLEHOLM</t>
        </is>
      </c>
      <c r="G932" t="n">
        <v>2.1</v>
      </c>
      <c r="H932" t="n">
        <v>0</v>
      </c>
      <c r="I932" t="n">
        <v>0</v>
      </c>
      <c r="J932" t="n">
        <v>0</v>
      </c>
      <c r="K932" t="n">
        <v>0</v>
      </c>
      <c r="L932" t="n">
        <v>0</v>
      </c>
      <c r="M932" t="n">
        <v>0</v>
      </c>
      <c r="N932" t="n">
        <v>0</v>
      </c>
      <c r="O932" t="n">
        <v>0</v>
      </c>
      <c r="P932" t="n">
        <v>0</v>
      </c>
      <c r="Q932" t="n">
        <v>0</v>
      </c>
      <c r="R932" s="2" t="inlineStr"/>
    </row>
    <row r="933" ht="15" customHeight="1">
      <c r="A933" t="inlineStr">
        <is>
          <t>A 5284-2023</t>
        </is>
      </c>
      <c r="B933" s="1" t="n">
        <v>44959.50608796296</v>
      </c>
      <c r="C933" s="1" t="n">
        <v>46171</v>
      </c>
      <c r="D933" t="inlineStr">
        <is>
          <t>SKÅNE LÄN</t>
        </is>
      </c>
      <c r="E933" t="inlineStr">
        <is>
          <t>HÄSSLEHOLM</t>
        </is>
      </c>
      <c r="G933" t="n">
        <v>0.4</v>
      </c>
      <c r="H933" t="n">
        <v>0</v>
      </c>
      <c r="I933" t="n">
        <v>0</v>
      </c>
      <c r="J933" t="n">
        <v>0</v>
      </c>
      <c r="K933" t="n">
        <v>0</v>
      </c>
      <c r="L933" t="n">
        <v>0</v>
      </c>
      <c r="M933" t="n">
        <v>0</v>
      </c>
      <c r="N933" t="n">
        <v>0</v>
      </c>
      <c r="O933" t="n">
        <v>0</v>
      </c>
      <c r="P933" t="n">
        <v>0</v>
      </c>
      <c r="Q933" t="n">
        <v>0</v>
      </c>
      <c r="R933" s="2" t="inlineStr"/>
    </row>
    <row r="934" ht="15" customHeight="1">
      <c r="A934" t="inlineStr">
        <is>
          <t>A 5285-2023</t>
        </is>
      </c>
      <c r="B934" s="1" t="n">
        <v>44959.50783564815</v>
      </c>
      <c r="C934" s="1" t="n">
        <v>46171</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57272-2023</t>
        </is>
      </c>
      <c r="B935" s="1" t="n">
        <v>45245</v>
      </c>
      <c r="C935" s="1" t="n">
        <v>46171</v>
      </c>
      <c r="D935" t="inlineStr">
        <is>
          <t>SKÅNE LÄN</t>
        </is>
      </c>
      <c r="E935" t="inlineStr">
        <is>
          <t>HÄSSLEHOLM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2479-2024</t>
        </is>
      </c>
      <c r="B936" s="1" t="n">
        <v>45313.40148148148</v>
      </c>
      <c r="C936" s="1" t="n">
        <v>46171</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31160-2024</t>
        </is>
      </c>
      <c r="B937" s="1" t="n">
        <v>45503</v>
      </c>
      <c r="C937" s="1" t="n">
        <v>46171</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50664-2023</t>
        </is>
      </c>
      <c r="B938" s="1" t="n">
        <v>45217</v>
      </c>
      <c r="C938" s="1" t="n">
        <v>46171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56490-2021</t>
        </is>
      </c>
      <c r="B939" s="1" t="n">
        <v>44480</v>
      </c>
      <c r="C939" s="1" t="n">
        <v>46171</v>
      </c>
      <c r="D939" t="inlineStr">
        <is>
          <t>SKÅNE LÄN</t>
        </is>
      </c>
      <c r="E939" t="inlineStr">
        <is>
          <t>HÄSSLEHOLM</t>
        </is>
      </c>
      <c r="F939" t="inlineStr">
        <is>
          <t>Kyrkan</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417-2022</t>
        </is>
      </c>
      <c r="B940" s="1" t="n">
        <v>44565.84615740741</v>
      </c>
      <c r="C940" s="1" t="n">
        <v>46171</v>
      </c>
      <c r="D940" t="inlineStr">
        <is>
          <t>SKÅNE LÄN</t>
        </is>
      </c>
      <c r="E940" t="inlineStr">
        <is>
          <t>HÄSSLEHOLM</t>
        </is>
      </c>
      <c r="G940" t="n">
        <v>0</v>
      </c>
      <c r="H940" t="n">
        <v>0</v>
      </c>
      <c r="I940" t="n">
        <v>0</v>
      </c>
      <c r="J940" t="n">
        <v>0</v>
      </c>
      <c r="K940" t="n">
        <v>0</v>
      </c>
      <c r="L940" t="n">
        <v>0</v>
      </c>
      <c r="M940" t="n">
        <v>0</v>
      </c>
      <c r="N940" t="n">
        <v>0</v>
      </c>
      <c r="O940" t="n">
        <v>0</v>
      </c>
      <c r="P940" t="n">
        <v>0</v>
      </c>
      <c r="Q940" t="n">
        <v>0</v>
      </c>
      <c r="R940" s="2" t="inlineStr"/>
    </row>
    <row r="941" ht="15" customHeight="1">
      <c r="A941" t="inlineStr">
        <is>
          <t>A 61934-2023</t>
        </is>
      </c>
      <c r="B941" s="1" t="n">
        <v>45266.54125</v>
      </c>
      <c r="C941" s="1" t="n">
        <v>46171</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41459-2022</t>
        </is>
      </c>
      <c r="B942" s="1" t="n">
        <v>44826.93372685185</v>
      </c>
      <c r="C942" s="1" t="n">
        <v>46171</v>
      </c>
      <c r="D942" t="inlineStr">
        <is>
          <t>SKÅNE LÄN</t>
        </is>
      </c>
      <c r="E942" t="inlineStr">
        <is>
          <t>HÄSSLEHOLM</t>
        </is>
      </c>
      <c r="G942" t="n">
        <v>2.3</v>
      </c>
      <c r="H942" t="n">
        <v>0</v>
      </c>
      <c r="I942" t="n">
        <v>0</v>
      </c>
      <c r="J942" t="n">
        <v>0</v>
      </c>
      <c r="K942" t="n">
        <v>0</v>
      </c>
      <c r="L942" t="n">
        <v>0</v>
      </c>
      <c r="M942" t="n">
        <v>0</v>
      </c>
      <c r="N942" t="n">
        <v>0</v>
      </c>
      <c r="O942" t="n">
        <v>0</v>
      </c>
      <c r="P942" t="n">
        <v>0</v>
      </c>
      <c r="Q942" t="n">
        <v>0</v>
      </c>
      <c r="R942" s="2" t="inlineStr"/>
    </row>
    <row r="943" ht="15" customHeight="1">
      <c r="A943" t="inlineStr">
        <is>
          <t>A 19151-2023</t>
        </is>
      </c>
      <c r="B943" s="1" t="n">
        <v>45044</v>
      </c>
      <c r="C943" s="1" t="n">
        <v>46171</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54658-2023</t>
        </is>
      </c>
      <c r="B944" s="1" t="n">
        <v>45235</v>
      </c>
      <c r="C944" s="1" t="n">
        <v>46171</v>
      </c>
      <c r="D944" t="inlineStr">
        <is>
          <t>SKÅNE LÄN</t>
        </is>
      </c>
      <c r="E944" t="inlineStr">
        <is>
          <t>HÄSSLEHOLM</t>
        </is>
      </c>
      <c r="G944" t="n">
        <v>0.7</v>
      </c>
      <c r="H944" t="n">
        <v>0</v>
      </c>
      <c r="I944" t="n">
        <v>0</v>
      </c>
      <c r="J944" t="n">
        <v>0</v>
      </c>
      <c r="K944" t="n">
        <v>0</v>
      </c>
      <c r="L944" t="n">
        <v>0</v>
      </c>
      <c r="M944" t="n">
        <v>0</v>
      </c>
      <c r="N944" t="n">
        <v>0</v>
      </c>
      <c r="O944" t="n">
        <v>0</v>
      </c>
      <c r="P944" t="n">
        <v>0</v>
      </c>
      <c r="Q944" t="n">
        <v>0</v>
      </c>
      <c r="R944" s="2" t="inlineStr"/>
    </row>
    <row r="945" ht="15" customHeight="1">
      <c r="A945" t="inlineStr">
        <is>
          <t>A 42370-2023</t>
        </is>
      </c>
      <c r="B945" s="1" t="n">
        <v>45180</v>
      </c>
      <c r="C945" s="1" t="n">
        <v>46171</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14471-2026</t>
        </is>
      </c>
      <c r="B946" s="1" t="n">
        <v>46100.56711805556</v>
      </c>
      <c r="C946" s="1" t="n">
        <v>46171</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16951-2025</t>
        </is>
      </c>
      <c r="B947" s="1" t="n">
        <v>45755</v>
      </c>
      <c r="C947" s="1" t="n">
        <v>46171</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18063-2023</t>
        </is>
      </c>
      <c r="B948" s="1" t="n">
        <v>45040.62850694444</v>
      </c>
      <c r="C948" s="1" t="n">
        <v>46171</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14674-2025</t>
        </is>
      </c>
      <c r="B949" s="1" t="n">
        <v>45742.55548611111</v>
      </c>
      <c r="C949" s="1" t="n">
        <v>46171</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54777-2022</t>
        </is>
      </c>
      <c r="B950" s="1" t="n">
        <v>44883</v>
      </c>
      <c r="C950" s="1" t="n">
        <v>46171</v>
      </c>
      <c r="D950" t="inlineStr">
        <is>
          <t>SKÅNE LÄN</t>
        </is>
      </c>
      <c r="E950" t="inlineStr">
        <is>
          <t>HÄSSLEHOLM</t>
        </is>
      </c>
      <c r="G950" t="n">
        <v>1.7</v>
      </c>
      <c r="H950" t="n">
        <v>0</v>
      </c>
      <c r="I950" t="n">
        <v>0</v>
      </c>
      <c r="J950" t="n">
        <v>0</v>
      </c>
      <c r="K950" t="n">
        <v>0</v>
      </c>
      <c r="L950" t="n">
        <v>0</v>
      </c>
      <c r="M950" t="n">
        <v>0</v>
      </c>
      <c r="N950" t="n">
        <v>0</v>
      </c>
      <c r="O950" t="n">
        <v>0</v>
      </c>
      <c r="P950" t="n">
        <v>0</v>
      </c>
      <c r="Q950" t="n">
        <v>0</v>
      </c>
      <c r="R950" s="2" t="inlineStr"/>
    </row>
    <row r="951" ht="15" customHeight="1">
      <c r="A951" t="inlineStr">
        <is>
          <t>A 14965-2026</t>
        </is>
      </c>
      <c r="B951" s="1" t="n">
        <v>46104.56096064814</v>
      </c>
      <c r="C951" s="1" t="n">
        <v>46171</v>
      </c>
      <c r="D951" t="inlineStr">
        <is>
          <t>SKÅNE LÄN</t>
        </is>
      </c>
      <c r="E951" t="inlineStr">
        <is>
          <t>HÄSSLEHOLM</t>
        </is>
      </c>
      <c r="G951" t="n">
        <v>2.7</v>
      </c>
      <c r="H951" t="n">
        <v>0</v>
      </c>
      <c r="I951" t="n">
        <v>0</v>
      </c>
      <c r="J951" t="n">
        <v>0</v>
      </c>
      <c r="K951" t="n">
        <v>0</v>
      </c>
      <c r="L951" t="n">
        <v>0</v>
      </c>
      <c r="M951" t="n">
        <v>0</v>
      </c>
      <c r="N951" t="n">
        <v>0</v>
      </c>
      <c r="O951" t="n">
        <v>0</v>
      </c>
      <c r="P951" t="n">
        <v>0</v>
      </c>
      <c r="Q951" t="n">
        <v>0</v>
      </c>
      <c r="R951" s="2" t="inlineStr"/>
    </row>
    <row r="952" ht="15" customHeight="1">
      <c r="A952" t="inlineStr">
        <is>
          <t>A 14971-2026</t>
        </is>
      </c>
      <c r="B952" s="1" t="n">
        <v>46104.56393518519</v>
      </c>
      <c r="C952" s="1" t="n">
        <v>46171</v>
      </c>
      <c r="D952" t="inlineStr">
        <is>
          <t>SKÅNE LÄN</t>
        </is>
      </c>
      <c r="E952" t="inlineStr">
        <is>
          <t>HÄSSLEHOLM</t>
        </is>
      </c>
      <c r="G952" t="n">
        <v>2.8</v>
      </c>
      <c r="H952" t="n">
        <v>0</v>
      </c>
      <c r="I952" t="n">
        <v>0</v>
      </c>
      <c r="J952" t="n">
        <v>0</v>
      </c>
      <c r="K952" t="n">
        <v>0</v>
      </c>
      <c r="L952" t="n">
        <v>0</v>
      </c>
      <c r="M952" t="n">
        <v>0</v>
      </c>
      <c r="N952" t="n">
        <v>0</v>
      </c>
      <c r="O952" t="n">
        <v>0</v>
      </c>
      <c r="P952" t="n">
        <v>0</v>
      </c>
      <c r="Q952" t="n">
        <v>0</v>
      </c>
      <c r="R952" s="2" t="inlineStr"/>
    </row>
    <row r="953" ht="15" customHeight="1">
      <c r="A953" t="inlineStr">
        <is>
          <t>A 23683-2023</t>
        </is>
      </c>
      <c r="B953" s="1" t="n">
        <v>45077</v>
      </c>
      <c r="C953" s="1" t="n">
        <v>46171</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23955-2023</t>
        </is>
      </c>
      <c r="B954" s="1" t="n">
        <v>45078.62217592593</v>
      </c>
      <c r="C954" s="1" t="n">
        <v>46171</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23860-2024</t>
        </is>
      </c>
      <c r="B955" s="1" t="n">
        <v>45455</v>
      </c>
      <c r="C955" s="1" t="n">
        <v>46171</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524-2024</t>
        </is>
      </c>
      <c r="B956" s="1" t="n">
        <v>45299</v>
      </c>
      <c r="C956" s="1" t="n">
        <v>46171</v>
      </c>
      <c r="D956" t="inlineStr">
        <is>
          <t>SKÅNE LÄN</t>
        </is>
      </c>
      <c r="E956" t="inlineStr">
        <is>
          <t>HÄSSLEHOLM</t>
        </is>
      </c>
      <c r="G956" t="n">
        <v>29.4</v>
      </c>
      <c r="H956" t="n">
        <v>0</v>
      </c>
      <c r="I956" t="n">
        <v>0</v>
      </c>
      <c r="J956" t="n">
        <v>0</v>
      </c>
      <c r="K956" t="n">
        <v>0</v>
      </c>
      <c r="L956" t="n">
        <v>0</v>
      </c>
      <c r="M956" t="n">
        <v>0</v>
      </c>
      <c r="N956" t="n">
        <v>0</v>
      </c>
      <c r="O956" t="n">
        <v>0</v>
      </c>
      <c r="P956" t="n">
        <v>0</v>
      </c>
      <c r="Q956" t="n">
        <v>0</v>
      </c>
      <c r="R956" s="2" t="inlineStr"/>
    </row>
    <row r="957" ht="15" customHeight="1">
      <c r="A957" t="inlineStr">
        <is>
          <t>A 54518-2022</t>
        </is>
      </c>
      <c r="B957" s="1" t="n">
        <v>44882</v>
      </c>
      <c r="C957" s="1" t="n">
        <v>46171</v>
      </c>
      <c r="D957" t="inlineStr">
        <is>
          <t>SKÅNE LÄN</t>
        </is>
      </c>
      <c r="E957" t="inlineStr">
        <is>
          <t>HÄSSLEHOLM</t>
        </is>
      </c>
      <c r="F957" t="inlineStr">
        <is>
          <t>Övriga Aktiebolag</t>
        </is>
      </c>
      <c r="G957" t="n">
        <v>6.8</v>
      </c>
      <c r="H957" t="n">
        <v>0</v>
      </c>
      <c r="I957" t="n">
        <v>0</v>
      </c>
      <c r="J957" t="n">
        <v>0</v>
      </c>
      <c r="K957" t="n">
        <v>0</v>
      </c>
      <c r="L957" t="n">
        <v>0</v>
      </c>
      <c r="M957" t="n">
        <v>0</v>
      </c>
      <c r="N957" t="n">
        <v>0</v>
      </c>
      <c r="O957" t="n">
        <v>0</v>
      </c>
      <c r="P957" t="n">
        <v>0</v>
      </c>
      <c r="Q957" t="n">
        <v>0</v>
      </c>
      <c r="R957" s="2" t="inlineStr"/>
    </row>
    <row r="958" ht="15" customHeight="1">
      <c r="A958" t="inlineStr">
        <is>
          <t>A 7094-2023</t>
        </is>
      </c>
      <c r="B958" s="1" t="n">
        <v>44970.36958333333</v>
      </c>
      <c r="C958" s="1" t="n">
        <v>46171</v>
      </c>
      <c r="D958" t="inlineStr">
        <is>
          <t>SKÅNE LÄN</t>
        </is>
      </c>
      <c r="E958" t="inlineStr">
        <is>
          <t>HÄSSLEHOLM</t>
        </is>
      </c>
      <c r="G958" t="n">
        <v>3.6</v>
      </c>
      <c r="H958" t="n">
        <v>0</v>
      </c>
      <c r="I958" t="n">
        <v>0</v>
      </c>
      <c r="J958" t="n">
        <v>0</v>
      </c>
      <c r="K958" t="n">
        <v>0</v>
      </c>
      <c r="L958" t="n">
        <v>0</v>
      </c>
      <c r="M958" t="n">
        <v>0</v>
      </c>
      <c r="N958" t="n">
        <v>0</v>
      </c>
      <c r="O958" t="n">
        <v>0</v>
      </c>
      <c r="P958" t="n">
        <v>0</v>
      </c>
      <c r="Q958" t="n">
        <v>0</v>
      </c>
      <c r="R958" s="2" t="inlineStr"/>
    </row>
    <row r="959" ht="15" customHeight="1">
      <c r="A959" t="inlineStr">
        <is>
          <t>A 3500-2024</t>
        </is>
      </c>
      <c r="B959" s="1" t="n">
        <v>45320</v>
      </c>
      <c r="C959" s="1" t="n">
        <v>46171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11266-2025</t>
        </is>
      </c>
      <c r="B960" s="1" t="n">
        <v>45726</v>
      </c>
      <c r="C960" s="1" t="n">
        <v>46171</v>
      </c>
      <c r="D960" t="inlineStr">
        <is>
          <t>SKÅNE LÄN</t>
        </is>
      </c>
      <c r="E960" t="inlineStr">
        <is>
          <t>HÄSSLEHOLM</t>
        </is>
      </c>
      <c r="G960" t="n">
        <v>0.3</v>
      </c>
      <c r="H960" t="n">
        <v>0</v>
      </c>
      <c r="I960" t="n">
        <v>0</v>
      </c>
      <c r="J960" t="n">
        <v>0</v>
      </c>
      <c r="K960" t="n">
        <v>0</v>
      </c>
      <c r="L960" t="n">
        <v>0</v>
      </c>
      <c r="M960" t="n">
        <v>0</v>
      </c>
      <c r="N960" t="n">
        <v>0</v>
      </c>
      <c r="O960" t="n">
        <v>0</v>
      </c>
      <c r="P960" t="n">
        <v>0</v>
      </c>
      <c r="Q960" t="n">
        <v>0</v>
      </c>
      <c r="R960" s="2" t="inlineStr"/>
    </row>
    <row r="961" ht="15" customHeight="1">
      <c r="A961" t="inlineStr">
        <is>
          <t>A 49950-2023</t>
        </is>
      </c>
      <c r="B961" s="1" t="n">
        <v>45215</v>
      </c>
      <c r="C961" s="1" t="n">
        <v>46171</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29853-2024</t>
        </is>
      </c>
      <c r="B962" s="1" t="n">
        <v>45485.65844907407</v>
      </c>
      <c r="C962" s="1" t="n">
        <v>46171</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57695-2023</t>
        </is>
      </c>
      <c r="B963" s="1" t="n">
        <v>45246</v>
      </c>
      <c r="C963" s="1" t="n">
        <v>46171</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9615-2025</t>
        </is>
      </c>
      <c r="B964" s="1" t="n">
        <v>45715</v>
      </c>
      <c r="C964" s="1" t="n">
        <v>46171</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42232-2022</t>
        </is>
      </c>
      <c r="B965" s="1" t="n">
        <v>44830.77591435185</v>
      </c>
      <c r="C965" s="1" t="n">
        <v>46171</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38829-2024</t>
        </is>
      </c>
      <c r="B966" s="1" t="n">
        <v>45547.57247685185</v>
      </c>
      <c r="C966" s="1" t="n">
        <v>46171</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25542-2024</t>
        </is>
      </c>
      <c r="B967" s="1" t="n">
        <v>45463</v>
      </c>
      <c r="C967" s="1" t="n">
        <v>46171</v>
      </c>
      <c r="D967" t="inlineStr">
        <is>
          <t>SKÅNE LÄN</t>
        </is>
      </c>
      <c r="E967" t="inlineStr">
        <is>
          <t>HÄSSLEHOLM</t>
        </is>
      </c>
      <c r="G967" t="n">
        <v>6.9</v>
      </c>
      <c r="H967" t="n">
        <v>0</v>
      </c>
      <c r="I967" t="n">
        <v>0</v>
      </c>
      <c r="J967" t="n">
        <v>0</v>
      </c>
      <c r="K967" t="n">
        <v>0</v>
      </c>
      <c r="L967" t="n">
        <v>0</v>
      </c>
      <c r="M967" t="n">
        <v>0</v>
      </c>
      <c r="N967" t="n">
        <v>0</v>
      </c>
      <c r="O967" t="n">
        <v>0</v>
      </c>
      <c r="P967" t="n">
        <v>0</v>
      </c>
      <c r="Q967" t="n">
        <v>0</v>
      </c>
      <c r="R967" s="2" t="inlineStr"/>
    </row>
    <row r="968" ht="15" customHeight="1">
      <c r="A968" t="inlineStr">
        <is>
          <t>A 55454-2021</t>
        </is>
      </c>
      <c r="B968" s="1" t="n">
        <v>44475</v>
      </c>
      <c r="C968" s="1" t="n">
        <v>46171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15882-2026</t>
        </is>
      </c>
      <c r="B969" s="1" t="n">
        <v>46107</v>
      </c>
      <c r="C969" s="1" t="n">
        <v>46171</v>
      </c>
      <c r="D969" t="inlineStr">
        <is>
          <t>SKÅNE LÄN</t>
        </is>
      </c>
      <c r="E969" t="inlineStr">
        <is>
          <t>HÄSSLEHOLM</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21668-2026</t>
        </is>
      </c>
      <c r="B970" s="1" t="n">
        <v>46149.47572916667</v>
      </c>
      <c r="C970" s="1" t="n">
        <v>46171</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61489-2024</t>
        </is>
      </c>
      <c r="B971" s="1" t="n">
        <v>45646.54875</v>
      </c>
      <c r="C971" s="1" t="n">
        <v>46171</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21613-2026</t>
        </is>
      </c>
      <c r="B972" s="1" t="n">
        <v>46149.40085648148</v>
      </c>
      <c r="C972" s="1" t="n">
        <v>46171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26879-2024</t>
        </is>
      </c>
      <c r="B973" s="1" t="n">
        <v>45470</v>
      </c>
      <c r="C973" s="1" t="n">
        <v>46171</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59728-2022</t>
        </is>
      </c>
      <c r="B974" s="1" t="n">
        <v>44900</v>
      </c>
      <c r="C974" s="1" t="n">
        <v>46171</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3294-2025</t>
        </is>
      </c>
      <c r="B975" s="1" t="n">
        <v>45679.64125</v>
      </c>
      <c r="C975" s="1" t="n">
        <v>46171</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13897-2024</t>
        </is>
      </c>
      <c r="B976" s="1" t="n">
        <v>45391</v>
      </c>
      <c r="C976" s="1" t="n">
        <v>46171</v>
      </c>
      <c r="D976" t="inlineStr">
        <is>
          <t>SKÅNE LÄN</t>
        </is>
      </c>
      <c r="E976" t="inlineStr">
        <is>
          <t>HÄSSLEHOLM</t>
        </is>
      </c>
      <c r="F976" t="inlineStr">
        <is>
          <t>Kommuner</t>
        </is>
      </c>
      <c r="G976" t="n">
        <v>4</v>
      </c>
      <c r="H976" t="n">
        <v>0</v>
      </c>
      <c r="I976" t="n">
        <v>0</v>
      </c>
      <c r="J976" t="n">
        <v>0</v>
      </c>
      <c r="K976" t="n">
        <v>0</v>
      </c>
      <c r="L976" t="n">
        <v>0</v>
      </c>
      <c r="M976" t="n">
        <v>0</v>
      </c>
      <c r="N976" t="n">
        <v>0</v>
      </c>
      <c r="O976" t="n">
        <v>0</v>
      </c>
      <c r="P976" t="n">
        <v>0</v>
      </c>
      <c r="Q976" t="n">
        <v>0</v>
      </c>
      <c r="R976" s="2" t="inlineStr"/>
    </row>
    <row r="977" ht="15" customHeight="1">
      <c r="A977" t="inlineStr">
        <is>
          <t>A 7604-2024</t>
        </is>
      </c>
      <c r="B977" s="1" t="n">
        <v>45348</v>
      </c>
      <c r="C977" s="1" t="n">
        <v>46171</v>
      </c>
      <c r="D977" t="inlineStr">
        <is>
          <t>SKÅNE LÄN</t>
        </is>
      </c>
      <c r="E977" t="inlineStr">
        <is>
          <t>HÄSSLEHOLM</t>
        </is>
      </c>
      <c r="G977" t="n">
        <v>11.1</v>
      </c>
      <c r="H977" t="n">
        <v>0</v>
      </c>
      <c r="I977" t="n">
        <v>0</v>
      </c>
      <c r="J977" t="n">
        <v>0</v>
      </c>
      <c r="K977" t="n">
        <v>0</v>
      </c>
      <c r="L977" t="n">
        <v>0</v>
      </c>
      <c r="M977" t="n">
        <v>0</v>
      </c>
      <c r="N977" t="n">
        <v>0</v>
      </c>
      <c r="O977" t="n">
        <v>0</v>
      </c>
      <c r="P977" t="n">
        <v>0</v>
      </c>
      <c r="Q977" t="n">
        <v>0</v>
      </c>
      <c r="R977" s="2" t="inlineStr"/>
    </row>
    <row r="978" ht="15" customHeight="1">
      <c r="A978" t="inlineStr">
        <is>
          <t>A 36706-2022</t>
        </is>
      </c>
      <c r="B978" s="1" t="n">
        <v>44805.32891203704</v>
      </c>
      <c r="C978" s="1" t="n">
        <v>46171</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441-2022</t>
        </is>
      </c>
      <c r="B979" s="1" t="n">
        <v>44565.97125</v>
      </c>
      <c r="C979" s="1" t="n">
        <v>46171</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3364-2023</t>
        </is>
      </c>
      <c r="B980" s="1" t="n">
        <v>44949</v>
      </c>
      <c r="C980" s="1" t="n">
        <v>46171</v>
      </c>
      <c r="D980" t="inlineStr">
        <is>
          <t>SKÅNE LÄN</t>
        </is>
      </c>
      <c r="E980" t="inlineStr">
        <is>
          <t>HÄSSLEHOLM</t>
        </is>
      </c>
      <c r="G980" t="n">
        <v>5.1</v>
      </c>
      <c r="H980" t="n">
        <v>0</v>
      </c>
      <c r="I980" t="n">
        <v>0</v>
      </c>
      <c r="J980" t="n">
        <v>0</v>
      </c>
      <c r="K980" t="n">
        <v>0</v>
      </c>
      <c r="L980" t="n">
        <v>0</v>
      </c>
      <c r="M980" t="n">
        <v>0</v>
      </c>
      <c r="N980" t="n">
        <v>0</v>
      </c>
      <c r="O980" t="n">
        <v>0</v>
      </c>
      <c r="P980" t="n">
        <v>0</v>
      </c>
      <c r="Q980" t="n">
        <v>0</v>
      </c>
      <c r="R980" s="2" t="inlineStr"/>
    </row>
    <row r="981" ht="15" customHeight="1">
      <c r="A981" t="inlineStr">
        <is>
          <t>A 15881-2026</t>
        </is>
      </c>
      <c r="B981" s="1" t="n">
        <v>46107</v>
      </c>
      <c r="C981" s="1" t="n">
        <v>46171</v>
      </c>
      <c r="D981" t="inlineStr">
        <is>
          <t>SKÅNE LÄN</t>
        </is>
      </c>
      <c r="E981" t="inlineStr">
        <is>
          <t>HÄSSLEHOLM</t>
        </is>
      </c>
      <c r="F981" t="inlineStr">
        <is>
          <t>Kyrkan</t>
        </is>
      </c>
      <c r="G981" t="n">
        <v>2.2</v>
      </c>
      <c r="H981" t="n">
        <v>0</v>
      </c>
      <c r="I981" t="n">
        <v>0</v>
      </c>
      <c r="J981" t="n">
        <v>0</v>
      </c>
      <c r="K981" t="n">
        <v>0</v>
      </c>
      <c r="L981" t="n">
        <v>0</v>
      </c>
      <c r="M981" t="n">
        <v>0</v>
      </c>
      <c r="N981" t="n">
        <v>0</v>
      </c>
      <c r="O981" t="n">
        <v>0</v>
      </c>
      <c r="P981" t="n">
        <v>0</v>
      </c>
      <c r="Q981" t="n">
        <v>0</v>
      </c>
      <c r="R981" s="2" t="inlineStr"/>
    </row>
    <row r="982" ht="15" customHeight="1">
      <c r="A982" t="inlineStr">
        <is>
          <t>A 21673-2026</t>
        </is>
      </c>
      <c r="B982" s="1" t="n">
        <v>46149.48615740741</v>
      </c>
      <c r="C982" s="1" t="n">
        <v>46171</v>
      </c>
      <c r="D982" t="inlineStr">
        <is>
          <t>SKÅNE LÄN</t>
        </is>
      </c>
      <c r="E982" t="inlineStr">
        <is>
          <t>HÄSSLEHOLM</t>
        </is>
      </c>
      <c r="G982" t="n">
        <v>5</v>
      </c>
      <c r="H982" t="n">
        <v>0</v>
      </c>
      <c r="I982" t="n">
        <v>0</v>
      </c>
      <c r="J982" t="n">
        <v>0</v>
      </c>
      <c r="K982" t="n">
        <v>0</v>
      </c>
      <c r="L982" t="n">
        <v>0</v>
      </c>
      <c r="M982" t="n">
        <v>0</v>
      </c>
      <c r="N982" t="n">
        <v>0</v>
      </c>
      <c r="O982" t="n">
        <v>0</v>
      </c>
      <c r="P982" t="n">
        <v>0</v>
      </c>
      <c r="Q982" t="n">
        <v>0</v>
      </c>
      <c r="R982" s="2" t="inlineStr"/>
    </row>
    <row r="983" ht="15" customHeight="1">
      <c r="A983" t="inlineStr">
        <is>
          <t>A 21674-2026</t>
        </is>
      </c>
      <c r="B983" s="1" t="n">
        <v>46149.4872337963</v>
      </c>
      <c r="C983" s="1" t="n">
        <v>46171</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21658-2026</t>
        </is>
      </c>
      <c r="B984" s="1" t="n">
        <v>46149.45797453704</v>
      </c>
      <c r="C984" s="1" t="n">
        <v>46171</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21615-2026</t>
        </is>
      </c>
      <c r="B985" s="1" t="n">
        <v>46149.40331018518</v>
      </c>
      <c r="C985" s="1" t="n">
        <v>46171</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43629-2023</t>
        </is>
      </c>
      <c r="B986" s="1" t="n">
        <v>45184</v>
      </c>
      <c r="C986" s="1" t="n">
        <v>46171</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57656-2022</t>
        </is>
      </c>
      <c r="B987" s="1" t="n">
        <v>44897.4325925926</v>
      </c>
      <c r="C987" s="1" t="n">
        <v>46171</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8250-2023</t>
        </is>
      </c>
      <c r="B988" s="1" t="n">
        <v>44974</v>
      </c>
      <c r="C988" s="1" t="n">
        <v>46171</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6101-2022</t>
        </is>
      </c>
      <c r="B989" s="1" t="n">
        <v>44599.63016203704</v>
      </c>
      <c r="C989" s="1" t="n">
        <v>46171</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21807-2026</t>
        </is>
      </c>
      <c r="B990" s="1" t="n">
        <v>46148</v>
      </c>
      <c r="C990" s="1" t="n">
        <v>46171</v>
      </c>
      <c r="D990" t="inlineStr">
        <is>
          <t>SKÅNE LÄN</t>
        </is>
      </c>
      <c r="E990" t="inlineStr">
        <is>
          <t>HÄSSLEHOLM</t>
        </is>
      </c>
      <c r="G990" t="n">
        <v>5.2</v>
      </c>
      <c r="H990" t="n">
        <v>0</v>
      </c>
      <c r="I990" t="n">
        <v>0</v>
      </c>
      <c r="J990" t="n">
        <v>0</v>
      </c>
      <c r="K990" t="n">
        <v>0</v>
      </c>
      <c r="L990" t="n">
        <v>0</v>
      </c>
      <c r="M990" t="n">
        <v>0</v>
      </c>
      <c r="N990" t="n">
        <v>0</v>
      </c>
      <c r="O990" t="n">
        <v>0</v>
      </c>
      <c r="P990" t="n">
        <v>0</v>
      </c>
      <c r="Q990" t="n">
        <v>0</v>
      </c>
      <c r="R990" s="2" t="inlineStr"/>
    </row>
    <row r="991" ht="15" customHeight="1">
      <c r="A991" t="inlineStr">
        <is>
          <t>A 6842-2023</t>
        </is>
      </c>
      <c r="B991" s="1" t="n">
        <v>44967</v>
      </c>
      <c r="C991" s="1" t="n">
        <v>46171</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15979-2026</t>
        </is>
      </c>
      <c r="B992" s="1" t="n">
        <v>46108.35431712963</v>
      </c>
      <c r="C992" s="1" t="n">
        <v>46171</v>
      </c>
      <c r="D992" t="inlineStr">
        <is>
          <t>SKÅNE LÄN</t>
        </is>
      </c>
      <c r="E992" t="inlineStr">
        <is>
          <t>HÄSSLEHOLM</t>
        </is>
      </c>
      <c r="G992" t="n">
        <v>2.7</v>
      </c>
      <c r="H992" t="n">
        <v>0</v>
      </c>
      <c r="I992" t="n">
        <v>0</v>
      </c>
      <c r="J992" t="n">
        <v>0</v>
      </c>
      <c r="K992" t="n">
        <v>0</v>
      </c>
      <c r="L992" t="n">
        <v>0</v>
      </c>
      <c r="M992" t="n">
        <v>0</v>
      </c>
      <c r="N992" t="n">
        <v>0</v>
      </c>
      <c r="O992" t="n">
        <v>0</v>
      </c>
      <c r="P992" t="n">
        <v>0</v>
      </c>
      <c r="Q992" t="n">
        <v>0</v>
      </c>
      <c r="R992" s="2" t="inlineStr"/>
    </row>
    <row r="993" ht="15" customHeight="1">
      <c r="A993" t="inlineStr">
        <is>
          <t>A 7202-2022</t>
        </is>
      </c>
      <c r="B993" s="1" t="n">
        <v>44606</v>
      </c>
      <c r="C993" s="1" t="n">
        <v>46171</v>
      </c>
      <c r="D993" t="inlineStr">
        <is>
          <t>SKÅNE LÄN</t>
        </is>
      </c>
      <c r="E993" t="inlineStr">
        <is>
          <t>HÄSSLEHOLM</t>
        </is>
      </c>
      <c r="G993" t="n">
        <v>4.7</v>
      </c>
      <c r="H993" t="n">
        <v>0</v>
      </c>
      <c r="I993" t="n">
        <v>0</v>
      </c>
      <c r="J993" t="n">
        <v>0</v>
      </c>
      <c r="K993" t="n">
        <v>0</v>
      </c>
      <c r="L993" t="n">
        <v>0</v>
      </c>
      <c r="M993" t="n">
        <v>0</v>
      </c>
      <c r="N993" t="n">
        <v>0</v>
      </c>
      <c r="O993" t="n">
        <v>0</v>
      </c>
      <c r="P993" t="n">
        <v>0</v>
      </c>
      <c r="Q993" t="n">
        <v>0</v>
      </c>
      <c r="R993" s="2" t="inlineStr"/>
    </row>
    <row r="994" ht="15" customHeight="1">
      <c r="A994" t="inlineStr">
        <is>
          <t>A 5054-2022</t>
        </is>
      </c>
      <c r="B994" s="1" t="n">
        <v>44593.69065972222</v>
      </c>
      <c r="C994" s="1" t="n">
        <v>46171</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49181-2024</t>
        </is>
      </c>
      <c r="B995" s="1" t="n">
        <v>45595</v>
      </c>
      <c r="C995" s="1" t="n">
        <v>46171</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3349-2023</t>
        </is>
      </c>
      <c r="B996" s="1" t="n">
        <v>44949</v>
      </c>
      <c r="C996" s="1" t="n">
        <v>46171</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49384-2021</t>
        </is>
      </c>
      <c r="B997" s="1" t="n">
        <v>44454</v>
      </c>
      <c r="C997" s="1" t="n">
        <v>46171</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60959-2022</t>
        </is>
      </c>
      <c r="B998" s="1" t="n">
        <v>44914.64777777778</v>
      </c>
      <c r="C998" s="1" t="n">
        <v>46171</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3746-2024</t>
        </is>
      </c>
      <c r="B999" s="1" t="n">
        <v>45321.50745370371</v>
      </c>
      <c r="C999" s="1" t="n">
        <v>46171</v>
      </c>
      <c r="D999" t="inlineStr">
        <is>
          <t>SKÅNE LÄN</t>
        </is>
      </c>
      <c r="E999" t="inlineStr">
        <is>
          <t>HÄSSLEHOLM</t>
        </is>
      </c>
      <c r="G999" t="n">
        <v>3.4</v>
      </c>
      <c r="H999" t="n">
        <v>0</v>
      </c>
      <c r="I999" t="n">
        <v>0</v>
      </c>
      <c r="J999" t="n">
        <v>0</v>
      </c>
      <c r="K999" t="n">
        <v>0</v>
      </c>
      <c r="L999" t="n">
        <v>0</v>
      </c>
      <c r="M999" t="n">
        <v>0</v>
      </c>
      <c r="N999" t="n">
        <v>0</v>
      </c>
      <c r="O999" t="n">
        <v>0</v>
      </c>
      <c r="P999" t="n">
        <v>0</v>
      </c>
      <c r="Q999" t="n">
        <v>0</v>
      </c>
      <c r="R999" s="2" t="inlineStr"/>
    </row>
    <row r="1000" ht="15" customHeight="1">
      <c r="A1000" t="inlineStr">
        <is>
          <t>A 44262-2021</t>
        </is>
      </c>
      <c r="B1000" s="1" t="n">
        <v>44434</v>
      </c>
      <c r="C1000" s="1" t="n">
        <v>46171</v>
      </c>
      <c r="D1000" t="inlineStr">
        <is>
          <t>SKÅNE LÄN</t>
        </is>
      </c>
      <c r="E1000" t="inlineStr">
        <is>
          <t>HÄSSLEHOLM</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1553-2023</t>
        </is>
      </c>
      <c r="B1001" s="1" t="n">
        <v>44937</v>
      </c>
      <c r="C1001" s="1" t="n">
        <v>46171</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1562-2023</t>
        </is>
      </c>
      <c r="B1002" s="1" t="n">
        <v>44937.60450231482</v>
      </c>
      <c r="C1002" s="1" t="n">
        <v>46171</v>
      </c>
      <c r="D1002" t="inlineStr">
        <is>
          <t>SKÅNE LÄN</t>
        </is>
      </c>
      <c r="E1002" t="inlineStr">
        <is>
          <t>HÄSSLEHOLM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3452-2023</t>
        </is>
      </c>
      <c r="B1003" s="1" t="n">
        <v>44949</v>
      </c>
      <c r="C1003" s="1" t="n">
        <v>46171</v>
      </c>
      <c r="D1003" t="inlineStr">
        <is>
          <t>SKÅNE LÄN</t>
        </is>
      </c>
      <c r="E1003" t="inlineStr">
        <is>
          <t>HÄSSLEHOLM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2596-2024</t>
        </is>
      </c>
      <c r="B1004" s="1" t="n">
        <v>45313.69969907407</v>
      </c>
      <c r="C1004" s="1" t="n">
        <v>46171</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2681-2024</t>
        </is>
      </c>
      <c r="B1005" s="1" t="n">
        <v>45314</v>
      </c>
      <c r="C1005" s="1" t="n">
        <v>46171</v>
      </c>
      <c r="D1005" t="inlineStr">
        <is>
          <t>SKÅNE LÄN</t>
        </is>
      </c>
      <c r="E1005" t="inlineStr">
        <is>
          <t>HÄSSLEHOLM</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4187-2023</t>
        </is>
      </c>
      <c r="B1006" s="1" t="n">
        <v>44953</v>
      </c>
      <c r="C1006" s="1" t="n">
        <v>46171</v>
      </c>
      <c r="D1006" t="inlineStr">
        <is>
          <t>SKÅNE LÄN</t>
        </is>
      </c>
      <c r="E1006" t="inlineStr">
        <is>
          <t>HÄSSLEHOLM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4382-2023</t>
        </is>
      </c>
      <c r="B1007" s="1" t="n">
        <v>44955.61152777778</v>
      </c>
      <c r="C1007" s="1" t="n">
        <v>46171</v>
      </c>
      <c r="D1007" t="inlineStr">
        <is>
          <t>SKÅNE LÄN</t>
        </is>
      </c>
      <c r="E1007" t="inlineStr">
        <is>
          <t>HÄSSLEHOLM</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49107-2023</t>
        </is>
      </c>
      <c r="B1008" s="1" t="n">
        <v>45210.44337962963</v>
      </c>
      <c r="C1008" s="1" t="n">
        <v>46171</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5282-2023</t>
        </is>
      </c>
      <c r="B1009" s="1" t="n">
        <v>44959.50471064815</v>
      </c>
      <c r="C1009" s="1" t="n">
        <v>46171</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53897-2023</t>
        </is>
      </c>
      <c r="B1010" s="1" t="n">
        <v>45231.53934027778</v>
      </c>
      <c r="C1010" s="1" t="n">
        <v>46171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20990-2023</t>
        </is>
      </c>
      <c r="B1011" s="1" t="n">
        <v>45061.46186342592</v>
      </c>
      <c r="C1011" s="1" t="n">
        <v>46171</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22696-2023</t>
        </is>
      </c>
      <c r="B1012" s="1" t="n">
        <v>45071.69464120371</v>
      </c>
      <c r="C1012" s="1" t="n">
        <v>46171</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33873-2021</t>
        </is>
      </c>
      <c r="B1013" s="1" t="n">
        <v>44378</v>
      </c>
      <c r="C1013" s="1" t="n">
        <v>46171</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34348-2022</t>
        </is>
      </c>
      <c r="B1014" s="1" t="n">
        <v>44792</v>
      </c>
      <c r="C1014" s="1" t="n">
        <v>46171</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6836-2023</t>
        </is>
      </c>
      <c r="B1015" s="1" t="n">
        <v>44967</v>
      </c>
      <c r="C1015" s="1" t="n">
        <v>46171</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31931-2024</t>
        </is>
      </c>
      <c r="B1016" s="1" t="n">
        <v>45510.40878472223</v>
      </c>
      <c r="C1016" s="1" t="n">
        <v>46171</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16470-2026</t>
        </is>
      </c>
      <c r="B1017" s="1" t="n">
        <v>46112.37516203704</v>
      </c>
      <c r="C1017" s="1" t="n">
        <v>46171</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8803-2023</t>
        </is>
      </c>
      <c r="B1018" s="1" t="n">
        <v>44978.61712962963</v>
      </c>
      <c r="C1018" s="1" t="n">
        <v>46171</v>
      </c>
      <c r="D1018" t="inlineStr">
        <is>
          <t>SKÅNE LÄN</t>
        </is>
      </c>
      <c r="E1018" t="inlineStr">
        <is>
          <t>HÄSSLEHOLM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11681-2023</t>
        </is>
      </c>
      <c r="B1019" s="1" t="n">
        <v>44992</v>
      </c>
      <c r="C1019" s="1" t="n">
        <v>46171</v>
      </c>
      <c r="D1019" t="inlineStr">
        <is>
          <t>SKÅNE LÄN</t>
        </is>
      </c>
      <c r="E1019" t="inlineStr">
        <is>
          <t>HÄSSLEHOLM</t>
        </is>
      </c>
      <c r="F1019" t="inlineStr">
        <is>
          <t>Övriga Aktiebolag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16476-2026</t>
        </is>
      </c>
      <c r="B1020" s="1" t="n">
        <v>46112.38662037037</v>
      </c>
      <c r="C1020" s="1" t="n">
        <v>46171</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46222-2022</t>
        </is>
      </c>
      <c r="B1021" s="1" t="n">
        <v>44847.58725694445</v>
      </c>
      <c r="C1021" s="1" t="n">
        <v>46171</v>
      </c>
      <c r="D1021" t="inlineStr">
        <is>
          <t>SKÅNE LÄN</t>
        </is>
      </c>
      <c r="E1021" t="inlineStr">
        <is>
          <t>HÄSSLEHOLM</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50249-2024</t>
        </is>
      </c>
      <c r="B1022" s="1" t="n">
        <v>45600.56866898148</v>
      </c>
      <c r="C1022" s="1" t="n">
        <v>46171</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60843-2022</t>
        </is>
      </c>
      <c r="B1023" s="1" t="n">
        <v>44914</v>
      </c>
      <c r="C1023" s="1" t="n">
        <v>46171</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51040-2024</t>
        </is>
      </c>
      <c r="B1024" s="1" t="n">
        <v>45603.43222222223</v>
      </c>
      <c r="C1024" s="1" t="n">
        <v>46171</v>
      </c>
      <c r="D1024" t="inlineStr">
        <is>
          <t>SKÅNE LÄN</t>
        </is>
      </c>
      <c r="E1024" t="inlineStr">
        <is>
          <t>HÄSSLEHOLM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56881-2021</t>
        </is>
      </c>
      <c r="B1025" s="1" t="n">
        <v>44481</v>
      </c>
      <c r="C1025" s="1" t="n">
        <v>46171</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45653-2024</t>
        </is>
      </c>
      <c r="B1026" s="1" t="n">
        <v>45579.48872685185</v>
      </c>
      <c r="C1026" s="1" t="n">
        <v>46171</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56956-2024</t>
        </is>
      </c>
      <c r="B1027" s="1" t="n">
        <v>45626</v>
      </c>
      <c r="C1027" s="1" t="n">
        <v>46171</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45392-2024</t>
        </is>
      </c>
      <c r="B1028" s="1" t="n">
        <v>45576.55008101852</v>
      </c>
      <c r="C1028" s="1" t="n">
        <v>46171</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20187-2023</t>
        </is>
      </c>
      <c r="B1029" s="1" t="n">
        <v>45055.57027777778</v>
      </c>
      <c r="C1029" s="1" t="n">
        <v>46171</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1543-2024</t>
        </is>
      </c>
      <c r="B1030" s="1" t="n">
        <v>45306</v>
      </c>
      <c r="C1030" s="1" t="n">
        <v>46171</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37038-2022</t>
        </is>
      </c>
      <c r="B1031" s="1" t="n">
        <v>44806.44232638889</v>
      </c>
      <c r="C1031" s="1" t="n">
        <v>46171</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16454-2023</t>
        </is>
      </c>
      <c r="B1032" s="1" t="n">
        <v>45029.48425925926</v>
      </c>
      <c r="C1032" s="1" t="n">
        <v>46171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31572-2022</t>
        </is>
      </c>
      <c r="B1033" s="1" t="n">
        <v>44775</v>
      </c>
      <c r="C1033" s="1" t="n">
        <v>46171</v>
      </c>
      <c r="D1033" t="inlineStr">
        <is>
          <t>SKÅNE LÄN</t>
        </is>
      </c>
      <c r="E1033" t="inlineStr">
        <is>
          <t>HÄSSLEHOLM</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70087-2021</t>
        </is>
      </c>
      <c r="B1034" s="1" t="n">
        <v>44533</v>
      </c>
      <c r="C1034" s="1" t="n">
        <v>46171</v>
      </c>
      <c r="D1034" t="inlineStr">
        <is>
          <t>SKÅNE LÄN</t>
        </is>
      </c>
      <c r="E1034" t="inlineStr">
        <is>
          <t>HÄSSLEHOLM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9375-2023</t>
        </is>
      </c>
      <c r="B1035" s="1" t="n">
        <v>44981</v>
      </c>
      <c r="C1035" s="1" t="n">
        <v>46171</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29287-2023</t>
        </is>
      </c>
      <c r="B1036" s="1" t="n">
        <v>45098</v>
      </c>
      <c r="C1036" s="1" t="n">
        <v>46171</v>
      </c>
      <c r="D1036" t="inlineStr">
        <is>
          <t>SKÅNE LÄN</t>
        </is>
      </c>
      <c r="E1036" t="inlineStr">
        <is>
          <t>HÄSSLEHOLM</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55416-2021</t>
        </is>
      </c>
      <c r="B1037" s="1" t="n">
        <v>44475</v>
      </c>
      <c r="C1037" s="1" t="n">
        <v>46171</v>
      </c>
      <c r="D1037" t="inlineStr">
        <is>
          <t>SKÅNE LÄN</t>
        </is>
      </c>
      <c r="E1037" t="inlineStr">
        <is>
          <t>HÄSSLEHOLM</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60509-2023</t>
        </is>
      </c>
      <c r="B1038" s="1" t="n">
        <v>45259</v>
      </c>
      <c r="C1038" s="1" t="n">
        <v>46171</v>
      </c>
      <c r="D1038" t="inlineStr">
        <is>
          <t>SKÅNE LÄN</t>
        </is>
      </c>
      <c r="E1038" t="inlineStr">
        <is>
          <t>HÄSSLEHOLM</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21310-2022</t>
        </is>
      </c>
      <c r="B1039" s="1" t="n">
        <v>44705</v>
      </c>
      <c r="C1039" s="1" t="n">
        <v>46171</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9485-2023</t>
        </is>
      </c>
      <c r="B1040" s="1" t="n">
        <v>44981.60901620371</v>
      </c>
      <c r="C1040" s="1" t="n">
        <v>46171</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9502-2023</t>
        </is>
      </c>
      <c r="B1041" s="1" t="n">
        <v>44981.63278935185</v>
      </c>
      <c r="C1041" s="1" t="n">
        <v>46171</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10928-2024</t>
        </is>
      </c>
      <c r="B1042" s="1" t="n">
        <v>45370</v>
      </c>
      <c r="C1042" s="1" t="n">
        <v>46171</v>
      </c>
      <c r="D1042" t="inlineStr">
        <is>
          <t>SKÅNE LÄN</t>
        </is>
      </c>
      <c r="E1042" t="inlineStr">
        <is>
          <t>HÄSSLEHOLM</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5890-2023</t>
        </is>
      </c>
      <c r="B1043" s="1" t="n">
        <v>44963.64527777778</v>
      </c>
      <c r="C1043" s="1" t="n">
        <v>46171</v>
      </c>
      <c r="D1043" t="inlineStr">
        <is>
          <t>SKÅNE LÄN</t>
        </is>
      </c>
      <c r="E1043" t="inlineStr">
        <is>
          <t>HÄSSLEHOLM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5894-2023</t>
        </is>
      </c>
      <c r="B1044" s="1" t="n">
        <v>44963.65148148148</v>
      </c>
      <c r="C1044" s="1" t="n">
        <v>46171</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12843-2023</t>
        </is>
      </c>
      <c r="B1045" s="1" t="n">
        <v>45001.48423611111</v>
      </c>
      <c r="C1045" s="1" t="n">
        <v>46171</v>
      </c>
      <c r="D1045" t="inlineStr">
        <is>
          <t>SKÅNE LÄN</t>
        </is>
      </c>
      <c r="E1045" t="inlineStr">
        <is>
          <t>HÄSSLEHOLM</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10944-2024</t>
        </is>
      </c>
      <c r="B1046" s="1" t="n">
        <v>45370</v>
      </c>
      <c r="C1046" s="1" t="n">
        <v>46171</v>
      </c>
      <c r="D1046" t="inlineStr">
        <is>
          <t>SKÅNE LÄN</t>
        </is>
      </c>
      <c r="E1046" t="inlineStr">
        <is>
          <t>HÄSSLEHOLM</t>
        </is>
      </c>
      <c r="F1046" t="inlineStr">
        <is>
          <t>Övriga Aktiebolag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13309-2025</t>
        </is>
      </c>
      <c r="B1047" s="1" t="n">
        <v>45735.58512731481</v>
      </c>
      <c r="C1047" s="1" t="n">
        <v>46171</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5980-2024</t>
        </is>
      </c>
      <c r="B1048" s="1" t="n">
        <v>45335</v>
      </c>
      <c r="C1048" s="1" t="n">
        <v>46171</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42372-2024</t>
        </is>
      </c>
      <c r="B1049" s="1" t="n">
        <v>45564.5127199074</v>
      </c>
      <c r="C1049" s="1" t="n">
        <v>46171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17699-2024</t>
        </is>
      </c>
      <c r="B1050" s="1" t="n">
        <v>45418.46094907408</v>
      </c>
      <c r="C1050" s="1" t="n">
        <v>46171</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17702-2024</t>
        </is>
      </c>
      <c r="B1051" s="1" t="n">
        <v>45418.46534722222</v>
      </c>
      <c r="C1051" s="1" t="n">
        <v>46171</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20566-2023</t>
        </is>
      </c>
      <c r="B1052" s="1" t="n">
        <v>45057</v>
      </c>
      <c r="C1052" s="1" t="n">
        <v>46171</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32967-2023</t>
        </is>
      </c>
      <c r="B1053" s="1" t="n">
        <v>45125</v>
      </c>
      <c r="C1053" s="1" t="n">
        <v>46171</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32968-2023</t>
        </is>
      </c>
      <c r="B1054" s="1" t="n">
        <v>45125</v>
      </c>
      <c r="C1054" s="1" t="n">
        <v>46171</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42231-2022</t>
        </is>
      </c>
      <c r="B1055" s="1" t="n">
        <v>44830.77003472222</v>
      </c>
      <c r="C1055" s="1" t="n">
        <v>46171</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54982-2024</t>
        </is>
      </c>
      <c r="B1056" s="1" t="n">
        <v>45620.7580787037</v>
      </c>
      <c r="C1056" s="1" t="n">
        <v>46171</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23050-2026</t>
        </is>
      </c>
      <c r="B1057" s="1" t="n">
        <v>46161.43168981482</v>
      </c>
      <c r="C1057" s="1" t="n">
        <v>46171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36795-2023</t>
        </is>
      </c>
      <c r="B1058" s="1" t="n">
        <v>45154.38245370371</v>
      </c>
      <c r="C1058" s="1" t="n">
        <v>46171</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15698-2023</t>
        </is>
      </c>
      <c r="B1059" s="1" t="n">
        <v>45021</v>
      </c>
      <c r="C1059" s="1" t="n">
        <v>46171</v>
      </c>
      <c r="D1059" t="inlineStr">
        <is>
          <t>SKÅNE LÄN</t>
        </is>
      </c>
      <c r="E1059" t="inlineStr">
        <is>
          <t>HÄSSLEHOLM</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12584-2025</t>
        </is>
      </c>
      <c r="B1060" s="1" t="n">
        <v>45732</v>
      </c>
      <c r="C1060" s="1" t="n">
        <v>46171</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17835-2026</t>
        </is>
      </c>
      <c r="B1061" s="1" t="n">
        <v>46121</v>
      </c>
      <c r="C1061" s="1" t="n">
        <v>46171</v>
      </c>
      <c r="D1061" t="inlineStr">
        <is>
          <t>SKÅNE LÄN</t>
        </is>
      </c>
      <c r="E1061" t="inlineStr">
        <is>
          <t>HÄSSLEHOLM</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17844-2026</t>
        </is>
      </c>
      <c r="B1062" s="1" t="n">
        <v>46121</v>
      </c>
      <c r="C1062" s="1" t="n">
        <v>46171</v>
      </c>
      <c r="D1062" t="inlineStr">
        <is>
          <t>SKÅNE LÄN</t>
        </is>
      </c>
      <c r="E1062" t="inlineStr">
        <is>
          <t>HÄSSLEHOLM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23258-2026</t>
        </is>
      </c>
      <c r="B1063" s="1" t="n">
        <v>46162.44547453704</v>
      </c>
      <c r="C1063" s="1" t="n">
        <v>46171</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31998-2023</t>
        </is>
      </c>
      <c r="B1064" s="1" t="n">
        <v>45119</v>
      </c>
      <c r="C1064" s="1" t="n">
        <v>46171</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23265-2026</t>
        </is>
      </c>
      <c r="B1065" s="1" t="n">
        <v>46162.45505787037</v>
      </c>
      <c r="C1065" s="1" t="n">
        <v>46171</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32008-2024</t>
        </is>
      </c>
      <c r="B1066" s="1" t="n">
        <v>45510</v>
      </c>
      <c r="C1066" s="1" t="n">
        <v>46171</v>
      </c>
      <c r="D1066" t="inlineStr">
        <is>
          <t>SKÅNE LÄN</t>
        </is>
      </c>
      <c r="E1066" t="inlineStr">
        <is>
          <t>HÄSSLEHOLM</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23411-2026</t>
        </is>
      </c>
      <c r="B1067" s="1" t="n">
        <v>46162.83384259259</v>
      </c>
      <c r="C1067" s="1" t="n">
        <v>46171</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4140-2023</t>
        </is>
      </c>
      <c r="B1068" s="1" t="n">
        <v>44953</v>
      </c>
      <c r="C1068" s="1" t="n">
        <v>46171</v>
      </c>
      <c r="D1068" t="inlineStr">
        <is>
          <t>SKÅNE LÄN</t>
        </is>
      </c>
      <c r="E1068" t="inlineStr">
        <is>
          <t>HÄSSLEHOLM</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23249-2026</t>
        </is>
      </c>
      <c r="B1069" s="1" t="n">
        <v>46162.42958333333</v>
      </c>
      <c r="C1069" s="1" t="n">
        <v>46171</v>
      </c>
      <c r="D1069" t="inlineStr">
        <is>
          <t>SKÅNE LÄN</t>
        </is>
      </c>
      <c r="E1069" t="inlineStr">
        <is>
          <t>HÄSSLEHOLM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23259-2026</t>
        </is>
      </c>
      <c r="B1070" s="1" t="n">
        <v>46162.44567129629</v>
      </c>
      <c r="C1070" s="1" t="n">
        <v>46171</v>
      </c>
      <c r="D1070" t="inlineStr">
        <is>
          <t>SKÅNE LÄN</t>
        </is>
      </c>
      <c r="E1070" t="inlineStr">
        <is>
          <t>HÄSSLEHOLM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23284-2026</t>
        </is>
      </c>
      <c r="B1071" s="1" t="n">
        <v>46162.47378472222</v>
      </c>
      <c r="C1071" s="1" t="n">
        <v>46171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19240-2026</t>
        </is>
      </c>
      <c r="B1072" s="1" t="n">
        <v>46132</v>
      </c>
      <c r="C1072" s="1" t="n">
        <v>46171</v>
      </c>
      <c r="D1072" t="inlineStr">
        <is>
          <t>SKÅNE LÄN</t>
        </is>
      </c>
      <c r="E1072" t="inlineStr">
        <is>
          <t>HÄSSLEHOLM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25077-2024</t>
        </is>
      </c>
      <c r="B1073" s="1" t="n">
        <v>45462</v>
      </c>
      <c r="C1073" s="1" t="n">
        <v>46171</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23264-2026</t>
        </is>
      </c>
      <c r="B1074" s="1" t="n">
        <v>46162</v>
      </c>
      <c r="C1074" s="1" t="n">
        <v>46171</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54426-2025</t>
        </is>
      </c>
      <c r="B1075" s="1" t="n">
        <v>45965</v>
      </c>
      <c r="C1075" s="1" t="n">
        <v>46171</v>
      </c>
      <c r="D1075" t="inlineStr">
        <is>
          <t>SKÅNE LÄN</t>
        </is>
      </c>
      <c r="E1075" t="inlineStr">
        <is>
          <t>HÄSSLEHOLM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23266-2026</t>
        </is>
      </c>
      <c r="B1076" s="1" t="n">
        <v>46162.45515046296</v>
      </c>
      <c r="C1076" s="1" t="n">
        <v>46171</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23283-2026</t>
        </is>
      </c>
      <c r="B1077" s="1" t="n">
        <v>46162.47375</v>
      </c>
      <c r="C1077" s="1" t="n">
        <v>46171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23285-2026</t>
        </is>
      </c>
      <c r="B1078" s="1" t="n">
        <v>46162.47381944444</v>
      </c>
      <c r="C1078" s="1" t="n">
        <v>46171</v>
      </c>
      <c r="D1078" t="inlineStr">
        <is>
          <t>SKÅNE LÄN</t>
        </is>
      </c>
      <c r="E1078" t="inlineStr">
        <is>
          <t>HÄSSLEHOLM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23378-2026</t>
        </is>
      </c>
      <c r="B1079" s="1" t="n">
        <v>46162.64511574074</v>
      </c>
      <c r="C1079" s="1" t="n">
        <v>46171</v>
      </c>
      <c r="D1079" t="inlineStr">
        <is>
          <t>SKÅNE LÄN</t>
        </is>
      </c>
      <c r="E1079" t="inlineStr">
        <is>
          <t>HÄSSLEHOLM</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47352-2025</t>
        </is>
      </c>
      <c r="B1080" s="1" t="n">
        <v>45930</v>
      </c>
      <c r="C1080" s="1" t="n">
        <v>46171</v>
      </c>
      <c r="D1080" t="inlineStr">
        <is>
          <t>SKÅNE LÄN</t>
        </is>
      </c>
      <c r="E1080" t="inlineStr">
        <is>
          <t>HÄSSLEHOLM</t>
        </is>
      </c>
      <c r="G1080" t="n">
        <v>15.9</v>
      </c>
      <c r="H1080" t="n">
        <v>0</v>
      </c>
      <c r="I1080" t="n">
        <v>0</v>
      </c>
      <c r="J1080" t="n">
        <v>0</v>
      </c>
      <c r="K1080" t="n">
        <v>0</v>
      </c>
      <c r="L1080" t="n">
        <v>0</v>
      </c>
      <c r="M1080" t="n">
        <v>0</v>
      </c>
      <c r="N1080" t="n">
        <v>0</v>
      </c>
      <c r="O1080" t="n">
        <v>0</v>
      </c>
      <c r="P1080" t="n">
        <v>0</v>
      </c>
      <c r="Q1080" t="n">
        <v>0</v>
      </c>
      <c r="R1080" s="2" t="inlineStr"/>
    </row>
    <row r="1081" ht="15" customHeight="1">
      <c r="A1081" t="inlineStr">
        <is>
          <t>A 46942-2024</t>
        </is>
      </c>
      <c r="B1081" s="1" t="n">
        <v>45585.6684375</v>
      </c>
      <c r="C1081" s="1" t="n">
        <v>46171</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47394-2025</t>
        </is>
      </c>
      <c r="B1082" s="1" t="n">
        <v>45930</v>
      </c>
      <c r="C1082" s="1" t="n">
        <v>46171</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33257-2024</t>
        </is>
      </c>
      <c r="B1083" s="1" t="n">
        <v>45518</v>
      </c>
      <c r="C1083" s="1" t="n">
        <v>46171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17492-2025</t>
        </is>
      </c>
      <c r="B1084" s="1" t="n">
        <v>45747</v>
      </c>
      <c r="C1084" s="1" t="n">
        <v>46171</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51618-2024</t>
        </is>
      </c>
      <c r="B1085" s="1" t="n">
        <v>45604.82615740741</v>
      </c>
      <c r="C1085" s="1" t="n">
        <v>46171</v>
      </c>
      <c r="D1085" t="inlineStr">
        <is>
          <t>SKÅNE LÄN</t>
        </is>
      </c>
      <c r="E1085" t="inlineStr">
        <is>
          <t>HÄSSLEHOLM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10409-2024</t>
        </is>
      </c>
      <c r="B1086" s="1" t="n">
        <v>45365.6978125</v>
      </c>
      <c r="C1086" s="1" t="n">
        <v>46171</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31995-2023</t>
        </is>
      </c>
      <c r="B1087" s="1" t="n">
        <v>45107</v>
      </c>
      <c r="C1087" s="1" t="n">
        <v>46171</v>
      </c>
      <c r="D1087" t="inlineStr">
        <is>
          <t>SKÅNE LÄN</t>
        </is>
      </c>
      <c r="E1087" t="inlineStr">
        <is>
          <t>HÄSSLEHOLM</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4356-2024</t>
        </is>
      </c>
      <c r="B1088" s="1" t="n">
        <v>45325.36195601852</v>
      </c>
      <c r="C1088" s="1" t="n">
        <v>46171</v>
      </c>
      <c r="D1088" t="inlineStr">
        <is>
          <t>SKÅNE LÄN</t>
        </is>
      </c>
      <c r="E1088" t="inlineStr">
        <is>
          <t>HÄSSLEHOLM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47840-2023</t>
        </is>
      </c>
      <c r="B1089" s="1" t="n">
        <v>45204</v>
      </c>
      <c r="C1089" s="1" t="n">
        <v>46171</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34888-2023</t>
        </is>
      </c>
      <c r="B1090" s="1" t="n">
        <v>45142.388125</v>
      </c>
      <c r="C1090" s="1" t="n">
        <v>46171</v>
      </c>
      <c r="D1090" t="inlineStr">
        <is>
          <t>SKÅNE LÄN</t>
        </is>
      </c>
      <c r="E1090" t="inlineStr">
        <is>
          <t>HÄSSLEHOLM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53085-2022</t>
        </is>
      </c>
      <c r="B1091" s="1" t="n">
        <v>44873</v>
      </c>
      <c r="C1091" s="1" t="n">
        <v>46171</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16388-2025</t>
        </is>
      </c>
      <c r="B1092" s="1" t="n">
        <v>45751.42787037037</v>
      </c>
      <c r="C1092" s="1" t="n">
        <v>46171</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16668-2025</t>
        </is>
      </c>
      <c r="B1093" s="1" t="n">
        <v>45754.43009259259</v>
      </c>
      <c r="C1093" s="1" t="n">
        <v>46171</v>
      </c>
      <c r="D1093" t="inlineStr">
        <is>
          <t>SKÅNE LÄN</t>
        </is>
      </c>
      <c r="E1093" t="inlineStr">
        <is>
          <t>HÄSSLEHOLM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9709-2023</t>
        </is>
      </c>
      <c r="B1094" s="1" t="n">
        <v>44984.48376157408</v>
      </c>
      <c r="C1094" s="1" t="n">
        <v>46171</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54798-2025</t>
        </is>
      </c>
      <c r="B1095" s="1" t="n">
        <v>45966</v>
      </c>
      <c r="C1095" s="1" t="n">
        <v>46171</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17996-2026</t>
        </is>
      </c>
      <c r="B1096" s="1" t="n">
        <v>46124.87434027778</v>
      </c>
      <c r="C1096" s="1" t="n">
        <v>46171</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13646-2024</t>
        </is>
      </c>
      <c r="B1097" s="1" t="n">
        <v>45387</v>
      </c>
      <c r="C1097" s="1" t="n">
        <v>46171</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62417-2025</t>
        </is>
      </c>
      <c r="B1098" s="1" t="n">
        <v>46007</v>
      </c>
      <c r="C1098" s="1" t="n">
        <v>46171</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21867-2023</t>
        </is>
      </c>
      <c r="B1099" s="1" t="n">
        <v>45063</v>
      </c>
      <c r="C1099" s="1" t="n">
        <v>46171</v>
      </c>
      <c r="D1099" t="inlineStr">
        <is>
          <t>SKÅNE LÄN</t>
        </is>
      </c>
      <c r="E1099" t="inlineStr">
        <is>
          <t>HÄSSLEHOLM</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47422-2025</t>
        </is>
      </c>
      <c r="B1100" s="1" t="n">
        <v>45930</v>
      </c>
      <c r="C1100" s="1" t="n">
        <v>46171</v>
      </c>
      <c r="D1100" t="inlineStr">
        <is>
          <t>SKÅNE LÄN</t>
        </is>
      </c>
      <c r="E1100" t="inlineStr">
        <is>
          <t>HÄSSLEHOLM</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13087-2023</t>
        </is>
      </c>
      <c r="B1101" s="1" t="n">
        <v>45001</v>
      </c>
      <c r="C1101" s="1" t="n">
        <v>46171</v>
      </c>
      <c r="D1101" t="inlineStr">
        <is>
          <t>SKÅNE LÄN</t>
        </is>
      </c>
      <c r="E1101" t="inlineStr">
        <is>
          <t>HÄSSLEHOLM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52968-2022</t>
        </is>
      </c>
      <c r="B1102" s="1" t="n">
        <v>44875</v>
      </c>
      <c r="C1102" s="1" t="n">
        <v>46171</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62167-2022</t>
        </is>
      </c>
      <c r="B1103" s="1" t="n">
        <v>44915</v>
      </c>
      <c r="C1103" s="1" t="n">
        <v>46171</v>
      </c>
      <c r="D1103" t="inlineStr">
        <is>
          <t>SKÅNE LÄN</t>
        </is>
      </c>
      <c r="E1103" t="inlineStr">
        <is>
          <t>HÄSSLEHOLM</t>
        </is>
      </c>
      <c r="F1103" t="inlineStr">
        <is>
          <t>Kyrkan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62234-2022</t>
        </is>
      </c>
      <c r="B1104" s="1" t="n">
        <v>44922</v>
      </c>
      <c r="C1104" s="1" t="n">
        <v>46171</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45190.38804398148</v>
      </c>
      <c r="C1105" s="1" t="n">
        <v>46171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18398-2026</t>
        </is>
      </c>
      <c r="B1106" s="1" t="n">
        <v>46126.66273148148</v>
      </c>
      <c r="C1106" s="1" t="n">
        <v>46171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9397-2025</t>
        </is>
      </c>
      <c r="B1107" s="1" t="n">
        <v>45715.37361111111</v>
      </c>
      <c r="C1107" s="1" t="n">
        <v>46171</v>
      </c>
      <c r="D1107" t="inlineStr">
        <is>
          <t>SKÅNE LÄN</t>
        </is>
      </c>
      <c r="E1107" t="inlineStr">
        <is>
          <t>HÄSSLEHOLM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50899-2024</t>
        </is>
      </c>
      <c r="B1108" s="1" t="n">
        <v>45602.68584490741</v>
      </c>
      <c r="C1108" s="1" t="n">
        <v>46171</v>
      </c>
      <c r="D1108" t="inlineStr">
        <is>
          <t>SKÅNE LÄN</t>
        </is>
      </c>
      <c r="E1108" t="inlineStr">
        <is>
          <t>HÄSSLEHOLM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48624-2021</t>
        </is>
      </c>
      <c r="B1109" s="1" t="n">
        <v>44452</v>
      </c>
      <c r="C1109" s="1" t="n">
        <v>46171</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19642-2026</t>
        </is>
      </c>
      <c r="B1110" s="1" t="n">
        <v>46134.57986111111</v>
      </c>
      <c r="C1110" s="1" t="n">
        <v>46171</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24084-2026</t>
        </is>
      </c>
      <c r="B1111" s="1" t="n">
        <v>46168.37322916667</v>
      </c>
      <c r="C1111" s="1" t="n">
        <v>46171</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54807-2025</t>
        </is>
      </c>
      <c r="B1112" s="1" t="n">
        <v>45966</v>
      </c>
      <c r="C1112" s="1" t="n">
        <v>46171</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10802-2024</t>
        </is>
      </c>
      <c r="B1113" s="1" t="n">
        <v>45369</v>
      </c>
      <c r="C1113" s="1" t="n">
        <v>46171</v>
      </c>
      <c r="D1113" t="inlineStr">
        <is>
          <t>SKÅNE LÄN</t>
        </is>
      </c>
      <c r="E1113" t="inlineStr">
        <is>
          <t>HÄSSLEHOLM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47432-2025</t>
        </is>
      </c>
      <c r="B1114" s="1" t="n">
        <v>45930</v>
      </c>
      <c r="C1114" s="1" t="n">
        <v>46171</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47450-2025</t>
        </is>
      </c>
      <c r="B1115" s="1" t="n">
        <v>45930</v>
      </c>
      <c r="C1115" s="1" t="n">
        <v>46171</v>
      </c>
      <c r="D1115" t="inlineStr">
        <is>
          <t>SKÅNE LÄN</t>
        </is>
      </c>
      <c r="E1115" t="inlineStr">
        <is>
          <t>HÄSSLEHOLM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18484-2026</t>
        </is>
      </c>
      <c r="B1116" s="1" t="n">
        <v>46126</v>
      </c>
      <c r="C1116" s="1" t="n">
        <v>46171</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45204.85201388889</v>
      </c>
      <c r="C1117" s="1" t="n">
        <v>46171</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11607-2025</t>
        </is>
      </c>
      <c r="B1118" s="1" t="n">
        <v>45727</v>
      </c>
      <c r="C1118" s="1" t="n">
        <v>46171</v>
      </c>
      <c r="D1118" t="inlineStr">
        <is>
          <t>SKÅNE LÄN</t>
        </is>
      </c>
      <c r="E1118" t="inlineStr">
        <is>
          <t>HÄSSLEHOLM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49106-2023</t>
        </is>
      </c>
      <c r="B1119" s="1" t="n">
        <v>45210</v>
      </c>
      <c r="C1119" s="1" t="n">
        <v>46171</v>
      </c>
      <c r="D1119" t="inlineStr">
        <is>
          <t>SKÅNE LÄN</t>
        </is>
      </c>
      <c r="E1119" t="inlineStr">
        <is>
          <t>HÄSSLEHOLM</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58815-2023</t>
        </is>
      </c>
      <c r="B1120" s="1" t="n">
        <v>45247</v>
      </c>
      <c r="C1120" s="1" t="n">
        <v>46171</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18483-2026</t>
        </is>
      </c>
      <c r="B1121" s="1" t="n">
        <v>46127.44652777778</v>
      </c>
      <c r="C1121" s="1" t="n">
        <v>46171</v>
      </c>
      <c r="D1121" t="inlineStr">
        <is>
          <t>SKÅNE LÄN</t>
        </is>
      </c>
      <c r="E1121" t="inlineStr">
        <is>
          <t>HÄSSLEHOLM</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9697-2023</t>
        </is>
      </c>
      <c r="B1122" s="1" t="n">
        <v>44984</v>
      </c>
      <c r="C1122" s="1" t="n">
        <v>46171</v>
      </c>
      <c r="D1122" t="inlineStr">
        <is>
          <t>SKÅNE LÄN</t>
        </is>
      </c>
      <c r="E1122" t="inlineStr">
        <is>
          <t>HÄSSLEHOLM</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27478-2023</t>
        </is>
      </c>
      <c r="B1123" s="1" t="n">
        <v>45092</v>
      </c>
      <c r="C1123" s="1" t="n">
        <v>46171</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1170-2025</t>
        </is>
      </c>
      <c r="B1124" s="1" t="n">
        <v>45667.29226851852</v>
      </c>
      <c r="C1124" s="1" t="n">
        <v>46171</v>
      </c>
      <c r="D1124" t="inlineStr">
        <is>
          <t>SKÅNE LÄN</t>
        </is>
      </c>
      <c r="E1124" t="inlineStr">
        <is>
          <t>HÄSSLEHOLM</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57749-2023</t>
        </is>
      </c>
      <c r="B1125" s="1" t="n">
        <v>45246</v>
      </c>
      <c r="C1125" s="1" t="n">
        <v>46171</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44940-2023</t>
        </is>
      </c>
      <c r="B1126" s="1" t="n">
        <v>45190.68653935185</v>
      </c>
      <c r="C1126" s="1" t="n">
        <v>46171</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18800-2023</t>
        </is>
      </c>
      <c r="B1127" s="1" t="n">
        <v>45044</v>
      </c>
      <c r="C1127" s="1" t="n">
        <v>46171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25206-2023</t>
        </is>
      </c>
      <c r="B1128" s="1" t="n">
        <v>45086.59318287037</v>
      </c>
      <c r="C1128" s="1" t="n">
        <v>46171</v>
      </c>
      <c r="D1128" t="inlineStr">
        <is>
          <t>SKÅNE LÄN</t>
        </is>
      </c>
      <c r="E1128" t="inlineStr">
        <is>
          <t>HÄSSLEHOLM</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5116-2023</t>
        </is>
      </c>
      <c r="B1129" s="1" t="n">
        <v>44958.67546296296</v>
      </c>
      <c r="C1129" s="1" t="n">
        <v>46171</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10220-2023</t>
        </is>
      </c>
      <c r="B1130" s="1" t="n">
        <v>44986.60916666667</v>
      </c>
      <c r="C1130" s="1" t="n">
        <v>46171</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25611-2024</t>
        </is>
      </c>
      <c r="B1131" s="1" t="n">
        <v>45463</v>
      </c>
      <c r="C1131" s="1" t="n">
        <v>46171</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26536-2022</t>
        </is>
      </c>
      <c r="B1132" s="1" t="n">
        <v>44739.45496527778</v>
      </c>
      <c r="C1132" s="1" t="n">
        <v>46171</v>
      </c>
      <c r="D1132" t="inlineStr">
        <is>
          <t>SKÅNE LÄN</t>
        </is>
      </c>
      <c r="E1132" t="inlineStr">
        <is>
          <t>HÄSSLEHOLM</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16334-2024</t>
        </is>
      </c>
      <c r="B1133" s="1" t="n">
        <v>45407.54856481482</v>
      </c>
      <c r="C1133" s="1" t="n">
        <v>46171</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14981-2026</t>
        </is>
      </c>
      <c r="B1134" s="1" t="n">
        <v>46104</v>
      </c>
      <c r="C1134" s="1" t="n">
        <v>46171</v>
      </c>
      <c r="D1134" t="inlineStr">
        <is>
          <t>SKÅNE LÄN</t>
        </is>
      </c>
      <c r="E1134" t="inlineStr">
        <is>
          <t>HÄSSLEHOLM</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41873-2023</t>
        </is>
      </c>
      <c r="B1135" s="1" t="n">
        <v>45176</v>
      </c>
      <c r="C1135" s="1" t="n">
        <v>46171</v>
      </c>
      <c r="D1135" t="inlineStr">
        <is>
          <t>SKÅNE LÄN</t>
        </is>
      </c>
      <c r="E1135" t="inlineStr">
        <is>
          <t>HÄSSLEHOLM</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60973-2024</t>
        </is>
      </c>
      <c r="B1136" s="1" t="n">
        <v>45644</v>
      </c>
      <c r="C1136" s="1" t="n">
        <v>46171</v>
      </c>
      <c r="D1136" t="inlineStr">
        <is>
          <t>SKÅNE LÄN</t>
        </is>
      </c>
      <c r="E1136" t="inlineStr">
        <is>
          <t>HÄSSLEHOLM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38228-2021</t>
        </is>
      </c>
      <c r="B1137" s="1" t="n">
        <v>44405</v>
      </c>
      <c r="C1137" s="1" t="n">
        <v>46171</v>
      </c>
      <c r="D1137" t="inlineStr">
        <is>
          <t>SKÅNE LÄN</t>
        </is>
      </c>
      <c r="E1137" t="inlineStr">
        <is>
          <t>HÄSSLEHOLM</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14655-2025</t>
        </is>
      </c>
      <c r="B1138" s="1" t="n">
        <v>45742.5072337963</v>
      </c>
      <c r="C1138" s="1" t="n">
        <v>46171</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59763-2022</t>
        </is>
      </c>
      <c r="B1139" s="1" t="n">
        <v>44900</v>
      </c>
      <c r="C1139" s="1" t="n">
        <v>46171</v>
      </c>
      <c r="D1139" t="inlineStr">
        <is>
          <t>SKÅNE LÄN</t>
        </is>
      </c>
      <c r="E1139" t="inlineStr">
        <is>
          <t>HÄSSLEHOLM</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43061-2024</t>
        </is>
      </c>
      <c r="B1140" s="1" t="n">
        <v>45567</v>
      </c>
      <c r="C1140" s="1" t="n">
        <v>46171</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21328-2023</t>
        </is>
      </c>
      <c r="B1141" s="1" t="n">
        <v>45062</v>
      </c>
      <c r="C1141" s="1" t="n">
        <v>46171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10277-2023</t>
        </is>
      </c>
      <c r="B1142" s="1" t="n">
        <v>44986</v>
      </c>
      <c r="C1142" s="1" t="n">
        <v>46171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10290-2023</t>
        </is>
      </c>
      <c r="B1143" s="1" t="n">
        <v>44986</v>
      </c>
      <c r="C1143" s="1" t="n">
        <v>46171</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6619-2024</t>
        </is>
      </c>
      <c r="B1144" s="1" t="n">
        <v>45341.6021412037</v>
      </c>
      <c r="C1144" s="1" t="n">
        <v>46171</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20666-2023</t>
        </is>
      </c>
      <c r="B1145" s="1" t="n">
        <v>45058.35664351852</v>
      </c>
      <c r="C1145" s="1" t="n">
        <v>46171</v>
      </c>
      <c r="D1145" t="inlineStr">
        <is>
          <t>SKÅNE LÄN</t>
        </is>
      </c>
      <c r="E1145" t="inlineStr">
        <is>
          <t>HÄSSLEHOLM</t>
        </is>
      </c>
      <c r="F1145" t="inlineStr">
        <is>
          <t>Kyrkan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19593-2023</t>
        </is>
      </c>
      <c r="B1146" s="1" t="n">
        <v>45050.75895833333</v>
      </c>
      <c r="C1146" s="1" t="n">
        <v>46171</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7494-2023</t>
        </is>
      </c>
      <c r="B1147" s="1" t="n">
        <v>44971.70835648148</v>
      </c>
      <c r="C1147" s="1" t="n">
        <v>46171</v>
      </c>
      <c r="D1147" t="inlineStr">
        <is>
          <t>SKÅNE LÄN</t>
        </is>
      </c>
      <c r="E1147" t="inlineStr">
        <is>
          <t>HÄSSLEHOLM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6087-2025</t>
        </is>
      </c>
      <c r="B1148" s="1" t="n">
        <v>45697.69782407407</v>
      </c>
      <c r="C1148" s="1" t="n">
        <v>46171</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50571-2023</t>
        </is>
      </c>
      <c r="B1149" s="1" t="n">
        <v>45217.38359953704</v>
      </c>
      <c r="C1149" s="1" t="n">
        <v>46171</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18041-2023</t>
        </is>
      </c>
      <c r="B1150" s="1" t="n">
        <v>45040</v>
      </c>
      <c r="C1150" s="1" t="n">
        <v>46171</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16950-2025</t>
        </is>
      </c>
      <c r="B1151" s="1" t="n">
        <v>45755</v>
      </c>
      <c r="C1151" s="1" t="n">
        <v>46171</v>
      </c>
      <c r="D1151" t="inlineStr">
        <is>
          <t>SKÅNE LÄN</t>
        </is>
      </c>
      <c r="E1151" t="inlineStr">
        <is>
          <t>HÄSSLEHOLM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58618-2024</t>
        </is>
      </c>
      <c r="B1152" s="1" t="n">
        <v>45635.56150462963</v>
      </c>
      <c r="C1152" s="1" t="n">
        <v>46171</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52337-2023</t>
        </is>
      </c>
      <c r="B1153" s="1" t="n">
        <v>45224.66359953704</v>
      </c>
      <c r="C1153" s="1" t="n">
        <v>46171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13084-2025</t>
        </is>
      </c>
      <c r="B1154" s="1" t="n">
        <v>45734</v>
      </c>
      <c r="C1154" s="1" t="n">
        <v>46171</v>
      </c>
      <c r="D1154" t="inlineStr">
        <is>
          <t>SKÅNE LÄN</t>
        </is>
      </c>
      <c r="E1154" t="inlineStr">
        <is>
          <t>HÄSSLEHOLM</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27991-2024</t>
        </is>
      </c>
      <c r="B1155" s="1" t="n">
        <v>45476</v>
      </c>
      <c r="C1155" s="1" t="n">
        <v>46171</v>
      </c>
      <c r="D1155" t="inlineStr">
        <is>
          <t>SKÅNE LÄN</t>
        </is>
      </c>
      <c r="E1155" t="inlineStr">
        <is>
          <t>HÄSSLEHOLM</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6612-2024</t>
        </is>
      </c>
      <c r="B1156" s="1" t="n">
        <v>45341.58859953703</v>
      </c>
      <c r="C1156" s="1" t="n">
        <v>46171</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5887-2025</t>
        </is>
      </c>
      <c r="B1157" s="1" t="n">
        <v>45695.37925925926</v>
      </c>
      <c r="C1157" s="1" t="n">
        <v>46171</v>
      </c>
      <c r="D1157" t="inlineStr">
        <is>
          <t>SKÅNE LÄN</t>
        </is>
      </c>
      <c r="E1157" t="inlineStr">
        <is>
          <t>HÄSSLEHOLM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8760-2024</t>
        </is>
      </c>
      <c r="B1158" s="1" t="n">
        <v>45356.53420138889</v>
      </c>
      <c r="C1158" s="1" t="n">
        <v>46171</v>
      </c>
      <c r="D1158" t="inlineStr">
        <is>
          <t>SKÅNE LÄN</t>
        </is>
      </c>
      <c r="E1158" t="inlineStr">
        <is>
          <t>HÄSSLEHOLM</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48889-2024</t>
        </is>
      </c>
      <c r="B1159" s="1" t="n">
        <v>45594.33754629629</v>
      </c>
      <c r="C1159" s="1" t="n">
        <v>46171</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2567-2024</t>
        </is>
      </c>
      <c r="B1160" s="1" t="n">
        <v>45313.62460648148</v>
      </c>
      <c r="C1160" s="1" t="n">
        <v>46171</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29994-2023</t>
        </is>
      </c>
      <c r="B1161" s="1" t="n">
        <v>45109.60038194444</v>
      </c>
      <c r="C1161" s="1" t="n">
        <v>46171</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20872-2025</t>
        </is>
      </c>
      <c r="B1162" s="1" t="n">
        <v>45777.34688657407</v>
      </c>
      <c r="C1162" s="1" t="n">
        <v>46171</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21091-2025</t>
        </is>
      </c>
      <c r="B1163" s="1" t="n">
        <v>45777</v>
      </c>
      <c r="C1163" s="1" t="n">
        <v>46171</v>
      </c>
      <c r="D1163" t="inlineStr">
        <is>
          <t>SKÅNE LÄN</t>
        </is>
      </c>
      <c r="E1163" t="inlineStr">
        <is>
          <t>HÄSSLEHOLM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21206-2025</t>
        </is>
      </c>
      <c r="B1164" s="1" t="n">
        <v>45779.48318287037</v>
      </c>
      <c r="C1164" s="1" t="n">
        <v>46171</v>
      </c>
      <c r="D1164" t="inlineStr">
        <is>
          <t>SKÅNE LÄN</t>
        </is>
      </c>
      <c r="E1164" t="inlineStr">
        <is>
          <t>HÄSSLEHOLM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29845-2024</t>
        </is>
      </c>
      <c r="B1165" s="1" t="n">
        <v>45485.6212037037</v>
      </c>
      <c r="C1165" s="1" t="n">
        <v>46171</v>
      </c>
      <c r="D1165" t="inlineStr">
        <is>
          <t>SKÅNE LÄN</t>
        </is>
      </c>
      <c r="E1165" t="inlineStr">
        <is>
          <t>HÄSSLEHOLM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20006-2025</t>
        </is>
      </c>
      <c r="B1166" s="1" t="n">
        <v>45772.05032407407</v>
      </c>
      <c r="C1166" s="1" t="n">
        <v>46171</v>
      </c>
      <c r="D1166" t="inlineStr">
        <is>
          <t>SKÅNE LÄN</t>
        </is>
      </c>
      <c r="E1166" t="inlineStr">
        <is>
          <t>HÄSSLEHOLM</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61533-2024</t>
        </is>
      </c>
      <c r="B1167" s="1" t="n">
        <v>45646</v>
      </c>
      <c r="C1167" s="1" t="n">
        <v>46171</v>
      </c>
      <c r="D1167" t="inlineStr">
        <is>
          <t>SKÅNE LÄN</t>
        </is>
      </c>
      <c r="E1167" t="inlineStr">
        <is>
          <t>HÄSSLEHOLM</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61537-2024</t>
        </is>
      </c>
      <c r="B1168" s="1" t="n">
        <v>45646</v>
      </c>
      <c r="C1168" s="1" t="n">
        <v>46171</v>
      </c>
      <c r="D1168" t="inlineStr">
        <is>
          <t>SKÅNE LÄN</t>
        </is>
      </c>
      <c r="E1168" t="inlineStr">
        <is>
          <t>HÄSSLEHOLM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21638-2025</t>
        </is>
      </c>
      <c r="B1169" s="1" t="n">
        <v>45783.43087962963</v>
      </c>
      <c r="C1169" s="1" t="n">
        <v>46171</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7818-2024</t>
        </is>
      </c>
      <c r="B1170" s="1" t="n">
        <v>45349.68872685185</v>
      </c>
      <c r="C1170" s="1" t="n">
        <v>46171</v>
      </c>
      <c r="D1170" t="inlineStr">
        <is>
          <t>SKÅNE LÄN</t>
        </is>
      </c>
      <c r="E1170" t="inlineStr">
        <is>
          <t>HÄSSLEHOLM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39111-2023</t>
        </is>
      </c>
      <c r="B1171" s="1" t="n">
        <v>45164.87140046297</v>
      </c>
      <c r="C1171" s="1" t="n">
        <v>46171</v>
      </c>
      <c r="D1171" t="inlineStr">
        <is>
          <t>SKÅNE LÄN</t>
        </is>
      </c>
      <c r="E1171" t="inlineStr">
        <is>
          <t>HÄSSLEHOLM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60851-2024</t>
        </is>
      </c>
      <c r="B1172" s="1" t="n">
        <v>45644.66182870371</v>
      </c>
      <c r="C1172" s="1" t="n">
        <v>46171</v>
      </c>
      <c r="D1172" t="inlineStr">
        <is>
          <t>SKÅNE LÄN</t>
        </is>
      </c>
      <c r="E1172" t="inlineStr">
        <is>
          <t>HÄSSLEHOLM</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317-2025</t>
        </is>
      </c>
      <c r="B1173" s="1" t="n">
        <v>45660</v>
      </c>
      <c r="C1173" s="1" t="n">
        <v>46171</v>
      </c>
      <c r="D1173" t="inlineStr">
        <is>
          <t>SKÅNE LÄN</t>
        </is>
      </c>
      <c r="E1173" t="inlineStr">
        <is>
          <t>HÄSSLEHOLM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21625-2025</t>
        </is>
      </c>
      <c r="B1174" s="1" t="n">
        <v>45783.41252314814</v>
      </c>
      <c r="C1174" s="1" t="n">
        <v>46171</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60920-2024</t>
        </is>
      </c>
      <c r="B1175" s="1" t="n">
        <v>45645.34442129629</v>
      </c>
      <c r="C1175" s="1" t="n">
        <v>46171</v>
      </c>
      <c r="D1175" t="inlineStr">
        <is>
          <t>SKÅNE LÄN</t>
        </is>
      </c>
      <c r="E1175" t="inlineStr">
        <is>
          <t>HÄSSLEHOLM</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1703-2025</t>
        </is>
      </c>
      <c r="B1176" s="1" t="n">
        <v>45670.80732638889</v>
      </c>
      <c r="C1176" s="1" t="n">
        <v>46171</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22024-2025</t>
        </is>
      </c>
      <c r="B1177" s="1" t="n">
        <v>45784.85322916666</v>
      </c>
      <c r="C1177" s="1" t="n">
        <v>46171</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29274-2023</t>
        </is>
      </c>
      <c r="B1178" s="1" t="n">
        <v>45105</v>
      </c>
      <c r="C1178" s="1" t="n">
        <v>46171</v>
      </c>
      <c r="D1178" t="inlineStr">
        <is>
          <t>SKÅNE LÄN</t>
        </is>
      </c>
      <c r="E1178" t="inlineStr">
        <is>
          <t>HÄSSLEHOLM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34890-2023</t>
        </is>
      </c>
      <c r="B1179" s="1" t="n">
        <v>45142.39475694444</v>
      </c>
      <c r="C1179" s="1" t="n">
        <v>46171</v>
      </c>
      <c r="D1179" t="inlineStr">
        <is>
          <t>SKÅNE LÄN</t>
        </is>
      </c>
      <c r="E1179" t="inlineStr">
        <is>
          <t>HÄSSLEHOLM</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3886-2024</t>
        </is>
      </c>
      <c r="B1180" s="1" t="n">
        <v>45322.44539351852</v>
      </c>
      <c r="C1180" s="1" t="n">
        <v>46171</v>
      </c>
      <c r="D1180" t="inlineStr">
        <is>
          <t>SKÅNE LÄN</t>
        </is>
      </c>
      <c r="E1180" t="inlineStr">
        <is>
          <t>HÄSSLEHOLM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61932-2023</t>
        </is>
      </c>
      <c r="B1181" s="1" t="n">
        <v>45266.53761574074</v>
      </c>
      <c r="C1181" s="1" t="n">
        <v>46171</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13149-2024</t>
        </is>
      </c>
      <c r="B1182" s="1" t="n">
        <v>45386</v>
      </c>
      <c r="C1182" s="1" t="n">
        <v>46171</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53466-2024</t>
        </is>
      </c>
      <c r="B1183" s="1" t="n">
        <v>45614.55304398148</v>
      </c>
      <c r="C1183" s="1" t="n">
        <v>46171</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10230-2025</t>
        </is>
      </c>
      <c r="B1184" s="1" t="n">
        <v>45720</v>
      </c>
      <c r="C1184" s="1" t="n">
        <v>46171</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19735-2023</t>
        </is>
      </c>
      <c r="B1185" s="1" t="n">
        <v>45051.52199074074</v>
      </c>
      <c r="C1185" s="1" t="n">
        <v>46171</v>
      </c>
      <c r="D1185" t="inlineStr">
        <is>
          <t>SKÅNE LÄN</t>
        </is>
      </c>
      <c r="E1185" t="inlineStr">
        <is>
          <t>HÄSSLEHOLM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48797-2023</t>
        </is>
      </c>
      <c r="B1186" s="1" t="n">
        <v>45209.24986111111</v>
      </c>
      <c r="C1186" s="1" t="n">
        <v>46171</v>
      </c>
      <c r="D1186" t="inlineStr">
        <is>
          <t>SKÅNE LÄN</t>
        </is>
      </c>
      <c r="E1186" t="inlineStr">
        <is>
          <t>HÄSSLEHOLM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5532-2025</t>
        </is>
      </c>
      <c r="B1187" s="1" t="n">
        <v>45693</v>
      </c>
      <c r="C1187" s="1" t="n">
        <v>46171</v>
      </c>
      <c r="D1187" t="inlineStr">
        <is>
          <t>SKÅNE LÄN</t>
        </is>
      </c>
      <c r="E1187" t="inlineStr">
        <is>
          <t>HÄSSLEHOLM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55662-2022</t>
        </is>
      </c>
      <c r="B1188" s="1" t="n">
        <v>44883</v>
      </c>
      <c r="C1188" s="1" t="n">
        <v>46171</v>
      </c>
      <c r="D1188" t="inlineStr">
        <is>
          <t>SKÅNE LÄN</t>
        </is>
      </c>
      <c r="E1188" t="inlineStr">
        <is>
          <t>HÄSSLEHOLM</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29844-2024</t>
        </is>
      </c>
      <c r="B1189" s="1" t="n">
        <v>45485</v>
      </c>
      <c r="C1189" s="1" t="n">
        <v>46171</v>
      </c>
      <c r="D1189" t="inlineStr">
        <is>
          <t>SKÅNE LÄN</t>
        </is>
      </c>
      <c r="E1189" t="inlineStr">
        <is>
          <t>HÄSSLEHOLM</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40536-2024</t>
        </is>
      </c>
      <c r="B1190" s="1" t="n">
        <v>45555.61314814815</v>
      </c>
      <c r="C1190" s="1" t="n">
        <v>46171</v>
      </c>
      <c r="D1190" t="inlineStr">
        <is>
          <t>SKÅNE LÄN</t>
        </is>
      </c>
      <c r="E1190" t="inlineStr">
        <is>
          <t>HÄSSLEHOLM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33266-2024</t>
        </is>
      </c>
      <c r="B1191" s="1" t="n">
        <v>45518</v>
      </c>
      <c r="C1191" s="1" t="n">
        <v>46171</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56386-2023</t>
        </is>
      </c>
      <c r="B1192" s="1" t="n">
        <v>45243</v>
      </c>
      <c r="C1192" s="1" t="n">
        <v>46171</v>
      </c>
      <c r="D1192" t="inlineStr">
        <is>
          <t>SKÅNE LÄN</t>
        </is>
      </c>
      <c r="E1192" t="inlineStr">
        <is>
          <t>HÄSSLEHOLM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2490-2024</t>
        </is>
      </c>
      <c r="B1193" s="1" t="n">
        <v>45313.43649305555</v>
      </c>
      <c r="C1193" s="1" t="n">
        <v>46171</v>
      </c>
      <c r="D1193" t="inlineStr">
        <is>
          <t>SKÅNE LÄN</t>
        </is>
      </c>
      <c r="E1193" t="inlineStr">
        <is>
          <t>HÄSSLEHOLM</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50244-2024</t>
        </is>
      </c>
      <c r="B1194" s="1" t="n">
        <v>45600.56502314815</v>
      </c>
      <c r="C1194" s="1" t="n">
        <v>46171</v>
      </c>
      <c r="D1194" t="inlineStr">
        <is>
          <t>SKÅNE LÄN</t>
        </is>
      </c>
      <c r="E1194" t="inlineStr">
        <is>
          <t>HÄSSLEHOLM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9924-2025</t>
        </is>
      </c>
      <c r="B1195" s="1" t="n">
        <v>45717.72505787037</v>
      </c>
      <c r="C1195" s="1" t="n">
        <v>46171</v>
      </c>
      <c r="D1195" t="inlineStr">
        <is>
          <t>SKÅNE LÄN</t>
        </is>
      </c>
      <c r="E1195" t="inlineStr">
        <is>
          <t>HÄSSLEHOLM</t>
        </is>
      </c>
      <c r="G1195" t="n">
        <v>1.5</v>
      </c>
      <c r="H1195" t="n">
        <v>0</v>
      </c>
      <c r="I1195" t="n">
        <v>0</v>
      </c>
      <c r="J1195" t="n">
        <v>0</v>
      </c>
      <c r="K1195" t="n">
        <v>0</v>
      </c>
      <c r="L1195" t="n">
        <v>0</v>
      </c>
      <c r="M1195" t="n">
        <v>0</v>
      </c>
      <c r="N1195" t="n">
        <v>0</v>
      </c>
      <c r="O1195" t="n">
        <v>0</v>
      </c>
      <c r="P1195" t="n">
        <v>0</v>
      </c>
      <c r="Q1195" t="n">
        <v>0</v>
      </c>
      <c r="R1195" s="2" t="inlineStr"/>
    </row>
    <row r="1196">
      <c r="A1196" t="inlineStr">
        <is>
          <t>A 13007-2024</t>
        </is>
      </c>
      <c r="B1196" s="1" t="n">
        <v>45385.57092592592</v>
      </c>
      <c r="C1196" s="1" t="n">
        <v>46171</v>
      </c>
      <c r="D1196" t="inlineStr">
        <is>
          <t>SKÅNE LÄN</t>
        </is>
      </c>
      <c r="E1196" t="inlineStr">
        <is>
          <t>HÄSSLEHOLM</t>
        </is>
      </c>
      <c r="G1196" t="n">
        <v>1.4</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2026-05-29T10:56:38Z</dcterms:created>
  <dcterms:modified xmlns:dcterms="http://purl.org/dc/terms/" xmlns:xsi="http://www.w3.org/2001/XMLSchema-instance" xsi:type="dcterms:W3CDTF">2026-05-29T10:56:39Z</dcterms:modified>
</cp:coreProperties>
</file>