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46165</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46165</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46165</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46165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46165</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46165</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46165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46165</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46165</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21652-2026</t>
        </is>
      </c>
      <c r="B13" s="1" t="n">
        <v>46149.4491087963</v>
      </c>
      <c r="C13" s="1" t="n">
        <v>46165</v>
      </c>
      <c r="D13" t="inlineStr">
        <is>
          <t>SKÅNE LÄN</t>
        </is>
      </c>
      <c r="E13" t="inlineStr">
        <is>
          <t>HÄSSLEHOLM</t>
        </is>
      </c>
      <c r="G13" t="n">
        <v>2.3</v>
      </c>
      <c r="H13" t="n">
        <v>2</v>
      </c>
      <c r="I13" t="n">
        <v>0</v>
      </c>
      <c r="J13" t="n">
        <v>1</v>
      </c>
      <c r="K13" t="n">
        <v>0</v>
      </c>
      <c r="L13" t="n">
        <v>1</v>
      </c>
      <c r="M13" t="n">
        <v>0</v>
      </c>
      <c r="N13" t="n">
        <v>0</v>
      </c>
      <c r="O13" t="n">
        <v>2</v>
      </c>
      <c r="P13" t="n">
        <v>1</v>
      </c>
      <c r="Q13" t="n">
        <v>3</v>
      </c>
      <c r="R13" s="2" t="inlineStr">
        <is>
          <t>Ask
Svartvit flugsnappare
Trana</t>
        </is>
      </c>
      <c r="S13">
        <f>HYPERLINK("https://klasma.github.io/Logging_1293/artfynd/A 21652-2026 artfynd.xlsx", "A 21652-2026")</f>
        <v/>
      </c>
      <c r="T13">
        <f>HYPERLINK("https://klasma.github.io/Logging_1293/kartor/A 21652-2026 karta.png", "A 21652-2026")</f>
        <v/>
      </c>
      <c r="V13">
        <f>HYPERLINK("https://klasma.github.io/Logging_1293/klagomål/A 21652-2026 FSC-klagomål.docx", "A 21652-2026")</f>
        <v/>
      </c>
      <c r="W13">
        <f>HYPERLINK("https://klasma.github.io/Logging_1293/klagomålsmail/A 21652-2026 FSC-klagomål mail.docx", "A 21652-2026")</f>
        <v/>
      </c>
      <c r="X13">
        <f>HYPERLINK("https://klasma.github.io/Logging_1293/tillsyn/A 21652-2026 tillsynsbegäran.docx", "A 21652-2026")</f>
        <v/>
      </c>
      <c r="Y13">
        <f>HYPERLINK("https://klasma.github.io/Logging_1293/tillsynsmail/A 21652-2026 tillsynsbegäran mail.docx", "A 21652-2026")</f>
        <v/>
      </c>
      <c r="Z13">
        <f>HYPERLINK("https://klasma.github.io/Logging_1293/fåglar/A 21652-2026 prioriterade fågelarter.docx", "A 21652-2026")</f>
        <v/>
      </c>
    </row>
    <row r="14" ht="15" customHeight="1">
      <c r="A14" t="inlineStr">
        <is>
          <t>A 44167-2021</t>
        </is>
      </c>
      <c r="B14" s="1" t="n">
        <v>44434</v>
      </c>
      <c r="C14" s="1" t="n">
        <v>46165</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46165</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46165</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21659-2026</t>
        </is>
      </c>
      <c r="B17" s="1" t="n">
        <v>46149.4594212963</v>
      </c>
      <c r="C17" s="1" t="n">
        <v>46165</v>
      </c>
      <c r="D17" t="inlineStr">
        <is>
          <t>SKÅNE LÄN</t>
        </is>
      </c>
      <c r="E17" t="inlineStr">
        <is>
          <t>HÄSSLEHOLM</t>
        </is>
      </c>
      <c r="G17" t="n">
        <v>1.8</v>
      </c>
      <c r="H17" t="n">
        <v>2</v>
      </c>
      <c r="I17" t="n">
        <v>0</v>
      </c>
      <c r="J17" t="n">
        <v>0</v>
      </c>
      <c r="K17" t="n">
        <v>0</v>
      </c>
      <c r="L17" t="n">
        <v>0</v>
      </c>
      <c r="M17" t="n">
        <v>0</v>
      </c>
      <c r="N17" t="n">
        <v>0</v>
      </c>
      <c r="O17" t="n">
        <v>0</v>
      </c>
      <c r="P17" t="n">
        <v>0</v>
      </c>
      <c r="Q17" t="n">
        <v>2</v>
      </c>
      <c r="R17" s="2" t="inlineStr">
        <is>
          <t>Göktyta
Skogsduva</t>
        </is>
      </c>
      <c r="S17">
        <f>HYPERLINK("https://klasma.github.io/Logging_1293/artfynd/A 21659-2026 artfynd.xlsx", "A 21659-2026")</f>
        <v/>
      </c>
      <c r="T17">
        <f>HYPERLINK("https://klasma.github.io/Logging_1293/kartor/A 21659-2026 karta.png", "A 21659-2026")</f>
        <v/>
      </c>
      <c r="V17">
        <f>HYPERLINK("https://klasma.github.io/Logging_1293/klagomål/A 21659-2026 FSC-klagomål.docx", "A 21659-2026")</f>
        <v/>
      </c>
      <c r="W17">
        <f>HYPERLINK("https://klasma.github.io/Logging_1293/klagomålsmail/A 21659-2026 FSC-klagomål mail.docx", "A 21659-2026")</f>
        <v/>
      </c>
      <c r="X17">
        <f>HYPERLINK("https://klasma.github.io/Logging_1293/tillsyn/A 21659-2026 tillsynsbegäran.docx", "A 21659-2026")</f>
        <v/>
      </c>
      <c r="Y17">
        <f>HYPERLINK("https://klasma.github.io/Logging_1293/tillsynsmail/A 21659-2026 tillsynsbegäran mail.docx", "A 21659-2026")</f>
        <v/>
      </c>
      <c r="Z17">
        <f>HYPERLINK("https://klasma.github.io/Logging_1293/fåglar/A 21659-2026 prioriterade fågelarter.docx", "A 21659-2026")</f>
        <v/>
      </c>
    </row>
    <row r="18" ht="15" customHeight="1">
      <c r="A18" t="inlineStr">
        <is>
          <t>A 2194-2025</t>
        </is>
      </c>
      <c r="B18" s="1" t="n">
        <v>45673.380625</v>
      </c>
      <c r="C18" s="1" t="n">
        <v>46165</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28736-2025</t>
        </is>
      </c>
      <c r="B19" s="1" t="n">
        <v>45820.3816087963</v>
      </c>
      <c r="C19" s="1" t="n">
        <v>46165</v>
      </c>
      <c r="D19" t="inlineStr">
        <is>
          <t>SKÅNE LÄN</t>
        </is>
      </c>
      <c r="E19" t="inlineStr">
        <is>
          <t>HÄSSLEHOLM</t>
        </is>
      </c>
      <c r="G19" t="n">
        <v>3.9</v>
      </c>
      <c r="H19" t="n">
        <v>1</v>
      </c>
      <c r="I19" t="n">
        <v>1</v>
      </c>
      <c r="J19" t="n">
        <v>0</v>
      </c>
      <c r="K19" t="n">
        <v>0</v>
      </c>
      <c r="L19" t="n">
        <v>0</v>
      </c>
      <c r="M19" t="n">
        <v>0</v>
      </c>
      <c r="N19" t="n">
        <v>0</v>
      </c>
      <c r="O19" t="n">
        <v>0</v>
      </c>
      <c r="P19" t="n">
        <v>0</v>
      </c>
      <c r="Q19" t="n">
        <v>2</v>
      </c>
      <c r="R19" s="2" t="inlineStr">
        <is>
          <t>Blomkålssvamp
Kungsfågel</t>
        </is>
      </c>
      <c r="S19">
        <f>HYPERLINK("https://klasma.github.io/Logging_1293/artfynd/A 28736-2025 artfynd.xlsx", "A 28736-2025")</f>
        <v/>
      </c>
      <c r="T19">
        <f>HYPERLINK("https://klasma.github.io/Logging_1293/kartor/A 28736-2025 karta.png", "A 28736-2025")</f>
        <v/>
      </c>
      <c r="V19">
        <f>HYPERLINK("https://klasma.github.io/Logging_1293/klagomål/A 28736-2025 FSC-klagomål.docx", "A 28736-2025")</f>
        <v/>
      </c>
      <c r="W19">
        <f>HYPERLINK("https://klasma.github.io/Logging_1293/klagomålsmail/A 28736-2025 FSC-klagomål mail.docx", "A 28736-2025")</f>
        <v/>
      </c>
      <c r="X19">
        <f>HYPERLINK("https://klasma.github.io/Logging_1293/tillsyn/A 28736-2025 tillsynsbegäran.docx", "A 28736-2025")</f>
        <v/>
      </c>
      <c r="Y19">
        <f>HYPERLINK("https://klasma.github.io/Logging_1293/tillsynsmail/A 28736-2025 tillsynsbegäran mail.docx", "A 28736-2025")</f>
        <v/>
      </c>
      <c r="Z19">
        <f>HYPERLINK("https://klasma.github.io/Logging_1293/fåglar/A 28736-2025 prioriterade fågelarter.docx", "A 28736-2025")</f>
        <v/>
      </c>
    </row>
    <row r="20" ht="15" customHeight="1">
      <c r="A20" t="inlineStr">
        <is>
          <t>A 13705-2022</t>
        </is>
      </c>
      <c r="B20" s="1" t="n">
        <v>44648</v>
      </c>
      <c r="C20" s="1" t="n">
        <v>46165</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9289-2025</t>
        </is>
      </c>
      <c r="B21" s="1" t="n">
        <v>45714</v>
      </c>
      <c r="C21" s="1" t="n">
        <v>46165</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40613-2025</t>
        </is>
      </c>
      <c r="B22" s="1" t="n">
        <v>45896</v>
      </c>
      <c r="C22" s="1" t="n">
        <v>46165</v>
      </c>
      <c r="D22" t="inlineStr">
        <is>
          <t>SKÅNE LÄN</t>
        </is>
      </c>
      <c r="E22" t="inlineStr">
        <is>
          <t>HÄSSLEHOLM</t>
        </is>
      </c>
      <c r="F22" t="inlineStr">
        <is>
          <t>Kyrkan</t>
        </is>
      </c>
      <c r="G22" t="n">
        <v>3.4</v>
      </c>
      <c r="H22" t="n">
        <v>1</v>
      </c>
      <c r="I22" t="n">
        <v>0</v>
      </c>
      <c r="J22" t="n">
        <v>0</v>
      </c>
      <c r="K22" t="n">
        <v>0</v>
      </c>
      <c r="L22" t="n">
        <v>0</v>
      </c>
      <c r="M22" t="n">
        <v>0</v>
      </c>
      <c r="N22" t="n">
        <v>0</v>
      </c>
      <c r="O22" t="n">
        <v>0</v>
      </c>
      <c r="P22" t="n">
        <v>0</v>
      </c>
      <c r="Q22" t="n">
        <v>1</v>
      </c>
      <c r="R22" s="2" t="inlineStr">
        <is>
          <t>Revlummer</t>
        </is>
      </c>
      <c r="S22">
        <f>HYPERLINK("https://klasma.github.io/Logging_1293/artfynd/A 40613-2025 artfynd.xlsx", "A 40613-2025")</f>
        <v/>
      </c>
      <c r="T22">
        <f>HYPERLINK("https://klasma.github.io/Logging_1293/kartor/A 40613-2025 karta.png", "A 40613-2025")</f>
        <v/>
      </c>
      <c r="V22">
        <f>HYPERLINK("https://klasma.github.io/Logging_1293/klagomål/A 40613-2025 FSC-klagomål.docx", "A 40613-2025")</f>
        <v/>
      </c>
      <c r="W22">
        <f>HYPERLINK("https://klasma.github.io/Logging_1293/klagomålsmail/A 40613-2025 FSC-klagomål mail.docx", "A 40613-2025")</f>
        <v/>
      </c>
      <c r="X22">
        <f>HYPERLINK("https://klasma.github.io/Logging_1293/tillsyn/A 40613-2025 tillsynsbegäran.docx", "A 40613-2025")</f>
        <v/>
      </c>
      <c r="Y22">
        <f>HYPERLINK("https://klasma.github.io/Logging_1293/tillsynsmail/A 40613-2025 tillsynsbegäran mail.docx", "A 40613-2025")</f>
        <v/>
      </c>
    </row>
    <row r="23" ht="15" customHeight="1">
      <c r="A23" t="inlineStr">
        <is>
          <t>A 36690-2025</t>
        </is>
      </c>
      <c r="B23" s="1" t="n">
        <v>45873.42915509259</v>
      </c>
      <c r="C23" s="1" t="n">
        <v>46165</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46165</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46165</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57533-2025</t>
        </is>
      </c>
      <c r="B26" s="1" t="n">
        <v>45980.63923611111</v>
      </c>
      <c r="C26" s="1" t="n">
        <v>46165</v>
      </c>
      <c r="D26" t="inlineStr">
        <is>
          <t>SKÅNE LÄN</t>
        </is>
      </c>
      <c r="E26" t="inlineStr">
        <is>
          <t>HÄSSLEHOLM</t>
        </is>
      </c>
      <c r="G26" t="n">
        <v>0.9</v>
      </c>
      <c r="H26" t="n">
        <v>0</v>
      </c>
      <c r="I26" t="n">
        <v>1</v>
      </c>
      <c r="J26" t="n">
        <v>0</v>
      </c>
      <c r="K26" t="n">
        <v>0</v>
      </c>
      <c r="L26" t="n">
        <v>0</v>
      </c>
      <c r="M26" t="n">
        <v>0</v>
      </c>
      <c r="N26" t="n">
        <v>0</v>
      </c>
      <c r="O26" t="n">
        <v>0</v>
      </c>
      <c r="P26" t="n">
        <v>0</v>
      </c>
      <c r="Q26" t="n">
        <v>1</v>
      </c>
      <c r="R26" s="2" t="inlineStr">
        <is>
          <t>Strutbräken</t>
        </is>
      </c>
      <c r="S26">
        <f>HYPERLINK("https://klasma.github.io/Logging_1293/artfynd/A 57533-2025 artfynd.xlsx", "A 57533-2025")</f>
        <v/>
      </c>
      <c r="T26">
        <f>HYPERLINK("https://klasma.github.io/Logging_1293/kartor/A 57533-2025 karta.png", "A 57533-2025")</f>
        <v/>
      </c>
      <c r="V26">
        <f>HYPERLINK("https://klasma.github.io/Logging_1293/klagomål/A 57533-2025 FSC-klagomål.docx", "A 57533-2025")</f>
        <v/>
      </c>
      <c r="W26">
        <f>HYPERLINK("https://klasma.github.io/Logging_1293/klagomålsmail/A 57533-2025 FSC-klagomål mail.docx", "A 57533-2025")</f>
        <v/>
      </c>
      <c r="X26">
        <f>HYPERLINK("https://klasma.github.io/Logging_1293/tillsyn/A 57533-2025 tillsynsbegäran.docx", "A 57533-2025")</f>
        <v/>
      </c>
      <c r="Y26">
        <f>HYPERLINK("https://klasma.github.io/Logging_1293/tillsynsmail/A 57533-2025 tillsynsbegäran mail.docx", "A 57533-2025")</f>
        <v/>
      </c>
    </row>
    <row r="27" ht="15" customHeight="1">
      <c r="A27" t="inlineStr">
        <is>
          <t>A 29272-2023</t>
        </is>
      </c>
      <c r="B27" s="1" t="n">
        <v>45105</v>
      </c>
      <c r="C27" s="1" t="n">
        <v>46165</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46165</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46165</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13894-2026</t>
        </is>
      </c>
      <c r="B30" s="1" t="n">
        <v>46098</v>
      </c>
      <c r="C30" s="1" t="n">
        <v>46165</v>
      </c>
      <c r="D30" t="inlineStr">
        <is>
          <t>SKÅNE LÄN</t>
        </is>
      </c>
      <c r="E30" t="inlineStr">
        <is>
          <t>HÄSSLEHOLM</t>
        </is>
      </c>
      <c r="G30" t="n">
        <v>2.6</v>
      </c>
      <c r="H30" t="n">
        <v>1</v>
      </c>
      <c r="I30" t="n">
        <v>0</v>
      </c>
      <c r="J30" t="n">
        <v>1</v>
      </c>
      <c r="K30" t="n">
        <v>0</v>
      </c>
      <c r="L30" t="n">
        <v>0</v>
      </c>
      <c r="M30" t="n">
        <v>0</v>
      </c>
      <c r="N30" t="n">
        <v>0</v>
      </c>
      <c r="O30" t="n">
        <v>1</v>
      </c>
      <c r="P30" t="n">
        <v>0</v>
      </c>
      <c r="Q30" t="n">
        <v>1</v>
      </c>
      <c r="R30" s="2" t="inlineStr">
        <is>
          <t>Entita</t>
        </is>
      </c>
      <c r="S30">
        <f>HYPERLINK("https://klasma.github.io/Logging_1293/artfynd/A 13894-2026 artfynd.xlsx", "A 13894-2026")</f>
        <v/>
      </c>
      <c r="T30">
        <f>HYPERLINK("https://klasma.github.io/Logging_1293/kartor/A 13894-2026 karta.png", "A 13894-2026")</f>
        <v/>
      </c>
      <c r="V30">
        <f>HYPERLINK("https://klasma.github.io/Logging_1293/klagomål/A 13894-2026 FSC-klagomål.docx", "A 13894-2026")</f>
        <v/>
      </c>
      <c r="W30">
        <f>HYPERLINK("https://klasma.github.io/Logging_1293/klagomålsmail/A 13894-2026 FSC-klagomål mail.docx", "A 13894-2026")</f>
        <v/>
      </c>
      <c r="X30">
        <f>HYPERLINK("https://klasma.github.io/Logging_1293/tillsyn/A 13894-2026 tillsynsbegäran.docx", "A 13894-2026")</f>
        <v/>
      </c>
      <c r="Y30">
        <f>HYPERLINK("https://klasma.github.io/Logging_1293/tillsynsmail/A 13894-2026 tillsynsbegäran mail.docx", "A 13894-2026")</f>
        <v/>
      </c>
      <c r="Z30">
        <f>HYPERLINK("https://klasma.github.io/Logging_1293/fåglar/A 13894-2026 prioriterade fågelarter.docx", "A 13894-2026")</f>
        <v/>
      </c>
    </row>
    <row r="31" ht="15" customHeight="1">
      <c r="A31" t="inlineStr">
        <is>
          <t>A 4619-2025</t>
        </is>
      </c>
      <c r="B31" s="1" t="n">
        <v>45687</v>
      </c>
      <c r="C31" s="1" t="n">
        <v>46165</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46165</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46165</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46165</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46602-2023</t>
        </is>
      </c>
      <c r="B35" s="1" t="n">
        <v>45194</v>
      </c>
      <c r="C35" s="1" t="n">
        <v>46165</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46165</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46165</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46165</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54523-2024</t>
        </is>
      </c>
      <c r="B39" s="1" t="n">
        <v>45617</v>
      </c>
      <c r="C39" s="1" t="n">
        <v>46165</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27390-2025</t>
        </is>
      </c>
      <c r="B40" s="1" t="n">
        <v>45812.67840277778</v>
      </c>
      <c r="C40" s="1" t="n">
        <v>46165</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Grönhjon</t>
        </is>
      </c>
      <c r="S40">
        <f>HYPERLINK("https://klasma.github.io/Logging_1293/artfynd/A 27390-2025 artfynd.xlsx", "A 27390-2025")</f>
        <v/>
      </c>
      <c r="T40">
        <f>HYPERLINK("https://klasma.github.io/Logging_1293/kartor/A 27390-2025 karta.png", "A 27390-2025")</f>
        <v/>
      </c>
      <c r="V40">
        <f>HYPERLINK("https://klasma.github.io/Logging_1293/klagomål/A 27390-2025 FSC-klagomål.docx", "A 27390-2025")</f>
        <v/>
      </c>
      <c r="W40">
        <f>HYPERLINK("https://klasma.github.io/Logging_1293/klagomålsmail/A 27390-2025 FSC-klagomål mail.docx", "A 27390-2025")</f>
        <v/>
      </c>
      <c r="X40">
        <f>HYPERLINK("https://klasma.github.io/Logging_1293/tillsyn/A 27390-2025 tillsynsbegäran.docx", "A 27390-2025")</f>
        <v/>
      </c>
      <c r="Y40">
        <f>HYPERLINK("https://klasma.github.io/Logging_1293/tillsynsmail/A 27390-2025 tillsynsbegäran mail.docx", "A 27390-2025")</f>
        <v/>
      </c>
    </row>
    <row r="41" ht="15" customHeight="1">
      <c r="A41" t="inlineStr">
        <is>
          <t>A 37457-2022</t>
        </is>
      </c>
      <c r="B41" s="1" t="n">
        <v>44809</v>
      </c>
      <c r="C41" s="1" t="n">
        <v>46165</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46165</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46165</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46165</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46165</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46165</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46165</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46165</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46165</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46165</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46165</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46165</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46165</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46165</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46165</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49324-2021</t>
        </is>
      </c>
      <c r="B56" s="1" t="n">
        <v>44454.55060185185</v>
      </c>
      <c r="C56" s="1" t="n">
        <v>46165</v>
      </c>
      <c r="D56" t="inlineStr">
        <is>
          <t>SKÅNE LÄN</t>
        </is>
      </c>
      <c r="E56" t="inlineStr">
        <is>
          <t>HÄSSLEHOLM</t>
        </is>
      </c>
      <c r="G56" t="n">
        <v>0.9</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46165</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35727-2022</t>
        </is>
      </c>
      <c r="B58" s="1" t="n">
        <v>44799.71708333334</v>
      </c>
      <c r="C58" s="1" t="n">
        <v>46165</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46165</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46165</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46165</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23962-2022</t>
        </is>
      </c>
      <c r="B62" s="1" t="n">
        <v>44722.70532407407</v>
      </c>
      <c r="C62" s="1" t="n">
        <v>46165</v>
      </c>
      <c r="D62" t="inlineStr">
        <is>
          <t>SKÅNE LÄN</t>
        </is>
      </c>
      <c r="E62" t="inlineStr">
        <is>
          <t>HÄSSLEHOLM</t>
        </is>
      </c>
      <c r="F62" t="inlineStr">
        <is>
          <t>Kyrkan</t>
        </is>
      </c>
      <c r="G62" t="n">
        <v>5.8</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46165</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46165</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56424-2021</t>
        </is>
      </c>
      <c r="B65" s="1" t="n">
        <v>44480</v>
      </c>
      <c r="C65" s="1" t="n">
        <v>46165</v>
      </c>
      <c r="D65" t="inlineStr">
        <is>
          <t>SKÅNE LÄN</t>
        </is>
      </c>
      <c r="E65" t="inlineStr">
        <is>
          <t>HÄSSLEHOLM</t>
        </is>
      </c>
      <c r="F65" t="inlineStr">
        <is>
          <t>Kyrkan</t>
        </is>
      </c>
      <c r="G65" t="n">
        <v>3.4</v>
      </c>
      <c r="H65" t="n">
        <v>0</v>
      </c>
      <c r="I65" t="n">
        <v>0</v>
      </c>
      <c r="J65" t="n">
        <v>0</v>
      </c>
      <c r="K65" t="n">
        <v>0</v>
      </c>
      <c r="L65" t="n">
        <v>0</v>
      </c>
      <c r="M65" t="n">
        <v>0</v>
      </c>
      <c r="N65" t="n">
        <v>0</v>
      </c>
      <c r="O65" t="n">
        <v>0</v>
      </c>
      <c r="P65" t="n">
        <v>0</v>
      </c>
      <c r="Q65" t="n">
        <v>0</v>
      </c>
      <c r="R65" s="2" t="inlineStr"/>
    </row>
    <row r="66" ht="15" customHeight="1">
      <c r="A66" t="inlineStr">
        <is>
          <t>A 58566-2021</t>
        </is>
      </c>
      <c r="B66" s="1" t="n">
        <v>44488.85538194444</v>
      </c>
      <c r="C66" s="1" t="n">
        <v>46165</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58564-2021</t>
        </is>
      </c>
      <c r="B67" s="1" t="n">
        <v>44488.84940972222</v>
      </c>
      <c r="C67" s="1" t="n">
        <v>46165</v>
      </c>
      <c r="D67" t="inlineStr">
        <is>
          <t>SKÅNE LÄN</t>
        </is>
      </c>
      <c r="E67" t="inlineStr">
        <is>
          <t>HÄSSLEHOLM</t>
        </is>
      </c>
      <c r="G67" t="n">
        <v>1.5</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46165</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46165</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46165</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46165</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46165</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54106-2022</t>
        </is>
      </c>
      <c r="B73" s="1" t="n">
        <v>44879</v>
      </c>
      <c r="C73" s="1" t="n">
        <v>46165</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46165</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50618-2021</t>
        </is>
      </c>
      <c r="B75" s="1" t="n">
        <v>44459</v>
      </c>
      <c r="C75" s="1" t="n">
        <v>46165</v>
      </c>
      <c r="D75" t="inlineStr">
        <is>
          <t>SKÅNE LÄN</t>
        </is>
      </c>
      <c r="E75" t="inlineStr">
        <is>
          <t>HÄSSLEHOLM</t>
        </is>
      </c>
      <c r="F75" t="inlineStr">
        <is>
          <t>Kyrkan</t>
        </is>
      </c>
      <c r="G75" t="n">
        <v>15.1</v>
      </c>
      <c r="H75" t="n">
        <v>0</v>
      </c>
      <c r="I75" t="n">
        <v>0</v>
      </c>
      <c r="J75" t="n">
        <v>0</v>
      </c>
      <c r="K75" t="n">
        <v>0</v>
      </c>
      <c r="L75" t="n">
        <v>0</v>
      </c>
      <c r="M75" t="n">
        <v>0</v>
      </c>
      <c r="N75" t="n">
        <v>0</v>
      </c>
      <c r="O75" t="n">
        <v>0</v>
      </c>
      <c r="P75" t="n">
        <v>0</v>
      </c>
      <c r="Q75" t="n">
        <v>0</v>
      </c>
      <c r="R75" s="2" t="inlineStr"/>
    </row>
    <row r="76" ht="15" customHeight="1">
      <c r="A76" t="inlineStr">
        <is>
          <t>A 69419-2021</t>
        </is>
      </c>
      <c r="B76" s="1" t="n">
        <v>44531</v>
      </c>
      <c r="C76" s="1" t="n">
        <v>46165</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26387-2022</t>
        </is>
      </c>
      <c r="B77" s="1" t="n">
        <v>44735.68328703703</v>
      </c>
      <c r="C77" s="1" t="n">
        <v>46165</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25379-2021</t>
        </is>
      </c>
      <c r="B78" s="1" t="n">
        <v>44342</v>
      </c>
      <c r="C78" s="1" t="n">
        <v>46165</v>
      </c>
      <c r="D78" t="inlineStr">
        <is>
          <t>SKÅNE LÄN</t>
        </is>
      </c>
      <c r="E78" t="inlineStr">
        <is>
          <t>HÄSSLEHOLM</t>
        </is>
      </c>
      <c r="G78" t="n">
        <v>0.5</v>
      </c>
      <c r="H78" t="n">
        <v>0</v>
      </c>
      <c r="I78" t="n">
        <v>0</v>
      </c>
      <c r="J78" t="n">
        <v>0</v>
      </c>
      <c r="K78" t="n">
        <v>0</v>
      </c>
      <c r="L78" t="n">
        <v>0</v>
      </c>
      <c r="M78" t="n">
        <v>0</v>
      </c>
      <c r="N78" t="n">
        <v>0</v>
      </c>
      <c r="O78" t="n">
        <v>0</v>
      </c>
      <c r="P78" t="n">
        <v>0</v>
      </c>
      <c r="Q78" t="n">
        <v>0</v>
      </c>
      <c r="R78" s="2" t="inlineStr"/>
    </row>
    <row r="79" ht="15" customHeight="1">
      <c r="A79" t="inlineStr">
        <is>
          <t>A 40764-2022</t>
        </is>
      </c>
      <c r="B79" s="1" t="n">
        <v>44820</v>
      </c>
      <c r="C79" s="1" t="n">
        <v>46165</v>
      </c>
      <c r="D79" t="inlineStr">
        <is>
          <t>SKÅNE LÄN</t>
        </is>
      </c>
      <c r="E79" t="inlineStr">
        <is>
          <t>HÄSSLEHOLM</t>
        </is>
      </c>
      <c r="G79" t="n">
        <v>0.3</v>
      </c>
      <c r="H79" t="n">
        <v>0</v>
      </c>
      <c r="I79" t="n">
        <v>0</v>
      </c>
      <c r="J79" t="n">
        <v>0</v>
      </c>
      <c r="K79" t="n">
        <v>0</v>
      </c>
      <c r="L79" t="n">
        <v>0</v>
      </c>
      <c r="M79" t="n">
        <v>0</v>
      </c>
      <c r="N79" t="n">
        <v>0</v>
      </c>
      <c r="O79" t="n">
        <v>0</v>
      </c>
      <c r="P79" t="n">
        <v>0</v>
      </c>
      <c r="Q79" t="n">
        <v>0</v>
      </c>
      <c r="R79" s="2" t="inlineStr"/>
    </row>
    <row r="80" ht="15" customHeight="1">
      <c r="A80" t="inlineStr">
        <is>
          <t>A 30992-2021</t>
        </is>
      </c>
      <c r="B80" s="1" t="n">
        <v>44366.36262731482</v>
      </c>
      <c r="C80" s="1" t="n">
        <v>46165</v>
      </c>
      <c r="D80" t="inlineStr">
        <is>
          <t>SKÅNE LÄN</t>
        </is>
      </c>
      <c r="E80" t="inlineStr">
        <is>
          <t>HÄSSLEHOLM</t>
        </is>
      </c>
      <c r="G80" t="n">
        <v>3.1</v>
      </c>
      <c r="H80" t="n">
        <v>0</v>
      </c>
      <c r="I80" t="n">
        <v>0</v>
      </c>
      <c r="J80" t="n">
        <v>0</v>
      </c>
      <c r="K80" t="n">
        <v>0</v>
      </c>
      <c r="L80" t="n">
        <v>0</v>
      </c>
      <c r="M80" t="n">
        <v>0</v>
      </c>
      <c r="N80" t="n">
        <v>0</v>
      </c>
      <c r="O80" t="n">
        <v>0</v>
      </c>
      <c r="P80" t="n">
        <v>0</v>
      </c>
      <c r="Q80" t="n">
        <v>0</v>
      </c>
      <c r="R80" s="2" t="inlineStr"/>
    </row>
    <row r="81" ht="15" customHeight="1">
      <c r="A81" t="inlineStr">
        <is>
          <t>A 38160-2021</t>
        </is>
      </c>
      <c r="B81" s="1" t="n">
        <v>44405.42719907407</v>
      </c>
      <c r="C81" s="1" t="n">
        <v>46165</v>
      </c>
      <c r="D81" t="inlineStr">
        <is>
          <t>SKÅNE LÄN</t>
        </is>
      </c>
      <c r="E81" t="inlineStr">
        <is>
          <t>HÄSSLEHOLM</t>
        </is>
      </c>
      <c r="G81" t="n">
        <v>2.2</v>
      </c>
      <c r="H81" t="n">
        <v>0</v>
      </c>
      <c r="I81" t="n">
        <v>0</v>
      </c>
      <c r="J81" t="n">
        <v>0</v>
      </c>
      <c r="K81" t="n">
        <v>0</v>
      </c>
      <c r="L81" t="n">
        <v>0</v>
      </c>
      <c r="M81" t="n">
        <v>0</v>
      </c>
      <c r="N81" t="n">
        <v>0</v>
      </c>
      <c r="O81" t="n">
        <v>0</v>
      </c>
      <c r="P81" t="n">
        <v>0</v>
      </c>
      <c r="Q81" t="n">
        <v>0</v>
      </c>
      <c r="R81" s="2" t="inlineStr"/>
    </row>
    <row r="82" ht="15" customHeight="1">
      <c r="A82" t="inlineStr">
        <is>
          <t>A 44755-2021</t>
        </is>
      </c>
      <c r="B82" s="1" t="n">
        <v>44438</v>
      </c>
      <c r="C82" s="1" t="n">
        <v>46165</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44770-2021</t>
        </is>
      </c>
      <c r="B83" s="1" t="n">
        <v>44438</v>
      </c>
      <c r="C83" s="1" t="n">
        <v>46165</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61073-2021</t>
        </is>
      </c>
      <c r="B84" s="1" t="n">
        <v>44497.83447916667</v>
      </c>
      <c r="C84" s="1" t="n">
        <v>46165</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2765-2022</t>
        </is>
      </c>
      <c r="B85" s="1" t="n">
        <v>44580</v>
      </c>
      <c r="C85" s="1" t="n">
        <v>46165</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37181-2022</t>
        </is>
      </c>
      <c r="B86" s="1" t="n">
        <v>44806</v>
      </c>
      <c r="C86" s="1" t="n">
        <v>46165</v>
      </c>
      <c r="D86" t="inlineStr">
        <is>
          <t>SKÅNE LÄN</t>
        </is>
      </c>
      <c r="E86" t="inlineStr">
        <is>
          <t>HÄSSLEHOLM</t>
        </is>
      </c>
      <c r="F86" t="inlineStr">
        <is>
          <t>Kyrkan</t>
        </is>
      </c>
      <c r="G86" t="n">
        <v>3.5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46165</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7857-2022</t>
        </is>
      </c>
      <c r="B88" s="1" t="n">
        <v>44607</v>
      </c>
      <c r="C88" s="1" t="n">
        <v>46165</v>
      </c>
      <c r="D88" t="inlineStr">
        <is>
          <t>SKÅNE LÄN</t>
        </is>
      </c>
      <c r="E88" t="inlineStr">
        <is>
          <t>HÄSSLEHOLM</t>
        </is>
      </c>
      <c r="F88" t="inlineStr">
        <is>
          <t>Kyrkan</t>
        </is>
      </c>
      <c r="G88" t="n">
        <v>12.2</v>
      </c>
      <c r="H88" t="n">
        <v>0</v>
      </c>
      <c r="I88" t="n">
        <v>0</v>
      </c>
      <c r="J88" t="n">
        <v>0</v>
      </c>
      <c r="K88" t="n">
        <v>0</v>
      </c>
      <c r="L88" t="n">
        <v>0</v>
      </c>
      <c r="M88" t="n">
        <v>0</v>
      </c>
      <c r="N88" t="n">
        <v>0</v>
      </c>
      <c r="O88" t="n">
        <v>0</v>
      </c>
      <c r="P88" t="n">
        <v>0</v>
      </c>
      <c r="Q88" t="n">
        <v>0</v>
      </c>
      <c r="R88" s="2" t="inlineStr"/>
    </row>
    <row r="89" ht="15" customHeight="1">
      <c r="A89" t="inlineStr">
        <is>
          <t>A 61072-2021</t>
        </is>
      </c>
      <c r="B89" s="1" t="n">
        <v>44497.83344907407</v>
      </c>
      <c r="C89" s="1" t="n">
        <v>46165</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34982-2022</t>
        </is>
      </c>
      <c r="B90" s="1" t="n">
        <v>44796.69055555556</v>
      </c>
      <c r="C90" s="1" t="n">
        <v>46165</v>
      </c>
      <c r="D90" t="inlineStr">
        <is>
          <t>SKÅNE LÄN</t>
        </is>
      </c>
      <c r="E90" t="inlineStr">
        <is>
          <t>HÄSSLEHOLM</t>
        </is>
      </c>
      <c r="F90" t="inlineStr">
        <is>
          <t>Kyrkan</t>
        </is>
      </c>
      <c r="G90" t="n">
        <v>3.4</v>
      </c>
      <c r="H90" t="n">
        <v>0</v>
      </c>
      <c r="I90" t="n">
        <v>0</v>
      </c>
      <c r="J90" t="n">
        <v>0</v>
      </c>
      <c r="K90" t="n">
        <v>0</v>
      </c>
      <c r="L90" t="n">
        <v>0</v>
      </c>
      <c r="M90" t="n">
        <v>0</v>
      </c>
      <c r="N90" t="n">
        <v>0</v>
      </c>
      <c r="O90" t="n">
        <v>0</v>
      </c>
      <c r="P90" t="n">
        <v>0</v>
      </c>
      <c r="Q90" t="n">
        <v>0</v>
      </c>
      <c r="R90" s="2" t="inlineStr"/>
    </row>
    <row r="91" ht="15" customHeight="1">
      <c r="A91" t="inlineStr">
        <is>
          <t>A 37170-2022</t>
        </is>
      </c>
      <c r="B91" s="1" t="n">
        <v>44806.61038194445</v>
      </c>
      <c r="C91" s="1" t="n">
        <v>46165</v>
      </c>
      <c r="D91" t="inlineStr">
        <is>
          <t>SKÅNE LÄN</t>
        </is>
      </c>
      <c r="E91" t="inlineStr">
        <is>
          <t>HÄSSLEHOLM</t>
        </is>
      </c>
      <c r="F91" t="inlineStr">
        <is>
          <t>Kyrkan</t>
        </is>
      </c>
      <c r="G91" t="n">
        <v>4.5</v>
      </c>
      <c r="H91" t="n">
        <v>0</v>
      </c>
      <c r="I91" t="n">
        <v>0</v>
      </c>
      <c r="J91" t="n">
        <v>0</v>
      </c>
      <c r="K91" t="n">
        <v>0</v>
      </c>
      <c r="L91" t="n">
        <v>0</v>
      </c>
      <c r="M91" t="n">
        <v>0</v>
      </c>
      <c r="N91" t="n">
        <v>0</v>
      </c>
      <c r="O91" t="n">
        <v>0</v>
      </c>
      <c r="P91" t="n">
        <v>0</v>
      </c>
      <c r="Q91" t="n">
        <v>0</v>
      </c>
      <c r="R91" s="2" t="inlineStr"/>
    </row>
    <row r="92" ht="15" customHeight="1">
      <c r="A92" t="inlineStr">
        <is>
          <t>A 55425-2022</t>
        </is>
      </c>
      <c r="B92" s="1" t="n">
        <v>44887.60577546297</v>
      </c>
      <c r="C92" s="1" t="n">
        <v>46165</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9292-2022</t>
        </is>
      </c>
      <c r="B93" s="1" t="n">
        <v>44616</v>
      </c>
      <c r="C93" s="1" t="n">
        <v>46165</v>
      </c>
      <c r="D93" t="inlineStr">
        <is>
          <t>SKÅNE LÄN</t>
        </is>
      </c>
      <c r="E93" t="inlineStr">
        <is>
          <t>HÄSSLEHOLM</t>
        </is>
      </c>
      <c r="G93" t="n">
        <v>1.6</v>
      </c>
      <c r="H93" t="n">
        <v>0</v>
      </c>
      <c r="I93" t="n">
        <v>0</v>
      </c>
      <c r="J93" t="n">
        <v>0</v>
      </c>
      <c r="K93" t="n">
        <v>0</v>
      </c>
      <c r="L93" t="n">
        <v>0</v>
      </c>
      <c r="M93" t="n">
        <v>0</v>
      </c>
      <c r="N93" t="n">
        <v>0</v>
      </c>
      <c r="O93" t="n">
        <v>0</v>
      </c>
      <c r="P93" t="n">
        <v>0</v>
      </c>
      <c r="Q93" t="n">
        <v>0</v>
      </c>
      <c r="R93" s="2" t="inlineStr"/>
    </row>
    <row r="94" ht="15" customHeight="1">
      <c r="A94" t="inlineStr">
        <is>
          <t>A 3277-2022</t>
        </is>
      </c>
      <c r="B94" s="1" t="n">
        <v>44584.41274305555</v>
      </c>
      <c r="C94" s="1" t="n">
        <v>46165</v>
      </c>
      <c r="D94" t="inlineStr">
        <is>
          <t>SKÅNE LÄN</t>
        </is>
      </c>
      <c r="E94" t="inlineStr">
        <is>
          <t>HÄSSLEHOLM</t>
        </is>
      </c>
      <c r="G94" t="n">
        <v>0.2</v>
      </c>
      <c r="H94" t="n">
        <v>0</v>
      </c>
      <c r="I94" t="n">
        <v>0</v>
      </c>
      <c r="J94" t="n">
        <v>0</v>
      </c>
      <c r="K94" t="n">
        <v>0</v>
      </c>
      <c r="L94" t="n">
        <v>0</v>
      </c>
      <c r="M94" t="n">
        <v>0</v>
      </c>
      <c r="N94" t="n">
        <v>0</v>
      </c>
      <c r="O94" t="n">
        <v>0</v>
      </c>
      <c r="P94" t="n">
        <v>0</v>
      </c>
      <c r="Q94" t="n">
        <v>0</v>
      </c>
      <c r="R94" s="2" t="inlineStr"/>
    </row>
    <row r="95" ht="15" customHeight="1">
      <c r="A95" t="inlineStr">
        <is>
          <t>A 4156-2022</t>
        </is>
      </c>
      <c r="B95" s="1" t="n">
        <v>44588</v>
      </c>
      <c r="C95" s="1" t="n">
        <v>46165</v>
      </c>
      <c r="D95" t="inlineStr">
        <is>
          <t>SKÅNE LÄN</t>
        </is>
      </c>
      <c r="E95" t="inlineStr">
        <is>
          <t>HÄSSLEHOLM</t>
        </is>
      </c>
      <c r="G95" t="n">
        <v>0.8</v>
      </c>
      <c r="H95" t="n">
        <v>0</v>
      </c>
      <c r="I95" t="n">
        <v>0</v>
      </c>
      <c r="J95" t="n">
        <v>0</v>
      </c>
      <c r="K95" t="n">
        <v>0</v>
      </c>
      <c r="L95" t="n">
        <v>0</v>
      </c>
      <c r="M95" t="n">
        <v>0</v>
      </c>
      <c r="N95" t="n">
        <v>0</v>
      </c>
      <c r="O95" t="n">
        <v>0</v>
      </c>
      <c r="P95" t="n">
        <v>0</v>
      </c>
      <c r="Q95" t="n">
        <v>0</v>
      </c>
      <c r="R95" s="2" t="inlineStr"/>
    </row>
    <row r="96" ht="15" customHeight="1">
      <c r="A96" t="inlineStr">
        <is>
          <t>A 41581-2021</t>
        </is>
      </c>
      <c r="B96" s="1" t="n">
        <v>44425.40167824074</v>
      </c>
      <c r="C96" s="1" t="n">
        <v>46165</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44328-2021</t>
        </is>
      </c>
      <c r="B97" s="1" t="n">
        <v>44435</v>
      </c>
      <c r="C97" s="1" t="n">
        <v>46165</v>
      </c>
      <c r="D97" t="inlineStr">
        <is>
          <t>SKÅNE LÄN</t>
        </is>
      </c>
      <c r="E97" t="inlineStr">
        <is>
          <t>HÄSSLEHOLM</t>
        </is>
      </c>
      <c r="G97" t="n">
        <v>2.7</v>
      </c>
      <c r="H97" t="n">
        <v>0</v>
      </c>
      <c r="I97" t="n">
        <v>0</v>
      </c>
      <c r="J97" t="n">
        <v>0</v>
      </c>
      <c r="K97" t="n">
        <v>0</v>
      </c>
      <c r="L97" t="n">
        <v>0</v>
      </c>
      <c r="M97" t="n">
        <v>0</v>
      </c>
      <c r="N97" t="n">
        <v>0</v>
      </c>
      <c r="O97" t="n">
        <v>0</v>
      </c>
      <c r="P97" t="n">
        <v>0</v>
      </c>
      <c r="Q97" t="n">
        <v>0</v>
      </c>
      <c r="R97" s="2" t="inlineStr"/>
    </row>
    <row r="98" ht="15" customHeight="1">
      <c r="A98" t="inlineStr">
        <is>
          <t>A 34684-2021</t>
        </is>
      </c>
      <c r="B98" s="1" t="n">
        <v>44382</v>
      </c>
      <c r="C98" s="1" t="n">
        <v>46165</v>
      </c>
      <c r="D98" t="inlineStr">
        <is>
          <t>SKÅNE LÄN</t>
        </is>
      </c>
      <c r="E98" t="inlineStr">
        <is>
          <t>HÄSSLEHOLM</t>
        </is>
      </c>
      <c r="F98" t="inlineStr">
        <is>
          <t>Övriga Aktiebolag</t>
        </is>
      </c>
      <c r="G98" t="n">
        <v>0.9</v>
      </c>
      <c r="H98" t="n">
        <v>0</v>
      </c>
      <c r="I98" t="n">
        <v>0</v>
      </c>
      <c r="J98" t="n">
        <v>0</v>
      </c>
      <c r="K98" t="n">
        <v>0</v>
      </c>
      <c r="L98" t="n">
        <v>0</v>
      </c>
      <c r="M98" t="n">
        <v>0</v>
      </c>
      <c r="N98" t="n">
        <v>0</v>
      </c>
      <c r="O98" t="n">
        <v>0</v>
      </c>
      <c r="P98" t="n">
        <v>0</v>
      </c>
      <c r="Q98" t="n">
        <v>0</v>
      </c>
      <c r="R98" s="2" t="inlineStr"/>
    </row>
    <row r="99" ht="15" customHeight="1">
      <c r="A99" t="inlineStr">
        <is>
          <t>A 74293-2021</t>
        </is>
      </c>
      <c r="B99" s="1" t="n">
        <v>44558</v>
      </c>
      <c r="C99" s="1" t="n">
        <v>46165</v>
      </c>
      <c r="D99" t="inlineStr">
        <is>
          <t>SKÅNE LÄN</t>
        </is>
      </c>
      <c r="E99" t="inlineStr">
        <is>
          <t>HÄSSLEHOLM</t>
        </is>
      </c>
      <c r="F99" t="inlineStr">
        <is>
          <t>Kyrkan</t>
        </is>
      </c>
      <c r="G99" t="n">
        <v>3.3</v>
      </c>
      <c r="H99" t="n">
        <v>0</v>
      </c>
      <c r="I99" t="n">
        <v>0</v>
      </c>
      <c r="J99" t="n">
        <v>0</v>
      </c>
      <c r="K99" t="n">
        <v>0</v>
      </c>
      <c r="L99" t="n">
        <v>0</v>
      </c>
      <c r="M99" t="n">
        <v>0</v>
      </c>
      <c r="N99" t="n">
        <v>0</v>
      </c>
      <c r="O99" t="n">
        <v>0</v>
      </c>
      <c r="P99" t="n">
        <v>0</v>
      </c>
      <c r="Q99" t="n">
        <v>0</v>
      </c>
      <c r="R99" s="2" t="inlineStr"/>
    </row>
    <row r="100" ht="15" customHeight="1">
      <c r="A100" t="inlineStr">
        <is>
          <t>A 46217-2022</t>
        </is>
      </c>
      <c r="B100" s="1" t="n">
        <v>44846</v>
      </c>
      <c r="C100" s="1" t="n">
        <v>46165</v>
      </c>
      <c r="D100" t="inlineStr">
        <is>
          <t>SKÅNE LÄN</t>
        </is>
      </c>
      <c r="E100" t="inlineStr">
        <is>
          <t>HÄSSLEHOLM</t>
        </is>
      </c>
      <c r="G100" t="n">
        <v>3.1</v>
      </c>
      <c r="H100" t="n">
        <v>0</v>
      </c>
      <c r="I100" t="n">
        <v>0</v>
      </c>
      <c r="J100" t="n">
        <v>0</v>
      </c>
      <c r="K100" t="n">
        <v>0</v>
      </c>
      <c r="L100" t="n">
        <v>0</v>
      </c>
      <c r="M100" t="n">
        <v>0</v>
      </c>
      <c r="N100" t="n">
        <v>0</v>
      </c>
      <c r="O100" t="n">
        <v>0</v>
      </c>
      <c r="P100" t="n">
        <v>0</v>
      </c>
      <c r="Q100" t="n">
        <v>0</v>
      </c>
      <c r="R100" s="2" t="inlineStr"/>
    </row>
    <row r="101" ht="15" customHeight="1">
      <c r="A101" t="inlineStr">
        <is>
          <t>A 45349-2022</t>
        </is>
      </c>
      <c r="B101" s="1" t="n">
        <v>44844.6118287037</v>
      </c>
      <c r="C101" s="1" t="n">
        <v>46165</v>
      </c>
      <c r="D101" t="inlineStr">
        <is>
          <t>SKÅNE LÄN</t>
        </is>
      </c>
      <c r="E101" t="inlineStr">
        <is>
          <t>HÄSSLEHOLM</t>
        </is>
      </c>
      <c r="G101" t="n">
        <v>6.2</v>
      </c>
      <c r="H101" t="n">
        <v>0</v>
      </c>
      <c r="I101" t="n">
        <v>0</v>
      </c>
      <c r="J101" t="n">
        <v>0</v>
      </c>
      <c r="K101" t="n">
        <v>0</v>
      </c>
      <c r="L101" t="n">
        <v>0</v>
      </c>
      <c r="M101" t="n">
        <v>0</v>
      </c>
      <c r="N101" t="n">
        <v>0</v>
      </c>
      <c r="O101" t="n">
        <v>0</v>
      </c>
      <c r="P101" t="n">
        <v>0</v>
      </c>
      <c r="Q101" t="n">
        <v>0</v>
      </c>
      <c r="R101" s="2" t="inlineStr"/>
    </row>
    <row r="102" ht="15" customHeight="1">
      <c r="A102" t="inlineStr">
        <is>
          <t>A 15118-2022</t>
        </is>
      </c>
      <c r="B102" s="1" t="n">
        <v>44659</v>
      </c>
      <c r="C102" s="1" t="n">
        <v>46165</v>
      </c>
      <c r="D102" t="inlineStr">
        <is>
          <t>SKÅNE LÄN</t>
        </is>
      </c>
      <c r="E102" t="inlineStr">
        <is>
          <t>HÄSSLEHOLM</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43639-2021</t>
        </is>
      </c>
      <c r="B103" s="1" t="n">
        <v>44433</v>
      </c>
      <c r="C103" s="1" t="n">
        <v>46165</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3276-2022</t>
        </is>
      </c>
      <c r="B104" s="1" t="n">
        <v>44584.40916666666</v>
      </c>
      <c r="C104" s="1" t="n">
        <v>46165</v>
      </c>
      <c r="D104" t="inlineStr">
        <is>
          <t>SKÅNE LÄN</t>
        </is>
      </c>
      <c r="E104" t="inlineStr">
        <is>
          <t>HÄSSLEHOLM</t>
        </is>
      </c>
      <c r="G104" t="n">
        <v>0.2</v>
      </c>
      <c r="H104" t="n">
        <v>0</v>
      </c>
      <c r="I104" t="n">
        <v>0</v>
      </c>
      <c r="J104" t="n">
        <v>0</v>
      </c>
      <c r="K104" t="n">
        <v>0</v>
      </c>
      <c r="L104" t="n">
        <v>0</v>
      </c>
      <c r="M104" t="n">
        <v>0</v>
      </c>
      <c r="N104" t="n">
        <v>0</v>
      </c>
      <c r="O104" t="n">
        <v>0</v>
      </c>
      <c r="P104" t="n">
        <v>0</v>
      </c>
      <c r="Q104" t="n">
        <v>0</v>
      </c>
      <c r="R104" s="2" t="inlineStr"/>
    </row>
    <row r="105" ht="15" customHeight="1">
      <c r="A105" t="inlineStr">
        <is>
          <t>A 63972-2021</t>
        </is>
      </c>
      <c r="B105" s="1" t="n">
        <v>44509.89649305555</v>
      </c>
      <c r="C105" s="1" t="n">
        <v>46165</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52461-2021</t>
        </is>
      </c>
      <c r="B106" s="1" t="n">
        <v>44466</v>
      </c>
      <c r="C106" s="1" t="n">
        <v>46165</v>
      </c>
      <c r="D106" t="inlineStr">
        <is>
          <t>SKÅNE LÄN</t>
        </is>
      </c>
      <c r="E106" t="inlineStr">
        <is>
          <t>HÄSSLEHOLM</t>
        </is>
      </c>
      <c r="G106" t="n">
        <v>2.7</v>
      </c>
      <c r="H106" t="n">
        <v>0</v>
      </c>
      <c r="I106" t="n">
        <v>0</v>
      </c>
      <c r="J106" t="n">
        <v>0</v>
      </c>
      <c r="K106" t="n">
        <v>0</v>
      </c>
      <c r="L106" t="n">
        <v>0</v>
      </c>
      <c r="M106" t="n">
        <v>0</v>
      </c>
      <c r="N106" t="n">
        <v>0</v>
      </c>
      <c r="O106" t="n">
        <v>0</v>
      </c>
      <c r="P106" t="n">
        <v>0</v>
      </c>
      <c r="Q106" t="n">
        <v>0</v>
      </c>
      <c r="R106" s="2" t="inlineStr"/>
    </row>
    <row r="107" ht="15" customHeight="1">
      <c r="A107" t="inlineStr">
        <is>
          <t>A 5564-2022</t>
        </is>
      </c>
      <c r="B107" s="1" t="n">
        <v>44595</v>
      </c>
      <c r="C107" s="1" t="n">
        <v>46165</v>
      </c>
      <c r="D107" t="inlineStr">
        <is>
          <t>SKÅNE LÄN</t>
        </is>
      </c>
      <c r="E107" t="inlineStr">
        <is>
          <t>HÄSSLEHOLM</t>
        </is>
      </c>
      <c r="G107" t="n">
        <v>0.3</v>
      </c>
      <c r="H107" t="n">
        <v>0</v>
      </c>
      <c r="I107" t="n">
        <v>0</v>
      </c>
      <c r="J107" t="n">
        <v>0</v>
      </c>
      <c r="K107" t="n">
        <v>0</v>
      </c>
      <c r="L107" t="n">
        <v>0</v>
      </c>
      <c r="M107" t="n">
        <v>0</v>
      </c>
      <c r="N107" t="n">
        <v>0</v>
      </c>
      <c r="O107" t="n">
        <v>0</v>
      </c>
      <c r="P107" t="n">
        <v>0</v>
      </c>
      <c r="Q107" t="n">
        <v>0</v>
      </c>
      <c r="R107" s="2" t="inlineStr"/>
    </row>
    <row r="108" ht="15" customHeight="1">
      <c r="A108" t="inlineStr">
        <is>
          <t>A 37334-2021</t>
        </is>
      </c>
      <c r="B108" s="1" t="n">
        <v>44397.57800925926</v>
      </c>
      <c r="C108" s="1" t="n">
        <v>46165</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34027-2021</t>
        </is>
      </c>
      <c r="B109" s="1" t="n">
        <v>44379</v>
      </c>
      <c r="C109" s="1" t="n">
        <v>46165</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32792-2021</t>
        </is>
      </c>
      <c r="B110" s="1" t="n">
        <v>44375</v>
      </c>
      <c r="C110" s="1" t="n">
        <v>46165</v>
      </c>
      <c r="D110" t="inlineStr">
        <is>
          <t>SKÅNE LÄN</t>
        </is>
      </c>
      <c r="E110" t="inlineStr">
        <is>
          <t>HÄSSLEHOLM</t>
        </is>
      </c>
      <c r="G110" t="n">
        <v>1</v>
      </c>
      <c r="H110" t="n">
        <v>0</v>
      </c>
      <c r="I110" t="n">
        <v>0</v>
      </c>
      <c r="J110" t="n">
        <v>0</v>
      </c>
      <c r="K110" t="n">
        <v>0</v>
      </c>
      <c r="L110" t="n">
        <v>0</v>
      </c>
      <c r="M110" t="n">
        <v>0</v>
      </c>
      <c r="N110" t="n">
        <v>0</v>
      </c>
      <c r="O110" t="n">
        <v>0</v>
      </c>
      <c r="P110" t="n">
        <v>0</v>
      </c>
      <c r="Q110" t="n">
        <v>0</v>
      </c>
      <c r="R110" s="2" t="inlineStr"/>
    </row>
    <row r="111" ht="15" customHeight="1">
      <c r="A111" t="inlineStr">
        <is>
          <t>A 3167-2022</t>
        </is>
      </c>
      <c r="B111" s="1" t="n">
        <v>44582</v>
      </c>
      <c r="C111" s="1" t="n">
        <v>46165</v>
      </c>
      <c r="D111" t="inlineStr">
        <is>
          <t>SKÅNE LÄN</t>
        </is>
      </c>
      <c r="E111" t="inlineStr">
        <is>
          <t>HÄSSLEHOLM</t>
        </is>
      </c>
      <c r="F111" t="inlineStr">
        <is>
          <t>Kommuner</t>
        </is>
      </c>
      <c r="G111" t="n">
        <v>1.5</v>
      </c>
      <c r="H111" t="n">
        <v>0</v>
      </c>
      <c r="I111" t="n">
        <v>0</v>
      </c>
      <c r="J111" t="n">
        <v>0</v>
      </c>
      <c r="K111" t="n">
        <v>0</v>
      </c>
      <c r="L111" t="n">
        <v>0</v>
      </c>
      <c r="M111" t="n">
        <v>0</v>
      </c>
      <c r="N111" t="n">
        <v>0</v>
      </c>
      <c r="O111" t="n">
        <v>0</v>
      </c>
      <c r="P111" t="n">
        <v>0</v>
      </c>
      <c r="Q111" t="n">
        <v>0</v>
      </c>
      <c r="R111" s="2" t="inlineStr"/>
    </row>
    <row r="112" ht="15" customHeight="1">
      <c r="A112" t="inlineStr">
        <is>
          <t>A 33736-2021</t>
        </is>
      </c>
      <c r="B112" s="1" t="n">
        <v>44378</v>
      </c>
      <c r="C112" s="1" t="n">
        <v>46165</v>
      </c>
      <c r="D112" t="inlineStr">
        <is>
          <t>SKÅNE LÄN</t>
        </is>
      </c>
      <c r="E112" t="inlineStr">
        <is>
          <t>HÄSSLEHOLM</t>
        </is>
      </c>
      <c r="G112" t="n">
        <v>7.6</v>
      </c>
      <c r="H112" t="n">
        <v>0</v>
      </c>
      <c r="I112" t="n">
        <v>0</v>
      </c>
      <c r="J112" t="n">
        <v>0</v>
      </c>
      <c r="K112" t="n">
        <v>0</v>
      </c>
      <c r="L112" t="n">
        <v>0</v>
      </c>
      <c r="M112" t="n">
        <v>0</v>
      </c>
      <c r="N112" t="n">
        <v>0</v>
      </c>
      <c r="O112" t="n">
        <v>0</v>
      </c>
      <c r="P112" t="n">
        <v>0</v>
      </c>
      <c r="Q112" t="n">
        <v>0</v>
      </c>
      <c r="R112" s="2" t="inlineStr"/>
    </row>
    <row r="113" ht="15" customHeight="1">
      <c r="A113" t="inlineStr">
        <is>
          <t>A 1535-2022</t>
        </is>
      </c>
      <c r="B113" s="1" t="n">
        <v>44573</v>
      </c>
      <c r="C113" s="1" t="n">
        <v>46165</v>
      </c>
      <c r="D113" t="inlineStr">
        <is>
          <t>SKÅNE LÄN</t>
        </is>
      </c>
      <c r="E113" t="inlineStr">
        <is>
          <t>HÄSSLEHOLM</t>
        </is>
      </c>
      <c r="G113" t="n">
        <v>15</v>
      </c>
      <c r="H113" t="n">
        <v>0</v>
      </c>
      <c r="I113" t="n">
        <v>0</v>
      </c>
      <c r="J113" t="n">
        <v>0</v>
      </c>
      <c r="K113" t="n">
        <v>0</v>
      </c>
      <c r="L113" t="n">
        <v>0</v>
      </c>
      <c r="M113" t="n">
        <v>0</v>
      </c>
      <c r="N113" t="n">
        <v>0</v>
      </c>
      <c r="O113" t="n">
        <v>0</v>
      </c>
      <c r="P113" t="n">
        <v>0</v>
      </c>
      <c r="Q113" t="n">
        <v>0</v>
      </c>
      <c r="R113" s="2" t="inlineStr"/>
    </row>
    <row r="114" ht="15" customHeight="1">
      <c r="A114" t="inlineStr">
        <is>
          <t>A 4161-2022</t>
        </is>
      </c>
      <c r="B114" s="1" t="n">
        <v>44588</v>
      </c>
      <c r="C114" s="1" t="n">
        <v>46165</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40702-2021</t>
        </is>
      </c>
      <c r="B115" s="1" t="n">
        <v>44420.61719907408</v>
      </c>
      <c r="C115" s="1" t="n">
        <v>46165</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34679-2021</t>
        </is>
      </c>
      <c r="B116" s="1" t="n">
        <v>44382</v>
      </c>
      <c r="C116" s="1" t="n">
        <v>46165</v>
      </c>
      <c r="D116" t="inlineStr">
        <is>
          <t>SKÅNE LÄN</t>
        </is>
      </c>
      <c r="E116" t="inlineStr">
        <is>
          <t>HÄSSLEHOLM</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64607-2021</t>
        </is>
      </c>
      <c r="B117" s="1" t="n">
        <v>44511</v>
      </c>
      <c r="C117" s="1" t="n">
        <v>46165</v>
      </c>
      <c r="D117" t="inlineStr">
        <is>
          <t>SKÅNE LÄN</t>
        </is>
      </c>
      <c r="E117" t="inlineStr">
        <is>
          <t>HÄSSLEHOLM</t>
        </is>
      </c>
      <c r="G117" t="n">
        <v>1.5</v>
      </c>
      <c r="H117" t="n">
        <v>0</v>
      </c>
      <c r="I117" t="n">
        <v>0</v>
      </c>
      <c r="J117" t="n">
        <v>0</v>
      </c>
      <c r="K117" t="n">
        <v>0</v>
      </c>
      <c r="L117" t="n">
        <v>0</v>
      </c>
      <c r="M117" t="n">
        <v>0</v>
      </c>
      <c r="N117" t="n">
        <v>0</v>
      </c>
      <c r="O117" t="n">
        <v>0</v>
      </c>
      <c r="P117" t="n">
        <v>0</v>
      </c>
      <c r="Q117" t="n">
        <v>0</v>
      </c>
      <c r="R117" s="2" t="inlineStr"/>
    </row>
    <row r="118" ht="15" customHeight="1">
      <c r="A118" t="inlineStr">
        <is>
          <t>A 2631-2022</t>
        </is>
      </c>
      <c r="B118" s="1" t="n">
        <v>44580</v>
      </c>
      <c r="C118" s="1" t="n">
        <v>46165</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15423-2022</t>
        </is>
      </c>
      <c r="B119" s="1" t="n">
        <v>44659</v>
      </c>
      <c r="C119" s="1" t="n">
        <v>46165</v>
      </c>
      <c r="D119" t="inlineStr">
        <is>
          <t>SKÅNE LÄN</t>
        </is>
      </c>
      <c r="E119" t="inlineStr">
        <is>
          <t>HÄSSLEHOLM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25383-2021</t>
        </is>
      </c>
      <c r="B120" s="1" t="n">
        <v>44342</v>
      </c>
      <c r="C120" s="1" t="n">
        <v>46165</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27330-2021</t>
        </is>
      </c>
      <c r="B121" s="1" t="n">
        <v>44351</v>
      </c>
      <c r="C121" s="1" t="n">
        <v>46165</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56989-2021</t>
        </is>
      </c>
      <c r="B122" s="1" t="n">
        <v>44482</v>
      </c>
      <c r="C122" s="1" t="n">
        <v>46165</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51159-2021</t>
        </is>
      </c>
      <c r="B123" s="1" t="n">
        <v>44461</v>
      </c>
      <c r="C123" s="1" t="n">
        <v>46165</v>
      </c>
      <c r="D123" t="inlineStr">
        <is>
          <t>SKÅNE LÄN</t>
        </is>
      </c>
      <c r="E123" t="inlineStr">
        <is>
          <t>HÄSSLEHOLM</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354-2022</t>
        </is>
      </c>
      <c r="B124" s="1" t="n">
        <v>44565.62510416667</v>
      </c>
      <c r="C124" s="1" t="n">
        <v>46165</v>
      </c>
      <c r="D124" t="inlineStr">
        <is>
          <t>SKÅNE LÄN</t>
        </is>
      </c>
      <c r="E124" t="inlineStr">
        <is>
          <t>HÄSSLEHOLM</t>
        </is>
      </c>
      <c r="G124" t="n">
        <v>2.4</v>
      </c>
      <c r="H124" t="n">
        <v>0</v>
      </c>
      <c r="I124" t="n">
        <v>0</v>
      </c>
      <c r="J124" t="n">
        <v>0</v>
      </c>
      <c r="K124" t="n">
        <v>0</v>
      </c>
      <c r="L124" t="n">
        <v>0</v>
      </c>
      <c r="M124" t="n">
        <v>0</v>
      </c>
      <c r="N124" t="n">
        <v>0</v>
      </c>
      <c r="O124" t="n">
        <v>0</v>
      </c>
      <c r="P124" t="n">
        <v>0</v>
      </c>
      <c r="Q124" t="n">
        <v>0</v>
      </c>
      <c r="R124" s="2" t="inlineStr"/>
    </row>
    <row r="125" ht="15" customHeight="1">
      <c r="A125" t="inlineStr">
        <is>
          <t>A 32892-2021</t>
        </is>
      </c>
      <c r="B125" s="1" t="n">
        <v>44375</v>
      </c>
      <c r="C125" s="1" t="n">
        <v>46165</v>
      </c>
      <c r="D125" t="inlineStr">
        <is>
          <t>SKÅNE LÄN</t>
        </is>
      </c>
      <c r="E125" t="inlineStr">
        <is>
          <t>HÄSSLEHOLM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39102-2022</t>
        </is>
      </c>
      <c r="B126" s="1" t="n">
        <v>44817.43260416666</v>
      </c>
      <c r="C126" s="1" t="n">
        <v>46165</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47112-2021</t>
        </is>
      </c>
      <c r="B127" s="1" t="n">
        <v>44446</v>
      </c>
      <c r="C127" s="1" t="n">
        <v>46165</v>
      </c>
      <c r="D127" t="inlineStr">
        <is>
          <t>SKÅNE LÄN</t>
        </is>
      </c>
      <c r="E127" t="inlineStr">
        <is>
          <t>HÄSSLEHOLM</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6414-2022</t>
        </is>
      </c>
      <c r="B128" s="1" t="n">
        <v>44600</v>
      </c>
      <c r="C128" s="1" t="n">
        <v>46165</v>
      </c>
      <c r="D128" t="inlineStr">
        <is>
          <t>SKÅNE LÄN</t>
        </is>
      </c>
      <c r="E128" t="inlineStr">
        <is>
          <t>HÄSSLEHOLM</t>
        </is>
      </c>
      <c r="G128" t="n">
        <v>2.9</v>
      </c>
      <c r="H128" t="n">
        <v>0</v>
      </c>
      <c r="I128" t="n">
        <v>0</v>
      </c>
      <c r="J128" t="n">
        <v>0</v>
      </c>
      <c r="K128" t="n">
        <v>0</v>
      </c>
      <c r="L128" t="n">
        <v>0</v>
      </c>
      <c r="M128" t="n">
        <v>0</v>
      </c>
      <c r="N128" t="n">
        <v>0</v>
      </c>
      <c r="O128" t="n">
        <v>0</v>
      </c>
      <c r="P128" t="n">
        <v>0</v>
      </c>
      <c r="Q128" t="n">
        <v>0</v>
      </c>
      <c r="R128" s="2" t="inlineStr"/>
    </row>
    <row r="129" ht="15" customHeight="1">
      <c r="A129" t="inlineStr">
        <is>
          <t>A 56431-2021</t>
        </is>
      </c>
      <c r="B129" s="1" t="n">
        <v>44480</v>
      </c>
      <c r="C129" s="1" t="n">
        <v>46165</v>
      </c>
      <c r="D129" t="inlineStr">
        <is>
          <t>SKÅNE LÄN</t>
        </is>
      </c>
      <c r="E129" t="inlineStr">
        <is>
          <t>HÄSSLEHOLM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52567-2021</t>
        </is>
      </c>
      <c r="B130" s="1" t="n">
        <v>44466</v>
      </c>
      <c r="C130" s="1" t="n">
        <v>46165</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74297-2021</t>
        </is>
      </c>
      <c r="B131" s="1" t="n">
        <v>44558</v>
      </c>
      <c r="C131" s="1" t="n">
        <v>46165</v>
      </c>
      <c r="D131" t="inlineStr">
        <is>
          <t>SKÅNE LÄN</t>
        </is>
      </c>
      <c r="E131" t="inlineStr">
        <is>
          <t>HÄSSLEHOLM</t>
        </is>
      </c>
      <c r="F131" t="inlineStr">
        <is>
          <t>Kyrkan</t>
        </is>
      </c>
      <c r="G131" t="n">
        <v>3.8</v>
      </c>
      <c r="H131" t="n">
        <v>0</v>
      </c>
      <c r="I131" t="n">
        <v>0</v>
      </c>
      <c r="J131" t="n">
        <v>0</v>
      </c>
      <c r="K131" t="n">
        <v>0</v>
      </c>
      <c r="L131" t="n">
        <v>0</v>
      </c>
      <c r="M131" t="n">
        <v>0</v>
      </c>
      <c r="N131" t="n">
        <v>0</v>
      </c>
      <c r="O131" t="n">
        <v>0</v>
      </c>
      <c r="P131" t="n">
        <v>0</v>
      </c>
      <c r="Q131" t="n">
        <v>0</v>
      </c>
      <c r="R131" s="2" t="inlineStr"/>
    </row>
    <row r="132" ht="15" customHeight="1">
      <c r="A132" t="inlineStr">
        <is>
          <t>A 52295-2021</t>
        </is>
      </c>
      <c r="B132" s="1" t="n">
        <v>44463</v>
      </c>
      <c r="C132" s="1" t="n">
        <v>46165</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68909-2021</t>
        </is>
      </c>
      <c r="B133" s="1" t="n">
        <v>44530.46730324074</v>
      </c>
      <c r="C133" s="1" t="n">
        <v>46165</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5091-2022</t>
        </is>
      </c>
      <c r="B134" s="1" t="n">
        <v>44593.85114583333</v>
      </c>
      <c r="C134" s="1" t="n">
        <v>46165</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15986-2022</t>
        </is>
      </c>
      <c r="B135" s="1" t="n">
        <v>44664</v>
      </c>
      <c r="C135" s="1" t="n">
        <v>46165</v>
      </c>
      <c r="D135" t="inlineStr">
        <is>
          <t>SKÅNE LÄN</t>
        </is>
      </c>
      <c r="E135" t="inlineStr">
        <is>
          <t>HÄSSLEHOLM</t>
        </is>
      </c>
      <c r="F135" t="inlineStr">
        <is>
          <t>Kyrkan</t>
        </is>
      </c>
      <c r="G135" t="n">
        <v>6</v>
      </c>
      <c r="H135" t="n">
        <v>0</v>
      </c>
      <c r="I135" t="n">
        <v>0</v>
      </c>
      <c r="J135" t="n">
        <v>0</v>
      </c>
      <c r="K135" t="n">
        <v>0</v>
      </c>
      <c r="L135" t="n">
        <v>0</v>
      </c>
      <c r="M135" t="n">
        <v>0</v>
      </c>
      <c r="N135" t="n">
        <v>0</v>
      </c>
      <c r="O135" t="n">
        <v>0</v>
      </c>
      <c r="P135" t="n">
        <v>0</v>
      </c>
      <c r="Q135" t="n">
        <v>0</v>
      </c>
      <c r="R135" s="2" t="inlineStr"/>
    </row>
    <row r="136" ht="15" customHeight="1">
      <c r="A136" t="inlineStr">
        <is>
          <t>A 60260-2021</t>
        </is>
      </c>
      <c r="B136" s="1" t="n">
        <v>44495</v>
      </c>
      <c r="C136" s="1" t="n">
        <v>46165</v>
      </c>
      <c r="D136" t="inlineStr">
        <is>
          <t>SKÅNE LÄN</t>
        </is>
      </c>
      <c r="E136" t="inlineStr">
        <is>
          <t>HÄSSLEHOLM</t>
        </is>
      </c>
      <c r="G136" t="n">
        <v>2.1</v>
      </c>
      <c r="H136" t="n">
        <v>0</v>
      </c>
      <c r="I136" t="n">
        <v>0</v>
      </c>
      <c r="J136" t="n">
        <v>0</v>
      </c>
      <c r="K136" t="n">
        <v>0</v>
      </c>
      <c r="L136" t="n">
        <v>0</v>
      </c>
      <c r="M136" t="n">
        <v>0</v>
      </c>
      <c r="N136" t="n">
        <v>0</v>
      </c>
      <c r="O136" t="n">
        <v>0</v>
      </c>
      <c r="P136" t="n">
        <v>0</v>
      </c>
      <c r="Q136" t="n">
        <v>0</v>
      </c>
      <c r="R136" s="2" t="inlineStr"/>
    </row>
    <row r="137" ht="15" customHeight="1">
      <c r="A137" t="inlineStr">
        <is>
          <t>A 52786-2021</t>
        </is>
      </c>
      <c r="B137" s="1" t="n">
        <v>44467.36061342592</v>
      </c>
      <c r="C137" s="1" t="n">
        <v>46165</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51888-2021</t>
        </is>
      </c>
      <c r="B138" s="1" t="n">
        <v>44462</v>
      </c>
      <c r="C138" s="1" t="n">
        <v>46165</v>
      </c>
      <c r="D138" t="inlineStr">
        <is>
          <t>SKÅNE LÄN</t>
        </is>
      </c>
      <c r="E138" t="inlineStr">
        <is>
          <t>HÄSSLEHOLM</t>
        </is>
      </c>
      <c r="G138" t="n">
        <v>5.6</v>
      </c>
      <c r="H138" t="n">
        <v>0</v>
      </c>
      <c r="I138" t="n">
        <v>0</v>
      </c>
      <c r="J138" t="n">
        <v>0</v>
      </c>
      <c r="K138" t="n">
        <v>0</v>
      </c>
      <c r="L138" t="n">
        <v>0</v>
      </c>
      <c r="M138" t="n">
        <v>0</v>
      </c>
      <c r="N138" t="n">
        <v>0</v>
      </c>
      <c r="O138" t="n">
        <v>0</v>
      </c>
      <c r="P138" t="n">
        <v>0</v>
      </c>
      <c r="Q138" t="n">
        <v>0</v>
      </c>
      <c r="R138" s="2" t="inlineStr"/>
    </row>
    <row r="139" ht="15" customHeight="1">
      <c r="A139" t="inlineStr">
        <is>
          <t>A 29143-2021</t>
        </is>
      </c>
      <c r="B139" s="1" t="n">
        <v>44358.6319212963</v>
      </c>
      <c r="C139" s="1" t="n">
        <v>46165</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44669-2022</t>
        </is>
      </c>
      <c r="B140" s="1" t="n">
        <v>44840</v>
      </c>
      <c r="C140" s="1" t="n">
        <v>46165</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26386-2022</t>
        </is>
      </c>
      <c r="B141" s="1" t="n">
        <v>44735.6803125</v>
      </c>
      <c r="C141" s="1" t="n">
        <v>46165</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25469-2022</t>
        </is>
      </c>
      <c r="B142" s="1" t="n">
        <v>44732</v>
      </c>
      <c r="C142" s="1" t="n">
        <v>46165</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73513-2021</t>
        </is>
      </c>
      <c r="B143" s="1" t="n">
        <v>44551.69012731482</v>
      </c>
      <c r="C143" s="1" t="n">
        <v>46165</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27959-2022</t>
        </is>
      </c>
      <c r="B144" s="1" t="n">
        <v>44744</v>
      </c>
      <c r="C144" s="1" t="n">
        <v>46165</v>
      </c>
      <c r="D144" t="inlineStr">
        <is>
          <t>SKÅNE LÄN</t>
        </is>
      </c>
      <c r="E144" t="inlineStr">
        <is>
          <t>HÄSSLEHOLM</t>
        </is>
      </c>
      <c r="G144" t="n">
        <v>3</v>
      </c>
      <c r="H144" t="n">
        <v>0</v>
      </c>
      <c r="I144" t="n">
        <v>0</v>
      </c>
      <c r="J144" t="n">
        <v>0</v>
      </c>
      <c r="K144" t="n">
        <v>0</v>
      </c>
      <c r="L144" t="n">
        <v>0</v>
      </c>
      <c r="M144" t="n">
        <v>0</v>
      </c>
      <c r="N144" t="n">
        <v>0</v>
      </c>
      <c r="O144" t="n">
        <v>0</v>
      </c>
      <c r="P144" t="n">
        <v>0</v>
      </c>
      <c r="Q144" t="n">
        <v>0</v>
      </c>
      <c r="R144" s="2" t="inlineStr"/>
    </row>
    <row r="145" ht="15" customHeight="1">
      <c r="A145" t="inlineStr">
        <is>
          <t>A 2858-2022</t>
        </is>
      </c>
      <c r="B145" s="1" t="n">
        <v>44581</v>
      </c>
      <c r="C145" s="1" t="n">
        <v>46165</v>
      </c>
      <c r="D145" t="inlineStr">
        <is>
          <t>SKÅNE LÄN</t>
        </is>
      </c>
      <c r="E145" t="inlineStr">
        <is>
          <t>HÄSSLEHOLM</t>
        </is>
      </c>
      <c r="F145" t="inlineStr">
        <is>
          <t>Övriga Aktiebolag</t>
        </is>
      </c>
      <c r="G145" t="n">
        <v>1.3</v>
      </c>
      <c r="H145" t="n">
        <v>0</v>
      </c>
      <c r="I145" t="n">
        <v>0</v>
      </c>
      <c r="J145" t="n">
        <v>0</v>
      </c>
      <c r="K145" t="n">
        <v>0</v>
      </c>
      <c r="L145" t="n">
        <v>0</v>
      </c>
      <c r="M145" t="n">
        <v>0</v>
      </c>
      <c r="N145" t="n">
        <v>0</v>
      </c>
      <c r="O145" t="n">
        <v>0</v>
      </c>
      <c r="P145" t="n">
        <v>0</v>
      </c>
      <c r="Q145" t="n">
        <v>0</v>
      </c>
      <c r="R145" s="2" t="inlineStr"/>
    </row>
    <row r="146" ht="15" customHeight="1">
      <c r="A146" t="inlineStr">
        <is>
          <t>A 418-2022</t>
        </is>
      </c>
      <c r="B146" s="1" t="n">
        <v>44565.84958333334</v>
      </c>
      <c r="C146" s="1" t="n">
        <v>46165</v>
      </c>
      <c r="D146" t="inlineStr">
        <is>
          <t>SKÅNE LÄN</t>
        </is>
      </c>
      <c r="E146" t="inlineStr">
        <is>
          <t>HÄSSLEHOLM</t>
        </is>
      </c>
      <c r="G146" t="n">
        <v>0</v>
      </c>
      <c r="H146" t="n">
        <v>0</v>
      </c>
      <c r="I146" t="n">
        <v>0</v>
      </c>
      <c r="J146" t="n">
        <v>0</v>
      </c>
      <c r="K146" t="n">
        <v>0</v>
      </c>
      <c r="L146" t="n">
        <v>0</v>
      </c>
      <c r="M146" t="n">
        <v>0</v>
      </c>
      <c r="N146" t="n">
        <v>0</v>
      </c>
      <c r="O146" t="n">
        <v>0</v>
      </c>
      <c r="P146" t="n">
        <v>0</v>
      </c>
      <c r="Q146" t="n">
        <v>0</v>
      </c>
      <c r="R146" s="2" t="inlineStr"/>
    </row>
    <row r="147" ht="15" customHeight="1">
      <c r="A147" t="inlineStr">
        <is>
          <t>A 51893-2021</t>
        </is>
      </c>
      <c r="B147" s="1" t="n">
        <v>44462</v>
      </c>
      <c r="C147" s="1" t="n">
        <v>46165</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55394-2022</t>
        </is>
      </c>
      <c r="B148" s="1" t="n">
        <v>44887.57112268519</v>
      </c>
      <c r="C148" s="1" t="n">
        <v>46165</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45357-2022</t>
        </is>
      </c>
      <c r="B149" s="1" t="n">
        <v>44844.61952546296</v>
      </c>
      <c r="C149" s="1" t="n">
        <v>46165</v>
      </c>
      <c r="D149" t="inlineStr">
        <is>
          <t>SKÅNE LÄN</t>
        </is>
      </c>
      <c r="E149" t="inlineStr">
        <is>
          <t>HÄSSLEHOLM</t>
        </is>
      </c>
      <c r="G149" t="n">
        <v>5.8</v>
      </c>
      <c r="H149" t="n">
        <v>0</v>
      </c>
      <c r="I149" t="n">
        <v>0</v>
      </c>
      <c r="J149" t="n">
        <v>0</v>
      </c>
      <c r="K149" t="n">
        <v>0</v>
      </c>
      <c r="L149" t="n">
        <v>0</v>
      </c>
      <c r="M149" t="n">
        <v>0</v>
      </c>
      <c r="N149" t="n">
        <v>0</v>
      </c>
      <c r="O149" t="n">
        <v>0</v>
      </c>
      <c r="P149" t="n">
        <v>0</v>
      </c>
      <c r="Q149" t="n">
        <v>0</v>
      </c>
      <c r="R149" s="2" t="inlineStr"/>
    </row>
    <row r="150" ht="15" customHeight="1">
      <c r="A150" t="inlineStr">
        <is>
          <t>A 45989-2021</t>
        </is>
      </c>
      <c r="B150" s="1" t="n">
        <v>44441.74627314815</v>
      </c>
      <c r="C150" s="1" t="n">
        <v>46165</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7904-2022</t>
        </is>
      </c>
      <c r="B151" s="1" t="n">
        <v>44607</v>
      </c>
      <c r="C151" s="1" t="n">
        <v>46165</v>
      </c>
      <c r="D151" t="inlineStr">
        <is>
          <t>SKÅNE LÄN</t>
        </is>
      </c>
      <c r="E151" t="inlineStr">
        <is>
          <t>HÄSSLEHOLM</t>
        </is>
      </c>
      <c r="F151" t="inlineStr">
        <is>
          <t>Kyrkan</t>
        </is>
      </c>
      <c r="G151" t="n">
        <v>3.9</v>
      </c>
      <c r="H151" t="n">
        <v>0</v>
      </c>
      <c r="I151" t="n">
        <v>0</v>
      </c>
      <c r="J151" t="n">
        <v>0</v>
      </c>
      <c r="K151" t="n">
        <v>0</v>
      </c>
      <c r="L151" t="n">
        <v>0</v>
      </c>
      <c r="M151" t="n">
        <v>0</v>
      </c>
      <c r="N151" t="n">
        <v>0</v>
      </c>
      <c r="O151" t="n">
        <v>0</v>
      </c>
      <c r="P151" t="n">
        <v>0</v>
      </c>
      <c r="Q151" t="n">
        <v>0</v>
      </c>
      <c r="R151" s="2" t="inlineStr"/>
    </row>
    <row r="152" ht="15" customHeight="1">
      <c r="A152" t="inlineStr">
        <is>
          <t>A 51895-2021</t>
        </is>
      </c>
      <c r="B152" s="1" t="n">
        <v>44462</v>
      </c>
      <c r="C152" s="1" t="n">
        <v>46165</v>
      </c>
      <c r="D152" t="inlineStr">
        <is>
          <t>SKÅNE LÄN</t>
        </is>
      </c>
      <c r="E152" t="inlineStr">
        <is>
          <t>HÄSSLEHOLM</t>
        </is>
      </c>
      <c r="G152" t="n">
        <v>5.7</v>
      </c>
      <c r="H152" t="n">
        <v>0</v>
      </c>
      <c r="I152" t="n">
        <v>0</v>
      </c>
      <c r="J152" t="n">
        <v>0</v>
      </c>
      <c r="K152" t="n">
        <v>0</v>
      </c>
      <c r="L152" t="n">
        <v>0</v>
      </c>
      <c r="M152" t="n">
        <v>0</v>
      </c>
      <c r="N152" t="n">
        <v>0</v>
      </c>
      <c r="O152" t="n">
        <v>0</v>
      </c>
      <c r="P152" t="n">
        <v>0</v>
      </c>
      <c r="Q152" t="n">
        <v>0</v>
      </c>
      <c r="R152" s="2" t="inlineStr"/>
    </row>
    <row r="153" ht="15" customHeight="1">
      <c r="A153" t="inlineStr">
        <is>
          <t>A 7250-2022</t>
        </is>
      </c>
      <c r="B153" s="1" t="n">
        <v>44606</v>
      </c>
      <c r="C153" s="1" t="n">
        <v>46165</v>
      </c>
      <c r="D153" t="inlineStr">
        <is>
          <t>SKÅNE LÄN</t>
        </is>
      </c>
      <c r="E153" t="inlineStr">
        <is>
          <t>HÄSSLEHOLM</t>
        </is>
      </c>
      <c r="F153" t="inlineStr">
        <is>
          <t>Övriga Aktiebolag</t>
        </is>
      </c>
      <c r="G153" t="n">
        <v>2.6</v>
      </c>
      <c r="H153" t="n">
        <v>0</v>
      </c>
      <c r="I153" t="n">
        <v>0</v>
      </c>
      <c r="J153" t="n">
        <v>0</v>
      </c>
      <c r="K153" t="n">
        <v>0</v>
      </c>
      <c r="L153" t="n">
        <v>0</v>
      </c>
      <c r="M153" t="n">
        <v>0</v>
      </c>
      <c r="N153" t="n">
        <v>0</v>
      </c>
      <c r="O153" t="n">
        <v>0</v>
      </c>
      <c r="P153" t="n">
        <v>0</v>
      </c>
      <c r="Q153" t="n">
        <v>0</v>
      </c>
      <c r="R153" s="2" t="inlineStr"/>
    </row>
    <row r="154" ht="15" customHeight="1">
      <c r="A154" t="inlineStr">
        <is>
          <t>A 219-2022</t>
        </is>
      </c>
      <c r="B154" s="1" t="n">
        <v>44564</v>
      </c>
      <c r="C154" s="1" t="n">
        <v>46165</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6048-2022</t>
        </is>
      </c>
      <c r="B155" s="1" t="n">
        <v>44599.5174537037</v>
      </c>
      <c r="C155" s="1" t="n">
        <v>46165</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55412-2022</t>
        </is>
      </c>
      <c r="B156" s="1" t="n">
        <v>44882</v>
      </c>
      <c r="C156" s="1" t="n">
        <v>46165</v>
      </c>
      <c r="D156" t="inlineStr">
        <is>
          <t>SKÅNE LÄN</t>
        </is>
      </c>
      <c r="E156" t="inlineStr">
        <is>
          <t>HÄSSLEHOLM</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6253-2022</t>
        </is>
      </c>
      <c r="B157" s="1" t="n">
        <v>44600</v>
      </c>
      <c r="C157" s="1" t="n">
        <v>46165</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53576-2022</t>
        </is>
      </c>
      <c r="B158" s="1" t="n">
        <v>44875</v>
      </c>
      <c r="C158" s="1" t="n">
        <v>46165</v>
      </c>
      <c r="D158" t="inlineStr">
        <is>
          <t>SKÅNE LÄN</t>
        </is>
      </c>
      <c r="E158" t="inlineStr">
        <is>
          <t>HÄSSLEHOLM</t>
        </is>
      </c>
      <c r="F158" t="inlineStr">
        <is>
          <t>Övriga Aktiebolag</t>
        </is>
      </c>
      <c r="G158" t="n">
        <v>1.2</v>
      </c>
      <c r="H158" t="n">
        <v>0</v>
      </c>
      <c r="I158" t="n">
        <v>0</v>
      </c>
      <c r="J158" t="n">
        <v>0</v>
      </c>
      <c r="K158" t="n">
        <v>0</v>
      </c>
      <c r="L158" t="n">
        <v>0</v>
      </c>
      <c r="M158" t="n">
        <v>0</v>
      </c>
      <c r="N158" t="n">
        <v>0</v>
      </c>
      <c r="O158" t="n">
        <v>0</v>
      </c>
      <c r="P158" t="n">
        <v>0</v>
      </c>
      <c r="Q158" t="n">
        <v>0</v>
      </c>
      <c r="R158" s="2" t="inlineStr"/>
    </row>
    <row r="159" ht="15" customHeight="1">
      <c r="A159" t="inlineStr">
        <is>
          <t>A 7262-2022</t>
        </is>
      </c>
      <c r="B159" s="1" t="n">
        <v>44606</v>
      </c>
      <c r="C159" s="1" t="n">
        <v>46165</v>
      </c>
      <c r="D159" t="inlineStr">
        <is>
          <t>SKÅNE LÄN</t>
        </is>
      </c>
      <c r="E159" t="inlineStr">
        <is>
          <t>HÄSSLEHOLM</t>
        </is>
      </c>
      <c r="F159" t="inlineStr">
        <is>
          <t>Övriga Aktiebolag</t>
        </is>
      </c>
      <c r="G159" t="n">
        <v>1</v>
      </c>
      <c r="H159" t="n">
        <v>0</v>
      </c>
      <c r="I159" t="n">
        <v>0</v>
      </c>
      <c r="J159" t="n">
        <v>0</v>
      </c>
      <c r="K159" t="n">
        <v>0</v>
      </c>
      <c r="L159" t="n">
        <v>0</v>
      </c>
      <c r="M159" t="n">
        <v>0</v>
      </c>
      <c r="N159" t="n">
        <v>0</v>
      </c>
      <c r="O159" t="n">
        <v>0</v>
      </c>
      <c r="P159" t="n">
        <v>0</v>
      </c>
      <c r="Q159" t="n">
        <v>0</v>
      </c>
      <c r="R159" s="2" t="inlineStr"/>
    </row>
    <row r="160" ht="15" customHeight="1">
      <c r="A160" t="inlineStr">
        <is>
          <t>A 64826-2021</t>
        </is>
      </c>
      <c r="B160" s="1" t="n">
        <v>44512.55935185185</v>
      </c>
      <c r="C160" s="1" t="n">
        <v>46165</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23967-2022</t>
        </is>
      </c>
      <c r="B161" s="1" t="n">
        <v>44722.74079861111</v>
      </c>
      <c r="C161" s="1" t="n">
        <v>46165</v>
      </c>
      <c r="D161" t="inlineStr">
        <is>
          <t>SKÅNE LÄN</t>
        </is>
      </c>
      <c r="E161" t="inlineStr">
        <is>
          <t>HÄSSLEHOLM</t>
        </is>
      </c>
      <c r="F161" t="inlineStr">
        <is>
          <t>Kyrkan</t>
        </is>
      </c>
      <c r="G161" t="n">
        <v>12.4</v>
      </c>
      <c r="H161" t="n">
        <v>0</v>
      </c>
      <c r="I161" t="n">
        <v>0</v>
      </c>
      <c r="J161" t="n">
        <v>0</v>
      </c>
      <c r="K161" t="n">
        <v>0</v>
      </c>
      <c r="L161" t="n">
        <v>0</v>
      </c>
      <c r="M161" t="n">
        <v>0</v>
      </c>
      <c r="N161" t="n">
        <v>0</v>
      </c>
      <c r="O161" t="n">
        <v>0</v>
      </c>
      <c r="P161" t="n">
        <v>0</v>
      </c>
      <c r="Q161" t="n">
        <v>0</v>
      </c>
      <c r="R161" s="2" t="inlineStr"/>
    </row>
    <row r="162" ht="15" customHeight="1">
      <c r="A162" t="inlineStr">
        <is>
          <t>A 25464-2022</t>
        </is>
      </c>
      <c r="B162" s="1" t="n">
        <v>44729</v>
      </c>
      <c r="C162" s="1" t="n">
        <v>46165</v>
      </c>
      <c r="D162" t="inlineStr">
        <is>
          <t>SKÅNE LÄN</t>
        </is>
      </c>
      <c r="E162" t="inlineStr">
        <is>
          <t>HÄSSLEHOLM</t>
        </is>
      </c>
      <c r="G162" t="n">
        <v>21</v>
      </c>
      <c r="H162" t="n">
        <v>0</v>
      </c>
      <c r="I162" t="n">
        <v>0</v>
      </c>
      <c r="J162" t="n">
        <v>0</v>
      </c>
      <c r="K162" t="n">
        <v>0</v>
      </c>
      <c r="L162" t="n">
        <v>0</v>
      </c>
      <c r="M162" t="n">
        <v>0</v>
      </c>
      <c r="N162" t="n">
        <v>0</v>
      </c>
      <c r="O162" t="n">
        <v>0</v>
      </c>
      <c r="P162" t="n">
        <v>0</v>
      </c>
      <c r="Q162" t="n">
        <v>0</v>
      </c>
      <c r="R162" s="2" t="inlineStr"/>
    </row>
    <row r="163" ht="15" customHeight="1">
      <c r="A163" t="inlineStr">
        <is>
          <t>A 8177-2022</t>
        </is>
      </c>
      <c r="B163" s="1" t="n">
        <v>44607</v>
      </c>
      <c r="C163" s="1" t="n">
        <v>46165</v>
      </c>
      <c r="D163" t="inlineStr">
        <is>
          <t>SKÅNE LÄN</t>
        </is>
      </c>
      <c r="E163" t="inlineStr">
        <is>
          <t>HÄSSLEHOLM</t>
        </is>
      </c>
      <c r="F163" t="inlineStr">
        <is>
          <t>Kyrkan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30344-2022</t>
        </is>
      </c>
      <c r="B164" s="1" t="n">
        <v>44760.50783564815</v>
      </c>
      <c r="C164" s="1" t="n">
        <v>46165</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25788-2021</t>
        </is>
      </c>
      <c r="B165" s="1" t="n">
        <v>44343</v>
      </c>
      <c r="C165" s="1" t="n">
        <v>46165</v>
      </c>
      <c r="D165" t="inlineStr">
        <is>
          <t>SKÅNE LÄN</t>
        </is>
      </c>
      <c r="E165" t="inlineStr">
        <is>
          <t>HÄSSLEHOLM</t>
        </is>
      </c>
      <c r="G165" t="n">
        <v>4.8</v>
      </c>
      <c r="H165" t="n">
        <v>0</v>
      </c>
      <c r="I165" t="n">
        <v>0</v>
      </c>
      <c r="J165" t="n">
        <v>0</v>
      </c>
      <c r="K165" t="n">
        <v>0</v>
      </c>
      <c r="L165" t="n">
        <v>0</v>
      </c>
      <c r="M165" t="n">
        <v>0</v>
      </c>
      <c r="N165" t="n">
        <v>0</v>
      </c>
      <c r="O165" t="n">
        <v>0</v>
      </c>
      <c r="P165" t="n">
        <v>0</v>
      </c>
      <c r="Q165" t="n">
        <v>0</v>
      </c>
      <c r="R165" s="2" t="inlineStr"/>
    </row>
    <row r="166" ht="15" customHeight="1">
      <c r="A166" t="inlineStr">
        <is>
          <t>A 25955-2022</t>
        </is>
      </c>
      <c r="B166" s="1" t="n">
        <v>44734</v>
      </c>
      <c r="C166" s="1" t="n">
        <v>46165</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56527-2021</t>
        </is>
      </c>
      <c r="B167" s="1" t="n">
        <v>44480</v>
      </c>
      <c r="C167" s="1" t="n">
        <v>46165</v>
      </c>
      <c r="D167" t="inlineStr">
        <is>
          <t>SKÅNE LÄN</t>
        </is>
      </c>
      <c r="E167" t="inlineStr">
        <is>
          <t>HÄSSLEHOLM</t>
        </is>
      </c>
      <c r="F167" t="inlineStr">
        <is>
          <t>Kyrkan</t>
        </is>
      </c>
      <c r="G167" t="n">
        <v>2.7</v>
      </c>
      <c r="H167" t="n">
        <v>0</v>
      </c>
      <c r="I167" t="n">
        <v>0</v>
      </c>
      <c r="J167" t="n">
        <v>0</v>
      </c>
      <c r="K167" t="n">
        <v>0</v>
      </c>
      <c r="L167" t="n">
        <v>0</v>
      </c>
      <c r="M167" t="n">
        <v>0</v>
      </c>
      <c r="N167" t="n">
        <v>0</v>
      </c>
      <c r="O167" t="n">
        <v>0</v>
      </c>
      <c r="P167" t="n">
        <v>0</v>
      </c>
      <c r="Q167" t="n">
        <v>0</v>
      </c>
      <c r="R167" s="2" t="inlineStr"/>
    </row>
    <row r="168" ht="15" customHeight="1">
      <c r="A168" t="inlineStr">
        <is>
          <t>A 3992-2022</t>
        </is>
      </c>
      <c r="B168" s="1" t="n">
        <v>44587</v>
      </c>
      <c r="C168" s="1" t="n">
        <v>46165</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20657-2022</t>
        </is>
      </c>
      <c r="B169" s="1" t="n">
        <v>44700</v>
      </c>
      <c r="C169" s="1" t="n">
        <v>46165</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23950-2023</t>
        </is>
      </c>
      <c r="B170" s="1" t="n">
        <v>45078.61771990741</v>
      </c>
      <c r="C170" s="1" t="n">
        <v>46165</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23952-2023</t>
        </is>
      </c>
      <c r="B171" s="1" t="n">
        <v>45078.62064814815</v>
      </c>
      <c r="C171" s="1" t="n">
        <v>46165</v>
      </c>
      <c r="D171" t="inlineStr">
        <is>
          <t>SKÅNE LÄN</t>
        </is>
      </c>
      <c r="E171" t="inlineStr">
        <is>
          <t>HÄSSLEHOLM</t>
        </is>
      </c>
      <c r="G171" t="n">
        <v>0.4</v>
      </c>
      <c r="H171" t="n">
        <v>0</v>
      </c>
      <c r="I171" t="n">
        <v>0</v>
      </c>
      <c r="J171" t="n">
        <v>0</v>
      </c>
      <c r="K171" t="n">
        <v>0</v>
      </c>
      <c r="L171" t="n">
        <v>0</v>
      </c>
      <c r="M171" t="n">
        <v>0</v>
      </c>
      <c r="N171" t="n">
        <v>0</v>
      </c>
      <c r="O171" t="n">
        <v>0</v>
      </c>
      <c r="P171" t="n">
        <v>0</v>
      </c>
      <c r="Q171" t="n">
        <v>0</v>
      </c>
      <c r="R171" s="2" t="inlineStr"/>
    </row>
    <row r="172" ht="15" customHeight="1">
      <c r="A172" t="inlineStr">
        <is>
          <t>A 23956-2023</t>
        </is>
      </c>
      <c r="B172" s="1" t="n">
        <v>45078.62302083334</v>
      </c>
      <c r="C172" s="1" t="n">
        <v>46165</v>
      </c>
      <c r="D172" t="inlineStr">
        <is>
          <t>SKÅNE LÄN</t>
        </is>
      </c>
      <c r="E172" t="inlineStr">
        <is>
          <t>HÄSSLEHOLM</t>
        </is>
      </c>
      <c r="G172" t="n">
        <v>0.1</v>
      </c>
      <c r="H172" t="n">
        <v>0</v>
      </c>
      <c r="I172" t="n">
        <v>0</v>
      </c>
      <c r="J172" t="n">
        <v>0</v>
      </c>
      <c r="K172" t="n">
        <v>0</v>
      </c>
      <c r="L172" t="n">
        <v>0</v>
      </c>
      <c r="M172" t="n">
        <v>0</v>
      </c>
      <c r="N172" t="n">
        <v>0</v>
      </c>
      <c r="O172" t="n">
        <v>0</v>
      </c>
      <c r="P172" t="n">
        <v>0</v>
      </c>
      <c r="Q172" t="n">
        <v>0</v>
      </c>
      <c r="R172" s="2" t="inlineStr"/>
    </row>
    <row r="173" ht="15" customHeight="1">
      <c r="A173" t="inlineStr">
        <is>
          <t>A 35974-2022</t>
        </is>
      </c>
      <c r="B173" s="1" t="n">
        <v>44802</v>
      </c>
      <c r="C173" s="1" t="n">
        <v>46165</v>
      </c>
      <c r="D173" t="inlineStr">
        <is>
          <t>SKÅNE LÄN</t>
        </is>
      </c>
      <c r="E173" t="inlineStr">
        <is>
          <t>HÄSSLEHOLM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3500-2024</t>
        </is>
      </c>
      <c r="B174" s="1" t="n">
        <v>45320</v>
      </c>
      <c r="C174" s="1" t="n">
        <v>46165</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58815-2023</t>
        </is>
      </c>
      <c r="B175" s="1" t="n">
        <v>45247</v>
      </c>
      <c r="C175" s="1" t="n">
        <v>46165</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1619-2022</t>
        </is>
      </c>
      <c r="B176" s="1" t="n">
        <v>44573</v>
      </c>
      <c r="C176" s="1" t="n">
        <v>46165</v>
      </c>
      <c r="D176" t="inlineStr">
        <is>
          <t>SKÅNE LÄN</t>
        </is>
      </c>
      <c r="E176" t="inlineStr">
        <is>
          <t>HÄSSLEHOLM</t>
        </is>
      </c>
      <c r="G176" t="n">
        <v>1.8</v>
      </c>
      <c r="H176" t="n">
        <v>0</v>
      </c>
      <c r="I176" t="n">
        <v>0</v>
      </c>
      <c r="J176" t="n">
        <v>0</v>
      </c>
      <c r="K176" t="n">
        <v>0</v>
      </c>
      <c r="L176" t="n">
        <v>0</v>
      </c>
      <c r="M176" t="n">
        <v>0</v>
      </c>
      <c r="N176" t="n">
        <v>0</v>
      </c>
      <c r="O176" t="n">
        <v>0</v>
      </c>
      <c r="P176" t="n">
        <v>0</v>
      </c>
      <c r="Q176" t="n">
        <v>0</v>
      </c>
      <c r="R176" s="2" t="inlineStr"/>
    </row>
    <row r="177" ht="15" customHeight="1">
      <c r="A177" t="inlineStr">
        <is>
          <t>A 41874-2024</t>
        </is>
      </c>
      <c r="B177" s="1" t="n">
        <v>45561</v>
      </c>
      <c r="C177" s="1" t="n">
        <v>46165</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33597-2023</t>
        </is>
      </c>
      <c r="B178" s="1" t="n">
        <v>45132</v>
      </c>
      <c r="C178" s="1" t="n">
        <v>46165</v>
      </c>
      <c r="D178" t="inlineStr">
        <is>
          <t>SKÅNE LÄN</t>
        </is>
      </c>
      <c r="E178" t="inlineStr">
        <is>
          <t>HÄSSLEHOLM</t>
        </is>
      </c>
      <c r="G178" t="n">
        <v>3.9</v>
      </c>
      <c r="H178" t="n">
        <v>0</v>
      </c>
      <c r="I178" t="n">
        <v>0</v>
      </c>
      <c r="J178" t="n">
        <v>0</v>
      </c>
      <c r="K178" t="n">
        <v>0</v>
      </c>
      <c r="L178" t="n">
        <v>0</v>
      </c>
      <c r="M178" t="n">
        <v>0</v>
      </c>
      <c r="N178" t="n">
        <v>0</v>
      </c>
      <c r="O178" t="n">
        <v>0</v>
      </c>
      <c r="P178" t="n">
        <v>0</v>
      </c>
      <c r="Q178" t="n">
        <v>0</v>
      </c>
      <c r="R178" s="2" t="inlineStr"/>
    </row>
    <row r="179" ht="15" customHeight="1">
      <c r="A179" t="inlineStr">
        <is>
          <t>A 33599-2023</t>
        </is>
      </c>
      <c r="B179" s="1" t="n">
        <v>45132</v>
      </c>
      <c r="C179" s="1" t="n">
        <v>46165</v>
      </c>
      <c r="D179" t="inlineStr">
        <is>
          <t>SKÅNE LÄN</t>
        </is>
      </c>
      <c r="E179" t="inlineStr">
        <is>
          <t>HÄSSLEHOLM</t>
        </is>
      </c>
      <c r="G179" t="n">
        <v>0.6</v>
      </c>
      <c r="H179" t="n">
        <v>0</v>
      </c>
      <c r="I179" t="n">
        <v>0</v>
      </c>
      <c r="J179" t="n">
        <v>0</v>
      </c>
      <c r="K179" t="n">
        <v>0</v>
      </c>
      <c r="L179" t="n">
        <v>0</v>
      </c>
      <c r="M179" t="n">
        <v>0</v>
      </c>
      <c r="N179" t="n">
        <v>0</v>
      </c>
      <c r="O179" t="n">
        <v>0</v>
      </c>
      <c r="P179" t="n">
        <v>0</v>
      </c>
      <c r="Q179" t="n">
        <v>0</v>
      </c>
      <c r="R179" s="2" t="inlineStr"/>
    </row>
    <row r="180" ht="15" customHeight="1">
      <c r="A180" t="inlineStr">
        <is>
          <t>A 27173-2024</t>
        </is>
      </c>
      <c r="B180" s="1" t="n">
        <v>45471.57048611111</v>
      </c>
      <c r="C180" s="1" t="n">
        <v>46165</v>
      </c>
      <c r="D180" t="inlineStr">
        <is>
          <t>SKÅNE LÄN</t>
        </is>
      </c>
      <c r="E180" t="inlineStr">
        <is>
          <t>HÄSSLEHOLM</t>
        </is>
      </c>
      <c r="G180" t="n">
        <v>1.8</v>
      </c>
      <c r="H180" t="n">
        <v>0</v>
      </c>
      <c r="I180" t="n">
        <v>0</v>
      </c>
      <c r="J180" t="n">
        <v>0</v>
      </c>
      <c r="K180" t="n">
        <v>0</v>
      </c>
      <c r="L180" t="n">
        <v>0</v>
      </c>
      <c r="M180" t="n">
        <v>0</v>
      </c>
      <c r="N180" t="n">
        <v>0</v>
      </c>
      <c r="O180" t="n">
        <v>0</v>
      </c>
      <c r="P180" t="n">
        <v>0</v>
      </c>
      <c r="Q180" t="n">
        <v>0</v>
      </c>
      <c r="R180" s="2" t="inlineStr"/>
    </row>
    <row r="181" ht="15" customHeight="1">
      <c r="A181" t="inlineStr">
        <is>
          <t>A 14674-2025</t>
        </is>
      </c>
      <c r="B181" s="1" t="n">
        <v>45742.55548611111</v>
      </c>
      <c r="C181" s="1" t="n">
        <v>46165</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14702-2025</t>
        </is>
      </c>
      <c r="B182" s="1" t="n">
        <v>45742.60403935185</v>
      </c>
      <c r="C182" s="1" t="n">
        <v>46165</v>
      </c>
      <c r="D182" t="inlineStr">
        <is>
          <t>SKÅNE LÄN</t>
        </is>
      </c>
      <c r="E182" t="inlineStr">
        <is>
          <t>HÄSSLEHOLM</t>
        </is>
      </c>
      <c r="G182" t="n">
        <v>1.8</v>
      </c>
      <c r="H182" t="n">
        <v>0</v>
      </c>
      <c r="I182" t="n">
        <v>0</v>
      </c>
      <c r="J182" t="n">
        <v>0</v>
      </c>
      <c r="K182" t="n">
        <v>0</v>
      </c>
      <c r="L182" t="n">
        <v>0</v>
      </c>
      <c r="M182" t="n">
        <v>0</v>
      </c>
      <c r="N182" t="n">
        <v>0</v>
      </c>
      <c r="O182" t="n">
        <v>0</v>
      </c>
      <c r="P182" t="n">
        <v>0</v>
      </c>
      <c r="Q182" t="n">
        <v>0</v>
      </c>
      <c r="R182" s="2" t="inlineStr"/>
    </row>
    <row r="183" ht="15" customHeight="1">
      <c r="A183" t="inlineStr">
        <is>
          <t>A 55284-2023</t>
        </is>
      </c>
      <c r="B183" s="1" t="n">
        <v>45237.74259259259</v>
      </c>
      <c r="C183" s="1" t="n">
        <v>46165</v>
      </c>
      <c r="D183" t="inlineStr">
        <is>
          <t>SKÅNE LÄN</t>
        </is>
      </c>
      <c r="E183" t="inlineStr">
        <is>
          <t>HÄSSLEHOLM</t>
        </is>
      </c>
      <c r="G183" t="n">
        <v>1.4</v>
      </c>
      <c r="H183" t="n">
        <v>0</v>
      </c>
      <c r="I183" t="n">
        <v>0</v>
      </c>
      <c r="J183" t="n">
        <v>0</v>
      </c>
      <c r="K183" t="n">
        <v>0</v>
      </c>
      <c r="L183" t="n">
        <v>0</v>
      </c>
      <c r="M183" t="n">
        <v>0</v>
      </c>
      <c r="N183" t="n">
        <v>0</v>
      </c>
      <c r="O183" t="n">
        <v>0</v>
      </c>
      <c r="P183" t="n">
        <v>0</v>
      </c>
      <c r="Q183" t="n">
        <v>0</v>
      </c>
      <c r="R183" s="2" t="inlineStr"/>
    </row>
    <row r="184" ht="15" customHeight="1">
      <c r="A184" t="inlineStr">
        <is>
          <t>A 16388-2025</t>
        </is>
      </c>
      <c r="B184" s="1" t="n">
        <v>45751.42787037037</v>
      </c>
      <c r="C184" s="1" t="n">
        <v>46165</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10020-2024</t>
        </is>
      </c>
      <c r="B185" s="1" t="n">
        <v>45363.96944444445</v>
      </c>
      <c r="C185" s="1" t="n">
        <v>46165</v>
      </c>
      <c r="D185" t="inlineStr">
        <is>
          <t>SKÅNE LÄN</t>
        </is>
      </c>
      <c r="E185" t="inlineStr">
        <is>
          <t>HÄSSLEHOLM</t>
        </is>
      </c>
      <c r="G185" t="n">
        <v>5.3</v>
      </c>
      <c r="H185" t="n">
        <v>0</v>
      </c>
      <c r="I185" t="n">
        <v>0</v>
      </c>
      <c r="J185" t="n">
        <v>0</v>
      </c>
      <c r="K185" t="n">
        <v>0</v>
      </c>
      <c r="L185" t="n">
        <v>0</v>
      </c>
      <c r="M185" t="n">
        <v>0</v>
      </c>
      <c r="N185" t="n">
        <v>0</v>
      </c>
      <c r="O185" t="n">
        <v>0</v>
      </c>
      <c r="P185" t="n">
        <v>0</v>
      </c>
      <c r="Q185" t="n">
        <v>0</v>
      </c>
      <c r="R185" s="2" t="inlineStr"/>
    </row>
    <row r="186" ht="15" customHeight="1">
      <c r="A186" t="inlineStr">
        <is>
          <t>A 70087-2021</t>
        </is>
      </c>
      <c r="B186" s="1" t="n">
        <v>44533</v>
      </c>
      <c r="C186" s="1" t="n">
        <v>46165</v>
      </c>
      <c r="D186" t="inlineStr">
        <is>
          <t>SKÅNE LÄN</t>
        </is>
      </c>
      <c r="E186" t="inlineStr">
        <is>
          <t>HÄSSLEHOLM</t>
        </is>
      </c>
      <c r="G186" t="n">
        <v>5</v>
      </c>
      <c r="H186" t="n">
        <v>0</v>
      </c>
      <c r="I186" t="n">
        <v>0</v>
      </c>
      <c r="J186" t="n">
        <v>0</v>
      </c>
      <c r="K186" t="n">
        <v>0</v>
      </c>
      <c r="L186" t="n">
        <v>0</v>
      </c>
      <c r="M186" t="n">
        <v>0</v>
      </c>
      <c r="N186" t="n">
        <v>0</v>
      </c>
      <c r="O186" t="n">
        <v>0</v>
      </c>
      <c r="P186" t="n">
        <v>0</v>
      </c>
      <c r="Q186" t="n">
        <v>0</v>
      </c>
      <c r="R186" s="2" t="inlineStr"/>
    </row>
    <row r="187" ht="15" customHeight="1">
      <c r="A187" t="inlineStr">
        <is>
          <t>A 5284-2023</t>
        </is>
      </c>
      <c r="B187" s="1" t="n">
        <v>44959.50608796296</v>
      </c>
      <c r="C187" s="1" t="n">
        <v>46165</v>
      </c>
      <c r="D187" t="inlineStr">
        <is>
          <t>SKÅNE LÄN</t>
        </is>
      </c>
      <c r="E187" t="inlineStr">
        <is>
          <t>HÄSSLEHOLM</t>
        </is>
      </c>
      <c r="G187" t="n">
        <v>0.4</v>
      </c>
      <c r="H187" t="n">
        <v>0</v>
      </c>
      <c r="I187" t="n">
        <v>0</v>
      </c>
      <c r="J187" t="n">
        <v>0</v>
      </c>
      <c r="K187" t="n">
        <v>0</v>
      </c>
      <c r="L187" t="n">
        <v>0</v>
      </c>
      <c r="M187" t="n">
        <v>0</v>
      </c>
      <c r="N187" t="n">
        <v>0</v>
      </c>
      <c r="O187" t="n">
        <v>0</v>
      </c>
      <c r="P187" t="n">
        <v>0</v>
      </c>
      <c r="Q187" t="n">
        <v>0</v>
      </c>
      <c r="R187" s="2" t="inlineStr"/>
    </row>
    <row r="188" ht="15" customHeight="1">
      <c r="A188" t="inlineStr">
        <is>
          <t>A 5285-2023</t>
        </is>
      </c>
      <c r="B188" s="1" t="n">
        <v>44959.50783564815</v>
      </c>
      <c r="C188" s="1" t="n">
        <v>46165</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34888-2023</t>
        </is>
      </c>
      <c r="B189" s="1" t="n">
        <v>45142.388125</v>
      </c>
      <c r="C189" s="1" t="n">
        <v>46165</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7890-2024</t>
        </is>
      </c>
      <c r="B190" s="1" t="n">
        <v>45350.40780092592</v>
      </c>
      <c r="C190" s="1" t="n">
        <v>46165</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21867-2023</t>
        </is>
      </c>
      <c r="B191" s="1" t="n">
        <v>45063</v>
      </c>
      <c r="C191" s="1" t="n">
        <v>46165</v>
      </c>
      <c r="D191" t="inlineStr">
        <is>
          <t>SKÅNE LÄN</t>
        </is>
      </c>
      <c r="E191" t="inlineStr">
        <is>
          <t>HÄSSLEHOLM</t>
        </is>
      </c>
      <c r="G191" t="n">
        <v>7.6</v>
      </c>
      <c r="H191" t="n">
        <v>0</v>
      </c>
      <c r="I191" t="n">
        <v>0</v>
      </c>
      <c r="J191" t="n">
        <v>0</v>
      </c>
      <c r="K191" t="n">
        <v>0</v>
      </c>
      <c r="L191" t="n">
        <v>0</v>
      </c>
      <c r="M191" t="n">
        <v>0</v>
      </c>
      <c r="N191" t="n">
        <v>0</v>
      </c>
      <c r="O191" t="n">
        <v>0</v>
      </c>
      <c r="P191" t="n">
        <v>0</v>
      </c>
      <c r="Q191" t="n">
        <v>0</v>
      </c>
      <c r="R191" s="2" t="inlineStr"/>
    </row>
    <row r="192" ht="15" customHeight="1">
      <c r="A192" t="inlineStr">
        <is>
          <t>A 54435-2024</t>
        </is>
      </c>
      <c r="B192" s="1" t="n">
        <v>45617.49494212963</v>
      </c>
      <c r="C192" s="1" t="n">
        <v>46165</v>
      </c>
      <c r="D192" t="inlineStr">
        <is>
          <t>SKÅNE LÄN</t>
        </is>
      </c>
      <c r="E192" t="inlineStr">
        <is>
          <t>HÄSSLEHOLM</t>
        </is>
      </c>
      <c r="G192" t="n">
        <v>2.3</v>
      </c>
      <c r="H192" t="n">
        <v>0</v>
      </c>
      <c r="I192" t="n">
        <v>0</v>
      </c>
      <c r="J192" t="n">
        <v>0</v>
      </c>
      <c r="K192" t="n">
        <v>0</v>
      </c>
      <c r="L192" t="n">
        <v>0</v>
      </c>
      <c r="M192" t="n">
        <v>0</v>
      </c>
      <c r="N192" t="n">
        <v>0</v>
      </c>
      <c r="O192" t="n">
        <v>0</v>
      </c>
      <c r="P192" t="n">
        <v>0</v>
      </c>
      <c r="Q192" t="n">
        <v>0</v>
      </c>
      <c r="R192" s="2" t="inlineStr"/>
    </row>
    <row r="193" ht="15" customHeight="1">
      <c r="A193" t="inlineStr">
        <is>
          <t>A 20666-2023</t>
        </is>
      </c>
      <c r="B193" s="1" t="n">
        <v>45058.35664351852</v>
      </c>
      <c r="C193" s="1" t="n">
        <v>46165</v>
      </c>
      <c r="D193" t="inlineStr">
        <is>
          <t>SKÅNE LÄN</t>
        </is>
      </c>
      <c r="E193" t="inlineStr">
        <is>
          <t>HÄSSLEHOLM</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59028-2023</t>
        </is>
      </c>
      <c r="B194" s="1" t="n">
        <v>45252.67900462963</v>
      </c>
      <c r="C194" s="1" t="n">
        <v>46165</v>
      </c>
      <c r="D194" t="inlineStr">
        <is>
          <t>SKÅNE LÄN</t>
        </is>
      </c>
      <c r="E194" t="inlineStr">
        <is>
          <t>HÄSSLEHOLM</t>
        </is>
      </c>
      <c r="G194" t="n">
        <v>2.5</v>
      </c>
      <c r="H194" t="n">
        <v>0</v>
      </c>
      <c r="I194" t="n">
        <v>0</v>
      </c>
      <c r="J194" t="n">
        <v>0</v>
      </c>
      <c r="K194" t="n">
        <v>0</v>
      </c>
      <c r="L194" t="n">
        <v>0</v>
      </c>
      <c r="M194" t="n">
        <v>0</v>
      </c>
      <c r="N194" t="n">
        <v>0</v>
      </c>
      <c r="O194" t="n">
        <v>0</v>
      </c>
      <c r="P194" t="n">
        <v>0</v>
      </c>
      <c r="Q194" t="n">
        <v>0</v>
      </c>
      <c r="R194" s="2" t="inlineStr"/>
    </row>
    <row r="195" ht="15" customHeight="1">
      <c r="A195" t="inlineStr">
        <is>
          <t>A 58886-2024</t>
        </is>
      </c>
      <c r="B195" s="1" t="n">
        <v>45636.45380787037</v>
      </c>
      <c r="C195" s="1" t="n">
        <v>46165</v>
      </c>
      <c r="D195" t="inlineStr">
        <is>
          <t>SKÅNE LÄN</t>
        </is>
      </c>
      <c r="E195" t="inlineStr">
        <is>
          <t>HÄSSLEHOLM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13087-2023</t>
        </is>
      </c>
      <c r="B196" s="1" t="n">
        <v>45001</v>
      </c>
      <c r="C196" s="1" t="n">
        <v>46165</v>
      </c>
      <c r="D196" t="inlineStr">
        <is>
          <t>SKÅNE LÄN</t>
        </is>
      </c>
      <c r="E196" t="inlineStr">
        <is>
          <t>HÄSSLEHOLM</t>
        </is>
      </c>
      <c r="G196" t="n">
        <v>3.8</v>
      </c>
      <c r="H196" t="n">
        <v>0</v>
      </c>
      <c r="I196" t="n">
        <v>0</v>
      </c>
      <c r="J196" t="n">
        <v>0</v>
      </c>
      <c r="K196" t="n">
        <v>0</v>
      </c>
      <c r="L196" t="n">
        <v>0</v>
      </c>
      <c r="M196" t="n">
        <v>0</v>
      </c>
      <c r="N196" t="n">
        <v>0</v>
      </c>
      <c r="O196" t="n">
        <v>0</v>
      </c>
      <c r="P196" t="n">
        <v>0</v>
      </c>
      <c r="Q196" t="n">
        <v>0</v>
      </c>
      <c r="R196" s="2" t="inlineStr"/>
    </row>
    <row r="197" ht="15" customHeight="1">
      <c r="A197" t="inlineStr">
        <is>
          <t>A 20566-2023</t>
        </is>
      </c>
      <c r="B197" s="1" t="n">
        <v>45057</v>
      </c>
      <c r="C197" s="1" t="n">
        <v>46165</v>
      </c>
      <c r="D197" t="inlineStr">
        <is>
          <t>SKÅNE LÄN</t>
        </is>
      </c>
      <c r="E197" t="inlineStr">
        <is>
          <t>HÄSSLEHOLM</t>
        </is>
      </c>
      <c r="G197" t="n">
        <v>5.2</v>
      </c>
      <c r="H197" t="n">
        <v>0</v>
      </c>
      <c r="I197" t="n">
        <v>0</v>
      </c>
      <c r="J197" t="n">
        <v>0</v>
      </c>
      <c r="K197" t="n">
        <v>0</v>
      </c>
      <c r="L197" t="n">
        <v>0</v>
      </c>
      <c r="M197" t="n">
        <v>0</v>
      </c>
      <c r="N197" t="n">
        <v>0</v>
      </c>
      <c r="O197" t="n">
        <v>0</v>
      </c>
      <c r="P197" t="n">
        <v>0</v>
      </c>
      <c r="Q197" t="n">
        <v>0</v>
      </c>
      <c r="R197" s="2" t="inlineStr"/>
    </row>
    <row r="198" ht="15" customHeight="1">
      <c r="A198" t="inlineStr">
        <is>
          <t>A 8250-2023</t>
        </is>
      </c>
      <c r="B198" s="1" t="n">
        <v>44974</v>
      </c>
      <c r="C198" s="1" t="n">
        <v>46165</v>
      </c>
      <c r="D198" t="inlineStr">
        <is>
          <t>SKÅNE LÄN</t>
        </is>
      </c>
      <c r="E198" t="inlineStr">
        <is>
          <t>HÄSSLEHOLM</t>
        </is>
      </c>
      <c r="G198" t="n">
        <v>3</v>
      </c>
      <c r="H198" t="n">
        <v>0</v>
      </c>
      <c r="I198" t="n">
        <v>0</v>
      </c>
      <c r="J198" t="n">
        <v>0</v>
      </c>
      <c r="K198" t="n">
        <v>0</v>
      </c>
      <c r="L198" t="n">
        <v>0</v>
      </c>
      <c r="M198" t="n">
        <v>0</v>
      </c>
      <c r="N198" t="n">
        <v>0</v>
      </c>
      <c r="O198" t="n">
        <v>0</v>
      </c>
      <c r="P198" t="n">
        <v>0</v>
      </c>
      <c r="Q198" t="n">
        <v>0</v>
      </c>
      <c r="R198" s="2" t="inlineStr"/>
    </row>
    <row r="199" ht="15" customHeight="1">
      <c r="A199" t="inlineStr">
        <is>
          <t>A 48747-2022</t>
        </is>
      </c>
      <c r="B199" s="1" t="n">
        <v>44859</v>
      </c>
      <c r="C199" s="1" t="n">
        <v>46165</v>
      </c>
      <c r="D199" t="inlineStr">
        <is>
          <t>SKÅNE LÄN</t>
        </is>
      </c>
      <c r="E199" t="inlineStr">
        <is>
          <t>HÄSSLEHOLM</t>
        </is>
      </c>
      <c r="G199" t="n">
        <v>1.9</v>
      </c>
      <c r="H199" t="n">
        <v>0</v>
      </c>
      <c r="I199" t="n">
        <v>0</v>
      </c>
      <c r="J199" t="n">
        <v>0</v>
      </c>
      <c r="K199" t="n">
        <v>0</v>
      </c>
      <c r="L199" t="n">
        <v>0</v>
      </c>
      <c r="M199" t="n">
        <v>0</v>
      </c>
      <c r="N199" t="n">
        <v>0</v>
      </c>
      <c r="O199" t="n">
        <v>0</v>
      </c>
      <c r="P199" t="n">
        <v>0</v>
      </c>
      <c r="Q199" t="n">
        <v>0</v>
      </c>
      <c r="R199" s="2" t="inlineStr"/>
    </row>
    <row r="200" ht="15" customHeight="1">
      <c r="A200" t="inlineStr">
        <is>
          <t>A 57079-2022</t>
        </is>
      </c>
      <c r="B200" s="1" t="n">
        <v>44895</v>
      </c>
      <c r="C200" s="1" t="n">
        <v>46165</v>
      </c>
      <c r="D200" t="inlineStr">
        <is>
          <t>SKÅNE LÄN</t>
        </is>
      </c>
      <c r="E200" t="inlineStr">
        <is>
          <t>HÄSSLEHOLM</t>
        </is>
      </c>
      <c r="G200" t="n">
        <v>2.6</v>
      </c>
      <c r="H200" t="n">
        <v>0</v>
      </c>
      <c r="I200" t="n">
        <v>0</v>
      </c>
      <c r="J200" t="n">
        <v>0</v>
      </c>
      <c r="K200" t="n">
        <v>0</v>
      </c>
      <c r="L200" t="n">
        <v>0</v>
      </c>
      <c r="M200" t="n">
        <v>0</v>
      </c>
      <c r="N200" t="n">
        <v>0</v>
      </c>
      <c r="O200" t="n">
        <v>0</v>
      </c>
      <c r="P200" t="n">
        <v>0</v>
      </c>
      <c r="Q200" t="n">
        <v>0</v>
      </c>
      <c r="R200" s="2" t="inlineStr"/>
    </row>
    <row r="201" ht="15" customHeight="1">
      <c r="A201" t="inlineStr">
        <is>
          <t>A 15698-2023</t>
        </is>
      </c>
      <c r="B201" s="1" t="n">
        <v>45021</v>
      </c>
      <c r="C201" s="1" t="n">
        <v>46165</v>
      </c>
      <c r="D201" t="inlineStr">
        <is>
          <t>SKÅNE LÄN</t>
        </is>
      </c>
      <c r="E201" t="inlineStr">
        <is>
          <t>HÄSSLEHOLM</t>
        </is>
      </c>
      <c r="F201" t="inlineStr">
        <is>
          <t>Kommuner</t>
        </is>
      </c>
      <c r="G201" t="n">
        <v>5.5</v>
      </c>
      <c r="H201" t="n">
        <v>0</v>
      </c>
      <c r="I201" t="n">
        <v>0</v>
      </c>
      <c r="J201" t="n">
        <v>0</v>
      </c>
      <c r="K201" t="n">
        <v>0</v>
      </c>
      <c r="L201" t="n">
        <v>0</v>
      </c>
      <c r="M201" t="n">
        <v>0</v>
      </c>
      <c r="N201" t="n">
        <v>0</v>
      </c>
      <c r="O201" t="n">
        <v>0</v>
      </c>
      <c r="P201" t="n">
        <v>0</v>
      </c>
      <c r="Q201" t="n">
        <v>0</v>
      </c>
      <c r="R201" s="2" t="inlineStr"/>
    </row>
    <row r="202" ht="15" customHeight="1">
      <c r="A202" t="inlineStr">
        <is>
          <t>A 34886-2023</t>
        </is>
      </c>
      <c r="B202" s="1" t="n">
        <v>45142.38450231482</v>
      </c>
      <c r="C202" s="1" t="n">
        <v>46165</v>
      </c>
      <c r="D202" t="inlineStr">
        <is>
          <t>SKÅNE LÄN</t>
        </is>
      </c>
      <c r="E202" t="inlineStr">
        <is>
          <t>HÄSSLEHOLM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2596-2024</t>
        </is>
      </c>
      <c r="B203" s="1" t="n">
        <v>45313.69969907407</v>
      </c>
      <c r="C203" s="1" t="n">
        <v>46165</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6842-2023</t>
        </is>
      </c>
      <c r="B204" s="1" t="n">
        <v>44967</v>
      </c>
      <c r="C204" s="1" t="n">
        <v>46165</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50899-2024</t>
        </is>
      </c>
      <c r="B205" s="1" t="n">
        <v>45602.68584490741</v>
      </c>
      <c r="C205" s="1" t="n">
        <v>46165</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13198-2025</t>
        </is>
      </c>
      <c r="B206" s="1" t="n">
        <v>45735</v>
      </c>
      <c r="C206" s="1" t="n">
        <v>46165</v>
      </c>
      <c r="D206" t="inlineStr">
        <is>
          <t>SKÅNE LÄN</t>
        </is>
      </c>
      <c r="E206" t="inlineStr">
        <is>
          <t>HÄSSLEHOLM</t>
        </is>
      </c>
      <c r="G206" t="n">
        <v>0.7</v>
      </c>
      <c r="H206" t="n">
        <v>0</v>
      </c>
      <c r="I206" t="n">
        <v>0</v>
      </c>
      <c r="J206" t="n">
        <v>0</v>
      </c>
      <c r="K206" t="n">
        <v>0</v>
      </c>
      <c r="L206" t="n">
        <v>0</v>
      </c>
      <c r="M206" t="n">
        <v>0</v>
      </c>
      <c r="N206" t="n">
        <v>0</v>
      </c>
      <c r="O206" t="n">
        <v>0</v>
      </c>
      <c r="P206" t="n">
        <v>0</v>
      </c>
      <c r="Q206" t="n">
        <v>0</v>
      </c>
      <c r="R206" s="2" t="inlineStr"/>
    </row>
    <row r="207" ht="15" customHeight="1">
      <c r="A207" t="inlineStr">
        <is>
          <t>A 65235-2021</t>
        </is>
      </c>
      <c r="B207" s="1" t="n">
        <v>44515</v>
      </c>
      <c r="C207" s="1" t="n">
        <v>46165</v>
      </c>
      <c r="D207" t="inlineStr">
        <is>
          <t>SKÅNE LÄN</t>
        </is>
      </c>
      <c r="E207" t="inlineStr">
        <is>
          <t>HÄSSLEHOLM</t>
        </is>
      </c>
      <c r="G207" t="n">
        <v>2.5</v>
      </c>
      <c r="H207" t="n">
        <v>0</v>
      </c>
      <c r="I207" t="n">
        <v>0</v>
      </c>
      <c r="J207" t="n">
        <v>0</v>
      </c>
      <c r="K207" t="n">
        <v>0</v>
      </c>
      <c r="L207" t="n">
        <v>0</v>
      </c>
      <c r="M207" t="n">
        <v>0</v>
      </c>
      <c r="N207" t="n">
        <v>0</v>
      </c>
      <c r="O207" t="n">
        <v>0</v>
      </c>
      <c r="P207" t="n">
        <v>0</v>
      </c>
      <c r="Q207" t="n">
        <v>0</v>
      </c>
      <c r="R207" s="2" t="inlineStr"/>
    </row>
    <row r="208" ht="15" customHeight="1">
      <c r="A208" t="inlineStr">
        <is>
          <t>A 49107-2023</t>
        </is>
      </c>
      <c r="B208" s="1" t="n">
        <v>45210.44337962963</v>
      </c>
      <c r="C208" s="1" t="n">
        <v>46165</v>
      </c>
      <c r="D208" t="inlineStr">
        <is>
          <t>SKÅNE LÄN</t>
        </is>
      </c>
      <c r="E208" t="inlineStr">
        <is>
          <t>HÄSSLEHOLM</t>
        </is>
      </c>
      <c r="G208" t="n">
        <v>0.3</v>
      </c>
      <c r="H208" t="n">
        <v>0</v>
      </c>
      <c r="I208" t="n">
        <v>0</v>
      </c>
      <c r="J208" t="n">
        <v>0</v>
      </c>
      <c r="K208" t="n">
        <v>0</v>
      </c>
      <c r="L208" t="n">
        <v>0</v>
      </c>
      <c r="M208" t="n">
        <v>0</v>
      </c>
      <c r="N208" t="n">
        <v>0</v>
      </c>
      <c r="O208" t="n">
        <v>0</v>
      </c>
      <c r="P208" t="n">
        <v>0</v>
      </c>
      <c r="Q208" t="n">
        <v>0</v>
      </c>
      <c r="R208" s="2" t="inlineStr"/>
    </row>
    <row r="209" ht="15" customHeight="1">
      <c r="A209" t="inlineStr">
        <is>
          <t>A 50616-2023</t>
        </is>
      </c>
      <c r="B209" s="1" t="n">
        <v>45210</v>
      </c>
      <c r="C209" s="1" t="n">
        <v>46165</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13549-2025</t>
        </is>
      </c>
      <c r="B210" s="1" t="n">
        <v>45736</v>
      </c>
      <c r="C210" s="1" t="n">
        <v>46165</v>
      </c>
      <c r="D210" t="inlineStr">
        <is>
          <t>SKÅNE LÄN</t>
        </is>
      </c>
      <c r="E210" t="inlineStr">
        <is>
          <t>HÄSSLEHOLM</t>
        </is>
      </c>
      <c r="G210" t="n">
        <v>0.9</v>
      </c>
      <c r="H210" t="n">
        <v>0</v>
      </c>
      <c r="I210" t="n">
        <v>0</v>
      </c>
      <c r="J210" t="n">
        <v>0</v>
      </c>
      <c r="K210" t="n">
        <v>0</v>
      </c>
      <c r="L210" t="n">
        <v>0</v>
      </c>
      <c r="M210" t="n">
        <v>0</v>
      </c>
      <c r="N210" t="n">
        <v>0</v>
      </c>
      <c r="O210" t="n">
        <v>0</v>
      </c>
      <c r="P210" t="n">
        <v>0</v>
      </c>
      <c r="Q210" t="n">
        <v>0</v>
      </c>
      <c r="R210" s="2" t="inlineStr"/>
    </row>
    <row r="211" ht="15" customHeight="1">
      <c r="A211" t="inlineStr">
        <is>
          <t>A 45361-2023</t>
        </is>
      </c>
      <c r="B211" s="1" t="n">
        <v>45192.49068287037</v>
      </c>
      <c r="C211" s="1" t="n">
        <v>46165</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51245-2023</t>
        </is>
      </c>
      <c r="B212" s="1" t="n">
        <v>45212</v>
      </c>
      <c r="C212" s="1" t="n">
        <v>46165</v>
      </c>
      <c r="D212" t="inlineStr">
        <is>
          <t>SKÅNE LÄN</t>
        </is>
      </c>
      <c r="E212" t="inlineStr">
        <is>
          <t>HÄSSLEHOLM</t>
        </is>
      </c>
      <c r="G212" t="n">
        <v>2.1</v>
      </c>
      <c r="H212" t="n">
        <v>0</v>
      </c>
      <c r="I212" t="n">
        <v>0</v>
      </c>
      <c r="J212" t="n">
        <v>0</v>
      </c>
      <c r="K212" t="n">
        <v>0</v>
      </c>
      <c r="L212" t="n">
        <v>0</v>
      </c>
      <c r="M212" t="n">
        <v>0</v>
      </c>
      <c r="N212" t="n">
        <v>0</v>
      </c>
      <c r="O212" t="n">
        <v>0</v>
      </c>
      <c r="P212" t="n">
        <v>0</v>
      </c>
      <c r="Q212" t="n">
        <v>0</v>
      </c>
      <c r="R212" s="2" t="inlineStr"/>
    </row>
    <row r="213" ht="15" customHeight="1">
      <c r="A213" t="inlineStr">
        <is>
          <t>A 31934-2024</t>
        </is>
      </c>
      <c r="B213" s="1" t="n">
        <v>45510.41177083334</v>
      </c>
      <c r="C213" s="1" t="n">
        <v>46165</v>
      </c>
      <c r="D213" t="inlineStr">
        <is>
          <t>SKÅNE LÄN</t>
        </is>
      </c>
      <c r="E213" t="inlineStr">
        <is>
          <t>HÄSSLEHOLM</t>
        </is>
      </c>
      <c r="G213" t="n">
        <v>1.9</v>
      </c>
      <c r="H213" t="n">
        <v>0</v>
      </c>
      <c r="I213" t="n">
        <v>0</v>
      </c>
      <c r="J213" t="n">
        <v>0</v>
      </c>
      <c r="K213" t="n">
        <v>0</v>
      </c>
      <c r="L213" t="n">
        <v>0</v>
      </c>
      <c r="M213" t="n">
        <v>0</v>
      </c>
      <c r="N213" t="n">
        <v>0</v>
      </c>
      <c r="O213" t="n">
        <v>0</v>
      </c>
      <c r="P213" t="n">
        <v>0</v>
      </c>
      <c r="Q213" t="n">
        <v>0</v>
      </c>
      <c r="R213" s="2" t="inlineStr"/>
    </row>
    <row r="214" ht="15" customHeight="1">
      <c r="A214" t="inlineStr">
        <is>
          <t>A 60959-2022</t>
        </is>
      </c>
      <c r="B214" s="1" t="n">
        <v>44914.64777777778</v>
      </c>
      <c r="C214" s="1" t="n">
        <v>46165</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20187-2023</t>
        </is>
      </c>
      <c r="B215" s="1" t="n">
        <v>45055.57027777778</v>
      </c>
      <c r="C215" s="1" t="n">
        <v>46165</v>
      </c>
      <c r="D215" t="inlineStr">
        <is>
          <t>SKÅNE LÄN</t>
        </is>
      </c>
      <c r="E215" t="inlineStr">
        <is>
          <t>HÄSSLEHOLM</t>
        </is>
      </c>
      <c r="G215" t="n">
        <v>1.8</v>
      </c>
      <c r="H215" t="n">
        <v>0</v>
      </c>
      <c r="I215" t="n">
        <v>0</v>
      </c>
      <c r="J215" t="n">
        <v>0</v>
      </c>
      <c r="K215" t="n">
        <v>0</v>
      </c>
      <c r="L215" t="n">
        <v>0</v>
      </c>
      <c r="M215" t="n">
        <v>0</v>
      </c>
      <c r="N215" t="n">
        <v>0</v>
      </c>
      <c r="O215" t="n">
        <v>0</v>
      </c>
      <c r="P215" t="n">
        <v>0</v>
      </c>
      <c r="Q215" t="n">
        <v>0</v>
      </c>
      <c r="R215" s="2" t="inlineStr"/>
    </row>
    <row r="216" ht="15" customHeight="1">
      <c r="A216" t="inlineStr">
        <is>
          <t>A 59429-2023</t>
        </is>
      </c>
      <c r="B216" s="1" t="n">
        <v>45254.2875</v>
      </c>
      <c r="C216" s="1" t="n">
        <v>46165</v>
      </c>
      <c r="D216" t="inlineStr">
        <is>
          <t>SKÅNE LÄN</t>
        </is>
      </c>
      <c r="E216" t="inlineStr">
        <is>
          <t>HÄSSLEHOLM</t>
        </is>
      </c>
      <c r="G216" t="n">
        <v>0</v>
      </c>
      <c r="H216" t="n">
        <v>0</v>
      </c>
      <c r="I216" t="n">
        <v>0</v>
      </c>
      <c r="J216" t="n">
        <v>0</v>
      </c>
      <c r="K216" t="n">
        <v>0</v>
      </c>
      <c r="L216" t="n">
        <v>0</v>
      </c>
      <c r="M216" t="n">
        <v>0</v>
      </c>
      <c r="N216" t="n">
        <v>0</v>
      </c>
      <c r="O216" t="n">
        <v>0</v>
      </c>
      <c r="P216" t="n">
        <v>0</v>
      </c>
      <c r="Q216" t="n">
        <v>0</v>
      </c>
      <c r="R216" s="2" t="inlineStr"/>
    </row>
    <row r="217" ht="15" customHeight="1">
      <c r="A217" t="inlineStr">
        <is>
          <t>A 42906-2022</t>
        </is>
      </c>
      <c r="B217" s="1" t="n">
        <v>44833</v>
      </c>
      <c r="C217" s="1" t="n">
        <v>46165</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24241-2023</t>
        </is>
      </c>
      <c r="B218" s="1" t="n">
        <v>45079.61476851852</v>
      </c>
      <c r="C218" s="1" t="n">
        <v>46165</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31931-2024</t>
        </is>
      </c>
      <c r="B219" s="1" t="n">
        <v>45510.40878472223</v>
      </c>
      <c r="C219" s="1" t="n">
        <v>46165</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11266-2025</t>
        </is>
      </c>
      <c r="B220" s="1" t="n">
        <v>45726</v>
      </c>
      <c r="C220" s="1" t="n">
        <v>46165</v>
      </c>
      <c r="D220" t="inlineStr">
        <is>
          <t>SKÅNE LÄN</t>
        </is>
      </c>
      <c r="E220" t="inlineStr">
        <is>
          <t>HÄSSLEHOLM</t>
        </is>
      </c>
      <c r="G220" t="n">
        <v>0.3</v>
      </c>
      <c r="H220" t="n">
        <v>0</v>
      </c>
      <c r="I220" t="n">
        <v>0</v>
      </c>
      <c r="J220" t="n">
        <v>0</v>
      </c>
      <c r="K220" t="n">
        <v>0</v>
      </c>
      <c r="L220" t="n">
        <v>0</v>
      </c>
      <c r="M220" t="n">
        <v>0</v>
      </c>
      <c r="N220" t="n">
        <v>0</v>
      </c>
      <c r="O220" t="n">
        <v>0</v>
      </c>
      <c r="P220" t="n">
        <v>0</v>
      </c>
      <c r="Q220" t="n">
        <v>0</v>
      </c>
      <c r="R220" s="2" t="inlineStr"/>
    </row>
    <row r="221" ht="15" customHeight="1">
      <c r="A221" t="inlineStr">
        <is>
          <t>A 15133-2023</t>
        </is>
      </c>
      <c r="B221" s="1" t="n">
        <v>45016</v>
      </c>
      <c r="C221" s="1" t="n">
        <v>46165</v>
      </c>
      <c r="D221" t="inlineStr">
        <is>
          <t>SKÅNE LÄN</t>
        </is>
      </c>
      <c r="E221" t="inlineStr">
        <is>
          <t>HÄSSLEHOLM</t>
        </is>
      </c>
      <c r="G221" t="n">
        <v>7.8</v>
      </c>
      <c r="H221" t="n">
        <v>0</v>
      </c>
      <c r="I221" t="n">
        <v>0</v>
      </c>
      <c r="J221" t="n">
        <v>0</v>
      </c>
      <c r="K221" t="n">
        <v>0</v>
      </c>
      <c r="L221" t="n">
        <v>0</v>
      </c>
      <c r="M221" t="n">
        <v>0</v>
      </c>
      <c r="N221" t="n">
        <v>0</v>
      </c>
      <c r="O221" t="n">
        <v>0</v>
      </c>
      <c r="P221" t="n">
        <v>0</v>
      </c>
      <c r="Q221" t="n">
        <v>0</v>
      </c>
      <c r="R221" s="2" t="inlineStr"/>
    </row>
    <row r="222" ht="15" customHeight="1">
      <c r="A222" t="inlineStr">
        <is>
          <t>A 58618-2024</t>
        </is>
      </c>
      <c r="B222" s="1" t="n">
        <v>45635.56150462963</v>
      </c>
      <c r="C222" s="1" t="n">
        <v>46165</v>
      </c>
      <c r="D222" t="inlineStr">
        <is>
          <t>SKÅNE LÄN</t>
        </is>
      </c>
      <c r="E222" t="inlineStr">
        <is>
          <t>HÄSSLEHOLM</t>
        </is>
      </c>
      <c r="G222" t="n">
        <v>2.3</v>
      </c>
      <c r="H222" t="n">
        <v>0</v>
      </c>
      <c r="I222" t="n">
        <v>0</v>
      </c>
      <c r="J222" t="n">
        <v>0</v>
      </c>
      <c r="K222" t="n">
        <v>0</v>
      </c>
      <c r="L222" t="n">
        <v>0</v>
      </c>
      <c r="M222" t="n">
        <v>0</v>
      </c>
      <c r="N222" t="n">
        <v>0</v>
      </c>
      <c r="O222" t="n">
        <v>0</v>
      </c>
      <c r="P222" t="n">
        <v>0</v>
      </c>
      <c r="Q222" t="n">
        <v>0</v>
      </c>
      <c r="R222" s="2" t="inlineStr"/>
    </row>
    <row r="223" ht="15" customHeight="1">
      <c r="A223" t="inlineStr">
        <is>
          <t>A 34883-2023</t>
        </is>
      </c>
      <c r="B223" s="1" t="n">
        <v>45142.37902777778</v>
      </c>
      <c r="C223" s="1" t="n">
        <v>46165</v>
      </c>
      <c r="D223" t="inlineStr">
        <is>
          <t>SKÅNE LÄN</t>
        </is>
      </c>
      <c r="E223" t="inlineStr">
        <is>
          <t>HÄSSLEHOLM</t>
        </is>
      </c>
      <c r="G223" t="n">
        <v>2.5</v>
      </c>
      <c r="H223" t="n">
        <v>0</v>
      </c>
      <c r="I223" t="n">
        <v>0</v>
      </c>
      <c r="J223" t="n">
        <v>0</v>
      </c>
      <c r="K223" t="n">
        <v>0</v>
      </c>
      <c r="L223" t="n">
        <v>0</v>
      </c>
      <c r="M223" t="n">
        <v>0</v>
      </c>
      <c r="N223" t="n">
        <v>0</v>
      </c>
      <c r="O223" t="n">
        <v>0</v>
      </c>
      <c r="P223" t="n">
        <v>0</v>
      </c>
      <c r="Q223" t="n">
        <v>0</v>
      </c>
      <c r="R223" s="2" t="inlineStr"/>
    </row>
    <row r="224" ht="15" customHeight="1">
      <c r="A224" t="inlineStr">
        <is>
          <t>A 12843-2023</t>
        </is>
      </c>
      <c r="B224" s="1" t="n">
        <v>45001.48423611111</v>
      </c>
      <c r="C224" s="1" t="n">
        <v>46165</v>
      </c>
      <c r="D224" t="inlineStr">
        <is>
          <t>SKÅNE LÄN</t>
        </is>
      </c>
      <c r="E224" t="inlineStr">
        <is>
          <t>HÄSSLEHOLM</t>
        </is>
      </c>
      <c r="G224" t="n">
        <v>3.9</v>
      </c>
      <c r="H224" t="n">
        <v>0</v>
      </c>
      <c r="I224" t="n">
        <v>0</v>
      </c>
      <c r="J224" t="n">
        <v>0</v>
      </c>
      <c r="K224" t="n">
        <v>0</v>
      </c>
      <c r="L224" t="n">
        <v>0</v>
      </c>
      <c r="M224" t="n">
        <v>0</v>
      </c>
      <c r="N224" t="n">
        <v>0</v>
      </c>
      <c r="O224" t="n">
        <v>0</v>
      </c>
      <c r="P224" t="n">
        <v>0</v>
      </c>
      <c r="Q224" t="n">
        <v>0</v>
      </c>
      <c r="R224" s="2" t="inlineStr"/>
    </row>
    <row r="225" ht="15" customHeight="1">
      <c r="A225" t="inlineStr">
        <is>
          <t>A 26397-2023</t>
        </is>
      </c>
      <c r="B225" s="1" t="n">
        <v>45087</v>
      </c>
      <c r="C225" s="1" t="n">
        <v>46165</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1119-2024</t>
        </is>
      </c>
      <c r="B226" s="1" t="n">
        <v>45302</v>
      </c>
      <c r="C226" s="1" t="n">
        <v>46165</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47647-2024</t>
        </is>
      </c>
      <c r="B227" s="1" t="n">
        <v>45588</v>
      </c>
      <c r="C227" s="1" t="n">
        <v>46165</v>
      </c>
      <c r="D227" t="inlineStr">
        <is>
          <t>SKÅNE LÄN</t>
        </is>
      </c>
      <c r="E227" t="inlineStr">
        <is>
          <t>HÄSSLEHOLM</t>
        </is>
      </c>
      <c r="G227" t="n">
        <v>6.5</v>
      </c>
      <c r="H227" t="n">
        <v>0</v>
      </c>
      <c r="I227" t="n">
        <v>0</v>
      </c>
      <c r="J227" t="n">
        <v>0</v>
      </c>
      <c r="K227" t="n">
        <v>0</v>
      </c>
      <c r="L227" t="n">
        <v>0</v>
      </c>
      <c r="M227" t="n">
        <v>0</v>
      </c>
      <c r="N227" t="n">
        <v>0</v>
      </c>
      <c r="O227" t="n">
        <v>0</v>
      </c>
      <c r="P227" t="n">
        <v>0</v>
      </c>
      <c r="Q227" t="n">
        <v>0</v>
      </c>
      <c r="R227" s="2" t="inlineStr"/>
    </row>
    <row r="228" ht="15" customHeight="1">
      <c r="A228" t="inlineStr">
        <is>
          <t>A 58888-2024</t>
        </is>
      </c>
      <c r="B228" s="1" t="n">
        <v>45636.45962962963</v>
      </c>
      <c r="C228" s="1" t="n">
        <v>46165</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16334-2024</t>
        </is>
      </c>
      <c r="B229" s="1" t="n">
        <v>45407.54856481482</v>
      </c>
      <c r="C229" s="1" t="n">
        <v>46165</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3663-2024</t>
        </is>
      </c>
      <c r="B230" s="1" t="n">
        <v>45321.34775462963</v>
      </c>
      <c r="C230" s="1" t="n">
        <v>46165</v>
      </c>
      <c r="D230" t="inlineStr">
        <is>
          <t>SKÅNE LÄN</t>
        </is>
      </c>
      <c r="E230" t="inlineStr">
        <is>
          <t>HÄSSLEHOLM</t>
        </is>
      </c>
      <c r="G230" t="n">
        <v>0.4</v>
      </c>
      <c r="H230" t="n">
        <v>0</v>
      </c>
      <c r="I230" t="n">
        <v>0</v>
      </c>
      <c r="J230" t="n">
        <v>0</v>
      </c>
      <c r="K230" t="n">
        <v>0</v>
      </c>
      <c r="L230" t="n">
        <v>0</v>
      </c>
      <c r="M230" t="n">
        <v>0</v>
      </c>
      <c r="N230" t="n">
        <v>0</v>
      </c>
      <c r="O230" t="n">
        <v>0</v>
      </c>
      <c r="P230" t="n">
        <v>0</v>
      </c>
      <c r="Q230" t="n">
        <v>0</v>
      </c>
      <c r="R230" s="2" t="inlineStr"/>
    </row>
    <row r="231" ht="15" customHeight="1">
      <c r="A231" t="inlineStr">
        <is>
          <t>A 32794-2021</t>
        </is>
      </c>
      <c r="B231" s="1" t="n">
        <v>44375</v>
      </c>
      <c r="C231" s="1" t="n">
        <v>46165</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2479-2024</t>
        </is>
      </c>
      <c r="B232" s="1" t="n">
        <v>45313.40148148148</v>
      </c>
      <c r="C232" s="1" t="n">
        <v>46165</v>
      </c>
      <c r="D232" t="inlineStr">
        <is>
          <t>SKÅNE LÄN</t>
        </is>
      </c>
      <c r="E232" t="inlineStr">
        <is>
          <t>HÄSSLEHOLM</t>
        </is>
      </c>
      <c r="G232" t="n">
        <v>1.2</v>
      </c>
      <c r="H232" t="n">
        <v>0</v>
      </c>
      <c r="I232" t="n">
        <v>0</v>
      </c>
      <c r="J232" t="n">
        <v>0</v>
      </c>
      <c r="K232" t="n">
        <v>0</v>
      </c>
      <c r="L232" t="n">
        <v>0</v>
      </c>
      <c r="M232" t="n">
        <v>0</v>
      </c>
      <c r="N232" t="n">
        <v>0</v>
      </c>
      <c r="O232" t="n">
        <v>0</v>
      </c>
      <c r="P232" t="n">
        <v>0</v>
      </c>
      <c r="Q232" t="n">
        <v>0</v>
      </c>
      <c r="R232" s="2" t="inlineStr"/>
    </row>
    <row r="233" ht="15" customHeight="1">
      <c r="A233" t="inlineStr">
        <is>
          <t>A 9393-2025</t>
        </is>
      </c>
      <c r="B233" s="1" t="n">
        <v>45715.36230324074</v>
      </c>
      <c r="C233" s="1" t="n">
        <v>46165</v>
      </c>
      <c r="D233" t="inlineStr">
        <is>
          <t>SKÅNE LÄN</t>
        </is>
      </c>
      <c r="E233" t="inlineStr">
        <is>
          <t>HÄSSLEHOLM</t>
        </is>
      </c>
      <c r="G233" t="n">
        <v>1.4</v>
      </c>
      <c r="H233" t="n">
        <v>0</v>
      </c>
      <c r="I233" t="n">
        <v>0</v>
      </c>
      <c r="J233" t="n">
        <v>0</v>
      </c>
      <c r="K233" t="n">
        <v>0</v>
      </c>
      <c r="L233" t="n">
        <v>0</v>
      </c>
      <c r="M233" t="n">
        <v>0</v>
      </c>
      <c r="N233" t="n">
        <v>0</v>
      </c>
      <c r="O233" t="n">
        <v>0</v>
      </c>
      <c r="P233" t="n">
        <v>0</v>
      </c>
      <c r="Q233" t="n">
        <v>0</v>
      </c>
      <c r="R233" s="2" t="inlineStr"/>
    </row>
    <row r="234" ht="15" customHeight="1">
      <c r="A234" t="inlineStr">
        <is>
          <t>A 15897-2025</t>
        </is>
      </c>
      <c r="B234" s="1" t="n">
        <v>45749.41598379629</v>
      </c>
      <c r="C234" s="1" t="n">
        <v>46165</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54982-2024</t>
        </is>
      </c>
      <c r="B235" s="1" t="n">
        <v>45620.7580787037</v>
      </c>
      <c r="C235" s="1" t="n">
        <v>46165</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14255-2024</t>
        </is>
      </c>
      <c r="B236" s="1" t="n">
        <v>45393</v>
      </c>
      <c r="C236" s="1" t="n">
        <v>46165</v>
      </c>
      <c r="D236" t="inlineStr">
        <is>
          <t>SKÅNE LÄN</t>
        </is>
      </c>
      <c r="E236" t="inlineStr">
        <is>
          <t>HÄSSLEHOLM</t>
        </is>
      </c>
      <c r="G236" t="n">
        <v>11.9</v>
      </c>
      <c r="H236" t="n">
        <v>0</v>
      </c>
      <c r="I236" t="n">
        <v>0</v>
      </c>
      <c r="J236" t="n">
        <v>0</v>
      </c>
      <c r="K236" t="n">
        <v>0</v>
      </c>
      <c r="L236" t="n">
        <v>0</v>
      </c>
      <c r="M236" t="n">
        <v>0</v>
      </c>
      <c r="N236" t="n">
        <v>0</v>
      </c>
      <c r="O236" t="n">
        <v>0</v>
      </c>
      <c r="P236" t="n">
        <v>0</v>
      </c>
      <c r="Q236" t="n">
        <v>0</v>
      </c>
      <c r="R236" s="2" t="inlineStr"/>
    </row>
    <row r="237" ht="15" customHeight="1">
      <c r="A237" t="inlineStr">
        <is>
          <t>A 61182-2024</t>
        </is>
      </c>
      <c r="B237" s="1" t="n">
        <v>45645</v>
      </c>
      <c r="C237" s="1" t="n">
        <v>46165</v>
      </c>
      <c r="D237" t="inlineStr">
        <is>
          <t>SKÅNE LÄN</t>
        </is>
      </c>
      <c r="E237" t="inlineStr">
        <is>
          <t>HÄSSLEHOLM</t>
        </is>
      </c>
      <c r="G237" t="n">
        <v>3.2</v>
      </c>
      <c r="H237" t="n">
        <v>0</v>
      </c>
      <c r="I237" t="n">
        <v>0</v>
      </c>
      <c r="J237" t="n">
        <v>0</v>
      </c>
      <c r="K237" t="n">
        <v>0</v>
      </c>
      <c r="L237" t="n">
        <v>0</v>
      </c>
      <c r="M237" t="n">
        <v>0</v>
      </c>
      <c r="N237" t="n">
        <v>0</v>
      </c>
      <c r="O237" t="n">
        <v>0</v>
      </c>
      <c r="P237" t="n">
        <v>0</v>
      </c>
      <c r="Q237" t="n">
        <v>0</v>
      </c>
      <c r="R237" s="2" t="inlineStr"/>
    </row>
    <row r="238" ht="15" customHeight="1">
      <c r="A238" t="inlineStr">
        <is>
          <t>A 12338-2024</t>
        </is>
      </c>
      <c r="B238" s="1" t="n">
        <v>45378.72869212963</v>
      </c>
      <c r="C238" s="1" t="n">
        <v>46165</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21310-2022</t>
        </is>
      </c>
      <c r="B239" s="1" t="n">
        <v>44705</v>
      </c>
      <c r="C239" s="1" t="n">
        <v>46165</v>
      </c>
      <c r="D239" t="inlineStr">
        <is>
          <t>SKÅNE LÄN</t>
        </is>
      </c>
      <c r="E239" t="inlineStr">
        <is>
          <t>HÄSSLEHOLM</t>
        </is>
      </c>
      <c r="G239" t="n">
        <v>1</v>
      </c>
      <c r="H239" t="n">
        <v>0</v>
      </c>
      <c r="I239" t="n">
        <v>0</v>
      </c>
      <c r="J239" t="n">
        <v>0</v>
      </c>
      <c r="K239" t="n">
        <v>0</v>
      </c>
      <c r="L239" t="n">
        <v>0</v>
      </c>
      <c r="M239" t="n">
        <v>0</v>
      </c>
      <c r="N239" t="n">
        <v>0</v>
      </c>
      <c r="O239" t="n">
        <v>0</v>
      </c>
      <c r="P239" t="n">
        <v>0</v>
      </c>
      <c r="Q239" t="n">
        <v>0</v>
      </c>
      <c r="R239" s="2" t="inlineStr"/>
    </row>
    <row r="240" ht="15" customHeight="1">
      <c r="A240" t="inlineStr">
        <is>
          <t>A 8433-2024</t>
        </is>
      </c>
      <c r="B240" s="1" t="n">
        <v>45353.48434027778</v>
      </c>
      <c r="C240" s="1" t="n">
        <v>46165</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48807-2021</t>
        </is>
      </c>
      <c r="B241" s="1" t="n">
        <v>44452</v>
      </c>
      <c r="C241" s="1" t="n">
        <v>46165</v>
      </c>
      <c r="D241" t="inlineStr">
        <is>
          <t>SKÅNE LÄN</t>
        </is>
      </c>
      <c r="E241" t="inlineStr">
        <is>
          <t>HÄSSLEHOLM</t>
        </is>
      </c>
      <c r="G241" t="n">
        <v>1.1</v>
      </c>
      <c r="H241" t="n">
        <v>0</v>
      </c>
      <c r="I241" t="n">
        <v>0</v>
      </c>
      <c r="J241" t="n">
        <v>0</v>
      </c>
      <c r="K241" t="n">
        <v>0</v>
      </c>
      <c r="L241" t="n">
        <v>0</v>
      </c>
      <c r="M241" t="n">
        <v>0</v>
      </c>
      <c r="N241" t="n">
        <v>0</v>
      </c>
      <c r="O241" t="n">
        <v>0</v>
      </c>
      <c r="P241" t="n">
        <v>0</v>
      </c>
      <c r="Q241" t="n">
        <v>0</v>
      </c>
      <c r="R241" s="2" t="inlineStr"/>
    </row>
    <row r="242" ht="15" customHeight="1">
      <c r="A242" t="inlineStr">
        <is>
          <t>A 28457-2024</t>
        </is>
      </c>
      <c r="B242" s="1" t="n">
        <v>45477.68884259259</v>
      </c>
      <c r="C242" s="1" t="n">
        <v>46165</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51752-2023</t>
        </is>
      </c>
      <c r="B243" s="1" t="n">
        <v>45222</v>
      </c>
      <c r="C243" s="1" t="n">
        <v>46165</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15055-2023</t>
        </is>
      </c>
      <c r="B244" s="1" t="n">
        <v>45015</v>
      </c>
      <c r="C244" s="1" t="n">
        <v>46165</v>
      </c>
      <c r="D244" t="inlineStr">
        <is>
          <t>SKÅNE LÄN</t>
        </is>
      </c>
      <c r="E244" t="inlineStr">
        <is>
          <t>HÄSSLEHOLM</t>
        </is>
      </c>
      <c r="G244" t="n">
        <v>1.9</v>
      </c>
      <c r="H244" t="n">
        <v>0</v>
      </c>
      <c r="I244" t="n">
        <v>0</v>
      </c>
      <c r="J244" t="n">
        <v>0</v>
      </c>
      <c r="K244" t="n">
        <v>0</v>
      </c>
      <c r="L244" t="n">
        <v>0</v>
      </c>
      <c r="M244" t="n">
        <v>0</v>
      </c>
      <c r="N244" t="n">
        <v>0</v>
      </c>
      <c r="O244" t="n">
        <v>0</v>
      </c>
      <c r="P244" t="n">
        <v>0</v>
      </c>
      <c r="Q244" t="n">
        <v>0</v>
      </c>
      <c r="R244" s="2" t="inlineStr"/>
    </row>
    <row r="245" ht="15" customHeight="1">
      <c r="A245" t="inlineStr">
        <is>
          <t>A 34187-2023</t>
        </is>
      </c>
      <c r="B245" s="1" t="n">
        <v>45138</v>
      </c>
      <c r="C245" s="1" t="n">
        <v>46165</v>
      </c>
      <c r="D245" t="inlineStr">
        <is>
          <t>SKÅNE LÄN</t>
        </is>
      </c>
      <c r="E245" t="inlineStr">
        <is>
          <t>HÄSSLEHOLM</t>
        </is>
      </c>
      <c r="G245" t="n">
        <v>0.4</v>
      </c>
      <c r="H245" t="n">
        <v>0</v>
      </c>
      <c r="I245" t="n">
        <v>0</v>
      </c>
      <c r="J245" t="n">
        <v>0</v>
      </c>
      <c r="K245" t="n">
        <v>0</v>
      </c>
      <c r="L245" t="n">
        <v>0</v>
      </c>
      <c r="M245" t="n">
        <v>0</v>
      </c>
      <c r="N245" t="n">
        <v>0</v>
      </c>
      <c r="O245" t="n">
        <v>0</v>
      </c>
      <c r="P245" t="n">
        <v>0</v>
      </c>
      <c r="Q245" t="n">
        <v>0</v>
      </c>
      <c r="R245" s="2" t="inlineStr"/>
    </row>
    <row r="246" ht="15" customHeight="1">
      <c r="A246" t="inlineStr">
        <is>
          <t>A 32834-2024</t>
        </is>
      </c>
      <c r="B246" s="1" t="n">
        <v>45516.6025</v>
      </c>
      <c r="C246" s="1" t="n">
        <v>46165</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32100-2024</t>
        </is>
      </c>
      <c r="B247" s="1" t="n">
        <v>45511.41451388889</v>
      </c>
      <c r="C247" s="1" t="n">
        <v>46165</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9397-2025</t>
        </is>
      </c>
      <c r="B248" s="1" t="n">
        <v>45715.37361111111</v>
      </c>
      <c r="C248" s="1" t="n">
        <v>46165</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13309-2025</t>
        </is>
      </c>
      <c r="B249" s="1" t="n">
        <v>45735.58512731481</v>
      </c>
      <c r="C249" s="1" t="n">
        <v>46165</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10220-2023</t>
        </is>
      </c>
      <c r="B250" s="1" t="n">
        <v>44986.60916666667</v>
      </c>
      <c r="C250" s="1" t="n">
        <v>46165</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59109-2023</t>
        </is>
      </c>
      <c r="B251" s="1" t="n">
        <v>45253.30819444444</v>
      </c>
      <c r="C251" s="1" t="n">
        <v>46165</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35810-2023</t>
        </is>
      </c>
      <c r="B252" s="1" t="n">
        <v>45148.44046296296</v>
      </c>
      <c r="C252" s="1" t="n">
        <v>46165</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35833-2023</t>
        </is>
      </c>
      <c r="B253" s="1" t="n">
        <v>45148</v>
      </c>
      <c r="C253" s="1" t="n">
        <v>46165</v>
      </c>
      <c r="D253" t="inlineStr">
        <is>
          <t>SKÅNE LÄN</t>
        </is>
      </c>
      <c r="E253" t="inlineStr">
        <is>
          <t>HÄSSLEHOLM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49384-2021</t>
        </is>
      </c>
      <c r="B254" s="1" t="n">
        <v>44454</v>
      </c>
      <c r="C254" s="1" t="n">
        <v>46165</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59556-2023</t>
        </is>
      </c>
      <c r="B255" s="1" t="n">
        <v>45254.56313657408</v>
      </c>
      <c r="C255" s="1" t="n">
        <v>46165</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54462-2022</t>
        </is>
      </c>
      <c r="B256" s="1" t="n">
        <v>44882</v>
      </c>
      <c r="C256" s="1" t="n">
        <v>46165</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25611-2024</t>
        </is>
      </c>
      <c r="B257" s="1" t="n">
        <v>45463</v>
      </c>
      <c r="C257" s="1" t="n">
        <v>46165</v>
      </c>
      <c r="D257" t="inlineStr">
        <is>
          <t>SKÅNE LÄN</t>
        </is>
      </c>
      <c r="E257" t="inlineStr">
        <is>
          <t>HÄSSLEHOLM</t>
        </is>
      </c>
      <c r="G257" t="n">
        <v>0.6</v>
      </c>
      <c r="H257" t="n">
        <v>0</v>
      </c>
      <c r="I257" t="n">
        <v>0</v>
      </c>
      <c r="J257" t="n">
        <v>0</v>
      </c>
      <c r="K257" t="n">
        <v>0</v>
      </c>
      <c r="L257" t="n">
        <v>0</v>
      </c>
      <c r="M257" t="n">
        <v>0</v>
      </c>
      <c r="N257" t="n">
        <v>0</v>
      </c>
      <c r="O257" t="n">
        <v>0</v>
      </c>
      <c r="P257" t="n">
        <v>0</v>
      </c>
      <c r="Q257" t="n">
        <v>0</v>
      </c>
      <c r="R257" s="2" t="inlineStr"/>
    </row>
    <row r="258" ht="15" customHeight="1">
      <c r="A258" t="inlineStr">
        <is>
          <t>A 7094-2023</t>
        </is>
      </c>
      <c r="B258" s="1" t="n">
        <v>44970.36958333333</v>
      </c>
      <c r="C258" s="1" t="n">
        <v>46165</v>
      </c>
      <c r="D258" t="inlineStr">
        <is>
          <t>SKÅNE LÄN</t>
        </is>
      </c>
      <c r="E258" t="inlineStr">
        <is>
          <t>HÄSSLEHOLM</t>
        </is>
      </c>
      <c r="G258" t="n">
        <v>3.6</v>
      </c>
      <c r="H258" t="n">
        <v>0</v>
      </c>
      <c r="I258" t="n">
        <v>0</v>
      </c>
      <c r="J258" t="n">
        <v>0</v>
      </c>
      <c r="K258" t="n">
        <v>0</v>
      </c>
      <c r="L258" t="n">
        <v>0</v>
      </c>
      <c r="M258" t="n">
        <v>0</v>
      </c>
      <c r="N258" t="n">
        <v>0</v>
      </c>
      <c r="O258" t="n">
        <v>0</v>
      </c>
      <c r="P258" t="n">
        <v>0</v>
      </c>
      <c r="Q258" t="n">
        <v>0</v>
      </c>
      <c r="R258" s="2" t="inlineStr"/>
    </row>
    <row r="259" ht="15" customHeight="1">
      <c r="A259" t="inlineStr">
        <is>
          <t>A 53077-2022</t>
        </is>
      </c>
      <c r="B259" s="1" t="n">
        <v>44873</v>
      </c>
      <c r="C259" s="1" t="n">
        <v>46165</v>
      </c>
      <c r="D259" t="inlineStr">
        <is>
          <t>SKÅNE LÄN</t>
        </is>
      </c>
      <c r="E259" t="inlineStr">
        <is>
          <t>HÄSSLEHOLM</t>
        </is>
      </c>
      <c r="G259" t="n">
        <v>3</v>
      </c>
      <c r="H259" t="n">
        <v>0</v>
      </c>
      <c r="I259" t="n">
        <v>0</v>
      </c>
      <c r="J259" t="n">
        <v>0</v>
      </c>
      <c r="K259" t="n">
        <v>0</v>
      </c>
      <c r="L259" t="n">
        <v>0</v>
      </c>
      <c r="M259" t="n">
        <v>0</v>
      </c>
      <c r="N259" t="n">
        <v>0</v>
      </c>
      <c r="O259" t="n">
        <v>0</v>
      </c>
      <c r="P259" t="n">
        <v>0</v>
      </c>
      <c r="Q259" t="n">
        <v>0</v>
      </c>
      <c r="R259" s="2" t="inlineStr"/>
    </row>
    <row r="260" ht="15" customHeight="1">
      <c r="A260" t="inlineStr">
        <is>
          <t>A 19744-2023</t>
        </is>
      </c>
      <c r="B260" s="1" t="n">
        <v>45051</v>
      </c>
      <c r="C260" s="1" t="n">
        <v>46165</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61504-2022</t>
        </is>
      </c>
      <c r="B261" s="1" t="n">
        <v>44910</v>
      </c>
      <c r="C261" s="1" t="n">
        <v>46165</v>
      </c>
      <c r="D261" t="inlineStr">
        <is>
          <t>SKÅNE LÄN</t>
        </is>
      </c>
      <c r="E261" t="inlineStr">
        <is>
          <t>HÄSSLEHOLM</t>
        </is>
      </c>
      <c r="F261" t="inlineStr">
        <is>
          <t>Kyrkan</t>
        </is>
      </c>
      <c r="G261" t="n">
        <v>2.9</v>
      </c>
      <c r="H261" t="n">
        <v>0</v>
      </c>
      <c r="I261" t="n">
        <v>0</v>
      </c>
      <c r="J261" t="n">
        <v>0</v>
      </c>
      <c r="K261" t="n">
        <v>0</v>
      </c>
      <c r="L261" t="n">
        <v>0</v>
      </c>
      <c r="M261" t="n">
        <v>0</v>
      </c>
      <c r="N261" t="n">
        <v>0</v>
      </c>
      <c r="O261" t="n">
        <v>0</v>
      </c>
      <c r="P261" t="n">
        <v>0</v>
      </c>
      <c r="Q261" t="n">
        <v>0</v>
      </c>
      <c r="R261" s="2" t="inlineStr"/>
    </row>
    <row r="262" ht="15" customHeight="1">
      <c r="A262" t="inlineStr">
        <is>
          <t>A 14655-2025</t>
        </is>
      </c>
      <c r="B262" s="1" t="n">
        <v>45742.5072337963</v>
      </c>
      <c r="C262" s="1" t="n">
        <v>46165</v>
      </c>
      <c r="D262" t="inlineStr">
        <is>
          <t>SKÅNE LÄN</t>
        </is>
      </c>
      <c r="E262" t="inlineStr">
        <is>
          <t>HÄSSLEHOLM</t>
        </is>
      </c>
      <c r="G262" t="n">
        <v>4.5</v>
      </c>
      <c r="H262" t="n">
        <v>0</v>
      </c>
      <c r="I262" t="n">
        <v>0</v>
      </c>
      <c r="J262" t="n">
        <v>0</v>
      </c>
      <c r="K262" t="n">
        <v>0</v>
      </c>
      <c r="L262" t="n">
        <v>0</v>
      </c>
      <c r="M262" t="n">
        <v>0</v>
      </c>
      <c r="N262" t="n">
        <v>0</v>
      </c>
      <c r="O262" t="n">
        <v>0</v>
      </c>
      <c r="P262" t="n">
        <v>0</v>
      </c>
      <c r="Q262" t="n">
        <v>0</v>
      </c>
      <c r="R262" s="2" t="inlineStr"/>
    </row>
    <row r="263" ht="15" customHeight="1">
      <c r="A263" t="inlineStr">
        <is>
          <t>A 14926-2024</t>
        </is>
      </c>
      <c r="B263" s="1" t="n">
        <v>45398</v>
      </c>
      <c r="C263" s="1" t="n">
        <v>46165</v>
      </c>
      <c r="D263" t="inlineStr">
        <is>
          <t>SKÅNE LÄN</t>
        </is>
      </c>
      <c r="E263" t="inlineStr">
        <is>
          <t>HÄSSLEHOLM</t>
        </is>
      </c>
      <c r="G263" t="n">
        <v>3.4</v>
      </c>
      <c r="H263" t="n">
        <v>0</v>
      </c>
      <c r="I263" t="n">
        <v>0</v>
      </c>
      <c r="J263" t="n">
        <v>0</v>
      </c>
      <c r="K263" t="n">
        <v>0</v>
      </c>
      <c r="L263" t="n">
        <v>0</v>
      </c>
      <c r="M263" t="n">
        <v>0</v>
      </c>
      <c r="N263" t="n">
        <v>0</v>
      </c>
      <c r="O263" t="n">
        <v>0</v>
      </c>
      <c r="P263" t="n">
        <v>0</v>
      </c>
      <c r="Q263" t="n">
        <v>0</v>
      </c>
      <c r="R263" s="2" t="inlineStr"/>
    </row>
    <row r="264" ht="15" customHeight="1">
      <c r="A264" t="inlineStr">
        <is>
          <t>A 60843-2022</t>
        </is>
      </c>
      <c r="B264" s="1" t="n">
        <v>44914</v>
      </c>
      <c r="C264" s="1" t="n">
        <v>46165</v>
      </c>
      <c r="D264" t="inlineStr">
        <is>
          <t>SKÅNE LÄN</t>
        </is>
      </c>
      <c r="E264" t="inlineStr">
        <is>
          <t>HÄSSLEHOLM</t>
        </is>
      </c>
      <c r="G264" t="n">
        <v>2.2</v>
      </c>
      <c r="H264" t="n">
        <v>0</v>
      </c>
      <c r="I264" t="n">
        <v>0</v>
      </c>
      <c r="J264" t="n">
        <v>0</v>
      </c>
      <c r="K264" t="n">
        <v>0</v>
      </c>
      <c r="L264" t="n">
        <v>0</v>
      </c>
      <c r="M264" t="n">
        <v>0</v>
      </c>
      <c r="N264" t="n">
        <v>0</v>
      </c>
      <c r="O264" t="n">
        <v>0</v>
      </c>
      <c r="P264" t="n">
        <v>0</v>
      </c>
      <c r="Q264" t="n">
        <v>0</v>
      </c>
      <c r="R264" s="2" t="inlineStr"/>
    </row>
    <row r="265" ht="15" customHeight="1">
      <c r="A265" t="inlineStr">
        <is>
          <t>A 59763-2022</t>
        </is>
      </c>
      <c r="B265" s="1" t="n">
        <v>44900</v>
      </c>
      <c r="C265" s="1" t="n">
        <v>46165</v>
      </c>
      <c r="D265" t="inlineStr">
        <is>
          <t>SKÅNE LÄN</t>
        </is>
      </c>
      <c r="E265" t="inlineStr">
        <is>
          <t>HÄSSLEHOLM</t>
        </is>
      </c>
      <c r="F265" t="inlineStr">
        <is>
          <t>Övriga Aktiebolag</t>
        </is>
      </c>
      <c r="G265" t="n">
        <v>1.2</v>
      </c>
      <c r="H265" t="n">
        <v>0</v>
      </c>
      <c r="I265" t="n">
        <v>0</v>
      </c>
      <c r="J265" t="n">
        <v>0</v>
      </c>
      <c r="K265" t="n">
        <v>0</v>
      </c>
      <c r="L265" t="n">
        <v>0</v>
      </c>
      <c r="M265" t="n">
        <v>0</v>
      </c>
      <c r="N265" t="n">
        <v>0</v>
      </c>
      <c r="O265" t="n">
        <v>0</v>
      </c>
      <c r="P265" t="n">
        <v>0</v>
      </c>
      <c r="Q265" t="n">
        <v>0</v>
      </c>
      <c r="R265" s="2" t="inlineStr"/>
    </row>
    <row r="266" ht="15" customHeight="1">
      <c r="A266" t="inlineStr">
        <is>
          <t>A 15562-2024</t>
        </is>
      </c>
      <c r="B266" s="1" t="n">
        <v>45401.64975694445</v>
      </c>
      <c r="C266" s="1" t="n">
        <v>46165</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3364-2023</t>
        </is>
      </c>
      <c r="B267" s="1" t="n">
        <v>44949</v>
      </c>
      <c r="C267" s="1" t="n">
        <v>46165</v>
      </c>
      <c r="D267" t="inlineStr">
        <is>
          <t>SKÅNE LÄN</t>
        </is>
      </c>
      <c r="E267" t="inlineStr">
        <is>
          <t>HÄSSLEHOLM</t>
        </is>
      </c>
      <c r="G267" t="n">
        <v>5.1</v>
      </c>
      <c r="H267" t="n">
        <v>0</v>
      </c>
      <c r="I267" t="n">
        <v>0</v>
      </c>
      <c r="J267" t="n">
        <v>0</v>
      </c>
      <c r="K267" t="n">
        <v>0</v>
      </c>
      <c r="L267" t="n">
        <v>0</v>
      </c>
      <c r="M267" t="n">
        <v>0</v>
      </c>
      <c r="N267" t="n">
        <v>0</v>
      </c>
      <c r="O267" t="n">
        <v>0</v>
      </c>
      <c r="P267" t="n">
        <v>0</v>
      </c>
      <c r="Q267" t="n">
        <v>0</v>
      </c>
      <c r="R267" s="2" t="inlineStr"/>
    </row>
    <row r="268" ht="15" customHeight="1">
      <c r="A268" t="inlineStr">
        <is>
          <t>A 19739-2023</t>
        </is>
      </c>
      <c r="B268" s="1" t="n">
        <v>45051</v>
      </c>
      <c r="C268" s="1" t="n">
        <v>46165</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52642-2021</t>
        </is>
      </c>
      <c r="B269" s="1" t="n">
        <v>44466.64298611111</v>
      </c>
      <c r="C269" s="1" t="n">
        <v>46165</v>
      </c>
      <c r="D269" t="inlineStr">
        <is>
          <t>SKÅNE LÄN</t>
        </is>
      </c>
      <c r="E269" t="inlineStr">
        <is>
          <t>HÄSSLEHOLM</t>
        </is>
      </c>
      <c r="G269" t="n">
        <v>3.7</v>
      </c>
      <c r="H269" t="n">
        <v>0</v>
      </c>
      <c r="I269" t="n">
        <v>0</v>
      </c>
      <c r="J269" t="n">
        <v>0</v>
      </c>
      <c r="K269" t="n">
        <v>0</v>
      </c>
      <c r="L269" t="n">
        <v>0</v>
      </c>
      <c r="M269" t="n">
        <v>0</v>
      </c>
      <c r="N269" t="n">
        <v>0</v>
      </c>
      <c r="O269" t="n">
        <v>0</v>
      </c>
      <c r="P269" t="n">
        <v>0</v>
      </c>
      <c r="Q269" t="n">
        <v>0</v>
      </c>
      <c r="R269" s="2" t="inlineStr"/>
    </row>
    <row r="270" ht="15" customHeight="1">
      <c r="A270" t="inlineStr">
        <is>
          <t>A 52968-2022</t>
        </is>
      </c>
      <c r="B270" s="1" t="n">
        <v>44875</v>
      </c>
      <c r="C270" s="1" t="n">
        <v>46165</v>
      </c>
      <c r="D270" t="inlineStr">
        <is>
          <t>SKÅNE LÄN</t>
        </is>
      </c>
      <c r="E270" t="inlineStr">
        <is>
          <t>HÄSSLEHOLM</t>
        </is>
      </c>
      <c r="G270" t="n">
        <v>2.6</v>
      </c>
      <c r="H270" t="n">
        <v>0</v>
      </c>
      <c r="I270" t="n">
        <v>0</v>
      </c>
      <c r="J270" t="n">
        <v>0</v>
      </c>
      <c r="K270" t="n">
        <v>0</v>
      </c>
      <c r="L270" t="n">
        <v>0</v>
      </c>
      <c r="M270" t="n">
        <v>0</v>
      </c>
      <c r="N270" t="n">
        <v>0</v>
      </c>
      <c r="O270" t="n">
        <v>0</v>
      </c>
      <c r="P270" t="n">
        <v>0</v>
      </c>
      <c r="Q270" t="n">
        <v>0</v>
      </c>
      <c r="R270" s="2" t="inlineStr"/>
    </row>
    <row r="271" ht="15" customHeight="1">
      <c r="A271" t="inlineStr">
        <is>
          <t>A 28071-2023</t>
        </is>
      </c>
      <c r="B271" s="1" t="n">
        <v>45099.37755787037</v>
      </c>
      <c r="C271" s="1" t="n">
        <v>46165</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23946-2023</t>
        </is>
      </c>
      <c r="B272" s="1" t="n">
        <v>45078.61601851852</v>
      </c>
      <c r="C272" s="1" t="n">
        <v>46165</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29847-2024</t>
        </is>
      </c>
      <c r="B273" s="1" t="n">
        <v>45485.6278587963</v>
      </c>
      <c r="C273" s="1" t="n">
        <v>46165</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41459-2022</t>
        </is>
      </c>
      <c r="B274" s="1" t="n">
        <v>44826.93372685185</v>
      </c>
      <c r="C274" s="1" t="n">
        <v>46165</v>
      </c>
      <c r="D274" t="inlineStr">
        <is>
          <t>SKÅNE LÄN</t>
        </is>
      </c>
      <c r="E274" t="inlineStr">
        <is>
          <t>HÄSSLEHOLM</t>
        </is>
      </c>
      <c r="G274" t="n">
        <v>2.3</v>
      </c>
      <c r="H274" t="n">
        <v>0</v>
      </c>
      <c r="I274" t="n">
        <v>0</v>
      </c>
      <c r="J274" t="n">
        <v>0</v>
      </c>
      <c r="K274" t="n">
        <v>0</v>
      </c>
      <c r="L274" t="n">
        <v>0</v>
      </c>
      <c r="M274" t="n">
        <v>0</v>
      </c>
      <c r="N274" t="n">
        <v>0</v>
      </c>
      <c r="O274" t="n">
        <v>0</v>
      </c>
      <c r="P274" t="n">
        <v>0</v>
      </c>
      <c r="Q274" t="n">
        <v>0</v>
      </c>
      <c r="R274" s="2" t="inlineStr"/>
    </row>
    <row r="275" ht="15" customHeight="1">
      <c r="A275" t="inlineStr">
        <is>
          <t>A 22384-2024</t>
        </is>
      </c>
      <c r="B275" s="1" t="n">
        <v>45446.65592592592</v>
      </c>
      <c r="C275" s="1" t="n">
        <v>46165</v>
      </c>
      <c r="D275" t="inlineStr">
        <is>
          <t>SKÅNE LÄN</t>
        </is>
      </c>
      <c r="E275" t="inlineStr">
        <is>
          <t>HÄSSLEHOLM</t>
        </is>
      </c>
      <c r="G275" t="n">
        <v>2.4</v>
      </c>
      <c r="H275" t="n">
        <v>0</v>
      </c>
      <c r="I275" t="n">
        <v>0</v>
      </c>
      <c r="J275" t="n">
        <v>0</v>
      </c>
      <c r="K275" t="n">
        <v>0</v>
      </c>
      <c r="L275" t="n">
        <v>0</v>
      </c>
      <c r="M275" t="n">
        <v>0</v>
      </c>
      <c r="N275" t="n">
        <v>0</v>
      </c>
      <c r="O275" t="n">
        <v>0</v>
      </c>
      <c r="P275" t="n">
        <v>0</v>
      </c>
      <c r="Q275" t="n">
        <v>0</v>
      </c>
      <c r="R275" s="2" t="inlineStr"/>
    </row>
    <row r="276" ht="15" customHeight="1">
      <c r="A276" t="inlineStr">
        <is>
          <t>A 37300-2023</t>
        </is>
      </c>
      <c r="B276" s="1" t="n">
        <v>45156</v>
      </c>
      <c r="C276" s="1" t="n">
        <v>46165</v>
      </c>
      <c r="D276" t="inlineStr">
        <is>
          <t>SKÅNE LÄN</t>
        </is>
      </c>
      <c r="E276" t="inlineStr">
        <is>
          <t>HÄSSLEHOLM</t>
        </is>
      </c>
      <c r="G276" t="n">
        <v>1.5</v>
      </c>
      <c r="H276" t="n">
        <v>0</v>
      </c>
      <c r="I276" t="n">
        <v>0</v>
      </c>
      <c r="J276" t="n">
        <v>0</v>
      </c>
      <c r="K276" t="n">
        <v>0</v>
      </c>
      <c r="L276" t="n">
        <v>0</v>
      </c>
      <c r="M276" t="n">
        <v>0</v>
      </c>
      <c r="N276" t="n">
        <v>0</v>
      </c>
      <c r="O276" t="n">
        <v>0</v>
      </c>
      <c r="P276" t="n">
        <v>0</v>
      </c>
      <c r="Q276" t="n">
        <v>0</v>
      </c>
      <c r="R276" s="2" t="inlineStr"/>
    </row>
    <row r="277" ht="15" customHeight="1">
      <c r="A277" t="inlineStr">
        <is>
          <t>A 51571-2023</t>
        </is>
      </c>
      <c r="B277" s="1" t="n">
        <v>45222</v>
      </c>
      <c r="C277" s="1" t="n">
        <v>46165</v>
      </c>
      <c r="D277" t="inlineStr">
        <is>
          <t>SKÅNE LÄN</t>
        </is>
      </c>
      <c r="E277" t="inlineStr">
        <is>
          <t>HÄSSLEHOLM</t>
        </is>
      </c>
      <c r="G277" t="n">
        <v>0.8</v>
      </c>
      <c r="H277" t="n">
        <v>0</v>
      </c>
      <c r="I277" t="n">
        <v>0</v>
      </c>
      <c r="J277" t="n">
        <v>0</v>
      </c>
      <c r="K277" t="n">
        <v>0</v>
      </c>
      <c r="L277" t="n">
        <v>0</v>
      </c>
      <c r="M277" t="n">
        <v>0</v>
      </c>
      <c r="N277" t="n">
        <v>0</v>
      </c>
      <c r="O277" t="n">
        <v>0</v>
      </c>
      <c r="P277" t="n">
        <v>0</v>
      </c>
      <c r="Q277" t="n">
        <v>0</v>
      </c>
      <c r="R277" s="2" t="inlineStr"/>
    </row>
    <row r="278" ht="15" customHeight="1">
      <c r="A278" t="inlineStr">
        <is>
          <t>A 35644-2023</t>
        </is>
      </c>
      <c r="B278" s="1" t="n">
        <v>45147</v>
      </c>
      <c r="C278" s="1" t="n">
        <v>46165</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3123-2023</t>
        </is>
      </c>
      <c r="B279" s="1" t="n">
        <v>44946.4925</v>
      </c>
      <c r="C279" s="1" t="n">
        <v>46165</v>
      </c>
      <c r="D279" t="inlineStr">
        <is>
          <t>SKÅNE LÄN</t>
        </is>
      </c>
      <c r="E279" t="inlineStr">
        <is>
          <t>HÄSSLEHOLM</t>
        </is>
      </c>
      <c r="G279" t="n">
        <v>3.5</v>
      </c>
      <c r="H279" t="n">
        <v>0</v>
      </c>
      <c r="I279" t="n">
        <v>0</v>
      </c>
      <c r="J279" t="n">
        <v>0</v>
      </c>
      <c r="K279" t="n">
        <v>0</v>
      </c>
      <c r="L279" t="n">
        <v>0</v>
      </c>
      <c r="M279" t="n">
        <v>0</v>
      </c>
      <c r="N279" t="n">
        <v>0</v>
      </c>
      <c r="O279" t="n">
        <v>0</v>
      </c>
      <c r="P279" t="n">
        <v>0</v>
      </c>
      <c r="Q279" t="n">
        <v>0</v>
      </c>
      <c r="R279" s="2" t="inlineStr"/>
    </row>
    <row r="280" ht="15" customHeight="1">
      <c r="A280" t="inlineStr">
        <is>
          <t>A 3126-2023</t>
        </is>
      </c>
      <c r="B280" s="1" t="n">
        <v>44946.49570601852</v>
      </c>
      <c r="C280" s="1" t="n">
        <v>46165</v>
      </c>
      <c r="D280" t="inlineStr">
        <is>
          <t>SKÅNE LÄN</t>
        </is>
      </c>
      <c r="E280" t="inlineStr">
        <is>
          <t>HÄSSLEHOLM</t>
        </is>
      </c>
      <c r="G280" t="n">
        <v>2.2</v>
      </c>
      <c r="H280" t="n">
        <v>0</v>
      </c>
      <c r="I280" t="n">
        <v>0</v>
      </c>
      <c r="J280" t="n">
        <v>0</v>
      </c>
      <c r="K280" t="n">
        <v>0</v>
      </c>
      <c r="L280" t="n">
        <v>0</v>
      </c>
      <c r="M280" t="n">
        <v>0</v>
      </c>
      <c r="N280" t="n">
        <v>0</v>
      </c>
      <c r="O280" t="n">
        <v>0</v>
      </c>
      <c r="P280" t="n">
        <v>0</v>
      </c>
      <c r="Q280" t="n">
        <v>0</v>
      </c>
      <c r="R280" s="2" t="inlineStr"/>
    </row>
    <row r="281" ht="15" customHeight="1">
      <c r="A281" t="inlineStr">
        <is>
          <t>A 31255-2024</t>
        </is>
      </c>
      <c r="B281" s="1" t="n">
        <v>45503.69114583333</v>
      </c>
      <c r="C281" s="1" t="n">
        <v>46165</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44697-2021</t>
        </is>
      </c>
      <c r="B282" s="1" t="n">
        <v>44438</v>
      </c>
      <c r="C282" s="1" t="n">
        <v>46165</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49181-2024</t>
        </is>
      </c>
      <c r="B283" s="1" t="n">
        <v>45595</v>
      </c>
      <c r="C283" s="1" t="n">
        <v>46165</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37318-2024</t>
        </is>
      </c>
      <c r="B284" s="1" t="n">
        <v>45540</v>
      </c>
      <c r="C284" s="1" t="n">
        <v>46165</v>
      </c>
      <c r="D284" t="inlineStr">
        <is>
          <t>SKÅNE LÄN</t>
        </is>
      </c>
      <c r="E284" t="inlineStr">
        <is>
          <t>HÄSSLEHOLM</t>
        </is>
      </c>
      <c r="G284" t="n">
        <v>3.9</v>
      </c>
      <c r="H284" t="n">
        <v>0</v>
      </c>
      <c r="I284" t="n">
        <v>0</v>
      </c>
      <c r="J284" t="n">
        <v>0</v>
      </c>
      <c r="K284" t="n">
        <v>0</v>
      </c>
      <c r="L284" t="n">
        <v>0</v>
      </c>
      <c r="M284" t="n">
        <v>0</v>
      </c>
      <c r="N284" t="n">
        <v>0</v>
      </c>
      <c r="O284" t="n">
        <v>0</v>
      </c>
      <c r="P284" t="n">
        <v>0</v>
      </c>
      <c r="Q284" t="n">
        <v>0</v>
      </c>
      <c r="R284" s="2" t="inlineStr"/>
    </row>
    <row r="285" ht="15" customHeight="1">
      <c r="A285" t="inlineStr">
        <is>
          <t>A 37324-2024</t>
        </is>
      </c>
      <c r="B285" s="1" t="n">
        <v>45540.50104166667</v>
      </c>
      <c r="C285" s="1" t="n">
        <v>46165</v>
      </c>
      <c r="D285" t="inlineStr">
        <is>
          <t>SKÅNE LÄN</t>
        </is>
      </c>
      <c r="E285" t="inlineStr">
        <is>
          <t>HÄSSLEHOLM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23860-2024</t>
        </is>
      </c>
      <c r="B286" s="1" t="n">
        <v>45455</v>
      </c>
      <c r="C286" s="1" t="n">
        <v>46165</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23864-2024</t>
        </is>
      </c>
      <c r="B287" s="1" t="n">
        <v>45455</v>
      </c>
      <c r="C287" s="1" t="n">
        <v>46165</v>
      </c>
      <c r="D287" t="inlineStr">
        <is>
          <t>SKÅNE LÄN</t>
        </is>
      </c>
      <c r="E287" t="inlineStr">
        <is>
          <t>HÄSSLEHOLM</t>
        </is>
      </c>
      <c r="G287" t="n">
        <v>6.2</v>
      </c>
      <c r="H287" t="n">
        <v>0</v>
      </c>
      <c r="I287" t="n">
        <v>0</v>
      </c>
      <c r="J287" t="n">
        <v>0</v>
      </c>
      <c r="K287" t="n">
        <v>0</v>
      </c>
      <c r="L287" t="n">
        <v>0</v>
      </c>
      <c r="M287" t="n">
        <v>0</v>
      </c>
      <c r="N287" t="n">
        <v>0</v>
      </c>
      <c r="O287" t="n">
        <v>0</v>
      </c>
      <c r="P287" t="n">
        <v>0</v>
      </c>
      <c r="Q287" t="n">
        <v>0</v>
      </c>
      <c r="R287" s="2" t="inlineStr"/>
    </row>
    <row r="288" ht="15" customHeight="1">
      <c r="A288" t="inlineStr">
        <is>
          <t>A 57656-2022</t>
        </is>
      </c>
      <c r="B288" s="1" t="n">
        <v>44897.4325925926</v>
      </c>
      <c r="C288" s="1" t="n">
        <v>46165</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32881-2024</t>
        </is>
      </c>
      <c r="B289" s="1" t="n">
        <v>45516</v>
      </c>
      <c r="C289" s="1" t="n">
        <v>46165</v>
      </c>
      <c r="D289" t="inlineStr">
        <is>
          <t>SKÅNE LÄN</t>
        </is>
      </c>
      <c r="E289" t="inlineStr">
        <is>
          <t>HÄSSLEHOLM</t>
        </is>
      </c>
      <c r="G289" t="n">
        <v>6.3</v>
      </c>
      <c r="H289" t="n">
        <v>0</v>
      </c>
      <c r="I289" t="n">
        <v>0</v>
      </c>
      <c r="J289" t="n">
        <v>0</v>
      </c>
      <c r="K289" t="n">
        <v>0</v>
      </c>
      <c r="L289" t="n">
        <v>0</v>
      </c>
      <c r="M289" t="n">
        <v>0</v>
      </c>
      <c r="N289" t="n">
        <v>0</v>
      </c>
      <c r="O289" t="n">
        <v>0</v>
      </c>
      <c r="P289" t="n">
        <v>0</v>
      </c>
      <c r="Q289" t="n">
        <v>0</v>
      </c>
      <c r="R289" s="2" t="inlineStr"/>
    </row>
    <row r="290" ht="15" customHeight="1">
      <c r="A290" t="inlineStr">
        <is>
          <t>A 11798-2022</t>
        </is>
      </c>
      <c r="B290" s="1" t="n">
        <v>44634.64900462963</v>
      </c>
      <c r="C290" s="1" t="n">
        <v>46165</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56881-2021</t>
        </is>
      </c>
      <c r="B291" s="1" t="n">
        <v>44481</v>
      </c>
      <c r="C291" s="1" t="n">
        <v>46165</v>
      </c>
      <c r="D291" t="inlineStr">
        <is>
          <t>SKÅNE LÄN</t>
        </is>
      </c>
      <c r="E291" t="inlineStr">
        <is>
          <t>HÄSSLEHOLM</t>
        </is>
      </c>
      <c r="G291" t="n">
        <v>0.4</v>
      </c>
      <c r="H291" t="n">
        <v>0</v>
      </c>
      <c r="I291" t="n">
        <v>0</v>
      </c>
      <c r="J291" t="n">
        <v>0</v>
      </c>
      <c r="K291" t="n">
        <v>0</v>
      </c>
      <c r="L291" t="n">
        <v>0</v>
      </c>
      <c r="M291" t="n">
        <v>0</v>
      </c>
      <c r="N291" t="n">
        <v>0</v>
      </c>
      <c r="O291" t="n">
        <v>0</v>
      </c>
      <c r="P291" t="n">
        <v>0</v>
      </c>
      <c r="Q291" t="n">
        <v>0</v>
      </c>
      <c r="R291" s="2" t="inlineStr"/>
    </row>
    <row r="292" ht="15" customHeight="1">
      <c r="A292" t="inlineStr">
        <is>
          <t>A 32794-2023</t>
        </is>
      </c>
      <c r="B292" s="1" t="n">
        <v>45124.40446759259</v>
      </c>
      <c r="C292" s="1" t="n">
        <v>46165</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38306-2022</t>
        </is>
      </c>
      <c r="B293" s="1" t="n">
        <v>44812.57515046297</v>
      </c>
      <c r="C293" s="1" t="n">
        <v>46165</v>
      </c>
      <c r="D293" t="inlineStr">
        <is>
          <t>SKÅNE LÄN</t>
        </is>
      </c>
      <c r="E293" t="inlineStr">
        <is>
          <t>HÄSSLEHOLM</t>
        </is>
      </c>
      <c r="G293" t="n">
        <v>2.2</v>
      </c>
      <c r="H293" t="n">
        <v>0</v>
      </c>
      <c r="I293" t="n">
        <v>0</v>
      </c>
      <c r="J293" t="n">
        <v>0</v>
      </c>
      <c r="K293" t="n">
        <v>0</v>
      </c>
      <c r="L293" t="n">
        <v>0</v>
      </c>
      <c r="M293" t="n">
        <v>0</v>
      </c>
      <c r="N293" t="n">
        <v>0</v>
      </c>
      <c r="O293" t="n">
        <v>0</v>
      </c>
      <c r="P293" t="n">
        <v>0</v>
      </c>
      <c r="Q293" t="n">
        <v>0</v>
      </c>
      <c r="R293" s="2" t="inlineStr"/>
    </row>
    <row r="294" ht="15" customHeight="1">
      <c r="A294" t="inlineStr">
        <is>
          <t>A 61436-2024</t>
        </is>
      </c>
      <c r="B294" s="1" t="n">
        <v>45646.46329861111</v>
      </c>
      <c r="C294" s="1" t="n">
        <v>46165</v>
      </c>
      <c r="D294" t="inlineStr">
        <is>
          <t>SKÅNE LÄN</t>
        </is>
      </c>
      <c r="E294" t="inlineStr">
        <is>
          <t>HÄSSLEHOLM</t>
        </is>
      </c>
      <c r="G294" t="n">
        <v>0.7</v>
      </c>
      <c r="H294" t="n">
        <v>0</v>
      </c>
      <c r="I294" t="n">
        <v>0</v>
      </c>
      <c r="J294" t="n">
        <v>0</v>
      </c>
      <c r="K294" t="n">
        <v>0</v>
      </c>
      <c r="L294" t="n">
        <v>0</v>
      </c>
      <c r="M294" t="n">
        <v>0</v>
      </c>
      <c r="N294" t="n">
        <v>0</v>
      </c>
      <c r="O294" t="n">
        <v>0</v>
      </c>
      <c r="P294" t="n">
        <v>0</v>
      </c>
      <c r="Q294" t="n">
        <v>0</v>
      </c>
      <c r="R294" s="2" t="inlineStr"/>
    </row>
    <row r="295" ht="15" customHeight="1">
      <c r="A295" t="inlineStr">
        <is>
          <t>A 8244-2023</t>
        </is>
      </c>
      <c r="B295" s="1" t="n">
        <v>44974</v>
      </c>
      <c r="C295" s="1" t="n">
        <v>46165</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8246-2023</t>
        </is>
      </c>
      <c r="B296" s="1" t="n">
        <v>44974</v>
      </c>
      <c r="C296" s="1" t="n">
        <v>46165</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38712-2024</t>
        </is>
      </c>
      <c r="B297" s="1" t="n">
        <v>45547</v>
      </c>
      <c r="C297" s="1" t="n">
        <v>46165</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13673-2023</t>
        </is>
      </c>
      <c r="B298" s="1" t="n">
        <v>45006.87957175926</v>
      </c>
      <c r="C298" s="1" t="n">
        <v>46165</v>
      </c>
      <c r="D298" t="inlineStr">
        <is>
          <t>SKÅNE LÄN</t>
        </is>
      </c>
      <c r="E298" t="inlineStr">
        <is>
          <t>HÄSSLEHOLM</t>
        </is>
      </c>
      <c r="G298" t="n">
        <v>3.2</v>
      </c>
      <c r="H298" t="n">
        <v>0</v>
      </c>
      <c r="I298" t="n">
        <v>0</v>
      </c>
      <c r="J298" t="n">
        <v>0</v>
      </c>
      <c r="K298" t="n">
        <v>0</v>
      </c>
      <c r="L298" t="n">
        <v>0</v>
      </c>
      <c r="M298" t="n">
        <v>0</v>
      </c>
      <c r="N298" t="n">
        <v>0</v>
      </c>
      <c r="O298" t="n">
        <v>0</v>
      </c>
      <c r="P298" t="n">
        <v>0</v>
      </c>
      <c r="Q298" t="n">
        <v>0</v>
      </c>
      <c r="R298" s="2" t="inlineStr"/>
    </row>
    <row r="299" ht="15" customHeight="1">
      <c r="A299" t="inlineStr">
        <is>
          <t>A 13310-2025</t>
        </is>
      </c>
      <c r="B299" s="1" t="n">
        <v>45735.58814814815</v>
      </c>
      <c r="C299" s="1" t="n">
        <v>46165</v>
      </c>
      <c r="D299" t="inlineStr">
        <is>
          <t>SKÅNE LÄN</t>
        </is>
      </c>
      <c r="E299" t="inlineStr">
        <is>
          <t>HÄSSLEHOLM</t>
        </is>
      </c>
      <c r="G299" t="n">
        <v>2</v>
      </c>
      <c r="H299" t="n">
        <v>0</v>
      </c>
      <c r="I299" t="n">
        <v>0</v>
      </c>
      <c r="J299" t="n">
        <v>0</v>
      </c>
      <c r="K299" t="n">
        <v>0</v>
      </c>
      <c r="L299" t="n">
        <v>0</v>
      </c>
      <c r="M299" t="n">
        <v>0</v>
      </c>
      <c r="N299" t="n">
        <v>0</v>
      </c>
      <c r="O299" t="n">
        <v>0</v>
      </c>
      <c r="P299" t="n">
        <v>0</v>
      </c>
      <c r="Q299" t="n">
        <v>0</v>
      </c>
      <c r="R299" s="2" t="inlineStr"/>
    </row>
    <row r="300" ht="15" customHeight="1">
      <c r="A300" t="inlineStr">
        <is>
          <t>A 12584-2025</t>
        </is>
      </c>
      <c r="B300" s="1" t="n">
        <v>45732</v>
      </c>
      <c r="C300" s="1" t="n">
        <v>46165</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25606-2024</t>
        </is>
      </c>
      <c r="B301" s="1" t="n">
        <v>45463.63179398148</v>
      </c>
      <c r="C301" s="1" t="n">
        <v>46165</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3746-2024</t>
        </is>
      </c>
      <c r="B302" s="1" t="n">
        <v>45321.50745370371</v>
      </c>
      <c r="C302" s="1" t="n">
        <v>46165</v>
      </c>
      <c r="D302" t="inlineStr">
        <is>
          <t>SKÅNE LÄN</t>
        </is>
      </c>
      <c r="E302" t="inlineStr">
        <is>
          <t>HÄSSLEHOLM</t>
        </is>
      </c>
      <c r="G302" t="n">
        <v>3.4</v>
      </c>
      <c r="H302" t="n">
        <v>0</v>
      </c>
      <c r="I302" t="n">
        <v>0</v>
      </c>
      <c r="J302" t="n">
        <v>0</v>
      </c>
      <c r="K302" t="n">
        <v>0</v>
      </c>
      <c r="L302" t="n">
        <v>0</v>
      </c>
      <c r="M302" t="n">
        <v>0</v>
      </c>
      <c r="N302" t="n">
        <v>0</v>
      </c>
      <c r="O302" t="n">
        <v>0</v>
      </c>
      <c r="P302" t="n">
        <v>0</v>
      </c>
      <c r="Q302" t="n">
        <v>0</v>
      </c>
      <c r="R302" s="2" t="inlineStr"/>
    </row>
    <row r="303" ht="15" customHeight="1">
      <c r="A303" t="inlineStr">
        <is>
          <t>A 7192-2025</t>
        </is>
      </c>
      <c r="B303" s="1" t="n">
        <v>45702.44746527778</v>
      </c>
      <c r="C303" s="1" t="n">
        <v>46165</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57649-2022</t>
        </is>
      </c>
      <c r="B304" s="1" t="n">
        <v>44897.42755787037</v>
      </c>
      <c r="C304" s="1" t="n">
        <v>46165</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57665-2022</t>
        </is>
      </c>
      <c r="B305" s="1" t="n">
        <v>44897.4494212963</v>
      </c>
      <c r="C305" s="1" t="n">
        <v>46165</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57676-2022</t>
        </is>
      </c>
      <c r="B306" s="1" t="n">
        <v>44897</v>
      </c>
      <c r="C306" s="1" t="n">
        <v>46165</v>
      </c>
      <c r="D306" t="inlineStr">
        <is>
          <t>SKÅNE LÄN</t>
        </is>
      </c>
      <c r="E306" t="inlineStr">
        <is>
          <t>HÄSSLEHOLM</t>
        </is>
      </c>
      <c r="G306" t="n">
        <v>1</v>
      </c>
      <c r="H306" t="n">
        <v>0</v>
      </c>
      <c r="I306" t="n">
        <v>0</v>
      </c>
      <c r="J306" t="n">
        <v>0</v>
      </c>
      <c r="K306" t="n">
        <v>0</v>
      </c>
      <c r="L306" t="n">
        <v>0</v>
      </c>
      <c r="M306" t="n">
        <v>0</v>
      </c>
      <c r="N306" t="n">
        <v>0</v>
      </c>
      <c r="O306" t="n">
        <v>0</v>
      </c>
      <c r="P306" t="n">
        <v>0</v>
      </c>
      <c r="Q306" t="n">
        <v>0</v>
      </c>
      <c r="R306" s="2" t="inlineStr"/>
    </row>
    <row r="307" ht="15" customHeight="1">
      <c r="A307" t="inlineStr">
        <is>
          <t>A 14145-2023</t>
        </is>
      </c>
      <c r="B307" s="1" t="n">
        <v>45009</v>
      </c>
      <c r="C307" s="1" t="n">
        <v>46165</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14939-2023</t>
        </is>
      </c>
      <c r="B308" s="1" t="n">
        <v>45014</v>
      </c>
      <c r="C308" s="1" t="n">
        <v>46165</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13345-2025</t>
        </is>
      </c>
      <c r="B309" s="1" t="n">
        <v>45735.63017361111</v>
      </c>
      <c r="C309" s="1" t="n">
        <v>46165</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4945-2022</t>
        </is>
      </c>
      <c r="B310" s="1" t="n">
        <v>44593</v>
      </c>
      <c r="C310" s="1" t="n">
        <v>46165</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12558-2023</t>
        </is>
      </c>
      <c r="B311" s="1" t="n">
        <v>45000.36103009259</v>
      </c>
      <c r="C311" s="1" t="n">
        <v>46165</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26536-2022</t>
        </is>
      </c>
      <c r="B312" s="1" t="n">
        <v>44739.45496527778</v>
      </c>
      <c r="C312" s="1" t="n">
        <v>46165</v>
      </c>
      <c r="D312" t="inlineStr">
        <is>
          <t>SKÅNE LÄN</t>
        </is>
      </c>
      <c r="E312" t="inlineStr">
        <is>
          <t>HÄSSLEHOLM</t>
        </is>
      </c>
      <c r="G312" t="n">
        <v>3.1</v>
      </c>
      <c r="H312" t="n">
        <v>0</v>
      </c>
      <c r="I312" t="n">
        <v>0</v>
      </c>
      <c r="J312" t="n">
        <v>0</v>
      </c>
      <c r="K312" t="n">
        <v>0</v>
      </c>
      <c r="L312" t="n">
        <v>0</v>
      </c>
      <c r="M312" t="n">
        <v>0</v>
      </c>
      <c r="N312" t="n">
        <v>0</v>
      </c>
      <c r="O312" t="n">
        <v>0</v>
      </c>
      <c r="P312" t="n">
        <v>0</v>
      </c>
      <c r="Q312" t="n">
        <v>0</v>
      </c>
      <c r="R312" s="2" t="inlineStr"/>
    </row>
    <row r="313" ht="15" customHeight="1">
      <c r="A313" t="inlineStr">
        <is>
          <t>A 25057-2024</t>
        </is>
      </c>
      <c r="B313" s="1" t="n">
        <v>45462</v>
      </c>
      <c r="C313" s="1" t="n">
        <v>46165</v>
      </c>
      <c r="D313" t="inlineStr">
        <is>
          <t>SKÅNE LÄN</t>
        </is>
      </c>
      <c r="E313" t="inlineStr">
        <is>
          <t>HÄSSLEHOLM</t>
        </is>
      </c>
      <c r="G313" t="n">
        <v>4.3</v>
      </c>
      <c r="H313" t="n">
        <v>0</v>
      </c>
      <c r="I313" t="n">
        <v>0</v>
      </c>
      <c r="J313" t="n">
        <v>0</v>
      </c>
      <c r="K313" t="n">
        <v>0</v>
      </c>
      <c r="L313" t="n">
        <v>0</v>
      </c>
      <c r="M313" t="n">
        <v>0</v>
      </c>
      <c r="N313" t="n">
        <v>0</v>
      </c>
      <c r="O313" t="n">
        <v>0</v>
      </c>
      <c r="P313" t="n">
        <v>0</v>
      </c>
      <c r="Q313" t="n">
        <v>0</v>
      </c>
      <c r="R313" s="2" t="inlineStr"/>
    </row>
    <row r="314" ht="15" customHeight="1">
      <c r="A314" t="inlineStr">
        <is>
          <t>A 7494-2023</t>
        </is>
      </c>
      <c r="B314" s="1" t="n">
        <v>44971.70835648148</v>
      </c>
      <c r="C314" s="1" t="n">
        <v>46165</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4119-2024</t>
        </is>
      </c>
      <c r="B315" s="1" t="n">
        <v>45323.67920138889</v>
      </c>
      <c r="C315" s="1" t="n">
        <v>46165</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10115-2024</t>
        </is>
      </c>
      <c r="B316" s="1" t="n">
        <v>45364.55339120371</v>
      </c>
      <c r="C316" s="1" t="n">
        <v>46165</v>
      </c>
      <c r="D316" t="inlineStr">
        <is>
          <t>SKÅNE LÄN</t>
        </is>
      </c>
      <c r="E316" t="inlineStr">
        <is>
          <t>HÄSSLEHOLM</t>
        </is>
      </c>
      <c r="G316" t="n">
        <v>7</v>
      </c>
      <c r="H316" t="n">
        <v>0</v>
      </c>
      <c r="I316" t="n">
        <v>0</v>
      </c>
      <c r="J316" t="n">
        <v>0</v>
      </c>
      <c r="K316" t="n">
        <v>0</v>
      </c>
      <c r="L316" t="n">
        <v>0</v>
      </c>
      <c r="M316" t="n">
        <v>0</v>
      </c>
      <c r="N316" t="n">
        <v>0</v>
      </c>
      <c r="O316" t="n">
        <v>0</v>
      </c>
      <c r="P316" t="n">
        <v>0</v>
      </c>
      <c r="Q316" t="n">
        <v>0</v>
      </c>
      <c r="R316" s="2" t="inlineStr"/>
    </row>
    <row r="317" ht="15" customHeight="1">
      <c r="A317" t="inlineStr">
        <is>
          <t>A 6835-2023</t>
        </is>
      </c>
      <c r="B317" s="1" t="n">
        <v>44967</v>
      </c>
      <c r="C317" s="1" t="n">
        <v>46165</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47757-2024</t>
        </is>
      </c>
      <c r="B318" s="1" t="n">
        <v>45588.55075231481</v>
      </c>
      <c r="C318" s="1" t="n">
        <v>46165</v>
      </c>
      <c r="D318" t="inlineStr">
        <is>
          <t>SKÅNE LÄN</t>
        </is>
      </c>
      <c r="E318" t="inlineStr">
        <is>
          <t>HÄSSLEHOLM</t>
        </is>
      </c>
      <c r="G318" t="n">
        <v>5.5</v>
      </c>
      <c r="H318" t="n">
        <v>0</v>
      </c>
      <c r="I318" t="n">
        <v>0</v>
      </c>
      <c r="J318" t="n">
        <v>0</v>
      </c>
      <c r="K318" t="n">
        <v>0</v>
      </c>
      <c r="L318" t="n">
        <v>0</v>
      </c>
      <c r="M318" t="n">
        <v>0</v>
      </c>
      <c r="N318" t="n">
        <v>0</v>
      </c>
      <c r="O318" t="n">
        <v>0</v>
      </c>
      <c r="P318" t="n">
        <v>0</v>
      </c>
      <c r="Q318" t="n">
        <v>0</v>
      </c>
      <c r="R318" s="2" t="inlineStr"/>
    </row>
    <row r="319" ht="15" customHeight="1">
      <c r="A319" t="inlineStr">
        <is>
          <t>A 16550-2025</t>
        </is>
      </c>
      <c r="B319" s="1" t="n">
        <v>45751.69412037037</v>
      </c>
      <c r="C319" s="1" t="n">
        <v>46165</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12570-2023</t>
        </is>
      </c>
      <c r="B320" s="1" t="n">
        <v>44999</v>
      </c>
      <c r="C320" s="1" t="n">
        <v>46165</v>
      </c>
      <c r="D320" t="inlineStr">
        <is>
          <t>SKÅNE LÄN</t>
        </is>
      </c>
      <c r="E320" t="inlineStr">
        <is>
          <t>HÄSSLEHOLM</t>
        </is>
      </c>
      <c r="G320" t="n">
        <v>3.4</v>
      </c>
      <c r="H320" t="n">
        <v>0</v>
      </c>
      <c r="I320" t="n">
        <v>0</v>
      </c>
      <c r="J320" t="n">
        <v>0</v>
      </c>
      <c r="K320" t="n">
        <v>0</v>
      </c>
      <c r="L320" t="n">
        <v>0</v>
      </c>
      <c r="M320" t="n">
        <v>0</v>
      </c>
      <c r="N320" t="n">
        <v>0</v>
      </c>
      <c r="O320" t="n">
        <v>0</v>
      </c>
      <c r="P320" t="n">
        <v>0</v>
      </c>
      <c r="Q320" t="n">
        <v>0</v>
      </c>
      <c r="R320" s="2" t="inlineStr"/>
    </row>
    <row r="321" ht="15" customHeight="1">
      <c r="A321" t="inlineStr">
        <is>
          <t>A 21328-2023</t>
        </is>
      </c>
      <c r="B321" s="1" t="n">
        <v>45062</v>
      </c>
      <c r="C321" s="1" t="n">
        <v>46165</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58250-2024</t>
        </is>
      </c>
      <c r="B322" s="1" t="n">
        <v>45632.55643518519</v>
      </c>
      <c r="C322" s="1" t="n">
        <v>46165</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25219-2023</t>
        </is>
      </c>
      <c r="B323" s="1" t="n">
        <v>45086.60541666667</v>
      </c>
      <c r="C323" s="1" t="n">
        <v>46165</v>
      </c>
      <c r="D323" t="inlineStr">
        <is>
          <t>SKÅNE LÄN</t>
        </is>
      </c>
      <c r="E323" t="inlineStr">
        <is>
          <t>HÄSSLEHOLM</t>
        </is>
      </c>
      <c r="G323" t="n">
        <v>6.9</v>
      </c>
      <c r="H323" t="n">
        <v>0</v>
      </c>
      <c r="I323" t="n">
        <v>0</v>
      </c>
      <c r="J323" t="n">
        <v>0</v>
      </c>
      <c r="K323" t="n">
        <v>0</v>
      </c>
      <c r="L323" t="n">
        <v>0</v>
      </c>
      <c r="M323" t="n">
        <v>0</v>
      </c>
      <c r="N323" t="n">
        <v>0</v>
      </c>
      <c r="O323" t="n">
        <v>0</v>
      </c>
      <c r="P323" t="n">
        <v>0</v>
      </c>
      <c r="Q323" t="n">
        <v>0</v>
      </c>
      <c r="R323" s="2" t="inlineStr"/>
    </row>
    <row r="324" ht="15" customHeight="1">
      <c r="A324" t="inlineStr">
        <is>
          <t>A 16860-2025</t>
        </is>
      </c>
      <c r="B324" s="1" t="n">
        <v>45751</v>
      </c>
      <c r="C324" s="1" t="n">
        <v>46165</v>
      </c>
      <c r="D324" t="inlineStr">
        <is>
          <t>SKÅNE LÄN</t>
        </is>
      </c>
      <c r="E324" t="inlineStr">
        <is>
          <t>HÄSSLEHOLM</t>
        </is>
      </c>
      <c r="G324" t="n">
        <v>1.3</v>
      </c>
      <c r="H324" t="n">
        <v>0</v>
      </c>
      <c r="I324" t="n">
        <v>0</v>
      </c>
      <c r="J324" t="n">
        <v>0</v>
      </c>
      <c r="K324" t="n">
        <v>0</v>
      </c>
      <c r="L324" t="n">
        <v>0</v>
      </c>
      <c r="M324" t="n">
        <v>0</v>
      </c>
      <c r="N324" t="n">
        <v>0</v>
      </c>
      <c r="O324" t="n">
        <v>0</v>
      </c>
      <c r="P324" t="n">
        <v>0</v>
      </c>
      <c r="Q324" t="n">
        <v>0</v>
      </c>
      <c r="R324" s="2" t="inlineStr"/>
    </row>
    <row r="325" ht="15" customHeight="1">
      <c r="A325" t="inlineStr">
        <is>
          <t>A 54671-2022</t>
        </is>
      </c>
      <c r="B325" s="1" t="n">
        <v>44883</v>
      </c>
      <c r="C325" s="1" t="n">
        <v>46165</v>
      </c>
      <c r="D325" t="inlineStr">
        <is>
          <t>SKÅNE LÄN</t>
        </is>
      </c>
      <c r="E325" t="inlineStr">
        <is>
          <t>HÄSSLEHOLM</t>
        </is>
      </c>
      <c r="G325" t="n">
        <v>1.4</v>
      </c>
      <c r="H325" t="n">
        <v>0</v>
      </c>
      <c r="I325" t="n">
        <v>0</v>
      </c>
      <c r="J325" t="n">
        <v>0</v>
      </c>
      <c r="K325" t="n">
        <v>0</v>
      </c>
      <c r="L325" t="n">
        <v>0</v>
      </c>
      <c r="M325" t="n">
        <v>0</v>
      </c>
      <c r="N325" t="n">
        <v>0</v>
      </c>
      <c r="O325" t="n">
        <v>0</v>
      </c>
      <c r="P325" t="n">
        <v>0</v>
      </c>
      <c r="Q325" t="n">
        <v>0</v>
      </c>
      <c r="R325" s="2" t="inlineStr"/>
    </row>
    <row r="326" ht="15" customHeight="1">
      <c r="A326" t="inlineStr">
        <is>
          <t>A 34869-2025</t>
        </is>
      </c>
      <c r="B326" s="1" t="n">
        <v>45849</v>
      </c>
      <c r="C326" s="1" t="n">
        <v>46165</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7306-2025</t>
        </is>
      </c>
      <c r="B327" s="1" t="n">
        <v>45702</v>
      </c>
      <c r="C327" s="1" t="n">
        <v>46165</v>
      </c>
      <c r="D327" t="inlineStr">
        <is>
          <t>SKÅNE LÄN</t>
        </is>
      </c>
      <c r="E327" t="inlineStr">
        <is>
          <t>HÄSSLEHOLM</t>
        </is>
      </c>
      <c r="F327" t="inlineStr">
        <is>
          <t>Övriga Aktiebolag</t>
        </is>
      </c>
      <c r="G327" t="n">
        <v>3.3</v>
      </c>
      <c r="H327" t="n">
        <v>0</v>
      </c>
      <c r="I327" t="n">
        <v>0</v>
      </c>
      <c r="J327" t="n">
        <v>0</v>
      </c>
      <c r="K327" t="n">
        <v>0</v>
      </c>
      <c r="L327" t="n">
        <v>0</v>
      </c>
      <c r="M327" t="n">
        <v>0</v>
      </c>
      <c r="N327" t="n">
        <v>0</v>
      </c>
      <c r="O327" t="n">
        <v>0</v>
      </c>
      <c r="P327" t="n">
        <v>0</v>
      </c>
      <c r="Q327" t="n">
        <v>0</v>
      </c>
      <c r="R327" s="2" t="inlineStr"/>
    </row>
    <row r="328" ht="15" customHeight="1">
      <c r="A328" t="inlineStr">
        <is>
          <t>A 7308-2025</t>
        </is>
      </c>
      <c r="B328" s="1" t="n">
        <v>45702</v>
      </c>
      <c r="C328" s="1" t="n">
        <v>46165</v>
      </c>
      <c r="D328" t="inlineStr">
        <is>
          <t>SKÅNE LÄN</t>
        </is>
      </c>
      <c r="E328" t="inlineStr">
        <is>
          <t>HÄSSLEHOLM</t>
        </is>
      </c>
      <c r="F328" t="inlineStr">
        <is>
          <t>Övriga Aktiebolag</t>
        </is>
      </c>
      <c r="G328" t="n">
        <v>4.8</v>
      </c>
      <c r="H328" t="n">
        <v>0</v>
      </c>
      <c r="I328" t="n">
        <v>0</v>
      </c>
      <c r="J328" t="n">
        <v>0</v>
      </c>
      <c r="K328" t="n">
        <v>0</v>
      </c>
      <c r="L328" t="n">
        <v>0</v>
      </c>
      <c r="M328" t="n">
        <v>0</v>
      </c>
      <c r="N328" t="n">
        <v>0</v>
      </c>
      <c r="O328" t="n">
        <v>0</v>
      </c>
      <c r="P328" t="n">
        <v>0</v>
      </c>
      <c r="Q328" t="n">
        <v>0</v>
      </c>
      <c r="R328" s="2" t="inlineStr"/>
    </row>
    <row r="329" ht="15" customHeight="1">
      <c r="A329" t="inlineStr">
        <is>
          <t>A 40739-2024</t>
        </is>
      </c>
      <c r="B329" s="1" t="n">
        <v>45558</v>
      </c>
      <c r="C329" s="1" t="n">
        <v>46165</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16470-2026</t>
        </is>
      </c>
      <c r="B330" s="1" t="n">
        <v>46112.37516203704</v>
      </c>
      <c r="C330" s="1" t="n">
        <v>46165</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13932-2023</t>
        </is>
      </c>
      <c r="B331" s="1" t="n">
        <v>45008.43935185186</v>
      </c>
      <c r="C331" s="1" t="n">
        <v>46165</v>
      </c>
      <c r="D331" t="inlineStr">
        <is>
          <t>SKÅNE LÄN</t>
        </is>
      </c>
      <c r="E331" t="inlineStr">
        <is>
          <t>HÄSSLEHOLM</t>
        </is>
      </c>
      <c r="G331" t="n">
        <v>3.3</v>
      </c>
      <c r="H331" t="n">
        <v>0</v>
      </c>
      <c r="I331" t="n">
        <v>0</v>
      </c>
      <c r="J331" t="n">
        <v>0</v>
      </c>
      <c r="K331" t="n">
        <v>0</v>
      </c>
      <c r="L331" t="n">
        <v>0</v>
      </c>
      <c r="M331" t="n">
        <v>0</v>
      </c>
      <c r="N331" t="n">
        <v>0</v>
      </c>
      <c r="O331" t="n">
        <v>0</v>
      </c>
      <c r="P331" t="n">
        <v>0</v>
      </c>
      <c r="Q331" t="n">
        <v>0</v>
      </c>
      <c r="R331" s="2" t="inlineStr"/>
    </row>
    <row r="332" ht="15" customHeight="1">
      <c r="A332" t="inlineStr">
        <is>
          <t>A 35889-2023</t>
        </is>
      </c>
      <c r="B332" s="1" t="n">
        <v>45148</v>
      </c>
      <c r="C332" s="1" t="n">
        <v>46165</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35894-2023</t>
        </is>
      </c>
      <c r="B333" s="1" t="n">
        <v>45148</v>
      </c>
      <c r="C333" s="1" t="n">
        <v>46165</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20970-2025</t>
        </is>
      </c>
      <c r="B334" s="1" t="n">
        <v>45777.45417824074</v>
      </c>
      <c r="C334" s="1" t="n">
        <v>46165</v>
      </c>
      <c r="D334" t="inlineStr">
        <is>
          <t>SKÅNE LÄN</t>
        </is>
      </c>
      <c r="E334" t="inlineStr">
        <is>
          <t>HÄSSLEHOLM</t>
        </is>
      </c>
      <c r="G334" t="n">
        <v>2.2</v>
      </c>
      <c r="H334" t="n">
        <v>0</v>
      </c>
      <c r="I334" t="n">
        <v>0</v>
      </c>
      <c r="J334" t="n">
        <v>0</v>
      </c>
      <c r="K334" t="n">
        <v>0</v>
      </c>
      <c r="L334" t="n">
        <v>0</v>
      </c>
      <c r="M334" t="n">
        <v>0</v>
      </c>
      <c r="N334" t="n">
        <v>0</v>
      </c>
      <c r="O334" t="n">
        <v>0</v>
      </c>
      <c r="P334" t="n">
        <v>0</v>
      </c>
      <c r="Q334" t="n">
        <v>0</v>
      </c>
      <c r="R334" s="2" t="inlineStr"/>
    </row>
    <row r="335" ht="15" customHeight="1">
      <c r="A335" t="inlineStr">
        <is>
          <t>A 16476-2026</t>
        </is>
      </c>
      <c r="B335" s="1" t="n">
        <v>46112.38662037037</v>
      </c>
      <c r="C335" s="1" t="n">
        <v>46165</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45299-2024</t>
        </is>
      </c>
      <c r="B336" s="1" t="n">
        <v>45576.40599537037</v>
      </c>
      <c r="C336" s="1" t="n">
        <v>46165</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1560-2023</t>
        </is>
      </c>
      <c r="B337" s="1" t="n">
        <v>44937</v>
      </c>
      <c r="C337" s="1" t="n">
        <v>46165</v>
      </c>
      <c r="D337" t="inlineStr">
        <is>
          <t>SKÅNE LÄN</t>
        </is>
      </c>
      <c r="E337" t="inlineStr">
        <is>
          <t>HÄSSLEHOLM</t>
        </is>
      </c>
      <c r="G337" t="n">
        <v>6.8</v>
      </c>
      <c r="H337" t="n">
        <v>0</v>
      </c>
      <c r="I337" t="n">
        <v>0</v>
      </c>
      <c r="J337" t="n">
        <v>0</v>
      </c>
      <c r="K337" t="n">
        <v>0</v>
      </c>
      <c r="L337" t="n">
        <v>0</v>
      </c>
      <c r="M337" t="n">
        <v>0</v>
      </c>
      <c r="N337" t="n">
        <v>0</v>
      </c>
      <c r="O337" t="n">
        <v>0</v>
      </c>
      <c r="P337" t="n">
        <v>0</v>
      </c>
      <c r="Q337" t="n">
        <v>0</v>
      </c>
      <c r="R337" s="2" t="inlineStr"/>
    </row>
    <row r="338" ht="15" customHeight="1">
      <c r="A338" t="inlineStr">
        <is>
          <t>A 35259-2025</t>
        </is>
      </c>
      <c r="B338" s="1" t="n">
        <v>45853.76912037037</v>
      </c>
      <c r="C338" s="1" t="n">
        <v>46165</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25176-2024</t>
        </is>
      </c>
      <c r="B339" s="1" t="n">
        <v>45462.54582175926</v>
      </c>
      <c r="C339" s="1" t="n">
        <v>46165</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17413-2025</t>
        </is>
      </c>
      <c r="B340" s="1" t="n">
        <v>45757.37480324074</v>
      </c>
      <c r="C340" s="1" t="n">
        <v>46165</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28599-2024</t>
        </is>
      </c>
      <c r="B341" s="1" t="n">
        <v>45478.4247800926</v>
      </c>
      <c r="C341" s="1" t="n">
        <v>46165</v>
      </c>
      <c r="D341" t="inlineStr">
        <is>
          <t>SKÅNE LÄN</t>
        </is>
      </c>
      <c r="E341" t="inlineStr">
        <is>
          <t>HÄSSLEHOLM</t>
        </is>
      </c>
      <c r="G341" t="n">
        <v>8.6</v>
      </c>
      <c r="H341" t="n">
        <v>0</v>
      </c>
      <c r="I341" t="n">
        <v>0</v>
      </c>
      <c r="J341" t="n">
        <v>0</v>
      </c>
      <c r="K341" t="n">
        <v>0</v>
      </c>
      <c r="L341" t="n">
        <v>0</v>
      </c>
      <c r="M341" t="n">
        <v>0</v>
      </c>
      <c r="N341" t="n">
        <v>0</v>
      </c>
      <c r="O341" t="n">
        <v>0</v>
      </c>
      <c r="P341" t="n">
        <v>0</v>
      </c>
      <c r="Q341" t="n">
        <v>0</v>
      </c>
      <c r="R341" s="2" t="inlineStr"/>
    </row>
    <row r="342" ht="15" customHeight="1">
      <c r="A342" t="inlineStr">
        <is>
          <t>A 44741-2023</t>
        </is>
      </c>
      <c r="B342" s="1" t="n">
        <v>45190.38804398148</v>
      </c>
      <c r="C342" s="1" t="n">
        <v>46165</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39366-2025</t>
        </is>
      </c>
      <c r="B343" s="1" t="n">
        <v>45889</v>
      </c>
      <c r="C343" s="1" t="n">
        <v>46165</v>
      </c>
      <c r="D343" t="inlineStr">
        <is>
          <t>SKÅNE LÄN</t>
        </is>
      </c>
      <c r="E343" t="inlineStr">
        <is>
          <t>HÄSSLEHOLM</t>
        </is>
      </c>
      <c r="G343" t="n">
        <v>1</v>
      </c>
      <c r="H343" t="n">
        <v>0</v>
      </c>
      <c r="I343" t="n">
        <v>0</v>
      </c>
      <c r="J343" t="n">
        <v>0</v>
      </c>
      <c r="K343" t="n">
        <v>0</v>
      </c>
      <c r="L343" t="n">
        <v>0</v>
      </c>
      <c r="M343" t="n">
        <v>0</v>
      </c>
      <c r="N343" t="n">
        <v>0</v>
      </c>
      <c r="O343" t="n">
        <v>0</v>
      </c>
      <c r="P343" t="n">
        <v>0</v>
      </c>
      <c r="Q343" t="n">
        <v>0</v>
      </c>
      <c r="R343" s="2" t="inlineStr"/>
    </row>
    <row r="344" ht="15" customHeight="1">
      <c r="A344" t="inlineStr">
        <is>
          <t>A 16121-2025</t>
        </is>
      </c>
      <c r="B344" s="1" t="n">
        <v>45750.40384259259</v>
      </c>
      <c r="C344" s="1" t="n">
        <v>46165</v>
      </c>
      <c r="D344" t="inlineStr">
        <is>
          <t>SKÅNE LÄN</t>
        </is>
      </c>
      <c r="E344" t="inlineStr">
        <is>
          <t>HÄSSLEHOLM</t>
        </is>
      </c>
      <c r="G344" t="n">
        <v>1.6</v>
      </c>
      <c r="H344" t="n">
        <v>0</v>
      </c>
      <c r="I344" t="n">
        <v>0</v>
      </c>
      <c r="J344" t="n">
        <v>0</v>
      </c>
      <c r="K344" t="n">
        <v>0</v>
      </c>
      <c r="L344" t="n">
        <v>0</v>
      </c>
      <c r="M344" t="n">
        <v>0</v>
      </c>
      <c r="N344" t="n">
        <v>0</v>
      </c>
      <c r="O344" t="n">
        <v>0</v>
      </c>
      <c r="P344" t="n">
        <v>0</v>
      </c>
      <c r="Q344" t="n">
        <v>0</v>
      </c>
      <c r="R344" s="2" t="inlineStr"/>
    </row>
    <row r="345" ht="15" customHeight="1">
      <c r="A345" t="inlineStr">
        <is>
          <t>A 11446-2025</t>
        </is>
      </c>
      <c r="B345" s="1" t="n">
        <v>45726</v>
      </c>
      <c r="C345" s="1" t="n">
        <v>46165</v>
      </c>
      <c r="D345" t="inlineStr">
        <is>
          <t>SKÅNE LÄN</t>
        </is>
      </c>
      <c r="E345" t="inlineStr">
        <is>
          <t>HÄSSLEHOLM</t>
        </is>
      </c>
      <c r="G345" t="n">
        <v>1.9</v>
      </c>
      <c r="H345" t="n">
        <v>0</v>
      </c>
      <c r="I345" t="n">
        <v>0</v>
      </c>
      <c r="J345" t="n">
        <v>0</v>
      </c>
      <c r="K345" t="n">
        <v>0</v>
      </c>
      <c r="L345" t="n">
        <v>0</v>
      </c>
      <c r="M345" t="n">
        <v>0</v>
      </c>
      <c r="N345" t="n">
        <v>0</v>
      </c>
      <c r="O345" t="n">
        <v>0</v>
      </c>
      <c r="P345" t="n">
        <v>0</v>
      </c>
      <c r="Q345" t="n">
        <v>0</v>
      </c>
      <c r="R345" s="2" t="inlineStr"/>
    </row>
    <row r="346" ht="15" customHeight="1">
      <c r="A346" t="inlineStr">
        <is>
          <t>A 7476-2025</t>
        </is>
      </c>
      <c r="B346" s="1" t="n">
        <v>45702</v>
      </c>
      <c r="C346" s="1" t="n">
        <v>46165</v>
      </c>
      <c r="D346" t="inlineStr">
        <is>
          <t>SKÅNE LÄN</t>
        </is>
      </c>
      <c r="E346" t="inlineStr">
        <is>
          <t>HÄSSLEHOLM</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7513-2025</t>
        </is>
      </c>
      <c r="B347" s="1" t="n">
        <v>45702</v>
      </c>
      <c r="C347" s="1" t="n">
        <v>46165</v>
      </c>
      <c r="D347" t="inlineStr">
        <is>
          <t>SKÅNE LÄN</t>
        </is>
      </c>
      <c r="E347" t="inlineStr">
        <is>
          <t>HÄSSLEHOLM</t>
        </is>
      </c>
      <c r="F347" t="inlineStr">
        <is>
          <t>Övriga Aktiebolag</t>
        </is>
      </c>
      <c r="G347" t="n">
        <v>2.4</v>
      </c>
      <c r="H347" t="n">
        <v>0</v>
      </c>
      <c r="I347" t="n">
        <v>0</v>
      </c>
      <c r="J347" t="n">
        <v>0</v>
      </c>
      <c r="K347" t="n">
        <v>0</v>
      </c>
      <c r="L347" t="n">
        <v>0</v>
      </c>
      <c r="M347" t="n">
        <v>0</v>
      </c>
      <c r="N347" t="n">
        <v>0</v>
      </c>
      <c r="O347" t="n">
        <v>0</v>
      </c>
      <c r="P347" t="n">
        <v>0</v>
      </c>
      <c r="Q347" t="n">
        <v>0</v>
      </c>
      <c r="R347" s="2" t="inlineStr"/>
    </row>
    <row r="348" ht="15" customHeight="1">
      <c r="A348" t="inlineStr">
        <is>
          <t>A 31161-2024</t>
        </is>
      </c>
      <c r="B348" s="1" t="n">
        <v>45503</v>
      </c>
      <c r="C348" s="1" t="n">
        <v>46165</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4734-2025</t>
        </is>
      </c>
      <c r="B349" s="1" t="n">
        <v>45688.44030092593</v>
      </c>
      <c r="C349" s="1" t="n">
        <v>46165</v>
      </c>
      <c r="D349" t="inlineStr">
        <is>
          <t>SKÅNE LÄN</t>
        </is>
      </c>
      <c r="E349" t="inlineStr">
        <is>
          <t>HÄSSLEHOLM</t>
        </is>
      </c>
      <c r="G349" t="n">
        <v>19.6</v>
      </c>
      <c r="H349" t="n">
        <v>0</v>
      </c>
      <c r="I349" t="n">
        <v>0</v>
      </c>
      <c r="J349" t="n">
        <v>0</v>
      </c>
      <c r="K349" t="n">
        <v>0</v>
      </c>
      <c r="L349" t="n">
        <v>0</v>
      </c>
      <c r="M349" t="n">
        <v>0</v>
      </c>
      <c r="N349" t="n">
        <v>0</v>
      </c>
      <c r="O349" t="n">
        <v>0</v>
      </c>
      <c r="P349" t="n">
        <v>0</v>
      </c>
      <c r="Q349" t="n">
        <v>0</v>
      </c>
      <c r="R349" s="2" t="inlineStr"/>
    </row>
    <row r="350" ht="15" customHeight="1">
      <c r="A350" t="inlineStr">
        <is>
          <t>A 22157-2024</t>
        </is>
      </c>
      <c r="B350" s="1" t="n">
        <v>45445.85290509259</v>
      </c>
      <c r="C350" s="1" t="n">
        <v>46165</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24776-2025</t>
        </is>
      </c>
      <c r="B351" s="1" t="n">
        <v>45799.40640046296</v>
      </c>
      <c r="C351" s="1" t="n">
        <v>46165</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13316-2023</t>
        </is>
      </c>
      <c r="B352" s="1" t="n">
        <v>45005.39013888889</v>
      </c>
      <c r="C352" s="1" t="n">
        <v>46165</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13358-2023</t>
        </is>
      </c>
      <c r="B353" s="1" t="n">
        <v>45005</v>
      </c>
      <c r="C353" s="1" t="n">
        <v>46165</v>
      </c>
      <c r="D353" t="inlineStr">
        <is>
          <t>SKÅNE LÄN</t>
        </is>
      </c>
      <c r="E353" t="inlineStr">
        <is>
          <t>HÄSSLEHOLM</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39453-2025</t>
        </is>
      </c>
      <c r="B354" s="1" t="n">
        <v>45889</v>
      </c>
      <c r="C354" s="1" t="n">
        <v>46165</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39934-2025</t>
        </is>
      </c>
      <c r="B355" s="1" t="n">
        <v>45891.71465277778</v>
      </c>
      <c r="C355" s="1" t="n">
        <v>46165</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3245-2022</t>
        </is>
      </c>
      <c r="B356" s="1" t="n">
        <v>44583.39136574074</v>
      </c>
      <c r="C356" s="1" t="n">
        <v>46165</v>
      </c>
      <c r="D356" t="inlineStr">
        <is>
          <t>SKÅNE LÄN</t>
        </is>
      </c>
      <c r="E356" t="inlineStr">
        <is>
          <t>HÄSSLEHOLM</t>
        </is>
      </c>
      <c r="G356" t="n">
        <v>0.9</v>
      </c>
      <c r="H356" t="n">
        <v>0</v>
      </c>
      <c r="I356" t="n">
        <v>0</v>
      </c>
      <c r="J356" t="n">
        <v>0</v>
      </c>
      <c r="K356" t="n">
        <v>0</v>
      </c>
      <c r="L356" t="n">
        <v>0</v>
      </c>
      <c r="M356" t="n">
        <v>0</v>
      </c>
      <c r="N356" t="n">
        <v>0</v>
      </c>
      <c r="O356" t="n">
        <v>0</v>
      </c>
      <c r="P356" t="n">
        <v>0</v>
      </c>
      <c r="Q356" t="n">
        <v>0</v>
      </c>
      <c r="R356" s="2" t="inlineStr"/>
    </row>
    <row r="357" ht="15" customHeight="1">
      <c r="A357" t="inlineStr">
        <is>
          <t>A 39457-2025</t>
        </is>
      </c>
      <c r="B357" s="1" t="n">
        <v>45889.76887731482</v>
      </c>
      <c r="C357" s="1" t="n">
        <v>46165</v>
      </c>
      <c r="D357" t="inlineStr">
        <is>
          <t>SKÅNE LÄN</t>
        </is>
      </c>
      <c r="E357" t="inlineStr">
        <is>
          <t>HÄSSLEHOLM</t>
        </is>
      </c>
      <c r="G357" t="n">
        <v>6.6</v>
      </c>
      <c r="H357" t="n">
        <v>0</v>
      </c>
      <c r="I357" t="n">
        <v>0</v>
      </c>
      <c r="J357" t="n">
        <v>0</v>
      </c>
      <c r="K357" t="n">
        <v>0</v>
      </c>
      <c r="L357" t="n">
        <v>0</v>
      </c>
      <c r="M357" t="n">
        <v>0</v>
      </c>
      <c r="N357" t="n">
        <v>0</v>
      </c>
      <c r="O357" t="n">
        <v>0</v>
      </c>
      <c r="P357" t="n">
        <v>0</v>
      </c>
      <c r="Q357" t="n">
        <v>0</v>
      </c>
      <c r="R357" s="2" t="inlineStr"/>
    </row>
    <row r="358" ht="15" customHeight="1">
      <c r="A358" t="inlineStr">
        <is>
          <t>A 39937-2025</t>
        </is>
      </c>
      <c r="B358" s="1" t="n">
        <v>45891.73162037037</v>
      </c>
      <c r="C358" s="1" t="n">
        <v>46165</v>
      </c>
      <c r="D358" t="inlineStr">
        <is>
          <t>SKÅNE LÄN</t>
        </is>
      </c>
      <c r="E358" t="inlineStr">
        <is>
          <t>HÄSSLEHOLM</t>
        </is>
      </c>
      <c r="G358" t="n">
        <v>4.5</v>
      </c>
      <c r="H358" t="n">
        <v>0</v>
      </c>
      <c r="I358" t="n">
        <v>0</v>
      </c>
      <c r="J358" t="n">
        <v>0</v>
      </c>
      <c r="K358" t="n">
        <v>0</v>
      </c>
      <c r="L358" t="n">
        <v>0</v>
      </c>
      <c r="M358" t="n">
        <v>0</v>
      </c>
      <c r="N358" t="n">
        <v>0</v>
      </c>
      <c r="O358" t="n">
        <v>0</v>
      </c>
      <c r="P358" t="n">
        <v>0</v>
      </c>
      <c r="Q358" t="n">
        <v>0</v>
      </c>
      <c r="R358" s="2" t="inlineStr"/>
    </row>
    <row r="359" ht="15" customHeight="1">
      <c r="A359" t="inlineStr">
        <is>
          <t>A 36259-2025</t>
        </is>
      </c>
      <c r="B359" s="1" t="n">
        <v>45867.59799768519</v>
      </c>
      <c r="C359" s="1" t="n">
        <v>46165</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36130-2025</t>
        </is>
      </c>
      <c r="B360" s="1" t="n">
        <v>45866.62273148148</v>
      </c>
      <c r="C360" s="1" t="n">
        <v>46165</v>
      </c>
      <c r="D360" t="inlineStr">
        <is>
          <t>SKÅNE LÄN</t>
        </is>
      </c>
      <c r="E360" t="inlineStr">
        <is>
          <t>HÄSSLEHOLM</t>
        </is>
      </c>
      <c r="G360" t="n">
        <v>4.7</v>
      </c>
      <c r="H360" t="n">
        <v>0</v>
      </c>
      <c r="I360" t="n">
        <v>0</v>
      </c>
      <c r="J360" t="n">
        <v>0</v>
      </c>
      <c r="K360" t="n">
        <v>0</v>
      </c>
      <c r="L360" t="n">
        <v>0</v>
      </c>
      <c r="M360" t="n">
        <v>0</v>
      </c>
      <c r="N360" t="n">
        <v>0</v>
      </c>
      <c r="O360" t="n">
        <v>0</v>
      </c>
      <c r="P360" t="n">
        <v>0</v>
      </c>
      <c r="Q360" t="n">
        <v>0</v>
      </c>
      <c r="R360" s="2" t="inlineStr"/>
    </row>
    <row r="361" ht="15" customHeight="1">
      <c r="A361" t="inlineStr">
        <is>
          <t>A 19666-2025</t>
        </is>
      </c>
      <c r="B361" s="1" t="n">
        <v>45770.69326388889</v>
      </c>
      <c r="C361" s="1" t="n">
        <v>46165</v>
      </c>
      <c r="D361" t="inlineStr">
        <is>
          <t>SKÅNE LÄN</t>
        </is>
      </c>
      <c r="E361" t="inlineStr">
        <is>
          <t>HÄSSLEHOLM</t>
        </is>
      </c>
      <c r="G361" t="n">
        <v>2.4</v>
      </c>
      <c r="H361" t="n">
        <v>0</v>
      </c>
      <c r="I361" t="n">
        <v>0</v>
      </c>
      <c r="J361" t="n">
        <v>0</v>
      </c>
      <c r="K361" t="n">
        <v>0</v>
      </c>
      <c r="L361" t="n">
        <v>0</v>
      </c>
      <c r="M361" t="n">
        <v>0</v>
      </c>
      <c r="N361" t="n">
        <v>0</v>
      </c>
      <c r="O361" t="n">
        <v>0</v>
      </c>
      <c r="P361" t="n">
        <v>0</v>
      </c>
      <c r="Q361" t="n">
        <v>0</v>
      </c>
      <c r="R361" s="2" t="inlineStr"/>
    </row>
    <row r="362" ht="15" customHeight="1">
      <c r="A362" t="inlineStr">
        <is>
          <t>A 36359-2025</t>
        </is>
      </c>
      <c r="B362" s="1" t="n">
        <v>45867</v>
      </c>
      <c r="C362" s="1" t="n">
        <v>46165</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36361-2025</t>
        </is>
      </c>
      <c r="B363" s="1" t="n">
        <v>45867</v>
      </c>
      <c r="C363" s="1" t="n">
        <v>46165</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36085-2025</t>
        </is>
      </c>
      <c r="B364" s="1" t="n">
        <v>45866.46190972222</v>
      </c>
      <c r="C364" s="1" t="n">
        <v>46165</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38228-2021</t>
        </is>
      </c>
      <c r="B365" s="1" t="n">
        <v>44405</v>
      </c>
      <c r="C365" s="1" t="n">
        <v>46165</v>
      </c>
      <c r="D365" t="inlineStr">
        <is>
          <t>SKÅNE LÄN</t>
        </is>
      </c>
      <c r="E365" t="inlineStr">
        <is>
          <t>HÄSSLEHOLM</t>
        </is>
      </c>
      <c r="G365" t="n">
        <v>2.8</v>
      </c>
      <c r="H365" t="n">
        <v>0</v>
      </c>
      <c r="I365" t="n">
        <v>0</v>
      </c>
      <c r="J365" t="n">
        <v>0</v>
      </c>
      <c r="K365" t="n">
        <v>0</v>
      </c>
      <c r="L365" t="n">
        <v>0</v>
      </c>
      <c r="M365" t="n">
        <v>0</v>
      </c>
      <c r="N365" t="n">
        <v>0</v>
      </c>
      <c r="O365" t="n">
        <v>0</v>
      </c>
      <c r="P365" t="n">
        <v>0</v>
      </c>
      <c r="Q365" t="n">
        <v>0</v>
      </c>
      <c r="R365" s="2" t="inlineStr"/>
    </row>
    <row r="366" ht="15" customHeight="1">
      <c r="A366" t="inlineStr">
        <is>
          <t>A 9555-2025</t>
        </is>
      </c>
      <c r="B366" s="1" t="n">
        <v>45714</v>
      </c>
      <c r="C366" s="1" t="n">
        <v>46165</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40241-2025</t>
        </is>
      </c>
      <c r="B367" s="1" t="n">
        <v>45894.87251157407</v>
      </c>
      <c r="C367" s="1" t="n">
        <v>46165</v>
      </c>
      <c r="D367" t="inlineStr">
        <is>
          <t>SKÅNE LÄN</t>
        </is>
      </c>
      <c r="E367" t="inlineStr">
        <is>
          <t>HÄSSLEHOLM</t>
        </is>
      </c>
      <c r="G367" t="n">
        <v>3.8</v>
      </c>
      <c r="H367" t="n">
        <v>0</v>
      </c>
      <c r="I367" t="n">
        <v>0</v>
      </c>
      <c r="J367" t="n">
        <v>0</v>
      </c>
      <c r="K367" t="n">
        <v>0</v>
      </c>
      <c r="L367" t="n">
        <v>0</v>
      </c>
      <c r="M367" t="n">
        <v>0</v>
      </c>
      <c r="N367" t="n">
        <v>0</v>
      </c>
      <c r="O367" t="n">
        <v>0</v>
      </c>
      <c r="P367" t="n">
        <v>0</v>
      </c>
      <c r="Q367" t="n">
        <v>0</v>
      </c>
      <c r="R367" s="2" t="inlineStr"/>
    </row>
    <row r="368" ht="15" customHeight="1">
      <c r="A368" t="inlineStr">
        <is>
          <t>A 36358-2025</t>
        </is>
      </c>
      <c r="B368" s="1" t="n">
        <v>45867</v>
      </c>
      <c r="C368" s="1" t="n">
        <v>46165</v>
      </c>
      <c r="D368" t="inlineStr">
        <is>
          <t>SKÅNE LÄN</t>
        </is>
      </c>
      <c r="E368" t="inlineStr">
        <is>
          <t>HÄSSLEHOLM</t>
        </is>
      </c>
      <c r="G368" t="n">
        <v>2.8</v>
      </c>
      <c r="H368" t="n">
        <v>0</v>
      </c>
      <c r="I368" t="n">
        <v>0</v>
      </c>
      <c r="J368" t="n">
        <v>0</v>
      </c>
      <c r="K368" t="n">
        <v>0</v>
      </c>
      <c r="L368" t="n">
        <v>0</v>
      </c>
      <c r="M368" t="n">
        <v>0</v>
      </c>
      <c r="N368" t="n">
        <v>0</v>
      </c>
      <c r="O368" t="n">
        <v>0</v>
      </c>
      <c r="P368" t="n">
        <v>0</v>
      </c>
      <c r="Q368" t="n">
        <v>0</v>
      </c>
      <c r="R368" s="2" t="inlineStr"/>
    </row>
    <row r="369" ht="15" customHeight="1">
      <c r="A369" t="inlineStr">
        <is>
          <t>A 3248-2022</t>
        </is>
      </c>
      <c r="B369" s="1" t="n">
        <v>44583</v>
      </c>
      <c r="C369" s="1" t="n">
        <v>46165</v>
      </c>
      <c r="D369" t="inlineStr">
        <is>
          <t>SKÅNE LÄN</t>
        </is>
      </c>
      <c r="E369" t="inlineStr">
        <is>
          <t>HÄSSLEHOLM</t>
        </is>
      </c>
      <c r="G369" t="n">
        <v>3</v>
      </c>
      <c r="H369" t="n">
        <v>0</v>
      </c>
      <c r="I369" t="n">
        <v>0</v>
      </c>
      <c r="J369" t="n">
        <v>0</v>
      </c>
      <c r="K369" t="n">
        <v>0</v>
      </c>
      <c r="L369" t="n">
        <v>0</v>
      </c>
      <c r="M369" t="n">
        <v>0</v>
      </c>
      <c r="N369" t="n">
        <v>0</v>
      </c>
      <c r="O369" t="n">
        <v>0</v>
      </c>
      <c r="P369" t="n">
        <v>0</v>
      </c>
      <c r="Q369" t="n">
        <v>0</v>
      </c>
      <c r="R369" s="2" t="inlineStr"/>
    </row>
    <row r="370" ht="15" customHeight="1">
      <c r="A370" t="inlineStr">
        <is>
          <t>A 25538-2024</t>
        </is>
      </c>
      <c r="B370" s="1" t="n">
        <v>45463</v>
      </c>
      <c r="C370" s="1" t="n">
        <v>46165</v>
      </c>
      <c r="D370" t="inlineStr">
        <is>
          <t>SKÅNE LÄN</t>
        </is>
      </c>
      <c r="E370" t="inlineStr">
        <is>
          <t>HÄSSLEHOLM</t>
        </is>
      </c>
      <c r="G370" t="n">
        <v>1.6</v>
      </c>
      <c r="H370" t="n">
        <v>0</v>
      </c>
      <c r="I370" t="n">
        <v>0</v>
      </c>
      <c r="J370" t="n">
        <v>0</v>
      </c>
      <c r="K370" t="n">
        <v>0</v>
      </c>
      <c r="L370" t="n">
        <v>0</v>
      </c>
      <c r="M370" t="n">
        <v>0</v>
      </c>
      <c r="N370" t="n">
        <v>0</v>
      </c>
      <c r="O370" t="n">
        <v>0</v>
      </c>
      <c r="P370" t="n">
        <v>0</v>
      </c>
      <c r="Q370" t="n">
        <v>0</v>
      </c>
      <c r="R370" s="2" t="inlineStr"/>
    </row>
    <row r="371" ht="15" customHeight="1">
      <c r="A371" t="inlineStr">
        <is>
          <t>A 23258-2026</t>
        </is>
      </c>
      <c r="B371" s="1" t="n">
        <v>46162.44547453704</v>
      </c>
      <c r="C371" s="1" t="n">
        <v>46165</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23266-2026</t>
        </is>
      </c>
      <c r="B372" s="1" t="n">
        <v>46162.45515046296</v>
      </c>
      <c r="C372" s="1" t="n">
        <v>46165</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23249-2026</t>
        </is>
      </c>
      <c r="B373" s="1" t="n">
        <v>46162.42958333333</v>
      </c>
      <c r="C373" s="1" t="n">
        <v>46165</v>
      </c>
      <c r="D373" t="inlineStr">
        <is>
          <t>SKÅNE LÄN</t>
        </is>
      </c>
      <c r="E373" t="inlineStr">
        <is>
          <t>HÄSSLEHOLM</t>
        </is>
      </c>
      <c r="G373" t="n">
        <v>1.4</v>
      </c>
      <c r="H373" t="n">
        <v>0</v>
      </c>
      <c r="I373" t="n">
        <v>0</v>
      </c>
      <c r="J373" t="n">
        <v>0</v>
      </c>
      <c r="K373" t="n">
        <v>0</v>
      </c>
      <c r="L373" t="n">
        <v>0</v>
      </c>
      <c r="M373" t="n">
        <v>0</v>
      </c>
      <c r="N373" t="n">
        <v>0</v>
      </c>
      <c r="O373" t="n">
        <v>0</v>
      </c>
      <c r="P373" t="n">
        <v>0</v>
      </c>
      <c r="Q373" t="n">
        <v>0</v>
      </c>
      <c r="R373" s="2" t="inlineStr"/>
    </row>
    <row r="374" ht="15" customHeight="1">
      <c r="A374" t="inlineStr">
        <is>
          <t>A 36733-2023</t>
        </is>
      </c>
      <c r="B374" s="1" t="n">
        <v>45153.69989583334</v>
      </c>
      <c r="C374" s="1" t="n">
        <v>46165</v>
      </c>
      <c r="D374" t="inlineStr">
        <is>
          <t>SKÅNE LÄN</t>
        </is>
      </c>
      <c r="E374" t="inlineStr">
        <is>
          <t>HÄSSLEHOLM</t>
        </is>
      </c>
      <c r="G374" t="n">
        <v>4.8</v>
      </c>
      <c r="H374" t="n">
        <v>0</v>
      </c>
      <c r="I374" t="n">
        <v>0</v>
      </c>
      <c r="J374" t="n">
        <v>0</v>
      </c>
      <c r="K374" t="n">
        <v>0</v>
      </c>
      <c r="L374" t="n">
        <v>0</v>
      </c>
      <c r="M374" t="n">
        <v>0</v>
      </c>
      <c r="N374" t="n">
        <v>0</v>
      </c>
      <c r="O374" t="n">
        <v>0</v>
      </c>
      <c r="P374" t="n">
        <v>0</v>
      </c>
      <c r="Q374" t="n">
        <v>0</v>
      </c>
      <c r="R374" s="2" t="inlineStr"/>
    </row>
    <row r="375" ht="15" customHeight="1">
      <c r="A375" t="inlineStr">
        <is>
          <t>A 23259-2026</t>
        </is>
      </c>
      <c r="B375" s="1" t="n">
        <v>46162.44567129629</v>
      </c>
      <c r="C375" s="1" t="n">
        <v>46165</v>
      </c>
      <c r="D375" t="inlineStr">
        <is>
          <t>SKÅNE LÄN</t>
        </is>
      </c>
      <c r="E375" t="inlineStr">
        <is>
          <t>HÄSSLEHOLM</t>
        </is>
      </c>
      <c r="G375" t="n">
        <v>0.2</v>
      </c>
      <c r="H375" t="n">
        <v>0</v>
      </c>
      <c r="I375" t="n">
        <v>0</v>
      </c>
      <c r="J375" t="n">
        <v>0</v>
      </c>
      <c r="K375" t="n">
        <v>0</v>
      </c>
      <c r="L375" t="n">
        <v>0</v>
      </c>
      <c r="M375" t="n">
        <v>0</v>
      </c>
      <c r="N375" t="n">
        <v>0</v>
      </c>
      <c r="O375" t="n">
        <v>0</v>
      </c>
      <c r="P375" t="n">
        <v>0</v>
      </c>
      <c r="Q375" t="n">
        <v>0</v>
      </c>
      <c r="R375" s="2" t="inlineStr"/>
    </row>
    <row r="376" ht="15" customHeight="1">
      <c r="A376" t="inlineStr">
        <is>
          <t>A 54426-2025</t>
        </is>
      </c>
      <c r="B376" s="1" t="n">
        <v>45965</v>
      </c>
      <c r="C376" s="1" t="n">
        <v>46165</v>
      </c>
      <c r="D376" t="inlineStr">
        <is>
          <t>SKÅNE LÄN</t>
        </is>
      </c>
      <c r="E376" t="inlineStr">
        <is>
          <t>HÄSSLEHOLM</t>
        </is>
      </c>
      <c r="G376" t="n">
        <v>2.5</v>
      </c>
      <c r="H376" t="n">
        <v>0</v>
      </c>
      <c r="I376" t="n">
        <v>0</v>
      </c>
      <c r="J376" t="n">
        <v>0</v>
      </c>
      <c r="K376" t="n">
        <v>0</v>
      </c>
      <c r="L376" t="n">
        <v>0</v>
      </c>
      <c r="M376" t="n">
        <v>0</v>
      </c>
      <c r="N376" t="n">
        <v>0</v>
      </c>
      <c r="O376" t="n">
        <v>0</v>
      </c>
      <c r="P376" t="n">
        <v>0</v>
      </c>
      <c r="Q376" t="n">
        <v>0</v>
      </c>
      <c r="R376" s="2" t="inlineStr"/>
    </row>
    <row r="377" ht="15" customHeight="1">
      <c r="A377" t="inlineStr">
        <is>
          <t>A 8209-2025</t>
        </is>
      </c>
      <c r="B377" s="1" t="n">
        <v>45708.44244212963</v>
      </c>
      <c r="C377" s="1" t="n">
        <v>46165</v>
      </c>
      <c r="D377" t="inlineStr">
        <is>
          <t>SKÅNE LÄN</t>
        </is>
      </c>
      <c r="E377" t="inlineStr">
        <is>
          <t>HÄSSLEHOLM</t>
        </is>
      </c>
      <c r="G377" t="n">
        <v>1.5</v>
      </c>
      <c r="H377" t="n">
        <v>0</v>
      </c>
      <c r="I377" t="n">
        <v>0</v>
      </c>
      <c r="J377" t="n">
        <v>0</v>
      </c>
      <c r="K377" t="n">
        <v>0</v>
      </c>
      <c r="L377" t="n">
        <v>0</v>
      </c>
      <c r="M377" t="n">
        <v>0</v>
      </c>
      <c r="N377" t="n">
        <v>0</v>
      </c>
      <c r="O377" t="n">
        <v>0</v>
      </c>
      <c r="P377" t="n">
        <v>0</v>
      </c>
      <c r="Q377" t="n">
        <v>0</v>
      </c>
      <c r="R377" s="2" t="inlineStr"/>
    </row>
    <row r="378" ht="15" customHeight="1">
      <c r="A378" t="inlineStr">
        <is>
          <t>A 23050-2026</t>
        </is>
      </c>
      <c r="B378" s="1" t="n">
        <v>46161.43168981482</v>
      </c>
      <c r="C378" s="1" t="n">
        <v>46165</v>
      </c>
      <c r="D378" t="inlineStr">
        <is>
          <t>SKÅNE LÄN</t>
        </is>
      </c>
      <c r="E378" t="inlineStr">
        <is>
          <t>HÄSSLEHOLM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19240-2026</t>
        </is>
      </c>
      <c r="B379" s="1" t="n">
        <v>46132</v>
      </c>
      <c r="C379" s="1" t="n">
        <v>46165</v>
      </c>
      <c r="D379" t="inlineStr">
        <is>
          <t>SKÅNE LÄN</t>
        </is>
      </c>
      <c r="E379" t="inlineStr">
        <is>
          <t>HÄSSLEHOLM</t>
        </is>
      </c>
      <c r="G379" t="n">
        <v>4</v>
      </c>
      <c r="H379" t="n">
        <v>0</v>
      </c>
      <c r="I379" t="n">
        <v>0</v>
      </c>
      <c r="J379" t="n">
        <v>0</v>
      </c>
      <c r="K379" t="n">
        <v>0</v>
      </c>
      <c r="L379" t="n">
        <v>0</v>
      </c>
      <c r="M379" t="n">
        <v>0</v>
      </c>
      <c r="N379" t="n">
        <v>0</v>
      </c>
      <c r="O379" t="n">
        <v>0</v>
      </c>
      <c r="P379" t="n">
        <v>0</v>
      </c>
      <c r="Q379" t="n">
        <v>0</v>
      </c>
      <c r="R379" s="2" t="inlineStr"/>
    </row>
    <row r="380" ht="15" customHeight="1">
      <c r="A380" t="inlineStr">
        <is>
          <t>A 60509-2023</t>
        </is>
      </c>
      <c r="B380" s="1" t="n">
        <v>45259</v>
      </c>
      <c r="C380" s="1" t="n">
        <v>46165</v>
      </c>
      <c r="D380" t="inlineStr">
        <is>
          <t>SKÅNE LÄN</t>
        </is>
      </c>
      <c r="E380" t="inlineStr">
        <is>
          <t>HÄSSLEHOLM</t>
        </is>
      </c>
      <c r="F380" t="inlineStr">
        <is>
          <t>Övriga Aktiebolag</t>
        </is>
      </c>
      <c r="G380" t="n">
        <v>0.5</v>
      </c>
      <c r="H380" t="n">
        <v>0</v>
      </c>
      <c r="I380" t="n">
        <v>0</v>
      </c>
      <c r="J380" t="n">
        <v>0</v>
      </c>
      <c r="K380" t="n">
        <v>0</v>
      </c>
      <c r="L380" t="n">
        <v>0</v>
      </c>
      <c r="M380" t="n">
        <v>0</v>
      </c>
      <c r="N380" t="n">
        <v>0</v>
      </c>
      <c r="O380" t="n">
        <v>0</v>
      </c>
      <c r="P380" t="n">
        <v>0</v>
      </c>
      <c r="Q380" t="n">
        <v>0</v>
      </c>
      <c r="R380" s="2" t="inlineStr"/>
    </row>
    <row r="381" ht="15" customHeight="1">
      <c r="A381" t="inlineStr">
        <is>
          <t>A 23411-2026</t>
        </is>
      </c>
      <c r="B381" s="1" t="n">
        <v>46162.83384259259</v>
      </c>
      <c r="C381" s="1" t="n">
        <v>46165</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23284-2026</t>
        </is>
      </c>
      <c r="B382" s="1" t="n">
        <v>46162.47378472222</v>
      </c>
      <c r="C382" s="1" t="n">
        <v>46165</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23265-2026</t>
        </is>
      </c>
      <c r="B383" s="1" t="n">
        <v>46162.45505787037</v>
      </c>
      <c r="C383" s="1" t="n">
        <v>46165</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23378-2026</t>
        </is>
      </c>
      <c r="B384" s="1" t="n">
        <v>46162.64511574074</v>
      </c>
      <c r="C384" s="1" t="n">
        <v>46165</v>
      </c>
      <c r="D384" t="inlineStr">
        <is>
          <t>SKÅNE LÄN</t>
        </is>
      </c>
      <c r="E384" t="inlineStr">
        <is>
          <t>HÄSSLEHOLM</t>
        </is>
      </c>
      <c r="G384" t="n">
        <v>5.3</v>
      </c>
      <c r="H384" t="n">
        <v>0</v>
      </c>
      <c r="I384" t="n">
        <v>0</v>
      </c>
      <c r="J384" t="n">
        <v>0</v>
      </c>
      <c r="K384" t="n">
        <v>0</v>
      </c>
      <c r="L384" t="n">
        <v>0</v>
      </c>
      <c r="M384" t="n">
        <v>0</v>
      </c>
      <c r="N384" t="n">
        <v>0</v>
      </c>
      <c r="O384" t="n">
        <v>0</v>
      </c>
      <c r="P384" t="n">
        <v>0</v>
      </c>
      <c r="Q384" t="n">
        <v>0</v>
      </c>
      <c r="R384" s="2" t="inlineStr"/>
    </row>
    <row r="385" ht="15" customHeight="1">
      <c r="A385" t="inlineStr">
        <is>
          <t>A 41400-2025</t>
        </is>
      </c>
      <c r="B385" s="1" t="n">
        <v>45901</v>
      </c>
      <c r="C385" s="1" t="n">
        <v>46165</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41401-2025</t>
        </is>
      </c>
      <c r="B386" s="1" t="n">
        <v>45901</v>
      </c>
      <c r="C386" s="1" t="n">
        <v>46165</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1562-2023</t>
        </is>
      </c>
      <c r="B387" s="1" t="n">
        <v>44937.60450231482</v>
      </c>
      <c r="C387" s="1" t="n">
        <v>46165</v>
      </c>
      <c r="D387" t="inlineStr">
        <is>
          <t>SKÅNE LÄN</t>
        </is>
      </c>
      <c r="E387" t="inlineStr">
        <is>
          <t>HÄSSLEHOLM</t>
        </is>
      </c>
      <c r="G387" t="n">
        <v>2.7</v>
      </c>
      <c r="H387" t="n">
        <v>0</v>
      </c>
      <c r="I387" t="n">
        <v>0</v>
      </c>
      <c r="J387" t="n">
        <v>0</v>
      </c>
      <c r="K387" t="n">
        <v>0</v>
      </c>
      <c r="L387" t="n">
        <v>0</v>
      </c>
      <c r="M387" t="n">
        <v>0</v>
      </c>
      <c r="N387" t="n">
        <v>0</v>
      </c>
      <c r="O387" t="n">
        <v>0</v>
      </c>
      <c r="P387" t="n">
        <v>0</v>
      </c>
      <c r="Q387" t="n">
        <v>0</v>
      </c>
      <c r="R387" s="2" t="inlineStr"/>
    </row>
    <row r="388" ht="15" customHeight="1">
      <c r="A388" t="inlineStr">
        <is>
          <t>A 45220-2023</t>
        </is>
      </c>
      <c r="B388" s="1" t="n">
        <v>45191</v>
      </c>
      <c r="C388" s="1" t="n">
        <v>46165</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36938-2025</t>
        </is>
      </c>
      <c r="B389" s="1" t="n">
        <v>45874.58476851852</v>
      </c>
      <c r="C389" s="1" t="n">
        <v>46165</v>
      </c>
      <c r="D389" t="inlineStr">
        <is>
          <t>SKÅNE LÄN</t>
        </is>
      </c>
      <c r="E389" t="inlineStr">
        <is>
          <t>HÄSSLEHOLM</t>
        </is>
      </c>
      <c r="G389" t="n">
        <v>3.7</v>
      </c>
      <c r="H389" t="n">
        <v>0</v>
      </c>
      <c r="I389" t="n">
        <v>0</v>
      </c>
      <c r="J389" t="n">
        <v>0</v>
      </c>
      <c r="K389" t="n">
        <v>0</v>
      </c>
      <c r="L389" t="n">
        <v>0</v>
      </c>
      <c r="M389" t="n">
        <v>0</v>
      </c>
      <c r="N389" t="n">
        <v>0</v>
      </c>
      <c r="O389" t="n">
        <v>0</v>
      </c>
      <c r="P389" t="n">
        <v>0</v>
      </c>
      <c r="Q389" t="n">
        <v>0</v>
      </c>
      <c r="R389" s="2" t="inlineStr"/>
    </row>
    <row r="390" ht="15" customHeight="1">
      <c r="A390" t="inlineStr">
        <is>
          <t>A 32967-2023</t>
        </is>
      </c>
      <c r="B390" s="1" t="n">
        <v>45125</v>
      </c>
      <c r="C390" s="1" t="n">
        <v>46165</v>
      </c>
      <c r="D390" t="inlineStr">
        <is>
          <t>SKÅNE LÄN</t>
        </is>
      </c>
      <c r="E390" t="inlineStr">
        <is>
          <t>HÄSSLEHOLM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32968-2023</t>
        </is>
      </c>
      <c r="B391" s="1" t="n">
        <v>45125</v>
      </c>
      <c r="C391" s="1" t="n">
        <v>46165</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10277-2023</t>
        </is>
      </c>
      <c r="B392" s="1" t="n">
        <v>44986</v>
      </c>
      <c r="C392" s="1" t="n">
        <v>46165</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10290-2023</t>
        </is>
      </c>
      <c r="B393" s="1" t="n">
        <v>44986</v>
      </c>
      <c r="C393" s="1" t="n">
        <v>46165</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23283-2026</t>
        </is>
      </c>
      <c r="B394" s="1" t="n">
        <v>46162.47375</v>
      </c>
      <c r="C394" s="1" t="n">
        <v>46165</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23285-2026</t>
        </is>
      </c>
      <c r="B395" s="1" t="n">
        <v>46162.47381944444</v>
      </c>
      <c r="C395" s="1" t="n">
        <v>46165</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32008-2024</t>
        </is>
      </c>
      <c r="B396" s="1" t="n">
        <v>45510</v>
      </c>
      <c r="C396" s="1" t="n">
        <v>46165</v>
      </c>
      <c r="D396" t="inlineStr">
        <is>
          <t>SKÅNE LÄN</t>
        </is>
      </c>
      <c r="E396" t="inlineStr">
        <is>
          <t>HÄSSLEHOLM</t>
        </is>
      </c>
      <c r="G396" t="n">
        <v>5.1</v>
      </c>
      <c r="H396" t="n">
        <v>0</v>
      </c>
      <c r="I396" t="n">
        <v>0</v>
      </c>
      <c r="J396" t="n">
        <v>0</v>
      </c>
      <c r="K396" t="n">
        <v>0</v>
      </c>
      <c r="L396" t="n">
        <v>0</v>
      </c>
      <c r="M396" t="n">
        <v>0</v>
      </c>
      <c r="N396" t="n">
        <v>0</v>
      </c>
      <c r="O396" t="n">
        <v>0</v>
      </c>
      <c r="P396" t="n">
        <v>0</v>
      </c>
      <c r="Q396" t="n">
        <v>0</v>
      </c>
      <c r="R396" s="2" t="inlineStr"/>
    </row>
    <row r="397" ht="15" customHeight="1">
      <c r="A397" t="inlineStr">
        <is>
          <t>A 54798-2025</t>
        </is>
      </c>
      <c r="B397" s="1" t="n">
        <v>45966</v>
      </c>
      <c r="C397" s="1" t="n">
        <v>46165</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37286-2025</t>
        </is>
      </c>
      <c r="B398" s="1" t="n">
        <v>45876.50116898148</v>
      </c>
      <c r="C398" s="1" t="n">
        <v>46165</v>
      </c>
      <c r="D398" t="inlineStr">
        <is>
          <t>SKÅNE LÄN</t>
        </is>
      </c>
      <c r="E398" t="inlineStr">
        <is>
          <t>HÄSSLEHOLM</t>
        </is>
      </c>
      <c r="G398" t="n">
        <v>2.9</v>
      </c>
      <c r="H398" t="n">
        <v>0</v>
      </c>
      <c r="I398" t="n">
        <v>0</v>
      </c>
      <c r="J398" t="n">
        <v>0</v>
      </c>
      <c r="K398" t="n">
        <v>0</v>
      </c>
      <c r="L398" t="n">
        <v>0</v>
      </c>
      <c r="M398" t="n">
        <v>0</v>
      </c>
      <c r="N398" t="n">
        <v>0</v>
      </c>
      <c r="O398" t="n">
        <v>0</v>
      </c>
      <c r="P398" t="n">
        <v>0</v>
      </c>
      <c r="Q398" t="n">
        <v>0</v>
      </c>
      <c r="R398" s="2" t="inlineStr"/>
    </row>
    <row r="399" ht="15" customHeight="1">
      <c r="A399" t="inlineStr">
        <is>
          <t>A 47352-2025</t>
        </is>
      </c>
      <c r="B399" s="1" t="n">
        <v>45930</v>
      </c>
      <c r="C399" s="1" t="n">
        <v>46165</v>
      </c>
      <c r="D399" t="inlineStr">
        <is>
          <t>SKÅNE LÄN</t>
        </is>
      </c>
      <c r="E399" t="inlineStr">
        <is>
          <t>HÄSSLEHOLM</t>
        </is>
      </c>
      <c r="G399" t="n">
        <v>15.9</v>
      </c>
      <c r="H399" t="n">
        <v>0</v>
      </c>
      <c r="I399" t="n">
        <v>0</v>
      </c>
      <c r="J399" t="n">
        <v>0</v>
      </c>
      <c r="K399" t="n">
        <v>0</v>
      </c>
      <c r="L399" t="n">
        <v>0</v>
      </c>
      <c r="M399" t="n">
        <v>0</v>
      </c>
      <c r="N399" t="n">
        <v>0</v>
      </c>
      <c r="O399" t="n">
        <v>0</v>
      </c>
      <c r="P399" t="n">
        <v>0</v>
      </c>
      <c r="Q399" t="n">
        <v>0</v>
      </c>
      <c r="R399" s="2" t="inlineStr"/>
    </row>
    <row r="400" ht="15" customHeight="1">
      <c r="A400" t="inlineStr">
        <is>
          <t>A 47432-2025</t>
        </is>
      </c>
      <c r="B400" s="1" t="n">
        <v>45930</v>
      </c>
      <c r="C400" s="1" t="n">
        <v>46165</v>
      </c>
      <c r="D400" t="inlineStr">
        <is>
          <t>SKÅNE LÄN</t>
        </is>
      </c>
      <c r="E400" t="inlineStr">
        <is>
          <t>HÄSSLEHOLM</t>
        </is>
      </c>
      <c r="G400" t="n">
        <v>2.7</v>
      </c>
      <c r="H400" t="n">
        <v>0</v>
      </c>
      <c r="I400" t="n">
        <v>0</v>
      </c>
      <c r="J400" t="n">
        <v>0</v>
      </c>
      <c r="K400" t="n">
        <v>0</v>
      </c>
      <c r="L400" t="n">
        <v>0</v>
      </c>
      <c r="M400" t="n">
        <v>0</v>
      </c>
      <c r="N400" t="n">
        <v>0</v>
      </c>
      <c r="O400" t="n">
        <v>0</v>
      </c>
      <c r="P400" t="n">
        <v>0</v>
      </c>
      <c r="Q400" t="n">
        <v>0</v>
      </c>
      <c r="R400" s="2" t="inlineStr"/>
    </row>
    <row r="401" ht="15" customHeight="1">
      <c r="A401" t="inlineStr">
        <is>
          <t>A 37271-2025</t>
        </is>
      </c>
      <c r="B401" s="1" t="n">
        <v>45876.47828703704</v>
      </c>
      <c r="C401" s="1" t="n">
        <v>46165</v>
      </c>
      <c r="D401" t="inlineStr">
        <is>
          <t>SKÅNE LÄN</t>
        </is>
      </c>
      <c r="E401" t="inlineStr">
        <is>
          <t>HÄSSLEHOLM</t>
        </is>
      </c>
      <c r="G401" t="n">
        <v>4.1</v>
      </c>
      <c r="H401" t="n">
        <v>0</v>
      </c>
      <c r="I401" t="n">
        <v>0</v>
      </c>
      <c r="J401" t="n">
        <v>0</v>
      </c>
      <c r="K401" t="n">
        <v>0</v>
      </c>
      <c r="L401" t="n">
        <v>0</v>
      </c>
      <c r="M401" t="n">
        <v>0</v>
      </c>
      <c r="N401" t="n">
        <v>0</v>
      </c>
      <c r="O401" t="n">
        <v>0</v>
      </c>
      <c r="P401" t="n">
        <v>0</v>
      </c>
      <c r="Q401" t="n">
        <v>0</v>
      </c>
      <c r="R401" s="2" t="inlineStr"/>
    </row>
    <row r="402" ht="15" customHeight="1">
      <c r="A402" t="inlineStr">
        <is>
          <t>A 32981-2025</t>
        </is>
      </c>
      <c r="B402" s="1" t="n">
        <v>45839.86820601852</v>
      </c>
      <c r="C402" s="1" t="n">
        <v>46165</v>
      </c>
      <c r="D402" t="inlineStr">
        <is>
          <t>SKÅNE LÄN</t>
        </is>
      </c>
      <c r="E402" t="inlineStr">
        <is>
          <t>HÄSSLEHOLM</t>
        </is>
      </c>
      <c r="G402" t="n">
        <v>2.7</v>
      </c>
      <c r="H402" t="n">
        <v>0</v>
      </c>
      <c r="I402" t="n">
        <v>0</v>
      </c>
      <c r="J402" t="n">
        <v>0</v>
      </c>
      <c r="K402" t="n">
        <v>0</v>
      </c>
      <c r="L402" t="n">
        <v>0</v>
      </c>
      <c r="M402" t="n">
        <v>0</v>
      </c>
      <c r="N402" t="n">
        <v>0</v>
      </c>
      <c r="O402" t="n">
        <v>0</v>
      </c>
      <c r="P402" t="n">
        <v>0</v>
      </c>
      <c r="Q402" t="n">
        <v>0</v>
      </c>
      <c r="R402" s="2" t="inlineStr"/>
    </row>
    <row r="403" ht="15" customHeight="1">
      <c r="A403" t="inlineStr">
        <is>
          <t>A 42520-2025</t>
        </is>
      </c>
      <c r="B403" s="1" t="n">
        <v>45905.54846064815</v>
      </c>
      <c r="C403" s="1" t="n">
        <v>46165</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35237-2023</t>
        </is>
      </c>
      <c r="B404" s="1" t="n">
        <v>45145.74532407407</v>
      </c>
      <c r="C404" s="1" t="n">
        <v>46165</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23264-2026</t>
        </is>
      </c>
      <c r="B405" s="1" t="n">
        <v>46162</v>
      </c>
      <c r="C405" s="1" t="n">
        <v>46165</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47394-2025</t>
        </is>
      </c>
      <c r="B406" s="1" t="n">
        <v>45930</v>
      </c>
      <c r="C406" s="1" t="n">
        <v>46165</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16862-2025</t>
        </is>
      </c>
      <c r="B407" s="1" t="n">
        <v>45751</v>
      </c>
      <c r="C407" s="1" t="n">
        <v>46165</v>
      </c>
      <c r="D407" t="inlineStr">
        <is>
          <t>SKÅNE LÄN</t>
        </is>
      </c>
      <c r="E407" t="inlineStr">
        <is>
          <t>HÄSSLEHOLM</t>
        </is>
      </c>
      <c r="G407" t="n">
        <v>2.3</v>
      </c>
      <c r="H407" t="n">
        <v>0</v>
      </c>
      <c r="I407" t="n">
        <v>0</v>
      </c>
      <c r="J407" t="n">
        <v>0</v>
      </c>
      <c r="K407" t="n">
        <v>0</v>
      </c>
      <c r="L407" t="n">
        <v>0</v>
      </c>
      <c r="M407" t="n">
        <v>0</v>
      </c>
      <c r="N407" t="n">
        <v>0</v>
      </c>
      <c r="O407" t="n">
        <v>0</v>
      </c>
      <c r="P407" t="n">
        <v>0</v>
      </c>
      <c r="Q407" t="n">
        <v>0</v>
      </c>
      <c r="R407" s="2" t="inlineStr"/>
    </row>
    <row r="408" ht="15" customHeight="1">
      <c r="A408" t="inlineStr">
        <is>
          <t>A 18109-2025</t>
        </is>
      </c>
      <c r="B408" s="1" t="n">
        <v>45761</v>
      </c>
      <c r="C408" s="1" t="n">
        <v>46165</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17835-2026</t>
        </is>
      </c>
      <c r="B409" s="1" t="n">
        <v>46121</v>
      </c>
      <c r="C409" s="1" t="n">
        <v>46165</v>
      </c>
      <c r="D409" t="inlineStr">
        <is>
          <t>SKÅNE LÄN</t>
        </is>
      </c>
      <c r="E409" t="inlineStr">
        <is>
          <t>HÄSSLEHOLM</t>
        </is>
      </c>
      <c r="G409" t="n">
        <v>12.6</v>
      </c>
      <c r="H409" t="n">
        <v>0</v>
      </c>
      <c r="I409" t="n">
        <v>0</v>
      </c>
      <c r="J409" t="n">
        <v>0</v>
      </c>
      <c r="K409" t="n">
        <v>0</v>
      </c>
      <c r="L409" t="n">
        <v>0</v>
      </c>
      <c r="M409" t="n">
        <v>0</v>
      </c>
      <c r="N409" t="n">
        <v>0</v>
      </c>
      <c r="O409" t="n">
        <v>0</v>
      </c>
      <c r="P409" t="n">
        <v>0</v>
      </c>
      <c r="Q409" t="n">
        <v>0</v>
      </c>
      <c r="R409" s="2" t="inlineStr"/>
    </row>
    <row r="410" ht="15" customHeight="1">
      <c r="A410" t="inlineStr">
        <is>
          <t>A 17844-2026</t>
        </is>
      </c>
      <c r="B410" s="1" t="n">
        <v>46121</v>
      </c>
      <c r="C410" s="1" t="n">
        <v>46165</v>
      </c>
      <c r="D410" t="inlineStr">
        <is>
          <t>SKÅNE LÄN</t>
        </is>
      </c>
      <c r="E410" t="inlineStr">
        <is>
          <t>HÄSSLEHOLM</t>
        </is>
      </c>
      <c r="G410" t="n">
        <v>3</v>
      </c>
      <c r="H410" t="n">
        <v>0</v>
      </c>
      <c r="I410" t="n">
        <v>0</v>
      </c>
      <c r="J410" t="n">
        <v>0</v>
      </c>
      <c r="K410" t="n">
        <v>0</v>
      </c>
      <c r="L410" t="n">
        <v>0</v>
      </c>
      <c r="M410" t="n">
        <v>0</v>
      </c>
      <c r="N410" t="n">
        <v>0</v>
      </c>
      <c r="O410" t="n">
        <v>0</v>
      </c>
      <c r="P410" t="n">
        <v>0</v>
      </c>
      <c r="Q410" t="n">
        <v>0</v>
      </c>
      <c r="R410" s="2" t="inlineStr"/>
    </row>
    <row r="411" ht="15" customHeight="1">
      <c r="A411" t="inlineStr">
        <is>
          <t>A 47422-2025</t>
        </is>
      </c>
      <c r="B411" s="1" t="n">
        <v>45930</v>
      </c>
      <c r="C411" s="1" t="n">
        <v>46165</v>
      </c>
      <c r="D411" t="inlineStr">
        <is>
          <t>SKÅNE LÄN</t>
        </is>
      </c>
      <c r="E411" t="inlineStr">
        <is>
          <t>HÄSSLEHOLM</t>
        </is>
      </c>
      <c r="G411" t="n">
        <v>2.3</v>
      </c>
      <c r="H411" t="n">
        <v>0</v>
      </c>
      <c r="I411" t="n">
        <v>0</v>
      </c>
      <c r="J411" t="n">
        <v>0</v>
      </c>
      <c r="K411" t="n">
        <v>0</v>
      </c>
      <c r="L411" t="n">
        <v>0</v>
      </c>
      <c r="M411" t="n">
        <v>0</v>
      </c>
      <c r="N411" t="n">
        <v>0</v>
      </c>
      <c r="O411" t="n">
        <v>0</v>
      </c>
      <c r="P411" t="n">
        <v>0</v>
      </c>
      <c r="Q411" t="n">
        <v>0</v>
      </c>
      <c r="R411" s="2" t="inlineStr"/>
    </row>
    <row r="412" ht="15" customHeight="1">
      <c r="A412" t="inlineStr">
        <is>
          <t>A 47450-2025</t>
        </is>
      </c>
      <c r="B412" s="1" t="n">
        <v>45930</v>
      </c>
      <c r="C412" s="1" t="n">
        <v>46165</v>
      </c>
      <c r="D412" t="inlineStr">
        <is>
          <t>SKÅNE LÄN</t>
        </is>
      </c>
      <c r="E412" t="inlineStr">
        <is>
          <t>HÄSSLEHOLM</t>
        </is>
      </c>
      <c r="G412" t="n">
        <v>3.2</v>
      </c>
      <c r="H412" t="n">
        <v>0</v>
      </c>
      <c r="I412" t="n">
        <v>0</v>
      </c>
      <c r="J412" t="n">
        <v>0</v>
      </c>
      <c r="K412" t="n">
        <v>0</v>
      </c>
      <c r="L412" t="n">
        <v>0</v>
      </c>
      <c r="M412" t="n">
        <v>0</v>
      </c>
      <c r="N412" t="n">
        <v>0</v>
      </c>
      <c r="O412" t="n">
        <v>0</v>
      </c>
      <c r="P412" t="n">
        <v>0</v>
      </c>
      <c r="Q412" t="n">
        <v>0</v>
      </c>
      <c r="R412" s="2" t="inlineStr"/>
    </row>
    <row r="413" ht="15" customHeight="1">
      <c r="A413" t="inlineStr">
        <is>
          <t>A 57967-2023</t>
        </is>
      </c>
      <c r="B413" s="1" t="n">
        <v>45247.57984953704</v>
      </c>
      <c r="C413" s="1" t="n">
        <v>46165</v>
      </c>
      <c r="D413" t="inlineStr">
        <is>
          <t>SKÅNE LÄN</t>
        </is>
      </c>
      <c r="E413" t="inlineStr">
        <is>
          <t>HÄSSLEHOLM</t>
        </is>
      </c>
      <c r="G413" t="n">
        <v>8.6</v>
      </c>
      <c r="H413" t="n">
        <v>0</v>
      </c>
      <c r="I413" t="n">
        <v>0</v>
      </c>
      <c r="J413" t="n">
        <v>0</v>
      </c>
      <c r="K413" t="n">
        <v>0</v>
      </c>
      <c r="L413" t="n">
        <v>0</v>
      </c>
      <c r="M413" t="n">
        <v>0</v>
      </c>
      <c r="N413" t="n">
        <v>0</v>
      </c>
      <c r="O413" t="n">
        <v>0</v>
      </c>
      <c r="P413" t="n">
        <v>0</v>
      </c>
      <c r="Q413" t="n">
        <v>0</v>
      </c>
      <c r="R413" s="2" t="inlineStr"/>
    </row>
    <row r="414" ht="15" customHeight="1">
      <c r="A414" t="inlineStr">
        <is>
          <t>A 62041-2022</t>
        </is>
      </c>
      <c r="B414" s="1" t="n">
        <v>44918.55743055556</v>
      </c>
      <c r="C414" s="1" t="n">
        <v>46165</v>
      </c>
      <c r="D414" t="inlineStr">
        <is>
          <t>SKÅNE LÄN</t>
        </is>
      </c>
      <c r="E414" t="inlineStr">
        <is>
          <t>HÄSSLEHOLM</t>
        </is>
      </c>
      <c r="G414" t="n">
        <v>2.8</v>
      </c>
      <c r="H414" t="n">
        <v>0</v>
      </c>
      <c r="I414" t="n">
        <v>0</v>
      </c>
      <c r="J414" t="n">
        <v>0</v>
      </c>
      <c r="K414" t="n">
        <v>0</v>
      </c>
      <c r="L414" t="n">
        <v>0</v>
      </c>
      <c r="M414" t="n">
        <v>0</v>
      </c>
      <c r="N414" t="n">
        <v>0</v>
      </c>
      <c r="O414" t="n">
        <v>0</v>
      </c>
      <c r="P414" t="n">
        <v>0</v>
      </c>
      <c r="Q414" t="n">
        <v>0</v>
      </c>
      <c r="R414" s="2" t="inlineStr"/>
    </row>
    <row r="415" ht="15" customHeight="1">
      <c r="A415" t="inlineStr">
        <is>
          <t>A 43516-2025</t>
        </is>
      </c>
      <c r="B415" s="1" t="n">
        <v>45911</v>
      </c>
      <c r="C415" s="1" t="n">
        <v>46165</v>
      </c>
      <c r="D415" t="inlineStr">
        <is>
          <t>SKÅNE LÄN</t>
        </is>
      </c>
      <c r="E415" t="inlineStr">
        <is>
          <t>HÄSSLEHOLM</t>
        </is>
      </c>
      <c r="G415" t="n">
        <v>2.4</v>
      </c>
      <c r="H415" t="n">
        <v>0</v>
      </c>
      <c r="I415" t="n">
        <v>0</v>
      </c>
      <c r="J415" t="n">
        <v>0</v>
      </c>
      <c r="K415" t="n">
        <v>0</v>
      </c>
      <c r="L415" t="n">
        <v>0</v>
      </c>
      <c r="M415" t="n">
        <v>0</v>
      </c>
      <c r="N415" t="n">
        <v>0</v>
      </c>
      <c r="O415" t="n">
        <v>0</v>
      </c>
      <c r="P415" t="n">
        <v>0</v>
      </c>
      <c r="Q415" t="n">
        <v>0</v>
      </c>
      <c r="R415" s="2" t="inlineStr"/>
    </row>
    <row r="416" ht="15" customHeight="1">
      <c r="A416" t="inlineStr">
        <is>
          <t>A 12468-2024</t>
        </is>
      </c>
      <c r="B416" s="1" t="n">
        <v>45379</v>
      </c>
      <c r="C416" s="1" t="n">
        <v>46165</v>
      </c>
      <c r="D416" t="inlineStr">
        <is>
          <t>SKÅNE LÄN</t>
        </is>
      </c>
      <c r="E416" t="inlineStr">
        <is>
          <t>HÄSSLEHOLM</t>
        </is>
      </c>
      <c r="G416" t="n">
        <v>15.5</v>
      </c>
      <c r="H416" t="n">
        <v>0</v>
      </c>
      <c r="I416" t="n">
        <v>0</v>
      </c>
      <c r="J416" t="n">
        <v>0</v>
      </c>
      <c r="K416" t="n">
        <v>0</v>
      </c>
      <c r="L416" t="n">
        <v>0</v>
      </c>
      <c r="M416" t="n">
        <v>0</v>
      </c>
      <c r="N416" t="n">
        <v>0</v>
      </c>
      <c r="O416" t="n">
        <v>0</v>
      </c>
      <c r="P416" t="n">
        <v>0</v>
      </c>
      <c r="Q416" t="n">
        <v>0</v>
      </c>
      <c r="R416" s="2" t="inlineStr"/>
    </row>
    <row r="417" ht="15" customHeight="1">
      <c r="A417" t="inlineStr">
        <is>
          <t>A 43332-2025</t>
        </is>
      </c>
      <c r="B417" s="1" t="n">
        <v>45910.70217592592</v>
      </c>
      <c r="C417" s="1" t="n">
        <v>46165</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43333-2025</t>
        </is>
      </c>
      <c r="B418" s="1" t="n">
        <v>45910</v>
      </c>
      <c r="C418" s="1" t="n">
        <v>46165</v>
      </c>
      <c r="D418" t="inlineStr">
        <is>
          <t>SKÅNE LÄN</t>
        </is>
      </c>
      <c r="E418" t="inlineStr">
        <is>
          <t>HÄSSLEHOLM</t>
        </is>
      </c>
      <c r="G418" t="n">
        <v>10.1</v>
      </c>
      <c r="H418" t="n">
        <v>0</v>
      </c>
      <c r="I418" t="n">
        <v>0</v>
      </c>
      <c r="J418" t="n">
        <v>0</v>
      </c>
      <c r="K418" t="n">
        <v>0</v>
      </c>
      <c r="L418" t="n">
        <v>0</v>
      </c>
      <c r="M418" t="n">
        <v>0</v>
      </c>
      <c r="N418" t="n">
        <v>0</v>
      </c>
      <c r="O418" t="n">
        <v>0</v>
      </c>
      <c r="P418" t="n">
        <v>0</v>
      </c>
      <c r="Q418" t="n">
        <v>0</v>
      </c>
      <c r="R418" s="2" t="inlineStr"/>
    </row>
    <row r="419" ht="15" customHeight="1">
      <c r="A419" t="inlineStr">
        <is>
          <t>A 1553-2023</t>
        </is>
      </c>
      <c r="B419" s="1" t="n">
        <v>44937</v>
      </c>
      <c r="C419" s="1" t="n">
        <v>46165</v>
      </c>
      <c r="D419" t="inlineStr">
        <is>
          <t>SKÅNE LÄN</t>
        </is>
      </c>
      <c r="E419" t="inlineStr">
        <is>
          <t>HÄSSLEHOLM</t>
        </is>
      </c>
      <c r="G419" t="n">
        <v>0.9</v>
      </c>
      <c r="H419" t="n">
        <v>0</v>
      </c>
      <c r="I419" t="n">
        <v>0</v>
      </c>
      <c r="J419" t="n">
        <v>0</v>
      </c>
      <c r="K419" t="n">
        <v>0</v>
      </c>
      <c r="L419" t="n">
        <v>0</v>
      </c>
      <c r="M419" t="n">
        <v>0</v>
      </c>
      <c r="N419" t="n">
        <v>0</v>
      </c>
      <c r="O419" t="n">
        <v>0</v>
      </c>
      <c r="P419" t="n">
        <v>0</v>
      </c>
      <c r="Q419" t="n">
        <v>0</v>
      </c>
      <c r="R419" s="2" t="inlineStr"/>
    </row>
    <row r="420" ht="15" customHeight="1">
      <c r="A420" t="inlineStr">
        <is>
          <t>A 22690-2022</t>
        </is>
      </c>
      <c r="B420" s="1" t="n">
        <v>44714.5421875</v>
      </c>
      <c r="C420" s="1" t="n">
        <v>46165</v>
      </c>
      <c r="D420" t="inlineStr">
        <is>
          <t>SKÅNE LÄN</t>
        </is>
      </c>
      <c r="E420" t="inlineStr">
        <is>
          <t>HÄSSLEHOLM</t>
        </is>
      </c>
      <c r="G420" t="n">
        <v>1.7</v>
      </c>
      <c r="H420" t="n">
        <v>0</v>
      </c>
      <c r="I420" t="n">
        <v>0</v>
      </c>
      <c r="J420" t="n">
        <v>0</v>
      </c>
      <c r="K420" t="n">
        <v>0</v>
      </c>
      <c r="L420" t="n">
        <v>0</v>
      </c>
      <c r="M420" t="n">
        <v>0</v>
      </c>
      <c r="N420" t="n">
        <v>0</v>
      </c>
      <c r="O420" t="n">
        <v>0</v>
      </c>
      <c r="P420" t="n">
        <v>0</v>
      </c>
      <c r="Q420" t="n">
        <v>0</v>
      </c>
      <c r="R420" s="2" t="inlineStr"/>
    </row>
    <row r="421" ht="15" customHeight="1">
      <c r="A421" t="inlineStr">
        <is>
          <t>A 43869-2025</t>
        </is>
      </c>
      <c r="B421" s="1" t="n">
        <v>45912.66452546296</v>
      </c>
      <c r="C421" s="1" t="n">
        <v>46165</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53897-2023</t>
        </is>
      </c>
      <c r="B422" s="1" t="n">
        <v>45231.53934027778</v>
      </c>
      <c r="C422" s="1" t="n">
        <v>46165</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43741-2025</t>
        </is>
      </c>
      <c r="B423" s="1" t="n">
        <v>45912.45541666666</v>
      </c>
      <c r="C423" s="1" t="n">
        <v>46165</v>
      </c>
      <c r="D423" t="inlineStr">
        <is>
          <t>SKÅNE LÄN</t>
        </is>
      </c>
      <c r="E423" t="inlineStr">
        <is>
          <t>HÄSSLEHOLM</t>
        </is>
      </c>
      <c r="G423" t="n">
        <v>4.3</v>
      </c>
      <c r="H423" t="n">
        <v>0</v>
      </c>
      <c r="I423" t="n">
        <v>0</v>
      </c>
      <c r="J423" t="n">
        <v>0</v>
      </c>
      <c r="K423" t="n">
        <v>0</v>
      </c>
      <c r="L423" t="n">
        <v>0</v>
      </c>
      <c r="M423" t="n">
        <v>0</v>
      </c>
      <c r="N423" t="n">
        <v>0</v>
      </c>
      <c r="O423" t="n">
        <v>0</v>
      </c>
      <c r="P423" t="n">
        <v>0</v>
      </c>
      <c r="Q423" t="n">
        <v>0</v>
      </c>
      <c r="R423" s="2" t="inlineStr"/>
    </row>
    <row r="424" ht="15" customHeight="1">
      <c r="A424" t="inlineStr">
        <is>
          <t>A 1170-2025</t>
        </is>
      </c>
      <c r="B424" s="1" t="n">
        <v>45667.29226851852</v>
      </c>
      <c r="C424" s="1" t="n">
        <v>46165</v>
      </c>
      <c r="D424" t="inlineStr">
        <is>
          <t>SKÅNE LÄN</t>
        </is>
      </c>
      <c r="E424" t="inlineStr">
        <is>
          <t>HÄSSLEHOLM</t>
        </is>
      </c>
      <c r="G424" t="n">
        <v>4.3</v>
      </c>
      <c r="H424" t="n">
        <v>0</v>
      </c>
      <c r="I424" t="n">
        <v>0</v>
      </c>
      <c r="J424" t="n">
        <v>0</v>
      </c>
      <c r="K424" t="n">
        <v>0</v>
      </c>
      <c r="L424" t="n">
        <v>0</v>
      </c>
      <c r="M424" t="n">
        <v>0</v>
      </c>
      <c r="N424" t="n">
        <v>0</v>
      </c>
      <c r="O424" t="n">
        <v>0</v>
      </c>
      <c r="P424" t="n">
        <v>0</v>
      </c>
      <c r="Q424" t="n">
        <v>0</v>
      </c>
      <c r="R424" s="2" t="inlineStr"/>
    </row>
    <row r="425" ht="15" customHeight="1">
      <c r="A425" t="inlineStr">
        <is>
          <t>A 22132-2024</t>
        </is>
      </c>
      <c r="B425" s="1" t="n">
        <v>45444.37234953704</v>
      </c>
      <c r="C425" s="1" t="n">
        <v>46165</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43738-2025</t>
        </is>
      </c>
      <c r="B426" s="1" t="n">
        <v>45912.45037037037</v>
      </c>
      <c r="C426" s="1" t="n">
        <v>46165</v>
      </c>
      <c r="D426" t="inlineStr">
        <is>
          <t>SKÅNE LÄN</t>
        </is>
      </c>
      <c r="E426" t="inlineStr">
        <is>
          <t>HÄSSLEHOLM</t>
        </is>
      </c>
      <c r="G426" t="n">
        <v>1.3</v>
      </c>
      <c r="H426" t="n">
        <v>0</v>
      </c>
      <c r="I426" t="n">
        <v>0</v>
      </c>
      <c r="J426" t="n">
        <v>0</v>
      </c>
      <c r="K426" t="n">
        <v>0</v>
      </c>
      <c r="L426" t="n">
        <v>0</v>
      </c>
      <c r="M426" t="n">
        <v>0</v>
      </c>
      <c r="N426" t="n">
        <v>0</v>
      </c>
      <c r="O426" t="n">
        <v>0</v>
      </c>
      <c r="P426" t="n">
        <v>0</v>
      </c>
      <c r="Q426" t="n">
        <v>0</v>
      </c>
      <c r="R426" s="2" t="inlineStr"/>
    </row>
    <row r="427" ht="15" customHeight="1">
      <c r="A427" t="inlineStr">
        <is>
          <t>A 32210-2024</t>
        </is>
      </c>
      <c r="B427" s="1" t="n">
        <v>45511.67777777778</v>
      </c>
      <c r="C427" s="1" t="n">
        <v>46165</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44624-2025</t>
        </is>
      </c>
      <c r="B428" s="1" t="n">
        <v>45917.47152777778</v>
      </c>
      <c r="C428" s="1" t="n">
        <v>46165</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44611-2025</t>
        </is>
      </c>
      <c r="B429" s="1" t="n">
        <v>45917.45109953704</v>
      </c>
      <c r="C429" s="1" t="n">
        <v>46165</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44330-2025</t>
        </is>
      </c>
      <c r="B430" s="1" t="n">
        <v>45916.42120370371</v>
      </c>
      <c r="C430" s="1" t="n">
        <v>46165</v>
      </c>
      <c r="D430" t="inlineStr">
        <is>
          <t>SKÅNE LÄN</t>
        </is>
      </c>
      <c r="E430" t="inlineStr">
        <is>
          <t>HÄSSLEHOLM</t>
        </is>
      </c>
      <c r="G430" t="n">
        <v>2.7</v>
      </c>
      <c r="H430" t="n">
        <v>0</v>
      </c>
      <c r="I430" t="n">
        <v>0</v>
      </c>
      <c r="J430" t="n">
        <v>0</v>
      </c>
      <c r="K430" t="n">
        <v>0</v>
      </c>
      <c r="L430" t="n">
        <v>0</v>
      </c>
      <c r="M430" t="n">
        <v>0</v>
      </c>
      <c r="N430" t="n">
        <v>0</v>
      </c>
      <c r="O430" t="n">
        <v>0</v>
      </c>
      <c r="P430" t="n">
        <v>0</v>
      </c>
      <c r="Q430" t="n">
        <v>0</v>
      </c>
      <c r="R430" s="2" t="inlineStr"/>
    </row>
    <row r="431" ht="15" customHeight="1">
      <c r="A431" t="inlineStr">
        <is>
          <t>A 34342-2021</t>
        </is>
      </c>
      <c r="B431" s="1" t="n">
        <v>44379</v>
      </c>
      <c r="C431" s="1" t="n">
        <v>46165</v>
      </c>
      <c r="D431" t="inlineStr">
        <is>
          <t>SKÅNE LÄN</t>
        </is>
      </c>
      <c r="E431" t="inlineStr">
        <is>
          <t>HÄSSLEHOLM</t>
        </is>
      </c>
      <c r="G431" t="n">
        <v>7</v>
      </c>
      <c r="H431" t="n">
        <v>0</v>
      </c>
      <c r="I431" t="n">
        <v>0</v>
      </c>
      <c r="J431" t="n">
        <v>0</v>
      </c>
      <c r="K431" t="n">
        <v>0</v>
      </c>
      <c r="L431" t="n">
        <v>0</v>
      </c>
      <c r="M431" t="n">
        <v>0</v>
      </c>
      <c r="N431" t="n">
        <v>0</v>
      </c>
      <c r="O431" t="n">
        <v>0</v>
      </c>
      <c r="P431" t="n">
        <v>0</v>
      </c>
      <c r="Q431" t="n">
        <v>0</v>
      </c>
      <c r="R431" s="2" t="inlineStr"/>
    </row>
    <row r="432" ht="15" customHeight="1">
      <c r="A432" t="inlineStr">
        <is>
          <t>A 44523-2025</t>
        </is>
      </c>
      <c r="B432" s="1" t="n">
        <v>45916</v>
      </c>
      <c r="C432" s="1" t="n">
        <v>46165</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1557-2023</t>
        </is>
      </c>
      <c r="B433" s="1" t="n">
        <v>44937</v>
      </c>
      <c r="C433" s="1" t="n">
        <v>46165</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2743-2023</t>
        </is>
      </c>
      <c r="B434" s="1" t="n">
        <v>44944</v>
      </c>
      <c r="C434" s="1" t="n">
        <v>46165</v>
      </c>
      <c r="D434" t="inlineStr">
        <is>
          <t>SKÅNE LÄN</t>
        </is>
      </c>
      <c r="E434" t="inlineStr">
        <is>
          <t>HÄSSLEHOLM</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8749-2024</t>
        </is>
      </c>
      <c r="B435" s="1" t="n">
        <v>45356.50387731481</v>
      </c>
      <c r="C435" s="1" t="n">
        <v>46165</v>
      </c>
      <c r="D435" t="inlineStr">
        <is>
          <t>SKÅNE LÄN</t>
        </is>
      </c>
      <c r="E435" t="inlineStr">
        <is>
          <t>HÄSSLEHOLM</t>
        </is>
      </c>
      <c r="G435" t="n">
        <v>2.9</v>
      </c>
      <c r="H435" t="n">
        <v>0</v>
      </c>
      <c r="I435" t="n">
        <v>0</v>
      </c>
      <c r="J435" t="n">
        <v>0</v>
      </c>
      <c r="K435" t="n">
        <v>0</v>
      </c>
      <c r="L435" t="n">
        <v>0</v>
      </c>
      <c r="M435" t="n">
        <v>0</v>
      </c>
      <c r="N435" t="n">
        <v>0</v>
      </c>
      <c r="O435" t="n">
        <v>0</v>
      </c>
      <c r="P435" t="n">
        <v>0</v>
      </c>
      <c r="Q435" t="n">
        <v>0</v>
      </c>
      <c r="R435" s="2" t="inlineStr"/>
    </row>
    <row r="436" ht="15" customHeight="1">
      <c r="A436" t="inlineStr">
        <is>
          <t>A 8752-2024</t>
        </is>
      </c>
      <c r="B436" s="1" t="n">
        <v>45356</v>
      </c>
      <c r="C436" s="1" t="n">
        <v>46165</v>
      </c>
      <c r="D436" t="inlineStr">
        <is>
          <t>SKÅNE LÄN</t>
        </is>
      </c>
      <c r="E436" t="inlineStr">
        <is>
          <t>HÄSSLEHOLM</t>
        </is>
      </c>
      <c r="G436" t="n">
        <v>3.4</v>
      </c>
      <c r="H436" t="n">
        <v>0</v>
      </c>
      <c r="I436" t="n">
        <v>0</v>
      </c>
      <c r="J436" t="n">
        <v>0</v>
      </c>
      <c r="K436" t="n">
        <v>0</v>
      </c>
      <c r="L436" t="n">
        <v>0</v>
      </c>
      <c r="M436" t="n">
        <v>0</v>
      </c>
      <c r="N436" t="n">
        <v>0</v>
      </c>
      <c r="O436" t="n">
        <v>0</v>
      </c>
      <c r="P436" t="n">
        <v>0</v>
      </c>
      <c r="Q436" t="n">
        <v>0</v>
      </c>
      <c r="R436" s="2" t="inlineStr"/>
    </row>
    <row r="437" ht="15" customHeight="1">
      <c r="A437" t="inlineStr">
        <is>
          <t>A 8759-2024</t>
        </is>
      </c>
      <c r="B437" s="1" t="n">
        <v>45356.52271990741</v>
      </c>
      <c r="C437" s="1" t="n">
        <v>46165</v>
      </c>
      <c r="D437" t="inlineStr">
        <is>
          <t>SKÅNE LÄN</t>
        </is>
      </c>
      <c r="E437" t="inlineStr">
        <is>
          <t>HÄSSLEHOLM</t>
        </is>
      </c>
      <c r="G437" t="n">
        <v>5.7</v>
      </c>
      <c r="H437" t="n">
        <v>0</v>
      </c>
      <c r="I437" t="n">
        <v>0</v>
      </c>
      <c r="J437" t="n">
        <v>0</v>
      </c>
      <c r="K437" t="n">
        <v>0</v>
      </c>
      <c r="L437" t="n">
        <v>0</v>
      </c>
      <c r="M437" t="n">
        <v>0</v>
      </c>
      <c r="N437" t="n">
        <v>0</v>
      </c>
      <c r="O437" t="n">
        <v>0</v>
      </c>
      <c r="P437" t="n">
        <v>0</v>
      </c>
      <c r="Q437" t="n">
        <v>0</v>
      </c>
      <c r="R437" s="2" t="inlineStr"/>
    </row>
    <row r="438" ht="15" customHeight="1">
      <c r="A438" t="inlineStr">
        <is>
          <t>A 44515-2025</t>
        </is>
      </c>
      <c r="B438" s="1" t="n">
        <v>45916.7062037037</v>
      </c>
      <c r="C438" s="1" t="n">
        <v>46165</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48624-2021</t>
        </is>
      </c>
      <c r="B439" s="1" t="n">
        <v>44452</v>
      </c>
      <c r="C439" s="1" t="n">
        <v>46165</v>
      </c>
      <c r="D439" t="inlineStr">
        <is>
          <t>SKÅNE LÄN</t>
        </is>
      </c>
      <c r="E439" t="inlineStr">
        <is>
          <t>HÄSSLEHOLM</t>
        </is>
      </c>
      <c r="G439" t="n">
        <v>2.2</v>
      </c>
      <c r="H439" t="n">
        <v>0</v>
      </c>
      <c r="I439" t="n">
        <v>0</v>
      </c>
      <c r="J439" t="n">
        <v>0</v>
      </c>
      <c r="K439" t="n">
        <v>0</v>
      </c>
      <c r="L439" t="n">
        <v>0</v>
      </c>
      <c r="M439" t="n">
        <v>0</v>
      </c>
      <c r="N439" t="n">
        <v>0</v>
      </c>
      <c r="O439" t="n">
        <v>0</v>
      </c>
      <c r="P439" t="n">
        <v>0</v>
      </c>
      <c r="Q439" t="n">
        <v>0</v>
      </c>
      <c r="R439" s="2" t="inlineStr"/>
    </row>
    <row r="440" ht="15" customHeight="1">
      <c r="A440" t="inlineStr">
        <is>
          <t>A 9239-2025</t>
        </is>
      </c>
      <c r="B440" s="1" t="n">
        <v>45714</v>
      </c>
      <c r="C440" s="1" t="n">
        <v>46165</v>
      </c>
      <c r="D440" t="inlineStr">
        <is>
          <t>SKÅNE LÄN</t>
        </is>
      </c>
      <c r="E440" t="inlineStr">
        <is>
          <t>HÄSSLEHOLM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44616-2025</t>
        </is>
      </c>
      <c r="B441" s="1" t="n">
        <v>45917.45572916666</v>
      </c>
      <c r="C441" s="1" t="n">
        <v>46165</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44614-2025</t>
        </is>
      </c>
      <c r="B442" s="1" t="n">
        <v>45917.45422453704</v>
      </c>
      <c r="C442" s="1" t="n">
        <v>46165</v>
      </c>
      <c r="D442" t="inlineStr">
        <is>
          <t>SKÅNE LÄN</t>
        </is>
      </c>
      <c r="E442" t="inlineStr">
        <is>
          <t>HÄSSLEHOLM</t>
        </is>
      </c>
      <c r="G442" t="n">
        <v>5.4</v>
      </c>
      <c r="H442" t="n">
        <v>0</v>
      </c>
      <c r="I442" t="n">
        <v>0</v>
      </c>
      <c r="J442" t="n">
        <v>0</v>
      </c>
      <c r="K442" t="n">
        <v>0</v>
      </c>
      <c r="L442" t="n">
        <v>0</v>
      </c>
      <c r="M442" t="n">
        <v>0</v>
      </c>
      <c r="N442" t="n">
        <v>0</v>
      </c>
      <c r="O442" t="n">
        <v>0</v>
      </c>
      <c r="P442" t="n">
        <v>0</v>
      </c>
      <c r="Q442" t="n">
        <v>0</v>
      </c>
      <c r="R442" s="2" t="inlineStr"/>
    </row>
    <row r="443" ht="15" customHeight="1">
      <c r="A443" t="inlineStr">
        <is>
          <t>A 45176-2025</t>
        </is>
      </c>
      <c r="B443" s="1" t="n">
        <v>45919.52307870371</v>
      </c>
      <c r="C443" s="1" t="n">
        <v>46165</v>
      </c>
      <c r="D443" t="inlineStr">
        <is>
          <t>SKÅNE LÄN</t>
        </is>
      </c>
      <c r="E443" t="inlineStr">
        <is>
          <t>HÄSSLEHOLM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45221-2025</t>
        </is>
      </c>
      <c r="B444" s="1" t="n">
        <v>45919.57760416667</v>
      </c>
      <c r="C444" s="1" t="n">
        <v>46165</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59434-2023</t>
        </is>
      </c>
      <c r="B445" s="1" t="n">
        <v>45254.30440972222</v>
      </c>
      <c r="C445" s="1" t="n">
        <v>46165</v>
      </c>
      <c r="D445" t="inlineStr">
        <is>
          <t>SKÅNE LÄN</t>
        </is>
      </c>
      <c r="E445" t="inlineStr">
        <is>
          <t>HÄSSLEHOLM</t>
        </is>
      </c>
      <c r="G445" t="n">
        <v>3.6</v>
      </c>
      <c r="H445" t="n">
        <v>0</v>
      </c>
      <c r="I445" t="n">
        <v>0</v>
      </c>
      <c r="J445" t="n">
        <v>0</v>
      </c>
      <c r="K445" t="n">
        <v>0</v>
      </c>
      <c r="L445" t="n">
        <v>0</v>
      </c>
      <c r="M445" t="n">
        <v>0</v>
      </c>
      <c r="N445" t="n">
        <v>0</v>
      </c>
      <c r="O445" t="n">
        <v>0</v>
      </c>
      <c r="P445" t="n">
        <v>0</v>
      </c>
      <c r="Q445" t="n">
        <v>0</v>
      </c>
      <c r="R445" s="2" t="inlineStr"/>
    </row>
    <row r="446" ht="15" customHeight="1">
      <c r="A446" t="inlineStr">
        <is>
          <t>A 45273-2025</t>
        </is>
      </c>
      <c r="B446" s="1" t="n">
        <v>45919.70486111111</v>
      </c>
      <c r="C446" s="1" t="n">
        <v>46165</v>
      </c>
      <c r="D446" t="inlineStr">
        <is>
          <t>SKÅNE LÄN</t>
        </is>
      </c>
      <c r="E446" t="inlineStr">
        <is>
          <t>HÄSSLEHOLM</t>
        </is>
      </c>
      <c r="G446" t="n">
        <v>4.4</v>
      </c>
      <c r="H446" t="n">
        <v>0</v>
      </c>
      <c r="I446" t="n">
        <v>0</v>
      </c>
      <c r="J446" t="n">
        <v>0</v>
      </c>
      <c r="K446" t="n">
        <v>0</v>
      </c>
      <c r="L446" t="n">
        <v>0</v>
      </c>
      <c r="M446" t="n">
        <v>0</v>
      </c>
      <c r="N446" t="n">
        <v>0</v>
      </c>
      <c r="O446" t="n">
        <v>0</v>
      </c>
      <c r="P446" t="n">
        <v>0</v>
      </c>
      <c r="Q446" t="n">
        <v>0</v>
      </c>
      <c r="R446" s="2" t="inlineStr"/>
    </row>
    <row r="447" ht="15" customHeight="1">
      <c r="A447" t="inlineStr">
        <is>
          <t>A 45084-2025</t>
        </is>
      </c>
      <c r="B447" s="1" t="n">
        <v>45918</v>
      </c>
      <c r="C447" s="1" t="n">
        <v>46165</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26403-2024</t>
        </is>
      </c>
      <c r="B448" s="1" t="n">
        <v>45469.44505787037</v>
      </c>
      <c r="C448" s="1" t="n">
        <v>46165</v>
      </c>
      <c r="D448" t="inlineStr">
        <is>
          <t>SKÅNE LÄN</t>
        </is>
      </c>
      <c r="E448" t="inlineStr">
        <is>
          <t>HÄSSLEHOLM</t>
        </is>
      </c>
      <c r="G448" t="n">
        <v>2.6</v>
      </c>
      <c r="H448" t="n">
        <v>0</v>
      </c>
      <c r="I448" t="n">
        <v>0</v>
      </c>
      <c r="J448" t="n">
        <v>0</v>
      </c>
      <c r="K448" t="n">
        <v>0</v>
      </c>
      <c r="L448" t="n">
        <v>0</v>
      </c>
      <c r="M448" t="n">
        <v>0</v>
      </c>
      <c r="N448" t="n">
        <v>0</v>
      </c>
      <c r="O448" t="n">
        <v>0</v>
      </c>
      <c r="P448" t="n">
        <v>0</v>
      </c>
      <c r="Q448" t="n">
        <v>0</v>
      </c>
      <c r="R448" s="2" t="inlineStr"/>
    </row>
    <row r="449" ht="15" customHeight="1">
      <c r="A449" t="inlineStr">
        <is>
          <t>A 26403-2024</t>
        </is>
      </c>
      <c r="B449" s="1" t="n">
        <v>45469.44505787037</v>
      </c>
      <c r="C449" s="1" t="n">
        <v>46165</v>
      </c>
      <c r="D449" t="inlineStr">
        <is>
          <t>SKÅNE LÄN</t>
        </is>
      </c>
      <c r="E449" t="inlineStr">
        <is>
          <t>HÄSSLEHOLM</t>
        </is>
      </c>
      <c r="G449" t="n">
        <v>2.6</v>
      </c>
      <c r="H449" t="n">
        <v>0</v>
      </c>
      <c r="I449" t="n">
        <v>0</v>
      </c>
      <c r="J449" t="n">
        <v>0</v>
      </c>
      <c r="K449" t="n">
        <v>0</v>
      </c>
      <c r="L449" t="n">
        <v>0</v>
      </c>
      <c r="M449" t="n">
        <v>0</v>
      </c>
      <c r="N449" t="n">
        <v>0</v>
      </c>
      <c r="O449" t="n">
        <v>0</v>
      </c>
      <c r="P449" t="n">
        <v>0</v>
      </c>
      <c r="Q449" t="n">
        <v>0</v>
      </c>
      <c r="R449" s="2" t="inlineStr"/>
    </row>
    <row r="450" ht="15" customHeight="1">
      <c r="A450" t="inlineStr">
        <is>
          <t>A 9556-2025</t>
        </is>
      </c>
      <c r="B450" s="1" t="n">
        <v>45714</v>
      </c>
      <c r="C450" s="1" t="n">
        <v>46165</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2290-2024</t>
        </is>
      </c>
      <c r="B451" s="1" t="n">
        <v>45310</v>
      </c>
      <c r="C451" s="1" t="n">
        <v>46165</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33067-2024</t>
        </is>
      </c>
      <c r="B452" s="1" t="n">
        <v>45517.6520949074</v>
      </c>
      <c r="C452" s="1" t="n">
        <v>46165</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45496-2025</t>
        </is>
      </c>
      <c r="B453" s="1" t="n">
        <v>45922</v>
      </c>
      <c r="C453" s="1" t="n">
        <v>46165</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45495-2025</t>
        </is>
      </c>
      <c r="B454" s="1" t="n">
        <v>45922.56369212963</v>
      </c>
      <c r="C454" s="1" t="n">
        <v>46165</v>
      </c>
      <c r="D454" t="inlineStr">
        <is>
          <t>SKÅNE LÄN</t>
        </is>
      </c>
      <c r="E454" t="inlineStr">
        <is>
          <t>HÄSSLEHOLM</t>
        </is>
      </c>
      <c r="G454" t="n">
        <v>1.8</v>
      </c>
      <c r="H454" t="n">
        <v>0</v>
      </c>
      <c r="I454" t="n">
        <v>0</v>
      </c>
      <c r="J454" t="n">
        <v>0</v>
      </c>
      <c r="K454" t="n">
        <v>0</v>
      </c>
      <c r="L454" t="n">
        <v>0</v>
      </c>
      <c r="M454" t="n">
        <v>0</v>
      </c>
      <c r="N454" t="n">
        <v>0</v>
      </c>
      <c r="O454" t="n">
        <v>0</v>
      </c>
      <c r="P454" t="n">
        <v>0</v>
      </c>
      <c r="Q454" t="n">
        <v>0</v>
      </c>
      <c r="R454" s="2" t="inlineStr"/>
    </row>
    <row r="455" ht="15" customHeight="1">
      <c r="A455" t="inlineStr">
        <is>
          <t>A 28236-2022</t>
        </is>
      </c>
      <c r="B455" s="1" t="n">
        <v>44746</v>
      </c>
      <c r="C455" s="1" t="n">
        <v>46165</v>
      </c>
      <c r="D455" t="inlineStr">
        <is>
          <t>SKÅNE LÄN</t>
        </is>
      </c>
      <c r="E455" t="inlineStr">
        <is>
          <t>HÄSSLEHOLM</t>
        </is>
      </c>
      <c r="G455" t="n">
        <v>3.5</v>
      </c>
      <c r="H455" t="n">
        <v>0</v>
      </c>
      <c r="I455" t="n">
        <v>0</v>
      </c>
      <c r="J455" t="n">
        <v>0</v>
      </c>
      <c r="K455" t="n">
        <v>0</v>
      </c>
      <c r="L455" t="n">
        <v>0</v>
      </c>
      <c r="M455" t="n">
        <v>0</v>
      </c>
      <c r="N455" t="n">
        <v>0</v>
      </c>
      <c r="O455" t="n">
        <v>0</v>
      </c>
      <c r="P455" t="n">
        <v>0</v>
      </c>
      <c r="Q455" t="n">
        <v>0</v>
      </c>
      <c r="R455" s="2" t="inlineStr"/>
    </row>
    <row r="456" ht="15" customHeight="1">
      <c r="A456" t="inlineStr">
        <is>
          <t>A 45314-2025</t>
        </is>
      </c>
      <c r="B456" s="1" t="n">
        <v>45921.81738425926</v>
      </c>
      <c r="C456" s="1" t="n">
        <v>46165</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45763-2025</t>
        </is>
      </c>
      <c r="B457" s="1" t="n">
        <v>45923.51778935185</v>
      </c>
      <c r="C457" s="1" t="n">
        <v>46165</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45764-2025</t>
        </is>
      </c>
      <c r="B458" s="1" t="n">
        <v>45923.52037037037</v>
      </c>
      <c r="C458" s="1" t="n">
        <v>46165</v>
      </c>
      <c r="D458" t="inlineStr">
        <is>
          <t>SKÅNE LÄN</t>
        </is>
      </c>
      <c r="E458" t="inlineStr">
        <is>
          <t>HÄSSLEHOLM</t>
        </is>
      </c>
      <c r="G458" t="n">
        <v>6.3</v>
      </c>
      <c r="H458" t="n">
        <v>0</v>
      </c>
      <c r="I458" t="n">
        <v>0</v>
      </c>
      <c r="J458" t="n">
        <v>0</v>
      </c>
      <c r="K458" t="n">
        <v>0</v>
      </c>
      <c r="L458" t="n">
        <v>0</v>
      </c>
      <c r="M458" t="n">
        <v>0</v>
      </c>
      <c r="N458" t="n">
        <v>0</v>
      </c>
      <c r="O458" t="n">
        <v>0</v>
      </c>
      <c r="P458" t="n">
        <v>0</v>
      </c>
      <c r="Q458" t="n">
        <v>0</v>
      </c>
      <c r="R458" s="2" t="inlineStr"/>
    </row>
    <row r="459" ht="15" customHeight="1">
      <c r="A459" t="inlineStr">
        <is>
          <t>A 61625-2022</t>
        </is>
      </c>
      <c r="B459" s="1" t="n">
        <v>44916</v>
      </c>
      <c r="C459" s="1" t="n">
        <v>46165</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45443-2025</t>
        </is>
      </c>
      <c r="B460" s="1" t="n">
        <v>45920</v>
      </c>
      <c r="C460" s="1" t="n">
        <v>46165</v>
      </c>
      <c r="D460" t="inlineStr">
        <is>
          <t>SKÅNE LÄN</t>
        </is>
      </c>
      <c r="E460" t="inlineStr">
        <is>
          <t>HÄSSLEHOLM</t>
        </is>
      </c>
      <c r="G460" t="n">
        <v>1.6</v>
      </c>
      <c r="H460" t="n">
        <v>0</v>
      </c>
      <c r="I460" t="n">
        <v>0</v>
      </c>
      <c r="J460" t="n">
        <v>0</v>
      </c>
      <c r="K460" t="n">
        <v>0</v>
      </c>
      <c r="L460" t="n">
        <v>0</v>
      </c>
      <c r="M460" t="n">
        <v>0</v>
      </c>
      <c r="N460" t="n">
        <v>0</v>
      </c>
      <c r="O460" t="n">
        <v>0</v>
      </c>
      <c r="P460" t="n">
        <v>0</v>
      </c>
      <c r="Q460" t="n">
        <v>0</v>
      </c>
      <c r="R460" s="2" t="inlineStr"/>
    </row>
    <row r="461" ht="15" customHeight="1">
      <c r="A461" t="inlineStr">
        <is>
          <t>A 38829-2024</t>
        </is>
      </c>
      <c r="B461" s="1" t="n">
        <v>45547.57247685185</v>
      </c>
      <c r="C461" s="1" t="n">
        <v>46165</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45458-2025</t>
        </is>
      </c>
      <c r="B462" s="1" t="n">
        <v>45920</v>
      </c>
      <c r="C462" s="1" t="n">
        <v>46165</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45465-2025</t>
        </is>
      </c>
      <c r="B463" s="1" t="n">
        <v>45920</v>
      </c>
      <c r="C463" s="1" t="n">
        <v>46165</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45414-2025</t>
        </is>
      </c>
      <c r="B464" s="1" t="n">
        <v>45920</v>
      </c>
      <c r="C464" s="1" t="n">
        <v>46165</v>
      </c>
      <c r="D464" t="inlineStr">
        <is>
          <t>SKÅNE LÄN</t>
        </is>
      </c>
      <c r="E464" t="inlineStr">
        <is>
          <t>HÄSSLEHOLM</t>
        </is>
      </c>
      <c r="G464" t="n">
        <v>14.7</v>
      </c>
      <c r="H464" t="n">
        <v>0</v>
      </c>
      <c r="I464" t="n">
        <v>0</v>
      </c>
      <c r="J464" t="n">
        <v>0</v>
      </c>
      <c r="K464" t="n">
        <v>0</v>
      </c>
      <c r="L464" t="n">
        <v>0</v>
      </c>
      <c r="M464" t="n">
        <v>0</v>
      </c>
      <c r="N464" t="n">
        <v>0</v>
      </c>
      <c r="O464" t="n">
        <v>0</v>
      </c>
      <c r="P464" t="n">
        <v>0</v>
      </c>
      <c r="Q464" t="n">
        <v>0</v>
      </c>
      <c r="R464" s="2" t="inlineStr"/>
    </row>
    <row r="465" ht="15" customHeight="1">
      <c r="A465" t="inlineStr">
        <is>
          <t>A 45683-2025</t>
        </is>
      </c>
      <c r="B465" s="1" t="n">
        <v>45923.37590277778</v>
      </c>
      <c r="C465" s="1" t="n">
        <v>46165</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45516-2025</t>
        </is>
      </c>
      <c r="B466" s="1" t="n">
        <v>45922</v>
      </c>
      <c r="C466" s="1" t="n">
        <v>46165</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13890-2024</t>
        </is>
      </c>
      <c r="B467" s="1" t="n">
        <v>45391</v>
      </c>
      <c r="C467" s="1" t="n">
        <v>46165</v>
      </c>
      <c r="D467" t="inlineStr">
        <is>
          <t>SKÅNE LÄN</t>
        </is>
      </c>
      <c r="E467" t="inlineStr">
        <is>
          <t>HÄSSLEHOLM</t>
        </is>
      </c>
      <c r="F467" t="inlineStr">
        <is>
          <t>Kommuner</t>
        </is>
      </c>
      <c r="G467" t="n">
        <v>1.4</v>
      </c>
      <c r="H467" t="n">
        <v>0</v>
      </c>
      <c r="I467" t="n">
        <v>0</v>
      </c>
      <c r="J467" t="n">
        <v>0</v>
      </c>
      <c r="K467" t="n">
        <v>0</v>
      </c>
      <c r="L467" t="n">
        <v>0</v>
      </c>
      <c r="M467" t="n">
        <v>0</v>
      </c>
      <c r="N467" t="n">
        <v>0</v>
      </c>
      <c r="O467" t="n">
        <v>0</v>
      </c>
      <c r="P467" t="n">
        <v>0</v>
      </c>
      <c r="Q467" t="n">
        <v>0</v>
      </c>
      <c r="R467" s="2" t="inlineStr"/>
    </row>
    <row r="468" ht="15" customHeight="1">
      <c r="A468" t="inlineStr">
        <is>
          <t>A 55218-2023</t>
        </is>
      </c>
      <c r="B468" s="1" t="n">
        <v>45237</v>
      </c>
      <c r="C468" s="1" t="n">
        <v>46165</v>
      </c>
      <c r="D468" t="inlineStr">
        <is>
          <t>SKÅNE LÄN</t>
        </is>
      </c>
      <c r="E468" t="inlineStr">
        <is>
          <t>HÄSSLEHOLM</t>
        </is>
      </c>
      <c r="G468" t="n">
        <v>2</v>
      </c>
      <c r="H468" t="n">
        <v>0</v>
      </c>
      <c r="I468" t="n">
        <v>0</v>
      </c>
      <c r="J468" t="n">
        <v>0</v>
      </c>
      <c r="K468" t="n">
        <v>0</v>
      </c>
      <c r="L468" t="n">
        <v>0</v>
      </c>
      <c r="M468" t="n">
        <v>0</v>
      </c>
      <c r="N468" t="n">
        <v>0</v>
      </c>
      <c r="O468" t="n">
        <v>0</v>
      </c>
      <c r="P468" t="n">
        <v>0</v>
      </c>
      <c r="Q468" t="n">
        <v>0</v>
      </c>
      <c r="R468" s="2" t="inlineStr"/>
    </row>
    <row r="469" ht="15" customHeight="1">
      <c r="A469" t="inlineStr">
        <is>
          <t>A 45514-2025</t>
        </is>
      </c>
      <c r="B469" s="1" t="n">
        <v>45922</v>
      </c>
      <c r="C469" s="1" t="n">
        <v>46165</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11121-2023</t>
        </is>
      </c>
      <c r="B470" s="1" t="n">
        <v>44986</v>
      </c>
      <c r="C470" s="1" t="n">
        <v>46165</v>
      </c>
      <c r="D470" t="inlineStr">
        <is>
          <t>SKÅNE LÄN</t>
        </is>
      </c>
      <c r="E470" t="inlineStr">
        <is>
          <t>HÄSSLEHOLM</t>
        </is>
      </c>
      <c r="F470" t="inlineStr">
        <is>
          <t>Kommuner</t>
        </is>
      </c>
      <c r="G470" t="n">
        <v>5.8</v>
      </c>
      <c r="H470" t="n">
        <v>0</v>
      </c>
      <c r="I470" t="n">
        <v>0</v>
      </c>
      <c r="J470" t="n">
        <v>0</v>
      </c>
      <c r="K470" t="n">
        <v>0</v>
      </c>
      <c r="L470" t="n">
        <v>0</v>
      </c>
      <c r="M470" t="n">
        <v>0</v>
      </c>
      <c r="N470" t="n">
        <v>0</v>
      </c>
      <c r="O470" t="n">
        <v>0</v>
      </c>
      <c r="P470" t="n">
        <v>0</v>
      </c>
      <c r="Q470" t="n">
        <v>0</v>
      </c>
      <c r="R470" s="2" t="inlineStr"/>
    </row>
    <row r="471" ht="15" customHeight="1">
      <c r="A471" t="inlineStr">
        <is>
          <t>A 11116-2023</t>
        </is>
      </c>
      <c r="B471" s="1" t="n">
        <v>44986</v>
      </c>
      <c r="C471" s="1" t="n">
        <v>46165</v>
      </c>
      <c r="D471" t="inlineStr">
        <is>
          <t>SKÅNE LÄN</t>
        </is>
      </c>
      <c r="E471" t="inlineStr">
        <is>
          <t>HÄSSLEHOLM</t>
        </is>
      </c>
      <c r="F471" t="inlineStr">
        <is>
          <t>Kommuner</t>
        </is>
      </c>
      <c r="G471" t="n">
        <v>15.1</v>
      </c>
      <c r="H471" t="n">
        <v>0</v>
      </c>
      <c r="I471" t="n">
        <v>0</v>
      </c>
      <c r="J471" t="n">
        <v>0</v>
      </c>
      <c r="K471" t="n">
        <v>0</v>
      </c>
      <c r="L471" t="n">
        <v>0</v>
      </c>
      <c r="M471" t="n">
        <v>0</v>
      </c>
      <c r="N471" t="n">
        <v>0</v>
      </c>
      <c r="O471" t="n">
        <v>0</v>
      </c>
      <c r="P471" t="n">
        <v>0</v>
      </c>
      <c r="Q471" t="n">
        <v>0</v>
      </c>
      <c r="R471" s="2" t="inlineStr"/>
    </row>
    <row r="472" ht="15" customHeight="1">
      <c r="A472" t="inlineStr">
        <is>
          <t>A 45762-2025</t>
        </is>
      </c>
      <c r="B472" s="1" t="n">
        <v>45923.51548611111</v>
      </c>
      <c r="C472" s="1" t="n">
        <v>46165</v>
      </c>
      <c r="D472" t="inlineStr">
        <is>
          <t>SKÅNE LÄN</t>
        </is>
      </c>
      <c r="E472" t="inlineStr">
        <is>
          <t>HÄSSLEHOLM</t>
        </is>
      </c>
      <c r="G472" t="n">
        <v>2.3</v>
      </c>
      <c r="H472" t="n">
        <v>0</v>
      </c>
      <c r="I472" t="n">
        <v>0</v>
      </c>
      <c r="J472" t="n">
        <v>0</v>
      </c>
      <c r="K472" t="n">
        <v>0</v>
      </c>
      <c r="L472" t="n">
        <v>0</v>
      </c>
      <c r="M472" t="n">
        <v>0</v>
      </c>
      <c r="N472" t="n">
        <v>0</v>
      </c>
      <c r="O472" t="n">
        <v>0</v>
      </c>
      <c r="P472" t="n">
        <v>0</v>
      </c>
      <c r="Q472" t="n">
        <v>0</v>
      </c>
      <c r="R472" s="2" t="inlineStr"/>
    </row>
    <row r="473" ht="15" customHeight="1">
      <c r="A473" t="inlineStr">
        <is>
          <t>A 46288-2023</t>
        </is>
      </c>
      <c r="B473" s="1" t="n">
        <v>45197.30221064815</v>
      </c>
      <c r="C473" s="1" t="n">
        <v>46165</v>
      </c>
      <c r="D473" t="inlineStr">
        <is>
          <t>SKÅNE LÄN</t>
        </is>
      </c>
      <c r="E473" t="inlineStr">
        <is>
          <t>HÄSSLEHOLM</t>
        </is>
      </c>
      <c r="G473" t="n">
        <v>3</v>
      </c>
      <c r="H473" t="n">
        <v>0</v>
      </c>
      <c r="I473" t="n">
        <v>0</v>
      </c>
      <c r="J473" t="n">
        <v>0</v>
      </c>
      <c r="K473" t="n">
        <v>0</v>
      </c>
      <c r="L473" t="n">
        <v>0</v>
      </c>
      <c r="M473" t="n">
        <v>0</v>
      </c>
      <c r="N473" t="n">
        <v>0</v>
      </c>
      <c r="O473" t="n">
        <v>0</v>
      </c>
      <c r="P473" t="n">
        <v>0</v>
      </c>
      <c r="Q473" t="n">
        <v>0</v>
      </c>
      <c r="R473" s="2" t="inlineStr"/>
    </row>
    <row r="474" ht="15" customHeight="1">
      <c r="A474" t="inlineStr">
        <is>
          <t>A 49106-2023</t>
        </is>
      </c>
      <c r="B474" s="1" t="n">
        <v>45210</v>
      </c>
      <c r="C474" s="1" t="n">
        <v>46165</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10409-2024</t>
        </is>
      </c>
      <c r="B475" s="1" t="n">
        <v>45365.6978125</v>
      </c>
      <c r="C475" s="1" t="n">
        <v>46165</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9668-2025</t>
        </is>
      </c>
      <c r="B476" s="1" t="n">
        <v>45716</v>
      </c>
      <c r="C476" s="1" t="n">
        <v>46165</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47248-2023</t>
        </is>
      </c>
      <c r="B477" s="1" t="n">
        <v>45202</v>
      </c>
      <c r="C477" s="1" t="n">
        <v>46165</v>
      </c>
      <c r="D477" t="inlineStr">
        <is>
          <t>SKÅNE LÄN</t>
        </is>
      </c>
      <c r="E477" t="inlineStr">
        <is>
          <t>HÄSSLEHOLM</t>
        </is>
      </c>
      <c r="G477" t="n">
        <v>1.5</v>
      </c>
      <c r="H477" t="n">
        <v>0</v>
      </c>
      <c r="I477" t="n">
        <v>0</v>
      </c>
      <c r="J477" t="n">
        <v>0</v>
      </c>
      <c r="K477" t="n">
        <v>0</v>
      </c>
      <c r="L477" t="n">
        <v>0</v>
      </c>
      <c r="M477" t="n">
        <v>0</v>
      </c>
      <c r="N477" t="n">
        <v>0</v>
      </c>
      <c r="O477" t="n">
        <v>0</v>
      </c>
      <c r="P477" t="n">
        <v>0</v>
      </c>
      <c r="Q477" t="n">
        <v>0</v>
      </c>
      <c r="R477" s="2" t="inlineStr"/>
    </row>
    <row r="478" ht="15" customHeight="1">
      <c r="A478" t="inlineStr">
        <is>
          <t>A 20990-2023</t>
        </is>
      </c>
      <c r="B478" s="1" t="n">
        <v>45061.46186342592</v>
      </c>
      <c r="C478" s="1" t="n">
        <v>46165</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9678-2025</t>
        </is>
      </c>
      <c r="B479" s="1" t="n">
        <v>45716</v>
      </c>
      <c r="C479" s="1" t="n">
        <v>46165</v>
      </c>
      <c r="D479" t="inlineStr">
        <is>
          <t>SKÅNE LÄN</t>
        </is>
      </c>
      <c r="E479" t="inlineStr">
        <is>
          <t>HÄSSLEHOLM</t>
        </is>
      </c>
      <c r="G479" t="n">
        <v>2.1</v>
      </c>
      <c r="H479" t="n">
        <v>0</v>
      </c>
      <c r="I479" t="n">
        <v>0</v>
      </c>
      <c r="J479" t="n">
        <v>0</v>
      </c>
      <c r="K479" t="n">
        <v>0</v>
      </c>
      <c r="L479" t="n">
        <v>0</v>
      </c>
      <c r="M479" t="n">
        <v>0</v>
      </c>
      <c r="N479" t="n">
        <v>0</v>
      </c>
      <c r="O479" t="n">
        <v>0</v>
      </c>
      <c r="P479" t="n">
        <v>0</v>
      </c>
      <c r="Q479" t="n">
        <v>0</v>
      </c>
      <c r="R479" s="2" t="inlineStr"/>
    </row>
    <row r="480" ht="15" customHeight="1">
      <c r="A480" t="inlineStr">
        <is>
          <t>A 54171-2022</t>
        </is>
      </c>
      <c r="B480" s="1" t="n">
        <v>44881</v>
      </c>
      <c r="C480" s="1" t="n">
        <v>46165</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57277-2023</t>
        </is>
      </c>
      <c r="B481" s="1" t="n">
        <v>45245.59104166667</v>
      </c>
      <c r="C481" s="1" t="n">
        <v>46165</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46786-2025</t>
        </is>
      </c>
      <c r="B482" s="1" t="n">
        <v>45926.64484953704</v>
      </c>
      <c r="C482" s="1" t="n">
        <v>46165</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47126-2025</t>
        </is>
      </c>
      <c r="B483" s="1" t="n">
        <v>45929.685625</v>
      </c>
      <c r="C483" s="1" t="n">
        <v>46165</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47127-2025</t>
        </is>
      </c>
      <c r="B484" s="1" t="n">
        <v>45929.6893287037</v>
      </c>
      <c r="C484" s="1" t="n">
        <v>46165</v>
      </c>
      <c r="D484" t="inlineStr">
        <is>
          <t>SKÅNE LÄN</t>
        </is>
      </c>
      <c r="E484" t="inlineStr">
        <is>
          <t>HÄSSLEHOLM</t>
        </is>
      </c>
      <c r="G484" t="n">
        <v>1.7</v>
      </c>
      <c r="H484" t="n">
        <v>0</v>
      </c>
      <c r="I484" t="n">
        <v>0</v>
      </c>
      <c r="J484" t="n">
        <v>0</v>
      </c>
      <c r="K484" t="n">
        <v>0</v>
      </c>
      <c r="L484" t="n">
        <v>0</v>
      </c>
      <c r="M484" t="n">
        <v>0</v>
      </c>
      <c r="N484" t="n">
        <v>0</v>
      </c>
      <c r="O484" t="n">
        <v>0</v>
      </c>
      <c r="P484" t="n">
        <v>0</v>
      </c>
      <c r="Q484" t="n">
        <v>0</v>
      </c>
      <c r="R484" s="2" t="inlineStr"/>
    </row>
    <row r="485" ht="15" customHeight="1">
      <c r="A485" t="inlineStr">
        <is>
          <t>A 46761-2025</t>
        </is>
      </c>
      <c r="B485" s="1" t="n">
        <v>45926.62289351852</v>
      </c>
      <c r="C485" s="1" t="n">
        <v>46165</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46855-2025</t>
        </is>
      </c>
      <c r="B486" s="1" t="n">
        <v>45928.88497685185</v>
      </c>
      <c r="C486" s="1" t="n">
        <v>46165</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46605-2025</t>
        </is>
      </c>
      <c r="B487" s="1" t="n">
        <v>45926.41214120371</v>
      </c>
      <c r="C487" s="1" t="n">
        <v>46165</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35150-2023</t>
        </is>
      </c>
      <c r="B488" s="1" t="n">
        <v>45145</v>
      </c>
      <c r="C488" s="1" t="n">
        <v>46165</v>
      </c>
      <c r="D488" t="inlineStr">
        <is>
          <t>SKÅNE LÄN</t>
        </is>
      </c>
      <c r="E488" t="inlineStr">
        <is>
          <t>HÄSSLEHOLM</t>
        </is>
      </c>
      <c r="G488" t="n">
        <v>4.9</v>
      </c>
      <c r="H488" t="n">
        <v>0</v>
      </c>
      <c r="I488" t="n">
        <v>0</v>
      </c>
      <c r="J488" t="n">
        <v>0</v>
      </c>
      <c r="K488" t="n">
        <v>0</v>
      </c>
      <c r="L488" t="n">
        <v>0</v>
      </c>
      <c r="M488" t="n">
        <v>0</v>
      </c>
      <c r="N488" t="n">
        <v>0</v>
      </c>
      <c r="O488" t="n">
        <v>0</v>
      </c>
      <c r="P488" t="n">
        <v>0</v>
      </c>
      <c r="Q488" t="n">
        <v>0</v>
      </c>
      <c r="R488" s="2" t="inlineStr"/>
    </row>
    <row r="489" ht="15" customHeight="1">
      <c r="A489" t="inlineStr">
        <is>
          <t>A 25726-2025</t>
        </is>
      </c>
      <c r="B489" s="1" t="n">
        <v>45803</v>
      </c>
      <c r="C489" s="1" t="n">
        <v>46165</v>
      </c>
      <c r="D489" t="inlineStr">
        <is>
          <t>SKÅNE LÄN</t>
        </is>
      </c>
      <c r="E489" t="inlineStr">
        <is>
          <t>HÄSSLEHOLM</t>
        </is>
      </c>
      <c r="G489" t="n">
        <v>5.5</v>
      </c>
      <c r="H489" t="n">
        <v>0</v>
      </c>
      <c r="I489" t="n">
        <v>0</v>
      </c>
      <c r="J489" t="n">
        <v>0</v>
      </c>
      <c r="K489" t="n">
        <v>0</v>
      </c>
      <c r="L489" t="n">
        <v>0</v>
      </c>
      <c r="M489" t="n">
        <v>0</v>
      </c>
      <c r="N489" t="n">
        <v>0</v>
      </c>
      <c r="O489" t="n">
        <v>0</v>
      </c>
      <c r="P489" t="n">
        <v>0</v>
      </c>
      <c r="Q489" t="n">
        <v>0</v>
      </c>
      <c r="R489" s="2" t="inlineStr"/>
    </row>
    <row r="490" ht="15" customHeight="1">
      <c r="A490" t="inlineStr">
        <is>
          <t>A 18041-2023</t>
        </is>
      </c>
      <c r="B490" s="1" t="n">
        <v>45040</v>
      </c>
      <c r="C490" s="1" t="n">
        <v>46165</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49250-2022</t>
        </is>
      </c>
      <c r="B491" s="1" t="n">
        <v>44858</v>
      </c>
      <c r="C491" s="1" t="n">
        <v>46165</v>
      </c>
      <c r="D491" t="inlineStr">
        <is>
          <t>SKÅNE LÄN</t>
        </is>
      </c>
      <c r="E491" t="inlineStr">
        <is>
          <t>HÄSSLEHOLM</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47259-2025</t>
        </is>
      </c>
      <c r="B492" s="1" t="n">
        <v>45930</v>
      </c>
      <c r="C492" s="1" t="n">
        <v>46165</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47473-2025</t>
        </is>
      </c>
      <c r="B493" s="1" t="n">
        <v>45930.67763888889</v>
      </c>
      <c r="C493" s="1" t="n">
        <v>46165</v>
      </c>
      <c r="D493" t="inlineStr">
        <is>
          <t>SKÅNE LÄN</t>
        </is>
      </c>
      <c r="E493" t="inlineStr">
        <is>
          <t>HÄSSLEHOLM</t>
        </is>
      </c>
      <c r="G493" t="n">
        <v>4.7</v>
      </c>
      <c r="H493" t="n">
        <v>0</v>
      </c>
      <c r="I493" t="n">
        <v>0</v>
      </c>
      <c r="J493" t="n">
        <v>0</v>
      </c>
      <c r="K493" t="n">
        <v>0</v>
      </c>
      <c r="L493" t="n">
        <v>0</v>
      </c>
      <c r="M493" t="n">
        <v>0</v>
      </c>
      <c r="N493" t="n">
        <v>0</v>
      </c>
      <c r="O493" t="n">
        <v>0</v>
      </c>
      <c r="P493" t="n">
        <v>0</v>
      </c>
      <c r="Q493" t="n">
        <v>0</v>
      </c>
      <c r="R493" s="2" t="inlineStr"/>
    </row>
    <row r="494" ht="15" customHeight="1">
      <c r="A494" t="inlineStr">
        <is>
          <t>A 47466-2025</t>
        </is>
      </c>
      <c r="B494" s="1" t="n">
        <v>45930.66677083333</v>
      </c>
      <c r="C494" s="1" t="n">
        <v>46165</v>
      </c>
      <c r="D494" t="inlineStr">
        <is>
          <t>SKÅNE LÄN</t>
        </is>
      </c>
      <c r="E494" t="inlineStr">
        <is>
          <t>HÄSSLEHOLM</t>
        </is>
      </c>
      <c r="G494" t="n">
        <v>1.8</v>
      </c>
      <c r="H494" t="n">
        <v>0</v>
      </c>
      <c r="I494" t="n">
        <v>0</v>
      </c>
      <c r="J494" t="n">
        <v>0</v>
      </c>
      <c r="K494" t="n">
        <v>0</v>
      </c>
      <c r="L494" t="n">
        <v>0</v>
      </c>
      <c r="M494" t="n">
        <v>0</v>
      </c>
      <c r="N494" t="n">
        <v>0</v>
      </c>
      <c r="O494" t="n">
        <v>0</v>
      </c>
      <c r="P494" t="n">
        <v>0</v>
      </c>
      <c r="Q494" t="n">
        <v>0</v>
      </c>
      <c r="R494" s="2" t="inlineStr"/>
    </row>
    <row r="495" ht="15" customHeight="1">
      <c r="A495" t="inlineStr">
        <is>
          <t>A 27197-2021</t>
        </is>
      </c>
      <c r="B495" s="1" t="n">
        <v>44350</v>
      </c>
      <c r="C495" s="1" t="n">
        <v>46165</v>
      </c>
      <c r="D495" t="inlineStr">
        <is>
          <t>SKÅNE LÄN</t>
        </is>
      </c>
      <c r="E495" t="inlineStr">
        <is>
          <t>HÄSSLEHOLM</t>
        </is>
      </c>
      <c r="G495" t="n">
        <v>1.8</v>
      </c>
      <c r="H495" t="n">
        <v>0</v>
      </c>
      <c r="I495" t="n">
        <v>0</v>
      </c>
      <c r="J495" t="n">
        <v>0</v>
      </c>
      <c r="K495" t="n">
        <v>0</v>
      </c>
      <c r="L495" t="n">
        <v>0</v>
      </c>
      <c r="M495" t="n">
        <v>0</v>
      </c>
      <c r="N495" t="n">
        <v>0</v>
      </c>
      <c r="O495" t="n">
        <v>0</v>
      </c>
      <c r="P495" t="n">
        <v>0</v>
      </c>
      <c r="Q495" t="n">
        <v>0</v>
      </c>
      <c r="R495" s="2" t="inlineStr"/>
    </row>
    <row r="496" ht="15" customHeight="1">
      <c r="A496" t="inlineStr">
        <is>
          <t>A 45222-2023</t>
        </is>
      </c>
      <c r="B496" s="1" t="n">
        <v>45191</v>
      </c>
      <c r="C496" s="1" t="n">
        <v>46165</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35890-2023</t>
        </is>
      </c>
      <c r="B497" s="1" t="n">
        <v>45148</v>
      </c>
      <c r="C497" s="1" t="n">
        <v>46165</v>
      </c>
      <c r="D497" t="inlineStr">
        <is>
          <t>SKÅNE LÄN</t>
        </is>
      </c>
      <c r="E497" t="inlineStr">
        <is>
          <t>HÄSSLEHOLM</t>
        </is>
      </c>
      <c r="G497" t="n">
        <v>2</v>
      </c>
      <c r="H497" t="n">
        <v>0</v>
      </c>
      <c r="I497" t="n">
        <v>0</v>
      </c>
      <c r="J497" t="n">
        <v>0</v>
      </c>
      <c r="K497" t="n">
        <v>0</v>
      </c>
      <c r="L497" t="n">
        <v>0</v>
      </c>
      <c r="M497" t="n">
        <v>0</v>
      </c>
      <c r="N497" t="n">
        <v>0</v>
      </c>
      <c r="O497" t="n">
        <v>0</v>
      </c>
      <c r="P497" t="n">
        <v>0</v>
      </c>
      <c r="Q497" t="n">
        <v>0</v>
      </c>
      <c r="R497" s="2" t="inlineStr"/>
    </row>
    <row r="498" ht="15" customHeight="1">
      <c r="A498" t="inlineStr">
        <is>
          <t>A 35895-2023</t>
        </is>
      </c>
      <c r="B498" s="1" t="n">
        <v>45148</v>
      </c>
      <c r="C498" s="1" t="n">
        <v>46165</v>
      </c>
      <c r="D498" t="inlineStr">
        <is>
          <t>SKÅNE LÄN</t>
        </is>
      </c>
      <c r="E498" t="inlineStr">
        <is>
          <t>HÄSSLEHOLM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61569-2023</t>
        </is>
      </c>
      <c r="B499" s="1" t="n">
        <v>45265</v>
      </c>
      <c r="C499" s="1" t="n">
        <v>46165</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52235-2021</t>
        </is>
      </c>
      <c r="B500" s="1" t="n">
        <v>44463.60085648148</v>
      </c>
      <c r="C500" s="1" t="n">
        <v>46165</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48184-2025</t>
        </is>
      </c>
      <c r="B501" s="1" t="n">
        <v>45933.46131944445</v>
      </c>
      <c r="C501" s="1" t="n">
        <v>46165</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48185-2025</t>
        </is>
      </c>
      <c r="B502" s="1" t="n">
        <v>45933.46434027778</v>
      </c>
      <c r="C502" s="1" t="n">
        <v>46165</v>
      </c>
      <c r="D502" t="inlineStr">
        <is>
          <t>SKÅNE LÄN</t>
        </is>
      </c>
      <c r="E502" t="inlineStr">
        <is>
          <t>HÄSSLEHOLM</t>
        </is>
      </c>
      <c r="G502" t="n">
        <v>0.5</v>
      </c>
      <c r="H502" t="n">
        <v>0</v>
      </c>
      <c r="I502" t="n">
        <v>0</v>
      </c>
      <c r="J502" t="n">
        <v>0</v>
      </c>
      <c r="K502" t="n">
        <v>0</v>
      </c>
      <c r="L502" t="n">
        <v>0</v>
      </c>
      <c r="M502" t="n">
        <v>0</v>
      </c>
      <c r="N502" t="n">
        <v>0</v>
      </c>
      <c r="O502" t="n">
        <v>0</v>
      </c>
      <c r="P502" t="n">
        <v>0</v>
      </c>
      <c r="Q502" t="n">
        <v>0</v>
      </c>
      <c r="R502" s="2" t="inlineStr"/>
    </row>
    <row r="503" ht="15" customHeight="1">
      <c r="A503" t="inlineStr">
        <is>
          <t>A 54471-2023</t>
        </is>
      </c>
      <c r="B503" s="1" t="n">
        <v>45233.4640162037</v>
      </c>
      <c r="C503" s="1" t="n">
        <v>46165</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50607-2023</t>
        </is>
      </c>
      <c r="B504" s="1" t="n">
        <v>45210</v>
      </c>
      <c r="C504" s="1" t="n">
        <v>46165</v>
      </c>
      <c r="D504" t="inlineStr">
        <is>
          <t>SKÅNE LÄN</t>
        </is>
      </c>
      <c r="E504" t="inlineStr">
        <is>
          <t>HÄSSLEHOLM</t>
        </is>
      </c>
      <c r="G504" t="n">
        <v>1.8</v>
      </c>
      <c r="H504" t="n">
        <v>0</v>
      </c>
      <c r="I504" t="n">
        <v>0</v>
      </c>
      <c r="J504" t="n">
        <v>0</v>
      </c>
      <c r="K504" t="n">
        <v>0</v>
      </c>
      <c r="L504" t="n">
        <v>0</v>
      </c>
      <c r="M504" t="n">
        <v>0</v>
      </c>
      <c r="N504" t="n">
        <v>0</v>
      </c>
      <c r="O504" t="n">
        <v>0</v>
      </c>
      <c r="P504" t="n">
        <v>0</v>
      </c>
      <c r="Q504" t="n">
        <v>0</v>
      </c>
      <c r="R504" s="2" t="inlineStr"/>
    </row>
    <row r="505" ht="15" customHeight="1">
      <c r="A505" t="inlineStr">
        <is>
          <t>A 38148-2022</t>
        </is>
      </c>
      <c r="B505" s="1" t="n">
        <v>44811</v>
      </c>
      <c r="C505" s="1" t="n">
        <v>46165</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48722-2025</t>
        </is>
      </c>
      <c r="B506" s="1" t="n">
        <v>45935</v>
      </c>
      <c r="C506" s="1" t="n">
        <v>46165</v>
      </c>
      <c r="D506" t="inlineStr">
        <is>
          <t>SKÅNE LÄN</t>
        </is>
      </c>
      <c r="E506" t="inlineStr">
        <is>
          <t>HÄSSLEHOLM</t>
        </is>
      </c>
      <c r="G506" t="n">
        <v>4.3</v>
      </c>
      <c r="H506" t="n">
        <v>0</v>
      </c>
      <c r="I506" t="n">
        <v>0</v>
      </c>
      <c r="J506" t="n">
        <v>0</v>
      </c>
      <c r="K506" t="n">
        <v>0</v>
      </c>
      <c r="L506" t="n">
        <v>0</v>
      </c>
      <c r="M506" t="n">
        <v>0</v>
      </c>
      <c r="N506" t="n">
        <v>0</v>
      </c>
      <c r="O506" t="n">
        <v>0</v>
      </c>
      <c r="P506" t="n">
        <v>0</v>
      </c>
      <c r="Q506" t="n">
        <v>0</v>
      </c>
      <c r="R506" s="2" t="inlineStr"/>
    </row>
    <row r="507" ht="15" customHeight="1">
      <c r="A507" t="inlineStr">
        <is>
          <t>A 31944-2023</t>
        </is>
      </c>
      <c r="B507" s="1" t="n">
        <v>45119.34895833334</v>
      </c>
      <c r="C507" s="1" t="n">
        <v>46165</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1706-2025</t>
        </is>
      </c>
      <c r="B508" s="1" t="n">
        <v>45670</v>
      </c>
      <c r="C508" s="1" t="n">
        <v>46165</v>
      </c>
      <c r="D508" t="inlineStr">
        <is>
          <t>SKÅNE LÄN</t>
        </is>
      </c>
      <c r="E508" t="inlineStr">
        <is>
          <t>HÄSSLEHOLM</t>
        </is>
      </c>
      <c r="G508" t="n">
        <v>5</v>
      </c>
      <c r="H508" t="n">
        <v>0</v>
      </c>
      <c r="I508" t="n">
        <v>0</v>
      </c>
      <c r="J508" t="n">
        <v>0</v>
      </c>
      <c r="K508" t="n">
        <v>0</v>
      </c>
      <c r="L508" t="n">
        <v>0</v>
      </c>
      <c r="M508" t="n">
        <v>0</v>
      </c>
      <c r="N508" t="n">
        <v>0</v>
      </c>
      <c r="O508" t="n">
        <v>0</v>
      </c>
      <c r="P508" t="n">
        <v>0</v>
      </c>
      <c r="Q508" t="n">
        <v>0</v>
      </c>
      <c r="R508" s="2" t="inlineStr"/>
    </row>
    <row r="509" ht="15" customHeight="1">
      <c r="A509" t="inlineStr">
        <is>
          <t>A 55056-2021</t>
        </is>
      </c>
      <c r="B509" s="1" t="n">
        <v>44474.62072916667</v>
      </c>
      <c r="C509" s="1" t="n">
        <v>46165</v>
      </c>
      <c r="D509" t="inlineStr">
        <is>
          <t>SKÅNE LÄN</t>
        </is>
      </c>
      <c r="E509" t="inlineStr">
        <is>
          <t>HÄSSLEHOLM</t>
        </is>
      </c>
      <c r="G509" t="n">
        <v>2.5</v>
      </c>
      <c r="H509" t="n">
        <v>0</v>
      </c>
      <c r="I509" t="n">
        <v>0</v>
      </c>
      <c r="J509" t="n">
        <v>0</v>
      </c>
      <c r="K509" t="n">
        <v>0</v>
      </c>
      <c r="L509" t="n">
        <v>0</v>
      </c>
      <c r="M509" t="n">
        <v>0</v>
      </c>
      <c r="N509" t="n">
        <v>0</v>
      </c>
      <c r="O509" t="n">
        <v>0</v>
      </c>
      <c r="P509" t="n">
        <v>0</v>
      </c>
      <c r="Q509" t="n">
        <v>0</v>
      </c>
      <c r="R509" s="2" t="inlineStr"/>
    </row>
    <row r="510" ht="15" customHeight="1">
      <c r="A510" t="inlineStr">
        <is>
          <t>A 49135-2025</t>
        </is>
      </c>
      <c r="B510" s="1" t="n">
        <v>45938.00990740741</v>
      </c>
      <c r="C510" s="1" t="n">
        <v>46165</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49136-2025</t>
        </is>
      </c>
      <c r="B511" s="1" t="n">
        <v>45938.01277777777</v>
      </c>
      <c r="C511" s="1" t="n">
        <v>46165</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49137-2025</t>
        </is>
      </c>
      <c r="B512" s="1" t="n">
        <v>45938.05672453704</v>
      </c>
      <c r="C512" s="1" t="n">
        <v>46165</v>
      </c>
      <c r="D512" t="inlineStr">
        <is>
          <t>SKÅNE LÄN</t>
        </is>
      </c>
      <c r="E512" t="inlineStr">
        <is>
          <t>HÄSSLEHOLM</t>
        </is>
      </c>
      <c r="G512" t="n">
        <v>1.8</v>
      </c>
      <c r="H512" t="n">
        <v>0</v>
      </c>
      <c r="I512" t="n">
        <v>0</v>
      </c>
      <c r="J512" t="n">
        <v>0</v>
      </c>
      <c r="K512" t="n">
        <v>0</v>
      </c>
      <c r="L512" t="n">
        <v>0</v>
      </c>
      <c r="M512" t="n">
        <v>0</v>
      </c>
      <c r="N512" t="n">
        <v>0</v>
      </c>
      <c r="O512" t="n">
        <v>0</v>
      </c>
      <c r="P512" t="n">
        <v>0</v>
      </c>
      <c r="Q512" t="n">
        <v>0</v>
      </c>
      <c r="R512" s="2" t="inlineStr"/>
    </row>
    <row r="513" ht="15" customHeight="1">
      <c r="A513" t="inlineStr">
        <is>
          <t>A 13544-2025</t>
        </is>
      </c>
      <c r="B513" s="1" t="n">
        <v>45736</v>
      </c>
      <c r="C513" s="1" t="n">
        <v>46165</v>
      </c>
      <c r="D513" t="inlineStr">
        <is>
          <t>SKÅNE LÄN</t>
        </is>
      </c>
      <c r="E513" t="inlineStr">
        <is>
          <t>HÄSSLEHOLM</t>
        </is>
      </c>
      <c r="G513" t="n">
        <v>2.5</v>
      </c>
      <c r="H513" t="n">
        <v>0</v>
      </c>
      <c r="I513" t="n">
        <v>0</v>
      </c>
      <c r="J513" t="n">
        <v>0</v>
      </c>
      <c r="K513" t="n">
        <v>0</v>
      </c>
      <c r="L513" t="n">
        <v>0</v>
      </c>
      <c r="M513" t="n">
        <v>0</v>
      </c>
      <c r="N513" t="n">
        <v>0</v>
      </c>
      <c r="O513" t="n">
        <v>0</v>
      </c>
      <c r="P513" t="n">
        <v>0</v>
      </c>
      <c r="Q513" t="n">
        <v>0</v>
      </c>
      <c r="R513" s="2" t="inlineStr"/>
    </row>
    <row r="514" ht="15" customHeight="1">
      <c r="A514" t="inlineStr">
        <is>
          <t>A 8755-2024</t>
        </is>
      </c>
      <c r="B514" s="1" t="n">
        <v>45356</v>
      </c>
      <c r="C514" s="1" t="n">
        <v>46165</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8760-2024</t>
        </is>
      </c>
      <c r="B515" s="1" t="n">
        <v>45356.53420138889</v>
      </c>
      <c r="C515" s="1" t="n">
        <v>46165</v>
      </c>
      <c r="D515" t="inlineStr">
        <is>
          <t>SKÅNE LÄN</t>
        </is>
      </c>
      <c r="E515" t="inlineStr">
        <is>
          <t>HÄSSLEHOLM</t>
        </is>
      </c>
      <c r="G515" t="n">
        <v>6.1</v>
      </c>
      <c r="H515" t="n">
        <v>0</v>
      </c>
      <c r="I515" t="n">
        <v>0</v>
      </c>
      <c r="J515" t="n">
        <v>0</v>
      </c>
      <c r="K515" t="n">
        <v>0</v>
      </c>
      <c r="L515" t="n">
        <v>0</v>
      </c>
      <c r="M515" t="n">
        <v>0</v>
      </c>
      <c r="N515" t="n">
        <v>0</v>
      </c>
      <c r="O515" t="n">
        <v>0</v>
      </c>
      <c r="P515" t="n">
        <v>0</v>
      </c>
      <c r="Q515" t="n">
        <v>0</v>
      </c>
      <c r="R515" s="2" t="inlineStr"/>
    </row>
    <row r="516" ht="15" customHeight="1">
      <c r="A516" t="inlineStr">
        <is>
          <t>A 33257-2024</t>
        </is>
      </c>
      <c r="B516" s="1" t="n">
        <v>45518</v>
      </c>
      <c r="C516" s="1" t="n">
        <v>46165</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24865-2024</t>
        </is>
      </c>
      <c r="B517" s="1" t="n">
        <v>45461.48974537037</v>
      </c>
      <c r="C517" s="1" t="n">
        <v>46165</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49845-2025</t>
        </is>
      </c>
      <c r="B518" s="1" t="n">
        <v>45940.48015046296</v>
      </c>
      <c r="C518" s="1" t="n">
        <v>46165</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58272-2024</t>
        </is>
      </c>
      <c r="B519" s="1" t="n">
        <v>45632.57025462963</v>
      </c>
      <c r="C519" s="1" t="n">
        <v>46165</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18580-2023</t>
        </is>
      </c>
      <c r="B520" s="1" t="n">
        <v>45043.37037037037</v>
      </c>
      <c r="C520" s="1" t="n">
        <v>46165</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9611-2025</t>
        </is>
      </c>
      <c r="B521" s="1" t="n">
        <v>45715</v>
      </c>
      <c r="C521" s="1" t="n">
        <v>46165</v>
      </c>
      <c r="D521" t="inlineStr">
        <is>
          <t>SKÅNE LÄN</t>
        </is>
      </c>
      <c r="E521" t="inlineStr">
        <is>
          <t>HÄSSLEHOLM</t>
        </is>
      </c>
      <c r="G521" t="n">
        <v>2.1</v>
      </c>
      <c r="H521" t="n">
        <v>0</v>
      </c>
      <c r="I521" t="n">
        <v>0</v>
      </c>
      <c r="J521" t="n">
        <v>0</v>
      </c>
      <c r="K521" t="n">
        <v>0</v>
      </c>
      <c r="L521" t="n">
        <v>0</v>
      </c>
      <c r="M521" t="n">
        <v>0</v>
      </c>
      <c r="N521" t="n">
        <v>0</v>
      </c>
      <c r="O521" t="n">
        <v>0</v>
      </c>
      <c r="P521" t="n">
        <v>0</v>
      </c>
      <c r="Q521" t="n">
        <v>0</v>
      </c>
      <c r="R521" s="2" t="inlineStr"/>
    </row>
    <row r="522" ht="15" customHeight="1">
      <c r="A522" t="inlineStr">
        <is>
          <t>A 24906-2022</t>
        </is>
      </c>
      <c r="B522" s="1" t="n">
        <v>44728</v>
      </c>
      <c r="C522" s="1" t="n">
        <v>46165</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1886-2025</t>
        </is>
      </c>
      <c r="B523" s="1" t="n">
        <v>45671</v>
      </c>
      <c r="C523" s="1" t="n">
        <v>46165</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15536-2025</t>
        </is>
      </c>
      <c r="B524" s="1" t="n">
        <v>45747</v>
      </c>
      <c r="C524" s="1" t="n">
        <v>46165</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24904-2025</t>
        </is>
      </c>
      <c r="B525" s="1" t="n">
        <v>45799</v>
      </c>
      <c r="C525" s="1" t="n">
        <v>46165</v>
      </c>
      <c r="D525" t="inlineStr">
        <is>
          <t>SKÅNE LÄN</t>
        </is>
      </c>
      <c r="E525" t="inlineStr">
        <is>
          <t>HÄSSLEHOLM</t>
        </is>
      </c>
      <c r="G525" t="n">
        <v>2.2</v>
      </c>
      <c r="H525" t="n">
        <v>0</v>
      </c>
      <c r="I525" t="n">
        <v>0</v>
      </c>
      <c r="J525" t="n">
        <v>0</v>
      </c>
      <c r="K525" t="n">
        <v>0</v>
      </c>
      <c r="L525" t="n">
        <v>0</v>
      </c>
      <c r="M525" t="n">
        <v>0</v>
      </c>
      <c r="N525" t="n">
        <v>0</v>
      </c>
      <c r="O525" t="n">
        <v>0</v>
      </c>
      <c r="P525" t="n">
        <v>0</v>
      </c>
      <c r="Q525" t="n">
        <v>0</v>
      </c>
      <c r="R525" s="2" t="inlineStr"/>
    </row>
    <row r="526" ht="15" customHeight="1">
      <c r="A526" t="inlineStr">
        <is>
          <t>A 3890-2024</t>
        </is>
      </c>
      <c r="B526" s="1" t="n">
        <v>45322.45366898148</v>
      </c>
      <c r="C526" s="1" t="n">
        <v>46165</v>
      </c>
      <c r="D526" t="inlineStr">
        <is>
          <t>SKÅNE LÄN</t>
        </is>
      </c>
      <c r="E526" t="inlineStr">
        <is>
          <t>HÄSSLEHOLM</t>
        </is>
      </c>
      <c r="G526" t="n">
        <v>3</v>
      </c>
      <c r="H526" t="n">
        <v>0</v>
      </c>
      <c r="I526" t="n">
        <v>0</v>
      </c>
      <c r="J526" t="n">
        <v>0</v>
      </c>
      <c r="K526" t="n">
        <v>0</v>
      </c>
      <c r="L526" t="n">
        <v>0</v>
      </c>
      <c r="M526" t="n">
        <v>0</v>
      </c>
      <c r="N526" t="n">
        <v>0</v>
      </c>
      <c r="O526" t="n">
        <v>0</v>
      </c>
      <c r="P526" t="n">
        <v>0</v>
      </c>
      <c r="Q526" t="n">
        <v>0</v>
      </c>
      <c r="R526" s="2" t="inlineStr"/>
    </row>
    <row r="527" ht="15" customHeight="1">
      <c r="A527" t="inlineStr">
        <is>
          <t>A 15800-2025</t>
        </is>
      </c>
      <c r="B527" s="1" t="n">
        <v>45748.64831018518</v>
      </c>
      <c r="C527" s="1" t="n">
        <v>46165</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49824-2024</t>
        </is>
      </c>
      <c r="B528" s="1" t="n">
        <v>45597</v>
      </c>
      <c r="C528" s="1" t="n">
        <v>46165</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50676-2025</t>
        </is>
      </c>
      <c r="B529" s="1" t="n">
        <v>45945</v>
      </c>
      <c r="C529" s="1" t="n">
        <v>46165</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50678-2025</t>
        </is>
      </c>
      <c r="B530" s="1" t="n">
        <v>45945</v>
      </c>
      <c r="C530" s="1" t="n">
        <v>46165</v>
      </c>
      <c r="D530" t="inlineStr">
        <is>
          <t>SKÅNE LÄN</t>
        </is>
      </c>
      <c r="E530" t="inlineStr">
        <is>
          <t>HÄSSLEHOLM</t>
        </is>
      </c>
      <c r="G530" t="n">
        <v>1.2</v>
      </c>
      <c r="H530" t="n">
        <v>0</v>
      </c>
      <c r="I530" t="n">
        <v>0</v>
      </c>
      <c r="J530" t="n">
        <v>0</v>
      </c>
      <c r="K530" t="n">
        <v>0</v>
      </c>
      <c r="L530" t="n">
        <v>0</v>
      </c>
      <c r="M530" t="n">
        <v>0</v>
      </c>
      <c r="N530" t="n">
        <v>0</v>
      </c>
      <c r="O530" t="n">
        <v>0</v>
      </c>
      <c r="P530" t="n">
        <v>0</v>
      </c>
      <c r="Q530" t="n">
        <v>0</v>
      </c>
      <c r="R530" s="2" t="inlineStr"/>
    </row>
    <row r="531" ht="15" customHeight="1">
      <c r="A531" t="inlineStr">
        <is>
          <t>A 50677-2025</t>
        </is>
      </c>
      <c r="B531" s="1" t="n">
        <v>45945</v>
      </c>
      <c r="C531" s="1" t="n">
        <v>46165</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50834-2025</t>
        </is>
      </c>
      <c r="B532" s="1" t="n">
        <v>45946.55746527778</v>
      </c>
      <c r="C532" s="1" t="n">
        <v>46165</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13897-2024</t>
        </is>
      </c>
      <c r="B533" s="1" t="n">
        <v>45391</v>
      </c>
      <c r="C533" s="1" t="n">
        <v>46165</v>
      </c>
      <c r="D533" t="inlineStr">
        <is>
          <t>SKÅNE LÄN</t>
        </is>
      </c>
      <c r="E533" t="inlineStr">
        <is>
          <t>HÄSSLEHOLM</t>
        </is>
      </c>
      <c r="F533" t="inlineStr">
        <is>
          <t>Kommuner</t>
        </is>
      </c>
      <c r="G533" t="n">
        <v>4</v>
      </c>
      <c r="H533" t="n">
        <v>0</v>
      </c>
      <c r="I533" t="n">
        <v>0</v>
      </c>
      <c r="J533" t="n">
        <v>0</v>
      </c>
      <c r="K533" t="n">
        <v>0</v>
      </c>
      <c r="L533" t="n">
        <v>0</v>
      </c>
      <c r="M533" t="n">
        <v>0</v>
      </c>
      <c r="N533" t="n">
        <v>0</v>
      </c>
      <c r="O533" t="n">
        <v>0</v>
      </c>
      <c r="P533" t="n">
        <v>0</v>
      </c>
      <c r="Q533" t="n">
        <v>0</v>
      </c>
      <c r="R533" s="2" t="inlineStr"/>
    </row>
    <row r="534" ht="15" customHeight="1">
      <c r="A534" t="inlineStr">
        <is>
          <t>A 56355-2023</t>
        </is>
      </c>
      <c r="B534" s="1" t="n">
        <v>45243.3702662037</v>
      </c>
      <c r="C534" s="1" t="n">
        <v>46165</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51024-2025</t>
        </is>
      </c>
      <c r="B535" s="1" t="n">
        <v>45947.395</v>
      </c>
      <c r="C535" s="1" t="n">
        <v>46165</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59246-2024</t>
        </is>
      </c>
      <c r="B536" s="1" t="n">
        <v>45636</v>
      </c>
      <c r="C536" s="1" t="n">
        <v>46165</v>
      </c>
      <c r="D536" t="inlineStr">
        <is>
          <t>SKÅNE LÄN</t>
        </is>
      </c>
      <c r="E536" t="inlineStr">
        <is>
          <t>HÄSSLEHOLM</t>
        </is>
      </c>
      <c r="G536" t="n">
        <v>2.6</v>
      </c>
      <c r="H536" t="n">
        <v>0</v>
      </c>
      <c r="I536" t="n">
        <v>0</v>
      </c>
      <c r="J536" t="n">
        <v>0</v>
      </c>
      <c r="K536" t="n">
        <v>0</v>
      </c>
      <c r="L536" t="n">
        <v>0</v>
      </c>
      <c r="M536" t="n">
        <v>0</v>
      </c>
      <c r="N536" t="n">
        <v>0</v>
      </c>
      <c r="O536" t="n">
        <v>0</v>
      </c>
      <c r="P536" t="n">
        <v>0</v>
      </c>
      <c r="Q536" t="n">
        <v>0</v>
      </c>
      <c r="R536" s="2" t="inlineStr"/>
    </row>
    <row r="537" ht="15" customHeight="1">
      <c r="A537" t="inlineStr">
        <is>
          <t>A 50839-2025</t>
        </is>
      </c>
      <c r="B537" s="1" t="n">
        <v>45946</v>
      </c>
      <c r="C537" s="1" t="n">
        <v>46165</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20800-2023</t>
        </is>
      </c>
      <c r="B538" s="1" t="n">
        <v>45058.61640046296</v>
      </c>
      <c r="C538" s="1" t="n">
        <v>46165</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50829-2025</t>
        </is>
      </c>
      <c r="B539" s="1" t="n">
        <v>45946.55309027778</v>
      </c>
      <c r="C539" s="1" t="n">
        <v>46165</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11019-2025</t>
        </is>
      </c>
      <c r="B540" s="1" t="n">
        <v>45723</v>
      </c>
      <c r="C540" s="1" t="n">
        <v>46165</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11681-2023</t>
        </is>
      </c>
      <c r="B541" s="1" t="n">
        <v>44992</v>
      </c>
      <c r="C541" s="1" t="n">
        <v>46165</v>
      </c>
      <c r="D541" t="inlineStr">
        <is>
          <t>SKÅNE LÄN</t>
        </is>
      </c>
      <c r="E541" t="inlineStr">
        <is>
          <t>HÄSSLEHOLM</t>
        </is>
      </c>
      <c r="F541" t="inlineStr">
        <is>
          <t>Övriga Aktiebolag</t>
        </is>
      </c>
      <c r="G541" t="n">
        <v>1.6</v>
      </c>
      <c r="H541" t="n">
        <v>0</v>
      </c>
      <c r="I541" t="n">
        <v>0</v>
      </c>
      <c r="J541" t="n">
        <v>0</v>
      </c>
      <c r="K541" t="n">
        <v>0</v>
      </c>
      <c r="L541" t="n">
        <v>0</v>
      </c>
      <c r="M541" t="n">
        <v>0</v>
      </c>
      <c r="N541" t="n">
        <v>0</v>
      </c>
      <c r="O541" t="n">
        <v>0</v>
      </c>
      <c r="P541" t="n">
        <v>0</v>
      </c>
      <c r="Q541" t="n">
        <v>0</v>
      </c>
      <c r="R541" s="2" t="inlineStr"/>
    </row>
    <row r="542" ht="15" customHeight="1">
      <c r="A542" t="inlineStr">
        <is>
          <t>A 33927-2021</t>
        </is>
      </c>
      <c r="B542" s="1" t="n">
        <v>44378</v>
      </c>
      <c r="C542" s="1" t="n">
        <v>46165</v>
      </c>
      <c r="D542" t="inlineStr">
        <is>
          <t>SKÅNE LÄN</t>
        </is>
      </c>
      <c r="E542" t="inlineStr">
        <is>
          <t>HÄSSLEHOLM</t>
        </is>
      </c>
      <c r="G542" t="n">
        <v>16.7</v>
      </c>
      <c r="H542" t="n">
        <v>0</v>
      </c>
      <c r="I542" t="n">
        <v>0</v>
      </c>
      <c r="J542" t="n">
        <v>0</v>
      </c>
      <c r="K542" t="n">
        <v>0</v>
      </c>
      <c r="L542" t="n">
        <v>0</v>
      </c>
      <c r="M542" t="n">
        <v>0</v>
      </c>
      <c r="N542" t="n">
        <v>0</v>
      </c>
      <c r="O542" t="n">
        <v>0</v>
      </c>
      <c r="P542" t="n">
        <v>0</v>
      </c>
      <c r="Q542" t="n">
        <v>0</v>
      </c>
      <c r="R542" s="2" t="inlineStr"/>
    </row>
    <row r="543" ht="15" customHeight="1">
      <c r="A543" t="inlineStr">
        <is>
          <t>A 51097-2025</t>
        </is>
      </c>
      <c r="B543" s="1" t="n">
        <v>45947.48018518519</v>
      </c>
      <c r="C543" s="1" t="n">
        <v>46165</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7305-2025</t>
        </is>
      </c>
      <c r="B544" s="1" t="n">
        <v>45702</v>
      </c>
      <c r="C544" s="1" t="n">
        <v>46165</v>
      </c>
      <c r="D544" t="inlineStr">
        <is>
          <t>SKÅNE LÄN</t>
        </is>
      </c>
      <c r="E544" t="inlineStr">
        <is>
          <t>HÄSSLEHOLM</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5116-2023</t>
        </is>
      </c>
      <c r="B545" s="1" t="n">
        <v>44958.67546296296</v>
      </c>
      <c r="C545" s="1" t="n">
        <v>46165</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51597-2025</t>
        </is>
      </c>
      <c r="B546" s="1" t="n">
        <v>45951.37163194444</v>
      </c>
      <c r="C546" s="1" t="n">
        <v>46165</v>
      </c>
      <c r="D546" t="inlineStr">
        <is>
          <t>SKÅNE LÄN</t>
        </is>
      </c>
      <c r="E546" t="inlineStr">
        <is>
          <t>HÄSSLEHOLM</t>
        </is>
      </c>
      <c r="G546" t="n">
        <v>3.5</v>
      </c>
      <c r="H546" t="n">
        <v>0</v>
      </c>
      <c r="I546" t="n">
        <v>0</v>
      </c>
      <c r="J546" t="n">
        <v>0</v>
      </c>
      <c r="K546" t="n">
        <v>0</v>
      </c>
      <c r="L546" t="n">
        <v>0</v>
      </c>
      <c r="M546" t="n">
        <v>0</v>
      </c>
      <c r="N546" t="n">
        <v>0</v>
      </c>
      <c r="O546" t="n">
        <v>0</v>
      </c>
      <c r="P546" t="n">
        <v>0</v>
      </c>
      <c r="Q546" t="n">
        <v>0</v>
      </c>
      <c r="R546" s="2" t="inlineStr"/>
    </row>
    <row r="547" ht="15" customHeight="1">
      <c r="A547" t="inlineStr">
        <is>
          <t>A 51795-2025</t>
        </is>
      </c>
      <c r="B547" s="1" t="n">
        <v>45951</v>
      </c>
      <c r="C547" s="1" t="n">
        <v>46165</v>
      </c>
      <c r="D547" t="inlineStr">
        <is>
          <t>SKÅNE LÄN</t>
        </is>
      </c>
      <c r="E547" t="inlineStr">
        <is>
          <t>HÄSSLEHOLM</t>
        </is>
      </c>
      <c r="G547" t="n">
        <v>2.4</v>
      </c>
      <c r="H547" t="n">
        <v>0</v>
      </c>
      <c r="I547" t="n">
        <v>0</v>
      </c>
      <c r="J547" t="n">
        <v>0</v>
      </c>
      <c r="K547" t="n">
        <v>0</v>
      </c>
      <c r="L547" t="n">
        <v>0</v>
      </c>
      <c r="M547" t="n">
        <v>0</v>
      </c>
      <c r="N547" t="n">
        <v>0</v>
      </c>
      <c r="O547" t="n">
        <v>0</v>
      </c>
      <c r="P547" t="n">
        <v>0</v>
      </c>
      <c r="Q547" t="n">
        <v>0</v>
      </c>
      <c r="R547" s="2" t="inlineStr"/>
    </row>
    <row r="548" ht="15" customHeight="1">
      <c r="A548" t="inlineStr">
        <is>
          <t>A 51796-2025</t>
        </is>
      </c>
      <c r="B548" s="1" t="n">
        <v>45951.74546296296</v>
      </c>
      <c r="C548" s="1" t="n">
        <v>46165</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42364-2023</t>
        </is>
      </c>
      <c r="B549" s="1" t="n">
        <v>45180.54754629629</v>
      </c>
      <c r="C549" s="1" t="n">
        <v>46165</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51640-2025</t>
        </is>
      </c>
      <c r="B550" s="1" t="n">
        <v>45951.44361111111</v>
      </c>
      <c r="C550" s="1" t="n">
        <v>46165</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54408-2024</t>
        </is>
      </c>
      <c r="B551" s="1" t="n">
        <v>45617.47263888889</v>
      </c>
      <c r="C551" s="1" t="n">
        <v>46165</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5780-2024</t>
        </is>
      </c>
      <c r="B552" s="1" t="n">
        <v>45335.41983796296</v>
      </c>
      <c r="C552" s="1" t="n">
        <v>46165</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7481-2023</t>
        </is>
      </c>
      <c r="B553" s="1" t="n">
        <v>44971</v>
      </c>
      <c r="C553" s="1" t="n">
        <v>46165</v>
      </c>
      <c r="D553" t="inlineStr">
        <is>
          <t>SKÅNE LÄN</t>
        </is>
      </c>
      <c r="E553" t="inlineStr">
        <is>
          <t>HÄSSLEHOLM</t>
        </is>
      </c>
      <c r="G553" t="n">
        <v>1.4</v>
      </c>
      <c r="H553" t="n">
        <v>0</v>
      </c>
      <c r="I553" t="n">
        <v>0</v>
      </c>
      <c r="J553" t="n">
        <v>0</v>
      </c>
      <c r="K553" t="n">
        <v>0</v>
      </c>
      <c r="L553" t="n">
        <v>0</v>
      </c>
      <c r="M553" t="n">
        <v>0</v>
      </c>
      <c r="N553" t="n">
        <v>0</v>
      </c>
      <c r="O553" t="n">
        <v>0</v>
      </c>
      <c r="P553" t="n">
        <v>0</v>
      </c>
      <c r="Q553" t="n">
        <v>0</v>
      </c>
      <c r="R553" s="2" t="inlineStr"/>
    </row>
    <row r="554" ht="15" customHeight="1">
      <c r="A554" t="inlineStr">
        <is>
          <t>A 52126-2025</t>
        </is>
      </c>
      <c r="B554" s="1" t="n">
        <v>45952.72109953704</v>
      </c>
      <c r="C554" s="1" t="n">
        <v>46165</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59728-2022</t>
        </is>
      </c>
      <c r="B555" s="1" t="n">
        <v>44900</v>
      </c>
      <c r="C555" s="1" t="n">
        <v>46165</v>
      </c>
      <c r="D555" t="inlineStr">
        <is>
          <t>SKÅNE LÄN</t>
        </is>
      </c>
      <c r="E555" t="inlineStr">
        <is>
          <t>HÄSSLEHOLM</t>
        </is>
      </c>
      <c r="G555" t="n">
        <v>0.3</v>
      </c>
      <c r="H555" t="n">
        <v>0</v>
      </c>
      <c r="I555" t="n">
        <v>0</v>
      </c>
      <c r="J555" t="n">
        <v>0</v>
      </c>
      <c r="K555" t="n">
        <v>0</v>
      </c>
      <c r="L555" t="n">
        <v>0</v>
      </c>
      <c r="M555" t="n">
        <v>0</v>
      </c>
      <c r="N555" t="n">
        <v>0</v>
      </c>
      <c r="O555" t="n">
        <v>0</v>
      </c>
      <c r="P555" t="n">
        <v>0</v>
      </c>
      <c r="Q555" t="n">
        <v>0</v>
      </c>
      <c r="R555" s="2" t="inlineStr"/>
    </row>
    <row r="556" ht="15" customHeight="1">
      <c r="A556" t="inlineStr">
        <is>
          <t>A 23683-2023</t>
        </is>
      </c>
      <c r="B556" s="1" t="n">
        <v>45077</v>
      </c>
      <c r="C556" s="1" t="n">
        <v>46165</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2663-2023</t>
        </is>
      </c>
      <c r="B557" s="1" t="n">
        <v>44942</v>
      </c>
      <c r="C557" s="1" t="n">
        <v>46165</v>
      </c>
      <c r="D557" t="inlineStr">
        <is>
          <t>SKÅNE LÄN</t>
        </is>
      </c>
      <c r="E557" t="inlineStr">
        <is>
          <t>HÄSSLEHOLM</t>
        </is>
      </c>
      <c r="F557" t="inlineStr">
        <is>
          <t>Kyrkan</t>
        </is>
      </c>
      <c r="G557" t="n">
        <v>0.8</v>
      </c>
      <c r="H557" t="n">
        <v>0</v>
      </c>
      <c r="I557" t="n">
        <v>0</v>
      </c>
      <c r="J557" t="n">
        <v>0</v>
      </c>
      <c r="K557" t="n">
        <v>0</v>
      </c>
      <c r="L557" t="n">
        <v>0</v>
      </c>
      <c r="M557" t="n">
        <v>0</v>
      </c>
      <c r="N557" t="n">
        <v>0</v>
      </c>
      <c r="O557" t="n">
        <v>0</v>
      </c>
      <c r="P557" t="n">
        <v>0</v>
      </c>
      <c r="Q557" t="n">
        <v>0</v>
      </c>
      <c r="R557" s="2" t="inlineStr"/>
    </row>
    <row r="558" ht="15" customHeight="1">
      <c r="A558" t="inlineStr">
        <is>
          <t>A 23172-2022</t>
        </is>
      </c>
      <c r="B558" s="1" t="n">
        <v>44719</v>
      </c>
      <c r="C558" s="1" t="n">
        <v>46165</v>
      </c>
      <c r="D558" t="inlineStr">
        <is>
          <t>SKÅNE LÄN</t>
        </is>
      </c>
      <c r="E558" t="inlineStr">
        <is>
          <t>HÄSSLEHOLM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23173-2022</t>
        </is>
      </c>
      <c r="B559" s="1" t="n">
        <v>44719.72155092593</v>
      </c>
      <c r="C559" s="1" t="n">
        <v>46165</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17492-2025</t>
        </is>
      </c>
      <c r="B560" s="1" t="n">
        <v>45747</v>
      </c>
      <c r="C560" s="1" t="n">
        <v>46165</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50664-2023</t>
        </is>
      </c>
      <c r="B561" s="1" t="n">
        <v>45217</v>
      </c>
      <c r="C561" s="1" t="n">
        <v>46165</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53020-2025</t>
        </is>
      </c>
      <c r="B562" s="1" t="n">
        <v>45957.90707175926</v>
      </c>
      <c r="C562" s="1" t="n">
        <v>46165</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53424-2025</t>
        </is>
      </c>
      <c r="B563" s="1" t="n">
        <v>45959</v>
      </c>
      <c r="C563" s="1" t="n">
        <v>46165</v>
      </c>
      <c r="D563" t="inlineStr">
        <is>
          <t>SKÅNE LÄN</t>
        </is>
      </c>
      <c r="E563" t="inlineStr">
        <is>
          <t>HÄSSLEHOLM</t>
        </is>
      </c>
      <c r="G563" t="n">
        <v>3.4</v>
      </c>
      <c r="H563" t="n">
        <v>0</v>
      </c>
      <c r="I563" t="n">
        <v>0</v>
      </c>
      <c r="J563" t="n">
        <v>0</v>
      </c>
      <c r="K563" t="n">
        <v>0</v>
      </c>
      <c r="L563" t="n">
        <v>0</v>
      </c>
      <c r="M563" t="n">
        <v>0</v>
      </c>
      <c r="N563" t="n">
        <v>0</v>
      </c>
      <c r="O563" t="n">
        <v>0</v>
      </c>
      <c r="P563" t="n">
        <v>0</v>
      </c>
      <c r="Q563" t="n">
        <v>0</v>
      </c>
      <c r="R563" s="2" t="inlineStr"/>
    </row>
    <row r="564" ht="15" customHeight="1">
      <c r="A564" t="inlineStr">
        <is>
          <t>A 42428-2022</t>
        </is>
      </c>
      <c r="B564" s="1" t="n">
        <v>44831</v>
      </c>
      <c r="C564" s="1" t="n">
        <v>46165</v>
      </c>
      <c r="D564" t="inlineStr">
        <is>
          <t>SKÅNE LÄN</t>
        </is>
      </c>
      <c r="E564" t="inlineStr">
        <is>
          <t>HÄSSLEHOLM</t>
        </is>
      </c>
      <c r="G564" t="n">
        <v>2.8</v>
      </c>
      <c r="H564" t="n">
        <v>0</v>
      </c>
      <c r="I564" t="n">
        <v>0</v>
      </c>
      <c r="J564" t="n">
        <v>0</v>
      </c>
      <c r="K564" t="n">
        <v>0</v>
      </c>
      <c r="L564" t="n">
        <v>0</v>
      </c>
      <c r="M564" t="n">
        <v>0</v>
      </c>
      <c r="N564" t="n">
        <v>0</v>
      </c>
      <c r="O564" t="n">
        <v>0</v>
      </c>
      <c r="P564" t="n">
        <v>0</v>
      </c>
      <c r="Q564" t="n">
        <v>0</v>
      </c>
      <c r="R564" s="2" t="inlineStr"/>
    </row>
    <row r="565" ht="15" customHeight="1">
      <c r="A565" t="inlineStr">
        <is>
          <t>A 53018-2025</t>
        </is>
      </c>
      <c r="B565" s="1" t="n">
        <v>45957.90064814815</v>
      </c>
      <c r="C565" s="1" t="n">
        <v>46165</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62171-2022</t>
        </is>
      </c>
      <c r="B566" s="1" t="n">
        <v>44915</v>
      </c>
      <c r="C566" s="1" t="n">
        <v>46165</v>
      </c>
      <c r="D566" t="inlineStr">
        <is>
          <t>SKÅNE LÄN</t>
        </is>
      </c>
      <c r="E566" t="inlineStr">
        <is>
          <t>HÄSSLEHOLM</t>
        </is>
      </c>
      <c r="F566" t="inlineStr">
        <is>
          <t>Kyrkan</t>
        </is>
      </c>
      <c r="G566" t="n">
        <v>9</v>
      </c>
      <c r="H566" t="n">
        <v>0</v>
      </c>
      <c r="I566" t="n">
        <v>0</v>
      </c>
      <c r="J566" t="n">
        <v>0</v>
      </c>
      <c r="K566" t="n">
        <v>0</v>
      </c>
      <c r="L566" t="n">
        <v>0</v>
      </c>
      <c r="M566" t="n">
        <v>0</v>
      </c>
      <c r="N566" t="n">
        <v>0</v>
      </c>
      <c r="O566" t="n">
        <v>0</v>
      </c>
      <c r="P566" t="n">
        <v>0</v>
      </c>
      <c r="Q566" t="n">
        <v>0</v>
      </c>
      <c r="R566" s="2" t="inlineStr"/>
    </row>
    <row r="567" ht="15" customHeight="1">
      <c r="A567" t="inlineStr">
        <is>
          <t>A 53056-2025</t>
        </is>
      </c>
      <c r="B567" s="1" t="n">
        <v>45958.36518518518</v>
      </c>
      <c r="C567" s="1" t="n">
        <v>46165</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56956-2024</t>
        </is>
      </c>
      <c r="B568" s="1" t="n">
        <v>45626</v>
      </c>
      <c r="C568" s="1" t="n">
        <v>46165</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35711-2024</t>
        </is>
      </c>
      <c r="B569" s="1" t="n">
        <v>45532</v>
      </c>
      <c r="C569" s="1" t="n">
        <v>46165</v>
      </c>
      <c r="D569" t="inlineStr">
        <is>
          <t>SKÅNE LÄN</t>
        </is>
      </c>
      <c r="E569" t="inlineStr">
        <is>
          <t>HÄSSLEHOLM</t>
        </is>
      </c>
      <c r="G569" t="n">
        <v>1.4</v>
      </c>
      <c r="H569" t="n">
        <v>0</v>
      </c>
      <c r="I569" t="n">
        <v>0</v>
      </c>
      <c r="J569" t="n">
        <v>0</v>
      </c>
      <c r="K569" t="n">
        <v>0</v>
      </c>
      <c r="L569" t="n">
        <v>0</v>
      </c>
      <c r="M569" t="n">
        <v>0</v>
      </c>
      <c r="N569" t="n">
        <v>0</v>
      </c>
      <c r="O569" t="n">
        <v>0</v>
      </c>
      <c r="P569" t="n">
        <v>0</v>
      </c>
      <c r="Q569" t="n">
        <v>0</v>
      </c>
      <c r="R569" s="2" t="inlineStr"/>
    </row>
    <row r="570" ht="15" customHeight="1">
      <c r="A570" t="inlineStr">
        <is>
          <t>A 56490-2021</t>
        </is>
      </c>
      <c r="B570" s="1" t="n">
        <v>44480</v>
      </c>
      <c r="C570" s="1" t="n">
        <v>46165</v>
      </c>
      <c r="D570" t="inlineStr">
        <is>
          <t>SKÅNE LÄN</t>
        </is>
      </c>
      <c r="E570" t="inlineStr">
        <is>
          <t>HÄSSLEHOLM</t>
        </is>
      </c>
      <c r="F570" t="inlineStr">
        <is>
          <t>Kyrkan</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47161-2025</t>
        </is>
      </c>
      <c r="B571" s="1" t="n">
        <v>45929</v>
      </c>
      <c r="C571" s="1" t="n">
        <v>46165</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61680-2022</t>
        </is>
      </c>
      <c r="B572" s="1" t="n">
        <v>44917.36372685185</v>
      </c>
      <c r="C572" s="1" t="n">
        <v>46165</v>
      </c>
      <c r="D572" t="inlineStr">
        <is>
          <t>SKÅNE LÄN</t>
        </is>
      </c>
      <c r="E572" t="inlineStr">
        <is>
          <t>HÄSSLEHOLM</t>
        </is>
      </c>
      <c r="G572" t="n">
        <v>2.4</v>
      </c>
      <c r="H572" t="n">
        <v>0</v>
      </c>
      <c r="I572" t="n">
        <v>0</v>
      </c>
      <c r="J572" t="n">
        <v>0</v>
      </c>
      <c r="K572" t="n">
        <v>0</v>
      </c>
      <c r="L572" t="n">
        <v>0</v>
      </c>
      <c r="M572" t="n">
        <v>0</v>
      </c>
      <c r="N572" t="n">
        <v>0</v>
      </c>
      <c r="O572" t="n">
        <v>0</v>
      </c>
      <c r="P572" t="n">
        <v>0</v>
      </c>
      <c r="Q572" t="n">
        <v>0</v>
      </c>
      <c r="R572" s="2" t="inlineStr"/>
    </row>
    <row r="573" ht="15" customHeight="1">
      <c r="A573" t="inlineStr">
        <is>
          <t>A 61489-2024</t>
        </is>
      </c>
      <c r="B573" s="1" t="n">
        <v>45646.54875</v>
      </c>
      <c r="C573" s="1" t="n">
        <v>46165</v>
      </c>
      <c r="D573" t="inlineStr">
        <is>
          <t>SKÅNE LÄN</t>
        </is>
      </c>
      <c r="E573" t="inlineStr">
        <is>
          <t>HÄSSLEHOLM</t>
        </is>
      </c>
      <c r="G573" t="n">
        <v>1.9</v>
      </c>
      <c r="H573" t="n">
        <v>0</v>
      </c>
      <c r="I573" t="n">
        <v>0</v>
      </c>
      <c r="J573" t="n">
        <v>0</v>
      </c>
      <c r="K573" t="n">
        <v>0</v>
      </c>
      <c r="L573" t="n">
        <v>0</v>
      </c>
      <c r="M573" t="n">
        <v>0</v>
      </c>
      <c r="N573" t="n">
        <v>0</v>
      </c>
      <c r="O573" t="n">
        <v>0</v>
      </c>
      <c r="P573" t="n">
        <v>0</v>
      </c>
      <c r="Q573" t="n">
        <v>0</v>
      </c>
      <c r="R573" s="2" t="inlineStr"/>
    </row>
    <row r="574" ht="15" customHeight="1">
      <c r="A574" t="inlineStr">
        <is>
          <t>A 17699-2024</t>
        </is>
      </c>
      <c r="B574" s="1" t="n">
        <v>45418.46094907408</v>
      </c>
      <c r="C574" s="1" t="n">
        <v>46165</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17702-2024</t>
        </is>
      </c>
      <c r="B575" s="1" t="n">
        <v>45418.46534722222</v>
      </c>
      <c r="C575" s="1" t="n">
        <v>46165</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6101-2022</t>
        </is>
      </c>
      <c r="B576" s="1" t="n">
        <v>44599.63016203704</v>
      </c>
      <c r="C576" s="1" t="n">
        <v>46165</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16951-2025</t>
        </is>
      </c>
      <c r="B577" s="1" t="n">
        <v>45755</v>
      </c>
      <c r="C577" s="1" t="n">
        <v>46165</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54771-2025</t>
        </is>
      </c>
      <c r="B578" s="1" t="n">
        <v>45966.60829861111</v>
      </c>
      <c r="C578" s="1" t="n">
        <v>46165</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54664-2025</t>
        </is>
      </c>
      <c r="B579" s="1" t="n">
        <v>45966.40738425926</v>
      </c>
      <c r="C579" s="1" t="n">
        <v>46165</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16614-2025</t>
        </is>
      </c>
      <c r="B580" s="1" t="n">
        <v>45754.283125</v>
      </c>
      <c r="C580" s="1" t="n">
        <v>46165</v>
      </c>
      <c r="D580" t="inlineStr">
        <is>
          <t>SKÅNE LÄN</t>
        </is>
      </c>
      <c r="E580" t="inlineStr">
        <is>
          <t>HÄSSLEHOLM</t>
        </is>
      </c>
      <c r="G580" t="n">
        <v>1</v>
      </c>
      <c r="H580" t="n">
        <v>0</v>
      </c>
      <c r="I580" t="n">
        <v>0</v>
      </c>
      <c r="J580" t="n">
        <v>0</v>
      </c>
      <c r="K580" t="n">
        <v>0</v>
      </c>
      <c r="L580" t="n">
        <v>0</v>
      </c>
      <c r="M580" t="n">
        <v>0</v>
      </c>
      <c r="N580" t="n">
        <v>0</v>
      </c>
      <c r="O580" t="n">
        <v>0</v>
      </c>
      <c r="P580" t="n">
        <v>0</v>
      </c>
      <c r="Q580" t="n">
        <v>0</v>
      </c>
      <c r="R580" s="2" t="inlineStr"/>
    </row>
    <row r="581" ht="15" customHeight="1">
      <c r="A581" t="inlineStr">
        <is>
          <t>A 3888-2024</t>
        </is>
      </c>
      <c r="B581" s="1" t="n">
        <v>45322.45089120371</v>
      </c>
      <c r="C581" s="1" t="n">
        <v>46165</v>
      </c>
      <c r="D581" t="inlineStr">
        <is>
          <t>SKÅNE LÄN</t>
        </is>
      </c>
      <c r="E581" t="inlineStr">
        <is>
          <t>HÄSSLEHOLM</t>
        </is>
      </c>
      <c r="G581" t="n">
        <v>2.4</v>
      </c>
      <c r="H581" t="n">
        <v>0</v>
      </c>
      <c r="I581" t="n">
        <v>0</v>
      </c>
      <c r="J581" t="n">
        <v>0</v>
      </c>
      <c r="K581" t="n">
        <v>0</v>
      </c>
      <c r="L581" t="n">
        <v>0</v>
      </c>
      <c r="M581" t="n">
        <v>0</v>
      </c>
      <c r="N581" t="n">
        <v>0</v>
      </c>
      <c r="O581" t="n">
        <v>0</v>
      </c>
      <c r="P581" t="n">
        <v>0</v>
      </c>
      <c r="Q581" t="n">
        <v>0</v>
      </c>
      <c r="R581" s="2" t="inlineStr"/>
    </row>
    <row r="582" ht="15" customHeight="1">
      <c r="A582" t="inlineStr">
        <is>
          <t>A 3889-2024</t>
        </is>
      </c>
      <c r="B582" s="1" t="n">
        <v>45322.45234953704</v>
      </c>
      <c r="C582" s="1" t="n">
        <v>46165</v>
      </c>
      <c r="D582" t="inlineStr">
        <is>
          <t>SKÅNE LÄN</t>
        </is>
      </c>
      <c r="E582" t="inlineStr">
        <is>
          <t>HÄSSLEHOLM</t>
        </is>
      </c>
      <c r="G582" t="n">
        <v>1.4</v>
      </c>
      <c r="H582" t="n">
        <v>0</v>
      </c>
      <c r="I582" t="n">
        <v>0</v>
      </c>
      <c r="J582" t="n">
        <v>0</v>
      </c>
      <c r="K582" t="n">
        <v>0</v>
      </c>
      <c r="L582" t="n">
        <v>0</v>
      </c>
      <c r="M582" t="n">
        <v>0</v>
      </c>
      <c r="N582" t="n">
        <v>0</v>
      </c>
      <c r="O582" t="n">
        <v>0</v>
      </c>
      <c r="P582" t="n">
        <v>0</v>
      </c>
      <c r="Q582" t="n">
        <v>0</v>
      </c>
      <c r="R582" s="2" t="inlineStr"/>
    </row>
    <row r="583" ht="15" customHeight="1">
      <c r="A583" t="inlineStr">
        <is>
          <t>A 3294-2025</t>
        </is>
      </c>
      <c r="B583" s="1" t="n">
        <v>45679.64125</v>
      </c>
      <c r="C583" s="1" t="n">
        <v>46165</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9669-2025</t>
        </is>
      </c>
      <c r="B584" s="1" t="n">
        <v>45716.32921296296</v>
      </c>
      <c r="C584" s="1" t="n">
        <v>46165</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31995-2023</t>
        </is>
      </c>
      <c r="B585" s="1" t="n">
        <v>45107</v>
      </c>
      <c r="C585" s="1" t="n">
        <v>46165</v>
      </c>
      <c r="D585" t="inlineStr">
        <is>
          <t>SKÅNE LÄN</t>
        </is>
      </c>
      <c r="E585" t="inlineStr">
        <is>
          <t>HÄSSLEHOLM</t>
        </is>
      </c>
      <c r="G585" t="n">
        <v>7.3</v>
      </c>
      <c r="H585" t="n">
        <v>0</v>
      </c>
      <c r="I585" t="n">
        <v>0</v>
      </c>
      <c r="J585" t="n">
        <v>0</v>
      </c>
      <c r="K585" t="n">
        <v>0</v>
      </c>
      <c r="L585" t="n">
        <v>0</v>
      </c>
      <c r="M585" t="n">
        <v>0</v>
      </c>
      <c r="N585" t="n">
        <v>0</v>
      </c>
      <c r="O585" t="n">
        <v>0</v>
      </c>
      <c r="P585" t="n">
        <v>0</v>
      </c>
      <c r="Q585" t="n">
        <v>0</v>
      </c>
      <c r="R585" s="2" t="inlineStr"/>
    </row>
    <row r="586" ht="15" customHeight="1">
      <c r="A586" t="inlineStr">
        <is>
          <t>A 31998-2023</t>
        </is>
      </c>
      <c r="B586" s="1" t="n">
        <v>45119</v>
      </c>
      <c r="C586" s="1" t="n">
        <v>46165</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54763-2025</t>
        </is>
      </c>
      <c r="B587" s="1" t="n">
        <v>45966.60167824074</v>
      </c>
      <c r="C587" s="1" t="n">
        <v>46165</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7150-2025</t>
        </is>
      </c>
      <c r="B588" s="1" t="n">
        <v>45702.38239583333</v>
      </c>
      <c r="C588" s="1" t="n">
        <v>46165</v>
      </c>
      <c r="D588" t="inlineStr">
        <is>
          <t>SKÅNE LÄN</t>
        </is>
      </c>
      <c r="E588" t="inlineStr">
        <is>
          <t>HÄSSLEHOLM</t>
        </is>
      </c>
      <c r="G588" t="n">
        <v>2.3</v>
      </c>
      <c r="H588" t="n">
        <v>0</v>
      </c>
      <c r="I588" t="n">
        <v>0</v>
      </c>
      <c r="J588" t="n">
        <v>0</v>
      </c>
      <c r="K588" t="n">
        <v>0</v>
      </c>
      <c r="L588" t="n">
        <v>0</v>
      </c>
      <c r="M588" t="n">
        <v>0</v>
      </c>
      <c r="N588" t="n">
        <v>0</v>
      </c>
      <c r="O588" t="n">
        <v>0</v>
      </c>
      <c r="P588" t="n">
        <v>0</v>
      </c>
      <c r="Q588" t="n">
        <v>0</v>
      </c>
      <c r="R588" s="2" t="inlineStr"/>
    </row>
    <row r="589" ht="15" customHeight="1">
      <c r="A589" t="inlineStr">
        <is>
          <t>A 27297-2023</t>
        </is>
      </c>
      <c r="B589" s="1" t="n">
        <v>45096</v>
      </c>
      <c r="C589" s="1" t="n">
        <v>46165</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20185-2023</t>
        </is>
      </c>
      <c r="B590" s="1" t="n">
        <v>45055.56795138889</v>
      </c>
      <c r="C590" s="1" t="n">
        <v>46165</v>
      </c>
      <c r="D590" t="inlineStr">
        <is>
          <t>SKÅNE LÄN</t>
        </is>
      </c>
      <c r="E590" t="inlineStr">
        <is>
          <t>HÄSSLEHOLM</t>
        </is>
      </c>
      <c r="G590" t="n">
        <v>3.5</v>
      </c>
      <c r="H590" t="n">
        <v>0</v>
      </c>
      <c r="I590" t="n">
        <v>0</v>
      </c>
      <c r="J590" t="n">
        <v>0</v>
      </c>
      <c r="K590" t="n">
        <v>0</v>
      </c>
      <c r="L590" t="n">
        <v>0</v>
      </c>
      <c r="M590" t="n">
        <v>0</v>
      </c>
      <c r="N590" t="n">
        <v>0</v>
      </c>
      <c r="O590" t="n">
        <v>0</v>
      </c>
      <c r="P590" t="n">
        <v>0</v>
      </c>
      <c r="Q590" t="n">
        <v>0</v>
      </c>
      <c r="R590" s="2" t="inlineStr"/>
    </row>
    <row r="591" ht="15" customHeight="1">
      <c r="A591" t="inlineStr">
        <is>
          <t>A 54668-2025</t>
        </is>
      </c>
      <c r="B591" s="1" t="n">
        <v>45966.40803240741</v>
      </c>
      <c r="C591" s="1" t="n">
        <v>46165</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9747-2024</t>
        </is>
      </c>
      <c r="B592" s="1" t="n">
        <v>45362</v>
      </c>
      <c r="C592" s="1" t="n">
        <v>46165</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61170-2022</t>
        </is>
      </c>
      <c r="B593" s="1" t="n">
        <v>44915.48543981482</v>
      </c>
      <c r="C593" s="1" t="n">
        <v>46165</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55268-2025</t>
        </is>
      </c>
      <c r="B594" s="1" t="n">
        <v>45968.6715625</v>
      </c>
      <c r="C594" s="1" t="n">
        <v>46165</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55549-2025</t>
        </is>
      </c>
      <c r="B595" s="1" t="n">
        <v>45971.63805555556</v>
      </c>
      <c r="C595" s="1" t="n">
        <v>46165</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43629-2023</t>
        </is>
      </c>
      <c r="B596" s="1" t="n">
        <v>45184</v>
      </c>
      <c r="C596" s="1" t="n">
        <v>46165</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13990-2022</t>
        </is>
      </c>
      <c r="B597" s="1" t="n">
        <v>44650</v>
      </c>
      <c r="C597" s="1" t="n">
        <v>46165</v>
      </c>
      <c r="D597" t="inlineStr">
        <is>
          <t>SKÅNE LÄN</t>
        </is>
      </c>
      <c r="E597" t="inlineStr">
        <is>
          <t>HÄSSLEHOLM</t>
        </is>
      </c>
      <c r="G597" t="n">
        <v>3.6</v>
      </c>
      <c r="H597" t="n">
        <v>0</v>
      </c>
      <c r="I597" t="n">
        <v>0</v>
      </c>
      <c r="J597" t="n">
        <v>0</v>
      </c>
      <c r="K597" t="n">
        <v>0</v>
      </c>
      <c r="L597" t="n">
        <v>0</v>
      </c>
      <c r="M597" t="n">
        <v>0</v>
      </c>
      <c r="N597" t="n">
        <v>0</v>
      </c>
      <c r="O597" t="n">
        <v>0</v>
      </c>
      <c r="P597" t="n">
        <v>0</v>
      </c>
      <c r="Q597" t="n">
        <v>0</v>
      </c>
      <c r="R597" s="2" t="inlineStr"/>
    </row>
    <row r="598" ht="15" customHeight="1">
      <c r="A598" t="inlineStr">
        <is>
          <t>A 55458-2025</t>
        </is>
      </c>
      <c r="B598" s="1" t="n">
        <v>45971</v>
      </c>
      <c r="C598" s="1" t="n">
        <v>46165</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55455-2025</t>
        </is>
      </c>
      <c r="B599" s="1" t="n">
        <v>45971</v>
      </c>
      <c r="C599" s="1" t="n">
        <v>46165</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50564-2023</t>
        </is>
      </c>
      <c r="B600" s="1" t="n">
        <v>45217.37957175926</v>
      </c>
      <c r="C600" s="1" t="n">
        <v>46165</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43061-2024</t>
        </is>
      </c>
      <c r="B601" s="1" t="n">
        <v>45567</v>
      </c>
      <c r="C601" s="1" t="n">
        <v>46165</v>
      </c>
      <c r="D601" t="inlineStr">
        <is>
          <t>SKÅNE LÄN</t>
        </is>
      </c>
      <c r="E601" t="inlineStr">
        <is>
          <t>HÄSSLEHOLM</t>
        </is>
      </c>
      <c r="G601" t="n">
        <v>4.5</v>
      </c>
      <c r="H601" t="n">
        <v>0</v>
      </c>
      <c r="I601" t="n">
        <v>0</v>
      </c>
      <c r="J601" t="n">
        <v>0</v>
      </c>
      <c r="K601" t="n">
        <v>0</v>
      </c>
      <c r="L601" t="n">
        <v>0</v>
      </c>
      <c r="M601" t="n">
        <v>0</v>
      </c>
      <c r="N601" t="n">
        <v>0</v>
      </c>
      <c r="O601" t="n">
        <v>0</v>
      </c>
      <c r="P601" t="n">
        <v>0</v>
      </c>
      <c r="Q601" t="n">
        <v>0</v>
      </c>
      <c r="R601" s="2" t="inlineStr"/>
    </row>
    <row r="602" ht="15" customHeight="1">
      <c r="A602" t="inlineStr">
        <is>
          <t>A 54171-2021</t>
        </is>
      </c>
      <c r="B602" s="1" t="n">
        <v>44470</v>
      </c>
      <c r="C602" s="1" t="n">
        <v>46165</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24640-2023</t>
        </is>
      </c>
      <c r="B603" s="1" t="n">
        <v>45084.43181712963</v>
      </c>
      <c r="C603" s="1" t="n">
        <v>46165</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51618-2024</t>
        </is>
      </c>
      <c r="B604" s="1" t="n">
        <v>45604.82615740741</v>
      </c>
      <c r="C604" s="1" t="n">
        <v>46165</v>
      </c>
      <c r="D604" t="inlineStr">
        <is>
          <t>SKÅNE LÄN</t>
        </is>
      </c>
      <c r="E604" t="inlineStr">
        <is>
          <t>HÄSSLEHOLM</t>
        </is>
      </c>
      <c r="G604" t="n">
        <v>1.2</v>
      </c>
      <c r="H604" t="n">
        <v>0</v>
      </c>
      <c r="I604" t="n">
        <v>0</v>
      </c>
      <c r="J604" t="n">
        <v>0</v>
      </c>
      <c r="K604" t="n">
        <v>0</v>
      </c>
      <c r="L604" t="n">
        <v>0</v>
      </c>
      <c r="M604" t="n">
        <v>0</v>
      </c>
      <c r="N604" t="n">
        <v>0</v>
      </c>
      <c r="O604" t="n">
        <v>0</v>
      </c>
      <c r="P604" t="n">
        <v>0</v>
      </c>
      <c r="Q604" t="n">
        <v>0</v>
      </c>
      <c r="R604" s="2" t="inlineStr"/>
    </row>
    <row r="605" ht="15" customHeight="1">
      <c r="A605" t="inlineStr">
        <is>
          <t>A 56667-2025</t>
        </is>
      </c>
      <c r="B605" s="1" t="n">
        <v>45975.68508101852</v>
      </c>
      <c r="C605" s="1" t="n">
        <v>46165</v>
      </c>
      <c r="D605" t="inlineStr">
        <is>
          <t>SKÅNE LÄN</t>
        </is>
      </c>
      <c r="E605" t="inlineStr">
        <is>
          <t>HÄSSLEHOLM</t>
        </is>
      </c>
      <c r="G605" t="n">
        <v>4.4</v>
      </c>
      <c r="H605" t="n">
        <v>0</v>
      </c>
      <c r="I605" t="n">
        <v>0</v>
      </c>
      <c r="J605" t="n">
        <v>0</v>
      </c>
      <c r="K605" t="n">
        <v>0</v>
      </c>
      <c r="L605" t="n">
        <v>0</v>
      </c>
      <c r="M605" t="n">
        <v>0</v>
      </c>
      <c r="N605" t="n">
        <v>0</v>
      </c>
      <c r="O605" t="n">
        <v>0</v>
      </c>
      <c r="P605" t="n">
        <v>0</v>
      </c>
      <c r="Q605" t="n">
        <v>0</v>
      </c>
      <c r="R605" s="2" t="inlineStr"/>
    </row>
    <row r="606" ht="15" customHeight="1">
      <c r="A606" t="inlineStr">
        <is>
          <t>A 56797-2025</t>
        </is>
      </c>
      <c r="B606" s="1" t="n">
        <v>45978.43273148148</v>
      </c>
      <c r="C606" s="1" t="n">
        <v>46165</v>
      </c>
      <c r="D606" t="inlineStr">
        <is>
          <t>SKÅNE LÄN</t>
        </is>
      </c>
      <c r="E606" t="inlineStr">
        <is>
          <t>HÄSSLEHOLM</t>
        </is>
      </c>
      <c r="G606" t="n">
        <v>1.5</v>
      </c>
      <c r="H606" t="n">
        <v>0</v>
      </c>
      <c r="I606" t="n">
        <v>0</v>
      </c>
      <c r="J606" t="n">
        <v>0</v>
      </c>
      <c r="K606" t="n">
        <v>0</v>
      </c>
      <c r="L606" t="n">
        <v>0</v>
      </c>
      <c r="M606" t="n">
        <v>0</v>
      </c>
      <c r="N606" t="n">
        <v>0</v>
      </c>
      <c r="O606" t="n">
        <v>0</v>
      </c>
      <c r="P606" t="n">
        <v>0</v>
      </c>
      <c r="Q606" t="n">
        <v>0</v>
      </c>
      <c r="R606" s="2" t="inlineStr"/>
    </row>
    <row r="607" ht="15" customHeight="1">
      <c r="A607" t="inlineStr">
        <is>
          <t>A 56798-2025</t>
        </is>
      </c>
      <c r="B607" s="1" t="n">
        <v>45978.43378472222</v>
      </c>
      <c r="C607" s="1" t="n">
        <v>46165</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8249-2023</t>
        </is>
      </c>
      <c r="B608" s="1" t="n">
        <v>44974</v>
      </c>
      <c r="C608" s="1" t="n">
        <v>46165</v>
      </c>
      <c r="D608" t="inlineStr">
        <is>
          <t>SKÅNE LÄN</t>
        </is>
      </c>
      <c r="E608" t="inlineStr">
        <is>
          <t>HÄSSLEHOLM</t>
        </is>
      </c>
      <c r="G608" t="n">
        <v>5.8</v>
      </c>
      <c r="H608" t="n">
        <v>0</v>
      </c>
      <c r="I608" t="n">
        <v>0</v>
      </c>
      <c r="J608" t="n">
        <v>0</v>
      </c>
      <c r="K608" t="n">
        <v>0</v>
      </c>
      <c r="L608" t="n">
        <v>0</v>
      </c>
      <c r="M608" t="n">
        <v>0</v>
      </c>
      <c r="N608" t="n">
        <v>0</v>
      </c>
      <c r="O608" t="n">
        <v>0</v>
      </c>
      <c r="P608" t="n">
        <v>0</v>
      </c>
      <c r="Q608" t="n">
        <v>0</v>
      </c>
      <c r="R608" s="2" t="inlineStr"/>
    </row>
    <row r="609" ht="15" customHeight="1">
      <c r="A609" t="inlineStr">
        <is>
          <t>A 56794-2025</t>
        </is>
      </c>
      <c r="B609" s="1" t="n">
        <v>45978.43039351852</v>
      </c>
      <c r="C609" s="1" t="n">
        <v>46165</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55569-2025</t>
        </is>
      </c>
      <c r="B610" s="1" t="n">
        <v>45971</v>
      </c>
      <c r="C610" s="1" t="n">
        <v>46165</v>
      </c>
      <c r="D610" t="inlineStr">
        <is>
          <t>SKÅNE LÄN</t>
        </is>
      </c>
      <c r="E610" t="inlineStr">
        <is>
          <t>HÄSSLEHOLM</t>
        </is>
      </c>
      <c r="G610" t="n">
        <v>4.2</v>
      </c>
      <c r="H610" t="n">
        <v>0</v>
      </c>
      <c r="I610" t="n">
        <v>0</v>
      </c>
      <c r="J610" t="n">
        <v>0</v>
      </c>
      <c r="K610" t="n">
        <v>0</v>
      </c>
      <c r="L610" t="n">
        <v>0</v>
      </c>
      <c r="M610" t="n">
        <v>0</v>
      </c>
      <c r="N610" t="n">
        <v>0</v>
      </c>
      <c r="O610" t="n">
        <v>0</v>
      </c>
      <c r="P610" t="n">
        <v>0</v>
      </c>
      <c r="Q610" t="n">
        <v>0</v>
      </c>
      <c r="R610" s="2" t="inlineStr"/>
    </row>
    <row r="611" ht="15" customHeight="1">
      <c r="A611" t="inlineStr">
        <is>
          <t>A 47840-2023</t>
        </is>
      </c>
      <c r="B611" s="1" t="n">
        <v>45204</v>
      </c>
      <c r="C611" s="1" t="n">
        <v>46165</v>
      </c>
      <c r="D611" t="inlineStr">
        <is>
          <t>SKÅNE LÄN</t>
        </is>
      </c>
      <c r="E611" t="inlineStr">
        <is>
          <t>HÄSSLEHOLM</t>
        </is>
      </c>
      <c r="G611" t="n">
        <v>2.4</v>
      </c>
      <c r="H611" t="n">
        <v>0</v>
      </c>
      <c r="I611" t="n">
        <v>0</v>
      </c>
      <c r="J611" t="n">
        <v>0</v>
      </c>
      <c r="K611" t="n">
        <v>0</v>
      </c>
      <c r="L611" t="n">
        <v>0</v>
      </c>
      <c r="M611" t="n">
        <v>0</v>
      </c>
      <c r="N611" t="n">
        <v>0</v>
      </c>
      <c r="O611" t="n">
        <v>0</v>
      </c>
      <c r="P611" t="n">
        <v>0</v>
      </c>
      <c r="Q611" t="n">
        <v>0</v>
      </c>
      <c r="R611" s="2" t="inlineStr"/>
    </row>
    <row r="612" ht="15" customHeight="1">
      <c r="A612" t="inlineStr">
        <is>
          <t>A 57817-2025</t>
        </is>
      </c>
      <c r="B612" s="1" t="n">
        <v>45981.59475694445</v>
      </c>
      <c r="C612" s="1" t="n">
        <v>46165</v>
      </c>
      <c r="D612" t="inlineStr">
        <is>
          <t>SKÅNE LÄN</t>
        </is>
      </c>
      <c r="E612" t="inlineStr">
        <is>
          <t>HÄSSLEHOLM</t>
        </is>
      </c>
      <c r="G612" t="n">
        <v>3.8</v>
      </c>
      <c r="H612" t="n">
        <v>0</v>
      </c>
      <c r="I612" t="n">
        <v>0</v>
      </c>
      <c r="J612" t="n">
        <v>0</v>
      </c>
      <c r="K612" t="n">
        <v>0</v>
      </c>
      <c r="L612" t="n">
        <v>0</v>
      </c>
      <c r="M612" t="n">
        <v>0</v>
      </c>
      <c r="N612" t="n">
        <v>0</v>
      </c>
      <c r="O612" t="n">
        <v>0</v>
      </c>
      <c r="P612" t="n">
        <v>0</v>
      </c>
      <c r="Q612" t="n">
        <v>0</v>
      </c>
      <c r="R612" s="2" t="inlineStr"/>
    </row>
    <row r="613" ht="15" customHeight="1">
      <c r="A613" t="inlineStr">
        <is>
          <t>A 62277-2023</t>
        </is>
      </c>
      <c r="B613" s="1" t="n">
        <v>45266</v>
      </c>
      <c r="C613" s="1" t="n">
        <v>46165</v>
      </c>
      <c r="D613" t="inlineStr">
        <is>
          <t>SKÅNE LÄN</t>
        </is>
      </c>
      <c r="E613" t="inlineStr">
        <is>
          <t>HÄSSLEHOLM</t>
        </is>
      </c>
      <c r="G613" t="n">
        <v>1.2</v>
      </c>
      <c r="H613" t="n">
        <v>0</v>
      </c>
      <c r="I613" t="n">
        <v>0</v>
      </c>
      <c r="J613" t="n">
        <v>0</v>
      </c>
      <c r="K613" t="n">
        <v>0</v>
      </c>
      <c r="L613" t="n">
        <v>0</v>
      </c>
      <c r="M613" t="n">
        <v>0</v>
      </c>
      <c r="N613" t="n">
        <v>0</v>
      </c>
      <c r="O613" t="n">
        <v>0</v>
      </c>
      <c r="P613" t="n">
        <v>0</v>
      </c>
      <c r="Q613" t="n">
        <v>0</v>
      </c>
      <c r="R613" s="2" t="inlineStr"/>
    </row>
    <row r="614" ht="15" customHeight="1">
      <c r="A614" t="inlineStr">
        <is>
          <t>A 34369-2023</t>
        </is>
      </c>
      <c r="B614" s="1" t="n">
        <v>45139.47817129629</v>
      </c>
      <c r="C614" s="1" t="n">
        <v>46165</v>
      </c>
      <c r="D614" t="inlineStr">
        <is>
          <t>SKÅNE LÄN</t>
        </is>
      </c>
      <c r="E614" t="inlineStr">
        <is>
          <t>HÄSSLEHOLM</t>
        </is>
      </c>
      <c r="G614" t="n">
        <v>2</v>
      </c>
      <c r="H614" t="n">
        <v>0</v>
      </c>
      <c r="I614" t="n">
        <v>0</v>
      </c>
      <c r="J614" t="n">
        <v>0</v>
      </c>
      <c r="K614" t="n">
        <v>0</v>
      </c>
      <c r="L614" t="n">
        <v>0</v>
      </c>
      <c r="M614" t="n">
        <v>0</v>
      </c>
      <c r="N614" t="n">
        <v>0</v>
      </c>
      <c r="O614" t="n">
        <v>0</v>
      </c>
      <c r="P614" t="n">
        <v>0</v>
      </c>
      <c r="Q614" t="n">
        <v>0</v>
      </c>
      <c r="R614" s="2" t="inlineStr"/>
    </row>
    <row r="615" ht="15" customHeight="1">
      <c r="A615" t="inlineStr">
        <is>
          <t>A 30092-2025</t>
        </is>
      </c>
      <c r="B615" s="1" t="n">
        <v>45826</v>
      </c>
      <c r="C615" s="1" t="n">
        <v>46165</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34834-2023</t>
        </is>
      </c>
      <c r="B616" s="1" t="n">
        <v>45141.7199537037</v>
      </c>
      <c r="C616" s="1" t="n">
        <v>46165</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30109-2025</t>
        </is>
      </c>
      <c r="B617" s="1" t="n">
        <v>45826</v>
      </c>
      <c r="C617" s="1" t="n">
        <v>46165</v>
      </c>
      <c r="D617" t="inlineStr">
        <is>
          <t>SKÅNE LÄN</t>
        </is>
      </c>
      <c r="E617" t="inlineStr">
        <is>
          <t>HÄSSLEHOLM</t>
        </is>
      </c>
      <c r="G617" t="n">
        <v>2.4</v>
      </c>
      <c r="H617" t="n">
        <v>0</v>
      </c>
      <c r="I617" t="n">
        <v>0</v>
      </c>
      <c r="J617" t="n">
        <v>0</v>
      </c>
      <c r="K617" t="n">
        <v>0</v>
      </c>
      <c r="L617" t="n">
        <v>0</v>
      </c>
      <c r="M617" t="n">
        <v>0</v>
      </c>
      <c r="N617" t="n">
        <v>0</v>
      </c>
      <c r="O617" t="n">
        <v>0</v>
      </c>
      <c r="P617" t="n">
        <v>0</v>
      </c>
      <c r="Q617" t="n">
        <v>0</v>
      </c>
      <c r="R617" s="2" t="inlineStr"/>
    </row>
    <row r="618" ht="15" customHeight="1">
      <c r="A618" t="inlineStr">
        <is>
          <t>A 48627-2023</t>
        </is>
      </c>
      <c r="B618" s="1" t="n">
        <v>45208.57371527778</v>
      </c>
      <c r="C618" s="1" t="n">
        <v>46165</v>
      </c>
      <c r="D618" t="inlineStr">
        <is>
          <t>SKÅNE LÄN</t>
        </is>
      </c>
      <c r="E618" t="inlineStr">
        <is>
          <t>HÄSSLEHOLM</t>
        </is>
      </c>
      <c r="G618" t="n">
        <v>1.9</v>
      </c>
      <c r="H618" t="n">
        <v>0</v>
      </c>
      <c r="I618" t="n">
        <v>0</v>
      </c>
      <c r="J618" t="n">
        <v>0</v>
      </c>
      <c r="K618" t="n">
        <v>0</v>
      </c>
      <c r="L618" t="n">
        <v>0</v>
      </c>
      <c r="M618" t="n">
        <v>0</v>
      </c>
      <c r="N618" t="n">
        <v>0</v>
      </c>
      <c r="O618" t="n">
        <v>0</v>
      </c>
      <c r="P618" t="n">
        <v>0</v>
      </c>
      <c r="Q618" t="n">
        <v>0</v>
      </c>
      <c r="R618" s="2" t="inlineStr"/>
    </row>
    <row r="619" ht="15" customHeight="1">
      <c r="A619" t="inlineStr">
        <is>
          <t>A 11607-2025</t>
        </is>
      </c>
      <c r="B619" s="1" t="n">
        <v>45727</v>
      </c>
      <c r="C619" s="1" t="n">
        <v>46165</v>
      </c>
      <c r="D619" t="inlineStr">
        <is>
          <t>SKÅNE LÄN</t>
        </is>
      </c>
      <c r="E619" t="inlineStr">
        <is>
          <t>HÄSSLEHOLM</t>
        </is>
      </c>
      <c r="G619" t="n">
        <v>4.1</v>
      </c>
      <c r="H619" t="n">
        <v>0</v>
      </c>
      <c r="I619" t="n">
        <v>0</v>
      </c>
      <c r="J619" t="n">
        <v>0</v>
      </c>
      <c r="K619" t="n">
        <v>0</v>
      </c>
      <c r="L619" t="n">
        <v>0</v>
      </c>
      <c r="M619" t="n">
        <v>0</v>
      </c>
      <c r="N619" t="n">
        <v>0</v>
      </c>
      <c r="O619" t="n">
        <v>0</v>
      </c>
      <c r="P619" t="n">
        <v>0</v>
      </c>
      <c r="Q619" t="n">
        <v>0</v>
      </c>
      <c r="R619" s="2" t="inlineStr"/>
    </row>
    <row r="620" ht="15" customHeight="1">
      <c r="A620" t="inlineStr">
        <is>
          <t>A 58241-2025</t>
        </is>
      </c>
      <c r="B620" s="1" t="n">
        <v>45985.38797453704</v>
      </c>
      <c r="C620" s="1" t="n">
        <v>46165</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720-2025</t>
        </is>
      </c>
      <c r="B621" s="1" t="n">
        <v>45665.3744212963</v>
      </c>
      <c r="C621" s="1" t="n">
        <v>46165</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12182-2025</t>
        </is>
      </c>
      <c r="B622" s="1" t="n">
        <v>45729</v>
      </c>
      <c r="C622" s="1" t="n">
        <v>46165</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60848-2022</t>
        </is>
      </c>
      <c r="B623" s="1" t="n">
        <v>44914</v>
      </c>
      <c r="C623" s="1" t="n">
        <v>46165</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6164-2023</t>
        </is>
      </c>
      <c r="B624" s="1" t="n">
        <v>44964.66871527778</v>
      </c>
      <c r="C624" s="1" t="n">
        <v>46165</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11753-2025</t>
        </is>
      </c>
      <c r="B625" s="1" t="n">
        <v>45727</v>
      </c>
      <c r="C625" s="1" t="n">
        <v>46165</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58933-2025</t>
        </is>
      </c>
      <c r="B626" s="1" t="n">
        <v>45987.56107638889</v>
      </c>
      <c r="C626" s="1" t="n">
        <v>46165</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45392-2024</t>
        </is>
      </c>
      <c r="B627" s="1" t="n">
        <v>45576.55008101852</v>
      </c>
      <c r="C627" s="1" t="n">
        <v>46165</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16454-2023</t>
        </is>
      </c>
      <c r="B628" s="1" t="n">
        <v>45029.48425925926</v>
      </c>
      <c r="C628" s="1" t="n">
        <v>46165</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17335-2024</t>
        </is>
      </c>
      <c r="B629" s="1" t="n">
        <v>45414.5687962963</v>
      </c>
      <c r="C629" s="1" t="n">
        <v>46165</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24246-2023</t>
        </is>
      </c>
      <c r="B630" s="1" t="n">
        <v>45079</v>
      </c>
      <c r="C630" s="1" t="n">
        <v>46165</v>
      </c>
      <c r="D630" t="inlineStr">
        <is>
          <t>SKÅNE LÄN</t>
        </is>
      </c>
      <c r="E630" t="inlineStr">
        <is>
          <t>HÄSSLEHOLM</t>
        </is>
      </c>
      <c r="G630" t="n">
        <v>0.9</v>
      </c>
      <c r="H630" t="n">
        <v>0</v>
      </c>
      <c r="I630" t="n">
        <v>0</v>
      </c>
      <c r="J630" t="n">
        <v>0</v>
      </c>
      <c r="K630" t="n">
        <v>0</v>
      </c>
      <c r="L630" t="n">
        <v>0</v>
      </c>
      <c r="M630" t="n">
        <v>0</v>
      </c>
      <c r="N630" t="n">
        <v>0</v>
      </c>
      <c r="O630" t="n">
        <v>0</v>
      </c>
      <c r="P630" t="n">
        <v>0</v>
      </c>
      <c r="Q630" t="n">
        <v>0</v>
      </c>
      <c r="R630" s="2" t="inlineStr"/>
    </row>
    <row r="631" ht="15" customHeight="1">
      <c r="A631" t="inlineStr">
        <is>
          <t>A 24249-2023</t>
        </is>
      </c>
      <c r="B631" s="1" t="n">
        <v>45079.62466435185</v>
      </c>
      <c r="C631" s="1" t="n">
        <v>46165</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31989-2024</t>
        </is>
      </c>
      <c r="B632" s="1" t="n">
        <v>45510.58085648148</v>
      </c>
      <c r="C632" s="1" t="n">
        <v>46165</v>
      </c>
      <c r="D632" t="inlineStr">
        <is>
          <t>SKÅNE LÄN</t>
        </is>
      </c>
      <c r="E632" t="inlineStr">
        <is>
          <t>HÄSSLEHOLM</t>
        </is>
      </c>
      <c r="G632" t="n">
        <v>0.6</v>
      </c>
      <c r="H632" t="n">
        <v>0</v>
      </c>
      <c r="I632" t="n">
        <v>0</v>
      </c>
      <c r="J632" t="n">
        <v>0</v>
      </c>
      <c r="K632" t="n">
        <v>0</v>
      </c>
      <c r="L632" t="n">
        <v>0</v>
      </c>
      <c r="M632" t="n">
        <v>0</v>
      </c>
      <c r="N632" t="n">
        <v>0</v>
      </c>
      <c r="O632" t="n">
        <v>0</v>
      </c>
      <c r="P632" t="n">
        <v>0</v>
      </c>
      <c r="Q632" t="n">
        <v>0</v>
      </c>
      <c r="R632" s="2" t="inlineStr"/>
    </row>
    <row r="633" ht="15" customHeight="1">
      <c r="A633" t="inlineStr">
        <is>
          <t>A 1120-2024</t>
        </is>
      </c>
      <c r="B633" s="1" t="n">
        <v>45302.4452662037</v>
      </c>
      <c r="C633" s="1" t="n">
        <v>46165</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60973-2024</t>
        </is>
      </c>
      <c r="B634" s="1" t="n">
        <v>45644</v>
      </c>
      <c r="C634" s="1" t="n">
        <v>46165</v>
      </c>
      <c r="D634" t="inlineStr">
        <is>
          <t>SKÅNE LÄN</t>
        </is>
      </c>
      <c r="E634" t="inlineStr">
        <is>
          <t>HÄSSLEHOLM</t>
        </is>
      </c>
      <c r="G634" t="n">
        <v>3.6</v>
      </c>
      <c r="H634" t="n">
        <v>0</v>
      </c>
      <c r="I634" t="n">
        <v>0</v>
      </c>
      <c r="J634" t="n">
        <v>0</v>
      </c>
      <c r="K634" t="n">
        <v>0</v>
      </c>
      <c r="L634" t="n">
        <v>0</v>
      </c>
      <c r="M634" t="n">
        <v>0</v>
      </c>
      <c r="N634" t="n">
        <v>0</v>
      </c>
      <c r="O634" t="n">
        <v>0</v>
      </c>
      <c r="P634" t="n">
        <v>0</v>
      </c>
      <c r="Q634" t="n">
        <v>0</v>
      </c>
      <c r="R634" s="2" t="inlineStr"/>
    </row>
    <row r="635" ht="15" customHeight="1">
      <c r="A635" t="inlineStr">
        <is>
          <t>A 27478-2023</t>
        </is>
      </c>
      <c r="B635" s="1" t="n">
        <v>45092</v>
      </c>
      <c r="C635" s="1" t="n">
        <v>46165</v>
      </c>
      <c r="D635" t="inlineStr">
        <is>
          <t>SKÅNE LÄN</t>
        </is>
      </c>
      <c r="E635" t="inlineStr">
        <is>
          <t>HÄSSLEHOLM</t>
        </is>
      </c>
      <c r="G635" t="n">
        <v>0.8</v>
      </c>
      <c r="H635" t="n">
        <v>0</v>
      </c>
      <c r="I635" t="n">
        <v>0</v>
      </c>
      <c r="J635" t="n">
        <v>0</v>
      </c>
      <c r="K635" t="n">
        <v>0</v>
      </c>
      <c r="L635" t="n">
        <v>0</v>
      </c>
      <c r="M635" t="n">
        <v>0</v>
      </c>
      <c r="N635" t="n">
        <v>0</v>
      </c>
      <c r="O635" t="n">
        <v>0</v>
      </c>
      <c r="P635" t="n">
        <v>0</v>
      </c>
      <c r="Q635" t="n">
        <v>0</v>
      </c>
      <c r="R635" s="2" t="inlineStr"/>
    </row>
    <row r="636" ht="15" customHeight="1">
      <c r="A636" t="inlineStr">
        <is>
          <t>A 37898-2021</t>
        </is>
      </c>
      <c r="B636" s="1" t="n">
        <v>44403</v>
      </c>
      <c r="C636" s="1" t="n">
        <v>46165</v>
      </c>
      <c r="D636" t="inlineStr">
        <is>
          <t>SKÅNE LÄN</t>
        </is>
      </c>
      <c r="E636" t="inlineStr">
        <is>
          <t>HÄSSLEHOLM</t>
        </is>
      </c>
      <c r="F636" t="inlineStr">
        <is>
          <t>Kommuner</t>
        </is>
      </c>
      <c r="G636" t="n">
        <v>8.4</v>
      </c>
      <c r="H636" t="n">
        <v>0</v>
      </c>
      <c r="I636" t="n">
        <v>0</v>
      </c>
      <c r="J636" t="n">
        <v>0</v>
      </c>
      <c r="K636" t="n">
        <v>0</v>
      </c>
      <c r="L636" t="n">
        <v>0</v>
      </c>
      <c r="M636" t="n">
        <v>0</v>
      </c>
      <c r="N636" t="n">
        <v>0</v>
      </c>
      <c r="O636" t="n">
        <v>0</v>
      </c>
      <c r="P636" t="n">
        <v>0</v>
      </c>
      <c r="Q636" t="n">
        <v>0</v>
      </c>
      <c r="R636" s="2" t="inlineStr"/>
    </row>
    <row r="637" ht="15" customHeight="1">
      <c r="A637" t="inlineStr">
        <is>
          <t>A 26641-2023</t>
        </is>
      </c>
      <c r="B637" s="1" t="n">
        <v>45092.89619212963</v>
      </c>
      <c r="C637" s="1" t="n">
        <v>46165</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16397-2022</t>
        </is>
      </c>
      <c r="B638" s="1" t="n">
        <v>44671</v>
      </c>
      <c r="C638" s="1" t="n">
        <v>46165</v>
      </c>
      <c r="D638" t="inlineStr">
        <is>
          <t>SKÅNE LÄN</t>
        </is>
      </c>
      <c r="E638" t="inlineStr">
        <is>
          <t>HÄSSLEHOLM</t>
        </is>
      </c>
      <c r="G638" t="n">
        <v>2.7</v>
      </c>
      <c r="H638" t="n">
        <v>0</v>
      </c>
      <c r="I638" t="n">
        <v>0</v>
      </c>
      <c r="J638" t="n">
        <v>0</v>
      </c>
      <c r="K638" t="n">
        <v>0</v>
      </c>
      <c r="L638" t="n">
        <v>0</v>
      </c>
      <c r="M638" t="n">
        <v>0</v>
      </c>
      <c r="N638" t="n">
        <v>0</v>
      </c>
      <c r="O638" t="n">
        <v>0</v>
      </c>
      <c r="P638" t="n">
        <v>0</v>
      </c>
      <c r="Q638" t="n">
        <v>0</v>
      </c>
      <c r="R638" s="2" t="inlineStr"/>
    </row>
    <row r="639" ht="15" customHeight="1">
      <c r="A639" t="inlineStr">
        <is>
          <t>A 16398-2022</t>
        </is>
      </c>
      <c r="B639" s="1" t="n">
        <v>44671</v>
      </c>
      <c r="C639" s="1" t="n">
        <v>46165</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4512-2024</t>
        </is>
      </c>
      <c r="B640" s="1" t="n">
        <v>45327.6312962963</v>
      </c>
      <c r="C640" s="1" t="n">
        <v>46165</v>
      </c>
      <c r="D640" t="inlineStr">
        <is>
          <t>SKÅNE LÄN</t>
        </is>
      </c>
      <c r="E640" t="inlineStr">
        <is>
          <t>HÄSSLEHOLM</t>
        </is>
      </c>
      <c r="G640" t="n">
        <v>2</v>
      </c>
      <c r="H640" t="n">
        <v>0</v>
      </c>
      <c r="I640" t="n">
        <v>0</v>
      </c>
      <c r="J640" t="n">
        <v>0</v>
      </c>
      <c r="K640" t="n">
        <v>0</v>
      </c>
      <c r="L640" t="n">
        <v>0</v>
      </c>
      <c r="M640" t="n">
        <v>0</v>
      </c>
      <c r="N640" t="n">
        <v>0</v>
      </c>
      <c r="O640" t="n">
        <v>0</v>
      </c>
      <c r="P640" t="n">
        <v>0</v>
      </c>
      <c r="Q640" t="n">
        <v>0</v>
      </c>
      <c r="R640" s="2" t="inlineStr"/>
    </row>
    <row r="641" ht="15" customHeight="1">
      <c r="A641" t="inlineStr">
        <is>
          <t>A 15512-2025</t>
        </is>
      </c>
      <c r="B641" s="1" t="n">
        <v>45747</v>
      </c>
      <c r="C641" s="1" t="n">
        <v>46165</v>
      </c>
      <c r="D641" t="inlineStr">
        <is>
          <t>SKÅNE LÄN</t>
        </is>
      </c>
      <c r="E641" t="inlineStr">
        <is>
          <t>HÄSSLEHOLM</t>
        </is>
      </c>
      <c r="G641" t="n">
        <v>3.5</v>
      </c>
      <c r="H641" t="n">
        <v>0</v>
      </c>
      <c r="I641" t="n">
        <v>0</v>
      </c>
      <c r="J641" t="n">
        <v>0</v>
      </c>
      <c r="K641" t="n">
        <v>0</v>
      </c>
      <c r="L641" t="n">
        <v>0</v>
      </c>
      <c r="M641" t="n">
        <v>0</v>
      </c>
      <c r="N641" t="n">
        <v>0</v>
      </c>
      <c r="O641" t="n">
        <v>0</v>
      </c>
      <c r="P641" t="n">
        <v>0</v>
      </c>
      <c r="Q641" t="n">
        <v>0</v>
      </c>
      <c r="R641" s="2" t="inlineStr"/>
    </row>
    <row r="642" ht="15" customHeight="1">
      <c r="A642" t="inlineStr">
        <is>
          <t>A 59722-2025</t>
        </is>
      </c>
      <c r="B642" s="1" t="n">
        <v>45992.5474537037</v>
      </c>
      <c r="C642" s="1" t="n">
        <v>46165</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1616-2025</t>
        </is>
      </c>
      <c r="B643" s="1" t="n">
        <v>45670</v>
      </c>
      <c r="C643" s="1" t="n">
        <v>46165</v>
      </c>
      <c r="D643" t="inlineStr">
        <is>
          <t>SKÅNE LÄN</t>
        </is>
      </c>
      <c r="E643" t="inlineStr">
        <is>
          <t>HÄSSLEHOLM</t>
        </is>
      </c>
      <c r="G643" t="n">
        <v>3.6</v>
      </c>
      <c r="H643" t="n">
        <v>0</v>
      </c>
      <c r="I643" t="n">
        <v>0</v>
      </c>
      <c r="J643" t="n">
        <v>0</v>
      </c>
      <c r="K643" t="n">
        <v>0</v>
      </c>
      <c r="L643" t="n">
        <v>0</v>
      </c>
      <c r="M643" t="n">
        <v>0</v>
      </c>
      <c r="N643" t="n">
        <v>0</v>
      </c>
      <c r="O643" t="n">
        <v>0</v>
      </c>
      <c r="P643" t="n">
        <v>0</v>
      </c>
      <c r="Q643" t="n">
        <v>0</v>
      </c>
      <c r="R643" s="2" t="inlineStr"/>
    </row>
    <row r="644" ht="15" customHeight="1">
      <c r="A644" t="inlineStr">
        <is>
          <t>A 53055-2021</t>
        </is>
      </c>
      <c r="B644" s="1" t="n">
        <v>44467</v>
      </c>
      <c r="C644" s="1" t="n">
        <v>46165</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39044-2024</t>
        </is>
      </c>
      <c r="B645" s="1" t="n">
        <v>45548.47707175926</v>
      </c>
      <c r="C645" s="1" t="n">
        <v>46165</v>
      </c>
      <c r="D645" t="inlineStr">
        <is>
          <t>SKÅNE LÄN</t>
        </is>
      </c>
      <c r="E645" t="inlineStr">
        <is>
          <t>HÄSSLEHOLM</t>
        </is>
      </c>
      <c r="G645" t="n">
        <v>2.8</v>
      </c>
      <c r="H645" t="n">
        <v>0</v>
      </c>
      <c r="I645" t="n">
        <v>0</v>
      </c>
      <c r="J645" t="n">
        <v>0</v>
      </c>
      <c r="K645" t="n">
        <v>0</v>
      </c>
      <c r="L645" t="n">
        <v>0</v>
      </c>
      <c r="M645" t="n">
        <v>0</v>
      </c>
      <c r="N645" t="n">
        <v>0</v>
      </c>
      <c r="O645" t="n">
        <v>0</v>
      </c>
      <c r="P645" t="n">
        <v>0</v>
      </c>
      <c r="Q645" t="n">
        <v>0</v>
      </c>
      <c r="R645" s="2" t="inlineStr"/>
    </row>
    <row r="646" ht="15" customHeight="1">
      <c r="A646" t="inlineStr">
        <is>
          <t>A 19020-2024</t>
        </is>
      </c>
      <c r="B646" s="1" t="n">
        <v>45427.66167824074</v>
      </c>
      <c r="C646" s="1" t="n">
        <v>46165</v>
      </c>
      <c r="D646" t="inlineStr">
        <is>
          <t>SKÅNE LÄN</t>
        </is>
      </c>
      <c r="E646" t="inlineStr">
        <is>
          <t>HÄSSLEHOLM</t>
        </is>
      </c>
      <c r="G646" t="n">
        <v>2.3</v>
      </c>
      <c r="H646" t="n">
        <v>0</v>
      </c>
      <c r="I646" t="n">
        <v>0</v>
      </c>
      <c r="J646" t="n">
        <v>0</v>
      </c>
      <c r="K646" t="n">
        <v>0</v>
      </c>
      <c r="L646" t="n">
        <v>0</v>
      </c>
      <c r="M646" t="n">
        <v>0</v>
      </c>
      <c r="N646" t="n">
        <v>0</v>
      </c>
      <c r="O646" t="n">
        <v>0</v>
      </c>
      <c r="P646" t="n">
        <v>0</v>
      </c>
      <c r="Q646" t="n">
        <v>0</v>
      </c>
      <c r="R646" s="2" t="inlineStr"/>
    </row>
    <row r="647" ht="15" customHeight="1">
      <c r="A647" t="inlineStr">
        <is>
          <t>A 40734-2024</t>
        </is>
      </c>
      <c r="B647" s="1" t="n">
        <v>45558</v>
      </c>
      <c r="C647" s="1" t="n">
        <v>46165</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40738-2024</t>
        </is>
      </c>
      <c r="B648" s="1" t="n">
        <v>45558</v>
      </c>
      <c r="C648" s="1" t="n">
        <v>46165</v>
      </c>
      <c r="D648" t="inlineStr">
        <is>
          <t>SKÅNE LÄN</t>
        </is>
      </c>
      <c r="E648" t="inlineStr">
        <is>
          <t>HÄSSLEHOLM</t>
        </is>
      </c>
      <c r="G648" t="n">
        <v>2.6</v>
      </c>
      <c r="H648" t="n">
        <v>0</v>
      </c>
      <c r="I648" t="n">
        <v>0</v>
      </c>
      <c r="J648" t="n">
        <v>0</v>
      </c>
      <c r="K648" t="n">
        <v>0</v>
      </c>
      <c r="L648" t="n">
        <v>0</v>
      </c>
      <c r="M648" t="n">
        <v>0</v>
      </c>
      <c r="N648" t="n">
        <v>0</v>
      </c>
      <c r="O648" t="n">
        <v>0</v>
      </c>
      <c r="P648" t="n">
        <v>0</v>
      </c>
      <c r="Q648" t="n">
        <v>0</v>
      </c>
      <c r="R648" s="2" t="inlineStr"/>
    </row>
    <row r="649" ht="15" customHeight="1">
      <c r="A649" t="inlineStr">
        <is>
          <t>A 49199-2024</t>
        </is>
      </c>
      <c r="B649" s="1" t="n">
        <v>45595</v>
      </c>
      <c r="C649" s="1" t="n">
        <v>46165</v>
      </c>
      <c r="D649" t="inlineStr">
        <is>
          <t>SKÅNE LÄN</t>
        </is>
      </c>
      <c r="E649" t="inlineStr">
        <is>
          <t>HÄSSLEHOLM</t>
        </is>
      </c>
      <c r="G649" t="n">
        <v>5.2</v>
      </c>
      <c r="H649" t="n">
        <v>0</v>
      </c>
      <c r="I649" t="n">
        <v>0</v>
      </c>
      <c r="J649" t="n">
        <v>0</v>
      </c>
      <c r="K649" t="n">
        <v>0</v>
      </c>
      <c r="L649" t="n">
        <v>0</v>
      </c>
      <c r="M649" t="n">
        <v>0</v>
      </c>
      <c r="N649" t="n">
        <v>0</v>
      </c>
      <c r="O649" t="n">
        <v>0</v>
      </c>
      <c r="P649" t="n">
        <v>0</v>
      </c>
      <c r="Q649" t="n">
        <v>0</v>
      </c>
      <c r="R649" s="2" t="inlineStr"/>
    </row>
    <row r="650" ht="15" customHeight="1">
      <c r="A650" t="inlineStr">
        <is>
          <t>A 2712-2024</t>
        </is>
      </c>
      <c r="B650" s="1" t="n">
        <v>45314</v>
      </c>
      <c r="C650" s="1" t="n">
        <v>46165</v>
      </c>
      <c r="D650" t="inlineStr">
        <is>
          <t>SKÅNE LÄN</t>
        </is>
      </c>
      <c r="E650" t="inlineStr">
        <is>
          <t>HÄSSLEHOLM</t>
        </is>
      </c>
      <c r="G650" t="n">
        <v>11.3</v>
      </c>
      <c r="H650" t="n">
        <v>0</v>
      </c>
      <c r="I650" t="n">
        <v>0</v>
      </c>
      <c r="J650" t="n">
        <v>0</v>
      </c>
      <c r="K650" t="n">
        <v>0</v>
      </c>
      <c r="L650" t="n">
        <v>0</v>
      </c>
      <c r="M650" t="n">
        <v>0</v>
      </c>
      <c r="N650" t="n">
        <v>0</v>
      </c>
      <c r="O650" t="n">
        <v>0</v>
      </c>
      <c r="P650" t="n">
        <v>0</v>
      </c>
      <c r="Q650" t="n">
        <v>0</v>
      </c>
      <c r="R650" s="2" t="inlineStr"/>
    </row>
    <row r="651" ht="15" customHeight="1">
      <c r="A651" t="inlineStr">
        <is>
          <t>A 56986-2024</t>
        </is>
      </c>
      <c r="B651" s="1" t="n">
        <v>45626</v>
      </c>
      <c r="C651" s="1" t="n">
        <v>46165</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46222-2022</t>
        </is>
      </c>
      <c r="B652" s="1" t="n">
        <v>44847.58725694445</v>
      </c>
      <c r="C652" s="1" t="n">
        <v>46165</v>
      </c>
      <c r="D652" t="inlineStr">
        <is>
          <t>SKÅNE LÄN</t>
        </is>
      </c>
      <c r="E652" t="inlineStr">
        <is>
          <t>HÄSSLEHOLM</t>
        </is>
      </c>
      <c r="G652" t="n">
        <v>6.3</v>
      </c>
      <c r="H652" t="n">
        <v>0</v>
      </c>
      <c r="I652" t="n">
        <v>0</v>
      </c>
      <c r="J652" t="n">
        <v>0</v>
      </c>
      <c r="K652" t="n">
        <v>0</v>
      </c>
      <c r="L652" t="n">
        <v>0</v>
      </c>
      <c r="M652" t="n">
        <v>0</v>
      </c>
      <c r="N652" t="n">
        <v>0</v>
      </c>
      <c r="O652" t="n">
        <v>0</v>
      </c>
      <c r="P652" t="n">
        <v>0</v>
      </c>
      <c r="Q652" t="n">
        <v>0</v>
      </c>
      <c r="R652" s="2" t="inlineStr"/>
    </row>
    <row r="653" ht="15" customHeight="1">
      <c r="A653" t="inlineStr">
        <is>
          <t>A 2567-2024</t>
        </is>
      </c>
      <c r="B653" s="1" t="n">
        <v>45313.62460648148</v>
      </c>
      <c r="C653" s="1" t="n">
        <v>46165</v>
      </c>
      <c r="D653" t="inlineStr">
        <is>
          <t>SKÅNE LÄN</t>
        </is>
      </c>
      <c r="E653" t="inlineStr">
        <is>
          <t>HÄSSLEHOLM</t>
        </is>
      </c>
      <c r="G653" t="n">
        <v>1.1</v>
      </c>
      <c r="H653" t="n">
        <v>0</v>
      </c>
      <c r="I653" t="n">
        <v>0</v>
      </c>
      <c r="J653" t="n">
        <v>0</v>
      </c>
      <c r="K653" t="n">
        <v>0</v>
      </c>
      <c r="L653" t="n">
        <v>0</v>
      </c>
      <c r="M653" t="n">
        <v>0</v>
      </c>
      <c r="N653" t="n">
        <v>0</v>
      </c>
      <c r="O653" t="n">
        <v>0</v>
      </c>
      <c r="P653" t="n">
        <v>0</v>
      </c>
      <c r="Q653" t="n">
        <v>0</v>
      </c>
      <c r="R653" s="2" t="inlineStr"/>
    </row>
    <row r="654" ht="15" customHeight="1">
      <c r="A654" t="inlineStr">
        <is>
          <t>A 28632-2024</t>
        </is>
      </c>
      <c r="B654" s="1" t="n">
        <v>45478</v>
      </c>
      <c r="C654" s="1" t="n">
        <v>46165</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11708-2025</t>
        </is>
      </c>
      <c r="B655" s="1" t="n">
        <v>45727.58626157408</v>
      </c>
      <c r="C655" s="1" t="n">
        <v>46165</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69357-2021</t>
        </is>
      </c>
      <c r="B656" s="1" t="n">
        <v>44531</v>
      </c>
      <c r="C656" s="1" t="n">
        <v>46165</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61322-2025</t>
        </is>
      </c>
      <c r="B657" s="1" t="n">
        <v>46000</v>
      </c>
      <c r="C657" s="1" t="n">
        <v>46165</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3855-2023</t>
        </is>
      </c>
      <c r="B658" s="1" t="n">
        <v>44951.69708333333</v>
      </c>
      <c r="C658" s="1" t="n">
        <v>46165</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33481-2024</t>
        </is>
      </c>
      <c r="B659" s="1" t="n">
        <v>45519</v>
      </c>
      <c r="C659" s="1" t="n">
        <v>46165</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1289-2024</t>
        </is>
      </c>
      <c r="B660" s="1" t="n">
        <v>45303.32234953704</v>
      </c>
      <c r="C660" s="1" t="n">
        <v>46165</v>
      </c>
      <c r="D660" t="inlineStr">
        <is>
          <t>SKÅNE LÄN</t>
        </is>
      </c>
      <c r="E660" t="inlineStr">
        <is>
          <t>HÄSSLEHOLM</t>
        </is>
      </c>
      <c r="G660" t="n">
        <v>4.6</v>
      </c>
      <c r="H660" t="n">
        <v>0</v>
      </c>
      <c r="I660" t="n">
        <v>0</v>
      </c>
      <c r="J660" t="n">
        <v>0</v>
      </c>
      <c r="K660" t="n">
        <v>0</v>
      </c>
      <c r="L660" t="n">
        <v>0</v>
      </c>
      <c r="M660" t="n">
        <v>0</v>
      </c>
      <c r="N660" t="n">
        <v>0</v>
      </c>
      <c r="O660" t="n">
        <v>0</v>
      </c>
      <c r="P660" t="n">
        <v>0</v>
      </c>
      <c r="Q660" t="n">
        <v>0</v>
      </c>
      <c r="R660" s="2" t="inlineStr"/>
    </row>
    <row r="661" ht="15" customHeight="1">
      <c r="A661" t="inlineStr">
        <is>
          <t>A 61474-2025</t>
        </is>
      </c>
      <c r="B661" s="1" t="n">
        <v>46001.61886574074</v>
      </c>
      <c r="C661" s="1" t="n">
        <v>46165</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54176-2022</t>
        </is>
      </c>
      <c r="B662" s="1" t="n">
        <v>44881</v>
      </c>
      <c r="C662" s="1" t="n">
        <v>46165</v>
      </c>
      <c r="D662" t="inlineStr">
        <is>
          <t>SKÅNE LÄN</t>
        </is>
      </c>
      <c r="E662" t="inlineStr">
        <is>
          <t>HÄSSLEHOLM</t>
        </is>
      </c>
      <c r="G662" t="n">
        <v>1.1</v>
      </c>
      <c r="H662" t="n">
        <v>0</v>
      </c>
      <c r="I662" t="n">
        <v>0</v>
      </c>
      <c r="J662" t="n">
        <v>0</v>
      </c>
      <c r="K662" t="n">
        <v>0</v>
      </c>
      <c r="L662" t="n">
        <v>0</v>
      </c>
      <c r="M662" t="n">
        <v>0</v>
      </c>
      <c r="N662" t="n">
        <v>0</v>
      </c>
      <c r="O662" t="n">
        <v>0</v>
      </c>
      <c r="P662" t="n">
        <v>0</v>
      </c>
      <c r="Q662" t="n">
        <v>0</v>
      </c>
      <c r="R662" s="2" t="inlineStr"/>
    </row>
    <row r="663" ht="15" customHeight="1">
      <c r="A663" t="inlineStr">
        <is>
          <t>A 7152-2025</t>
        </is>
      </c>
      <c r="B663" s="1" t="n">
        <v>45702.3837037037</v>
      </c>
      <c r="C663" s="1" t="n">
        <v>46165</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7160-2025</t>
        </is>
      </c>
      <c r="B664" s="1" t="n">
        <v>45702.3875462963</v>
      </c>
      <c r="C664" s="1" t="n">
        <v>46165</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27291-2023</t>
        </is>
      </c>
      <c r="B665" s="1" t="n">
        <v>45096</v>
      </c>
      <c r="C665" s="1" t="n">
        <v>46165</v>
      </c>
      <c r="D665" t="inlineStr">
        <is>
          <t>SKÅNE LÄN</t>
        </is>
      </c>
      <c r="E665" t="inlineStr">
        <is>
          <t>HÄSSLEHOLM</t>
        </is>
      </c>
      <c r="G665" t="n">
        <v>3.5</v>
      </c>
      <c r="H665" t="n">
        <v>0</v>
      </c>
      <c r="I665" t="n">
        <v>0</v>
      </c>
      <c r="J665" t="n">
        <v>0</v>
      </c>
      <c r="K665" t="n">
        <v>0</v>
      </c>
      <c r="L665" t="n">
        <v>0</v>
      </c>
      <c r="M665" t="n">
        <v>0</v>
      </c>
      <c r="N665" t="n">
        <v>0</v>
      </c>
      <c r="O665" t="n">
        <v>0</v>
      </c>
      <c r="P665" t="n">
        <v>0</v>
      </c>
      <c r="Q665" t="n">
        <v>0</v>
      </c>
      <c r="R665" s="2" t="inlineStr"/>
    </row>
    <row r="666" ht="15" customHeight="1">
      <c r="A666" t="inlineStr">
        <is>
          <t>A 441-2022</t>
        </is>
      </c>
      <c r="B666" s="1" t="n">
        <v>44565.97125</v>
      </c>
      <c r="C666" s="1" t="n">
        <v>46165</v>
      </c>
      <c r="D666" t="inlineStr">
        <is>
          <t>SKÅNE LÄN</t>
        </is>
      </c>
      <c r="E666" t="inlineStr">
        <is>
          <t>HÄSSLEHOLM</t>
        </is>
      </c>
      <c r="G666" t="n">
        <v>2.1</v>
      </c>
      <c r="H666" t="n">
        <v>0</v>
      </c>
      <c r="I666" t="n">
        <v>0</v>
      </c>
      <c r="J666" t="n">
        <v>0</v>
      </c>
      <c r="K666" t="n">
        <v>0</v>
      </c>
      <c r="L666" t="n">
        <v>0</v>
      </c>
      <c r="M666" t="n">
        <v>0</v>
      </c>
      <c r="N666" t="n">
        <v>0</v>
      </c>
      <c r="O666" t="n">
        <v>0</v>
      </c>
      <c r="P666" t="n">
        <v>0</v>
      </c>
      <c r="Q666" t="n">
        <v>0</v>
      </c>
      <c r="R666" s="2" t="inlineStr"/>
    </row>
    <row r="667" ht="15" customHeight="1">
      <c r="A667" t="inlineStr">
        <is>
          <t>A 5887-2025</t>
        </is>
      </c>
      <c r="B667" s="1" t="n">
        <v>45695.37925925926</v>
      </c>
      <c r="C667" s="1" t="n">
        <v>46165</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62376-2025</t>
        </is>
      </c>
      <c r="B668" s="1" t="n">
        <v>46006</v>
      </c>
      <c r="C668" s="1" t="n">
        <v>46165</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62271-2025</t>
        </is>
      </c>
      <c r="B669" s="1" t="n">
        <v>46006.62256944444</v>
      </c>
      <c r="C669" s="1" t="n">
        <v>46165</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62264-2025</t>
        </is>
      </c>
      <c r="B670" s="1" t="n">
        <v>46006.61644675926</v>
      </c>
      <c r="C670" s="1" t="n">
        <v>46165</v>
      </c>
      <c r="D670" t="inlineStr">
        <is>
          <t>SKÅNE LÄN</t>
        </is>
      </c>
      <c r="E670" t="inlineStr">
        <is>
          <t>HÄSSLEHOLM</t>
        </is>
      </c>
      <c r="G670" t="n">
        <v>7.5</v>
      </c>
      <c r="H670" t="n">
        <v>0</v>
      </c>
      <c r="I670" t="n">
        <v>0</v>
      </c>
      <c r="J670" t="n">
        <v>0</v>
      </c>
      <c r="K670" t="n">
        <v>0</v>
      </c>
      <c r="L670" t="n">
        <v>0</v>
      </c>
      <c r="M670" t="n">
        <v>0</v>
      </c>
      <c r="N670" t="n">
        <v>0</v>
      </c>
      <c r="O670" t="n">
        <v>0</v>
      </c>
      <c r="P670" t="n">
        <v>0</v>
      </c>
      <c r="Q670" t="n">
        <v>0</v>
      </c>
      <c r="R670" s="2" t="inlineStr"/>
    </row>
    <row r="671" ht="15" customHeight="1">
      <c r="A671" t="inlineStr">
        <is>
          <t>A 46813-2024</t>
        </is>
      </c>
      <c r="B671" s="1" t="n">
        <v>45583</v>
      </c>
      <c r="C671" s="1" t="n">
        <v>46165</v>
      </c>
      <c r="D671" t="inlineStr">
        <is>
          <t>SKÅNE LÄN</t>
        </is>
      </c>
      <c r="E671" t="inlineStr">
        <is>
          <t>HÄSSLEHOLM</t>
        </is>
      </c>
      <c r="G671" t="n">
        <v>14.9</v>
      </c>
      <c r="H671" t="n">
        <v>0</v>
      </c>
      <c r="I671" t="n">
        <v>0</v>
      </c>
      <c r="J671" t="n">
        <v>0</v>
      </c>
      <c r="K671" t="n">
        <v>0</v>
      </c>
      <c r="L671" t="n">
        <v>0</v>
      </c>
      <c r="M671" t="n">
        <v>0</v>
      </c>
      <c r="N671" t="n">
        <v>0</v>
      </c>
      <c r="O671" t="n">
        <v>0</v>
      </c>
      <c r="P671" t="n">
        <v>0</v>
      </c>
      <c r="Q671" t="n">
        <v>0</v>
      </c>
      <c r="R671" s="2" t="inlineStr"/>
    </row>
    <row r="672" ht="15" customHeight="1">
      <c r="A672" t="inlineStr">
        <is>
          <t>A 54874-2022</t>
        </is>
      </c>
      <c r="B672" s="1" t="n">
        <v>44881</v>
      </c>
      <c r="C672" s="1" t="n">
        <v>46165</v>
      </c>
      <c r="D672" t="inlineStr">
        <is>
          <t>SKÅNE LÄN</t>
        </is>
      </c>
      <c r="E672" t="inlineStr">
        <is>
          <t>HÄSSLEHOLM</t>
        </is>
      </c>
      <c r="G672" t="n">
        <v>8.1</v>
      </c>
      <c r="H672" t="n">
        <v>0</v>
      </c>
      <c r="I672" t="n">
        <v>0</v>
      </c>
      <c r="J672" t="n">
        <v>0</v>
      </c>
      <c r="K672" t="n">
        <v>0</v>
      </c>
      <c r="L672" t="n">
        <v>0</v>
      </c>
      <c r="M672" t="n">
        <v>0</v>
      </c>
      <c r="N672" t="n">
        <v>0</v>
      </c>
      <c r="O672" t="n">
        <v>0</v>
      </c>
      <c r="P672" t="n">
        <v>0</v>
      </c>
      <c r="Q672" t="n">
        <v>0</v>
      </c>
      <c r="R672" s="2" t="inlineStr"/>
    </row>
    <row r="673" ht="15" customHeight="1">
      <c r="A673" t="inlineStr">
        <is>
          <t>A 17152-2025</t>
        </is>
      </c>
      <c r="B673" s="1" t="n">
        <v>45756.33318287037</v>
      </c>
      <c r="C673" s="1" t="n">
        <v>46165</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34301-2024</t>
        </is>
      </c>
      <c r="B674" s="1" t="n">
        <v>45524</v>
      </c>
      <c r="C674" s="1" t="n">
        <v>46165</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27242-2022</t>
        </is>
      </c>
      <c r="B675" s="1" t="n">
        <v>44741</v>
      </c>
      <c r="C675" s="1" t="n">
        <v>46165</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61158-2022</t>
        </is>
      </c>
      <c r="B676" s="1" t="n">
        <v>44915.47112268519</v>
      </c>
      <c r="C676" s="1" t="n">
        <v>46165</v>
      </c>
      <c r="D676" t="inlineStr">
        <is>
          <t>SKÅNE LÄN</t>
        </is>
      </c>
      <c r="E676" t="inlineStr">
        <is>
          <t>HÄSSLEHOLM</t>
        </is>
      </c>
      <c r="G676" t="n">
        <v>8.4</v>
      </c>
      <c r="H676" t="n">
        <v>0</v>
      </c>
      <c r="I676" t="n">
        <v>0</v>
      </c>
      <c r="J676" t="n">
        <v>0</v>
      </c>
      <c r="K676" t="n">
        <v>0</v>
      </c>
      <c r="L676" t="n">
        <v>0</v>
      </c>
      <c r="M676" t="n">
        <v>0</v>
      </c>
      <c r="N676" t="n">
        <v>0</v>
      </c>
      <c r="O676" t="n">
        <v>0</v>
      </c>
      <c r="P676" t="n">
        <v>0</v>
      </c>
      <c r="Q676" t="n">
        <v>0</v>
      </c>
      <c r="R676" s="2" t="inlineStr"/>
    </row>
    <row r="677" ht="15" customHeight="1">
      <c r="A677" t="inlineStr">
        <is>
          <t>A 61186-2022</t>
        </is>
      </c>
      <c r="B677" s="1" t="n">
        <v>44915.50745370371</v>
      </c>
      <c r="C677" s="1" t="n">
        <v>46165</v>
      </c>
      <c r="D677" t="inlineStr">
        <is>
          <t>SKÅNE LÄN</t>
        </is>
      </c>
      <c r="E677" t="inlineStr">
        <is>
          <t>HÄSSLEHOLM</t>
        </is>
      </c>
      <c r="G677" t="n">
        <v>2.9</v>
      </c>
      <c r="H677" t="n">
        <v>0</v>
      </c>
      <c r="I677" t="n">
        <v>0</v>
      </c>
      <c r="J677" t="n">
        <v>0</v>
      </c>
      <c r="K677" t="n">
        <v>0</v>
      </c>
      <c r="L677" t="n">
        <v>0</v>
      </c>
      <c r="M677" t="n">
        <v>0</v>
      </c>
      <c r="N677" t="n">
        <v>0</v>
      </c>
      <c r="O677" t="n">
        <v>0</v>
      </c>
      <c r="P677" t="n">
        <v>0</v>
      </c>
      <c r="Q677" t="n">
        <v>0</v>
      </c>
      <c r="R677" s="2" t="inlineStr"/>
    </row>
    <row r="678" ht="15" customHeight="1">
      <c r="A678" t="inlineStr">
        <is>
          <t>A 62055-2023</t>
        </is>
      </c>
      <c r="B678" s="1" t="n">
        <v>45266.70287037037</v>
      </c>
      <c r="C678" s="1" t="n">
        <v>46165</v>
      </c>
      <c r="D678" t="inlineStr">
        <is>
          <t>SKÅNE LÄN</t>
        </is>
      </c>
      <c r="E678" t="inlineStr">
        <is>
          <t>HÄSSLEHOLM</t>
        </is>
      </c>
      <c r="G678" t="n">
        <v>5.2</v>
      </c>
      <c r="H678" t="n">
        <v>0</v>
      </c>
      <c r="I678" t="n">
        <v>0</v>
      </c>
      <c r="J678" t="n">
        <v>0</v>
      </c>
      <c r="K678" t="n">
        <v>0</v>
      </c>
      <c r="L678" t="n">
        <v>0</v>
      </c>
      <c r="M678" t="n">
        <v>0</v>
      </c>
      <c r="N678" t="n">
        <v>0</v>
      </c>
      <c r="O678" t="n">
        <v>0</v>
      </c>
      <c r="P678" t="n">
        <v>0</v>
      </c>
      <c r="Q678" t="n">
        <v>0</v>
      </c>
      <c r="R678" s="2" t="inlineStr"/>
    </row>
    <row r="679" ht="15" customHeight="1">
      <c r="A679" t="inlineStr">
        <is>
          <t>A 62417-2025</t>
        </is>
      </c>
      <c r="B679" s="1" t="n">
        <v>46007</v>
      </c>
      <c r="C679" s="1" t="n">
        <v>46165</v>
      </c>
      <c r="D679" t="inlineStr">
        <is>
          <t>SKÅNE LÄN</t>
        </is>
      </c>
      <c r="E679" t="inlineStr">
        <is>
          <t>HÄSSLEHOLM</t>
        </is>
      </c>
      <c r="G679" t="n">
        <v>2</v>
      </c>
      <c r="H679" t="n">
        <v>0</v>
      </c>
      <c r="I679" t="n">
        <v>0</v>
      </c>
      <c r="J679" t="n">
        <v>0</v>
      </c>
      <c r="K679" t="n">
        <v>0</v>
      </c>
      <c r="L679" t="n">
        <v>0</v>
      </c>
      <c r="M679" t="n">
        <v>0</v>
      </c>
      <c r="N679" t="n">
        <v>0</v>
      </c>
      <c r="O679" t="n">
        <v>0</v>
      </c>
      <c r="P679" t="n">
        <v>0</v>
      </c>
      <c r="Q679" t="n">
        <v>0</v>
      </c>
      <c r="R679" s="2" t="inlineStr"/>
    </row>
    <row r="680" ht="15" customHeight="1">
      <c r="A680" t="inlineStr">
        <is>
          <t>A 33465-2024</t>
        </is>
      </c>
      <c r="B680" s="1" t="n">
        <v>45519.59619212963</v>
      </c>
      <c r="C680" s="1" t="n">
        <v>46165</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27349-2025</t>
        </is>
      </c>
      <c r="B681" s="1" t="n">
        <v>45812</v>
      </c>
      <c r="C681" s="1" t="n">
        <v>46165</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63415-2025</t>
        </is>
      </c>
      <c r="B682" s="1" t="n">
        <v>46013.32163194445</v>
      </c>
      <c r="C682" s="1" t="n">
        <v>46165</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63416-2025</t>
        </is>
      </c>
      <c r="B683" s="1" t="n">
        <v>46013.3232175926</v>
      </c>
      <c r="C683" s="1" t="n">
        <v>46165</v>
      </c>
      <c r="D683" t="inlineStr">
        <is>
          <t>SKÅNE LÄN</t>
        </is>
      </c>
      <c r="E683" t="inlineStr">
        <is>
          <t>HÄSSLEHOLM</t>
        </is>
      </c>
      <c r="G683" t="n">
        <v>1.9</v>
      </c>
      <c r="H683" t="n">
        <v>0</v>
      </c>
      <c r="I683" t="n">
        <v>0</v>
      </c>
      <c r="J683" t="n">
        <v>0</v>
      </c>
      <c r="K683" t="n">
        <v>0</v>
      </c>
      <c r="L683" t="n">
        <v>0</v>
      </c>
      <c r="M683" t="n">
        <v>0</v>
      </c>
      <c r="N683" t="n">
        <v>0</v>
      </c>
      <c r="O683" t="n">
        <v>0</v>
      </c>
      <c r="P683" t="n">
        <v>0</v>
      </c>
      <c r="Q683" t="n">
        <v>0</v>
      </c>
      <c r="R683" s="2" t="inlineStr"/>
    </row>
    <row r="684" ht="15" customHeight="1">
      <c r="A684" t="inlineStr">
        <is>
          <t>A 63510-2025</t>
        </is>
      </c>
      <c r="B684" s="1" t="n">
        <v>46013.49172453704</v>
      </c>
      <c r="C684" s="1" t="n">
        <v>46165</v>
      </c>
      <c r="D684" t="inlineStr">
        <is>
          <t>SKÅNE LÄN</t>
        </is>
      </c>
      <c r="E684" t="inlineStr">
        <is>
          <t>HÄSSLEHOLM</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26642-2023</t>
        </is>
      </c>
      <c r="B685" s="1" t="n">
        <v>45092.8975</v>
      </c>
      <c r="C685" s="1" t="n">
        <v>46165</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63354-2025</t>
        </is>
      </c>
      <c r="B686" s="1" t="n">
        <v>46010.66957175926</v>
      </c>
      <c r="C686" s="1" t="n">
        <v>46165</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63487-2025</t>
        </is>
      </c>
      <c r="B687" s="1" t="n">
        <v>46013.46878472222</v>
      </c>
      <c r="C687" s="1" t="n">
        <v>46165</v>
      </c>
      <c r="D687" t="inlineStr">
        <is>
          <t>SKÅNE LÄN</t>
        </is>
      </c>
      <c r="E687" t="inlineStr">
        <is>
          <t>HÄSSLEHOLM</t>
        </is>
      </c>
      <c r="F687" t="inlineStr">
        <is>
          <t>Kommuner</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63414-2025</t>
        </is>
      </c>
      <c r="B688" s="1" t="n">
        <v>46013.32008101852</v>
      </c>
      <c r="C688" s="1" t="n">
        <v>46165</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63284-2025</t>
        </is>
      </c>
      <c r="B689" s="1" t="n">
        <v>46010</v>
      </c>
      <c r="C689" s="1" t="n">
        <v>46165</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66321-2021</t>
        </is>
      </c>
      <c r="B690" s="1" t="n">
        <v>44518</v>
      </c>
      <c r="C690" s="1" t="n">
        <v>46165</v>
      </c>
      <c r="D690" t="inlineStr">
        <is>
          <t>SKÅNE LÄN</t>
        </is>
      </c>
      <c r="E690" t="inlineStr">
        <is>
          <t>HÄSSLEHOLM</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16668-2025</t>
        </is>
      </c>
      <c r="B691" s="1" t="n">
        <v>45754.43009259259</v>
      </c>
      <c r="C691" s="1" t="n">
        <v>46165</v>
      </c>
      <c r="D691" t="inlineStr">
        <is>
          <t>SKÅNE LÄN</t>
        </is>
      </c>
      <c r="E691" t="inlineStr">
        <is>
          <t>HÄSSLEHOLM</t>
        </is>
      </c>
      <c r="G691" t="n">
        <v>4</v>
      </c>
      <c r="H691" t="n">
        <v>0</v>
      </c>
      <c r="I691" t="n">
        <v>0</v>
      </c>
      <c r="J691" t="n">
        <v>0</v>
      </c>
      <c r="K691" t="n">
        <v>0</v>
      </c>
      <c r="L691" t="n">
        <v>0</v>
      </c>
      <c r="M691" t="n">
        <v>0</v>
      </c>
      <c r="N691" t="n">
        <v>0</v>
      </c>
      <c r="O691" t="n">
        <v>0</v>
      </c>
      <c r="P691" t="n">
        <v>0</v>
      </c>
      <c r="Q691" t="n">
        <v>0</v>
      </c>
      <c r="R691" s="2" t="inlineStr"/>
    </row>
    <row r="692" ht="15" customHeight="1">
      <c r="A692" t="inlineStr">
        <is>
          <t>A 23857-2024</t>
        </is>
      </c>
      <c r="B692" s="1" t="n">
        <v>45455</v>
      </c>
      <c r="C692" s="1" t="n">
        <v>46165</v>
      </c>
      <c r="D692" t="inlineStr">
        <is>
          <t>SKÅNE LÄN</t>
        </is>
      </c>
      <c r="E692" t="inlineStr">
        <is>
          <t>HÄSSLEHOLM</t>
        </is>
      </c>
      <c r="G692" t="n">
        <v>3</v>
      </c>
      <c r="H692" t="n">
        <v>0</v>
      </c>
      <c r="I692" t="n">
        <v>0</v>
      </c>
      <c r="J692" t="n">
        <v>0</v>
      </c>
      <c r="K692" t="n">
        <v>0</v>
      </c>
      <c r="L692" t="n">
        <v>0</v>
      </c>
      <c r="M692" t="n">
        <v>0</v>
      </c>
      <c r="N692" t="n">
        <v>0</v>
      </c>
      <c r="O692" t="n">
        <v>0</v>
      </c>
      <c r="P692" t="n">
        <v>0</v>
      </c>
      <c r="Q692" t="n">
        <v>0</v>
      </c>
      <c r="R692" s="2" t="inlineStr"/>
    </row>
    <row r="693" ht="15" customHeight="1">
      <c r="A693" t="inlineStr">
        <is>
          <t>A 31268-2024</t>
        </is>
      </c>
      <c r="B693" s="1" t="n">
        <v>45504</v>
      </c>
      <c r="C693" s="1" t="n">
        <v>46165</v>
      </c>
      <c r="D693" t="inlineStr">
        <is>
          <t>SKÅNE LÄN</t>
        </is>
      </c>
      <c r="E693" t="inlineStr">
        <is>
          <t>HÄSSLEHOLM</t>
        </is>
      </c>
      <c r="G693" t="n">
        <v>1.5</v>
      </c>
      <c r="H693" t="n">
        <v>0</v>
      </c>
      <c r="I693" t="n">
        <v>0</v>
      </c>
      <c r="J693" t="n">
        <v>0</v>
      </c>
      <c r="K693" t="n">
        <v>0</v>
      </c>
      <c r="L693" t="n">
        <v>0</v>
      </c>
      <c r="M693" t="n">
        <v>0</v>
      </c>
      <c r="N693" t="n">
        <v>0</v>
      </c>
      <c r="O693" t="n">
        <v>0</v>
      </c>
      <c r="P693" t="n">
        <v>0</v>
      </c>
      <c r="Q693" t="n">
        <v>0</v>
      </c>
      <c r="R693" s="2" t="inlineStr"/>
    </row>
    <row r="694" ht="15" customHeight="1">
      <c r="A694" t="inlineStr">
        <is>
          <t>A 63710-2025</t>
        </is>
      </c>
      <c r="B694" s="1" t="n">
        <v>46014.62143518519</v>
      </c>
      <c r="C694" s="1" t="n">
        <v>46165</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63712-2025</t>
        </is>
      </c>
      <c r="B695" s="1" t="n">
        <v>46014.63092592593</v>
      </c>
      <c r="C695" s="1" t="n">
        <v>46165</v>
      </c>
      <c r="D695" t="inlineStr">
        <is>
          <t>SKÅNE LÄN</t>
        </is>
      </c>
      <c r="E695" t="inlineStr">
        <is>
          <t>HÄSSLEHOLM</t>
        </is>
      </c>
      <c r="G695" t="n">
        <v>3.9</v>
      </c>
      <c r="H695" t="n">
        <v>0</v>
      </c>
      <c r="I695" t="n">
        <v>0</v>
      </c>
      <c r="J695" t="n">
        <v>0</v>
      </c>
      <c r="K695" t="n">
        <v>0</v>
      </c>
      <c r="L695" t="n">
        <v>0</v>
      </c>
      <c r="M695" t="n">
        <v>0</v>
      </c>
      <c r="N695" t="n">
        <v>0</v>
      </c>
      <c r="O695" t="n">
        <v>0</v>
      </c>
      <c r="P695" t="n">
        <v>0</v>
      </c>
      <c r="Q695" t="n">
        <v>0</v>
      </c>
      <c r="R695" s="2" t="inlineStr"/>
    </row>
    <row r="696" ht="15" customHeight="1">
      <c r="A696" t="inlineStr">
        <is>
          <t>A 63709-2025</t>
        </is>
      </c>
      <c r="B696" s="1" t="n">
        <v>46014.61700231482</v>
      </c>
      <c r="C696" s="1" t="n">
        <v>46165</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8160-2024</t>
        </is>
      </c>
      <c r="B697" s="1" t="n">
        <v>45351</v>
      </c>
      <c r="C697" s="1" t="n">
        <v>46165</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51287-2022</t>
        </is>
      </c>
      <c r="B698" s="1" t="n">
        <v>44868.83146990741</v>
      </c>
      <c r="C698" s="1" t="n">
        <v>46165</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6316-2026</t>
        </is>
      </c>
      <c r="B699" s="1" t="n">
        <v>46055</v>
      </c>
      <c r="C699" s="1" t="n">
        <v>46165</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6328-2026</t>
        </is>
      </c>
      <c r="B700" s="1" t="n">
        <v>46055</v>
      </c>
      <c r="C700" s="1" t="n">
        <v>46165</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20494-2024</t>
        </is>
      </c>
      <c r="B701" s="1" t="n">
        <v>45435</v>
      </c>
      <c r="C701" s="1" t="n">
        <v>46165</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55454-2021</t>
        </is>
      </c>
      <c r="B702" s="1" t="n">
        <v>44475</v>
      </c>
      <c r="C702" s="1" t="n">
        <v>46165</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31572-2022</t>
        </is>
      </c>
      <c r="B703" s="1" t="n">
        <v>44775</v>
      </c>
      <c r="C703" s="1" t="n">
        <v>46165</v>
      </c>
      <c r="D703" t="inlineStr">
        <is>
          <t>SKÅNE LÄN</t>
        </is>
      </c>
      <c r="E703" t="inlineStr">
        <is>
          <t>HÄSSLEHOLM</t>
        </is>
      </c>
      <c r="F703" t="inlineStr">
        <is>
          <t>Kommuner</t>
        </is>
      </c>
      <c r="G703" t="n">
        <v>1.2</v>
      </c>
      <c r="H703" t="n">
        <v>0</v>
      </c>
      <c r="I703" t="n">
        <v>0</v>
      </c>
      <c r="J703" t="n">
        <v>0</v>
      </c>
      <c r="K703" t="n">
        <v>0</v>
      </c>
      <c r="L703" t="n">
        <v>0</v>
      </c>
      <c r="M703" t="n">
        <v>0</v>
      </c>
      <c r="N703" t="n">
        <v>0</v>
      </c>
      <c r="O703" t="n">
        <v>0</v>
      </c>
      <c r="P703" t="n">
        <v>0</v>
      </c>
      <c r="Q703" t="n">
        <v>0</v>
      </c>
      <c r="R703" s="2" t="inlineStr"/>
    </row>
    <row r="704" ht="15" customHeight="1">
      <c r="A704" t="inlineStr">
        <is>
          <t>A 4356-2024</t>
        </is>
      </c>
      <c r="B704" s="1" t="n">
        <v>45325.36195601852</v>
      </c>
      <c r="C704" s="1" t="n">
        <v>46165</v>
      </c>
      <c r="D704" t="inlineStr">
        <is>
          <t>SKÅNE LÄN</t>
        </is>
      </c>
      <c r="E704" t="inlineStr">
        <is>
          <t>HÄSSLEHOLM</t>
        </is>
      </c>
      <c r="G704" t="n">
        <v>3.2</v>
      </c>
      <c r="H704" t="n">
        <v>0</v>
      </c>
      <c r="I704" t="n">
        <v>0</v>
      </c>
      <c r="J704" t="n">
        <v>0</v>
      </c>
      <c r="K704" t="n">
        <v>0</v>
      </c>
      <c r="L704" t="n">
        <v>0</v>
      </c>
      <c r="M704" t="n">
        <v>0</v>
      </c>
      <c r="N704" t="n">
        <v>0</v>
      </c>
      <c r="O704" t="n">
        <v>0</v>
      </c>
      <c r="P704" t="n">
        <v>0</v>
      </c>
      <c r="Q704" t="n">
        <v>0</v>
      </c>
      <c r="R704" s="2" t="inlineStr"/>
    </row>
    <row r="705" ht="15" customHeight="1">
      <c r="A705" t="inlineStr">
        <is>
          <t>A 3480-2024</t>
        </is>
      </c>
      <c r="B705" s="1" t="n">
        <v>45320.43998842593</v>
      </c>
      <c r="C705" s="1" t="n">
        <v>46165</v>
      </c>
      <c r="D705" t="inlineStr">
        <is>
          <t>SKÅNE LÄN</t>
        </is>
      </c>
      <c r="E705" t="inlineStr">
        <is>
          <t>HÄSSLEHOLM</t>
        </is>
      </c>
      <c r="G705" t="n">
        <v>0.4</v>
      </c>
      <c r="H705" t="n">
        <v>0</v>
      </c>
      <c r="I705" t="n">
        <v>0</v>
      </c>
      <c r="J705" t="n">
        <v>0</v>
      </c>
      <c r="K705" t="n">
        <v>0</v>
      </c>
      <c r="L705" t="n">
        <v>0</v>
      </c>
      <c r="M705" t="n">
        <v>0</v>
      </c>
      <c r="N705" t="n">
        <v>0</v>
      </c>
      <c r="O705" t="n">
        <v>0</v>
      </c>
      <c r="P705" t="n">
        <v>0</v>
      </c>
      <c r="Q705" t="n">
        <v>0</v>
      </c>
      <c r="R705" s="2" t="inlineStr"/>
    </row>
    <row r="706" ht="15" customHeight="1">
      <c r="A706" t="inlineStr">
        <is>
          <t>A 5980-2024</t>
        </is>
      </c>
      <c r="B706" s="1" t="n">
        <v>45335</v>
      </c>
      <c r="C706" s="1" t="n">
        <v>46165</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10802-2024</t>
        </is>
      </c>
      <c r="B707" s="1" t="n">
        <v>45369</v>
      </c>
      <c r="C707" s="1" t="n">
        <v>46165</v>
      </c>
      <c r="D707" t="inlineStr">
        <is>
          <t>SKÅNE LÄN</t>
        </is>
      </c>
      <c r="E707" t="inlineStr">
        <is>
          <t>HÄSSLEHOLM</t>
        </is>
      </c>
      <c r="G707" t="n">
        <v>3.4</v>
      </c>
      <c r="H707" t="n">
        <v>0</v>
      </c>
      <c r="I707" t="n">
        <v>0</v>
      </c>
      <c r="J707" t="n">
        <v>0</v>
      </c>
      <c r="K707" t="n">
        <v>0</v>
      </c>
      <c r="L707" t="n">
        <v>0</v>
      </c>
      <c r="M707" t="n">
        <v>0</v>
      </c>
      <c r="N707" t="n">
        <v>0</v>
      </c>
      <c r="O707" t="n">
        <v>0</v>
      </c>
      <c r="P707" t="n">
        <v>0</v>
      </c>
      <c r="Q707" t="n">
        <v>0</v>
      </c>
      <c r="R707" s="2" t="inlineStr"/>
    </row>
    <row r="708" ht="15" customHeight="1">
      <c r="A708" t="inlineStr">
        <is>
          <t>A 45653-2024</t>
        </is>
      </c>
      <c r="B708" s="1" t="n">
        <v>45579.48872685185</v>
      </c>
      <c r="C708" s="1" t="n">
        <v>46165</v>
      </c>
      <c r="D708" t="inlineStr">
        <is>
          <t>SKÅNE LÄN</t>
        </is>
      </c>
      <c r="E708" t="inlineStr">
        <is>
          <t>HÄSSLEHOLM</t>
        </is>
      </c>
      <c r="G708" t="n">
        <v>2.6</v>
      </c>
      <c r="H708" t="n">
        <v>0</v>
      </c>
      <c r="I708" t="n">
        <v>0</v>
      </c>
      <c r="J708" t="n">
        <v>0</v>
      </c>
      <c r="K708" t="n">
        <v>0</v>
      </c>
      <c r="L708" t="n">
        <v>0</v>
      </c>
      <c r="M708" t="n">
        <v>0</v>
      </c>
      <c r="N708" t="n">
        <v>0</v>
      </c>
      <c r="O708" t="n">
        <v>0</v>
      </c>
      <c r="P708" t="n">
        <v>0</v>
      </c>
      <c r="Q708" t="n">
        <v>0</v>
      </c>
      <c r="R708" s="2" t="inlineStr"/>
    </row>
    <row r="709" ht="15" customHeight="1">
      <c r="A709" t="inlineStr">
        <is>
          <t>A 9322-2025</t>
        </is>
      </c>
      <c r="B709" s="1" t="n">
        <v>45714.72241898148</v>
      </c>
      <c r="C709" s="1" t="n">
        <v>46165</v>
      </c>
      <c r="D709" t="inlineStr">
        <is>
          <t>SKÅNE LÄN</t>
        </is>
      </c>
      <c r="E709" t="inlineStr">
        <is>
          <t>HÄSSLEHOLM</t>
        </is>
      </c>
      <c r="G709" t="n">
        <v>2.6</v>
      </c>
      <c r="H709" t="n">
        <v>0</v>
      </c>
      <c r="I709" t="n">
        <v>0</v>
      </c>
      <c r="J709" t="n">
        <v>0</v>
      </c>
      <c r="K709" t="n">
        <v>0</v>
      </c>
      <c r="L709" t="n">
        <v>0</v>
      </c>
      <c r="M709" t="n">
        <v>0</v>
      </c>
      <c r="N709" t="n">
        <v>0</v>
      </c>
      <c r="O709" t="n">
        <v>0</v>
      </c>
      <c r="P709" t="n">
        <v>0</v>
      </c>
      <c r="Q709" t="n">
        <v>0</v>
      </c>
      <c r="R709" s="2" t="inlineStr"/>
    </row>
    <row r="710" ht="15" customHeight="1">
      <c r="A710" t="inlineStr">
        <is>
          <t>A 260-2024</t>
        </is>
      </c>
      <c r="B710" s="1" t="n">
        <v>45294</v>
      </c>
      <c r="C710" s="1" t="n">
        <v>46165</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706-2026</t>
        </is>
      </c>
      <c r="B711" s="1" t="n">
        <v>46029.61739583333</v>
      </c>
      <c r="C711" s="1" t="n">
        <v>46165</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40780-2022</t>
        </is>
      </c>
      <c r="B712" s="1" t="n">
        <v>44820</v>
      </c>
      <c r="C712" s="1" t="n">
        <v>46165</v>
      </c>
      <c r="D712" t="inlineStr">
        <is>
          <t>SKÅNE LÄN</t>
        </is>
      </c>
      <c r="E712" t="inlineStr">
        <is>
          <t>HÄSSLEHOLM</t>
        </is>
      </c>
      <c r="G712" t="n">
        <v>7.4</v>
      </c>
      <c r="H712" t="n">
        <v>0</v>
      </c>
      <c r="I712" t="n">
        <v>0</v>
      </c>
      <c r="J712" t="n">
        <v>0</v>
      </c>
      <c r="K712" t="n">
        <v>0</v>
      </c>
      <c r="L712" t="n">
        <v>0</v>
      </c>
      <c r="M712" t="n">
        <v>0</v>
      </c>
      <c r="N712" t="n">
        <v>0</v>
      </c>
      <c r="O712" t="n">
        <v>0</v>
      </c>
      <c r="P712" t="n">
        <v>0</v>
      </c>
      <c r="Q712" t="n">
        <v>0</v>
      </c>
      <c r="R712" s="2" t="inlineStr"/>
    </row>
    <row r="713" ht="15" customHeight="1">
      <c r="A713" t="inlineStr">
        <is>
          <t>A 5316-2023</t>
        </is>
      </c>
      <c r="B713" s="1" t="n">
        <v>44959</v>
      </c>
      <c r="C713" s="1" t="n">
        <v>46165</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64884-2023</t>
        </is>
      </c>
      <c r="B714" s="1" t="n">
        <v>45282.57809027778</v>
      </c>
      <c r="C714" s="1" t="n">
        <v>46165</v>
      </c>
      <c r="D714" t="inlineStr">
        <is>
          <t>SKÅNE LÄN</t>
        </is>
      </c>
      <c r="E714" t="inlineStr">
        <is>
          <t>HÄSSLEHOLM</t>
        </is>
      </c>
      <c r="G714" t="n">
        <v>4.6</v>
      </c>
      <c r="H714" t="n">
        <v>0</v>
      </c>
      <c r="I714" t="n">
        <v>0</v>
      </c>
      <c r="J714" t="n">
        <v>0</v>
      </c>
      <c r="K714" t="n">
        <v>0</v>
      </c>
      <c r="L714" t="n">
        <v>0</v>
      </c>
      <c r="M714" t="n">
        <v>0</v>
      </c>
      <c r="N714" t="n">
        <v>0</v>
      </c>
      <c r="O714" t="n">
        <v>0</v>
      </c>
      <c r="P714" t="n">
        <v>0</v>
      </c>
      <c r="Q714" t="n">
        <v>0</v>
      </c>
      <c r="R714" s="2" t="inlineStr"/>
    </row>
    <row r="715" ht="15" customHeight="1">
      <c r="A715" t="inlineStr">
        <is>
          <t>A 931-2026</t>
        </is>
      </c>
      <c r="B715" s="1" t="n">
        <v>46030.51495370371</v>
      </c>
      <c r="C715" s="1" t="n">
        <v>46165</v>
      </c>
      <c r="D715" t="inlineStr">
        <is>
          <t>SKÅNE LÄN</t>
        </is>
      </c>
      <c r="E715" t="inlineStr">
        <is>
          <t>HÄSSLEHOLM</t>
        </is>
      </c>
      <c r="F715" t="inlineStr">
        <is>
          <t>Övriga Aktiebolag</t>
        </is>
      </c>
      <c r="G715" t="n">
        <v>2.3</v>
      </c>
      <c r="H715" t="n">
        <v>0</v>
      </c>
      <c r="I715" t="n">
        <v>0</v>
      </c>
      <c r="J715" t="n">
        <v>0</v>
      </c>
      <c r="K715" t="n">
        <v>0</v>
      </c>
      <c r="L715" t="n">
        <v>0</v>
      </c>
      <c r="M715" t="n">
        <v>0</v>
      </c>
      <c r="N715" t="n">
        <v>0</v>
      </c>
      <c r="O715" t="n">
        <v>0</v>
      </c>
      <c r="P715" t="n">
        <v>0</v>
      </c>
      <c r="Q715" t="n">
        <v>0</v>
      </c>
      <c r="R715" s="2" t="inlineStr"/>
    </row>
    <row r="716" ht="15" customHeight="1">
      <c r="A716" t="inlineStr">
        <is>
          <t>A 48112-2024</t>
        </is>
      </c>
      <c r="B716" s="1" t="n">
        <v>45589.6295949074</v>
      </c>
      <c r="C716" s="1" t="n">
        <v>46165</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6310-2025</t>
        </is>
      </c>
      <c r="B717" s="1" t="n">
        <v>45698</v>
      </c>
      <c r="C717" s="1" t="n">
        <v>46165</v>
      </c>
      <c r="D717" t="inlineStr">
        <is>
          <t>SKÅNE LÄN</t>
        </is>
      </c>
      <c r="E717" t="inlineStr">
        <is>
          <t>HÄSSLEHOLM</t>
        </is>
      </c>
      <c r="G717" t="n">
        <v>2.7</v>
      </c>
      <c r="H717" t="n">
        <v>0</v>
      </c>
      <c r="I717" t="n">
        <v>0</v>
      </c>
      <c r="J717" t="n">
        <v>0</v>
      </c>
      <c r="K717" t="n">
        <v>0</v>
      </c>
      <c r="L717" t="n">
        <v>0</v>
      </c>
      <c r="M717" t="n">
        <v>0</v>
      </c>
      <c r="N717" t="n">
        <v>0</v>
      </c>
      <c r="O717" t="n">
        <v>0</v>
      </c>
      <c r="P717" t="n">
        <v>0</v>
      </c>
      <c r="Q717" t="n">
        <v>0</v>
      </c>
      <c r="R717" s="2" t="inlineStr"/>
    </row>
    <row r="718" ht="15" customHeight="1">
      <c r="A718" t="inlineStr">
        <is>
          <t>A 1645-2026</t>
        </is>
      </c>
      <c r="B718" s="1" t="n">
        <v>46034.5069212963</v>
      </c>
      <c r="C718" s="1" t="n">
        <v>46165</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1659-2026</t>
        </is>
      </c>
      <c r="B719" s="1" t="n">
        <v>46034.55335648148</v>
      </c>
      <c r="C719" s="1" t="n">
        <v>46165</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2306-2026</t>
        </is>
      </c>
      <c r="B720" s="1" t="n">
        <v>46034</v>
      </c>
      <c r="C720" s="1" t="n">
        <v>46165</v>
      </c>
      <c r="D720" t="inlineStr">
        <is>
          <t>SKÅNE LÄN</t>
        </is>
      </c>
      <c r="E720" t="inlineStr">
        <is>
          <t>HÄSSLEHOLM</t>
        </is>
      </c>
      <c r="G720" t="n">
        <v>3.4</v>
      </c>
      <c r="H720" t="n">
        <v>0</v>
      </c>
      <c r="I720" t="n">
        <v>0</v>
      </c>
      <c r="J720" t="n">
        <v>0</v>
      </c>
      <c r="K720" t="n">
        <v>0</v>
      </c>
      <c r="L720" t="n">
        <v>0</v>
      </c>
      <c r="M720" t="n">
        <v>0</v>
      </c>
      <c r="N720" t="n">
        <v>0</v>
      </c>
      <c r="O720" t="n">
        <v>0</v>
      </c>
      <c r="P720" t="n">
        <v>0</v>
      </c>
      <c r="Q720" t="n">
        <v>0</v>
      </c>
      <c r="R720" s="2" t="inlineStr"/>
    </row>
    <row r="721" ht="15" customHeight="1">
      <c r="A721" t="inlineStr">
        <is>
          <t>A 16474-2025</t>
        </is>
      </c>
      <c r="B721" s="1" t="n">
        <v>45751.56834490741</v>
      </c>
      <c r="C721" s="1" t="n">
        <v>46165</v>
      </c>
      <c r="D721" t="inlineStr">
        <is>
          <t>SKÅNE LÄN</t>
        </is>
      </c>
      <c r="E721" t="inlineStr">
        <is>
          <t>HÄSSLEHOLM</t>
        </is>
      </c>
      <c r="G721" t="n">
        <v>5.9</v>
      </c>
      <c r="H721" t="n">
        <v>0</v>
      </c>
      <c r="I721" t="n">
        <v>0</v>
      </c>
      <c r="J721" t="n">
        <v>0</v>
      </c>
      <c r="K721" t="n">
        <v>0</v>
      </c>
      <c r="L721" t="n">
        <v>0</v>
      </c>
      <c r="M721" t="n">
        <v>0</v>
      </c>
      <c r="N721" t="n">
        <v>0</v>
      </c>
      <c r="O721" t="n">
        <v>0</v>
      </c>
      <c r="P721" t="n">
        <v>0</v>
      </c>
      <c r="Q721" t="n">
        <v>0</v>
      </c>
      <c r="R721" s="2" t="inlineStr"/>
    </row>
    <row r="722" ht="15" customHeight="1">
      <c r="A722" t="inlineStr">
        <is>
          <t>A 1640-2026</t>
        </is>
      </c>
      <c r="B722" s="1" t="n">
        <v>46034.4961574074</v>
      </c>
      <c r="C722" s="1" t="n">
        <v>46165</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1656-2026</t>
        </is>
      </c>
      <c r="B723" s="1" t="n">
        <v>46034.54035879629</v>
      </c>
      <c r="C723" s="1" t="n">
        <v>46165</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48097-2024</t>
        </is>
      </c>
      <c r="B724" s="1" t="n">
        <v>45589.61413194444</v>
      </c>
      <c r="C724" s="1" t="n">
        <v>46165</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2617-2026</t>
        </is>
      </c>
      <c r="B725" s="1" t="n">
        <v>46035</v>
      </c>
      <c r="C725" s="1" t="n">
        <v>46165</v>
      </c>
      <c r="D725" t="inlineStr">
        <is>
          <t>SKÅNE LÄN</t>
        </is>
      </c>
      <c r="E725" t="inlineStr">
        <is>
          <t>HÄSSLEHOLM</t>
        </is>
      </c>
      <c r="F725" t="inlineStr">
        <is>
          <t>Kyrkan</t>
        </is>
      </c>
      <c r="G725" t="n">
        <v>5.5</v>
      </c>
      <c r="H725" t="n">
        <v>0</v>
      </c>
      <c r="I725" t="n">
        <v>0</v>
      </c>
      <c r="J725" t="n">
        <v>0</v>
      </c>
      <c r="K725" t="n">
        <v>0</v>
      </c>
      <c r="L725" t="n">
        <v>0</v>
      </c>
      <c r="M725" t="n">
        <v>0</v>
      </c>
      <c r="N725" t="n">
        <v>0</v>
      </c>
      <c r="O725" t="n">
        <v>0</v>
      </c>
      <c r="P725" t="n">
        <v>0</v>
      </c>
      <c r="Q725" t="n">
        <v>0</v>
      </c>
      <c r="R725" s="2" t="inlineStr"/>
    </row>
    <row r="726" ht="15" customHeight="1">
      <c r="A726" t="inlineStr">
        <is>
          <t>A 2618-2026</t>
        </is>
      </c>
      <c r="B726" s="1" t="n">
        <v>46035</v>
      </c>
      <c r="C726" s="1" t="n">
        <v>46165</v>
      </c>
      <c r="D726" t="inlineStr">
        <is>
          <t>SKÅNE LÄN</t>
        </is>
      </c>
      <c r="E726" t="inlineStr">
        <is>
          <t>HÄSSLEHOLM</t>
        </is>
      </c>
      <c r="F726" t="inlineStr">
        <is>
          <t>Kyrkan</t>
        </is>
      </c>
      <c r="G726" t="n">
        <v>4.8</v>
      </c>
      <c r="H726" t="n">
        <v>0</v>
      </c>
      <c r="I726" t="n">
        <v>0</v>
      </c>
      <c r="J726" t="n">
        <v>0</v>
      </c>
      <c r="K726" t="n">
        <v>0</v>
      </c>
      <c r="L726" t="n">
        <v>0</v>
      </c>
      <c r="M726" t="n">
        <v>0</v>
      </c>
      <c r="N726" t="n">
        <v>0</v>
      </c>
      <c r="O726" t="n">
        <v>0</v>
      </c>
      <c r="P726" t="n">
        <v>0</v>
      </c>
      <c r="Q726" t="n">
        <v>0</v>
      </c>
      <c r="R726" s="2" t="inlineStr"/>
    </row>
    <row r="727" ht="15" customHeight="1">
      <c r="A727" t="inlineStr">
        <is>
          <t>A 60846-2022</t>
        </is>
      </c>
      <c r="B727" s="1" t="n">
        <v>44914</v>
      </c>
      <c r="C727" s="1" t="n">
        <v>46165</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42776-2021</t>
        </is>
      </c>
      <c r="B728" s="1" t="n">
        <v>44428</v>
      </c>
      <c r="C728" s="1" t="n">
        <v>46165</v>
      </c>
      <c r="D728" t="inlineStr">
        <is>
          <t>SKÅNE LÄN</t>
        </is>
      </c>
      <c r="E728" t="inlineStr">
        <is>
          <t>HÄSSLEHOLM</t>
        </is>
      </c>
      <c r="G728" t="n">
        <v>3.2</v>
      </c>
      <c r="H728" t="n">
        <v>0</v>
      </c>
      <c r="I728" t="n">
        <v>0</v>
      </c>
      <c r="J728" t="n">
        <v>0</v>
      </c>
      <c r="K728" t="n">
        <v>0</v>
      </c>
      <c r="L728" t="n">
        <v>0</v>
      </c>
      <c r="M728" t="n">
        <v>0</v>
      </c>
      <c r="N728" t="n">
        <v>0</v>
      </c>
      <c r="O728" t="n">
        <v>0</v>
      </c>
      <c r="P728" t="n">
        <v>0</v>
      </c>
      <c r="Q728" t="n">
        <v>0</v>
      </c>
      <c r="R728" s="2" t="inlineStr"/>
    </row>
    <row r="729" ht="15" customHeight="1">
      <c r="A729" t="inlineStr">
        <is>
          <t>A 14700-2023</t>
        </is>
      </c>
      <c r="B729" s="1" t="n">
        <v>45014.38376157408</v>
      </c>
      <c r="C729" s="1" t="n">
        <v>46165</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3298-2026</t>
        </is>
      </c>
      <c r="B730" s="1" t="n">
        <v>46041</v>
      </c>
      <c r="C730" s="1" t="n">
        <v>46165</v>
      </c>
      <c r="D730" t="inlineStr">
        <is>
          <t>SKÅNE LÄN</t>
        </is>
      </c>
      <c r="E730" t="inlineStr">
        <is>
          <t>HÄSSLEHOLM</t>
        </is>
      </c>
      <c r="G730" t="n">
        <v>1.2</v>
      </c>
      <c r="H730" t="n">
        <v>0</v>
      </c>
      <c r="I730" t="n">
        <v>0</v>
      </c>
      <c r="J730" t="n">
        <v>0</v>
      </c>
      <c r="K730" t="n">
        <v>0</v>
      </c>
      <c r="L730" t="n">
        <v>0</v>
      </c>
      <c r="M730" t="n">
        <v>0</v>
      </c>
      <c r="N730" t="n">
        <v>0</v>
      </c>
      <c r="O730" t="n">
        <v>0</v>
      </c>
      <c r="P730" t="n">
        <v>0</v>
      </c>
      <c r="Q730" t="n">
        <v>0</v>
      </c>
      <c r="R730" s="2" t="inlineStr"/>
    </row>
    <row r="731" ht="15" customHeight="1">
      <c r="A731" t="inlineStr">
        <is>
          <t>A 39915-2023</t>
        </is>
      </c>
      <c r="B731" s="1" t="n">
        <v>45168.4684375</v>
      </c>
      <c r="C731" s="1" t="n">
        <v>46165</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20058-2023</t>
        </is>
      </c>
      <c r="B732" s="1" t="n">
        <v>45054.68476851852</v>
      </c>
      <c r="C732" s="1" t="n">
        <v>46165</v>
      </c>
      <c r="D732" t="inlineStr">
        <is>
          <t>SKÅNE LÄN</t>
        </is>
      </c>
      <c r="E732" t="inlineStr">
        <is>
          <t>HÄSSLEHOLM</t>
        </is>
      </c>
      <c r="G732" t="n">
        <v>1.4</v>
      </c>
      <c r="H732" t="n">
        <v>0</v>
      </c>
      <c r="I732" t="n">
        <v>0</v>
      </c>
      <c r="J732" t="n">
        <v>0</v>
      </c>
      <c r="K732" t="n">
        <v>0</v>
      </c>
      <c r="L732" t="n">
        <v>0</v>
      </c>
      <c r="M732" t="n">
        <v>0</v>
      </c>
      <c r="N732" t="n">
        <v>0</v>
      </c>
      <c r="O732" t="n">
        <v>0</v>
      </c>
      <c r="P732" t="n">
        <v>0</v>
      </c>
      <c r="Q732" t="n">
        <v>0</v>
      </c>
      <c r="R732" s="2" t="inlineStr"/>
    </row>
    <row r="733" ht="15" customHeight="1">
      <c r="A733" t="inlineStr">
        <is>
          <t>A 8619-2023</t>
        </is>
      </c>
      <c r="B733" s="1" t="n">
        <v>44977.81979166667</v>
      </c>
      <c r="C733" s="1" t="n">
        <v>46165</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9543-2025</t>
        </is>
      </c>
      <c r="B734" s="1" t="n">
        <v>45715</v>
      </c>
      <c r="C734" s="1" t="n">
        <v>46165</v>
      </c>
      <c r="D734" t="inlineStr">
        <is>
          <t>SKÅNE LÄN</t>
        </is>
      </c>
      <c r="E734" t="inlineStr">
        <is>
          <t>HÄSSLEHOLM</t>
        </is>
      </c>
      <c r="G734" t="n">
        <v>2.6</v>
      </c>
      <c r="H734" t="n">
        <v>0</v>
      </c>
      <c r="I734" t="n">
        <v>0</v>
      </c>
      <c r="J734" t="n">
        <v>0</v>
      </c>
      <c r="K734" t="n">
        <v>0</v>
      </c>
      <c r="L734" t="n">
        <v>0</v>
      </c>
      <c r="M734" t="n">
        <v>0</v>
      </c>
      <c r="N734" t="n">
        <v>0</v>
      </c>
      <c r="O734" t="n">
        <v>0</v>
      </c>
      <c r="P734" t="n">
        <v>0</v>
      </c>
      <c r="Q734" t="n">
        <v>0</v>
      </c>
      <c r="R734" s="2" t="inlineStr"/>
    </row>
    <row r="735" ht="15" customHeight="1">
      <c r="A735" t="inlineStr">
        <is>
          <t>A 3904-2026</t>
        </is>
      </c>
      <c r="B735" s="1" t="n">
        <v>46043.69711805556</v>
      </c>
      <c r="C735" s="1" t="n">
        <v>46165</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53067-2022</t>
        </is>
      </c>
      <c r="B736" s="1" t="n">
        <v>44873</v>
      </c>
      <c r="C736" s="1" t="n">
        <v>46165</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3349-2023</t>
        </is>
      </c>
      <c r="B737" s="1" t="n">
        <v>44949</v>
      </c>
      <c r="C737" s="1" t="n">
        <v>46165</v>
      </c>
      <c r="D737" t="inlineStr">
        <is>
          <t>SKÅNE LÄN</t>
        </is>
      </c>
      <c r="E737" t="inlineStr">
        <is>
          <t>HÄSSLEHOLM</t>
        </is>
      </c>
      <c r="G737" t="n">
        <v>2.3</v>
      </c>
      <c r="H737" t="n">
        <v>0</v>
      </c>
      <c r="I737" t="n">
        <v>0</v>
      </c>
      <c r="J737" t="n">
        <v>0</v>
      </c>
      <c r="K737" t="n">
        <v>0</v>
      </c>
      <c r="L737" t="n">
        <v>0</v>
      </c>
      <c r="M737" t="n">
        <v>0</v>
      </c>
      <c r="N737" t="n">
        <v>0</v>
      </c>
      <c r="O737" t="n">
        <v>0</v>
      </c>
      <c r="P737" t="n">
        <v>0</v>
      </c>
      <c r="Q737" t="n">
        <v>0</v>
      </c>
      <c r="R737" s="2" t="inlineStr"/>
    </row>
    <row r="738" ht="15" customHeight="1">
      <c r="A738" t="inlineStr">
        <is>
          <t>A 3715-2026</t>
        </is>
      </c>
      <c r="B738" s="1" t="n">
        <v>46043.48746527778</v>
      </c>
      <c r="C738" s="1" t="n">
        <v>46165</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3862-2026</t>
        </is>
      </c>
      <c r="B739" s="1" t="n">
        <v>46043.62646990741</v>
      </c>
      <c r="C739" s="1" t="n">
        <v>46165</v>
      </c>
      <c r="D739" t="inlineStr">
        <is>
          <t>SKÅNE LÄN</t>
        </is>
      </c>
      <c r="E739" t="inlineStr">
        <is>
          <t>HÄSSLEHOLM</t>
        </is>
      </c>
      <c r="G739" t="n">
        <v>1</v>
      </c>
      <c r="H739" t="n">
        <v>0</v>
      </c>
      <c r="I739" t="n">
        <v>0</v>
      </c>
      <c r="J739" t="n">
        <v>0</v>
      </c>
      <c r="K739" t="n">
        <v>0</v>
      </c>
      <c r="L739" t="n">
        <v>0</v>
      </c>
      <c r="M739" t="n">
        <v>0</v>
      </c>
      <c r="N739" t="n">
        <v>0</v>
      </c>
      <c r="O739" t="n">
        <v>0</v>
      </c>
      <c r="P739" t="n">
        <v>0</v>
      </c>
      <c r="Q739" t="n">
        <v>0</v>
      </c>
      <c r="R739" s="2" t="inlineStr"/>
    </row>
    <row r="740" ht="15" customHeight="1">
      <c r="A740" t="inlineStr">
        <is>
          <t>A 46185-2022</t>
        </is>
      </c>
      <c r="B740" s="1" t="n">
        <v>44847</v>
      </c>
      <c r="C740" s="1" t="n">
        <v>46165</v>
      </c>
      <c r="D740" t="inlineStr">
        <is>
          <t>SKÅNE LÄN</t>
        </is>
      </c>
      <c r="E740" t="inlineStr">
        <is>
          <t>HÄSSLEHOLM</t>
        </is>
      </c>
      <c r="G740" t="n">
        <v>16.8</v>
      </c>
      <c r="H740" t="n">
        <v>0</v>
      </c>
      <c r="I740" t="n">
        <v>0</v>
      </c>
      <c r="J740" t="n">
        <v>0</v>
      </c>
      <c r="K740" t="n">
        <v>0</v>
      </c>
      <c r="L740" t="n">
        <v>0</v>
      </c>
      <c r="M740" t="n">
        <v>0</v>
      </c>
      <c r="N740" t="n">
        <v>0</v>
      </c>
      <c r="O740" t="n">
        <v>0</v>
      </c>
      <c r="P740" t="n">
        <v>0</v>
      </c>
      <c r="Q740" t="n">
        <v>0</v>
      </c>
      <c r="R740" s="2" t="inlineStr"/>
    </row>
    <row r="741" ht="15" customHeight="1">
      <c r="A741" t="inlineStr">
        <is>
          <t>A 18623-2023</t>
        </is>
      </c>
      <c r="B741" s="1" t="n">
        <v>45043</v>
      </c>
      <c r="C741" s="1" t="n">
        <v>46165</v>
      </c>
      <c r="D741" t="inlineStr">
        <is>
          <t>SKÅNE LÄN</t>
        </is>
      </c>
      <c r="E741" t="inlineStr">
        <is>
          <t>HÄSSLEHOLM</t>
        </is>
      </c>
      <c r="G741" t="n">
        <v>3.2</v>
      </c>
      <c r="H741" t="n">
        <v>0</v>
      </c>
      <c r="I741" t="n">
        <v>0</v>
      </c>
      <c r="J741" t="n">
        <v>0</v>
      </c>
      <c r="K741" t="n">
        <v>0</v>
      </c>
      <c r="L741" t="n">
        <v>0</v>
      </c>
      <c r="M741" t="n">
        <v>0</v>
      </c>
      <c r="N741" t="n">
        <v>0</v>
      </c>
      <c r="O741" t="n">
        <v>0</v>
      </c>
      <c r="P741" t="n">
        <v>0</v>
      </c>
      <c r="Q741" t="n">
        <v>0</v>
      </c>
      <c r="R741" s="2" t="inlineStr"/>
    </row>
    <row r="742" ht="15" customHeight="1">
      <c r="A742" t="inlineStr">
        <is>
          <t>A 33873-2021</t>
        </is>
      </c>
      <c r="B742" s="1" t="n">
        <v>44378</v>
      </c>
      <c r="C742" s="1" t="n">
        <v>46165</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15053-2023</t>
        </is>
      </c>
      <c r="B743" s="1" t="n">
        <v>45015</v>
      </c>
      <c r="C743" s="1" t="n">
        <v>46165</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9302-2025</t>
        </is>
      </c>
      <c r="B744" s="1" t="n">
        <v>45714.67233796296</v>
      </c>
      <c r="C744" s="1" t="n">
        <v>46165</v>
      </c>
      <c r="D744" t="inlineStr">
        <is>
          <t>SKÅNE LÄN</t>
        </is>
      </c>
      <c r="E744" t="inlineStr">
        <is>
          <t>HÄSSLEHOLM</t>
        </is>
      </c>
      <c r="G744" t="n">
        <v>2.6</v>
      </c>
      <c r="H744" t="n">
        <v>0</v>
      </c>
      <c r="I744" t="n">
        <v>0</v>
      </c>
      <c r="J744" t="n">
        <v>0</v>
      </c>
      <c r="K744" t="n">
        <v>0</v>
      </c>
      <c r="L744" t="n">
        <v>0</v>
      </c>
      <c r="M744" t="n">
        <v>0</v>
      </c>
      <c r="N744" t="n">
        <v>0</v>
      </c>
      <c r="O744" t="n">
        <v>0</v>
      </c>
      <c r="P744" t="n">
        <v>0</v>
      </c>
      <c r="Q744" t="n">
        <v>0</v>
      </c>
      <c r="R744" s="2" t="inlineStr"/>
    </row>
    <row r="745" ht="15" customHeight="1">
      <c r="A745" t="inlineStr">
        <is>
          <t>A 47907-2021</t>
        </is>
      </c>
      <c r="B745" s="1" t="n">
        <v>44448</v>
      </c>
      <c r="C745" s="1" t="n">
        <v>46165</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1197-2024</t>
        </is>
      </c>
      <c r="B746" s="1" t="n">
        <v>45302</v>
      </c>
      <c r="C746" s="1" t="n">
        <v>46165</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13712-2025</t>
        </is>
      </c>
      <c r="B747" s="1" t="n">
        <v>45737</v>
      </c>
      <c r="C747" s="1" t="n">
        <v>46165</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5103-2026</t>
        </is>
      </c>
      <c r="B748" s="1" t="n">
        <v>46049.56725694444</v>
      </c>
      <c r="C748" s="1" t="n">
        <v>46165</v>
      </c>
      <c r="D748" t="inlineStr">
        <is>
          <t>SKÅNE LÄN</t>
        </is>
      </c>
      <c r="E748" t="inlineStr">
        <is>
          <t>HÄSSLEHOLM</t>
        </is>
      </c>
      <c r="G748" t="n">
        <v>5.4</v>
      </c>
      <c r="H748" t="n">
        <v>0</v>
      </c>
      <c r="I748" t="n">
        <v>0</v>
      </c>
      <c r="J748" t="n">
        <v>0</v>
      </c>
      <c r="K748" t="n">
        <v>0</v>
      </c>
      <c r="L748" t="n">
        <v>0</v>
      </c>
      <c r="M748" t="n">
        <v>0</v>
      </c>
      <c r="N748" t="n">
        <v>0</v>
      </c>
      <c r="O748" t="n">
        <v>0</v>
      </c>
      <c r="P748" t="n">
        <v>0</v>
      </c>
      <c r="Q748" t="n">
        <v>0</v>
      </c>
      <c r="R748" s="2" t="inlineStr"/>
    </row>
    <row r="749" ht="15" customHeight="1">
      <c r="A749" t="inlineStr">
        <is>
          <t>A 49950-2023</t>
        </is>
      </c>
      <c r="B749" s="1" t="n">
        <v>45215</v>
      </c>
      <c r="C749" s="1" t="n">
        <v>46165</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4981-2026</t>
        </is>
      </c>
      <c r="B750" s="1" t="n">
        <v>46049.37100694444</v>
      </c>
      <c r="C750" s="1" t="n">
        <v>46165</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41694-2024</t>
        </is>
      </c>
      <c r="B751" s="1" t="n">
        <v>45560.68341435185</v>
      </c>
      <c r="C751" s="1" t="n">
        <v>46165</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4994-2026</t>
        </is>
      </c>
      <c r="B752" s="1" t="n">
        <v>46049</v>
      </c>
      <c r="C752" s="1" t="n">
        <v>46165</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36795-2023</t>
        </is>
      </c>
      <c r="B753" s="1" t="n">
        <v>45154.38245370371</v>
      </c>
      <c r="C753" s="1" t="n">
        <v>46165</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46942-2024</t>
        </is>
      </c>
      <c r="B754" s="1" t="n">
        <v>45585.6684375</v>
      </c>
      <c r="C754" s="1" t="n">
        <v>46165</v>
      </c>
      <c r="D754" t="inlineStr">
        <is>
          <t>SKÅNE LÄN</t>
        </is>
      </c>
      <c r="E754" t="inlineStr">
        <is>
          <t>HÄSSLEHOLM</t>
        </is>
      </c>
      <c r="G754" t="n">
        <v>1.8</v>
      </c>
      <c r="H754" t="n">
        <v>0</v>
      </c>
      <c r="I754" t="n">
        <v>0</v>
      </c>
      <c r="J754" t="n">
        <v>0</v>
      </c>
      <c r="K754" t="n">
        <v>0</v>
      </c>
      <c r="L754" t="n">
        <v>0</v>
      </c>
      <c r="M754" t="n">
        <v>0</v>
      </c>
      <c r="N754" t="n">
        <v>0</v>
      </c>
      <c r="O754" t="n">
        <v>0</v>
      </c>
      <c r="P754" t="n">
        <v>0</v>
      </c>
      <c r="Q754" t="n">
        <v>0</v>
      </c>
      <c r="R754" s="2" t="inlineStr"/>
    </row>
    <row r="755" ht="15" customHeight="1">
      <c r="A755" t="inlineStr">
        <is>
          <t>A 5757-2026</t>
        </is>
      </c>
      <c r="B755" s="1" t="n">
        <v>46051.61309027778</v>
      </c>
      <c r="C755" s="1" t="n">
        <v>46165</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43696-2024</t>
        </is>
      </c>
      <c r="B756" s="1" t="n">
        <v>45569.58855324074</v>
      </c>
      <c r="C756" s="1" t="n">
        <v>46165</v>
      </c>
      <c r="D756" t="inlineStr">
        <is>
          <t>SKÅNE LÄN</t>
        </is>
      </c>
      <c r="E756" t="inlineStr">
        <is>
          <t>HÄSSLEHOLM</t>
        </is>
      </c>
      <c r="G756" t="n">
        <v>2.9</v>
      </c>
      <c r="H756" t="n">
        <v>0</v>
      </c>
      <c r="I756" t="n">
        <v>0</v>
      </c>
      <c r="J756" t="n">
        <v>0</v>
      </c>
      <c r="K756" t="n">
        <v>0</v>
      </c>
      <c r="L756" t="n">
        <v>0</v>
      </c>
      <c r="M756" t="n">
        <v>0</v>
      </c>
      <c r="N756" t="n">
        <v>0</v>
      </c>
      <c r="O756" t="n">
        <v>0</v>
      </c>
      <c r="P756" t="n">
        <v>0</v>
      </c>
      <c r="Q756" t="n">
        <v>0</v>
      </c>
      <c r="R756" s="2" t="inlineStr"/>
    </row>
    <row r="757" ht="15" customHeight="1">
      <c r="A757" t="inlineStr">
        <is>
          <t>A 58632-2025</t>
        </is>
      </c>
      <c r="B757" s="1" t="n">
        <v>45986</v>
      </c>
      <c r="C757" s="1" t="n">
        <v>46165</v>
      </c>
      <c r="D757" t="inlineStr">
        <is>
          <t>SKÅNE LÄN</t>
        </is>
      </c>
      <c r="E757" t="inlineStr">
        <is>
          <t>HÄSSLEHOLM</t>
        </is>
      </c>
      <c r="G757" t="n">
        <v>1</v>
      </c>
      <c r="H757" t="n">
        <v>0</v>
      </c>
      <c r="I757" t="n">
        <v>0</v>
      </c>
      <c r="J757" t="n">
        <v>0</v>
      </c>
      <c r="K757" t="n">
        <v>0</v>
      </c>
      <c r="L757" t="n">
        <v>0</v>
      </c>
      <c r="M757" t="n">
        <v>0</v>
      </c>
      <c r="N757" t="n">
        <v>0</v>
      </c>
      <c r="O757" t="n">
        <v>0</v>
      </c>
      <c r="P757" t="n">
        <v>0</v>
      </c>
      <c r="Q757" t="n">
        <v>0</v>
      </c>
      <c r="R757" s="2" t="inlineStr"/>
    </row>
    <row r="758" ht="15" customHeight="1">
      <c r="A758" t="inlineStr">
        <is>
          <t>A 5497-2026</t>
        </is>
      </c>
      <c r="B758" s="1" t="n">
        <v>46050.61875</v>
      </c>
      <c r="C758" s="1" t="n">
        <v>46165</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5503-2026</t>
        </is>
      </c>
      <c r="B759" s="1" t="n">
        <v>46050.62509259259</v>
      </c>
      <c r="C759" s="1" t="n">
        <v>46165</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36706-2022</t>
        </is>
      </c>
      <c r="B760" s="1" t="n">
        <v>44805.32891203704</v>
      </c>
      <c r="C760" s="1" t="n">
        <v>46165</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22594-2024</t>
        </is>
      </c>
      <c r="B761" s="1" t="n">
        <v>45447.60892361111</v>
      </c>
      <c r="C761" s="1" t="n">
        <v>46165</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25213-2023</t>
        </is>
      </c>
      <c r="B762" s="1" t="n">
        <v>45086.60010416667</v>
      </c>
      <c r="C762" s="1" t="n">
        <v>46165</v>
      </c>
      <c r="D762" t="inlineStr">
        <is>
          <t>SKÅNE LÄN</t>
        </is>
      </c>
      <c r="E762" t="inlineStr">
        <is>
          <t>HÄSSLEHOLM</t>
        </is>
      </c>
      <c r="G762" t="n">
        <v>7.2</v>
      </c>
      <c r="H762" t="n">
        <v>0</v>
      </c>
      <c r="I762" t="n">
        <v>0</v>
      </c>
      <c r="J762" t="n">
        <v>0</v>
      </c>
      <c r="K762" t="n">
        <v>0</v>
      </c>
      <c r="L762" t="n">
        <v>0</v>
      </c>
      <c r="M762" t="n">
        <v>0</v>
      </c>
      <c r="N762" t="n">
        <v>0</v>
      </c>
      <c r="O762" t="n">
        <v>0</v>
      </c>
      <c r="P762" t="n">
        <v>0</v>
      </c>
      <c r="Q762" t="n">
        <v>0</v>
      </c>
      <c r="R762" s="2" t="inlineStr"/>
    </row>
    <row r="763" ht="15" customHeight="1">
      <c r="A763" t="inlineStr">
        <is>
          <t>A 18063-2023</t>
        </is>
      </c>
      <c r="B763" s="1" t="n">
        <v>45040.62850694444</v>
      </c>
      <c r="C763" s="1" t="n">
        <v>46165</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61524-2022</t>
        </is>
      </c>
      <c r="B764" s="1" t="n">
        <v>44910</v>
      </c>
      <c r="C764" s="1" t="n">
        <v>46165</v>
      </c>
      <c r="D764" t="inlineStr">
        <is>
          <t>SKÅNE LÄN</t>
        </is>
      </c>
      <c r="E764" t="inlineStr">
        <is>
          <t>HÄSSLEHOLM</t>
        </is>
      </c>
      <c r="F764" t="inlineStr">
        <is>
          <t>Kyrkan</t>
        </is>
      </c>
      <c r="G764" t="n">
        <v>2.1</v>
      </c>
      <c r="H764" t="n">
        <v>0</v>
      </c>
      <c r="I764" t="n">
        <v>0</v>
      </c>
      <c r="J764" t="n">
        <v>0</v>
      </c>
      <c r="K764" t="n">
        <v>0</v>
      </c>
      <c r="L764" t="n">
        <v>0</v>
      </c>
      <c r="M764" t="n">
        <v>0</v>
      </c>
      <c r="N764" t="n">
        <v>0</v>
      </c>
      <c r="O764" t="n">
        <v>0</v>
      </c>
      <c r="P764" t="n">
        <v>0</v>
      </c>
      <c r="Q764" t="n">
        <v>0</v>
      </c>
      <c r="R764" s="2" t="inlineStr"/>
    </row>
    <row r="765" ht="15" customHeight="1">
      <c r="A765" t="inlineStr">
        <is>
          <t>A 61578-2023</t>
        </is>
      </c>
      <c r="B765" s="1" t="n">
        <v>45265.47399305556</v>
      </c>
      <c r="C765" s="1" t="n">
        <v>46165</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5516-2026</t>
        </is>
      </c>
      <c r="B766" s="1" t="n">
        <v>46050.64197916666</v>
      </c>
      <c r="C766" s="1" t="n">
        <v>46165</v>
      </c>
      <c r="D766" t="inlineStr">
        <is>
          <t>SKÅNE LÄN</t>
        </is>
      </c>
      <c r="E766" t="inlineStr">
        <is>
          <t>HÄSSLEHOLM</t>
        </is>
      </c>
      <c r="G766" t="n">
        <v>1.9</v>
      </c>
      <c r="H766" t="n">
        <v>0</v>
      </c>
      <c r="I766" t="n">
        <v>0</v>
      </c>
      <c r="J766" t="n">
        <v>0</v>
      </c>
      <c r="K766" t="n">
        <v>0</v>
      </c>
      <c r="L766" t="n">
        <v>0</v>
      </c>
      <c r="M766" t="n">
        <v>0</v>
      </c>
      <c r="N766" t="n">
        <v>0</v>
      </c>
      <c r="O766" t="n">
        <v>0</v>
      </c>
      <c r="P766" t="n">
        <v>0</v>
      </c>
      <c r="Q766" t="n">
        <v>0</v>
      </c>
      <c r="R766" s="2" t="inlineStr"/>
    </row>
    <row r="767" ht="15" customHeight="1">
      <c r="A767" t="inlineStr">
        <is>
          <t>A 5759-2026</t>
        </is>
      </c>
      <c r="B767" s="1" t="n">
        <v>46051.61814814815</v>
      </c>
      <c r="C767" s="1" t="n">
        <v>46165</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25542-2024</t>
        </is>
      </c>
      <c r="B768" s="1" t="n">
        <v>45463</v>
      </c>
      <c r="C768" s="1" t="n">
        <v>46165</v>
      </c>
      <c r="D768" t="inlineStr">
        <is>
          <t>SKÅNE LÄN</t>
        </is>
      </c>
      <c r="E768" t="inlineStr">
        <is>
          <t>HÄSSLEHOLM</t>
        </is>
      </c>
      <c r="G768" t="n">
        <v>6.9</v>
      </c>
      <c r="H768" t="n">
        <v>0</v>
      </c>
      <c r="I768" t="n">
        <v>0</v>
      </c>
      <c r="J768" t="n">
        <v>0</v>
      </c>
      <c r="K768" t="n">
        <v>0</v>
      </c>
      <c r="L768" t="n">
        <v>0</v>
      </c>
      <c r="M768" t="n">
        <v>0</v>
      </c>
      <c r="N768" t="n">
        <v>0</v>
      </c>
      <c r="O768" t="n">
        <v>0</v>
      </c>
      <c r="P768" t="n">
        <v>0</v>
      </c>
      <c r="Q768" t="n">
        <v>0</v>
      </c>
      <c r="R768" s="2" t="inlineStr"/>
    </row>
    <row r="769" ht="15" customHeight="1">
      <c r="A769" t="inlineStr">
        <is>
          <t>A 42370-2023</t>
        </is>
      </c>
      <c r="B769" s="1" t="n">
        <v>45180</v>
      </c>
      <c r="C769" s="1" t="n">
        <v>46165</v>
      </c>
      <c r="D769" t="inlineStr">
        <is>
          <t>SKÅNE LÄN</t>
        </is>
      </c>
      <c r="E769" t="inlineStr">
        <is>
          <t>HÄSSLEHOLM</t>
        </is>
      </c>
      <c r="G769" t="n">
        <v>2.6</v>
      </c>
      <c r="H769" t="n">
        <v>0</v>
      </c>
      <c r="I769" t="n">
        <v>0</v>
      </c>
      <c r="J769" t="n">
        <v>0</v>
      </c>
      <c r="K769" t="n">
        <v>0</v>
      </c>
      <c r="L769" t="n">
        <v>0</v>
      </c>
      <c r="M769" t="n">
        <v>0</v>
      </c>
      <c r="N769" t="n">
        <v>0</v>
      </c>
      <c r="O769" t="n">
        <v>0</v>
      </c>
      <c r="P769" t="n">
        <v>0</v>
      </c>
      <c r="Q769" t="n">
        <v>0</v>
      </c>
      <c r="R769" s="2" t="inlineStr"/>
    </row>
    <row r="770" ht="15" customHeight="1">
      <c r="A770" t="inlineStr">
        <is>
          <t>A 6309-2026</t>
        </is>
      </c>
      <c r="B770" s="1" t="n">
        <v>46055.57369212963</v>
      </c>
      <c r="C770" s="1" t="n">
        <v>46165</v>
      </c>
      <c r="D770" t="inlineStr">
        <is>
          <t>SKÅNE LÄN</t>
        </is>
      </c>
      <c r="E770" t="inlineStr">
        <is>
          <t>HÄSSLEHOLM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6299-2026</t>
        </is>
      </c>
      <c r="B771" s="1" t="n">
        <v>46055.56623842593</v>
      </c>
      <c r="C771" s="1" t="n">
        <v>46165</v>
      </c>
      <c r="D771" t="inlineStr">
        <is>
          <t>SKÅNE LÄN</t>
        </is>
      </c>
      <c r="E771" t="inlineStr">
        <is>
          <t>HÄSSLEHOLM</t>
        </is>
      </c>
      <c r="G771" t="n">
        <v>5.2</v>
      </c>
      <c r="H771" t="n">
        <v>0</v>
      </c>
      <c r="I771" t="n">
        <v>0</v>
      </c>
      <c r="J771" t="n">
        <v>0</v>
      </c>
      <c r="K771" t="n">
        <v>0</v>
      </c>
      <c r="L771" t="n">
        <v>0</v>
      </c>
      <c r="M771" t="n">
        <v>0</v>
      </c>
      <c r="N771" t="n">
        <v>0</v>
      </c>
      <c r="O771" t="n">
        <v>0</v>
      </c>
      <c r="P771" t="n">
        <v>0</v>
      </c>
      <c r="Q771" t="n">
        <v>0</v>
      </c>
      <c r="R771" s="2" t="inlineStr"/>
    </row>
    <row r="772" ht="15" customHeight="1">
      <c r="A772" t="inlineStr">
        <is>
          <t>A 11422-2025</t>
        </is>
      </c>
      <c r="B772" s="1" t="n">
        <v>45726</v>
      </c>
      <c r="C772" s="1" t="n">
        <v>46165</v>
      </c>
      <c r="D772" t="inlineStr">
        <is>
          <t>SKÅNE LÄN</t>
        </is>
      </c>
      <c r="E772" t="inlineStr">
        <is>
          <t>HÄSSLEHOLM</t>
        </is>
      </c>
      <c r="G772" t="n">
        <v>14.9</v>
      </c>
      <c r="H772" t="n">
        <v>0</v>
      </c>
      <c r="I772" t="n">
        <v>0</v>
      </c>
      <c r="J772" t="n">
        <v>0</v>
      </c>
      <c r="K772" t="n">
        <v>0</v>
      </c>
      <c r="L772" t="n">
        <v>0</v>
      </c>
      <c r="M772" t="n">
        <v>0</v>
      </c>
      <c r="N772" t="n">
        <v>0</v>
      </c>
      <c r="O772" t="n">
        <v>0</v>
      </c>
      <c r="P772" t="n">
        <v>0</v>
      </c>
      <c r="Q772" t="n">
        <v>0</v>
      </c>
      <c r="R772" s="2" t="inlineStr"/>
    </row>
    <row r="773" ht="15" customHeight="1">
      <c r="A773" t="inlineStr">
        <is>
          <t>A 6295-2026</t>
        </is>
      </c>
      <c r="B773" s="1" t="n">
        <v>46055.56115740741</v>
      </c>
      <c r="C773" s="1" t="n">
        <v>46165</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6363-2026</t>
        </is>
      </c>
      <c r="B774" s="1" t="n">
        <v>46055.62319444444</v>
      </c>
      <c r="C774" s="1" t="n">
        <v>46165</v>
      </c>
      <c r="D774" t="inlineStr">
        <is>
          <t>SKÅNE LÄN</t>
        </is>
      </c>
      <c r="E774" t="inlineStr">
        <is>
          <t>HÄSSLEHOLM</t>
        </is>
      </c>
      <c r="G774" t="n">
        <v>4.4</v>
      </c>
      <c r="H774" t="n">
        <v>0</v>
      </c>
      <c r="I774" t="n">
        <v>0</v>
      </c>
      <c r="J774" t="n">
        <v>0</v>
      </c>
      <c r="K774" t="n">
        <v>0</v>
      </c>
      <c r="L774" t="n">
        <v>0</v>
      </c>
      <c r="M774" t="n">
        <v>0</v>
      </c>
      <c r="N774" t="n">
        <v>0</v>
      </c>
      <c r="O774" t="n">
        <v>0</v>
      </c>
      <c r="P774" t="n">
        <v>0</v>
      </c>
      <c r="Q774" t="n">
        <v>0</v>
      </c>
      <c r="R774" s="2" t="inlineStr"/>
    </row>
    <row r="775" ht="15" customHeight="1">
      <c r="A775" t="inlineStr">
        <is>
          <t>A 7604-2024</t>
        </is>
      </c>
      <c r="B775" s="1" t="n">
        <v>45348</v>
      </c>
      <c r="C775" s="1" t="n">
        <v>46165</v>
      </c>
      <c r="D775" t="inlineStr">
        <is>
          <t>SKÅNE LÄN</t>
        </is>
      </c>
      <c r="E775" t="inlineStr">
        <is>
          <t>HÄSSLEHOLM</t>
        </is>
      </c>
      <c r="G775" t="n">
        <v>11.1</v>
      </c>
      <c r="H775" t="n">
        <v>0</v>
      </c>
      <c r="I775" t="n">
        <v>0</v>
      </c>
      <c r="J775" t="n">
        <v>0</v>
      </c>
      <c r="K775" t="n">
        <v>0</v>
      </c>
      <c r="L775" t="n">
        <v>0</v>
      </c>
      <c r="M775" t="n">
        <v>0</v>
      </c>
      <c r="N775" t="n">
        <v>0</v>
      </c>
      <c r="O775" t="n">
        <v>0</v>
      </c>
      <c r="P775" t="n">
        <v>0</v>
      </c>
      <c r="Q775" t="n">
        <v>0</v>
      </c>
      <c r="R775" s="2" t="inlineStr"/>
    </row>
    <row r="776" ht="15" customHeight="1">
      <c r="A776" t="inlineStr">
        <is>
          <t>A 29853-2024</t>
        </is>
      </c>
      <c r="B776" s="1" t="n">
        <v>45485.65844907407</v>
      </c>
      <c r="C776" s="1" t="n">
        <v>46165</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29287-2023</t>
        </is>
      </c>
      <c r="B777" s="1" t="n">
        <v>45098</v>
      </c>
      <c r="C777" s="1" t="n">
        <v>46165</v>
      </c>
      <c r="D777" t="inlineStr">
        <is>
          <t>SKÅNE LÄN</t>
        </is>
      </c>
      <c r="E777" t="inlineStr">
        <is>
          <t>HÄSSLEHOLM</t>
        </is>
      </c>
      <c r="G777" t="n">
        <v>5.7</v>
      </c>
      <c r="H777" t="n">
        <v>0</v>
      </c>
      <c r="I777" t="n">
        <v>0</v>
      </c>
      <c r="J777" t="n">
        <v>0</v>
      </c>
      <c r="K777" t="n">
        <v>0</v>
      </c>
      <c r="L777" t="n">
        <v>0</v>
      </c>
      <c r="M777" t="n">
        <v>0</v>
      </c>
      <c r="N777" t="n">
        <v>0</v>
      </c>
      <c r="O777" t="n">
        <v>0</v>
      </c>
      <c r="P777" t="n">
        <v>0</v>
      </c>
      <c r="Q777" t="n">
        <v>0</v>
      </c>
      <c r="R777" s="2" t="inlineStr"/>
    </row>
    <row r="778" ht="15" customHeight="1">
      <c r="A778" t="inlineStr">
        <is>
          <t>A 5992-2022</t>
        </is>
      </c>
      <c r="B778" s="1" t="n">
        <v>44599</v>
      </c>
      <c r="C778" s="1" t="n">
        <v>46165</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6877-2026</t>
        </is>
      </c>
      <c r="B779" s="1" t="n">
        <v>46057.45768518518</v>
      </c>
      <c r="C779" s="1" t="n">
        <v>46165</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25324-2024</t>
        </is>
      </c>
      <c r="B780" s="1" t="n">
        <v>45462.804375</v>
      </c>
      <c r="C780" s="1" t="n">
        <v>46165</v>
      </c>
      <c r="D780" t="inlineStr">
        <is>
          <t>SKÅNE LÄN</t>
        </is>
      </c>
      <c r="E780" t="inlineStr">
        <is>
          <t>HÄSSLEHOLM</t>
        </is>
      </c>
      <c r="G780" t="n">
        <v>0.2</v>
      </c>
      <c r="H780" t="n">
        <v>0</v>
      </c>
      <c r="I780" t="n">
        <v>0</v>
      </c>
      <c r="J780" t="n">
        <v>0</v>
      </c>
      <c r="K780" t="n">
        <v>0</v>
      </c>
      <c r="L780" t="n">
        <v>0</v>
      </c>
      <c r="M780" t="n">
        <v>0</v>
      </c>
      <c r="N780" t="n">
        <v>0</v>
      </c>
      <c r="O780" t="n">
        <v>0</v>
      </c>
      <c r="P780" t="n">
        <v>0</v>
      </c>
      <c r="Q780" t="n">
        <v>0</v>
      </c>
      <c r="R780" s="2" t="inlineStr"/>
    </row>
    <row r="781" ht="15" customHeight="1">
      <c r="A781" t="inlineStr">
        <is>
          <t>A 8803-2023</t>
        </is>
      </c>
      <c r="B781" s="1" t="n">
        <v>44978.61712962963</v>
      </c>
      <c r="C781" s="1" t="n">
        <v>46165</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4809-2025</t>
        </is>
      </c>
      <c r="B782" s="1" t="n">
        <v>45688.60148148148</v>
      </c>
      <c r="C782" s="1" t="n">
        <v>46165</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12780-2024</t>
        </is>
      </c>
      <c r="B783" s="1" t="n">
        <v>45384.59726851852</v>
      </c>
      <c r="C783" s="1" t="n">
        <v>46165</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9375-2023</t>
        </is>
      </c>
      <c r="B784" s="1" t="n">
        <v>44981</v>
      </c>
      <c r="C784" s="1" t="n">
        <v>46165</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6449-2026</t>
        </is>
      </c>
      <c r="B785" s="1" t="n">
        <v>46055.87239583334</v>
      </c>
      <c r="C785" s="1" t="n">
        <v>46165</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30006-2023</t>
        </is>
      </c>
      <c r="B786" s="1" t="n">
        <v>45109.79962962963</v>
      </c>
      <c r="C786" s="1" t="n">
        <v>46165</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49167-2022</t>
        </is>
      </c>
      <c r="B787" s="1" t="n">
        <v>44860</v>
      </c>
      <c r="C787" s="1" t="n">
        <v>46165</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7244-2026</t>
        </is>
      </c>
      <c r="B788" s="1" t="n">
        <v>46058.58646990741</v>
      </c>
      <c r="C788" s="1" t="n">
        <v>46165</v>
      </c>
      <c r="D788" t="inlineStr">
        <is>
          <t>SKÅNE LÄN</t>
        </is>
      </c>
      <c r="E788" t="inlineStr">
        <is>
          <t>HÄSSLEHOLM</t>
        </is>
      </c>
      <c r="G788" t="n">
        <v>7</v>
      </c>
      <c r="H788" t="n">
        <v>0</v>
      </c>
      <c r="I788" t="n">
        <v>0</v>
      </c>
      <c r="J788" t="n">
        <v>0</v>
      </c>
      <c r="K788" t="n">
        <v>0</v>
      </c>
      <c r="L788" t="n">
        <v>0</v>
      </c>
      <c r="M788" t="n">
        <v>0</v>
      </c>
      <c r="N788" t="n">
        <v>0</v>
      </c>
      <c r="O788" t="n">
        <v>0</v>
      </c>
      <c r="P788" t="n">
        <v>0</v>
      </c>
      <c r="Q788" t="n">
        <v>0</v>
      </c>
      <c r="R788" s="2" t="inlineStr"/>
    </row>
    <row r="789" ht="15" customHeight="1">
      <c r="A789" t="inlineStr">
        <is>
          <t>A 57963-2023</t>
        </is>
      </c>
      <c r="B789" s="1" t="n">
        <v>45247.57732638889</v>
      </c>
      <c r="C789" s="1" t="n">
        <v>46165</v>
      </c>
      <c r="D789" t="inlineStr">
        <is>
          <t>SKÅNE LÄN</t>
        </is>
      </c>
      <c r="E789" t="inlineStr">
        <is>
          <t>HÄSSLEHOLM</t>
        </is>
      </c>
      <c r="G789" t="n">
        <v>4.6</v>
      </c>
      <c r="H789" t="n">
        <v>0</v>
      </c>
      <c r="I789" t="n">
        <v>0</v>
      </c>
      <c r="J789" t="n">
        <v>0</v>
      </c>
      <c r="K789" t="n">
        <v>0</v>
      </c>
      <c r="L789" t="n">
        <v>0</v>
      </c>
      <c r="M789" t="n">
        <v>0</v>
      </c>
      <c r="N789" t="n">
        <v>0</v>
      </c>
      <c r="O789" t="n">
        <v>0</v>
      </c>
      <c r="P789" t="n">
        <v>0</v>
      </c>
      <c r="Q789" t="n">
        <v>0</v>
      </c>
      <c r="R789" s="2" t="inlineStr"/>
    </row>
    <row r="790" ht="15" customHeight="1">
      <c r="A790" t="inlineStr">
        <is>
          <t>A 7721-2026</t>
        </is>
      </c>
      <c r="B790" s="1" t="n">
        <v>46059</v>
      </c>
      <c r="C790" s="1" t="n">
        <v>46165</v>
      </c>
      <c r="D790" t="inlineStr">
        <is>
          <t>SKÅNE LÄN</t>
        </is>
      </c>
      <c r="E790" t="inlineStr">
        <is>
          <t>HÄSSLEHOLM</t>
        </is>
      </c>
      <c r="G790" t="n">
        <v>3.3</v>
      </c>
      <c r="H790" t="n">
        <v>0</v>
      </c>
      <c r="I790" t="n">
        <v>0</v>
      </c>
      <c r="J790" t="n">
        <v>0</v>
      </c>
      <c r="K790" t="n">
        <v>0</v>
      </c>
      <c r="L790" t="n">
        <v>0</v>
      </c>
      <c r="M790" t="n">
        <v>0</v>
      </c>
      <c r="N790" t="n">
        <v>0</v>
      </c>
      <c r="O790" t="n">
        <v>0</v>
      </c>
      <c r="P790" t="n">
        <v>0</v>
      </c>
      <c r="Q790" t="n">
        <v>0</v>
      </c>
      <c r="R790" s="2" t="inlineStr"/>
    </row>
    <row r="791" ht="15" customHeight="1">
      <c r="A791" t="inlineStr">
        <is>
          <t>A 57033-2022</t>
        </is>
      </c>
      <c r="B791" s="1" t="n">
        <v>44895.31270833333</v>
      </c>
      <c r="C791" s="1" t="n">
        <v>46165</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35845-2022</t>
        </is>
      </c>
      <c r="B792" s="1" t="n">
        <v>44802</v>
      </c>
      <c r="C792" s="1" t="n">
        <v>46165</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22140-2023</t>
        </is>
      </c>
      <c r="B793" s="1" t="n">
        <v>45065</v>
      </c>
      <c r="C793" s="1" t="n">
        <v>46165</v>
      </c>
      <c r="D793" t="inlineStr">
        <is>
          <t>SKÅNE LÄN</t>
        </is>
      </c>
      <c r="E793" t="inlineStr">
        <is>
          <t>HÄSSLEHOLM</t>
        </is>
      </c>
      <c r="G793" t="n">
        <v>6.7</v>
      </c>
      <c r="H793" t="n">
        <v>0</v>
      </c>
      <c r="I793" t="n">
        <v>0</v>
      </c>
      <c r="J793" t="n">
        <v>0</v>
      </c>
      <c r="K793" t="n">
        <v>0</v>
      </c>
      <c r="L793" t="n">
        <v>0</v>
      </c>
      <c r="M793" t="n">
        <v>0</v>
      </c>
      <c r="N793" t="n">
        <v>0</v>
      </c>
      <c r="O793" t="n">
        <v>0</v>
      </c>
      <c r="P793" t="n">
        <v>0</v>
      </c>
      <c r="Q793" t="n">
        <v>0</v>
      </c>
      <c r="R793" s="2" t="inlineStr"/>
    </row>
    <row r="794" ht="15" customHeight="1">
      <c r="A794" t="inlineStr">
        <is>
          <t>A 14981-2026</t>
        </is>
      </c>
      <c r="B794" s="1" t="n">
        <v>46104</v>
      </c>
      <c r="C794" s="1" t="n">
        <v>46165</v>
      </c>
      <c r="D794" t="inlineStr">
        <is>
          <t>SKÅNE LÄN</t>
        </is>
      </c>
      <c r="E794" t="inlineStr">
        <is>
          <t>HÄSSLEHOLM</t>
        </is>
      </c>
      <c r="G794" t="n">
        <v>7.7</v>
      </c>
      <c r="H794" t="n">
        <v>0</v>
      </c>
      <c r="I794" t="n">
        <v>0</v>
      </c>
      <c r="J794" t="n">
        <v>0</v>
      </c>
      <c r="K794" t="n">
        <v>0</v>
      </c>
      <c r="L794" t="n">
        <v>0</v>
      </c>
      <c r="M794" t="n">
        <v>0</v>
      </c>
      <c r="N794" t="n">
        <v>0</v>
      </c>
      <c r="O794" t="n">
        <v>0</v>
      </c>
      <c r="P794" t="n">
        <v>0</v>
      </c>
      <c r="Q794" t="n">
        <v>0</v>
      </c>
      <c r="R794" s="2" t="inlineStr"/>
    </row>
    <row r="795" ht="15" customHeight="1">
      <c r="A795" t="inlineStr">
        <is>
          <t>A 7785-2026</t>
        </is>
      </c>
      <c r="B795" s="1" t="n">
        <v>46062.58422453704</v>
      </c>
      <c r="C795" s="1" t="n">
        <v>46165</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7653-2024</t>
        </is>
      </c>
      <c r="B796" s="1" t="n">
        <v>45348.69043981482</v>
      </c>
      <c r="C796" s="1" t="n">
        <v>46165</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24679-2023</t>
        </is>
      </c>
      <c r="B797" s="1" t="n">
        <v>45084</v>
      </c>
      <c r="C797" s="1" t="n">
        <v>46165</v>
      </c>
      <c r="D797" t="inlineStr">
        <is>
          <t>SKÅNE LÄN</t>
        </is>
      </c>
      <c r="E797" t="inlineStr">
        <is>
          <t>HÄSSLEHOLM</t>
        </is>
      </c>
      <c r="G797" t="n">
        <v>7.1</v>
      </c>
      <c r="H797" t="n">
        <v>0</v>
      </c>
      <c r="I797" t="n">
        <v>0</v>
      </c>
      <c r="J797" t="n">
        <v>0</v>
      </c>
      <c r="K797" t="n">
        <v>0</v>
      </c>
      <c r="L797" t="n">
        <v>0</v>
      </c>
      <c r="M797" t="n">
        <v>0</v>
      </c>
      <c r="N797" t="n">
        <v>0</v>
      </c>
      <c r="O797" t="n">
        <v>0</v>
      </c>
      <c r="P797" t="n">
        <v>0</v>
      </c>
      <c r="Q797" t="n">
        <v>0</v>
      </c>
      <c r="R797" s="2" t="inlineStr"/>
    </row>
    <row r="798" ht="15" customHeight="1">
      <c r="A798" t="inlineStr">
        <is>
          <t>A 49219-2021</t>
        </is>
      </c>
      <c r="B798" s="1" t="n">
        <v>44454</v>
      </c>
      <c r="C798" s="1" t="n">
        <v>46165</v>
      </c>
      <c r="D798" t="inlineStr">
        <is>
          <t>SKÅNE LÄN</t>
        </is>
      </c>
      <c r="E798" t="inlineStr">
        <is>
          <t>HÄSSLEHOLM</t>
        </is>
      </c>
      <c r="G798" t="n">
        <v>7.8</v>
      </c>
      <c r="H798" t="n">
        <v>0</v>
      </c>
      <c r="I798" t="n">
        <v>0</v>
      </c>
      <c r="J798" t="n">
        <v>0</v>
      </c>
      <c r="K798" t="n">
        <v>0</v>
      </c>
      <c r="L798" t="n">
        <v>0</v>
      </c>
      <c r="M798" t="n">
        <v>0</v>
      </c>
      <c r="N798" t="n">
        <v>0</v>
      </c>
      <c r="O798" t="n">
        <v>0</v>
      </c>
      <c r="P798" t="n">
        <v>0</v>
      </c>
      <c r="Q798" t="n">
        <v>0</v>
      </c>
      <c r="R798" s="2" t="inlineStr"/>
    </row>
    <row r="799" ht="15" customHeight="1">
      <c r="A799" t="inlineStr">
        <is>
          <t>A 5890-2023</t>
        </is>
      </c>
      <c r="B799" s="1" t="n">
        <v>44963.64527777778</v>
      </c>
      <c r="C799" s="1" t="n">
        <v>46165</v>
      </c>
      <c r="D799" t="inlineStr">
        <is>
          <t>SKÅNE LÄN</t>
        </is>
      </c>
      <c r="E799" t="inlineStr">
        <is>
          <t>HÄSSLEHOLM</t>
        </is>
      </c>
      <c r="G799" t="n">
        <v>1.6</v>
      </c>
      <c r="H799" t="n">
        <v>0</v>
      </c>
      <c r="I799" t="n">
        <v>0</v>
      </c>
      <c r="J799" t="n">
        <v>0</v>
      </c>
      <c r="K799" t="n">
        <v>0</v>
      </c>
      <c r="L799" t="n">
        <v>0</v>
      </c>
      <c r="M799" t="n">
        <v>0</v>
      </c>
      <c r="N799" t="n">
        <v>0</v>
      </c>
      <c r="O799" t="n">
        <v>0</v>
      </c>
      <c r="P799" t="n">
        <v>0</v>
      </c>
      <c r="Q799" t="n">
        <v>0</v>
      </c>
      <c r="R799" s="2" t="inlineStr"/>
    </row>
    <row r="800" ht="15" customHeight="1">
      <c r="A800" t="inlineStr">
        <is>
          <t>A 12936-2025</t>
        </is>
      </c>
      <c r="B800" s="1" t="n">
        <v>45734</v>
      </c>
      <c r="C800" s="1" t="n">
        <v>46165</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56062-2024</t>
        </is>
      </c>
      <c r="B801" s="1" t="n">
        <v>45624.37105324074</v>
      </c>
      <c r="C801" s="1" t="n">
        <v>46165</v>
      </c>
      <c r="D801" t="inlineStr">
        <is>
          <t>SKÅNE LÄN</t>
        </is>
      </c>
      <c r="E801" t="inlineStr">
        <is>
          <t>HÄSSLEHOLM</t>
        </is>
      </c>
      <c r="F801" t="inlineStr">
        <is>
          <t>Övriga Aktiebolag</t>
        </is>
      </c>
      <c r="G801" t="n">
        <v>0.6</v>
      </c>
      <c r="H801" t="n">
        <v>0</v>
      </c>
      <c r="I801" t="n">
        <v>0</v>
      </c>
      <c r="J801" t="n">
        <v>0</v>
      </c>
      <c r="K801" t="n">
        <v>0</v>
      </c>
      <c r="L801" t="n">
        <v>0</v>
      </c>
      <c r="M801" t="n">
        <v>0</v>
      </c>
      <c r="N801" t="n">
        <v>0</v>
      </c>
      <c r="O801" t="n">
        <v>0</v>
      </c>
      <c r="P801" t="n">
        <v>0</v>
      </c>
      <c r="Q801" t="n">
        <v>0</v>
      </c>
      <c r="R801" s="2" t="inlineStr"/>
    </row>
    <row r="802" ht="15" customHeight="1">
      <c r="A802" t="inlineStr">
        <is>
          <t>A 41209-2023</t>
        </is>
      </c>
      <c r="B802" s="1" t="n">
        <v>45174.43481481481</v>
      </c>
      <c r="C802" s="1" t="n">
        <v>46165</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63473-2025</t>
        </is>
      </c>
      <c r="B803" s="1" t="n">
        <v>46013.44364583334</v>
      </c>
      <c r="C803" s="1" t="n">
        <v>46165</v>
      </c>
      <c r="D803" t="inlineStr">
        <is>
          <t>SKÅNE LÄN</t>
        </is>
      </c>
      <c r="E803" t="inlineStr">
        <is>
          <t>HÄSSLEHOLM</t>
        </is>
      </c>
      <c r="F803" t="inlineStr">
        <is>
          <t>Kommuner</t>
        </is>
      </c>
      <c r="G803" t="n">
        <v>5.9</v>
      </c>
      <c r="H803" t="n">
        <v>0</v>
      </c>
      <c r="I803" t="n">
        <v>0</v>
      </c>
      <c r="J803" t="n">
        <v>0</v>
      </c>
      <c r="K803" t="n">
        <v>0</v>
      </c>
      <c r="L803" t="n">
        <v>0</v>
      </c>
      <c r="M803" t="n">
        <v>0</v>
      </c>
      <c r="N803" t="n">
        <v>0</v>
      </c>
      <c r="O803" t="n">
        <v>0</v>
      </c>
      <c r="P803" t="n">
        <v>0</v>
      </c>
      <c r="Q803" t="n">
        <v>0</v>
      </c>
      <c r="R803" s="2" t="inlineStr"/>
    </row>
    <row r="804" ht="15" customHeight="1">
      <c r="A804" t="inlineStr">
        <is>
          <t>A 57275-2023</t>
        </is>
      </c>
      <c r="B804" s="1" t="n">
        <v>45245.58886574074</v>
      </c>
      <c r="C804" s="1" t="n">
        <v>46165</v>
      </c>
      <c r="D804" t="inlineStr">
        <is>
          <t>SKÅNE LÄN</t>
        </is>
      </c>
      <c r="E804" t="inlineStr">
        <is>
          <t>HÄSSLEHOLM</t>
        </is>
      </c>
      <c r="G804" t="n">
        <v>1.7</v>
      </c>
      <c r="H804" t="n">
        <v>0</v>
      </c>
      <c r="I804" t="n">
        <v>0</v>
      </c>
      <c r="J804" t="n">
        <v>0</v>
      </c>
      <c r="K804" t="n">
        <v>0</v>
      </c>
      <c r="L804" t="n">
        <v>0</v>
      </c>
      <c r="M804" t="n">
        <v>0</v>
      </c>
      <c r="N804" t="n">
        <v>0</v>
      </c>
      <c r="O804" t="n">
        <v>0</v>
      </c>
      <c r="P804" t="n">
        <v>0</v>
      </c>
      <c r="Q804" t="n">
        <v>0</v>
      </c>
      <c r="R804" s="2" t="inlineStr"/>
    </row>
    <row r="805" ht="15" customHeight="1">
      <c r="A805" t="inlineStr">
        <is>
          <t>A 8538-2026</t>
        </is>
      </c>
      <c r="B805" s="1" t="n">
        <v>46064</v>
      </c>
      <c r="C805" s="1" t="n">
        <v>46165</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53302-2022</t>
        </is>
      </c>
      <c r="B806" s="1" t="n">
        <v>44877</v>
      </c>
      <c r="C806" s="1" t="n">
        <v>46165</v>
      </c>
      <c r="D806" t="inlineStr">
        <is>
          <t>SKÅNE LÄN</t>
        </is>
      </c>
      <c r="E806" t="inlineStr">
        <is>
          <t>HÄSSLEHOLM</t>
        </is>
      </c>
      <c r="G806" t="n">
        <v>0.1</v>
      </c>
      <c r="H806" t="n">
        <v>0</v>
      </c>
      <c r="I806" t="n">
        <v>0</v>
      </c>
      <c r="J806" t="n">
        <v>0</v>
      </c>
      <c r="K806" t="n">
        <v>0</v>
      </c>
      <c r="L806" t="n">
        <v>0</v>
      </c>
      <c r="M806" t="n">
        <v>0</v>
      </c>
      <c r="N806" t="n">
        <v>0</v>
      </c>
      <c r="O806" t="n">
        <v>0</v>
      </c>
      <c r="P806" t="n">
        <v>0</v>
      </c>
      <c r="Q806" t="n">
        <v>0</v>
      </c>
      <c r="R806" s="2" t="inlineStr"/>
    </row>
    <row r="807" ht="15" customHeight="1">
      <c r="A807" t="inlineStr">
        <is>
          <t>A 8539-2026</t>
        </is>
      </c>
      <c r="B807" s="1" t="n">
        <v>46064</v>
      </c>
      <c r="C807" s="1" t="n">
        <v>46165</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27991-2024</t>
        </is>
      </c>
      <c r="B808" s="1" t="n">
        <v>45476</v>
      </c>
      <c r="C808" s="1" t="n">
        <v>46165</v>
      </c>
      <c r="D808" t="inlineStr">
        <is>
          <t>SKÅNE LÄN</t>
        </is>
      </c>
      <c r="E808" t="inlineStr">
        <is>
          <t>HÄSSLEHOLM</t>
        </is>
      </c>
      <c r="G808" t="n">
        <v>5.8</v>
      </c>
      <c r="H808" t="n">
        <v>0</v>
      </c>
      <c r="I808" t="n">
        <v>0</v>
      </c>
      <c r="J808" t="n">
        <v>0</v>
      </c>
      <c r="K808" t="n">
        <v>0</v>
      </c>
      <c r="L808" t="n">
        <v>0</v>
      </c>
      <c r="M808" t="n">
        <v>0</v>
      </c>
      <c r="N808" t="n">
        <v>0</v>
      </c>
      <c r="O808" t="n">
        <v>0</v>
      </c>
      <c r="P808" t="n">
        <v>0</v>
      </c>
      <c r="Q808" t="n">
        <v>0</v>
      </c>
      <c r="R808" s="2" t="inlineStr"/>
    </row>
    <row r="809" ht="15" customHeight="1">
      <c r="A809" t="inlineStr">
        <is>
          <t>A 31946-2023</t>
        </is>
      </c>
      <c r="B809" s="1" t="n">
        <v>45119.35158564815</v>
      </c>
      <c r="C809" s="1" t="n">
        <v>46165</v>
      </c>
      <c r="D809" t="inlineStr">
        <is>
          <t>SKÅNE LÄN</t>
        </is>
      </c>
      <c r="E809" t="inlineStr">
        <is>
          <t>HÄSSLEHOLM</t>
        </is>
      </c>
      <c r="G809" t="n">
        <v>0.3</v>
      </c>
      <c r="H809" t="n">
        <v>0</v>
      </c>
      <c r="I809" t="n">
        <v>0</v>
      </c>
      <c r="J809" t="n">
        <v>0</v>
      </c>
      <c r="K809" t="n">
        <v>0</v>
      </c>
      <c r="L809" t="n">
        <v>0</v>
      </c>
      <c r="M809" t="n">
        <v>0</v>
      </c>
      <c r="N809" t="n">
        <v>0</v>
      </c>
      <c r="O809" t="n">
        <v>0</v>
      </c>
      <c r="P809" t="n">
        <v>0</v>
      </c>
      <c r="Q809" t="n">
        <v>0</v>
      </c>
      <c r="R809" s="2" t="inlineStr"/>
    </row>
    <row r="810" ht="15" customHeight="1">
      <c r="A810" t="inlineStr">
        <is>
          <t>A 8367-2026</t>
        </is>
      </c>
      <c r="B810" s="1" t="n">
        <v>46064</v>
      </c>
      <c r="C810" s="1" t="n">
        <v>46165</v>
      </c>
      <c r="D810" t="inlineStr">
        <is>
          <t>SKÅNE LÄN</t>
        </is>
      </c>
      <c r="E810" t="inlineStr">
        <is>
          <t>HÄSSLEHOLM</t>
        </is>
      </c>
      <c r="G810" t="n">
        <v>1</v>
      </c>
      <c r="H810" t="n">
        <v>0</v>
      </c>
      <c r="I810" t="n">
        <v>0</v>
      </c>
      <c r="J810" t="n">
        <v>0</v>
      </c>
      <c r="K810" t="n">
        <v>0</v>
      </c>
      <c r="L810" t="n">
        <v>0</v>
      </c>
      <c r="M810" t="n">
        <v>0</v>
      </c>
      <c r="N810" t="n">
        <v>0</v>
      </c>
      <c r="O810" t="n">
        <v>0</v>
      </c>
      <c r="P810" t="n">
        <v>0</v>
      </c>
      <c r="Q810" t="n">
        <v>0</v>
      </c>
      <c r="R810" s="2" t="inlineStr"/>
    </row>
    <row r="811" ht="15" customHeight="1">
      <c r="A811" t="inlineStr">
        <is>
          <t>A 8674-2026</t>
        </is>
      </c>
      <c r="B811" s="1" t="n">
        <v>46066.4059837963</v>
      </c>
      <c r="C811" s="1" t="n">
        <v>46165</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48798-2023</t>
        </is>
      </c>
      <c r="B812" s="1" t="n">
        <v>45209.25318287037</v>
      </c>
      <c r="C812" s="1" t="n">
        <v>46165</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48844-2023</t>
        </is>
      </c>
      <c r="B813" s="1" t="n">
        <v>45209</v>
      </c>
      <c r="C813" s="1" t="n">
        <v>46165</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48877-2024</t>
        </is>
      </c>
      <c r="B814" s="1" t="n">
        <v>45594.31729166667</v>
      </c>
      <c r="C814" s="1" t="n">
        <v>46165</v>
      </c>
      <c r="D814" t="inlineStr">
        <is>
          <t>SKÅNE LÄN</t>
        </is>
      </c>
      <c r="E814" t="inlineStr">
        <is>
          <t>HÄSSLEHOLM</t>
        </is>
      </c>
      <c r="G814" t="n">
        <v>1.8</v>
      </c>
      <c r="H814" t="n">
        <v>0</v>
      </c>
      <c r="I814" t="n">
        <v>0</v>
      </c>
      <c r="J814" t="n">
        <v>0</v>
      </c>
      <c r="K814" t="n">
        <v>0</v>
      </c>
      <c r="L814" t="n">
        <v>0</v>
      </c>
      <c r="M814" t="n">
        <v>0</v>
      </c>
      <c r="N814" t="n">
        <v>0</v>
      </c>
      <c r="O814" t="n">
        <v>0</v>
      </c>
      <c r="P814" t="n">
        <v>0</v>
      </c>
      <c r="Q814" t="n">
        <v>0</v>
      </c>
      <c r="R814" s="2" t="inlineStr"/>
    </row>
    <row r="815" ht="15" customHeight="1">
      <c r="A815" t="inlineStr">
        <is>
          <t>A 45984-2021</t>
        </is>
      </c>
      <c r="B815" s="1" t="n">
        <v>44441</v>
      </c>
      <c r="C815" s="1" t="n">
        <v>46165</v>
      </c>
      <c r="D815" t="inlineStr">
        <is>
          <t>SKÅNE LÄN</t>
        </is>
      </c>
      <c r="E815" t="inlineStr">
        <is>
          <t>HÄSSLEHOLM</t>
        </is>
      </c>
      <c r="G815" t="n">
        <v>2.1</v>
      </c>
      <c r="H815" t="n">
        <v>0</v>
      </c>
      <c r="I815" t="n">
        <v>0</v>
      </c>
      <c r="J815" t="n">
        <v>0</v>
      </c>
      <c r="K815" t="n">
        <v>0</v>
      </c>
      <c r="L815" t="n">
        <v>0</v>
      </c>
      <c r="M815" t="n">
        <v>0</v>
      </c>
      <c r="N815" t="n">
        <v>0</v>
      </c>
      <c r="O815" t="n">
        <v>0</v>
      </c>
      <c r="P815" t="n">
        <v>0</v>
      </c>
      <c r="Q815" t="n">
        <v>0</v>
      </c>
      <c r="R815" s="2" t="inlineStr"/>
    </row>
    <row r="816" ht="15" customHeight="1">
      <c r="A816" t="inlineStr">
        <is>
          <t>A 8378-2023</t>
        </is>
      </c>
      <c r="B816" s="1" t="n">
        <v>44971</v>
      </c>
      <c r="C816" s="1" t="n">
        <v>46165</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8852-2026</t>
        </is>
      </c>
      <c r="B817" s="1" t="n">
        <v>46066.66105324074</v>
      </c>
      <c r="C817" s="1" t="n">
        <v>46165</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58689-2025</t>
        </is>
      </c>
      <c r="B818" s="1" t="n">
        <v>45986</v>
      </c>
      <c r="C818" s="1" t="n">
        <v>46165</v>
      </c>
      <c r="D818" t="inlineStr">
        <is>
          <t>SKÅNE LÄN</t>
        </is>
      </c>
      <c r="E818" t="inlineStr">
        <is>
          <t>HÄSSLEHOLM</t>
        </is>
      </c>
      <c r="G818" t="n">
        <v>3.9</v>
      </c>
      <c r="H818" t="n">
        <v>0</v>
      </c>
      <c r="I818" t="n">
        <v>0</v>
      </c>
      <c r="J818" t="n">
        <v>0</v>
      </c>
      <c r="K818" t="n">
        <v>0</v>
      </c>
      <c r="L818" t="n">
        <v>0</v>
      </c>
      <c r="M818" t="n">
        <v>0</v>
      </c>
      <c r="N818" t="n">
        <v>0</v>
      </c>
      <c r="O818" t="n">
        <v>0</v>
      </c>
      <c r="P818" t="n">
        <v>0</v>
      </c>
      <c r="Q818" t="n">
        <v>0</v>
      </c>
      <c r="R818" s="2" t="inlineStr"/>
    </row>
    <row r="819" ht="15" customHeight="1">
      <c r="A819" t="inlineStr">
        <is>
          <t>A 45398-2024</t>
        </is>
      </c>
      <c r="B819" s="1" t="n">
        <v>45576.56260416667</v>
      </c>
      <c r="C819" s="1" t="n">
        <v>46165</v>
      </c>
      <c r="D819" t="inlineStr">
        <is>
          <t>SKÅNE LÄN</t>
        </is>
      </c>
      <c r="E819" t="inlineStr">
        <is>
          <t>HÄSSLEHOLM</t>
        </is>
      </c>
      <c r="G819" t="n">
        <v>4.2</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46165</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26857-2025</t>
        </is>
      </c>
      <c r="B821" s="1" t="n">
        <v>45810</v>
      </c>
      <c r="C821" s="1" t="n">
        <v>46165</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32154-2024</t>
        </is>
      </c>
      <c r="B822" s="1" t="n">
        <v>45511</v>
      </c>
      <c r="C822" s="1" t="n">
        <v>46165</v>
      </c>
      <c r="D822" t="inlineStr">
        <is>
          <t>SKÅNE LÄN</t>
        </is>
      </c>
      <c r="E822" t="inlineStr">
        <is>
          <t>HÄSSLEHOLM</t>
        </is>
      </c>
      <c r="G822" t="n">
        <v>6.4</v>
      </c>
      <c r="H822" t="n">
        <v>0</v>
      </c>
      <c r="I822" t="n">
        <v>0</v>
      </c>
      <c r="J822" t="n">
        <v>0</v>
      </c>
      <c r="K822" t="n">
        <v>0</v>
      </c>
      <c r="L822" t="n">
        <v>0</v>
      </c>
      <c r="M822" t="n">
        <v>0</v>
      </c>
      <c r="N822" t="n">
        <v>0</v>
      </c>
      <c r="O822" t="n">
        <v>0</v>
      </c>
      <c r="P822" t="n">
        <v>0</v>
      </c>
      <c r="Q822" t="n">
        <v>0</v>
      </c>
      <c r="R822" s="2" t="inlineStr"/>
    </row>
    <row r="823" ht="15" customHeight="1">
      <c r="A823" t="inlineStr">
        <is>
          <t>A 50000-2023</t>
        </is>
      </c>
      <c r="B823" s="1" t="n">
        <v>45215.4434837963</v>
      </c>
      <c r="C823" s="1" t="n">
        <v>46165</v>
      </c>
      <c r="D823" t="inlineStr">
        <is>
          <t>SKÅNE LÄN</t>
        </is>
      </c>
      <c r="E823" t="inlineStr">
        <is>
          <t>HÄSSLEHOLM</t>
        </is>
      </c>
      <c r="G823" t="n">
        <v>1.6</v>
      </c>
      <c r="H823" t="n">
        <v>0</v>
      </c>
      <c r="I823" t="n">
        <v>0</v>
      </c>
      <c r="J823" t="n">
        <v>0</v>
      </c>
      <c r="K823" t="n">
        <v>0</v>
      </c>
      <c r="L823" t="n">
        <v>0</v>
      </c>
      <c r="M823" t="n">
        <v>0</v>
      </c>
      <c r="N823" t="n">
        <v>0</v>
      </c>
      <c r="O823" t="n">
        <v>0</v>
      </c>
      <c r="P823" t="n">
        <v>0</v>
      </c>
      <c r="Q823" t="n">
        <v>0</v>
      </c>
      <c r="R823" s="2" t="inlineStr"/>
    </row>
    <row r="824" ht="15" customHeight="1">
      <c r="A824" t="inlineStr">
        <is>
          <t>A 417-2022</t>
        </is>
      </c>
      <c r="B824" s="1" t="n">
        <v>44565.84615740741</v>
      </c>
      <c r="C824" s="1" t="n">
        <v>46165</v>
      </c>
      <c r="D824" t="inlineStr">
        <is>
          <t>SKÅNE LÄN</t>
        </is>
      </c>
      <c r="E824" t="inlineStr">
        <is>
          <t>HÄSSLEHOLM</t>
        </is>
      </c>
      <c r="G824" t="n">
        <v>0</v>
      </c>
      <c r="H824" t="n">
        <v>0</v>
      </c>
      <c r="I824" t="n">
        <v>0</v>
      </c>
      <c r="J824" t="n">
        <v>0</v>
      </c>
      <c r="K824" t="n">
        <v>0</v>
      </c>
      <c r="L824" t="n">
        <v>0</v>
      </c>
      <c r="M824" t="n">
        <v>0</v>
      </c>
      <c r="N824" t="n">
        <v>0</v>
      </c>
      <c r="O824" t="n">
        <v>0</v>
      </c>
      <c r="P824" t="n">
        <v>0</v>
      </c>
      <c r="Q824" t="n">
        <v>0</v>
      </c>
      <c r="R824" s="2" t="inlineStr"/>
    </row>
    <row r="825" ht="15" customHeight="1">
      <c r="A825" t="inlineStr">
        <is>
          <t>A 51040-2024</t>
        </is>
      </c>
      <c r="B825" s="1" t="n">
        <v>45603.43222222223</v>
      </c>
      <c r="C825" s="1" t="n">
        <v>46165</v>
      </c>
      <c r="D825" t="inlineStr">
        <is>
          <t>SKÅNE LÄN</t>
        </is>
      </c>
      <c r="E825" t="inlineStr">
        <is>
          <t>HÄSSLEHOLM</t>
        </is>
      </c>
      <c r="G825" t="n">
        <v>2.7</v>
      </c>
      <c r="H825" t="n">
        <v>0</v>
      </c>
      <c r="I825" t="n">
        <v>0</v>
      </c>
      <c r="J825" t="n">
        <v>0</v>
      </c>
      <c r="K825" t="n">
        <v>0</v>
      </c>
      <c r="L825" t="n">
        <v>0</v>
      </c>
      <c r="M825" t="n">
        <v>0</v>
      </c>
      <c r="N825" t="n">
        <v>0</v>
      </c>
      <c r="O825" t="n">
        <v>0</v>
      </c>
      <c r="P825" t="n">
        <v>0</v>
      </c>
      <c r="Q825" t="n">
        <v>0</v>
      </c>
      <c r="R825" s="2" t="inlineStr"/>
    </row>
    <row r="826" ht="15" customHeight="1">
      <c r="A826" t="inlineStr">
        <is>
          <t>A 50249-2024</t>
        </is>
      </c>
      <c r="B826" s="1" t="n">
        <v>45600.56866898148</v>
      </c>
      <c r="C826" s="1" t="n">
        <v>46165</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10051-2026</t>
        </is>
      </c>
      <c r="B827" s="1" t="n">
        <v>46073</v>
      </c>
      <c r="C827" s="1" t="n">
        <v>46165</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54326-2022</t>
        </is>
      </c>
      <c r="B828" s="1" t="n">
        <v>44882.42965277778</v>
      </c>
      <c r="C828" s="1" t="n">
        <v>46165</v>
      </c>
      <c r="D828" t="inlineStr">
        <is>
          <t>SKÅNE LÄN</t>
        </is>
      </c>
      <c r="E828" t="inlineStr">
        <is>
          <t>HÄSSLEHOLM</t>
        </is>
      </c>
      <c r="G828" t="n">
        <v>1.5</v>
      </c>
      <c r="H828" t="n">
        <v>0</v>
      </c>
      <c r="I828" t="n">
        <v>0</v>
      </c>
      <c r="J828" t="n">
        <v>0</v>
      </c>
      <c r="K828" t="n">
        <v>0</v>
      </c>
      <c r="L828" t="n">
        <v>0</v>
      </c>
      <c r="M828" t="n">
        <v>0</v>
      </c>
      <c r="N828" t="n">
        <v>0</v>
      </c>
      <c r="O828" t="n">
        <v>0</v>
      </c>
      <c r="P828" t="n">
        <v>0</v>
      </c>
      <c r="Q828" t="n">
        <v>0</v>
      </c>
      <c r="R828" s="2" t="inlineStr"/>
    </row>
    <row r="829" ht="15" customHeight="1">
      <c r="A829" t="inlineStr">
        <is>
          <t>A 54174-2022</t>
        </is>
      </c>
      <c r="B829" s="1" t="n">
        <v>44881</v>
      </c>
      <c r="C829" s="1" t="n">
        <v>46165</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38376-2022</t>
        </is>
      </c>
      <c r="B830" s="1" t="n">
        <v>44812</v>
      </c>
      <c r="C830" s="1" t="n">
        <v>46165</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54659-2023</t>
        </is>
      </c>
      <c r="B831" s="1" t="n">
        <v>45235</v>
      </c>
      <c r="C831" s="1" t="n">
        <v>46165</v>
      </c>
      <c r="D831" t="inlineStr">
        <is>
          <t>SKÅNE LÄN</t>
        </is>
      </c>
      <c r="E831" t="inlineStr">
        <is>
          <t>HÄSSLEHOLM</t>
        </is>
      </c>
      <c r="G831" t="n">
        <v>5</v>
      </c>
      <c r="H831" t="n">
        <v>0</v>
      </c>
      <c r="I831" t="n">
        <v>0</v>
      </c>
      <c r="J831" t="n">
        <v>0</v>
      </c>
      <c r="K831" t="n">
        <v>0</v>
      </c>
      <c r="L831" t="n">
        <v>0</v>
      </c>
      <c r="M831" t="n">
        <v>0</v>
      </c>
      <c r="N831" t="n">
        <v>0</v>
      </c>
      <c r="O831" t="n">
        <v>0</v>
      </c>
      <c r="P831" t="n">
        <v>0</v>
      </c>
      <c r="Q831" t="n">
        <v>0</v>
      </c>
      <c r="R831" s="2" t="inlineStr"/>
    </row>
    <row r="832" ht="15" customHeight="1">
      <c r="A832" t="inlineStr">
        <is>
          <t>A 15036-2024</t>
        </is>
      </c>
      <c r="B832" s="1" t="n">
        <v>45399.48100694444</v>
      </c>
      <c r="C832" s="1" t="n">
        <v>46165</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9709-2023</t>
        </is>
      </c>
      <c r="B833" s="1" t="n">
        <v>44984.48376157408</v>
      </c>
      <c r="C833" s="1" t="n">
        <v>46165</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9615-2025</t>
        </is>
      </c>
      <c r="B834" s="1" t="n">
        <v>45715</v>
      </c>
      <c r="C834" s="1" t="n">
        <v>46165</v>
      </c>
      <c r="D834" t="inlineStr">
        <is>
          <t>SKÅNE LÄN</t>
        </is>
      </c>
      <c r="E834" t="inlineStr">
        <is>
          <t>HÄSSLEHOLM</t>
        </is>
      </c>
      <c r="G834" t="n">
        <v>1.8</v>
      </c>
      <c r="H834" t="n">
        <v>0</v>
      </c>
      <c r="I834" t="n">
        <v>0</v>
      </c>
      <c r="J834" t="n">
        <v>0</v>
      </c>
      <c r="K834" t="n">
        <v>0</v>
      </c>
      <c r="L834" t="n">
        <v>0</v>
      </c>
      <c r="M834" t="n">
        <v>0</v>
      </c>
      <c r="N834" t="n">
        <v>0</v>
      </c>
      <c r="O834" t="n">
        <v>0</v>
      </c>
      <c r="P834" t="n">
        <v>0</v>
      </c>
      <c r="Q834" t="n">
        <v>0</v>
      </c>
      <c r="R834" s="2" t="inlineStr"/>
    </row>
    <row r="835" ht="15" customHeight="1">
      <c r="A835" t="inlineStr">
        <is>
          <t>A 8524-2024</t>
        </is>
      </c>
      <c r="B835" s="1" t="n">
        <v>45355.48570601852</v>
      </c>
      <c r="C835" s="1" t="n">
        <v>46165</v>
      </c>
      <c r="D835" t="inlineStr">
        <is>
          <t>SKÅNE LÄN</t>
        </is>
      </c>
      <c r="E835" t="inlineStr">
        <is>
          <t>HÄSSLEHOLM</t>
        </is>
      </c>
      <c r="G835" t="n">
        <v>4</v>
      </c>
      <c r="H835" t="n">
        <v>0</v>
      </c>
      <c r="I835" t="n">
        <v>0</v>
      </c>
      <c r="J835" t="n">
        <v>0</v>
      </c>
      <c r="K835" t="n">
        <v>0</v>
      </c>
      <c r="L835" t="n">
        <v>0</v>
      </c>
      <c r="M835" t="n">
        <v>0</v>
      </c>
      <c r="N835" t="n">
        <v>0</v>
      </c>
      <c r="O835" t="n">
        <v>0</v>
      </c>
      <c r="P835" t="n">
        <v>0</v>
      </c>
      <c r="Q835" t="n">
        <v>0</v>
      </c>
      <c r="R835" s="2" t="inlineStr"/>
    </row>
    <row r="836" ht="15" customHeight="1">
      <c r="A836" t="inlineStr">
        <is>
          <t>A 56065-2025</t>
        </is>
      </c>
      <c r="B836" s="1" t="n">
        <v>45973</v>
      </c>
      <c r="C836" s="1" t="n">
        <v>46165</v>
      </c>
      <c r="D836" t="inlineStr">
        <is>
          <t>SKÅNE LÄN</t>
        </is>
      </c>
      <c r="E836" t="inlineStr">
        <is>
          <t>HÄSSLEHOLM</t>
        </is>
      </c>
      <c r="G836" t="n">
        <v>1.6</v>
      </c>
      <c r="H836" t="n">
        <v>0</v>
      </c>
      <c r="I836" t="n">
        <v>0</v>
      </c>
      <c r="J836" t="n">
        <v>0</v>
      </c>
      <c r="K836" t="n">
        <v>0</v>
      </c>
      <c r="L836" t="n">
        <v>0</v>
      </c>
      <c r="M836" t="n">
        <v>0</v>
      </c>
      <c r="N836" t="n">
        <v>0</v>
      </c>
      <c r="O836" t="n">
        <v>0</v>
      </c>
      <c r="P836" t="n">
        <v>0</v>
      </c>
      <c r="Q836" t="n">
        <v>0</v>
      </c>
      <c r="R836" s="2" t="inlineStr"/>
    </row>
    <row r="837" ht="15" customHeight="1">
      <c r="A837" t="inlineStr">
        <is>
          <t>A 23987-2024</t>
        </is>
      </c>
      <c r="B837" s="1" t="n">
        <v>45456</v>
      </c>
      <c r="C837" s="1" t="n">
        <v>46165</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4042-2023</t>
        </is>
      </c>
      <c r="B838" s="1" t="n">
        <v>44952.59950231481</v>
      </c>
      <c r="C838" s="1" t="n">
        <v>46165</v>
      </c>
      <c r="D838" t="inlineStr">
        <is>
          <t>SKÅNE LÄN</t>
        </is>
      </c>
      <c r="E838" t="inlineStr">
        <is>
          <t>HÄSSLEHOLM</t>
        </is>
      </c>
      <c r="G838" t="n">
        <v>2.7</v>
      </c>
      <c r="H838" t="n">
        <v>0</v>
      </c>
      <c r="I838" t="n">
        <v>0</v>
      </c>
      <c r="J838" t="n">
        <v>0</v>
      </c>
      <c r="K838" t="n">
        <v>0</v>
      </c>
      <c r="L838" t="n">
        <v>0</v>
      </c>
      <c r="M838" t="n">
        <v>0</v>
      </c>
      <c r="N838" t="n">
        <v>0</v>
      </c>
      <c r="O838" t="n">
        <v>0</v>
      </c>
      <c r="P838" t="n">
        <v>0</v>
      </c>
      <c r="Q838" t="n">
        <v>0</v>
      </c>
      <c r="R838" s="2" t="inlineStr"/>
    </row>
    <row r="839" ht="15" customHeight="1">
      <c r="A839" t="inlineStr">
        <is>
          <t>A 41680-2024</t>
        </is>
      </c>
      <c r="B839" s="1" t="n">
        <v>45560</v>
      </c>
      <c r="C839" s="1" t="n">
        <v>46165</v>
      </c>
      <c r="D839" t="inlineStr">
        <is>
          <t>SKÅNE LÄN</t>
        </is>
      </c>
      <c r="E839" t="inlineStr">
        <is>
          <t>HÄSSLEHOLM</t>
        </is>
      </c>
      <c r="G839" t="n">
        <v>0.2</v>
      </c>
      <c r="H839" t="n">
        <v>0</v>
      </c>
      <c r="I839" t="n">
        <v>0</v>
      </c>
      <c r="J839" t="n">
        <v>0</v>
      </c>
      <c r="K839" t="n">
        <v>0</v>
      </c>
      <c r="L839" t="n">
        <v>0</v>
      </c>
      <c r="M839" t="n">
        <v>0</v>
      </c>
      <c r="N839" t="n">
        <v>0</v>
      </c>
      <c r="O839" t="n">
        <v>0</v>
      </c>
      <c r="P839" t="n">
        <v>0</v>
      </c>
      <c r="Q839" t="n">
        <v>0</v>
      </c>
      <c r="R839" s="2" t="inlineStr"/>
    </row>
    <row r="840" ht="15" customHeight="1">
      <c r="A840" t="inlineStr">
        <is>
          <t>A 63476-2025</t>
        </is>
      </c>
      <c r="B840" s="1" t="n">
        <v>46013.44621527778</v>
      </c>
      <c r="C840" s="1" t="n">
        <v>46165</v>
      </c>
      <c r="D840" t="inlineStr">
        <is>
          <t>SKÅNE LÄN</t>
        </is>
      </c>
      <c r="E840" t="inlineStr">
        <is>
          <t>HÄSSLEHOLM</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31160-2024</t>
        </is>
      </c>
      <c r="B841" s="1" t="n">
        <v>45503</v>
      </c>
      <c r="C841" s="1" t="n">
        <v>46165</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5054-2022</t>
        </is>
      </c>
      <c r="B842" s="1" t="n">
        <v>44593.69065972222</v>
      </c>
      <c r="C842" s="1" t="n">
        <v>46165</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17996-2026</t>
        </is>
      </c>
      <c r="B843" s="1" t="n">
        <v>46124.87434027778</v>
      </c>
      <c r="C843" s="1" t="n">
        <v>46165</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31391-2023</t>
        </is>
      </c>
      <c r="B844" s="1" t="n">
        <v>45114.56143518518</v>
      </c>
      <c r="C844" s="1" t="n">
        <v>46165</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23723-2023</t>
        </is>
      </c>
      <c r="B845" s="1" t="n">
        <v>45077</v>
      </c>
      <c r="C845" s="1" t="n">
        <v>46165</v>
      </c>
      <c r="D845" t="inlineStr">
        <is>
          <t>SKÅNE LÄN</t>
        </is>
      </c>
      <c r="E845" t="inlineStr">
        <is>
          <t>HÄSSLEHOLM</t>
        </is>
      </c>
      <c r="G845" t="n">
        <v>3.9</v>
      </c>
      <c r="H845" t="n">
        <v>0</v>
      </c>
      <c r="I845" t="n">
        <v>0</v>
      </c>
      <c r="J845" t="n">
        <v>0</v>
      </c>
      <c r="K845" t="n">
        <v>0</v>
      </c>
      <c r="L845" t="n">
        <v>0</v>
      </c>
      <c r="M845" t="n">
        <v>0</v>
      </c>
      <c r="N845" t="n">
        <v>0</v>
      </c>
      <c r="O845" t="n">
        <v>0</v>
      </c>
      <c r="P845" t="n">
        <v>0</v>
      </c>
      <c r="Q845" t="n">
        <v>0</v>
      </c>
      <c r="R845" s="2" t="inlineStr"/>
    </row>
    <row r="846" ht="15" customHeight="1">
      <c r="A846" t="inlineStr">
        <is>
          <t>A 18398-2026</t>
        </is>
      </c>
      <c r="B846" s="1" t="n">
        <v>46126.66273148148</v>
      </c>
      <c r="C846" s="1" t="n">
        <v>46165</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31933-2024</t>
        </is>
      </c>
      <c r="B847" s="1" t="n">
        <v>45510.41123842593</v>
      </c>
      <c r="C847" s="1" t="n">
        <v>46165</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18483-2026</t>
        </is>
      </c>
      <c r="B848" s="1" t="n">
        <v>46127.44652777778</v>
      </c>
      <c r="C848" s="1" t="n">
        <v>46165</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18484-2026</t>
        </is>
      </c>
      <c r="B849" s="1" t="n">
        <v>46126</v>
      </c>
      <c r="C849" s="1" t="n">
        <v>46165</v>
      </c>
      <c r="D849" t="inlineStr">
        <is>
          <t>SKÅNE LÄN</t>
        </is>
      </c>
      <c r="E849" t="inlineStr">
        <is>
          <t>HÄSSLEHOLM</t>
        </is>
      </c>
      <c r="G849" t="n">
        <v>0.9</v>
      </c>
      <c r="H849" t="n">
        <v>0</v>
      </c>
      <c r="I849" t="n">
        <v>0</v>
      </c>
      <c r="J849" t="n">
        <v>0</v>
      </c>
      <c r="K849" t="n">
        <v>0</v>
      </c>
      <c r="L849" t="n">
        <v>0</v>
      </c>
      <c r="M849" t="n">
        <v>0</v>
      </c>
      <c r="N849" t="n">
        <v>0</v>
      </c>
      <c r="O849" t="n">
        <v>0</v>
      </c>
      <c r="P849" t="n">
        <v>0</v>
      </c>
      <c r="Q849" t="n">
        <v>0</v>
      </c>
      <c r="R849" s="2" t="inlineStr"/>
    </row>
    <row r="850" ht="15" customHeight="1">
      <c r="A850" t="inlineStr">
        <is>
          <t>A 31581-2023</t>
        </is>
      </c>
      <c r="B850" s="1" t="n">
        <v>45117.45165509259</v>
      </c>
      <c r="C850" s="1" t="n">
        <v>46165</v>
      </c>
      <c r="D850" t="inlineStr">
        <is>
          <t>SKÅNE LÄN</t>
        </is>
      </c>
      <c r="E850" t="inlineStr">
        <is>
          <t>HÄSSLEHOLM</t>
        </is>
      </c>
      <c r="G850" t="n">
        <v>1.7</v>
      </c>
      <c r="H850" t="n">
        <v>0</v>
      </c>
      <c r="I850" t="n">
        <v>0</v>
      </c>
      <c r="J850" t="n">
        <v>0</v>
      </c>
      <c r="K850" t="n">
        <v>0</v>
      </c>
      <c r="L850" t="n">
        <v>0</v>
      </c>
      <c r="M850" t="n">
        <v>0</v>
      </c>
      <c r="N850" t="n">
        <v>0</v>
      </c>
      <c r="O850" t="n">
        <v>0</v>
      </c>
      <c r="P850" t="n">
        <v>0</v>
      </c>
      <c r="Q850" t="n">
        <v>0</v>
      </c>
      <c r="R850" s="2" t="inlineStr"/>
    </row>
    <row r="851" ht="15" customHeight="1">
      <c r="A851" t="inlineStr">
        <is>
          <t>A 55303-2024</t>
        </is>
      </c>
      <c r="B851" s="1" t="n">
        <v>45621.6434837963</v>
      </c>
      <c r="C851" s="1" t="n">
        <v>46165</v>
      </c>
      <c r="D851" t="inlineStr">
        <is>
          <t>SKÅNE LÄN</t>
        </is>
      </c>
      <c r="E851" t="inlineStr">
        <is>
          <t>HÄSSLEHOLM</t>
        </is>
      </c>
      <c r="G851" t="n">
        <v>3.3</v>
      </c>
      <c r="H851" t="n">
        <v>0</v>
      </c>
      <c r="I851" t="n">
        <v>0</v>
      </c>
      <c r="J851" t="n">
        <v>0</v>
      </c>
      <c r="K851" t="n">
        <v>0</v>
      </c>
      <c r="L851" t="n">
        <v>0</v>
      </c>
      <c r="M851" t="n">
        <v>0</v>
      </c>
      <c r="N851" t="n">
        <v>0</v>
      </c>
      <c r="O851" t="n">
        <v>0</v>
      </c>
      <c r="P851" t="n">
        <v>0</v>
      </c>
      <c r="Q851" t="n">
        <v>0</v>
      </c>
      <c r="R851" s="2" t="inlineStr"/>
    </row>
    <row r="852" ht="15" customHeight="1">
      <c r="A852" t="inlineStr">
        <is>
          <t>A 11999-2026</t>
        </is>
      </c>
      <c r="B852" s="1" t="n">
        <v>46085</v>
      </c>
      <c r="C852" s="1" t="n">
        <v>46165</v>
      </c>
      <c r="D852" t="inlineStr">
        <is>
          <t>SKÅNE LÄN</t>
        </is>
      </c>
      <c r="E852" t="inlineStr">
        <is>
          <t>HÄSSLEHOLM</t>
        </is>
      </c>
      <c r="G852" t="n">
        <v>0.2</v>
      </c>
      <c r="H852" t="n">
        <v>0</v>
      </c>
      <c r="I852" t="n">
        <v>0</v>
      </c>
      <c r="J852" t="n">
        <v>0</v>
      </c>
      <c r="K852" t="n">
        <v>0</v>
      </c>
      <c r="L852" t="n">
        <v>0</v>
      </c>
      <c r="M852" t="n">
        <v>0</v>
      </c>
      <c r="N852" t="n">
        <v>0</v>
      </c>
      <c r="O852" t="n">
        <v>0</v>
      </c>
      <c r="P852" t="n">
        <v>0</v>
      </c>
      <c r="Q852" t="n">
        <v>0</v>
      </c>
      <c r="R852" s="2" t="inlineStr"/>
    </row>
    <row r="853" ht="15" customHeight="1">
      <c r="A853" t="inlineStr">
        <is>
          <t>A 11998-2026</t>
        </is>
      </c>
      <c r="B853" s="1" t="n">
        <v>46085</v>
      </c>
      <c r="C853" s="1" t="n">
        <v>46165</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56767-2025</t>
        </is>
      </c>
      <c r="B854" s="1" t="n">
        <v>45978.38178240741</v>
      </c>
      <c r="C854" s="1" t="n">
        <v>46165</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56769-2025</t>
        </is>
      </c>
      <c r="B855" s="1" t="n">
        <v>45978.38429398148</v>
      </c>
      <c r="C855" s="1" t="n">
        <v>46165</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40202-2022</t>
        </is>
      </c>
      <c r="B856" s="1" t="n">
        <v>44820.60614583334</v>
      </c>
      <c r="C856" s="1" t="n">
        <v>46165</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12493-2026</t>
        </is>
      </c>
      <c r="B857" s="1" t="n">
        <v>46090</v>
      </c>
      <c r="C857" s="1" t="n">
        <v>46165</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19003-2026</t>
        </is>
      </c>
      <c r="B858" s="1" t="n">
        <v>46129.86017361111</v>
      </c>
      <c r="C858" s="1" t="n">
        <v>46165</v>
      </c>
      <c r="D858" t="inlineStr">
        <is>
          <t>SKÅNE LÄN</t>
        </is>
      </c>
      <c r="E858" t="inlineStr">
        <is>
          <t>HÄSSLEHOLM</t>
        </is>
      </c>
      <c r="G858" t="n">
        <v>9</v>
      </c>
      <c r="H858" t="n">
        <v>0</v>
      </c>
      <c r="I858" t="n">
        <v>0</v>
      </c>
      <c r="J858" t="n">
        <v>0</v>
      </c>
      <c r="K858" t="n">
        <v>0</v>
      </c>
      <c r="L858" t="n">
        <v>0</v>
      </c>
      <c r="M858" t="n">
        <v>0</v>
      </c>
      <c r="N858" t="n">
        <v>0</v>
      </c>
      <c r="O858" t="n">
        <v>0</v>
      </c>
      <c r="P858" t="n">
        <v>0</v>
      </c>
      <c r="Q858" t="n">
        <v>0</v>
      </c>
      <c r="R858" s="2" t="inlineStr"/>
    </row>
    <row r="859" ht="15" customHeight="1">
      <c r="A859" t="inlineStr">
        <is>
          <t>A 4382-2023</t>
        </is>
      </c>
      <c r="B859" s="1" t="n">
        <v>44955.61152777778</v>
      </c>
      <c r="C859" s="1" t="n">
        <v>46165</v>
      </c>
      <c r="D859" t="inlineStr">
        <is>
          <t>SKÅNE LÄN</t>
        </is>
      </c>
      <c r="E859" t="inlineStr">
        <is>
          <t>HÄSSLEHOLM</t>
        </is>
      </c>
      <c r="G859" t="n">
        <v>0.3</v>
      </c>
      <c r="H859" t="n">
        <v>0</v>
      </c>
      <c r="I859" t="n">
        <v>0</v>
      </c>
      <c r="J859" t="n">
        <v>0</v>
      </c>
      <c r="K859" t="n">
        <v>0</v>
      </c>
      <c r="L859" t="n">
        <v>0</v>
      </c>
      <c r="M859" t="n">
        <v>0</v>
      </c>
      <c r="N859" t="n">
        <v>0</v>
      </c>
      <c r="O859" t="n">
        <v>0</v>
      </c>
      <c r="P859" t="n">
        <v>0</v>
      </c>
      <c r="Q859" t="n">
        <v>0</v>
      </c>
      <c r="R859" s="2" t="inlineStr"/>
    </row>
    <row r="860" ht="15" customHeight="1">
      <c r="A860" t="inlineStr">
        <is>
          <t>A 19101-2026</t>
        </is>
      </c>
      <c r="B860" s="1" t="n">
        <v>46132.43923611111</v>
      </c>
      <c r="C860" s="1" t="n">
        <v>46165</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52608-2023</t>
        </is>
      </c>
      <c r="B861" s="1" t="n">
        <v>45219</v>
      </c>
      <c r="C861" s="1" t="n">
        <v>46165</v>
      </c>
      <c r="D861" t="inlineStr">
        <is>
          <t>SKÅNE LÄN</t>
        </is>
      </c>
      <c r="E861" t="inlineStr">
        <is>
          <t>HÄSSLEHOLM</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27954-2022</t>
        </is>
      </c>
      <c r="B862" s="1" t="n">
        <v>44743</v>
      </c>
      <c r="C862" s="1" t="n">
        <v>46165</v>
      </c>
      <c r="D862" t="inlineStr">
        <is>
          <t>SKÅNE LÄN</t>
        </is>
      </c>
      <c r="E862" t="inlineStr">
        <is>
          <t>HÄSSLEHOLM</t>
        </is>
      </c>
      <c r="G862" t="n">
        <v>9.4</v>
      </c>
      <c r="H862" t="n">
        <v>0</v>
      </c>
      <c r="I862" t="n">
        <v>0</v>
      </c>
      <c r="J862" t="n">
        <v>0</v>
      </c>
      <c r="K862" t="n">
        <v>0</v>
      </c>
      <c r="L862" t="n">
        <v>0</v>
      </c>
      <c r="M862" t="n">
        <v>0</v>
      </c>
      <c r="N862" t="n">
        <v>0</v>
      </c>
      <c r="O862" t="n">
        <v>0</v>
      </c>
      <c r="P862" t="n">
        <v>0</v>
      </c>
      <c r="Q862" t="n">
        <v>0</v>
      </c>
      <c r="R862" s="2" t="inlineStr"/>
    </row>
    <row r="863" ht="15" customHeight="1">
      <c r="A863" t="inlineStr">
        <is>
          <t>A 20493-2024</t>
        </is>
      </c>
      <c r="B863" s="1" t="n">
        <v>45435</v>
      </c>
      <c r="C863" s="1" t="n">
        <v>46165</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41873-2023</t>
        </is>
      </c>
      <c r="B864" s="1" t="n">
        <v>45176</v>
      </c>
      <c r="C864" s="1" t="n">
        <v>46165</v>
      </c>
      <c r="D864" t="inlineStr">
        <is>
          <t>SKÅNE LÄN</t>
        </is>
      </c>
      <c r="E864" t="inlineStr">
        <is>
          <t>HÄSSLEHOLM</t>
        </is>
      </c>
      <c r="G864" t="n">
        <v>2.8</v>
      </c>
      <c r="H864" t="n">
        <v>0</v>
      </c>
      <c r="I864" t="n">
        <v>0</v>
      </c>
      <c r="J864" t="n">
        <v>0</v>
      </c>
      <c r="K864" t="n">
        <v>0</v>
      </c>
      <c r="L864" t="n">
        <v>0</v>
      </c>
      <c r="M864" t="n">
        <v>0</v>
      </c>
      <c r="N864" t="n">
        <v>0</v>
      </c>
      <c r="O864" t="n">
        <v>0</v>
      </c>
      <c r="P864" t="n">
        <v>0</v>
      </c>
      <c r="Q864" t="n">
        <v>0</v>
      </c>
      <c r="R864" s="2" t="inlineStr"/>
    </row>
    <row r="865" ht="15" customHeight="1">
      <c r="A865" t="inlineStr">
        <is>
          <t>A 19318-2026</t>
        </is>
      </c>
      <c r="B865" s="1" t="n">
        <v>46133.39378472222</v>
      </c>
      <c r="C865" s="1" t="n">
        <v>46165</v>
      </c>
      <c r="D865" t="inlineStr">
        <is>
          <t>SKÅNE LÄN</t>
        </is>
      </c>
      <c r="E865" t="inlineStr">
        <is>
          <t>HÄSSLEHOLM</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41998-2021</t>
        </is>
      </c>
      <c r="B866" s="1" t="n">
        <v>44425</v>
      </c>
      <c r="C866" s="1" t="n">
        <v>46165</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35712-2024</t>
        </is>
      </c>
      <c r="B867" s="1" t="n">
        <v>45532</v>
      </c>
      <c r="C867" s="1" t="n">
        <v>46165</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61691-2021</t>
        </is>
      </c>
      <c r="B868" s="1" t="n">
        <v>44501</v>
      </c>
      <c r="C868" s="1" t="n">
        <v>46165</v>
      </c>
      <c r="D868" t="inlineStr">
        <is>
          <t>SKÅNE LÄN</t>
        </is>
      </c>
      <c r="E868" t="inlineStr">
        <is>
          <t>HÄSSLEHOLM</t>
        </is>
      </c>
      <c r="G868" t="n">
        <v>0.9</v>
      </c>
      <c r="H868" t="n">
        <v>0</v>
      </c>
      <c r="I868" t="n">
        <v>0</v>
      </c>
      <c r="J868" t="n">
        <v>0</v>
      </c>
      <c r="K868" t="n">
        <v>0</v>
      </c>
      <c r="L868" t="n">
        <v>0</v>
      </c>
      <c r="M868" t="n">
        <v>0</v>
      </c>
      <c r="N868" t="n">
        <v>0</v>
      </c>
      <c r="O868" t="n">
        <v>0</v>
      </c>
      <c r="P868" t="n">
        <v>0</v>
      </c>
      <c r="Q868" t="n">
        <v>0</v>
      </c>
      <c r="R868" s="2" t="inlineStr"/>
    </row>
    <row r="869" ht="15" customHeight="1">
      <c r="A869" t="inlineStr">
        <is>
          <t>A 19642-2026</t>
        </is>
      </c>
      <c r="B869" s="1" t="n">
        <v>46134.57986111111</v>
      </c>
      <c r="C869" s="1" t="n">
        <v>46165</v>
      </c>
      <c r="D869" t="inlineStr">
        <is>
          <t>SKÅNE LÄN</t>
        </is>
      </c>
      <c r="E869" t="inlineStr">
        <is>
          <t>HÄSSLEHOLM</t>
        </is>
      </c>
      <c r="G869" t="n">
        <v>1.4</v>
      </c>
      <c r="H869" t="n">
        <v>0</v>
      </c>
      <c r="I869" t="n">
        <v>0</v>
      </c>
      <c r="J869" t="n">
        <v>0</v>
      </c>
      <c r="K869" t="n">
        <v>0</v>
      </c>
      <c r="L869" t="n">
        <v>0</v>
      </c>
      <c r="M869" t="n">
        <v>0</v>
      </c>
      <c r="N869" t="n">
        <v>0</v>
      </c>
      <c r="O869" t="n">
        <v>0</v>
      </c>
      <c r="P869" t="n">
        <v>0</v>
      </c>
      <c r="Q869" t="n">
        <v>0</v>
      </c>
      <c r="R869" s="2" t="inlineStr"/>
    </row>
    <row r="870" ht="15" customHeight="1">
      <c r="A870" t="inlineStr">
        <is>
          <t>A 57647-2024</t>
        </is>
      </c>
      <c r="B870" s="1" t="n">
        <v>45630</v>
      </c>
      <c r="C870" s="1" t="n">
        <v>46165</v>
      </c>
      <c r="D870" t="inlineStr">
        <is>
          <t>SKÅNE LÄN</t>
        </is>
      </c>
      <c r="E870" t="inlineStr">
        <is>
          <t>HÄSSLEHOLM</t>
        </is>
      </c>
      <c r="G870" t="n">
        <v>2.9</v>
      </c>
      <c r="H870" t="n">
        <v>0</v>
      </c>
      <c r="I870" t="n">
        <v>0</v>
      </c>
      <c r="J870" t="n">
        <v>0</v>
      </c>
      <c r="K870" t="n">
        <v>0</v>
      </c>
      <c r="L870" t="n">
        <v>0</v>
      </c>
      <c r="M870" t="n">
        <v>0</v>
      </c>
      <c r="N870" t="n">
        <v>0</v>
      </c>
      <c r="O870" t="n">
        <v>0</v>
      </c>
      <c r="P870" t="n">
        <v>0</v>
      </c>
      <c r="Q870" t="n">
        <v>0</v>
      </c>
      <c r="R870" s="2" t="inlineStr"/>
    </row>
    <row r="871" ht="15" customHeight="1">
      <c r="A871" t="inlineStr">
        <is>
          <t>A 20564-2023</t>
        </is>
      </c>
      <c r="B871" s="1" t="n">
        <v>45057</v>
      </c>
      <c r="C871" s="1" t="n">
        <v>46165</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46641-2023</t>
        </is>
      </c>
      <c r="B872" s="1" t="n">
        <v>45198.44523148148</v>
      </c>
      <c r="C872" s="1" t="n">
        <v>46165</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8239-2025</t>
        </is>
      </c>
      <c r="B873" s="1" t="n">
        <v>45708.47984953703</v>
      </c>
      <c r="C873" s="1" t="n">
        <v>46165</v>
      </c>
      <c r="D873" t="inlineStr">
        <is>
          <t>SKÅNE LÄN</t>
        </is>
      </c>
      <c r="E873" t="inlineStr">
        <is>
          <t>HÄSSLEHOLM</t>
        </is>
      </c>
      <c r="G873" t="n">
        <v>2.7</v>
      </c>
      <c r="H873" t="n">
        <v>0</v>
      </c>
      <c r="I873" t="n">
        <v>0</v>
      </c>
      <c r="J873" t="n">
        <v>0</v>
      </c>
      <c r="K873" t="n">
        <v>0</v>
      </c>
      <c r="L873" t="n">
        <v>0</v>
      </c>
      <c r="M873" t="n">
        <v>0</v>
      </c>
      <c r="N873" t="n">
        <v>0</v>
      </c>
      <c r="O873" t="n">
        <v>0</v>
      </c>
      <c r="P873" t="n">
        <v>0</v>
      </c>
      <c r="Q873" t="n">
        <v>0</v>
      </c>
      <c r="R873" s="2" t="inlineStr"/>
    </row>
    <row r="874" ht="15" customHeight="1">
      <c r="A874" t="inlineStr">
        <is>
          <t>A 46645-2023</t>
        </is>
      </c>
      <c r="B874" s="1" t="n">
        <v>45198.44686342592</v>
      </c>
      <c r="C874" s="1" t="n">
        <v>46165</v>
      </c>
      <c r="D874" t="inlineStr">
        <is>
          <t>SKÅNE LÄN</t>
        </is>
      </c>
      <c r="E874" t="inlineStr">
        <is>
          <t>HÄSSLEHOLM</t>
        </is>
      </c>
      <c r="G874" t="n">
        <v>1.5</v>
      </c>
      <c r="H874" t="n">
        <v>0</v>
      </c>
      <c r="I874" t="n">
        <v>0</v>
      </c>
      <c r="J874" t="n">
        <v>0</v>
      </c>
      <c r="K874" t="n">
        <v>0</v>
      </c>
      <c r="L874" t="n">
        <v>0</v>
      </c>
      <c r="M874" t="n">
        <v>0</v>
      </c>
      <c r="N874" t="n">
        <v>0</v>
      </c>
      <c r="O874" t="n">
        <v>0</v>
      </c>
      <c r="P874" t="n">
        <v>0</v>
      </c>
      <c r="Q874" t="n">
        <v>0</v>
      </c>
      <c r="R874" s="2" t="inlineStr"/>
    </row>
    <row r="875" ht="15" customHeight="1">
      <c r="A875" t="inlineStr">
        <is>
          <t>A 13199-2026</t>
        </is>
      </c>
      <c r="B875" s="1" t="n">
        <v>46093</v>
      </c>
      <c r="C875" s="1" t="n">
        <v>46165</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13280-2026</t>
        </is>
      </c>
      <c r="B876" s="1" t="n">
        <v>46093.74789351852</v>
      </c>
      <c r="C876" s="1" t="n">
        <v>46165</v>
      </c>
      <c r="D876" t="inlineStr">
        <is>
          <t>SKÅNE LÄN</t>
        </is>
      </c>
      <c r="E876" t="inlineStr">
        <is>
          <t>HÄSSLEHOLM</t>
        </is>
      </c>
      <c r="G876" t="n">
        <v>4.4</v>
      </c>
      <c r="H876" t="n">
        <v>0</v>
      </c>
      <c r="I876" t="n">
        <v>0</v>
      </c>
      <c r="J876" t="n">
        <v>0</v>
      </c>
      <c r="K876" t="n">
        <v>0</v>
      </c>
      <c r="L876" t="n">
        <v>0</v>
      </c>
      <c r="M876" t="n">
        <v>0</v>
      </c>
      <c r="N876" t="n">
        <v>0</v>
      </c>
      <c r="O876" t="n">
        <v>0</v>
      </c>
      <c r="P876" t="n">
        <v>0</v>
      </c>
      <c r="Q876" t="n">
        <v>0</v>
      </c>
      <c r="R876" s="2" t="inlineStr"/>
    </row>
    <row r="877" ht="15" customHeight="1">
      <c r="A877" t="inlineStr">
        <is>
          <t>A 31986-2023</t>
        </is>
      </c>
      <c r="B877" s="1" t="n">
        <v>45119</v>
      </c>
      <c r="C877" s="1" t="n">
        <v>46165</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62044-2022</t>
        </is>
      </c>
      <c r="B878" s="1" t="n">
        <v>44918.55976851852</v>
      </c>
      <c r="C878" s="1" t="n">
        <v>46165</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6619-2024</t>
        </is>
      </c>
      <c r="B879" s="1" t="n">
        <v>45341.6021412037</v>
      </c>
      <c r="C879" s="1" t="n">
        <v>46165</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13282-2026</t>
        </is>
      </c>
      <c r="B880" s="1" t="n">
        <v>46093.75166666666</v>
      </c>
      <c r="C880" s="1" t="n">
        <v>46165</v>
      </c>
      <c r="D880" t="inlineStr">
        <is>
          <t>SKÅNE LÄN</t>
        </is>
      </c>
      <c r="E880" t="inlineStr">
        <is>
          <t>HÄSSLEHOLM</t>
        </is>
      </c>
      <c r="G880" t="n">
        <v>1.8</v>
      </c>
      <c r="H880" t="n">
        <v>0</v>
      </c>
      <c r="I880" t="n">
        <v>0</v>
      </c>
      <c r="J880" t="n">
        <v>0</v>
      </c>
      <c r="K880" t="n">
        <v>0</v>
      </c>
      <c r="L880" t="n">
        <v>0</v>
      </c>
      <c r="M880" t="n">
        <v>0</v>
      </c>
      <c r="N880" t="n">
        <v>0</v>
      </c>
      <c r="O880" t="n">
        <v>0</v>
      </c>
      <c r="P880" t="n">
        <v>0</v>
      </c>
      <c r="Q880" t="n">
        <v>0</v>
      </c>
      <c r="R880" s="2" t="inlineStr"/>
    </row>
    <row r="881" ht="15" customHeight="1">
      <c r="A881" t="inlineStr">
        <is>
          <t>A 52341-2023</t>
        </is>
      </c>
      <c r="B881" s="1" t="n">
        <v>45224.67006944444</v>
      </c>
      <c r="C881" s="1" t="n">
        <v>46165</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20381-2026</t>
        </is>
      </c>
      <c r="B882" s="1" t="n">
        <v>46139</v>
      </c>
      <c r="C882" s="1" t="n">
        <v>46165</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27464-2022</t>
        </is>
      </c>
      <c r="B883" s="1" t="n">
        <v>44742.58704861111</v>
      </c>
      <c r="C883" s="1" t="n">
        <v>46165</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13910-2026</t>
        </is>
      </c>
      <c r="B884" s="1" t="n">
        <v>46098</v>
      </c>
      <c r="C884" s="1" t="n">
        <v>46165</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20382-2026</t>
        </is>
      </c>
      <c r="B885" s="1" t="n">
        <v>46139</v>
      </c>
      <c r="C885" s="1" t="n">
        <v>46165</v>
      </c>
      <c r="D885" t="inlineStr">
        <is>
          <t>SKÅNE LÄN</t>
        </is>
      </c>
      <c r="E885" t="inlineStr">
        <is>
          <t>HÄSSLEHOLM</t>
        </is>
      </c>
      <c r="G885" t="n">
        <v>0.7</v>
      </c>
      <c r="H885" t="n">
        <v>0</v>
      </c>
      <c r="I885" t="n">
        <v>0</v>
      </c>
      <c r="J885" t="n">
        <v>0</v>
      </c>
      <c r="K885" t="n">
        <v>0</v>
      </c>
      <c r="L885" t="n">
        <v>0</v>
      </c>
      <c r="M885" t="n">
        <v>0</v>
      </c>
      <c r="N885" t="n">
        <v>0</v>
      </c>
      <c r="O885" t="n">
        <v>0</v>
      </c>
      <c r="P885" t="n">
        <v>0</v>
      </c>
      <c r="Q885" t="n">
        <v>0</v>
      </c>
      <c r="R885" s="2" t="inlineStr"/>
    </row>
    <row r="886" ht="15" customHeight="1">
      <c r="A886" t="inlineStr">
        <is>
          <t>A 13842-2026</t>
        </is>
      </c>
      <c r="B886" s="1" t="n">
        <v>46098.37758101852</v>
      </c>
      <c r="C886" s="1" t="n">
        <v>46165</v>
      </c>
      <c r="D886" t="inlineStr">
        <is>
          <t>SKÅNE LÄN</t>
        </is>
      </c>
      <c r="E886" t="inlineStr">
        <is>
          <t>HÄSSLEHOLM</t>
        </is>
      </c>
      <c r="G886" t="n">
        <v>10</v>
      </c>
      <c r="H886" t="n">
        <v>0</v>
      </c>
      <c r="I886" t="n">
        <v>0</v>
      </c>
      <c r="J886" t="n">
        <v>0</v>
      </c>
      <c r="K886" t="n">
        <v>0</v>
      </c>
      <c r="L886" t="n">
        <v>0</v>
      </c>
      <c r="M886" t="n">
        <v>0</v>
      </c>
      <c r="N886" t="n">
        <v>0</v>
      </c>
      <c r="O886" t="n">
        <v>0</v>
      </c>
      <c r="P886" t="n">
        <v>0</v>
      </c>
      <c r="Q886" t="n">
        <v>0</v>
      </c>
      <c r="R886" s="2" t="inlineStr"/>
    </row>
    <row r="887" ht="15" customHeight="1">
      <c r="A887" t="inlineStr">
        <is>
          <t>A 13886-2026</t>
        </is>
      </c>
      <c r="B887" s="1" t="n">
        <v>46098</v>
      </c>
      <c r="C887" s="1" t="n">
        <v>46165</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6798-2025</t>
        </is>
      </c>
      <c r="B888" s="1" t="n">
        <v>45700.668125</v>
      </c>
      <c r="C888" s="1" t="n">
        <v>46165</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13588-2026</t>
        </is>
      </c>
      <c r="B889" s="1" t="n">
        <v>46095.80452546296</v>
      </c>
      <c r="C889" s="1" t="n">
        <v>46165</v>
      </c>
      <c r="D889" t="inlineStr">
        <is>
          <t>SKÅNE LÄN</t>
        </is>
      </c>
      <c r="E889" t="inlineStr">
        <is>
          <t>HÄSSLEHOLM</t>
        </is>
      </c>
      <c r="G889" t="n">
        <v>1.8</v>
      </c>
      <c r="H889" t="n">
        <v>0</v>
      </c>
      <c r="I889" t="n">
        <v>0</v>
      </c>
      <c r="J889" t="n">
        <v>0</v>
      </c>
      <c r="K889" t="n">
        <v>0</v>
      </c>
      <c r="L889" t="n">
        <v>0</v>
      </c>
      <c r="M889" t="n">
        <v>0</v>
      </c>
      <c r="N889" t="n">
        <v>0</v>
      </c>
      <c r="O889" t="n">
        <v>0</v>
      </c>
      <c r="P889" t="n">
        <v>0</v>
      </c>
      <c r="Q889" t="n">
        <v>0</v>
      </c>
      <c r="R889" s="2" t="inlineStr"/>
    </row>
    <row r="890" ht="15" customHeight="1">
      <c r="A890" t="inlineStr">
        <is>
          <t>A 10752-2025</t>
        </is>
      </c>
      <c r="B890" s="1" t="n">
        <v>45722</v>
      </c>
      <c r="C890" s="1" t="n">
        <v>46165</v>
      </c>
      <c r="D890" t="inlineStr">
        <is>
          <t>SKÅNE LÄN</t>
        </is>
      </c>
      <c r="E890" t="inlineStr">
        <is>
          <t>HÄSSLEHOLM</t>
        </is>
      </c>
      <c r="G890" t="n">
        <v>1.2</v>
      </c>
      <c r="H890" t="n">
        <v>0</v>
      </c>
      <c r="I890" t="n">
        <v>0</v>
      </c>
      <c r="J890" t="n">
        <v>0</v>
      </c>
      <c r="K890" t="n">
        <v>0</v>
      </c>
      <c r="L890" t="n">
        <v>0</v>
      </c>
      <c r="M890" t="n">
        <v>0</v>
      </c>
      <c r="N890" t="n">
        <v>0</v>
      </c>
      <c r="O890" t="n">
        <v>0</v>
      </c>
      <c r="P890" t="n">
        <v>0</v>
      </c>
      <c r="Q890" t="n">
        <v>0</v>
      </c>
      <c r="R890" s="2" t="inlineStr"/>
    </row>
    <row r="891" ht="15" customHeight="1">
      <c r="A891" t="inlineStr">
        <is>
          <t>A 13906-2026</t>
        </is>
      </c>
      <c r="B891" s="1" t="n">
        <v>46098</v>
      </c>
      <c r="C891" s="1" t="n">
        <v>46165</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14008-2023</t>
        </is>
      </c>
      <c r="B892" s="1" t="n">
        <v>45008.56725694444</v>
      </c>
      <c r="C892" s="1" t="n">
        <v>46165</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315-2022</t>
        </is>
      </c>
      <c r="B893" s="1" t="n">
        <v>44565.55630787037</v>
      </c>
      <c r="C893" s="1" t="n">
        <v>46165</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42372-2024</t>
        </is>
      </c>
      <c r="B894" s="1" t="n">
        <v>45564.5127199074</v>
      </c>
      <c r="C894" s="1" t="n">
        <v>46165</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17138-2025</t>
        </is>
      </c>
      <c r="B895" s="1" t="n">
        <v>45755.80378472222</v>
      </c>
      <c r="C895" s="1" t="n">
        <v>46165</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57695-2023</t>
        </is>
      </c>
      <c r="B896" s="1" t="n">
        <v>45246</v>
      </c>
      <c r="C896" s="1" t="n">
        <v>46165</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12162-2023</t>
        </is>
      </c>
      <c r="B897" s="1" t="n">
        <v>44998.49619212963</v>
      </c>
      <c r="C897" s="1" t="n">
        <v>46165</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14541-2026</t>
        </is>
      </c>
      <c r="B898" s="1" t="n">
        <v>46100.67851851852</v>
      </c>
      <c r="C898" s="1" t="n">
        <v>46165</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14538-2026</t>
        </is>
      </c>
      <c r="B899" s="1" t="n">
        <v>46100.67711805556</v>
      </c>
      <c r="C899" s="1" t="n">
        <v>46165</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14191-2026</t>
        </is>
      </c>
      <c r="B900" s="1" t="n">
        <v>46099.528125</v>
      </c>
      <c r="C900" s="1" t="n">
        <v>46165</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19831-2026</t>
        </is>
      </c>
      <c r="B901" s="1" t="n">
        <v>46135</v>
      </c>
      <c r="C901" s="1" t="n">
        <v>46165</v>
      </c>
      <c r="D901" t="inlineStr">
        <is>
          <t>SKÅNE LÄN</t>
        </is>
      </c>
      <c r="E901" t="inlineStr">
        <is>
          <t>HÄSSLEHOLM</t>
        </is>
      </c>
      <c r="G901" t="n">
        <v>2.8</v>
      </c>
      <c r="H901" t="n">
        <v>0</v>
      </c>
      <c r="I901" t="n">
        <v>0</v>
      </c>
      <c r="J901" t="n">
        <v>0</v>
      </c>
      <c r="K901" t="n">
        <v>0</v>
      </c>
      <c r="L901" t="n">
        <v>0</v>
      </c>
      <c r="M901" t="n">
        <v>0</v>
      </c>
      <c r="N901" t="n">
        <v>0</v>
      </c>
      <c r="O901" t="n">
        <v>0</v>
      </c>
      <c r="P901" t="n">
        <v>0</v>
      </c>
      <c r="Q901" t="n">
        <v>0</v>
      </c>
      <c r="R901" s="2" t="inlineStr"/>
    </row>
    <row r="902" ht="15" customHeight="1">
      <c r="A902" t="inlineStr">
        <is>
          <t>A 13347-2025</t>
        </is>
      </c>
      <c r="B902" s="1" t="n">
        <v>45735.63175925926</v>
      </c>
      <c r="C902" s="1" t="n">
        <v>46165</v>
      </c>
      <c r="D902" t="inlineStr">
        <is>
          <t>SKÅNE LÄN</t>
        </is>
      </c>
      <c r="E902" t="inlineStr">
        <is>
          <t>HÄSSLEHOLM</t>
        </is>
      </c>
      <c r="G902" t="n">
        <v>0.7</v>
      </c>
      <c r="H902" t="n">
        <v>0</v>
      </c>
      <c r="I902" t="n">
        <v>0</v>
      </c>
      <c r="J902" t="n">
        <v>0</v>
      </c>
      <c r="K902" t="n">
        <v>0</v>
      </c>
      <c r="L902" t="n">
        <v>0</v>
      </c>
      <c r="M902" t="n">
        <v>0</v>
      </c>
      <c r="N902" t="n">
        <v>0</v>
      </c>
      <c r="O902" t="n">
        <v>0</v>
      </c>
      <c r="P902" t="n">
        <v>0</v>
      </c>
      <c r="Q902" t="n">
        <v>0</v>
      </c>
      <c r="R902" s="2" t="inlineStr"/>
    </row>
    <row r="903" ht="15" customHeight="1">
      <c r="A903" t="inlineStr">
        <is>
          <t>A 4916-2024</t>
        </is>
      </c>
      <c r="B903" s="1" t="n">
        <v>45329</v>
      </c>
      <c r="C903" s="1" t="n">
        <v>46165</v>
      </c>
      <c r="D903" t="inlineStr">
        <is>
          <t>SKÅNE LÄN</t>
        </is>
      </c>
      <c r="E903" t="inlineStr">
        <is>
          <t>HÄSSLEHOLM</t>
        </is>
      </c>
      <c r="G903" t="n">
        <v>1.3</v>
      </c>
      <c r="H903" t="n">
        <v>0</v>
      </c>
      <c r="I903" t="n">
        <v>0</v>
      </c>
      <c r="J903" t="n">
        <v>0</v>
      </c>
      <c r="K903" t="n">
        <v>0</v>
      </c>
      <c r="L903" t="n">
        <v>0</v>
      </c>
      <c r="M903" t="n">
        <v>0</v>
      </c>
      <c r="N903" t="n">
        <v>0</v>
      </c>
      <c r="O903" t="n">
        <v>0</v>
      </c>
      <c r="P903" t="n">
        <v>0</v>
      </c>
      <c r="Q903" t="n">
        <v>0</v>
      </c>
      <c r="R903" s="2" t="inlineStr"/>
    </row>
    <row r="904" ht="15" customHeight="1">
      <c r="A904" t="inlineStr">
        <is>
          <t>A 27175-2024</t>
        </is>
      </c>
      <c r="B904" s="1" t="n">
        <v>45471.57111111111</v>
      </c>
      <c r="C904" s="1" t="n">
        <v>46165</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54658-2023</t>
        </is>
      </c>
      <c r="B905" s="1" t="n">
        <v>45235</v>
      </c>
      <c r="C905" s="1" t="n">
        <v>46165</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23666-2023</t>
        </is>
      </c>
      <c r="B906" s="1" t="n">
        <v>45077</v>
      </c>
      <c r="C906" s="1" t="n">
        <v>46165</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3726-2024</t>
        </is>
      </c>
      <c r="B907" s="1" t="n">
        <v>45321</v>
      </c>
      <c r="C907" s="1" t="n">
        <v>46165</v>
      </c>
      <c r="D907" t="inlineStr">
        <is>
          <t>SKÅNE LÄN</t>
        </is>
      </c>
      <c r="E907" t="inlineStr">
        <is>
          <t>HÄSSLEHOLM</t>
        </is>
      </c>
      <c r="G907" t="n">
        <v>0.3</v>
      </c>
      <c r="H907" t="n">
        <v>0</v>
      </c>
      <c r="I907" t="n">
        <v>0</v>
      </c>
      <c r="J907" t="n">
        <v>0</v>
      </c>
      <c r="K907" t="n">
        <v>0</v>
      </c>
      <c r="L907" t="n">
        <v>0</v>
      </c>
      <c r="M907" t="n">
        <v>0</v>
      </c>
      <c r="N907" t="n">
        <v>0</v>
      </c>
      <c r="O907" t="n">
        <v>0</v>
      </c>
      <c r="P907" t="n">
        <v>0</v>
      </c>
      <c r="Q907" t="n">
        <v>0</v>
      </c>
      <c r="R907" s="2" t="inlineStr"/>
    </row>
    <row r="908" ht="15" customHeight="1">
      <c r="A908" t="inlineStr">
        <is>
          <t>A 53085-2022</t>
        </is>
      </c>
      <c r="B908" s="1" t="n">
        <v>44873</v>
      </c>
      <c r="C908" s="1" t="n">
        <v>46165</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28211-2022</t>
        </is>
      </c>
      <c r="B909" s="1" t="n">
        <v>44746</v>
      </c>
      <c r="C909" s="1" t="n">
        <v>46165</v>
      </c>
      <c r="D909" t="inlineStr">
        <is>
          <t>SKÅNE LÄN</t>
        </is>
      </c>
      <c r="E909" t="inlineStr">
        <is>
          <t>HÄSSLEHOLM</t>
        </is>
      </c>
      <c r="G909" t="n">
        <v>2.8</v>
      </c>
      <c r="H909" t="n">
        <v>0</v>
      </c>
      <c r="I909" t="n">
        <v>0</v>
      </c>
      <c r="J909" t="n">
        <v>0</v>
      </c>
      <c r="K909" t="n">
        <v>0</v>
      </c>
      <c r="L909" t="n">
        <v>0</v>
      </c>
      <c r="M909" t="n">
        <v>0</v>
      </c>
      <c r="N909" t="n">
        <v>0</v>
      </c>
      <c r="O909" t="n">
        <v>0</v>
      </c>
      <c r="P909" t="n">
        <v>0</v>
      </c>
      <c r="Q909" t="n">
        <v>0</v>
      </c>
      <c r="R909" s="2" t="inlineStr"/>
    </row>
    <row r="910" ht="15" customHeight="1">
      <c r="A910" t="inlineStr">
        <is>
          <t>A 14471-2026</t>
        </is>
      </c>
      <c r="B910" s="1" t="n">
        <v>46100.56711805556</v>
      </c>
      <c r="C910" s="1" t="n">
        <v>46165</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15990-2023</t>
        </is>
      </c>
      <c r="B911" s="1" t="n">
        <v>45023.39584490741</v>
      </c>
      <c r="C911" s="1" t="n">
        <v>46165</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26207-2021</t>
        </is>
      </c>
      <c r="B912" s="1" t="n">
        <v>44347</v>
      </c>
      <c r="C912" s="1" t="n">
        <v>46165</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62199-2022</t>
        </is>
      </c>
      <c r="B913" s="1" t="n">
        <v>44915</v>
      </c>
      <c r="C913" s="1" t="n">
        <v>46165</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14540-2026</t>
        </is>
      </c>
      <c r="B914" s="1" t="n">
        <v>46100.67826388889</v>
      </c>
      <c r="C914" s="1" t="n">
        <v>46165</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9098-2022</t>
        </is>
      </c>
      <c r="B915" s="1" t="n">
        <v>44615</v>
      </c>
      <c r="C915" s="1" t="n">
        <v>46165</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19151-2023</t>
        </is>
      </c>
      <c r="B916" s="1" t="n">
        <v>45044</v>
      </c>
      <c r="C916" s="1" t="n">
        <v>46165</v>
      </c>
      <c r="D916" t="inlineStr">
        <is>
          <t>SKÅNE LÄN</t>
        </is>
      </c>
      <c r="E916" t="inlineStr">
        <is>
          <t>HÄSSLEHOLM</t>
        </is>
      </c>
      <c r="G916" t="n">
        <v>1</v>
      </c>
      <c r="H916" t="n">
        <v>0</v>
      </c>
      <c r="I916" t="n">
        <v>0</v>
      </c>
      <c r="J916" t="n">
        <v>0</v>
      </c>
      <c r="K916" t="n">
        <v>0</v>
      </c>
      <c r="L916" t="n">
        <v>0</v>
      </c>
      <c r="M916" t="n">
        <v>0</v>
      </c>
      <c r="N916" t="n">
        <v>0</v>
      </c>
      <c r="O916" t="n">
        <v>0</v>
      </c>
      <c r="P916" t="n">
        <v>0</v>
      </c>
      <c r="Q916" t="n">
        <v>0</v>
      </c>
      <c r="R916" s="2" t="inlineStr"/>
    </row>
    <row r="917" ht="15" customHeight="1">
      <c r="A917" t="inlineStr">
        <is>
          <t>A 14549-2026</t>
        </is>
      </c>
      <c r="B917" s="1" t="n">
        <v>46100</v>
      </c>
      <c r="C917" s="1" t="n">
        <v>46165</v>
      </c>
      <c r="D917" t="inlineStr">
        <is>
          <t>SKÅNE LÄN</t>
        </is>
      </c>
      <c r="E917" t="inlineStr">
        <is>
          <t>HÄSSLEHOLM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2688-2024</t>
        </is>
      </c>
      <c r="B918" s="1" t="n">
        <v>45314</v>
      </c>
      <c r="C918" s="1" t="n">
        <v>46165</v>
      </c>
      <c r="D918" t="inlineStr">
        <is>
          <t>SKÅNE LÄN</t>
        </is>
      </c>
      <c r="E918" t="inlineStr">
        <is>
          <t>HÄSSLEHOLM</t>
        </is>
      </c>
      <c r="F918" t="inlineStr">
        <is>
          <t>Övriga Aktiebolag</t>
        </is>
      </c>
      <c r="G918" t="n">
        <v>2.8</v>
      </c>
      <c r="H918" t="n">
        <v>0</v>
      </c>
      <c r="I918" t="n">
        <v>0</v>
      </c>
      <c r="J918" t="n">
        <v>0</v>
      </c>
      <c r="K918" t="n">
        <v>0</v>
      </c>
      <c r="L918" t="n">
        <v>0</v>
      </c>
      <c r="M918" t="n">
        <v>0</v>
      </c>
      <c r="N918" t="n">
        <v>0</v>
      </c>
      <c r="O918" t="n">
        <v>0</v>
      </c>
      <c r="P918" t="n">
        <v>0</v>
      </c>
      <c r="Q918" t="n">
        <v>0</v>
      </c>
      <c r="R918" s="2" t="inlineStr"/>
    </row>
    <row r="919" ht="15" customHeight="1">
      <c r="A919" t="inlineStr">
        <is>
          <t>A 29850-2024</t>
        </is>
      </c>
      <c r="B919" s="1" t="n">
        <v>45485.64620370371</v>
      </c>
      <c r="C919" s="1" t="n">
        <v>46165</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30007-2023</t>
        </is>
      </c>
      <c r="B920" s="1" t="n">
        <v>45109.80349537037</v>
      </c>
      <c r="C920" s="1" t="n">
        <v>46165</v>
      </c>
      <c r="D920" t="inlineStr">
        <is>
          <t>SKÅNE LÄN</t>
        </is>
      </c>
      <c r="E920" t="inlineStr">
        <is>
          <t>HÄSSLEHOLM</t>
        </is>
      </c>
      <c r="G920" t="n">
        <v>2.2</v>
      </c>
      <c r="H920" t="n">
        <v>0</v>
      </c>
      <c r="I920" t="n">
        <v>0</v>
      </c>
      <c r="J920" t="n">
        <v>0</v>
      </c>
      <c r="K920" t="n">
        <v>0</v>
      </c>
      <c r="L920" t="n">
        <v>0</v>
      </c>
      <c r="M920" t="n">
        <v>0</v>
      </c>
      <c r="N920" t="n">
        <v>0</v>
      </c>
      <c r="O920" t="n">
        <v>0</v>
      </c>
      <c r="P920" t="n">
        <v>0</v>
      </c>
      <c r="Q920" t="n">
        <v>0</v>
      </c>
      <c r="R920" s="2" t="inlineStr"/>
    </row>
    <row r="921" ht="15" customHeight="1">
      <c r="A921" t="inlineStr">
        <is>
          <t>A 14965-2026</t>
        </is>
      </c>
      <c r="B921" s="1" t="n">
        <v>46104.56096064814</v>
      </c>
      <c r="C921" s="1" t="n">
        <v>46165</v>
      </c>
      <c r="D921" t="inlineStr">
        <is>
          <t>SKÅNE LÄN</t>
        </is>
      </c>
      <c r="E921" t="inlineStr">
        <is>
          <t>HÄSSLEHOLM</t>
        </is>
      </c>
      <c r="G921" t="n">
        <v>2.7</v>
      </c>
      <c r="H921" t="n">
        <v>0</v>
      </c>
      <c r="I921" t="n">
        <v>0</v>
      </c>
      <c r="J921" t="n">
        <v>0</v>
      </c>
      <c r="K921" t="n">
        <v>0</v>
      </c>
      <c r="L921" t="n">
        <v>0</v>
      </c>
      <c r="M921" t="n">
        <v>0</v>
      </c>
      <c r="N921" t="n">
        <v>0</v>
      </c>
      <c r="O921" t="n">
        <v>0</v>
      </c>
      <c r="P921" t="n">
        <v>0</v>
      </c>
      <c r="Q921" t="n">
        <v>0</v>
      </c>
      <c r="R921" s="2" t="inlineStr"/>
    </row>
    <row r="922" ht="15" customHeight="1">
      <c r="A922" t="inlineStr">
        <is>
          <t>A 14971-2026</t>
        </is>
      </c>
      <c r="B922" s="1" t="n">
        <v>46104.56393518519</v>
      </c>
      <c r="C922" s="1" t="n">
        <v>46165</v>
      </c>
      <c r="D922" t="inlineStr">
        <is>
          <t>SKÅNE LÄN</t>
        </is>
      </c>
      <c r="E922" t="inlineStr">
        <is>
          <t>HÄSSLEHOLM</t>
        </is>
      </c>
      <c r="G922" t="n">
        <v>2.8</v>
      </c>
      <c r="H922" t="n">
        <v>0</v>
      </c>
      <c r="I922" t="n">
        <v>0</v>
      </c>
      <c r="J922" t="n">
        <v>0</v>
      </c>
      <c r="K922" t="n">
        <v>0</v>
      </c>
      <c r="L922" t="n">
        <v>0</v>
      </c>
      <c r="M922" t="n">
        <v>0</v>
      </c>
      <c r="N922" t="n">
        <v>0</v>
      </c>
      <c r="O922" t="n">
        <v>0</v>
      </c>
      <c r="P922" t="n">
        <v>0</v>
      </c>
      <c r="Q922" t="n">
        <v>0</v>
      </c>
      <c r="R922" s="2" t="inlineStr"/>
    </row>
    <row r="923" ht="15" customHeight="1">
      <c r="A923" t="inlineStr">
        <is>
          <t>A 4187-2023</t>
        </is>
      </c>
      <c r="B923" s="1" t="n">
        <v>44953</v>
      </c>
      <c r="C923" s="1" t="n">
        <v>46165</v>
      </c>
      <c r="D923" t="inlineStr">
        <is>
          <t>SKÅNE LÄN</t>
        </is>
      </c>
      <c r="E923" t="inlineStr">
        <is>
          <t>HÄSSLEHOLM</t>
        </is>
      </c>
      <c r="G923" t="n">
        <v>3.2</v>
      </c>
      <c r="H923" t="n">
        <v>0</v>
      </c>
      <c r="I923" t="n">
        <v>0</v>
      </c>
      <c r="J923" t="n">
        <v>0</v>
      </c>
      <c r="K923" t="n">
        <v>0</v>
      </c>
      <c r="L923" t="n">
        <v>0</v>
      </c>
      <c r="M923" t="n">
        <v>0</v>
      </c>
      <c r="N923" t="n">
        <v>0</v>
      </c>
      <c r="O923" t="n">
        <v>0</v>
      </c>
      <c r="P923" t="n">
        <v>0</v>
      </c>
      <c r="Q923" t="n">
        <v>0</v>
      </c>
      <c r="R923" s="2" t="inlineStr"/>
    </row>
    <row r="924" ht="15" customHeight="1">
      <c r="A924" t="inlineStr">
        <is>
          <t>A 42231-2022</t>
        </is>
      </c>
      <c r="B924" s="1" t="n">
        <v>44830.77003472222</v>
      </c>
      <c r="C924" s="1" t="n">
        <v>46165</v>
      </c>
      <c r="D924" t="inlineStr">
        <is>
          <t>SKÅNE LÄN</t>
        </is>
      </c>
      <c r="E924" t="inlineStr">
        <is>
          <t>HÄSSLEHOLM</t>
        </is>
      </c>
      <c r="G924" t="n">
        <v>2.7</v>
      </c>
      <c r="H924" t="n">
        <v>0</v>
      </c>
      <c r="I924" t="n">
        <v>0</v>
      </c>
      <c r="J924" t="n">
        <v>0</v>
      </c>
      <c r="K924" t="n">
        <v>0</v>
      </c>
      <c r="L924" t="n">
        <v>0</v>
      </c>
      <c r="M924" t="n">
        <v>0</v>
      </c>
      <c r="N924" t="n">
        <v>0</v>
      </c>
      <c r="O924" t="n">
        <v>0</v>
      </c>
      <c r="P924" t="n">
        <v>0</v>
      </c>
      <c r="Q924" t="n">
        <v>0</v>
      </c>
      <c r="R924" s="2" t="inlineStr"/>
    </row>
    <row r="925" ht="15" customHeight="1">
      <c r="A925" t="inlineStr">
        <is>
          <t>A 59390-2021</t>
        </is>
      </c>
      <c r="B925" s="1" t="n">
        <v>44490</v>
      </c>
      <c r="C925" s="1" t="n">
        <v>46165</v>
      </c>
      <c r="D925" t="inlineStr">
        <is>
          <t>SKÅNE LÄN</t>
        </is>
      </c>
      <c r="E925" t="inlineStr">
        <is>
          <t>HÄSSLEHOLM</t>
        </is>
      </c>
      <c r="G925" t="n">
        <v>7.1</v>
      </c>
      <c r="H925" t="n">
        <v>0</v>
      </c>
      <c r="I925" t="n">
        <v>0</v>
      </c>
      <c r="J925" t="n">
        <v>0</v>
      </c>
      <c r="K925" t="n">
        <v>0</v>
      </c>
      <c r="L925" t="n">
        <v>0</v>
      </c>
      <c r="M925" t="n">
        <v>0</v>
      </c>
      <c r="N925" t="n">
        <v>0</v>
      </c>
      <c r="O925" t="n">
        <v>0</v>
      </c>
      <c r="P925" t="n">
        <v>0</v>
      </c>
      <c r="Q925" t="n">
        <v>0</v>
      </c>
      <c r="R925" s="2" t="inlineStr"/>
    </row>
    <row r="926" ht="15" customHeight="1">
      <c r="A926" t="inlineStr">
        <is>
          <t>A 3452-2023</t>
        </is>
      </c>
      <c r="B926" s="1" t="n">
        <v>44949</v>
      </c>
      <c r="C926" s="1" t="n">
        <v>46165</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50525-2024</t>
        </is>
      </c>
      <c r="B927" s="1" t="n">
        <v>45601</v>
      </c>
      <c r="C927" s="1" t="n">
        <v>46165</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260-2024</t>
        </is>
      </c>
      <c r="B928" s="1" t="n">
        <v>45294</v>
      </c>
      <c r="C928" s="1" t="n">
        <v>46165</v>
      </c>
      <c r="D928" t="inlineStr">
        <is>
          <t>SKÅNE LÄN</t>
        </is>
      </c>
      <c r="E928" t="inlineStr">
        <is>
          <t>HÄSSLEHOLM</t>
        </is>
      </c>
      <c r="G928" t="n">
        <v>0.2</v>
      </c>
      <c r="H928" t="n">
        <v>0</v>
      </c>
      <c r="I928" t="n">
        <v>0</v>
      </c>
      <c r="J928" t="n">
        <v>0</v>
      </c>
      <c r="K928" t="n">
        <v>0</v>
      </c>
      <c r="L928" t="n">
        <v>0</v>
      </c>
      <c r="M928" t="n">
        <v>0</v>
      </c>
      <c r="N928" t="n">
        <v>0</v>
      </c>
      <c r="O928" t="n">
        <v>0</v>
      </c>
      <c r="P928" t="n">
        <v>0</v>
      </c>
      <c r="Q928" t="n">
        <v>0</v>
      </c>
      <c r="R928" s="2" t="inlineStr"/>
    </row>
    <row r="929" ht="15" customHeight="1">
      <c r="A929" t="inlineStr">
        <is>
          <t>A 5016-2024</t>
        </is>
      </c>
      <c r="B929" s="1" t="n">
        <v>45329</v>
      </c>
      <c r="C929" s="1" t="n">
        <v>46165</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11603-2025</t>
        </is>
      </c>
      <c r="B930" s="1" t="n">
        <v>45727</v>
      </c>
      <c r="C930" s="1" t="n">
        <v>46165</v>
      </c>
      <c r="D930" t="inlineStr">
        <is>
          <t>SKÅNE LÄN</t>
        </is>
      </c>
      <c r="E930" t="inlineStr">
        <is>
          <t>HÄSSLEHOLM</t>
        </is>
      </c>
      <c r="G930" t="n">
        <v>5.6</v>
      </c>
      <c r="H930" t="n">
        <v>0</v>
      </c>
      <c r="I930" t="n">
        <v>0</v>
      </c>
      <c r="J930" t="n">
        <v>0</v>
      </c>
      <c r="K930" t="n">
        <v>0</v>
      </c>
      <c r="L930" t="n">
        <v>0</v>
      </c>
      <c r="M930" t="n">
        <v>0</v>
      </c>
      <c r="N930" t="n">
        <v>0</v>
      </c>
      <c r="O930" t="n">
        <v>0</v>
      </c>
      <c r="P930" t="n">
        <v>0</v>
      </c>
      <c r="Q930" t="n">
        <v>0</v>
      </c>
      <c r="R930" s="2" t="inlineStr"/>
    </row>
    <row r="931" ht="15" customHeight="1">
      <c r="A931" t="inlineStr">
        <is>
          <t>A 54807-2025</t>
        </is>
      </c>
      <c r="B931" s="1" t="n">
        <v>45966</v>
      </c>
      <c r="C931" s="1" t="n">
        <v>46165</v>
      </c>
      <c r="D931" t="inlineStr">
        <is>
          <t>SKÅNE LÄN</t>
        </is>
      </c>
      <c r="E931" t="inlineStr">
        <is>
          <t>HÄSSLEHOLM</t>
        </is>
      </c>
      <c r="G931" t="n">
        <v>1.3</v>
      </c>
      <c r="H931" t="n">
        <v>0</v>
      </c>
      <c r="I931" t="n">
        <v>0</v>
      </c>
      <c r="J931" t="n">
        <v>0</v>
      </c>
      <c r="K931" t="n">
        <v>0</v>
      </c>
      <c r="L931" t="n">
        <v>0</v>
      </c>
      <c r="M931" t="n">
        <v>0</v>
      </c>
      <c r="N931" t="n">
        <v>0</v>
      </c>
      <c r="O931" t="n">
        <v>0</v>
      </c>
      <c r="P931" t="n">
        <v>0</v>
      </c>
      <c r="Q931" t="n">
        <v>0</v>
      </c>
      <c r="R931" s="2" t="inlineStr"/>
    </row>
    <row r="932" ht="15" customHeight="1">
      <c r="A932" t="inlineStr">
        <is>
          <t>A 25206-2023</t>
        </is>
      </c>
      <c r="B932" s="1" t="n">
        <v>45086.59318287037</v>
      </c>
      <c r="C932" s="1" t="n">
        <v>46165</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25221-2023</t>
        </is>
      </c>
      <c r="B933" s="1" t="n">
        <v>45086.60842592592</v>
      </c>
      <c r="C933" s="1" t="n">
        <v>46165</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57272-2023</t>
        </is>
      </c>
      <c r="B934" s="1" t="n">
        <v>45245</v>
      </c>
      <c r="C934" s="1" t="n">
        <v>46165</v>
      </c>
      <c r="D934" t="inlineStr">
        <is>
          <t>SKÅNE LÄN</t>
        </is>
      </c>
      <c r="E934" t="inlineStr">
        <is>
          <t>HÄSSLEHOLM</t>
        </is>
      </c>
      <c r="G934" t="n">
        <v>2.3</v>
      </c>
      <c r="H934" t="n">
        <v>0</v>
      </c>
      <c r="I934" t="n">
        <v>0</v>
      </c>
      <c r="J934" t="n">
        <v>0</v>
      </c>
      <c r="K934" t="n">
        <v>0</v>
      </c>
      <c r="L934" t="n">
        <v>0</v>
      </c>
      <c r="M934" t="n">
        <v>0</v>
      </c>
      <c r="N934" t="n">
        <v>0</v>
      </c>
      <c r="O934" t="n">
        <v>0</v>
      </c>
      <c r="P934" t="n">
        <v>0</v>
      </c>
      <c r="Q934" t="n">
        <v>0</v>
      </c>
      <c r="R934" s="2" t="inlineStr"/>
    </row>
    <row r="935" ht="15" customHeight="1">
      <c r="A935" t="inlineStr">
        <is>
          <t>A 13856-2025</t>
        </is>
      </c>
      <c r="B935" s="1" t="n">
        <v>45737.57289351852</v>
      </c>
      <c r="C935" s="1" t="n">
        <v>46165</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48889-2024</t>
        </is>
      </c>
      <c r="B936" s="1" t="n">
        <v>45594.33754629629</v>
      </c>
      <c r="C936" s="1" t="n">
        <v>46165</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21668-2026</t>
        </is>
      </c>
      <c r="B937" s="1" t="n">
        <v>46149.47572916667</v>
      </c>
      <c r="C937" s="1" t="n">
        <v>46165</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21658-2026</t>
        </is>
      </c>
      <c r="B938" s="1" t="n">
        <v>46149.45797453704</v>
      </c>
      <c r="C938" s="1" t="n">
        <v>46165</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8263-2025</t>
        </is>
      </c>
      <c r="B939" s="1" t="n">
        <v>45708.50398148148</v>
      </c>
      <c r="C939" s="1" t="n">
        <v>46165</v>
      </c>
      <c r="D939" t="inlineStr">
        <is>
          <t>SKÅNE LÄN</t>
        </is>
      </c>
      <c r="E939" t="inlineStr">
        <is>
          <t>HÄSSLEHOLM</t>
        </is>
      </c>
      <c r="G939" t="n">
        <v>2.9</v>
      </c>
      <c r="H939" t="n">
        <v>0</v>
      </c>
      <c r="I939" t="n">
        <v>0</v>
      </c>
      <c r="J939" t="n">
        <v>0</v>
      </c>
      <c r="K939" t="n">
        <v>0</v>
      </c>
      <c r="L939" t="n">
        <v>0</v>
      </c>
      <c r="M939" t="n">
        <v>0</v>
      </c>
      <c r="N939" t="n">
        <v>0</v>
      </c>
      <c r="O939" t="n">
        <v>0</v>
      </c>
      <c r="P939" t="n">
        <v>0</v>
      </c>
      <c r="Q939" t="n">
        <v>0</v>
      </c>
      <c r="R939" s="2" t="inlineStr"/>
    </row>
    <row r="940" ht="15" customHeight="1">
      <c r="A940" t="inlineStr">
        <is>
          <t>A 29275-2023</t>
        </is>
      </c>
      <c r="B940" s="1" t="n">
        <v>45105</v>
      </c>
      <c r="C940" s="1" t="n">
        <v>46165</v>
      </c>
      <c r="D940" t="inlineStr">
        <is>
          <t>SKÅNE LÄN</t>
        </is>
      </c>
      <c r="E940" t="inlineStr">
        <is>
          <t>HÄSSLEHOLM</t>
        </is>
      </c>
      <c r="G940" t="n">
        <v>2.1</v>
      </c>
      <c r="H940" t="n">
        <v>0</v>
      </c>
      <c r="I940" t="n">
        <v>0</v>
      </c>
      <c r="J940" t="n">
        <v>0</v>
      </c>
      <c r="K940" t="n">
        <v>0</v>
      </c>
      <c r="L940" t="n">
        <v>0</v>
      </c>
      <c r="M940" t="n">
        <v>0</v>
      </c>
      <c r="N940" t="n">
        <v>0</v>
      </c>
      <c r="O940" t="n">
        <v>0</v>
      </c>
      <c r="P940" t="n">
        <v>0</v>
      </c>
      <c r="Q940" t="n">
        <v>0</v>
      </c>
      <c r="R940" s="2" t="inlineStr"/>
    </row>
    <row r="941" ht="15" customHeight="1">
      <c r="A941" t="inlineStr">
        <is>
          <t>A 21674-2026</t>
        </is>
      </c>
      <c r="B941" s="1" t="n">
        <v>46149.4872337963</v>
      </c>
      <c r="C941" s="1" t="n">
        <v>46165</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15881-2026</t>
        </is>
      </c>
      <c r="B942" s="1" t="n">
        <v>46107</v>
      </c>
      <c r="C942" s="1" t="n">
        <v>46165</v>
      </c>
      <c r="D942" t="inlineStr">
        <is>
          <t>SKÅNE LÄN</t>
        </is>
      </c>
      <c r="E942" t="inlineStr">
        <is>
          <t>HÄSSLEHOLM</t>
        </is>
      </c>
      <c r="F942" t="inlineStr">
        <is>
          <t>Kyrkan</t>
        </is>
      </c>
      <c r="G942" t="n">
        <v>2.2</v>
      </c>
      <c r="H942" t="n">
        <v>0</v>
      </c>
      <c r="I942" t="n">
        <v>0</v>
      </c>
      <c r="J942" t="n">
        <v>0</v>
      </c>
      <c r="K942" t="n">
        <v>0</v>
      </c>
      <c r="L942" t="n">
        <v>0</v>
      </c>
      <c r="M942" t="n">
        <v>0</v>
      </c>
      <c r="N942" t="n">
        <v>0</v>
      </c>
      <c r="O942" t="n">
        <v>0</v>
      </c>
      <c r="P942" t="n">
        <v>0</v>
      </c>
      <c r="Q942" t="n">
        <v>0</v>
      </c>
      <c r="R942" s="2" t="inlineStr"/>
    </row>
    <row r="943" ht="15" customHeight="1">
      <c r="A943" t="inlineStr">
        <is>
          <t>A 13018-2024</t>
        </is>
      </c>
      <c r="B943" s="1" t="n">
        <v>45385.58274305556</v>
      </c>
      <c r="C943" s="1" t="n">
        <v>46165</v>
      </c>
      <c r="D943" t="inlineStr">
        <is>
          <t>SKÅNE LÄN</t>
        </is>
      </c>
      <c r="E943" t="inlineStr">
        <is>
          <t>HÄSSLEHOLM</t>
        </is>
      </c>
      <c r="G943" t="n">
        <v>4.8</v>
      </c>
      <c r="H943" t="n">
        <v>0</v>
      </c>
      <c r="I943" t="n">
        <v>0</v>
      </c>
      <c r="J943" t="n">
        <v>0</v>
      </c>
      <c r="K943" t="n">
        <v>0</v>
      </c>
      <c r="L943" t="n">
        <v>0</v>
      </c>
      <c r="M943" t="n">
        <v>0</v>
      </c>
      <c r="N943" t="n">
        <v>0</v>
      </c>
      <c r="O943" t="n">
        <v>0</v>
      </c>
      <c r="P943" t="n">
        <v>0</v>
      </c>
      <c r="Q943" t="n">
        <v>0</v>
      </c>
      <c r="R943" s="2" t="inlineStr"/>
    </row>
    <row r="944" ht="15" customHeight="1">
      <c r="A944" t="inlineStr">
        <is>
          <t>A 15979-2026</t>
        </is>
      </c>
      <c r="B944" s="1" t="n">
        <v>46108.35431712963</v>
      </c>
      <c r="C944" s="1" t="n">
        <v>46165</v>
      </c>
      <c r="D944" t="inlineStr">
        <is>
          <t>SKÅNE LÄN</t>
        </is>
      </c>
      <c r="E944" t="inlineStr">
        <is>
          <t>HÄSSLEHOLM</t>
        </is>
      </c>
      <c r="G944" t="n">
        <v>2.7</v>
      </c>
      <c r="H944" t="n">
        <v>0</v>
      </c>
      <c r="I944" t="n">
        <v>0</v>
      </c>
      <c r="J944" t="n">
        <v>0</v>
      </c>
      <c r="K944" t="n">
        <v>0</v>
      </c>
      <c r="L944" t="n">
        <v>0</v>
      </c>
      <c r="M944" t="n">
        <v>0</v>
      </c>
      <c r="N944" t="n">
        <v>0</v>
      </c>
      <c r="O944" t="n">
        <v>0</v>
      </c>
      <c r="P944" t="n">
        <v>0</v>
      </c>
      <c r="Q944" t="n">
        <v>0</v>
      </c>
      <c r="R944" s="2" t="inlineStr"/>
    </row>
    <row r="945" ht="15" customHeight="1">
      <c r="A945" t="inlineStr">
        <is>
          <t>A 22595-2024</t>
        </is>
      </c>
      <c r="B945" s="1" t="n">
        <v>45447.61053240741</v>
      </c>
      <c r="C945" s="1" t="n">
        <v>46165</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60704-2023</t>
        </is>
      </c>
      <c r="B946" s="1" t="n">
        <v>45260.51340277777</v>
      </c>
      <c r="C946" s="1" t="n">
        <v>46165</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21613-2026</t>
        </is>
      </c>
      <c r="B947" s="1" t="n">
        <v>46149.40085648148</v>
      </c>
      <c r="C947" s="1" t="n">
        <v>46165</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21807-2026</t>
        </is>
      </c>
      <c r="B948" s="1" t="n">
        <v>46148</v>
      </c>
      <c r="C948" s="1" t="n">
        <v>46165</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15882-2026</t>
        </is>
      </c>
      <c r="B949" s="1" t="n">
        <v>46107</v>
      </c>
      <c r="C949" s="1" t="n">
        <v>46165</v>
      </c>
      <c r="D949" t="inlineStr">
        <is>
          <t>SKÅNE LÄN</t>
        </is>
      </c>
      <c r="E949" t="inlineStr">
        <is>
          <t>HÄSSLEHOLM</t>
        </is>
      </c>
      <c r="F949" t="inlineStr">
        <is>
          <t>Kyrkan</t>
        </is>
      </c>
      <c r="G949" t="n">
        <v>0.7</v>
      </c>
      <c r="H949" t="n">
        <v>0</v>
      </c>
      <c r="I949" t="n">
        <v>0</v>
      </c>
      <c r="J949" t="n">
        <v>0</v>
      </c>
      <c r="K949" t="n">
        <v>0</v>
      </c>
      <c r="L949" t="n">
        <v>0</v>
      </c>
      <c r="M949" t="n">
        <v>0</v>
      </c>
      <c r="N949" t="n">
        <v>0</v>
      </c>
      <c r="O949" t="n">
        <v>0</v>
      </c>
      <c r="P949" t="n">
        <v>0</v>
      </c>
      <c r="Q949" t="n">
        <v>0</v>
      </c>
      <c r="R949" s="2" t="inlineStr"/>
    </row>
    <row r="950" ht="15" customHeight="1">
      <c r="A950" t="inlineStr">
        <is>
          <t>A 20279-2025</t>
        </is>
      </c>
      <c r="B950" s="1" t="n">
        <v>45774.38643518519</v>
      </c>
      <c r="C950" s="1" t="n">
        <v>46165</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59431-2023</t>
        </is>
      </c>
      <c r="B951" s="1" t="n">
        <v>45254.29207175926</v>
      </c>
      <c r="C951" s="1" t="n">
        <v>46165</v>
      </c>
      <c r="D951" t="inlineStr">
        <is>
          <t>SKÅNE LÄN</t>
        </is>
      </c>
      <c r="E951" t="inlineStr">
        <is>
          <t>HÄSSLEHOLM</t>
        </is>
      </c>
      <c r="G951" t="n">
        <v>1.7</v>
      </c>
      <c r="H951" t="n">
        <v>0</v>
      </c>
      <c r="I951" t="n">
        <v>0</v>
      </c>
      <c r="J951" t="n">
        <v>0</v>
      </c>
      <c r="K951" t="n">
        <v>0</v>
      </c>
      <c r="L951" t="n">
        <v>0</v>
      </c>
      <c r="M951" t="n">
        <v>0</v>
      </c>
      <c r="N951" t="n">
        <v>0</v>
      </c>
      <c r="O951" t="n">
        <v>0</v>
      </c>
      <c r="P951" t="n">
        <v>0</v>
      </c>
      <c r="Q951" t="n">
        <v>0</v>
      </c>
      <c r="R951" s="2" t="inlineStr"/>
    </row>
    <row r="952" ht="15" customHeight="1">
      <c r="A952" t="inlineStr">
        <is>
          <t>A 59433-2023</t>
        </is>
      </c>
      <c r="B952" s="1" t="n">
        <v>45254.29768518519</v>
      </c>
      <c r="C952" s="1" t="n">
        <v>46165</v>
      </c>
      <c r="D952" t="inlineStr">
        <is>
          <t>SKÅNE LÄN</t>
        </is>
      </c>
      <c r="E952" t="inlineStr">
        <is>
          <t>HÄSSLEHOLM</t>
        </is>
      </c>
      <c r="G952" t="n">
        <v>3.1</v>
      </c>
      <c r="H952" t="n">
        <v>0</v>
      </c>
      <c r="I952" t="n">
        <v>0</v>
      </c>
      <c r="J952" t="n">
        <v>0</v>
      </c>
      <c r="K952" t="n">
        <v>0</v>
      </c>
      <c r="L952" t="n">
        <v>0</v>
      </c>
      <c r="M952" t="n">
        <v>0</v>
      </c>
      <c r="N952" t="n">
        <v>0</v>
      </c>
      <c r="O952" t="n">
        <v>0</v>
      </c>
      <c r="P952" t="n">
        <v>0</v>
      </c>
      <c r="Q952" t="n">
        <v>0</v>
      </c>
      <c r="R952" s="2" t="inlineStr"/>
    </row>
    <row r="953" ht="15" customHeight="1">
      <c r="A953" t="inlineStr">
        <is>
          <t>A 21673-2026</t>
        </is>
      </c>
      <c r="B953" s="1" t="n">
        <v>46149.48615740741</v>
      </c>
      <c r="C953" s="1" t="n">
        <v>46165</v>
      </c>
      <c r="D953" t="inlineStr">
        <is>
          <t>SKÅNE LÄN</t>
        </is>
      </c>
      <c r="E953" t="inlineStr">
        <is>
          <t>HÄSSLEHOLM</t>
        </is>
      </c>
      <c r="G953" t="n">
        <v>5</v>
      </c>
      <c r="H953" t="n">
        <v>0</v>
      </c>
      <c r="I953" t="n">
        <v>0</v>
      </c>
      <c r="J953" t="n">
        <v>0</v>
      </c>
      <c r="K953" t="n">
        <v>0</v>
      </c>
      <c r="L953" t="n">
        <v>0</v>
      </c>
      <c r="M953" t="n">
        <v>0</v>
      </c>
      <c r="N953" t="n">
        <v>0</v>
      </c>
      <c r="O953" t="n">
        <v>0</v>
      </c>
      <c r="P953" t="n">
        <v>0</v>
      </c>
      <c r="Q953" t="n">
        <v>0</v>
      </c>
      <c r="R953" s="2" t="inlineStr"/>
    </row>
    <row r="954" ht="15" customHeight="1">
      <c r="A954" t="inlineStr">
        <is>
          <t>A 55416-2021</t>
        </is>
      </c>
      <c r="B954" s="1" t="n">
        <v>44475</v>
      </c>
      <c r="C954" s="1" t="n">
        <v>46165</v>
      </c>
      <c r="D954" t="inlineStr">
        <is>
          <t>SKÅNE LÄN</t>
        </is>
      </c>
      <c r="E954" t="inlineStr">
        <is>
          <t>HÄSSLEHOLM</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21615-2026</t>
        </is>
      </c>
      <c r="B955" s="1" t="n">
        <v>46149.40331018518</v>
      </c>
      <c r="C955" s="1" t="n">
        <v>46165</v>
      </c>
      <c r="D955" t="inlineStr">
        <is>
          <t>SKÅNE LÄN</t>
        </is>
      </c>
      <c r="E955" t="inlineStr">
        <is>
          <t>HÄSSLEHOLM</t>
        </is>
      </c>
      <c r="G955" t="n">
        <v>1.6</v>
      </c>
      <c r="H955" t="n">
        <v>0</v>
      </c>
      <c r="I955" t="n">
        <v>0</v>
      </c>
      <c r="J955" t="n">
        <v>0</v>
      </c>
      <c r="K955" t="n">
        <v>0</v>
      </c>
      <c r="L955" t="n">
        <v>0</v>
      </c>
      <c r="M955" t="n">
        <v>0</v>
      </c>
      <c r="N955" t="n">
        <v>0</v>
      </c>
      <c r="O955" t="n">
        <v>0</v>
      </c>
      <c r="P955" t="n">
        <v>0</v>
      </c>
      <c r="Q955" t="n">
        <v>0</v>
      </c>
      <c r="R955" s="2" t="inlineStr"/>
    </row>
    <row r="956" ht="15" customHeight="1">
      <c r="A956" t="inlineStr">
        <is>
          <t>A 4579-2025</t>
        </is>
      </c>
      <c r="B956" s="1" t="n">
        <v>45687.5009375</v>
      </c>
      <c r="C956" s="1" t="n">
        <v>46165</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21141-2024</t>
        </is>
      </c>
      <c r="B957" s="1" t="n">
        <v>45440.39012731481</v>
      </c>
      <c r="C957" s="1" t="n">
        <v>46165</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49379-2021</t>
        </is>
      </c>
      <c r="B958" s="1" t="n">
        <v>44454</v>
      </c>
      <c r="C958" s="1" t="n">
        <v>46165</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36240-2023</t>
        </is>
      </c>
      <c r="B959" s="1" t="n">
        <v>45150.89295138889</v>
      </c>
      <c r="C959" s="1" t="n">
        <v>46165</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13851-2025</t>
        </is>
      </c>
      <c r="B960" s="1" t="n">
        <v>45737.56777777777</v>
      </c>
      <c r="C960" s="1" t="n">
        <v>46165</v>
      </c>
      <c r="D960" t="inlineStr">
        <is>
          <t>SKÅNE LÄN</t>
        </is>
      </c>
      <c r="E960" t="inlineStr">
        <is>
          <t>HÄSSLEHOLM</t>
        </is>
      </c>
      <c r="G960" t="n">
        <v>3</v>
      </c>
      <c r="H960" t="n">
        <v>0</v>
      </c>
      <c r="I960" t="n">
        <v>0</v>
      </c>
      <c r="J960" t="n">
        <v>0</v>
      </c>
      <c r="K960" t="n">
        <v>0</v>
      </c>
      <c r="L960" t="n">
        <v>0</v>
      </c>
      <c r="M960" t="n">
        <v>0</v>
      </c>
      <c r="N960" t="n">
        <v>0</v>
      </c>
      <c r="O960" t="n">
        <v>0</v>
      </c>
      <c r="P960" t="n">
        <v>0</v>
      </c>
      <c r="Q960" t="n">
        <v>0</v>
      </c>
      <c r="R960" s="2" t="inlineStr"/>
    </row>
    <row r="961" ht="15" customHeight="1">
      <c r="A961" t="inlineStr">
        <is>
          <t>A 12469-2023</t>
        </is>
      </c>
      <c r="B961" s="1" t="n">
        <v>44999.62109953703</v>
      </c>
      <c r="C961" s="1" t="n">
        <v>46165</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45400-2022</t>
        </is>
      </c>
      <c r="B962" s="1" t="n">
        <v>44844.713125</v>
      </c>
      <c r="C962" s="1" t="n">
        <v>46165</v>
      </c>
      <c r="D962" t="inlineStr">
        <is>
          <t>SKÅNE LÄN</t>
        </is>
      </c>
      <c r="E962" t="inlineStr">
        <is>
          <t>HÄSSLEHOLM</t>
        </is>
      </c>
      <c r="G962" t="n">
        <v>1.6</v>
      </c>
      <c r="H962" t="n">
        <v>0</v>
      </c>
      <c r="I962" t="n">
        <v>0</v>
      </c>
      <c r="J962" t="n">
        <v>0</v>
      </c>
      <c r="K962" t="n">
        <v>0</v>
      </c>
      <c r="L962" t="n">
        <v>0</v>
      </c>
      <c r="M962" t="n">
        <v>0</v>
      </c>
      <c r="N962" t="n">
        <v>0</v>
      </c>
      <c r="O962" t="n">
        <v>0</v>
      </c>
      <c r="P962" t="n">
        <v>0</v>
      </c>
      <c r="Q962" t="n">
        <v>0</v>
      </c>
      <c r="R962" s="2" t="inlineStr"/>
    </row>
    <row r="963" ht="15" customHeight="1">
      <c r="A963" t="inlineStr">
        <is>
          <t>A 13961-2023</t>
        </is>
      </c>
      <c r="B963" s="1" t="n">
        <v>45008</v>
      </c>
      <c r="C963" s="1" t="n">
        <v>46165</v>
      </c>
      <c r="D963" t="inlineStr">
        <is>
          <t>SKÅNE LÄN</t>
        </is>
      </c>
      <c r="E963" t="inlineStr">
        <is>
          <t>HÄSSLEHOLM</t>
        </is>
      </c>
      <c r="G963" t="n">
        <v>3.8</v>
      </c>
      <c r="H963" t="n">
        <v>0</v>
      </c>
      <c r="I963" t="n">
        <v>0</v>
      </c>
      <c r="J963" t="n">
        <v>0</v>
      </c>
      <c r="K963" t="n">
        <v>0</v>
      </c>
      <c r="L963" t="n">
        <v>0</v>
      </c>
      <c r="M963" t="n">
        <v>0</v>
      </c>
      <c r="N963" t="n">
        <v>0</v>
      </c>
      <c r="O963" t="n">
        <v>0</v>
      </c>
      <c r="P963" t="n">
        <v>0</v>
      </c>
      <c r="Q963" t="n">
        <v>0</v>
      </c>
      <c r="R963" s="2" t="inlineStr"/>
    </row>
    <row r="964" ht="15" customHeight="1">
      <c r="A964" t="inlineStr">
        <is>
          <t>A 7581-2023</t>
        </is>
      </c>
      <c r="B964" s="1" t="n">
        <v>44972.39556712963</v>
      </c>
      <c r="C964" s="1" t="n">
        <v>46165</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48191-2021</t>
        </is>
      </c>
      <c r="B965" s="1" t="n">
        <v>44449</v>
      </c>
      <c r="C965" s="1" t="n">
        <v>46165</v>
      </c>
      <c r="D965" t="inlineStr">
        <is>
          <t>SKÅNE LÄN</t>
        </is>
      </c>
      <c r="E965" t="inlineStr">
        <is>
          <t>HÄSSLEHOLM</t>
        </is>
      </c>
      <c r="G965" t="n">
        <v>6</v>
      </c>
      <c r="H965" t="n">
        <v>0</v>
      </c>
      <c r="I965" t="n">
        <v>0</v>
      </c>
      <c r="J965" t="n">
        <v>0</v>
      </c>
      <c r="K965" t="n">
        <v>0</v>
      </c>
      <c r="L965" t="n">
        <v>0</v>
      </c>
      <c r="M965" t="n">
        <v>0</v>
      </c>
      <c r="N965" t="n">
        <v>0</v>
      </c>
      <c r="O965" t="n">
        <v>0</v>
      </c>
      <c r="P965" t="n">
        <v>0</v>
      </c>
      <c r="Q965" t="n">
        <v>0</v>
      </c>
      <c r="R965" s="2" t="inlineStr"/>
    </row>
    <row r="966" ht="15" customHeight="1">
      <c r="A966" t="inlineStr">
        <is>
          <t>A 5282-2023</t>
        </is>
      </c>
      <c r="B966" s="1" t="n">
        <v>44959.50471064815</v>
      </c>
      <c r="C966" s="1" t="n">
        <v>46165</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52548-2023</t>
        </is>
      </c>
      <c r="B967" s="1" t="n">
        <v>45218</v>
      </c>
      <c r="C967" s="1" t="n">
        <v>46165</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12503-2022</t>
        </is>
      </c>
      <c r="B968" s="1" t="n">
        <v>44638</v>
      </c>
      <c r="C968" s="1" t="n">
        <v>46165</v>
      </c>
      <c r="D968" t="inlineStr">
        <is>
          <t>SKÅNE LÄN</t>
        </is>
      </c>
      <c r="E968" t="inlineStr">
        <is>
          <t>HÄSSLEHOLM</t>
        </is>
      </c>
      <c r="G968" t="n">
        <v>1.3</v>
      </c>
      <c r="H968" t="n">
        <v>0</v>
      </c>
      <c r="I968" t="n">
        <v>0</v>
      </c>
      <c r="J968" t="n">
        <v>0</v>
      </c>
      <c r="K968" t="n">
        <v>0</v>
      </c>
      <c r="L968" t="n">
        <v>0</v>
      </c>
      <c r="M968" t="n">
        <v>0</v>
      </c>
      <c r="N968" t="n">
        <v>0</v>
      </c>
      <c r="O968" t="n">
        <v>0</v>
      </c>
      <c r="P968" t="n">
        <v>0</v>
      </c>
      <c r="Q968" t="n">
        <v>0</v>
      </c>
      <c r="R968" s="2" t="inlineStr"/>
    </row>
    <row r="969" ht="15" customHeight="1">
      <c r="A969" t="inlineStr">
        <is>
          <t>A 9485-2023</t>
        </is>
      </c>
      <c r="B969" s="1" t="n">
        <v>44981.60901620371</v>
      </c>
      <c r="C969" s="1" t="n">
        <v>46165</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54777-2022</t>
        </is>
      </c>
      <c r="B970" s="1" t="n">
        <v>44883</v>
      </c>
      <c r="C970" s="1" t="n">
        <v>46165</v>
      </c>
      <c r="D970" t="inlineStr">
        <is>
          <t>SKÅNE LÄN</t>
        </is>
      </c>
      <c r="E970" t="inlineStr">
        <is>
          <t>HÄSSLEHOLM</t>
        </is>
      </c>
      <c r="G970" t="n">
        <v>1.7</v>
      </c>
      <c r="H970" t="n">
        <v>0</v>
      </c>
      <c r="I970" t="n">
        <v>0</v>
      </c>
      <c r="J970" t="n">
        <v>0</v>
      </c>
      <c r="K970" t="n">
        <v>0</v>
      </c>
      <c r="L970" t="n">
        <v>0</v>
      </c>
      <c r="M970" t="n">
        <v>0</v>
      </c>
      <c r="N970" t="n">
        <v>0</v>
      </c>
      <c r="O970" t="n">
        <v>0</v>
      </c>
      <c r="P970" t="n">
        <v>0</v>
      </c>
      <c r="Q970" t="n">
        <v>0</v>
      </c>
      <c r="R970" s="2" t="inlineStr"/>
    </row>
    <row r="971" ht="15" customHeight="1">
      <c r="A971" t="inlineStr">
        <is>
          <t>A 61929-2023</t>
        </is>
      </c>
      <c r="B971" s="1" t="n">
        <v>45266</v>
      </c>
      <c r="C971" s="1" t="n">
        <v>46165</v>
      </c>
      <c r="D971" t="inlineStr">
        <is>
          <t>SKÅNE LÄN</t>
        </is>
      </c>
      <c r="E971" t="inlineStr">
        <is>
          <t>HÄSSLEHOLM</t>
        </is>
      </c>
      <c r="G971" t="n">
        <v>1.9</v>
      </c>
      <c r="H971" t="n">
        <v>0</v>
      </c>
      <c r="I971" t="n">
        <v>0</v>
      </c>
      <c r="J971" t="n">
        <v>0</v>
      </c>
      <c r="K971" t="n">
        <v>0</v>
      </c>
      <c r="L971" t="n">
        <v>0</v>
      </c>
      <c r="M971" t="n">
        <v>0</v>
      </c>
      <c r="N971" t="n">
        <v>0</v>
      </c>
      <c r="O971" t="n">
        <v>0</v>
      </c>
      <c r="P971" t="n">
        <v>0</v>
      </c>
      <c r="Q971" t="n">
        <v>0</v>
      </c>
      <c r="R971" s="2" t="inlineStr"/>
    </row>
    <row r="972" ht="15" customHeight="1">
      <c r="A972" t="inlineStr">
        <is>
          <t>A 13555-2025</t>
        </is>
      </c>
      <c r="B972" s="1" t="n">
        <v>45736</v>
      </c>
      <c r="C972" s="1" t="n">
        <v>46165</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44940-2023</t>
        </is>
      </c>
      <c r="B973" s="1" t="n">
        <v>45190.68653935185</v>
      </c>
      <c r="C973" s="1" t="n">
        <v>46165</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25533-2024</t>
        </is>
      </c>
      <c r="B974" s="1" t="n">
        <v>45463</v>
      </c>
      <c r="C974" s="1" t="n">
        <v>46165</v>
      </c>
      <c r="D974" t="inlineStr">
        <is>
          <t>SKÅNE LÄN</t>
        </is>
      </c>
      <c r="E974" t="inlineStr">
        <is>
          <t>HÄSSLEHOLM</t>
        </is>
      </c>
      <c r="G974" t="n">
        <v>1.8</v>
      </c>
      <c r="H974" t="n">
        <v>0</v>
      </c>
      <c r="I974" t="n">
        <v>0</v>
      </c>
      <c r="J974" t="n">
        <v>0</v>
      </c>
      <c r="K974" t="n">
        <v>0</v>
      </c>
      <c r="L974" t="n">
        <v>0</v>
      </c>
      <c r="M974" t="n">
        <v>0</v>
      </c>
      <c r="N974" t="n">
        <v>0</v>
      </c>
      <c r="O974" t="n">
        <v>0</v>
      </c>
      <c r="P974" t="n">
        <v>0</v>
      </c>
      <c r="Q974" t="n">
        <v>0</v>
      </c>
      <c r="R974" s="2" t="inlineStr"/>
    </row>
    <row r="975" ht="15" customHeight="1">
      <c r="A975" t="inlineStr">
        <is>
          <t>A 61498-2022</t>
        </is>
      </c>
      <c r="B975" s="1" t="n">
        <v>44910</v>
      </c>
      <c r="C975" s="1" t="n">
        <v>46165</v>
      </c>
      <c r="D975" t="inlineStr">
        <is>
          <t>SKÅNE LÄN</t>
        </is>
      </c>
      <c r="E975" t="inlineStr">
        <is>
          <t>HÄSSLEHOLM</t>
        </is>
      </c>
      <c r="F975" t="inlineStr">
        <is>
          <t>Kyrkan</t>
        </is>
      </c>
      <c r="G975" t="n">
        <v>3.2</v>
      </c>
      <c r="H975" t="n">
        <v>0</v>
      </c>
      <c r="I975" t="n">
        <v>0</v>
      </c>
      <c r="J975" t="n">
        <v>0</v>
      </c>
      <c r="K975" t="n">
        <v>0</v>
      </c>
      <c r="L975" t="n">
        <v>0</v>
      </c>
      <c r="M975" t="n">
        <v>0</v>
      </c>
      <c r="N975" t="n">
        <v>0</v>
      </c>
      <c r="O975" t="n">
        <v>0</v>
      </c>
      <c r="P975" t="n">
        <v>0</v>
      </c>
      <c r="Q975" t="n">
        <v>0</v>
      </c>
      <c r="R975" s="2" t="inlineStr"/>
    </row>
    <row r="976" ht="15" customHeight="1">
      <c r="A976" t="inlineStr">
        <is>
          <t>A 22696-2023</t>
        </is>
      </c>
      <c r="B976" s="1" t="n">
        <v>45071.69464120371</v>
      </c>
      <c r="C976" s="1" t="n">
        <v>46165</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52337-2023</t>
        </is>
      </c>
      <c r="B977" s="1" t="n">
        <v>45224.66359953704</v>
      </c>
      <c r="C977" s="1" t="n">
        <v>46165</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23955-2023</t>
        </is>
      </c>
      <c r="B978" s="1" t="n">
        <v>45078.62217592593</v>
      </c>
      <c r="C978" s="1" t="n">
        <v>46165</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10897-2023</t>
        </is>
      </c>
      <c r="B979" s="1" t="n">
        <v>44985</v>
      </c>
      <c r="C979" s="1" t="n">
        <v>46165</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50571-2023</t>
        </is>
      </c>
      <c r="B980" s="1" t="n">
        <v>45217.38359953704</v>
      </c>
      <c r="C980" s="1" t="n">
        <v>46165</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18908-2023</t>
        </is>
      </c>
      <c r="B981" s="1" t="n">
        <v>45044</v>
      </c>
      <c r="C981" s="1" t="n">
        <v>46165</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10028-2024</t>
        </is>
      </c>
      <c r="B982" s="1" t="n">
        <v>45363.97292824074</v>
      </c>
      <c r="C982" s="1" t="n">
        <v>46165</v>
      </c>
      <c r="D982" t="inlineStr">
        <is>
          <t>SKÅNE LÄN</t>
        </is>
      </c>
      <c r="E982" t="inlineStr">
        <is>
          <t>HÄSSLEHOLM</t>
        </is>
      </c>
      <c r="G982" t="n">
        <v>1.8</v>
      </c>
      <c r="H982" t="n">
        <v>0</v>
      </c>
      <c r="I982" t="n">
        <v>0</v>
      </c>
      <c r="J982" t="n">
        <v>0</v>
      </c>
      <c r="K982" t="n">
        <v>0</v>
      </c>
      <c r="L982" t="n">
        <v>0</v>
      </c>
      <c r="M982" t="n">
        <v>0</v>
      </c>
      <c r="N982" t="n">
        <v>0</v>
      </c>
      <c r="O982" t="n">
        <v>0</v>
      </c>
      <c r="P982" t="n">
        <v>0</v>
      </c>
      <c r="Q982" t="n">
        <v>0</v>
      </c>
      <c r="R982" s="2" t="inlineStr"/>
    </row>
    <row r="983" ht="15" customHeight="1">
      <c r="A983" t="inlineStr">
        <is>
          <t>A 13084-2025</t>
        </is>
      </c>
      <c r="B983" s="1" t="n">
        <v>45734</v>
      </c>
      <c r="C983" s="1" t="n">
        <v>46165</v>
      </c>
      <c r="D983" t="inlineStr">
        <is>
          <t>SKÅNE LÄN</t>
        </is>
      </c>
      <c r="E983" t="inlineStr">
        <is>
          <t>HÄSSLEHOLM</t>
        </is>
      </c>
      <c r="G983" t="n">
        <v>2.3</v>
      </c>
      <c r="H983" t="n">
        <v>0</v>
      </c>
      <c r="I983" t="n">
        <v>0</v>
      </c>
      <c r="J983" t="n">
        <v>0</v>
      </c>
      <c r="K983" t="n">
        <v>0</v>
      </c>
      <c r="L983" t="n">
        <v>0</v>
      </c>
      <c r="M983" t="n">
        <v>0</v>
      </c>
      <c r="N983" t="n">
        <v>0</v>
      </c>
      <c r="O983" t="n">
        <v>0</v>
      </c>
      <c r="P983" t="n">
        <v>0</v>
      </c>
      <c r="Q983" t="n">
        <v>0</v>
      </c>
      <c r="R983" s="2" t="inlineStr"/>
    </row>
    <row r="984" ht="15" customHeight="1">
      <c r="A984" t="inlineStr">
        <is>
          <t>A 16285-2025</t>
        </is>
      </c>
      <c r="B984" s="1" t="n">
        <v>45751.30045138889</v>
      </c>
      <c r="C984" s="1" t="n">
        <v>46165</v>
      </c>
      <c r="D984" t="inlineStr">
        <is>
          <t>SKÅNE LÄN</t>
        </is>
      </c>
      <c r="E984" t="inlineStr">
        <is>
          <t>HÄSSLEHOLM</t>
        </is>
      </c>
      <c r="G984" t="n">
        <v>2</v>
      </c>
      <c r="H984" t="n">
        <v>0</v>
      </c>
      <c r="I984" t="n">
        <v>0</v>
      </c>
      <c r="J984" t="n">
        <v>0</v>
      </c>
      <c r="K984" t="n">
        <v>0</v>
      </c>
      <c r="L984" t="n">
        <v>0</v>
      </c>
      <c r="M984" t="n">
        <v>0</v>
      </c>
      <c r="N984" t="n">
        <v>0</v>
      </c>
      <c r="O984" t="n">
        <v>0</v>
      </c>
      <c r="P984" t="n">
        <v>0</v>
      </c>
      <c r="Q984" t="n">
        <v>0</v>
      </c>
      <c r="R984" s="2" t="inlineStr"/>
    </row>
    <row r="985" ht="15" customHeight="1">
      <c r="A985" t="inlineStr">
        <is>
          <t>A 46000-2021</t>
        </is>
      </c>
      <c r="B985" s="1" t="n">
        <v>44441</v>
      </c>
      <c r="C985" s="1" t="n">
        <v>46165</v>
      </c>
      <c r="D985" t="inlineStr">
        <is>
          <t>SKÅNE LÄN</t>
        </is>
      </c>
      <c r="E985" t="inlineStr">
        <is>
          <t>HÄSSLEHOLM</t>
        </is>
      </c>
      <c r="G985" t="n">
        <v>1.6</v>
      </c>
      <c r="H985" t="n">
        <v>0</v>
      </c>
      <c r="I985" t="n">
        <v>0</v>
      </c>
      <c r="J985" t="n">
        <v>0</v>
      </c>
      <c r="K985" t="n">
        <v>0</v>
      </c>
      <c r="L985" t="n">
        <v>0</v>
      </c>
      <c r="M985" t="n">
        <v>0</v>
      </c>
      <c r="N985" t="n">
        <v>0</v>
      </c>
      <c r="O985" t="n">
        <v>0</v>
      </c>
      <c r="P985" t="n">
        <v>0</v>
      </c>
      <c r="Q985" t="n">
        <v>0</v>
      </c>
      <c r="R985" s="2" t="inlineStr"/>
    </row>
    <row r="986" ht="15" customHeight="1">
      <c r="A986" t="inlineStr">
        <is>
          <t>A 4009-2024</t>
        </is>
      </c>
      <c r="B986" s="1" t="n">
        <v>45323</v>
      </c>
      <c r="C986" s="1" t="n">
        <v>46165</v>
      </c>
      <c r="D986" t="inlineStr">
        <is>
          <t>SKÅNE LÄN</t>
        </is>
      </c>
      <c r="E986" t="inlineStr">
        <is>
          <t>HÄSSLEHOLM</t>
        </is>
      </c>
      <c r="G986" t="n">
        <v>2.4</v>
      </c>
      <c r="H986" t="n">
        <v>0</v>
      </c>
      <c r="I986" t="n">
        <v>0</v>
      </c>
      <c r="J986" t="n">
        <v>0</v>
      </c>
      <c r="K986" t="n">
        <v>0</v>
      </c>
      <c r="L986" t="n">
        <v>0</v>
      </c>
      <c r="M986" t="n">
        <v>0</v>
      </c>
      <c r="N986" t="n">
        <v>0</v>
      </c>
      <c r="O986" t="n">
        <v>0</v>
      </c>
      <c r="P986" t="n">
        <v>0</v>
      </c>
      <c r="Q986" t="n">
        <v>0</v>
      </c>
      <c r="R986" s="2" t="inlineStr"/>
    </row>
    <row r="987" ht="15" customHeight="1">
      <c r="A987" t="inlineStr">
        <is>
          <t>A 10928-2024</t>
        </is>
      </c>
      <c r="B987" s="1" t="n">
        <v>45370</v>
      </c>
      <c r="C987" s="1" t="n">
        <v>46165</v>
      </c>
      <c r="D987" t="inlineStr">
        <is>
          <t>SKÅNE LÄN</t>
        </is>
      </c>
      <c r="E987" t="inlineStr">
        <is>
          <t>HÄSSLEHOLM</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10944-2024</t>
        </is>
      </c>
      <c r="B988" s="1" t="n">
        <v>45370</v>
      </c>
      <c r="C988" s="1" t="n">
        <v>46165</v>
      </c>
      <c r="D988" t="inlineStr">
        <is>
          <t>SKÅNE LÄN</t>
        </is>
      </c>
      <c r="E988" t="inlineStr">
        <is>
          <t>HÄSSLEHOLM</t>
        </is>
      </c>
      <c r="F988" t="inlineStr">
        <is>
          <t>Övriga Aktiebolag</t>
        </is>
      </c>
      <c r="G988" t="n">
        <v>2.6</v>
      </c>
      <c r="H988" t="n">
        <v>0</v>
      </c>
      <c r="I988" t="n">
        <v>0</v>
      </c>
      <c r="J988" t="n">
        <v>0</v>
      </c>
      <c r="K988" t="n">
        <v>0</v>
      </c>
      <c r="L988" t="n">
        <v>0</v>
      </c>
      <c r="M988" t="n">
        <v>0</v>
      </c>
      <c r="N988" t="n">
        <v>0</v>
      </c>
      <c r="O988" t="n">
        <v>0</v>
      </c>
      <c r="P988" t="n">
        <v>0</v>
      </c>
      <c r="Q988" t="n">
        <v>0</v>
      </c>
      <c r="R988" s="2" t="inlineStr"/>
    </row>
    <row r="989" ht="15" customHeight="1">
      <c r="A989" t="inlineStr">
        <is>
          <t>A 6087-2025</t>
        </is>
      </c>
      <c r="B989" s="1" t="n">
        <v>45697.69782407407</v>
      </c>
      <c r="C989" s="1" t="n">
        <v>46165</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33466-2024</t>
        </is>
      </c>
      <c r="B990" s="1" t="n">
        <v>45519</v>
      </c>
      <c r="C990" s="1" t="n">
        <v>46165</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6612-2024</t>
        </is>
      </c>
      <c r="B991" s="1" t="n">
        <v>45341.58859953703</v>
      </c>
      <c r="C991" s="1" t="n">
        <v>46165</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26879-2024</t>
        </is>
      </c>
      <c r="B992" s="1" t="n">
        <v>45470</v>
      </c>
      <c r="C992" s="1" t="n">
        <v>46165</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54473-2023</t>
        </is>
      </c>
      <c r="B993" s="1" t="n">
        <v>45233</v>
      </c>
      <c r="C993" s="1" t="n">
        <v>46165</v>
      </c>
      <c r="D993" t="inlineStr">
        <is>
          <t>SKÅNE LÄN</t>
        </is>
      </c>
      <c r="E993" t="inlineStr">
        <is>
          <t>HÄSSLEHOLM</t>
        </is>
      </c>
      <c r="G993" t="n">
        <v>24.5</v>
      </c>
      <c r="H993" t="n">
        <v>0</v>
      </c>
      <c r="I993" t="n">
        <v>0</v>
      </c>
      <c r="J993" t="n">
        <v>0</v>
      </c>
      <c r="K993" t="n">
        <v>0</v>
      </c>
      <c r="L993" t="n">
        <v>0</v>
      </c>
      <c r="M993" t="n">
        <v>0</v>
      </c>
      <c r="N993" t="n">
        <v>0</v>
      </c>
      <c r="O993" t="n">
        <v>0</v>
      </c>
      <c r="P993" t="n">
        <v>0</v>
      </c>
      <c r="Q993" t="n">
        <v>0</v>
      </c>
      <c r="R993" s="2" t="inlineStr"/>
    </row>
    <row r="994" ht="15" customHeight="1">
      <c r="A994" t="inlineStr">
        <is>
          <t>A 11240-2023</t>
        </is>
      </c>
      <c r="B994" s="1" t="n">
        <v>44992</v>
      </c>
      <c r="C994" s="1" t="n">
        <v>46165</v>
      </c>
      <c r="D994" t="inlineStr">
        <is>
          <t>SKÅNE LÄN</t>
        </is>
      </c>
      <c r="E994" t="inlineStr">
        <is>
          <t>HÄSSLEHOLM</t>
        </is>
      </c>
      <c r="G994" t="n">
        <v>2.1</v>
      </c>
      <c r="H994" t="n">
        <v>0</v>
      </c>
      <c r="I994" t="n">
        <v>0</v>
      </c>
      <c r="J994" t="n">
        <v>0</v>
      </c>
      <c r="K994" t="n">
        <v>0</v>
      </c>
      <c r="L994" t="n">
        <v>0</v>
      </c>
      <c r="M994" t="n">
        <v>0</v>
      </c>
      <c r="N994" t="n">
        <v>0</v>
      </c>
      <c r="O994" t="n">
        <v>0</v>
      </c>
      <c r="P994" t="n">
        <v>0</v>
      </c>
      <c r="Q994" t="n">
        <v>0</v>
      </c>
      <c r="R994" s="2" t="inlineStr"/>
    </row>
    <row r="995" ht="15" customHeight="1">
      <c r="A995" t="inlineStr">
        <is>
          <t>A 16108-2025</t>
        </is>
      </c>
      <c r="B995" s="1" t="n">
        <v>45750.34667824074</v>
      </c>
      <c r="C995" s="1" t="n">
        <v>46165</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48326-2023</t>
        </is>
      </c>
      <c r="B996" s="1" t="n">
        <v>45205</v>
      </c>
      <c r="C996" s="1" t="n">
        <v>46165</v>
      </c>
      <c r="D996" t="inlineStr">
        <is>
          <t>SKÅNE LÄN</t>
        </is>
      </c>
      <c r="E996" t="inlineStr">
        <is>
          <t>HÄSSLEHOLM</t>
        </is>
      </c>
      <c r="G996" t="n">
        <v>12.7</v>
      </c>
      <c r="H996" t="n">
        <v>0</v>
      </c>
      <c r="I996" t="n">
        <v>0</v>
      </c>
      <c r="J996" t="n">
        <v>0</v>
      </c>
      <c r="K996" t="n">
        <v>0</v>
      </c>
      <c r="L996" t="n">
        <v>0</v>
      </c>
      <c r="M996" t="n">
        <v>0</v>
      </c>
      <c r="N996" t="n">
        <v>0</v>
      </c>
      <c r="O996" t="n">
        <v>0</v>
      </c>
      <c r="P996" t="n">
        <v>0</v>
      </c>
      <c r="Q996" t="n">
        <v>0</v>
      </c>
      <c r="R996" s="2" t="inlineStr"/>
    </row>
    <row r="997" ht="15" customHeight="1">
      <c r="A997" t="inlineStr">
        <is>
          <t>A 54518-2022</t>
        </is>
      </c>
      <c r="B997" s="1" t="n">
        <v>44882</v>
      </c>
      <c r="C997" s="1" t="n">
        <v>46165</v>
      </c>
      <c r="D997" t="inlineStr">
        <is>
          <t>SKÅNE LÄN</t>
        </is>
      </c>
      <c r="E997" t="inlineStr">
        <is>
          <t>HÄSSLEHOLM</t>
        </is>
      </c>
      <c r="F997" t="inlineStr">
        <is>
          <t>Övriga Aktiebolag</t>
        </is>
      </c>
      <c r="G997" t="n">
        <v>6.8</v>
      </c>
      <c r="H997" t="n">
        <v>0</v>
      </c>
      <c r="I997" t="n">
        <v>0</v>
      </c>
      <c r="J997" t="n">
        <v>0</v>
      </c>
      <c r="K997" t="n">
        <v>0</v>
      </c>
      <c r="L997" t="n">
        <v>0</v>
      </c>
      <c r="M997" t="n">
        <v>0</v>
      </c>
      <c r="N997" t="n">
        <v>0</v>
      </c>
      <c r="O997" t="n">
        <v>0</v>
      </c>
      <c r="P997" t="n">
        <v>0</v>
      </c>
      <c r="Q997" t="n">
        <v>0</v>
      </c>
      <c r="R997" s="2" t="inlineStr"/>
    </row>
    <row r="998" ht="15" customHeight="1">
      <c r="A998" t="inlineStr">
        <is>
          <t>A 57491-2024</t>
        </is>
      </c>
      <c r="B998" s="1" t="n">
        <v>45629</v>
      </c>
      <c r="C998" s="1" t="n">
        <v>46165</v>
      </c>
      <c r="D998" t="inlineStr">
        <is>
          <t>SKÅNE LÄN</t>
        </is>
      </c>
      <c r="E998" t="inlineStr">
        <is>
          <t>HÄSSLEHOLM</t>
        </is>
      </c>
      <c r="G998" t="n">
        <v>3.2</v>
      </c>
      <c r="H998" t="n">
        <v>0</v>
      </c>
      <c r="I998" t="n">
        <v>0</v>
      </c>
      <c r="J998" t="n">
        <v>0</v>
      </c>
      <c r="K998" t="n">
        <v>0</v>
      </c>
      <c r="L998" t="n">
        <v>0</v>
      </c>
      <c r="M998" t="n">
        <v>0</v>
      </c>
      <c r="N998" t="n">
        <v>0</v>
      </c>
      <c r="O998" t="n">
        <v>0</v>
      </c>
      <c r="P998" t="n">
        <v>0</v>
      </c>
      <c r="Q998" t="n">
        <v>0</v>
      </c>
      <c r="R998" s="2" t="inlineStr"/>
    </row>
    <row r="999" ht="15" customHeight="1">
      <c r="A999" t="inlineStr">
        <is>
          <t>A 52912-2022</t>
        </is>
      </c>
      <c r="B999" s="1" t="n">
        <v>44872</v>
      </c>
      <c r="C999" s="1" t="n">
        <v>46165</v>
      </c>
      <c r="D999" t="inlineStr">
        <is>
          <t>SKÅNE LÄN</t>
        </is>
      </c>
      <c r="E999" t="inlineStr">
        <is>
          <t>HÄSSLEHOLM</t>
        </is>
      </c>
      <c r="G999" t="n">
        <v>4.7</v>
      </c>
      <c r="H999" t="n">
        <v>0</v>
      </c>
      <c r="I999" t="n">
        <v>0</v>
      </c>
      <c r="J999" t="n">
        <v>0</v>
      </c>
      <c r="K999" t="n">
        <v>0</v>
      </c>
      <c r="L999" t="n">
        <v>0</v>
      </c>
      <c r="M999" t="n">
        <v>0</v>
      </c>
      <c r="N999" t="n">
        <v>0</v>
      </c>
      <c r="O999" t="n">
        <v>0</v>
      </c>
      <c r="P999" t="n">
        <v>0</v>
      </c>
      <c r="Q999" t="n">
        <v>0</v>
      </c>
      <c r="R999" s="2" t="inlineStr"/>
    </row>
    <row r="1000" ht="15" customHeight="1">
      <c r="A1000" t="inlineStr">
        <is>
          <t>A 16950-2025</t>
        </is>
      </c>
      <c r="B1000" s="1" t="n">
        <v>45755</v>
      </c>
      <c r="C1000" s="1" t="n">
        <v>46165</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27502-2023</t>
        </is>
      </c>
      <c r="B1001" s="1" t="n">
        <v>45092</v>
      </c>
      <c r="C1001" s="1" t="n">
        <v>46165</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6836-2023</t>
        </is>
      </c>
      <c r="B1002" s="1" t="n">
        <v>44967</v>
      </c>
      <c r="C1002" s="1" t="n">
        <v>46165</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6845-2023</t>
        </is>
      </c>
      <c r="B1003" s="1" t="n">
        <v>44967</v>
      </c>
      <c r="C1003" s="1" t="n">
        <v>46165</v>
      </c>
      <c r="D1003" t="inlineStr">
        <is>
          <t>SKÅNE LÄN</t>
        </is>
      </c>
      <c r="E1003" t="inlineStr">
        <is>
          <t>HÄSSLEHOLM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53887-2023</t>
        </is>
      </c>
      <c r="B1004" s="1" t="n">
        <v>45231.52675925926</v>
      </c>
      <c r="C1004" s="1" t="n">
        <v>46165</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21329-2023</t>
        </is>
      </c>
      <c r="B1005" s="1" t="n">
        <v>45062</v>
      </c>
      <c r="C1005" s="1" t="n">
        <v>46165</v>
      </c>
      <c r="D1005" t="inlineStr">
        <is>
          <t>SKÅNE LÄN</t>
        </is>
      </c>
      <c r="E1005" t="inlineStr">
        <is>
          <t>HÄSSLEHOLM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1543-2024</t>
        </is>
      </c>
      <c r="B1006" s="1" t="n">
        <v>45306</v>
      </c>
      <c r="C1006" s="1" t="n">
        <v>46165</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18800-2023</t>
        </is>
      </c>
      <c r="B1007" s="1" t="n">
        <v>45044</v>
      </c>
      <c r="C1007" s="1" t="n">
        <v>46165</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25077-2024</t>
        </is>
      </c>
      <c r="B1008" s="1" t="n">
        <v>45462</v>
      </c>
      <c r="C1008" s="1" t="n">
        <v>46165</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22535-2024</t>
        </is>
      </c>
      <c r="B1009" s="1" t="n">
        <v>45447</v>
      </c>
      <c r="C1009" s="1" t="n">
        <v>46165</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15060-2023</t>
        </is>
      </c>
      <c r="B1010" s="1" t="n">
        <v>45015.69832175926</v>
      </c>
      <c r="C1010" s="1" t="n">
        <v>46165</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4787-2023</t>
        </is>
      </c>
      <c r="B1011" s="1" t="n">
        <v>44957.60079861111</v>
      </c>
      <c r="C1011" s="1" t="n">
        <v>46165</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4788-2023</t>
        </is>
      </c>
      <c r="B1012" s="1" t="n">
        <v>44957.60130787037</v>
      </c>
      <c r="C1012" s="1" t="n">
        <v>46165</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34348-2022</t>
        </is>
      </c>
      <c r="B1013" s="1" t="n">
        <v>44792</v>
      </c>
      <c r="C1013" s="1" t="n">
        <v>46165</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45399-2022</t>
        </is>
      </c>
      <c r="B1014" s="1" t="n">
        <v>44844.70513888889</v>
      </c>
      <c r="C1014" s="1" t="n">
        <v>46165</v>
      </c>
      <c r="D1014" t="inlineStr">
        <is>
          <t>SKÅNE LÄN</t>
        </is>
      </c>
      <c r="E1014" t="inlineStr">
        <is>
          <t>HÄSSLEHOLM</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35640-2023</t>
        </is>
      </c>
      <c r="B1015" s="1" t="n">
        <v>45147</v>
      </c>
      <c r="C1015" s="1" t="n">
        <v>46165</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2681-2024</t>
        </is>
      </c>
      <c r="B1016" s="1" t="n">
        <v>45314</v>
      </c>
      <c r="C1016" s="1" t="n">
        <v>46165</v>
      </c>
      <c r="D1016" t="inlineStr">
        <is>
          <t>SKÅNE LÄN</t>
        </is>
      </c>
      <c r="E1016" t="inlineStr">
        <is>
          <t>HÄSSLEHOLM</t>
        </is>
      </c>
      <c r="F1016" t="inlineStr">
        <is>
          <t>Övriga Aktiebolag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27177-2024</t>
        </is>
      </c>
      <c r="B1017" s="1" t="n">
        <v>45471.57201388889</v>
      </c>
      <c r="C1017" s="1" t="n">
        <v>46165</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49219-2024</t>
        </is>
      </c>
      <c r="B1018" s="1" t="n">
        <v>45595.40923611111</v>
      </c>
      <c r="C1018" s="1" t="n">
        <v>46165</v>
      </c>
      <c r="D1018" t="inlineStr">
        <is>
          <t>SKÅNE LÄN</t>
        </is>
      </c>
      <c r="E1018" t="inlineStr">
        <is>
          <t>HÄSSLEHOLM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13646-2024</t>
        </is>
      </c>
      <c r="B1019" s="1" t="n">
        <v>45387</v>
      </c>
      <c r="C1019" s="1" t="n">
        <v>46165</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4750-2024</t>
        </is>
      </c>
      <c r="B1020" s="1" t="n">
        <v>45328</v>
      </c>
      <c r="C1020" s="1" t="n">
        <v>46165</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58891-2022</t>
        </is>
      </c>
      <c r="B1021" s="1" t="n">
        <v>44896</v>
      </c>
      <c r="C1021" s="1" t="n">
        <v>46165</v>
      </c>
      <c r="D1021" t="inlineStr">
        <is>
          <t>SKÅNE LÄN</t>
        </is>
      </c>
      <c r="E1021" t="inlineStr">
        <is>
          <t>HÄSSLEHOLM</t>
        </is>
      </c>
      <c r="F1021" t="inlineStr">
        <is>
          <t>Kyrkan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36568-2024</t>
        </is>
      </c>
      <c r="B1022" s="1" t="n">
        <v>45537</v>
      </c>
      <c r="C1022" s="1" t="n">
        <v>46165</v>
      </c>
      <c r="D1022" t="inlineStr">
        <is>
          <t>SKÅNE LÄN</t>
        </is>
      </c>
      <c r="E1022" t="inlineStr">
        <is>
          <t>HÄSSLEHOLM</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9323-2025</t>
        </is>
      </c>
      <c r="B1023" s="1" t="n">
        <v>45714.73532407408</v>
      </c>
      <c r="C1023" s="1" t="n">
        <v>46165</v>
      </c>
      <c r="D1023" t="inlineStr">
        <is>
          <t>SKÅNE LÄN</t>
        </is>
      </c>
      <c r="E1023" t="inlineStr">
        <is>
          <t>HÄSSLEHOLM</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19593-2023</t>
        </is>
      </c>
      <c r="B1024" s="1" t="n">
        <v>45050.75895833333</v>
      </c>
      <c r="C1024" s="1" t="n">
        <v>46165</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16017-2023</t>
        </is>
      </c>
      <c r="B1025" s="1" t="n">
        <v>45026</v>
      </c>
      <c r="C1025" s="1" t="n">
        <v>46165</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524-2024</t>
        </is>
      </c>
      <c r="B1026" s="1" t="n">
        <v>45299</v>
      </c>
      <c r="C1026" s="1" t="n">
        <v>46165</v>
      </c>
      <c r="D1026" t="inlineStr">
        <is>
          <t>SKÅNE LÄN</t>
        </is>
      </c>
      <c r="E1026" t="inlineStr">
        <is>
          <t>HÄSSLEHOLM</t>
        </is>
      </c>
      <c r="G1026" t="n">
        <v>29.4</v>
      </c>
      <c r="H1026" t="n">
        <v>0</v>
      </c>
      <c r="I1026" t="n">
        <v>0</v>
      </c>
      <c r="J1026" t="n">
        <v>0</v>
      </c>
      <c r="K1026" t="n">
        <v>0</v>
      </c>
      <c r="L1026" t="n">
        <v>0</v>
      </c>
      <c r="M1026" t="n">
        <v>0</v>
      </c>
      <c r="N1026" t="n">
        <v>0</v>
      </c>
      <c r="O1026" t="n">
        <v>0</v>
      </c>
      <c r="P1026" t="n">
        <v>0</v>
      </c>
      <c r="Q1026" t="n">
        <v>0</v>
      </c>
      <c r="R1026" s="2" t="inlineStr"/>
    </row>
    <row r="1027" ht="15" customHeight="1">
      <c r="A1027" t="inlineStr">
        <is>
          <t>A 9394-2025</t>
        </is>
      </c>
      <c r="B1027" s="1" t="n">
        <v>45715.36387731481</v>
      </c>
      <c r="C1027" s="1" t="n">
        <v>46165</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39223-2024</t>
        </is>
      </c>
      <c r="B1028" s="1" t="n">
        <v>45550</v>
      </c>
      <c r="C1028" s="1" t="n">
        <v>46165</v>
      </c>
      <c r="D1028" t="inlineStr">
        <is>
          <t>SKÅNE LÄN</t>
        </is>
      </c>
      <c r="E1028" t="inlineStr">
        <is>
          <t>HÄSSLEHOLM</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27304-2023</t>
        </is>
      </c>
      <c r="B1029" s="1" t="n">
        <v>45096.65199074074</v>
      </c>
      <c r="C1029" s="1" t="n">
        <v>46165</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22693-2022</t>
        </is>
      </c>
      <c r="B1030" s="1" t="n">
        <v>44714.54729166667</v>
      </c>
      <c r="C1030" s="1" t="n">
        <v>46165</v>
      </c>
      <c r="D1030" t="inlineStr">
        <is>
          <t>SKÅNE LÄN</t>
        </is>
      </c>
      <c r="E1030" t="inlineStr">
        <is>
          <t>HÄSSLEHOLM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15104-2023</t>
        </is>
      </c>
      <c r="B1031" s="1" t="n">
        <v>45016.40576388889</v>
      </c>
      <c r="C1031" s="1" t="n">
        <v>46165</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12507-2022</t>
        </is>
      </c>
      <c r="B1032" s="1" t="n">
        <v>44638</v>
      </c>
      <c r="C1032" s="1" t="n">
        <v>46165</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2597-2024</t>
        </is>
      </c>
      <c r="B1033" s="1" t="n">
        <v>45313</v>
      </c>
      <c r="C1033" s="1" t="n">
        <v>46165</v>
      </c>
      <c r="D1033" t="inlineStr">
        <is>
          <t>SKÅNE LÄN</t>
        </is>
      </c>
      <c r="E1033" t="inlineStr">
        <is>
          <t>HÄSSLEHOLM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3531-2023</t>
        </is>
      </c>
      <c r="B1034" s="1" t="n">
        <v>44950</v>
      </c>
      <c r="C1034" s="1" t="n">
        <v>46165</v>
      </c>
      <c r="D1034" t="inlineStr">
        <is>
          <t>SKÅNE LÄN</t>
        </is>
      </c>
      <c r="E1034" t="inlineStr">
        <is>
          <t>HÄSSLEHOLM</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15417-2022</t>
        </is>
      </c>
      <c r="B1035" s="1" t="n">
        <v>44659</v>
      </c>
      <c r="C1035" s="1" t="n">
        <v>46165</v>
      </c>
      <c r="D1035" t="inlineStr">
        <is>
          <t>SKÅNE LÄN</t>
        </is>
      </c>
      <c r="E1035" t="inlineStr">
        <is>
          <t>HÄSSLEHOLM</t>
        </is>
      </c>
      <c r="F1035" t="inlineStr">
        <is>
          <t>Kyrkan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44262-2021</t>
        </is>
      </c>
      <c r="B1036" s="1" t="n">
        <v>44434</v>
      </c>
      <c r="C1036" s="1" t="n">
        <v>46165</v>
      </c>
      <c r="D1036" t="inlineStr">
        <is>
          <t>SKÅNE LÄN</t>
        </is>
      </c>
      <c r="E1036" t="inlineStr">
        <is>
          <t>HÄSSLEHOLM</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50659-2023</t>
        </is>
      </c>
      <c r="B1037" s="1" t="n">
        <v>45217</v>
      </c>
      <c r="C1037" s="1" t="n">
        <v>46165</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67801-2021</t>
        </is>
      </c>
      <c r="B1038" s="1" t="n">
        <v>44525</v>
      </c>
      <c r="C1038" s="1" t="n">
        <v>46165</v>
      </c>
      <c r="D1038" t="inlineStr">
        <is>
          <t>SKÅNE LÄN</t>
        </is>
      </c>
      <c r="E1038" t="inlineStr">
        <is>
          <t>HÄSSLEHOLM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2144-2023</t>
        </is>
      </c>
      <c r="B1039" s="1" t="n">
        <v>44940.79054398148</v>
      </c>
      <c r="C1039" s="1" t="n">
        <v>46165</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37141-2021</t>
        </is>
      </c>
      <c r="B1040" s="1" t="n">
        <v>44396</v>
      </c>
      <c r="C1040" s="1" t="n">
        <v>46165</v>
      </c>
      <c r="D1040" t="inlineStr">
        <is>
          <t>SKÅNE LÄN</t>
        </is>
      </c>
      <c r="E1040" t="inlineStr">
        <is>
          <t>HÄSSLEHOLM</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7202-2022</t>
        </is>
      </c>
      <c r="B1041" s="1" t="n">
        <v>44606</v>
      </c>
      <c r="C1041" s="1" t="n">
        <v>46165</v>
      </c>
      <c r="D1041" t="inlineStr">
        <is>
          <t>SKÅNE LÄN</t>
        </is>
      </c>
      <c r="E1041" t="inlineStr">
        <is>
          <t>HÄSSLEHOLM</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21494-2023</t>
        </is>
      </c>
      <c r="B1042" s="1" t="n">
        <v>45063</v>
      </c>
      <c r="C1042" s="1" t="n">
        <v>46165</v>
      </c>
      <c r="D1042" t="inlineStr">
        <is>
          <t>SKÅNE LÄN</t>
        </is>
      </c>
      <c r="E1042" t="inlineStr">
        <is>
          <t>HÄSSLEHOLM</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21495-2023</t>
        </is>
      </c>
      <c r="B1043" s="1" t="n">
        <v>45063</v>
      </c>
      <c r="C1043" s="1" t="n">
        <v>46165</v>
      </c>
      <c r="D1043" t="inlineStr">
        <is>
          <t>SKÅNE LÄN</t>
        </is>
      </c>
      <c r="E1043" t="inlineStr">
        <is>
          <t>HÄSSLEHOLM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62167-2022</t>
        </is>
      </c>
      <c r="B1044" s="1" t="n">
        <v>44915</v>
      </c>
      <c r="C1044" s="1" t="n">
        <v>46165</v>
      </c>
      <c r="D1044" t="inlineStr">
        <is>
          <t>SKÅNE LÄN</t>
        </is>
      </c>
      <c r="E1044" t="inlineStr">
        <is>
          <t>HÄSSLEHOLM</t>
        </is>
      </c>
      <c r="F1044" t="inlineStr">
        <is>
          <t>Kyrkan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62234-2022</t>
        </is>
      </c>
      <c r="B1045" s="1" t="n">
        <v>44922</v>
      </c>
      <c r="C1045" s="1" t="n">
        <v>46165</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34299-2024</t>
        </is>
      </c>
      <c r="B1046" s="1" t="n">
        <v>45524</v>
      </c>
      <c r="C1046" s="1" t="n">
        <v>46165</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9697-2023</t>
        </is>
      </c>
      <c r="B1047" s="1" t="n">
        <v>44984</v>
      </c>
      <c r="C1047" s="1" t="n">
        <v>46165</v>
      </c>
      <c r="D1047" t="inlineStr">
        <is>
          <t>SKÅNE LÄN</t>
        </is>
      </c>
      <c r="E1047" t="inlineStr">
        <is>
          <t>HÄSSLEHOLM</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42232-2022</t>
        </is>
      </c>
      <c r="B1048" s="1" t="n">
        <v>44830.77591435185</v>
      </c>
      <c r="C1048" s="1" t="n">
        <v>46165</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37038-2022</t>
        </is>
      </c>
      <c r="B1049" s="1" t="n">
        <v>44806.44232638889</v>
      </c>
      <c r="C1049" s="1" t="n">
        <v>46165</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5894-2023</t>
        </is>
      </c>
      <c r="B1050" s="1" t="n">
        <v>44963.65148148148</v>
      </c>
      <c r="C1050" s="1" t="n">
        <v>46165</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9502-2023</t>
        </is>
      </c>
      <c r="B1051" s="1" t="n">
        <v>44981.63278935185</v>
      </c>
      <c r="C1051" s="1" t="n">
        <v>46165</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48046-2023</t>
        </is>
      </c>
      <c r="B1052" s="1" t="n">
        <v>45204.85201388889</v>
      </c>
      <c r="C1052" s="1" t="n">
        <v>46165</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57749-2023</t>
        </is>
      </c>
      <c r="B1053" s="1" t="n">
        <v>45246</v>
      </c>
      <c r="C1053" s="1" t="n">
        <v>46165</v>
      </c>
      <c r="D1053" t="inlineStr">
        <is>
          <t>SKÅNE LÄN</t>
        </is>
      </c>
      <c r="E1053" t="inlineStr">
        <is>
          <t>HÄSSLEHOLM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1538-2024</t>
        </is>
      </c>
      <c r="B1054" s="1" t="n">
        <v>45306</v>
      </c>
      <c r="C1054" s="1" t="n">
        <v>46165</v>
      </c>
      <c r="D1054" t="inlineStr">
        <is>
          <t>SKÅNE LÄN</t>
        </is>
      </c>
      <c r="E1054" t="inlineStr">
        <is>
          <t>HÄSSLEHOLM</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3135-2023</t>
        </is>
      </c>
      <c r="B1055" s="1" t="n">
        <v>44946.51672453704</v>
      </c>
      <c r="C1055" s="1" t="n">
        <v>46165</v>
      </c>
      <c r="D1055" t="inlineStr">
        <is>
          <t>SKÅNE LÄN</t>
        </is>
      </c>
      <c r="E1055" t="inlineStr">
        <is>
          <t>HÄSSLEHOLM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34342-2021</t>
        </is>
      </c>
      <c r="B1056" s="1" t="n">
        <v>44379</v>
      </c>
      <c r="C1056" s="1" t="n">
        <v>46165</v>
      </c>
      <c r="D1056" t="inlineStr">
        <is>
          <t>SKÅNE LÄN</t>
        </is>
      </c>
      <c r="E1056" t="inlineStr">
        <is>
          <t>HÄSSLEHOLM</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3507-2024</t>
        </is>
      </c>
      <c r="B1057" s="1" t="n">
        <v>45320.4906712963</v>
      </c>
      <c r="C1057" s="1" t="n">
        <v>46165</v>
      </c>
      <c r="D1057" t="inlineStr">
        <is>
          <t>SKÅNE LÄN</t>
        </is>
      </c>
      <c r="E1057" t="inlineStr">
        <is>
          <t>HÄSSLEHOLM</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49111-2023</t>
        </is>
      </c>
      <c r="B1058" s="1" t="n">
        <v>45210.44464120371</v>
      </c>
      <c r="C1058" s="1" t="n">
        <v>46165</v>
      </c>
      <c r="D1058" t="inlineStr">
        <is>
          <t>SKÅNE LÄN</t>
        </is>
      </c>
      <c r="E1058" t="inlineStr">
        <is>
          <t>HÄSSLEHOLM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61178-2022</t>
        </is>
      </c>
      <c r="B1059" s="1" t="n">
        <v>44915</v>
      </c>
      <c r="C1059" s="1" t="n">
        <v>46165</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61185-2022</t>
        </is>
      </c>
      <c r="B1060" s="1" t="n">
        <v>44915</v>
      </c>
      <c r="C1060" s="1" t="n">
        <v>46165</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58915-2023</t>
        </is>
      </c>
      <c r="B1061" s="1" t="n">
        <v>45250</v>
      </c>
      <c r="C1061" s="1" t="n">
        <v>46165</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15508-2023</t>
        </is>
      </c>
      <c r="B1062" s="1" t="n">
        <v>45020.50045138889</v>
      </c>
      <c r="C1062" s="1" t="n">
        <v>46165</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61934-2023</t>
        </is>
      </c>
      <c r="B1063" s="1" t="n">
        <v>45266.54125</v>
      </c>
      <c r="C1063" s="1" t="n">
        <v>46165</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11715-2023</t>
        </is>
      </c>
      <c r="B1064" s="1" t="n">
        <v>44992</v>
      </c>
      <c r="C1064" s="1" t="n">
        <v>46165</v>
      </c>
      <c r="D1064" t="inlineStr">
        <is>
          <t>SKÅNE LÄN</t>
        </is>
      </c>
      <c r="E1064" t="inlineStr">
        <is>
          <t>HÄSSLEHOLM</t>
        </is>
      </c>
      <c r="F1064" t="inlineStr">
        <is>
          <t>Övriga Aktiebolag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38888-2023</t>
        </is>
      </c>
      <c r="B1065" s="1" t="n">
        <v>45161</v>
      </c>
      <c r="C1065" s="1" t="n">
        <v>46165</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59030-2024</t>
        </is>
      </c>
      <c r="B1066" s="1" t="n">
        <v>45636.68916666666</v>
      </c>
      <c r="C1066" s="1" t="n">
        <v>46165</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48663-2024</t>
        </is>
      </c>
      <c r="B1067" s="1" t="n">
        <v>45593.48892361111</v>
      </c>
      <c r="C1067" s="1" t="n">
        <v>46165</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7153-2025</t>
        </is>
      </c>
      <c r="B1068" s="1" t="n">
        <v>45702.38512731482</v>
      </c>
      <c r="C1068" s="1" t="n">
        <v>46165</v>
      </c>
      <c r="D1068" t="inlineStr">
        <is>
          <t>SKÅNE LÄN</t>
        </is>
      </c>
      <c r="E1068" t="inlineStr">
        <is>
          <t>HÄSSLEHOLM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48771-2024</t>
        </is>
      </c>
      <c r="B1069" s="1" t="n">
        <v>45593.61284722222</v>
      </c>
      <c r="C1069" s="1" t="n">
        <v>46165</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12344-2023</t>
        </is>
      </c>
      <c r="B1070" s="1" t="n">
        <v>44999</v>
      </c>
      <c r="C1070" s="1" t="n">
        <v>46165</v>
      </c>
      <c r="D1070" t="inlineStr">
        <is>
          <t>SKÅNE LÄN</t>
        </is>
      </c>
      <c r="E1070" t="inlineStr">
        <is>
          <t>HÄSSLEHOLM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61197-2024</t>
        </is>
      </c>
      <c r="B1071" s="1" t="n">
        <v>45645.63184027778</v>
      </c>
      <c r="C1071" s="1" t="n">
        <v>46165</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6165-2023</t>
        </is>
      </c>
      <c r="B1072" s="1" t="n">
        <v>44964.67114583333</v>
      </c>
      <c r="C1072" s="1" t="n">
        <v>46165</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33938-2023</t>
        </is>
      </c>
      <c r="B1073" s="1" t="n">
        <v>45124</v>
      </c>
      <c r="C1073" s="1" t="n">
        <v>46165</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61533-2022</t>
        </is>
      </c>
      <c r="B1074" s="1" t="n">
        <v>44910</v>
      </c>
      <c r="C1074" s="1" t="n">
        <v>46165</v>
      </c>
      <c r="D1074" t="inlineStr">
        <is>
          <t>SKÅNE LÄN</t>
        </is>
      </c>
      <c r="E1074" t="inlineStr">
        <is>
          <t>HÄSSLEHOLM</t>
        </is>
      </c>
      <c r="F1074" t="inlineStr">
        <is>
          <t>Kyrkan</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677-2024</t>
        </is>
      </c>
      <c r="B1075" s="1" t="n">
        <v>45300</v>
      </c>
      <c r="C1075" s="1" t="n">
        <v>46165</v>
      </c>
      <c r="D1075" t="inlineStr">
        <is>
          <t>SKÅNE LÄN</t>
        </is>
      </c>
      <c r="E1075" t="inlineStr">
        <is>
          <t>HÄSSLEHOLM</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20872-2025</t>
        </is>
      </c>
      <c r="B1076" s="1" t="n">
        <v>45777.34688657407</v>
      </c>
      <c r="C1076" s="1" t="n">
        <v>46165</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29994-2023</t>
        </is>
      </c>
      <c r="B1077" s="1" t="n">
        <v>45109.60038194444</v>
      </c>
      <c r="C1077" s="1" t="n">
        <v>46165</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21206-2025</t>
        </is>
      </c>
      <c r="B1078" s="1" t="n">
        <v>45779.48318287037</v>
      </c>
      <c r="C1078" s="1" t="n">
        <v>46165</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21091-2025</t>
        </is>
      </c>
      <c r="B1079" s="1" t="n">
        <v>45777</v>
      </c>
      <c r="C1079" s="1" t="n">
        <v>46165</v>
      </c>
      <c r="D1079" t="inlineStr">
        <is>
          <t>SKÅNE LÄN</t>
        </is>
      </c>
      <c r="E1079" t="inlineStr">
        <is>
          <t>HÄSSLEHOLM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317-2025</t>
        </is>
      </c>
      <c r="B1080" s="1" t="n">
        <v>45660</v>
      </c>
      <c r="C1080" s="1" t="n">
        <v>46165</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21638-2025</t>
        </is>
      </c>
      <c r="B1081" s="1" t="n">
        <v>45783.43087962963</v>
      </c>
      <c r="C1081" s="1" t="n">
        <v>46165</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45164.87140046297</v>
      </c>
      <c r="C1082" s="1" t="n">
        <v>46165</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60851-2024</t>
        </is>
      </c>
      <c r="B1083" s="1" t="n">
        <v>45644.66182870371</v>
      </c>
      <c r="C1083" s="1" t="n">
        <v>46165</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21625-2025</t>
        </is>
      </c>
      <c r="B1084" s="1" t="n">
        <v>45783.41252314814</v>
      </c>
      <c r="C1084" s="1" t="n">
        <v>46165</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7818-2024</t>
        </is>
      </c>
      <c r="B1085" s="1" t="n">
        <v>45349.68872685185</v>
      </c>
      <c r="C1085" s="1" t="n">
        <v>46165</v>
      </c>
      <c r="D1085" t="inlineStr">
        <is>
          <t>SKÅNE LÄN</t>
        </is>
      </c>
      <c r="E1085" t="inlineStr">
        <is>
          <t>HÄSSLEHOLM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13149-2024</t>
        </is>
      </c>
      <c r="B1086" s="1" t="n">
        <v>45386</v>
      </c>
      <c r="C1086" s="1" t="n">
        <v>46165</v>
      </c>
      <c r="D1086" t="inlineStr">
        <is>
          <t>SKÅNE LÄN</t>
        </is>
      </c>
      <c r="E1086" t="inlineStr">
        <is>
          <t>HÄSSLEHOLM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29845-2024</t>
        </is>
      </c>
      <c r="B1087" s="1" t="n">
        <v>45485.6212037037</v>
      </c>
      <c r="C1087" s="1" t="n">
        <v>46165</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1703-2025</t>
        </is>
      </c>
      <c r="B1088" s="1" t="n">
        <v>45670.80732638889</v>
      </c>
      <c r="C1088" s="1" t="n">
        <v>46165</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53466-2024</t>
        </is>
      </c>
      <c r="B1089" s="1" t="n">
        <v>45614.55304398148</v>
      </c>
      <c r="C1089" s="1" t="n">
        <v>46165</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61533-2024</t>
        </is>
      </c>
      <c r="B1090" s="1" t="n">
        <v>45646</v>
      </c>
      <c r="C1090" s="1" t="n">
        <v>46165</v>
      </c>
      <c r="D1090" t="inlineStr">
        <is>
          <t>SKÅNE LÄN</t>
        </is>
      </c>
      <c r="E1090" t="inlineStr">
        <is>
          <t>HÄSSLEHOLM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19735-2023</t>
        </is>
      </c>
      <c r="B1091" s="1" t="n">
        <v>45051.52199074074</v>
      </c>
      <c r="C1091" s="1" t="n">
        <v>46165</v>
      </c>
      <c r="D1091" t="inlineStr">
        <is>
          <t>SKÅNE LÄN</t>
        </is>
      </c>
      <c r="E1091" t="inlineStr">
        <is>
          <t>HÄSSLEHOLM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2490-2024</t>
        </is>
      </c>
      <c r="B1092" s="1" t="n">
        <v>45313.43649305555</v>
      </c>
      <c r="C1092" s="1" t="n">
        <v>46165</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61537-2024</t>
        </is>
      </c>
      <c r="B1093" s="1" t="n">
        <v>45646</v>
      </c>
      <c r="C1093" s="1" t="n">
        <v>46165</v>
      </c>
      <c r="D1093" t="inlineStr">
        <is>
          <t>SKÅNE LÄN</t>
        </is>
      </c>
      <c r="E1093" t="inlineStr">
        <is>
          <t>HÄSSLEHOLM</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34890-2023</t>
        </is>
      </c>
      <c r="B1094" s="1" t="n">
        <v>45142.39475694444</v>
      </c>
      <c r="C1094" s="1" t="n">
        <v>46165</v>
      </c>
      <c r="D1094" t="inlineStr">
        <is>
          <t>SKÅNE LÄN</t>
        </is>
      </c>
      <c r="E1094" t="inlineStr">
        <is>
          <t>HÄSSLEHOLM</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22024-2025</t>
        </is>
      </c>
      <c r="B1095" s="1" t="n">
        <v>45784.85322916666</v>
      </c>
      <c r="C1095" s="1" t="n">
        <v>46165</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20006-2025</t>
        </is>
      </c>
      <c r="B1096" s="1" t="n">
        <v>45772.05032407407</v>
      </c>
      <c r="C1096" s="1" t="n">
        <v>46165</v>
      </c>
      <c r="D1096" t="inlineStr">
        <is>
          <t>SKÅNE LÄN</t>
        </is>
      </c>
      <c r="E1096" t="inlineStr">
        <is>
          <t>HÄSSLEHOLM</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56735-2024</t>
        </is>
      </c>
      <c r="B1097" s="1" t="n">
        <v>45628.36234953703</v>
      </c>
      <c r="C1097" s="1" t="n">
        <v>46165</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29844-2024</t>
        </is>
      </c>
      <c r="B1098" s="1" t="n">
        <v>45485</v>
      </c>
      <c r="C1098" s="1" t="n">
        <v>46165</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55662-2022</t>
        </is>
      </c>
      <c r="B1099" s="1" t="n">
        <v>44883</v>
      </c>
      <c r="C1099" s="1" t="n">
        <v>46165</v>
      </c>
      <c r="D1099" t="inlineStr">
        <is>
          <t>SKÅNE LÄN</t>
        </is>
      </c>
      <c r="E1099" t="inlineStr">
        <is>
          <t>HÄSSLEHOLM</t>
        </is>
      </c>
      <c r="F1099" t="inlineStr">
        <is>
          <t>Övriga Aktiebolag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3886-2024</t>
        </is>
      </c>
      <c r="B1100" s="1" t="n">
        <v>45322.44539351852</v>
      </c>
      <c r="C1100" s="1" t="n">
        <v>46165</v>
      </c>
      <c r="D1100" t="inlineStr">
        <is>
          <t>SKÅNE LÄN</t>
        </is>
      </c>
      <c r="E1100" t="inlineStr">
        <is>
          <t>HÄSSLEHOLM</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9924-2025</t>
        </is>
      </c>
      <c r="B1101" s="1" t="n">
        <v>45717.72505787037</v>
      </c>
      <c r="C1101" s="1" t="n">
        <v>46165</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22587-2025</t>
        </is>
      </c>
      <c r="B1102" s="1" t="n">
        <v>45789.39974537037</v>
      </c>
      <c r="C1102" s="1" t="n">
        <v>46165</v>
      </c>
      <c r="D1102" t="inlineStr">
        <is>
          <t>SKÅNE LÄN</t>
        </is>
      </c>
      <c r="E1102" t="inlineStr">
        <is>
          <t>HÄSSLEHOLM</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60920-2024</t>
        </is>
      </c>
      <c r="B1103" s="1" t="n">
        <v>45645.34442129629</v>
      </c>
      <c r="C1103" s="1" t="n">
        <v>46165</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40536-2024</t>
        </is>
      </c>
      <c r="B1104" s="1" t="n">
        <v>45555.61314814815</v>
      </c>
      <c r="C1104" s="1" t="n">
        <v>46165</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56386-2023</t>
        </is>
      </c>
      <c r="B1105" s="1" t="n">
        <v>45243</v>
      </c>
      <c r="C1105" s="1" t="n">
        <v>46165</v>
      </c>
      <c r="D1105" t="inlineStr">
        <is>
          <t>SKÅNE LÄN</t>
        </is>
      </c>
      <c r="E1105" t="inlineStr">
        <is>
          <t>HÄSSLEHOLM</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29274-2023</t>
        </is>
      </c>
      <c r="B1106" s="1" t="n">
        <v>45105</v>
      </c>
      <c r="C1106" s="1" t="n">
        <v>46165</v>
      </c>
      <c r="D1106" t="inlineStr">
        <is>
          <t>SKÅNE LÄN</t>
        </is>
      </c>
      <c r="E1106" t="inlineStr">
        <is>
          <t>HÄSSLEHOLM</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61932-2023</t>
        </is>
      </c>
      <c r="B1107" s="1" t="n">
        <v>45266.53761574074</v>
      </c>
      <c r="C1107" s="1" t="n">
        <v>46165</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27606-2024</t>
        </is>
      </c>
      <c r="B1108" s="1" t="n">
        <v>45474</v>
      </c>
      <c r="C1108" s="1" t="n">
        <v>46165</v>
      </c>
      <c r="D1108" t="inlineStr">
        <is>
          <t>SKÅNE LÄN</t>
        </is>
      </c>
      <c r="E1108" t="inlineStr">
        <is>
          <t>HÄSSLEHOLM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50244-2024</t>
        </is>
      </c>
      <c r="B1109" s="1" t="n">
        <v>45600.56502314815</v>
      </c>
      <c r="C1109" s="1" t="n">
        <v>46165</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7221-2025</t>
        </is>
      </c>
      <c r="B1110" s="1" t="n">
        <v>45701</v>
      </c>
      <c r="C1110" s="1" t="n">
        <v>46165</v>
      </c>
      <c r="D1110" t="inlineStr">
        <is>
          <t>SKÅNE LÄN</t>
        </is>
      </c>
      <c r="E1110" t="inlineStr">
        <is>
          <t>HÄSSLEHOLM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5532-2025</t>
        </is>
      </c>
      <c r="B1111" s="1" t="n">
        <v>45693</v>
      </c>
      <c r="C1111" s="1" t="n">
        <v>46165</v>
      </c>
      <c r="D1111" t="inlineStr">
        <is>
          <t>SKÅNE LÄN</t>
        </is>
      </c>
      <c r="E1111" t="inlineStr">
        <is>
          <t>HÄSSLEHOLM</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10230-2025</t>
        </is>
      </c>
      <c r="B1112" s="1" t="n">
        <v>45720</v>
      </c>
      <c r="C1112" s="1" t="n">
        <v>46165</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33266-2024</t>
        </is>
      </c>
      <c r="B1113" s="1" t="n">
        <v>45518</v>
      </c>
      <c r="C1113" s="1" t="n">
        <v>46165</v>
      </c>
      <c r="D1113" t="inlineStr">
        <is>
          <t>SKÅNE LÄN</t>
        </is>
      </c>
      <c r="E1113" t="inlineStr">
        <is>
          <t>HÄSSLEHOLM</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48797-2023</t>
        </is>
      </c>
      <c r="B1114" s="1" t="n">
        <v>45209.24986111111</v>
      </c>
      <c r="C1114" s="1" t="n">
        <v>46165</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22592-2025</t>
        </is>
      </c>
      <c r="B1115" s="1" t="n">
        <v>45789.40502314815</v>
      </c>
      <c r="C1115" s="1" t="n">
        <v>46165</v>
      </c>
      <c r="D1115" t="inlineStr">
        <is>
          <t>SKÅNE LÄN</t>
        </is>
      </c>
      <c r="E1115" t="inlineStr">
        <is>
          <t>HÄSSLEHOLM</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23007-2025</t>
        </is>
      </c>
      <c r="B1116" s="1" t="n">
        <v>45790</v>
      </c>
      <c r="C1116" s="1" t="n">
        <v>46165</v>
      </c>
      <c r="D1116" t="inlineStr">
        <is>
          <t>SKÅNE LÄN</t>
        </is>
      </c>
      <c r="E1116" t="inlineStr">
        <is>
          <t>HÄSSLEHOLM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17171-2025</t>
        </is>
      </c>
      <c r="B1117" s="1" t="n">
        <v>45755</v>
      </c>
      <c r="C1117" s="1" t="n">
        <v>46165</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16930-2024</t>
        </is>
      </c>
      <c r="B1118" s="1" t="n">
        <v>45411</v>
      </c>
      <c r="C1118" s="1" t="n">
        <v>46165</v>
      </c>
      <c r="D1118" t="inlineStr">
        <is>
          <t>SKÅNE LÄN</t>
        </is>
      </c>
      <c r="E1118" t="inlineStr">
        <is>
          <t>HÄSSLEHOLM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27825-2024</t>
        </is>
      </c>
      <c r="B1119" s="1" t="n">
        <v>45475</v>
      </c>
      <c r="C1119" s="1" t="n">
        <v>46165</v>
      </c>
      <c r="D1119" t="inlineStr">
        <is>
          <t>SKÅNE LÄN</t>
        </is>
      </c>
      <c r="E1119" t="inlineStr">
        <is>
          <t>HÄSSLEHOLM</t>
        </is>
      </c>
      <c r="F1119" t="inlineStr">
        <is>
          <t>Kommuner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31254-2024</t>
        </is>
      </c>
      <c r="B1120" s="1" t="n">
        <v>45503</v>
      </c>
      <c r="C1120" s="1" t="n">
        <v>46165</v>
      </c>
      <c r="D1120" t="inlineStr">
        <is>
          <t>SKÅNE LÄN</t>
        </is>
      </c>
      <c r="E1120" t="inlineStr">
        <is>
          <t>HÄSSLEHOLM</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37486-2024</t>
        </is>
      </c>
      <c r="B1121" s="1" t="n">
        <v>45541</v>
      </c>
      <c r="C1121" s="1" t="n">
        <v>46165</v>
      </c>
      <c r="D1121" t="inlineStr">
        <is>
          <t>SKÅNE LÄN</t>
        </is>
      </c>
      <c r="E1121" t="inlineStr">
        <is>
          <t>HÄSSLEHOLM</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44838-2023</t>
        </is>
      </c>
      <c r="B1122" s="1" t="n">
        <v>45190</v>
      </c>
      <c r="C1122" s="1" t="n">
        <v>46165</v>
      </c>
      <c r="D1122" t="inlineStr">
        <is>
          <t>SKÅNE LÄN</t>
        </is>
      </c>
      <c r="E1122" t="inlineStr">
        <is>
          <t>HÄSSLEHOLM</t>
        </is>
      </c>
      <c r="F1122" t="inlineStr">
        <is>
          <t>Kommuner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13954-2023</t>
        </is>
      </c>
      <c r="B1123" s="1" t="n">
        <v>45008</v>
      </c>
      <c r="C1123" s="1" t="n">
        <v>46165</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13007-2024</t>
        </is>
      </c>
      <c r="B1124" s="1" t="n">
        <v>45385.57092592592</v>
      </c>
      <c r="C1124" s="1" t="n">
        <v>46165</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40152-2024</t>
        </is>
      </c>
      <c r="B1125" s="1" t="n">
        <v>45554</v>
      </c>
      <c r="C1125" s="1" t="n">
        <v>46165</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74030-2021</t>
        </is>
      </c>
      <c r="B1126" s="1" t="n">
        <v>44553</v>
      </c>
      <c r="C1126" s="1" t="n">
        <v>46165</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15072-2024</t>
        </is>
      </c>
      <c r="B1127" s="1" t="n">
        <v>45399.5996875</v>
      </c>
      <c r="C1127" s="1" t="n">
        <v>46165</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11262-2025</t>
        </is>
      </c>
      <c r="B1128" s="1" t="n">
        <v>45726</v>
      </c>
      <c r="C1128" s="1" t="n">
        <v>46165</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5395-2024</t>
        </is>
      </c>
      <c r="B1129" s="1" t="n">
        <v>45331</v>
      </c>
      <c r="C1129" s="1" t="n">
        <v>46165</v>
      </c>
      <c r="D1129" t="inlineStr">
        <is>
          <t>SKÅNE LÄN</t>
        </is>
      </c>
      <c r="E1129" t="inlineStr">
        <is>
          <t>HÄSSLEHOLM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2621-2025</t>
        </is>
      </c>
      <c r="B1130" s="1" t="n">
        <v>45675.60765046296</v>
      </c>
      <c r="C1130" s="1" t="n">
        <v>46165</v>
      </c>
      <c r="D1130" t="inlineStr">
        <is>
          <t>SKÅNE LÄN</t>
        </is>
      </c>
      <c r="E1130" t="inlineStr">
        <is>
          <t>HÄSSLEHOLM</t>
        </is>
      </c>
      <c r="F1130" t="inlineStr">
        <is>
          <t>Kommuner</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8737-2025</t>
        </is>
      </c>
      <c r="B1131" s="1" t="n">
        <v>45712.54578703704</v>
      </c>
      <c r="C1131" s="1" t="n">
        <v>46165</v>
      </c>
      <c r="D1131" t="inlineStr">
        <is>
          <t>SKÅNE LÄN</t>
        </is>
      </c>
      <c r="E1131" t="inlineStr">
        <is>
          <t>HÄSSLEHOLM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37764-2022</t>
        </is>
      </c>
      <c r="B1132" s="1" t="n">
        <v>44810</v>
      </c>
      <c r="C1132" s="1" t="n">
        <v>46165</v>
      </c>
      <c r="D1132" t="inlineStr">
        <is>
          <t>SKÅNE LÄN</t>
        </is>
      </c>
      <c r="E1132" t="inlineStr">
        <is>
          <t>HÄSSLEHOLM</t>
        </is>
      </c>
      <c r="F1132" t="inlineStr">
        <is>
          <t>Kyrkan</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51018-2023</t>
        </is>
      </c>
      <c r="B1133" s="1" t="n">
        <v>45218</v>
      </c>
      <c r="C1133" s="1" t="n">
        <v>46165</v>
      </c>
      <c r="D1133" t="inlineStr">
        <is>
          <t>SKÅNE LÄN</t>
        </is>
      </c>
      <c r="E1133" t="inlineStr">
        <is>
          <t>HÄSSLEHOLM</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23005-2025</t>
        </is>
      </c>
      <c r="B1134" s="1" t="n">
        <v>45790</v>
      </c>
      <c r="C1134" s="1" t="n">
        <v>46165</v>
      </c>
      <c r="D1134" t="inlineStr">
        <is>
          <t>SKÅNE LÄN</t>
        </is>
      </c>
      <c r="E1134" t="inlineStr">
        <is>
          <t>HÄSSLEHOLM</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60797-2024</t>
        </is>
      </c>
      <c r="B1135" s="1" t="n">
        <v>45644</v>
      </c>
      <c r="C1135" s="1" t="n">
        <v>46165</v>
      </c>
      <c r="D1135" t="inlineStr">
        <is>
          <t>SKÅNE LÄN</t>
        </is>
      </c>
      <c r="E1135" t="inlineStr">
        <is>
          <t>HÄSSLEHOLM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56069-2024</t>
        </is>
      </c>
      <c r="B1136" s="1" t="n">
        <v>45624.38006944444</v>
      </c>
      <c r="C1136" s="1" t="n">
        <v>46165</v>
      </c>
      <c r="D1136" t="inlineStr">
        <is>
          <t>SKÅNE LÄN</t>
        </is>
      </c>
      <c r="E1136" t="inlineStr">
        <is>
          <t>HÄSSLEHOLM</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7681-2025</t>
        </is>
      </c>
      <c r="B1137" s="1" t="n">
        <v>45706.36758101852</v>
      </c>
      <c r="C1137" s="1" t="n">
        <v>46165</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24032-2025</t>
        </is>
      </c>
      <c r="B1138" s="1" t="n">
        <v>45796.478125</v>
      </c>
      <c r="C1138" s="1" t="n">
        <v>46165</v>
      </c>
      <c r="D1138" t="inlineStr">
        <is>
          <t>SKÅNE LÄN</t>
        </is>
      </c>
      <c r="E1138" t="inlineStr">
        <is>
          <t>HÄSSLEHOLM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60789-2024</t>
        </is>
      </c>
      <c r="B1139" s="1" t="n">
        <v>45644</v>
      </c>
      <c r="C1139" s="1" t="n">
        <v>46165</v>
      </c>
      <c r="D1139" t="inlineStr">
        <is>
          <t>SKÅNE LÄN</t>
        </is>
      </c>
      <c r="E1139" t="inlineStr">
        <is>
          <t>HÄSSLEHOLM</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5252-2025</t>
        </is>
      </c>
      <c r="B1140" s="1" t="n">
        <v>45692.3449537037</v>
      </c>
      <c r="C1140" s="1" t="n">
        <v>46165</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5242-2025</t>
        </is>
      </c>
      <c r="B1141" s="1" t="n">
        <v>45692.32883101852</v>
      </c>
      <c r="C1141" s="1" t="n">
        <v>46165</v>
      </c>
      <c r="D1141" t="inlineStr">
        <is>
          <t>SKÅNE LÄN</t>
        </is>
      </c>
      <c r="E1141" t="inlineStr">
        <is>
          <t>HÄSSLEHOLM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24034-2025</t>
        </is>
      </c>
      <c r="B1142" s="1" t="n">
        <v>45796.48251157408</v>
      </c>
      <c r="C1142" s="1" t="n">
        <v>46165</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24250-2025</t>
        </is>
      </c>
      <c r="B1143" s="1" t="n">
        <v>45797.40260416667</v>
      </c>
      <c r="C1143" s="1" t="n">
        <v>46165</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24029-2025</t>
        </is>
      </c>
      <c r="B1144" s="1" t="n">
        <v>45796.47552083333</v>
      </c>
      <c r="C1144" s="1" t="n">
        <v>46165</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24039-2025</t>
        </is>
      </c>
      <c r="B1145" s="1" t="n">
        <v>45796.48675925926</v>
      </c>
      <c r="C1145" s="1" t="n">
        <v>46165</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24047-2025</t>
        </is>
      </c>
      <c r="B1146" s="1" t="n">
        <v>45796.49528935185</v>
      </c>
      <c r="C1146" s="1" t="n">
        <v>46165</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24675-2025</t>
        </is>
      </c>
      <c r="B1147" s="1" t="n">
        <v>45798.653125</v>
      </c>
      <c r="C1147" s="1" t="n">
        <v>46165</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42735-2024</t>
        </is>
      </c>
      <c r="B1148" s="1" t="n">
        <v>45566.47274305556</v>
      </c>
      <c r="C1148" s="1" t="n">
        <v>46165</v>
      </c>
      <c r="D1148" t="inlineStr">
        <is>
          <t>SKÅNE LÄN</t>
        </is>
      </c>
      <c r="E1148" t="inlineStr">
        <is>
          <t>HÄSSLEHOLM</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55522-2024</t>
        </is>
      </c>
      <c r="B1149" s="1" t="n">
        <v>45622</v>
      </c>
      <c r="C1149" s="1" t="n">
        <v>46165</v>
      </c>
      <c r="D1149" t="inlineStr">
        <is>
          <t>SKÅNE LÄN</t>
        </is>
      </c>
      <c r="E1149" t="inlineStr">
        <is>
          <t>HÄSSLEHOLM</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32826-2024</t>
        </is>
      </c>
      <c r="B1150" s="1" t="n">
        <v>45516.59056712963</v>
      </c>
      <c r="C1150" s="1" t="n">
        <v>46165</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32512-2024</t>
        </is>
      </c>
      <c r="B1151" s="1" t="n">
        <v>45513.45613425926</v>
      </c>
      <c r="C1151" s="1" t="n">
        <v>46165</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24985-2025</t>
        </is>
      </c>
      <c r="B1152" s="1" t="n">
        <v>45799.60256944445</v>
      </c>
      <c r="C1152" s="1" t="n">
        <v>46165</v>
      </c>
      <c r="D1152" t="inlineStr">
        <is>
          <t>SKÅNE LÄN</t>
        </is>
      </c>
      <c r="E1152" t="inlineStr">
        <is>
          <t>HÄSSLEHOLM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10562-2025</t>
        </is>
      </c>
      <c r="B1153" s="1" t="n">
        <v>45721.52913194444</v>
      </c>
      <c r="C1153" s="1" t="n">
        <v>46165</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24658-2025</t>
        </is>
      </c>
      <c r="B1154" s="1" t="n">
        <v>45798.64134259259</v>
      </c>
      <c r="C1154" s="1" t="n">
        <v>46165</v>
      </c>
      <c r="D1154" t="inlineStr">
        <is>
          <t>SKÅNE LÄN</t>
        </is>
      </c>
      <c r="E1154" t="inlineStr">
        <is>
          <t>HÄSSLEHOLM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25372-2025</t>
        </is>
      </c>
      <c r="B1155" s="1" t="n">
        <v>45799</v>
      </c>
      <c r="C1155" s="1" t="n">
        <v>46165</v>
      </c>
      <c r="D1155" t="inlineStr">
        <is>
          <t>SKÅNE LÄN</t>
        </is>
      </c>
      <c r="E1155" t="inlineStr">
        <is>
          <t>HÄSSLEHOLM</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9399-2025</t>
        </is>
      </c>
      <c r="B1156" s="1" t="n">
        <v>45715.37861111111</v>
      </c>
      <c r="C1156" s="1" t="n">
        <v>46165</v>
      </c>
      <c r="D1156" t="inlineStr">
        <is>
          <t>SKÅNE LÄN</t>
        </is>
      </c>
      <c r="E1156" t="inlineStr">
        <is>
          <t>HÄSSLEHOLM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259-2024</t>
        </is>
      </c>
      <c r="B1157" s="1" t="n">
        <v>45294</v>
      </c>
      <c r="C1157" s="1" t="n">
        <v>46165</v>
      </c>
      <c r="D1157" t="inlineStr">
        <is>
          <t>SKÅNE LÄN</t>
        </is>
      </c>
      <c r="E1157" t="inlineStr">
        <is>
          <t>HÄSSLEHOLM</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29659-2024</t>
        </is>
      </c>
      <c r="B1158" s="1" t="n">
        <v>45484.92587962963</v>
      </c>
      <c r="C1158" s="1" t="n">
        <v>46165</v>
      </c>
      <c r="D1158" t="inlineStr">
        <is>
          <t>SKÅNE LÄN</t>
        </is>
      </c>
      <c r="E1158" t="inlineStr">
        <is>
          <t>HÄSSLEHOLM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27837-2024</t>
        </is>
      </c>
      <c r="B1159" s="1" t="n">
        <v>45475</v>
      </c>
      <c r="C1159" s="1" t="n">
        <v>46165</v>
      </c>
      <c r="D1159" t="inlineStr">
        <is>
          <t>SKÅNE LÄN</t>
        </is>
      </c>
      <c r="E1159" t="inlineStr">
        <is>
          <t>HÄSSLEHOLM</t>
        </is>
      </c>
      <c r="F1159" t="inlineStr">
        <is>
          <t>Kommuner</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1679-2022</t>
        </is>
      </c>
      <c r="B1160" s="1" t="n">
        <v>44573</v>
      </c>
      <c r="C1160" s="1" t="n">
        <v>46165</v>
      </c>
      <c r="D1160" t="inlineStr">
        <is>
          <t>SKÅNE LÄN</t>
        </is>
      </c>
      <c r="E1160" t="inlineStr">
        <is>
          <t>HÄSSLEHOLM</t>
        </is>
      </c>
      <c r="F1160" t="inlineStr">
        <is>
          <t>Kyrkan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51565-2023</t>
        </is>
      </c>
      <c r="B1161" s="1" t="n">
        <v>45222</v>
      </c>
      <c r="C1161" s="1" t="n">
        <v>46165</v>
      </c>
      <c r="D1161" t="inlineStr">
        <is>
          <t>SKÅNE LÄN</t>
        </is>
      </c>
      <c r="E1161" t="inlineStr">
        <is>
          <t>HÄSSLEHOLM</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25615-2025</t>
        </is>
      </c>
      <c r="B1162" s="1" t="n">
        <v>45803</v>
      </c>
      <c r="C1162" s="1" t="n">
        <v>46165</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11412-2025</t>
        </is>
      </c>
      <c r="B1163" s="1" t="n">
        <v>45726</v>
      </c>
      <c r="C1163" s="1" t="n">
        <v>46165</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25430-2025</t>
        </is>
      </c>
      <c r="B1164" s="1" t="n">
        <v>45800.78212962963</v>
      </c>
      <c r="C1164" s="1" t="n">
        <v>46165</v>
      </c>
      <c r="D1164" t="inlineStr">
        <is>
          <t>SKÅNE LÄN</t>
        </is>
      </c>
      <c r="E1164" t="inlineStr">
        <is>
          <t>HÄSSLEHOLM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11466-2025</t>
        </is>
      </c>
      <c r="B1165" s="1" t="n">
        <v>45726</v>
      </c>
      <c r="C1165" s="1" t="n">
        <v>46165</v>
      </c>
      <c r="D1165" t="inlineStr">
        <is>
          <t>SKÅNE LÄN</t>
        </is>
      </c>
      <c r="E1165" t="inlineStr">
        <is>
          <t>HÄSSLEHOLM</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25431-2025</t>
        </is>
      </c>
      <c r="B1166" s="1" t="n">
        <v>45800.78340277778</v>
      </c>
      <c r="C1166" s="1" t="n">
        <v>46165</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25432-2025</t>
        </is>
      </c>
      <c r="B1167" s="1" t="n">
        <v>45800.7847800926</v>
      </c>
      <c r="C1167" s="1" t="n">
        <v>46165</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11470-2025</t>
        </is>
      </c>
      <c r="B1168" s="1" t="n">
        <v>45726</v>
      </c>
      <c r="C1168" s="1" t="n">
        <v>46165</v>
      </c>
      <c r="D1168" t="inlineStr">
        <is>
          <t>SKÅNE LÄN</t>
        </is>
      </c>
      <c r="E1168" t="inlineStr">
        <is>
          <t>HÄSSLEHOLM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26232-2025</t>
        </is>
      </c>
      <c r="B1169" s="1" t="n">
        <v>45805.56642361111</v>
      </c>
      <c r="C1169" s="1" t="n">
        <v>46165</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26244-2025</t>
        </is>
      </c>
      <c r="B1170" s="1" t="n">
        <v>45805.57364583333</v>
      </c>
      <c r="C1170" s="1" t="n">
        <v>46165</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38358-2024</t>
        </is>
      </c>
      <c r="B1171" s="1" t="n">
        <v>45545.79068287037</v>
      </c>
      <c r="C1171" s="1" t="n">
        <v>46165</v>
      </c>
      <c r="D1171" t="inlineStr">
        <is>
          <t>SKÅNE LÄN</t>
        </is>
      </c>
      <c r="E1171" t="inlineStr">
        <is>
          <t>HÄSSLEHOLM</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27393-2025</t>
        </is>
      </c>
      <c r="B1172" s="1" t="n">
        <v>45812.68295138889</v>
      </c>
      <c r="C1172" s="1" t="n">
        <v>46165</v>
      </c>
      <c r="D1172" t="inlineStr">
        <is>
          <t>SKÅNE LÄN</t>
        </is>
      </c>
      <c r="E1172" t="inlineStr">
        <is>
          <t>HÄSSLEHOLM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16368-2025</t>
        </is>
      </c>
      <c r="B1173" s="1" t="n">
        <v>45751</v>
      </c>
      <c r="C1173" s="1" t="n">
        <v>46165</v>
      </c>
      <c r="D1173" t="inlineStr">
        <is>
          <t>SKÅNE LÄN</t>
        </is>
      </c>
      <c r="E1173" t="inlineStr">
        <is>
          <t>HÄSSLEHOLM</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28240-2025</t>
        </is>
      </c>
      <c r="B1174" s="1" t="n">
        <v>45817</v>
      </c>
      <c r="C1174" s="1" t="n">
        <v>46165</v>
      </c>
      <c r="D1174" t="inlineStr">
        <is>
          <t>SKÅNE LÄN</t>
        </is>
      </c>
      <c r="E1174" t="inlineStr">
        <is>
          <t>HÄSSLEHOLM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27940-2025</t>
        </is>
      </c>
      <c r="B1175" s="1" t="n">
        <v>45817.50439814815</v>
      </c>
      <c r="C1175" s="1" t="n">
        <v>46165</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27934-2025</t>
        </is>
      </c>
      <c r="B1176" s="1" t="n">
        <v>45817.49761574074</v>
      </c>
      <c r="C1176" s="1" t="n">
        <v>46165</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28251-2025</t>
        </is>
      </c>
      <c r="B1177" s="1" t="n">
        <v>45817</v>
      </c>
      <c r="C1177" s="1" t="n">
        <v>46165</v>
      </c>
      <c r="D1177" t="inlineStr">
        <is>
          <t>SKÅNE LÄN</t>
        </is>
      </c>
      <c r="E1177" t="inlineStr">
        <is>
          <t>HÄSSLEHOLM</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28122-2025</t>
        </is>
      </c>
      <c r="B1178" s="1" t="n">
        <v>45817</v>
      </c>
      <c r="C1178" s="1" t="n">
        <v>46165</v>
      </c>
      <c r="D1178" t="inlineStr">
        <is>
          <t>SKÅNE LÄN</t>
        </is>
      </c>
      <c r="E1178" t="inlineStr">
        <is>
          <t>HÄSSLEHOLM</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27887-2025</t>
        </is>
      </c>
      <c r="B1179" s="1" t="n">
        <v>45817.45994212963</v>
      </c>
      <c r="C1179" s="1" t="n">
        <v>46165</v>
      </c>
      <c r="D1179" t="inlineStr">
        <is>
          <t>SKÅNE LÄN</t>
        </is>
      </c>
      <c r="E1179" t="inlineStr">
        <is>
          <t>HÄSSLEHOLM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28095-2025</t>
        </is>
      </c>
      <c r="B1180" s="1" t="n">
        <v>45817</v>
      </c>
      <c r="C1180" s="1" t="n">
        <v>46165</v>
      </c>
      <c r="D1180" t="inlineStr">
        <is>
          <t>SKÅNE LÄN</t>
        </is>
      </c>
      <c r="E1180" t="inlineStr">
        <is>
          <t>HÄSSLEHOLM</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49827-2022</t>
        </is>
      </c>
      <c r="B1181" s="1" t="n">
        <v>44859</v>
      </c>
      <c r="C1181" s="1" t="n">
        <v>46165</v>
      </c>
      <c r="D1181" t="inlineStr">
        <is>
          <t>SKÅNE LÄN</t>
        </is>
      </c>
      <c r="E1181" t="inlineStr">
        <is>
          <t>HÄSSLEHOLM</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29170-2025</t>
        </is>
      </c>
      <c r="B1182" s="1" t="n">
        <v>45821.69766203704</v>
      </c>
      <c r="C1182" s="1" t="n">
        <v>46165</v>
      </c>
      <c r="D1182" t="inlineStr">
        <is>
          <t>SKÅNE LÄN</t>
        </is>
      </c>
      <c r="E1182" t="inlineStr">
        <is>
          <t>HÄSSLEHOLM</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29171-2025</t>
        </is>
      </c>
      <c r="B1183" s="1" t="n">
        <v>45821.69863425926</v>
      </c>
      <c r="C1183" s="1" t="n">
        <v>46165</v>
      </c>
      <c r="D1183" t="inlineStr">
        <is>
          <t>SKÅNE LÄN</t>
        </is>
      </c>
      <c r="E1183" t="inlineStr">
        <is>
          <t>HÄSSLEHOLM</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29168-2025</t>
        </is>
      </c>
      <c r="B1184" s="1" t="n">
        <v>45821.69547453704</v>
      </c>
      <c r="C1184" s="1" t="n">
        <v>46165</v>
      </c>
      <c r="D1184" t="inlineStr">
        <is>
          <t>SKÅNE LÄN</t>
        </is>
      </c>
      <c r="E1184" t="inlineStr">
        <is>
          <t>HÄSSLEHOLM</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30010-2025</t>
        </is>
      </c>
      <c r="B1185" s="1" t="n">
        <v>45826</v>
      </c>
      <c r="C1185" s="1" t="n">
        <v>46165</v>
      </c>
      <c r="D1185" t="inlineStr">
        <is>
          <t>SKÅNE LÄN</t>
        </is>
      </c>
      <c r="E1185" t="inlineStr">
        <is>
          <t>HÄSSLEHOLM</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31159-2025</t>
        </is>
      </c>
      <c r="B1186" s="1" t="n">
        <v>45832.65322916667</v>
      </c>
      <c r="C1186" s="1" t="n">
        <v>46165</v>
      </c>
      <c r="D1186" t="inlineStr">
        <is>
          <t>SKÅNE LÄN</t>
        </is>
      </c>
      <c r="E1186" t="inlineStr">
        <is>
          <t>HÄSSLEHOLM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29649-2025</t>
        </is>
      </c>
      <c r="B1187" s="1" t="n">
        <v>45825.47446759259</v>
      </c>
      <c r="C1187" s="1" t="n">
        <v>46165</v>
      </c>
      <c r="D1187" t="inlineStr">
        <is>
          <t>SKÅNE LÄN</t>
        </is>
      </c>
      <c r="E1187" t="inlineStr">
        <is>
          <t>HÄSSLEHOLM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32585-2025</t>
        </is>
      </c>
      <c r="B1188" s="1" t="n">
        <v>45838.60021990741</v>
      </c>
      <c r="C1188" s="1" t="n">
        <v>46165</v>
      </c>
      <c r="D1188" t="inlineStr">
        <is>
          <t>SKÅNE LÄN</t>
        </is>
      </c>
      <c r="E1188" t="inlineStr">
        <is>
          <t>HÄSSLEHOLM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32592-2025</t>
        </is>
      </c>
      <c r="B1189" s="1" t="n">
        <v>45838.61020833333</v>
      </c>
      <c r="C1189" s="1" t="n">
        <v>46165</v>
      </c>
      <c r="D1189" t="inlineStr">
        <is>
          <t>SKÅNE LÄN</t>
        </is>
      </c>
      <c r="E1189" t="inlineStr">
        <is>
          <t>HÄSSLEHOLM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33562-2025</t>
        </is>
      </c>
      <c r="B1190" s="1" t="n">
        <v>45841.57803240741</v>
      </c>
      <c r="C1190" s="1" t="n">
        <v>46165</v>
      </c>
      <c r="D1190" t="inlineStr">
        <is>
          <t>SKÅNE LÄN</t>
        </is>
      </c>
      <c r="E1190" t="inlineStr">
        <is>
          <t>HÄSSLEHOLM</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33875-2025</t>
        </is>
      </c>
      <c r="B1191" s="1" t="n">
        <v>45842.55300925926</v>
      </c>
      <c r="C1191" s="1" t="n">
        <v>46165</v>
      </c>
      <c r="D1191" t="inlineStr">
        <is>
          <t>SKÅNE LÄN</t>
        </is>
      </c>
      <c r="E1191" t="inlineStr">
        <is>
          <t>HÄSSLEHOLM</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33877-2025</t>
        </is>
      </c>
      <c r="B1192" s="1" t="n">
        <v>45842.55564814815</v>
      </c>
      <c r="C1192" s="1" t="n">
        <v>46165</v>
      </c>
      <c r="D1192" t="inlineStr">
        <is>
          <t>SKÅNE LÄN</t>
        </is>
      </c>
      <c r="E1192" t="inlineStr">
        <is>
          <t>HÄSSLEHOLM</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33879-2025</t>
        </is>
      </c>
      <c r="B1193" s="1" t="n">
        <v>45842.55766203703</v>
      </c>
      <c r="C1193" s="1" t="n">
        <v>46165</v>
      </c>
      <c r="D1193" t="inlineStr">
        <is>
          <t>SKÅNE LÄN</t>
        </is>
      </c>
      <c r="E1193" t="inlineStr">
        <is>
          <t>HÄSSLEHOLM</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33948-2025</t>
        </is>
      </c>
      <c r="B1194" s="1" t="n">
        <v>45842.65945601852</v>
      </c>
      <c r="C1194" s="1" t="n">
        <v>46165</v>
      </c>
      <c r="D1194" t="inlineStr">
        <is>
          <t>SKÅNE LÄN</t>
        </is>
      </c>
      <c r="E1194" t="inlineStr">
        <is>
          <t>HÄSSLEHOLM</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22678-2025</t>
        </is>
      </c>
      <c r="B1195" s="1" t="n">
        <v>45789.49725694444</v>
      </c>
      <c r="C1195" s="1" t="n">
        <v>46165</v>
      </c>
      <c r="D1195" t="inlineStr">
        <is>
          <t>SKÅNE LÄN</t>
        </is>
      </c>
      <c r="E1195" t="inlineStr">
        <is>
          <t>HÄSSLEHOLM</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32958-2023</t>
        </is>
      </c>
      <c r="B1196" s="1" t="n">
        <v>45125.52142361111</v>
      </c>
      <c r="C1196" s="1" t="n">
        <v>46165</v>
      </c>
      <c r="D1196" t="inlineStr">
        <is>
          <t>SKÅNE LÄN</t>
        </is>
      </c>
      <c r="E1196" t="inlineStr">
        <is>
          <t>HÄSSLEHOLM</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34174-2025</t>
        </is>
      </c>
      <c r="B1197" s="1" t="n">
        <v>45844</v>
      </c>
      <c r="C1197" s="1" t="n">
        <v>46165</v>
      </c>
      <c r="D1197" t="inlineStr">
        <is>
          <t>SKÅNE LÄN</t>
        </is>
      </c>
      <c r="E1197" t="inlineStr">
        <is>
          <t>HÄSSLEHOLM</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34177-2025</t>
        </is>
      </c>
      <c r="B1198" s="1" t="n">
        <v>45844</v>
      </c>
      <c r="C1198" s="1" t="n">
        <v>46165</v>
      </c>
      <c r="D1198" t="inlineStr">
        <is>
          <t>SKÅNE LÄN</t>
        </is>
      </c>
      <c r="E1198" t="inlineStr">
        <is>
          <t>HÄSSLEHOLM</t>
        </is>
      </c>
      <c r="G1198" t="n">
        <v>3</v>
      </c>
      <c r="H1198" t="n">
        <v>0</v>
      </c>
      <c r="I1198" t="n">
        <v>0</v>
      </c>
      <c r="J1198" t="n">
        <v>0</v>
      </c>
      <c r="K1198" t="n">
        <v>0</v>
      </c>
      <c r="L1198" t="n">
        <v>0</v>
      </c>
      <c r="M1198" t="n">
        <v>0</v>
      </c>
      <c r="N1198" t="n">
        <v>0</v>
      </c>
      <c r="O1198" t="n">
        <v>0</v>
      </c>
      <c r="P1198" t="n">
        <v>0</v>
      </c>
      <c r="Q1198" t="n">
        <v>0</v>
      </c>
      <c r="R1198" s="2" t="inlineStr"/>
    </row>
    <row r="1199">
      <c r="A1199" t="inlineStr">
        <is>
          <t>A 33950-2025</t>
        </is>
      </c>
      <c r="B1199" s="1" t="n">
        <v>45842</v>
      </c>
      <c r="C1199" s="1" t="n">
        <v>46165</v>
      </c>
      <c r="D1199" t="inlineStr">
        <is>
          <t>SKÅNE LÄN</t>
        </is>
      </c>
      <c r="E1199" t="inlineStr">
        <is>
          <t>HÄSSLEHOLM</t>
        </is>
      </c>
      <c r="G1199" t="n">
        <v>5.7</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2026-05-23T10:48:31Z</dcterms:created>
  <dcterms:modified xmlns:dcterms="http://purl.org/dc/terms/" xmlns:xsi="http://www.w3.org/2001/XMLSchema-instance" xsi:type="dcterms:W3CDTF">2026-05-23T10:48:32Z</dcterms:modified>
</cp:coreProperties>
</file>