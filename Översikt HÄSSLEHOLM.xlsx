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45744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45744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45744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45744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45744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45744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45744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45744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45744</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45744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45744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8861-2020</t>
        </is>
      </c>
      <c r="B13" s="1" t="n">
        <v>43878</v>
      </c>
      <c r="C13" s="1" t="n">
        <v>45744</v>
      </c>
      <c r="D13" t="inlineStr">
        <is>
          <t>SKÅNE LÄN</t>
        </is>
      </c>
      <c r="E13" t="inlineStr">
        <is>
          <t>HÄSSLEHOLM</t>
        </is>
      </c>
      <c r="G13" t="n">
        <v>10.5</v>
      </c>
      <c r="H13" t="n">
        <v>0</v>
      </c>
      <c r="I13" t="n">
        <v>2</v>
      </c>
      <c r="J13" t="n">
        <v>0</v>
      </c>
      <c r="K13" t="n">
        <v>0</v>
      </c>
      <c r="L13" t="n">
        <v>0</v>
      </c>
      <c r="M13" t="n">
        <v>0</v>
      </c>
      <c r="N13" t="n">
        <v>0</v>
      </c>
      <c r="O13" t="n">
        <v>0</v>
      </c>
      <c r="P13" t="n">
        <v>0</v>
      </c>
      <c r="Q13" t="n">
        <v>2</v>
      </c>
      <c r="R13" s="2" t="inlineStr">
        <is>
          <t>Bågpraktmossa
Västlig hakmossa</t>
        </is>
      </c>
      <c r="S13">
        <f>HYPERLINK("https://klasma.github.io/Logging_1293/artfynd/A 8861-2020 artfynd.xlsx", "A 8861-2020")</f>
        <v/>
      </c>
      <c r="T13">
        <f>HYPERLINK("https://klasma.github.io/Logging_1293/kartor/A 8861-2020 karta.png", "A 8861-2020")</f>
        <v/>
      </c>
      <c r="V13">
        <f>HYPERLINK("https://klasma.github.io/Logging_1293/klagomål/A 8861-2020 FSC-klagomål.docx", "A 8861-2020")</f>
        <v/>
      </c>
      <c r="W13">
        <f>HYPERLINK("https://klasma.github.io/Logging_1293/klagomålsmail/A 8861-2020 FSC-klagomål mail.docx", "A 8861-2020")</f>
        <v/>
      </c>
      <c r="X13">
        <f>HYPERLINK("https://klasma.github.io/Logging_1293/tillsyn/A 8861-2020 tillsynsbegäran.docx", "A 8861-2020")</f>
        <v/>
      </c>
      <c r="Y13">
        <f>HYPERLINK("https://klasma.github.io/Logging_1293/tillsynsmail/A 8861-2020 tillsynsbegäran mail.docx", "A 8861-2020")</f>
        <v/>
      </c>
    </row>
    <row r="14" ht="15" customHeight="1">
      <c r="A14" t="inlineStr">
        <is>
          <t>A 44167-2021</t>
        </is>
      </c>
      <c r="B14" s="1" t="n">
        <v>44434</v>
      </c>
      <c r="C14" s="1" t="n">
        <v>45744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v>
      </c>
      <c r="C15" s="1" t="n">
        <v>45744</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45744</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28988-2019</t>
        </is>
      </c>
      <c r="B17" s="1" t="n">
        <v>43620</v>
      </c>
      <c r="C17" s="1" t="n">
        <v>45744</v>
      </c>
      <c r="D17" t="inlineStr">
        <is>
          <t>SKÅNE LÄN</t>
        </is>
      </c>
      <c r="E17" t="inlineStr">
        <is>
          <t>HÄSSLEHOLM</t>
        </is>
      </c>
      <c r="G17" t="n">
        <v>1</v>
      </c>
      <c r="H17" t="n">
        <v>0</v>
      </c>
      <c r="I17" t="n">
        <v>0</v>
      </c>
      <c r="J17" t="n">
        <v>0</v>
      </c>
      <c r="K17" t="n">
        <v>1</v>
      </c>
      <c r="L17" t="n">
        <v>0</v>
      </c>
      <c r="M17" t="n">
        <v>0</v>
      </c>
      <c r="N17" t="n">
        <v>0</v>
      </c>
      <c r="O17" t="n">
        <v>1</v>
      </c>
      <c r="P17" t="n">
        <v>1</v>
      </c>
      <c r="Q17" t="n">
        <v>1</v>
      </c>
      <c r="R17" s="2" t="inlineStr">
        <is>
          <t>Slåttergubbe</t>
        </is>
      </c>
      <c r="S17">
        <f>HYPERLINK("https://klasma.github.io/Logging_1293/artfynd/A 28988-2019 artfynd.xlsx", "A 28988-2019")</f>
        <v/>
      </c>
      <c r="T17">
        <f>HYPERLINK("https://klasma.github.io/Logging_1293/kartor/A 28988-2019 karta.png", "A 28988-2019")</f>
        <v/>
      </c>
      <c r="V17">
        <f>HYPERLINK("https://klasma.github.io/Logging_1293/klagomål/A 28988-2019 FSC-klagomål.docx", "A 28988-2019")</f>
        <v/>
      </c>
      <c r="W17">
        <f>HYPERLINK("https://klasma.github.io/Logging_1293/klagomålsmail/A 28988-2019 FSC-klagomål mail.docx", "A 28988-2019")</f>
        <v/>
      </c>
      <c r="X17">
        <f>HYPERLINK("https://klasma.github.io/Logging_1293/tillsyn/A 28988-2019 tillsynsbegäran.docx", "A 28988-2019")</f>
        <v/>
      </c>
      <c r="Y17">
        <f>HYPERLINK("https://klasma.github.io/Logging_1293/tillsynsmail/A 28988-2019 tillsynsbegäran mail.docx", "A 28988-2019")</f>
        <v/>
      </c>
    </row>
    <row r="18" ht="15" customHeight="1">
      <c r="A18" t="inlineStr">
        <is>
          <t>A 29223-2019</t>
        </is>
      </c>
      <c r="B18" s="1" t="n">
        <v>43629</v>
      </c>
      <c r="C18" s="1" t="n">
        <v>45744</v>
      </c>
      <c r="D18" t="inlineStr">
        <is>
          <t>SKÅNE LÄN</t>
        </is>
      </c>
      <c r="E18" t="inlineStr">
        <is>
          <t>HÄSSLEHOLM</t>
        </is>
      </c>
      <c r="G18" t="n">
        <v>1.6</v>
      </c>
      <c r="H18" t="n">
        <v>0</v>
      </c>
      <c r="I18" t="n">
        <v>0</v>
      </c>
      <c r="J18" t="n">
        <v>1</v>
      </c>
      <c r="K18" t="n">
        <v>0</v>
      </c>
      <c r="L18" t="n">
        <v>0</v>
      </c>
      <c r="M18" t="n">
        <v>0</v>
      </c>
      <c r="N18" t="n">
        <v>0</v>
      </c>
      <c r="O18" t="n">
        <v>1</v>
      </c>
      <c r="P18" t="n">
        <v>0</v>
      </c>
      <c r="Q18" t="n">
        <v>1</v>
      </c>
      <c r="R18" s="2" t="inlineStr">
        <is>
          <t>Brandbitterskivling</t>
        </is>
      </c>
      <c r="S18">
        <f>HYPERLINK("https://klasma.github.io/Logging_1293/artfynd/A 29223-2019 artfynd.xlsx", "A 29223-2019")</f>
        <v/>
      </c>
      <c r="T18">
        <f>HYPERLINK("https://klasma.github.io/Logging_1293/kartor/A 29223-2019 karta.png", "A 29223-2019")</f>
        <v/>
      </c>
      <c r="V18">
        <f>HYPERLINK("https://klasma.github.io/Logging_1293/klagomål/A 29223-2019 FSC-klagomål.docx", "A 29223-2019")</f>
        <v/>
      </c>
      <c r="W18">
        <f>HYPERLINK("https://klasma.github.io/Logging_1293/klagomålsmail/A 29223-2019 FSC-klagomål mail.docx", "A 29223-2019")</f>
        <v/>
      </c>
      <c r="X18">
        <f>HYPERLINK("https://klasma.github.io/Logging_1293/tillsyn/A 29223-2019 tillsynsbegäran.docx", "A 29223-2019")</f>
        <v/>
      </c>
      <c r="Y18">
        <f>HYPERLINK("https://klasma.github.io/Logging_1293/tillsynsmail/A 29223-2019 tillsynsbegäran mail.docx", "A 29223-2019")</f>
        <v/>
      </c>
    </row>
    <row r="19" ht="15" customHeight="1">
      <c r="A19" t="inlineStr">
        <is>
          <t>A 29765-2019</t>
        </is>
      </c>
      <c r="B19" s="1" t="n">
        <v>43632</v>
      </c>
      <c r="C19" s="1" t="n">
        <v>45744</v>
      </c>
      <c r="D19" t="inlineStr">
        <is>
          <t>SKÅNE LÄN</t>
        </is>
      </c>
      <c r="E19" t="inlineStr">
        <is>
          <t>HÄSSLEHOLM</t>
        </is>
      </c>
      <c r="G19" t="n">
        <v>13.9</v>
      </c>
      <c r="H19" t="n">
        <v>0</v>
      </c>
      <c r="I19" t="n">
        <v>0</v>
      </c>
      <c r="J19" t="n">
        <v>0</v>
      </c>
      <c r="K19" t="n">
        <v>0</v>
      </c>
      <c r="L19" t="n">
        <v>0</v>
      </c>
      <c r="M19" t="n">
        <v>1</v>
      </c>
      <c r="N19" t="n">
        <v>0</v>
      </c>
      <c r="O19" t="n">
        <v>1</v>
      </c>
      <c r="P19" t="n">
        <v>1</v>
      </c>
      <c r="Q19" t="n">
        <v>1</v>
      </c>
      <c r="R19" s="2" t="inlineStr">
        <is>
          <t>Flodkräfta</t>
        </is>
      </c>
      <c r="S19">
        <f>HYPERLINK("https://klasma.github.io/Logging_1293/artfynd/A 29765-2019 artfynd.xlsx", "A 29765-2019")</f>
        <v/>
      </c>
      <c r="T19">
        <f>HYPERLINK("https://klasma.github.io/Logging_1293/kartor/A 29765-2019 karta.png", "A 29765-2019")</f>
        <v/>
      </c>
      <c r="V19">
        <f>HYPERLINK("https://klasma.github.io/Logging_1293/klagomål/A 29765-2019 FSC-klagomål.docx", "A 29765-2019")</f>
        <v/>
      </c>
      <c r="W19">
        <f>HYPERLINK("https://klasma.github.io/Logging_1293/klagomålsmail/A 29765-2019 FSC-klagomål mail.docx", "A 29765-2019")</f>
        <v/>
      </c>
      <c r="X19">
        <f>HYPERLINK("https://klasma.github.io/Logging_1293/tillsyn/A 29765-2019 tillsynsbegäran.docx", "A 29765-2019")</f>
        <v/>
      </c>
      <c r="Y19">
        <f>HYPERLINK("https://klasma.github.io/Logging_1293/tillsynsmail/A 29765-2019 tillsynsbegäran mail.docx", "A 29765-2019")</f>
        <v/>
      </c>
    </row>
    <row r="20" ht="15" customHeight="1">
      <c r="A20" t="inlineStr">
        <is>
          <t>A 32997-2019</t>
        </is>
      </c>
      <c r="B20" s="1" t="n">
        <v>43649</v>
      </c>
      <c r="C20" s="1" t="n">
        <v>45744</v>
      </c>
      <c r="D20" t="inlineStr">
        <is>
          <t>SKÅNE LÄN</t>
        </is>
      </c>
      <c r="E20" t="inlineStr">
        <is>
          <t>HÄSSLEHOLM</t>
        </is>
      </c>
      <c r="G20" t="n">
        <v>3.9</v>
      </c>
      <c r="H20" t="n">
        <v>1</v>
      </c>
      <c r="I20" t="n">
        <v>0</v>
      </c>
      <c r="J20" t="n">
        <v>0</v>
      </c>
      <c r="K20" t="n">
        <v>1</v>
      </c>
      <c r="L20" t="n">
        <v>0</v>
      </c>
      <c r="M20" t="n">
        <v>0</v>
      </c>
      <c r="N20" t="n">
        <v>0</v>
      </c>
      <c r="O20" t="n">
        <v>1</v>
      </c>
      <c r="P20" t="n">
        <v>1</v>
      </c>
      <c r="Q20" t="n">
        <v>1</v>
      </c>
      <c r="R20" s="2" t="inlineStr">
        <is>
          <t>Knärot</t>
        </is>
      </c>
      <c r="S20">
        <f>HYPERLINK("https://klasma.github.io/Logging_1293/artfynd/A 32997-2019 artfynd.xlsx", "A 32997-2019")</f>
        <v/>
      </c>
      <c r="T20">
        <f>HYPERLINK("https://klasma.github.io/Logging_1293/kartor/A 32997-2019 karta.png", "A 32997-2019")</f>
        <v/>
      </c>
      <c r="U20">
        <f>HYPERLINK("https://klasma.github.io/Logging_1293/knärot/A 32997-2019 karta knärot.png", "A 32997-2019")</f>
        <v/>
      </c>
      <c r="V20">
        <f>HYPERLINK("https://klasma.github.io/Logging_1293/klagomål/A 32997-2019 FSC-klagomål.docx", "A 32997-2019")</f>
        <v/>
      </c>
      <c r="W20">
        <f>HYPERLINK("https://klasma.github.io/Logging_1293/klagomålsmail/A 32997-2019 FSC-klagomål mail.docx", "A 32997-2019")</f>
        <v/>
      </c>
      <c r="X20">
        <f>HYPERLINK("https://klasma.github.io/Logging_1293/tillsyn/A 32997-2019 tillsynsbegäran.docx", "A 32997-2019")</f>
        <v/>
      </c>
      <c r="Y20">
        <f>HYPERLINK("https://klasma.github.io/Logging_1293/tillsynsmail/A 32997-2019 tillsynsbegäran mail.docx", "A 32997-2019")</f>
        <v/>
      </c>
    </row>
    <row r="21" ht="15" customHeight="1">
      <c r="A21" t="inlineStr">
        <is>
          <t>A 41120-2019</t>
        </is>
      </c>
      <c r="B21" s="1" t="n">
        <v>43698</v>
      </c>
      <c r="C21" s="1" t="n">
        <v>45744</v>
      </c>
      <c r="D21" t="inlineStr">
        <is>
          <t>SKÅNE LÄN</t>
        </is>
      </c>
      <c r="E21" t="inlineStr">
        <is>
          <t>HÄSSLEHOLM</t>
        </is>
      </c>
      <c r="G21" t="n">
        <v>7.9</v>
      </c>
      <c r="H21" t="n">
        <v>0</v>
      </c>
      <c r="I21" t="n">
        <v>0</v>
      </c>
      <c r="J21" t="n">
        <v>0</v>
      </c>
      <c r="K21" t="n">
        <v>1</v>
      </c>
      <c r="L21" t="n">
        <v>0</v>
      </c>
      <c r="M21" t="n">
        <v>0</v>
      </c>
      <c r="N21" t="n">
        <v>0</v>
      </c>
      <c r="O21" t="n">
        <v>1</v>
      </c>
      <c r="P21" t="n">
        <v>1</v>
      </c>
      <c r="Q21" t="n">
        <v>1</v>
      </c>
      <c r="R21" s="2" t="inlineStr">
        <is>
          <t>Småvänderot</t>
        </is>
      </c>
      <c r="S21">
        <f>HYPERLINK("https://klasma.github.io/Logging_1293/artfynd/A 41120-2019 artfynd.xlsx", "A 41120-2019")</f>
        <v/>
      </c>
      <c r="T21">
        <f>HYPERLINK("https://klasma.github.io/Logging_1293/kartor/A 41120-2019 karta.png", "A 41120-2019")</f>
        <v/>
      </c>
      <c r="V21">
        <f>HYPERLINK("https://klasma.github.io/Logging_1293/klagomål/A 41120-2019 FSC-klagomål.docx", "A 41120-2019")</f>
        <v/>
      </c>
      <c r="W21">
        <f>HYPERLINK("https://klasma.github.io/Logging_1293/klagomålsmail/A 41120-2019 FSC-klagomål mail.docx", "A 41120-2019")</f>
        <v/>
      </c>
      <c r="X21">
        <f>HYPERLINK("https://klasma.github.io/Logging_1293/tillsyn/A 41120-2019 tillsynsbegäran.docx", "A 41120-2019")</f>
        <v/>
      </c>
      <c r="Y21">
        <f>HYPERLINK("https://klasma.github.io/Logging_1293/tillsynsmail/A 41120-2019 tillsynsbegäran mail.docx", "A 41120-2019")</f>
        <v/>
      </c>
    </row>
    <row r="22" ht="15" customHeight="1">
      <c r="A22" t="inlineStr">
        <is>
          <t>A 47468-2019</t>
        </is>
      </c>
      <c r="B22" s="1" t="n">
        <v>43724</v>
      </c>
      <c r="C22" s="1" t="n">
        <v>45744</v>
      </c>
      <c r="D22" t="inlineStr">
        <is>
          <t>SKÅNE LÄN</t>
        </is>
      </c>
      <c r="E22" t="inlineStr">
        <is>
          <t>HÄSSLEHOLM</t>
        </is>
      </c>
      <c r="G22" t="n">
        <v>3.3</v>
      </c>
      <c r="H22" t="n">
        <v>1</v>
      </c>
      <c r="I22" t="n">
        <v>0</v>
      </c>
      <c r="J22" t="n">
        <v>0</v>
      </c>
      <c r="K22" t="n">
        <v>0</v>
      </c>
      <c r="L22" t="n">
        <v>0</v>
      </c>
      <c r="M22" t="n">
        <v>0</v>
      </c>
      <c r="N22" t="n">
        <v>0</v>
      </c>
      <c r="O22" t="n">
        <v>0</v>
      </c>
      <c r="P22" t="n">
        <v>0</v>
      </c>
      <c r="Q22" t="n">
        <v>1</v>
      </c>
      <c r="R22" s="2" t="inlineStr">
        <is>
          <t>Gullviva</t>
        </is>
      </c>
      <c r="S22">
        <f>HYPERLINK("https://klasma.github.io/Logging_1293/artfynd/A 47468-2019 artfynd.xlsx", "A 47468-2019")</f>
        <v/>
      </c>
      <c r="T22">
        <f>HYPERLINK("https://klasma.github.io/Logging_1293/kartor/A 47468-2019 karta.png", "A 47468-2019")</f>
        <v/>
      </c>
      <c r="V22">
        <f>HYPERLINK("https://klasma.github.io/Logging_1293/klagomål/A 47468-2019 FSC-klagomål.docx", "A 47468-2019")</f>
        <v/>
      </c>
      <c r="W22">
        <f>HYPERLINK("https://klasma.github.io/Logging_1293/klagomålsmail/A 47468-2019 FSC-klagomål mail.docx", "A 47468-2019")</f>
        <v/>
      </c>
      <c r="X22">
        <f>HYPERLINK("https://klasma.github.io/Logging_1293/tillsyn/A 47468-2019 tillsynsbegäran.docx", "A 47468-2019")</f>
        <v/>
      </c>
      <c r="Y22">
        <f>HYPERLINK("https://klasma.github.io/Logging_1293/tillsynsmail/A 47468-2019 tillsynsbegäran mail.docx", "A 47468-2019")</f>
        <v/>
      </c>
    </row>
    <row r="23" ht="15" customHeight="1">
      <c r="A23" t="inlineStr">
        <is>
          <t>A 47678-2019</t>
        </is>
      </c>
      <c r="B23" s="1" t="n">
        <v>43724</v>
      </c>
      <c r="C23" s="1" t="n">
        <v>45744</v>
      </c>
      <c r="D23" t="inlineStr">
        <is>
          <t>SKÅNE LÄN</t>
        </is>
      </c>
      <c r="E23" t="inlineStr">
        <is>
          <t>HÄSSLEHOLM</t>
        </is>
      </c>
      <c r="G23" t="n">
        <v>3.7</v>
      </c>
      <c r="H23" t="n">
        <v>0</v>
      </c>
      <c r="I23" t="n">
        <v>0</v>
      </c>
      <c r="J23" t="n">
        <v>1</v>
      </c>
      <c r="K23" t="n">
        <v>0</v>
      </c>
      <c r="L23" t="n">
        <v>0</v>
      </c>
      <c r="M23" t="n">
        <v>0</v>
      </c>
      <c r="N23" t="n">
        <v>0</v>
      </c>
      <c r="O23" t="n">
        <v>1</v>
      </c>
      <c r="P23" t="n">
        <v>0</v>
      </c>
      <c r="Q23" t="n">
        <v>1</v>
      </c>
      <c r="R23" s="2" t="inlineStr">
        <is>
          <t>Nålbjörnbär</t>
        </is>
      </c>
      <c r="S23">
        <f>HYPERLINK("https://klasma.github.io/Logging_1293/artfynd/A 47678-2019 artfynd.xlsx", "A 47678-2019")</f>
        <v/>
      </c>
      <c r="T23">
        <f>HYPERLINK("https://klasma.github.io/Logging_1293/kartor/A 47678-2019 karta.png", "A 47678-2019")</f>
        <v/>
      </c>
      <c r="V23">
        <f>HYPERLINK("https://klasma.github.io/Logging_1293/klagomål/A 47678-2019 FSC-klagomål.docx", "A 47678-2019")</f>
        <v/>
      </c>
      <c r="W23">
        <f>HYPERLINK("https://klasma.github.io/Logging_1293/klagomålsmail/A 47678-2019 FSC-klagomål mail.docx", "A 47678-2019")</f>
        <v/>
      </c>
      <c r="X23">
        <f>HYPERLINK("https://klasma.github.io/Logging_1293/tillsyn/A 47678-2019 tillsynsbegäran.docx", "A 47678-2019")</f>
        <v/>
      </c>
      <c r="Y23">
        <f>HYPERLINK("https://klasma.github.io/Logging_1293/tillsynsmail/A 47678-2019 tillsynsbegäran mail.docx", "A 47678-2019")</f>
        <v/>
      </c>
    </row>
    <row r="24" ht="15" customHeight="1">
      <c r="A24" t="inlineStr">
        <is>
          <t>A 55656-2019</t>
        </is>
      </c>
      <c r="B24" s="1" t="n">
        <v>43760</v>
      </c>
      <c r="C24" s="1" t="n">
        <v>45744</v>
      </c>
      <c r="D24" t="inlineStr">
        <is>
          <t>SKÅNE LÄN</t>
        </is>
      </c>
      <c r="E24" t="inlineStr">
        <is>
          <t>HÄSSLEHOLM</t>
        </is>
      </c>
      <c r="G24" t="n">
        <v>1.8</v>
      </c>
      <c r="H24" t="n">
        <v>1</v>
      </c>
      <c r="I24" t="n">
        <v>0</v>
      </c>
      <c r="J24" t="n">
        <v>0</v>
      </c>
      <c r="K24" t="n">
        <v>1</v>
      </c>
      <c r="L24" t="n">
        <v>0</v>
      </c>
      <c r="M24" t="n">
        <v>0</v>
      </c>
      <c r="N24" t="n">
        <v>0</v>
      </c>
      <c r="O24" t="n">
        <v>1</v>
      </c>
      <c r="P24" t="n">
        <v>1</v>
      </c>
      <c r="Q24" t="n">
        <v>1</v>
      </c>
      <c r="R24" s="2" t="inlineStr">
        <is>
          <t>Hedblomster</t>
        </is>
      </c>
      <c r="S24">
        <f>HYPERLINK("https://klasma.github.io/Logging_1293/artfynd/A 55656-2019 artfynd.xlsx", "A 55656-2019")</f>
        <v/>
      </c>
      <c r="T24">
        <f>HYPERLINK("https://klasma.github.io/Logging_1293/kartor/A 55656-2019 karta.png", "A 55656-2019")</f>
        <v/>
      </c>
      <c r="V24">
        <f>HYPERLINK("https://klasma.github.io/Logging_1293/klagomål/A 55656-2019 FSC-klagomål.docx", "A 55656-2019")</f>
        <v/>
      </c>
      <c r="W24">
        <f>HYPERLINK("https://klasma.github.io/Logging_1293/klagomålsmail/A 55656-2019 FSC-klagomål mail.docx", "A 55656-2019")</f>
        <v/>
      </c>
      <c r="X24">
        <f>HYPERLINK("https://klasma.github.io/Logging_1293/tillsyn/A 55656-2019 tillsynsbegäran.docx", "A 55656-2019")</f>
        <v/>
      </c>
      <c r="Y24">
        <f>HYPERLINK("https://klasma.github.io/Logging_1293/tillsynsmail/A 55656-2019 tillsynsbegäran mail.docx", "A 55656-2019")</f>
        <v/>
      </c>
    </row>
    <row r="25" ht="15" customHeight="1">
      <c r="A25" t="inlineStr">
        <is>
          <t>A 57275-2019</t>
        </is>
      </c>
      <c r="B25" s="1" t="n">
        <v>43760</v>
      </c>
      <c r="C25" s="1" t="n">
        <v>45744</v>
      </c>
      <c r="D25" t="inlineStr">
        <is>
          <t>SKÅNE LÄN</t>
        </is>
      </c>
      <c r="E25" t="inlineStr">
        <is>
          <t>HÄSSLEHOLM</t>
        </is>
      </c>
      <c r="G25" t="n">
        <v>0.6</v>
      </c>
      <c r="H25" t="n">
        <v>0</v>
      </c>
      <c r="I25" t="n">
        <v>0</v>
      </c>
      <c r="J25" t="n">
        <v>0</v>
      </c>
      <c r="K25" t="n">
        <v>1</v>
      </c>
      <c r="L25" t="n">
        <v>0</v>
      </c>
      <c r="M25" t="n">
        <v>0</v>
      </c>
      <c r="N25" t="n">
        <v>0</v>
      </c>
      <c r="O25" t="n">
        <v>1</v>
      </c>
      <c r="P25" t="n">
        <v>1</v>
      </c>
      <c r="Q25" t="n">
        <v>1</v>
      </c>
      <c r="R25" s="2" t="inlineStr">
        <is>
          <t>Småvänderot</t>
        </is>
      </c>
      <c r="S25">
        <f>HYPERLINK("https://klasma.github.io/Logging_1293/artfynd/A 57275-2019 artfynd.xlsx", "A 57275-2019")</f>
        <v/>
      </c>
      <c r="T25">
        <f>HYPERLINK("https://klasma.github.io/Logging_1293/kartor/A 57275-2019 karta.png", "A 57275-2019")</f>
        <v/>
      </c>
      <c r="V25">
        <f>HYPERLINK("https://klasma.github.io/Logging_1293/klagomål/A 57275-2019 FSC-klagomål.docx", "A 57275-2019")</f>
        <v/>
      </c>
      <c r="W25">
        <f>HYPERLINK("https://klasma.github.io/Logging_1293/klagomålsmail/A 57275-2019 FSC-klagomål mail.docx", "A 57275-2019")</f>
        <v/>
      </c>
      <c r="X25">
        <f>HYPERLINK("https://klasma.github.io/Logging_1293/tillsyn/A 57275-2019 tillsynsbegäran.docx", "A 57275-2019")</f>
        <v/>
      </c>
      <c r="Y25">
        <f>HYPERLINK("https://klasma.github.io/Logging_1293/tillsynsmail/A 57275-2019 tillsynsbegäran mail.docx", "A 57275-2019")</f>
        <v/>
      </c>
    </row>
    <row r="26" ht="15" customHeight="1">
      <c r="A26" t="inlineStr">
        <is>
          <t>A 2738-2020</t>
        </is>
      </c>
      <c r="B26" s="1" t="n">
        <v>43843</v>
      </c>
      <c r="C26" s="1" t="n">
        <v>45744</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2738-2020 artfynd.xlsx", "A 2738-2020")</f>
        <v/>
      </c>
      <c r="T26">
        <f>HYPERLINK("https://klasma.github.io/Logging_1293/kartor/A 2738-2020 karta.png", "A 2738-2020")</f>
        <v/>
      </c>
      <c r="V26">
        <f>HYPERLINK("https://klasma.github.io/Logging_1293/klagomål/A 2738-2020 FSC-klagomål.docx", "A 2738-2020")</f>
        <v/>
      </c>
      <c r="W26">
        <f>HYPERLINK("https://klasma.github.io/Logging_1293/klagomålsmail/A 2738-2020 FSC-klagomål mail.docx", "A 2738-2020")</f>
        <v/>
      </c>
      <c r="X26">
        <f>HYPERLINK("https://klasma.github.io/Logging_1293/tillsyn/A 2738-2020 tillsynsbegäran.docx", "A 2738-2020")</f>
        <v/>
      </c>
      <c r="Y26">
        <f>HYPERLINK("https://klasma.github.io/Logging_1293/tillsynsmail/A 2738-2020 tillsynsbegäran mail.docx", "A 2738-2020")</f>
        <v/>
      </c>
    </row>
    <row r="27" ht="15" customHeight="1">
      <c r="A27" t="inlineStr">
        <is>
          <t>A 15862-2020</t>
        </is>
      </c>
      <c r="B27" s="1" t="n">
        <v>43910</v>
      </c>
      <c r="C27" s="1" t="n">
        <v>45744</v>
      </c>
      <c r="D27" t="inlineStr">
        <is>
          <t>SKÅNE LÄN</t>
        </is>
      </c>
      <c r="E27" t="inlineStr">
        <is>
          <t>HÄSSLEHOLM</t>
        </is>
      </c>
      <c r="G27" t="n">
        <v>10.3</v>
      </c>
      <c r="H27" t="n">
        <v>0</v>
      </c>
      <c r="I27" t="n">
        <v>0</v>
      </c>
      <c r="J27" t="n">
        <v>1</v>
      </c>
      <c r="K27" t="n">
        <v>0</v>
      </c>
      <c r="L27" t="n">
        <v>0</v>
      </c>
      <c r="M27" t="n">
        <v>0</v>
      </c>
      <c r="N27" t="n">
        <v>0</v>
      </c>
      <c r="O27" t="n">
        <v>1</v>
      </c>
      <c r="P27" t="n">
        <v>0</v>
      </c>
      <c r="Q27" t="n">
        <v>1</v>
      </c>
      <c r="R27" s="2" t="inlineStr">
        <is>
          <t>Sydlig sotticka</t>
        </is>
      </c>
      <c r="S27">
        <f>HYPERLINK("https://klasma.github.io/Logging_1293/artfynd/A 15862-2020 artfynd.xlsx", "A 15862-2020")</f>
        <v/>
      </c>
      <c r="T27">
        <f>HYPERLINK("https://klasma.github.io/Logging_1293/kartor/A 15862-2020 karta.png", "A 15862-2020")</f>
        <v/>
      </c>
      <c r="V27">
        <f>HYPERLINK("https://klasma.github.io/Logging_1293/klagomål/A 15862-2020 FSC-klagomål.docx", "A 15862-2020")</f>
        <v/>
      </c>
      <c r="W27">
        <f>HYPERLINK("https://klasma.github.io/Logging_1293/klagomålsmail/A 15862-2020 FSC-klagomål mail.docx", "A 15862-2020")</f>
        <v/>
      </c>
      <c r="X27">
        <f>HYPERLINK("https://klasma.github.io/Logging_1293/tillsyn/A 15862-2020 tillsynsbegäran.docx", "A 15862-2020")</f>
        <v/>
      </c>
      <c r="Y27">
        <f>HYPERLINK("https://klasma.github.io/Logging_1293/tillsynsmail/A 15862-2020 tillsynsbegäran mail.docx", "A 15862-2020")</f>
        <v/>
      </c>
    </row>
    <row r="28" ht="15" customHeight="1">
      <c r="A28" t="inlineStr">
        <is>
          <t>A 62434-2020</t>
        </is>
      </c>
      <c r="B28" s="1" t="n">
        <v>44159</v>
      </c>
      <c r="C28" s="1" t="n">
        <v>45744</v>
      </c>
      <c r="D28" t="inlineStr">
        <is>
          <t>SKÅNE LÄN</t>
        </is>
      </c>
      <c r="E28" t="inlineStr">
        <is>
          <t>HÄSSLEHOLM</t>
        </is>
      </c>
      <c r="G28" t="n">
        <v>2</v>
      </c>
      <c r="H28" t="n">
        <v>0</v>
      </c>
      <c r="I28" t="n">
        <v>0</v>
      </c>
      <c r="J28" t="n">
        <v>1</v>
      </c>
      <c r="K28" t="n">
        <v>0</v>
      </c>
      <c r="L28" t="n">
        <v>0</v>
      </c>
      <c r="M28" t="n">
        <v>0</v>
      </c>
      <c r="N28" t="n">
        <v>0</v>
      </c>
      <c r="O28" t="n">
        <v>1</v>
      </c>
      <c r="P28" t="n">
        <v>0</v>
      </c>
      <c r="Q28" t="n">
        <v>1</v>
      </c>
      <c r="R28" s="2" t="inlineStr">
        <is>
          <t>Borsttåg</t>
        </is>
      </c>
      <c r="S28">
        <f>HYPERLINK("https://klasma.github.io/Logging_1293/artfynd/A 62434-2020 artfynd.xlsx", "A 62434-2020")</f>
        <v/>
      </c>
      <c r="T28">
        <f>HYPERLINK("https://klasma.github.io/Logging_1293/kartor/A 62434-2020 karta.png", "A 62434-2020")</f>
        <v/>
      </c>
      <c r="V28">
        <f>HYPERLINK("https://klasma.github.io/Logging_1293/klagomål/A 62434-2020 FSC-klagomål.docx", "A 62434-2020")</f>
        <v/>
      </c>
      <c r="W28">
        <f>HYPERLINK("https://klasma.github.io/Logging_1293/klagomålsmail/A 62434-2020 FSC-klagomål mail.docx", "A 62434-2020")</f>
        <v/>
      </c>
      <c r="X28">
        <f>HYPERLINK("https://klasma.github.io/Logging_1293/tillsyn/A 62434-2020 tillsynsbegäran.docx", "A 62434-2020")</f>
        <v/>
      </c>
      <c r="Y28">
        <f>HYPERLINK("https://klasma.github.io/Logging_1293/tillsynsmail/A 62434-2020 tillsynsbegäran mail.docx", "A 62434-2020")</f>
        <v/>
      </c>
    </row>
    <row r="29" ht="15" customHeight="1">
      <c r="A29" t="inlineStr">
        <is>
          <t>A 44705-2021</t>
        </is>
      </c>
      <c r="B29" s="1" t="n">
        <v>44438</v>
      </c>
      <c r="C29" s="1" t="n">
        <v>45744</v>
      </c>
      <c r="D29" t="inlineStr">
        <is>
          <t>SKÅNE LÄN</t>
        </is>
      </c>
      <c r="E29" t="inlineStr">
        <is>
          <t>HÄSSLEHOLM</t>
        </is>
      </c>
      <c r="G29" t="n">
        <v>1.7</v>
      </c>
      <c r="H29" t="n">
        <v>0</v>
      </c>
      <c r="I29" t="n">
        <v>1</v>
      </c>
      <c r="J29" t="n">
        <v>0</v>
      </c>
      <c r="K29" t="n">
        <v>0</v>
      </c>
      <c r="L29" t="n">
        <v>0</v>
      </c>
      <c r="M29" t="n">
        <v>0</v>
      </c>
      <c r="N29" t="n">
        <v>0</v>
      </c>
      <c r="O29" t="n">
        <v>0</v>
      </c>
      <c r="P29" t="n">
        <v>0</v>
      </c>
      <c r="Q29" t="n">
        <v>1</v>
      </c>
      <c r="R29" s="2" t="inlineStr">
        <is>
          <t>Blåmossa</t>
        </is>
      </c>
      <c r="S29">
        <f>HYPERLINK("https://klasma.github.io/Logging_1293/artfynd/A 44705-2021 artfynd.xlsx", "A 44705-2021")</f>
        <v/>
      </c>
      <c r="T29">
        <f>HYPERLINK("https://klasma.github.io/Logging_1293/kartor/A 44705-2021 karta.png", "A 44705-2021")</f>
        <v/>
      </c>
      <c r="V29">
        <f>HYPERLINK("https://klasma.github.io/Logging_1293/klagomål/A 44705-2021 FSC-klagomål.docx", "A 44705-2021")</f>
        <v/>
      </c>
      <c r="W29">
        <f>HYPERLINK("https://klasma.github.io/Logging_1293/klagomålsmail/A 44705-2021 FSC-klagomål mail.docx", "A 44705-2021")</f>
        <v/>
      </c>
      <c r="X29">
        <f>HYPERLINK("https://klasma.github.io/Logging_1293/tillsyn/A 44705-2021 tillsynsbegäran.docx", "A 44705-2021")</f>
        <v/>
      </c>
      <c r="Y29">
        <f>HYPERLINK("https://klasma.github.io/Logging_1293/tillsynsmail/A 44705-2021 tillsynsbegäran mail.docx", "A 44705-2021")</f>
        <v/>
      </c>
    </row>
    <row r="30" ht="15" customHeight="1">
      <c r="A30" t="inlineStr">
        <is>
          <t>A 6350-2022</t>
        </is>
      </c>
      <c r="B30" s="1" t="n">
        <v>44600</v>
      </c>
      <c r="C30" s="1" t="n">
        <v>45744</v>
      </c>
      <c r="D30" t="inlineStr">
        <is>
          <t>SKÅNE LÄN</t>
        </is>
      </c>
      <c r="E30" t="inlineStr">
        <is>
          <t>HÄSSLEHOLM</t>
        </is>
      </c>
      <c r="G30" t="n">
        <v>6.1</v>
      </c>
      <c r="H30" t="n">
        <v>1</v>
      </c>
      <c r="I30" t="n">
        <v>1</v>
      </c>
      <c r="J30" t="n">
        <v>0</v>
      </c>
      <c r="K30" t="n">
        <v>0</v>
      </c>
      <c r="L30" t="n">
        <v>0</v>
      </c>
      <c r="M30" t="n">
        <v>0</v>
      </c>
      <c r="N30" t="n">
        <v>0</v>
      </c>
      <c r="O30" t="n">
        <v>0</v>
      </c>
      <c r="P30" t="n">
        <v>0</v>
      </c>
      <c r="Q30" t="n">
        <v>1</v>
      </c>
      <c r="R30" s="2" t="inlineStr">
        <is>
          <t>Skogsknipprot</t>
        </is>
      </c>
      <c r="S30">
        <f>HYPERLINK("https://klasma.github.io/Logging_1293/artfynd/A 6350-2022 artfynd.xlsx", "A 6350-2022")</f>
        <v/>
      </c>
      <c r="T30">
        <f>HYPERLINK("https://klasma.github.io/Logging_1293/kartor/A 6350-2022 karta.png", "A 6350-2022")</f>
        <v/>
      </c>
      <c r="V30">
        <f>HYPERLINK("https://klasma.github.io/Logging_1293/klagomål/A 6350-2022 FSC-klagomål.docx", "A 6350-2022")</f>
        <v/>
      </c>
      <c r="W30">
        <f>HYPERLINK("https://klasma.github.io/Logging_1293/klagomålsmail/A 6350-2022 FSC-klagomål mail.docx", "A 6350-2022")</f>
        <v/>
      </c>
      <c r="X30">
        <f>HYPERLINK("https://klasma.github.io/Logging_1293/tillsyn/A 6350-2022 tillsynsbegäran.docx", "A 6350-2022")</f>
        <v/>
      </c>
      <c r="Y30">
        <f>HYPERLINK("https://klasma.github.io/Logging_1293/tillsynsmail/A 6350-2022 tillsynsbegäran mail.docx", "A 6350-2022")</f>
        <v/>
      </c>
    </row>
    <row r="31" ht="15" customHeight="1">
      <c r="A31" t="inlineStr">
        <is>
          <t>A 13705-2022</t>
        </is>
      </c>
      <c r="B31" s="1" t="n">
        <v>44648</v>
      </c>
      <c r="C31" s="1" t="n">
        <v>45744</v>
      </c>
      <c r="D31" t="inlineStr">
        <is>
          <t>SKÅNE LÄN</t>
        </is>
      </c>
      <c r="E31" t="inlineStr">
        <is>
          <t>HÄSSLEHOLM</t>
        </is>
      </c>
      <c r="G31" t="n">
        <v>1.5</v>
      </c>
      <c r="H31" t="n">
        <v>1</v>
      </c>
      <c r="I31" t="n">
        <v>0</v>
      </c>
      <c r="J31" t="n">
        <v>0</v>
      </c>
      <c r="K31" t="n">
        <v>0</v>
      </c>
      <c r="L31" t="n">
        <v>0</v>
      </c>
      <c r="M31" t="n">
        <v>0</v>
      </c>
      <c r="N31" t="n">
        <v>0</v>
      </c>
      <c r="O31" t="n">
        <v>0</v>
      </c>
      <c r="P31" t="n">
        <v>0</v>
      </c>
      <c r="Q31" t="n">
        <v>1</v>
      </c>
      <c r="R31" s="2" t="inlineStr">
        <is>
          <t>Grönvit nattviol</t>
        </is>
      </c>
      <c r="S31">
        <f>HYPERLINK("https://klasma.github.io/Logging_1293/artfynd/A 13705-2022 artfynd.xlsx", "A 13705-2022")</f>
        <v/>
      </c>
      <c r="T31">
        <f>HYPERLINK("https://klasma.github.io/Logging_1293/kartor/A 13705-2022 karta.png", "A 13705-2022")</f>
        <v/>
      </c>
      <c r="V31">
        <f>HYPERLINK("https://klasma.github.io/Logging_1293/klagomål/A 13705-2022 FSC-klagomål.docx", "A 13705-2022")</f>
        <v/>
      </c>
      <c r="W31">
        <f>HYPERLINK("https://klasma.github.io/Logging_1293/klagomålsmail/A 13705-2022 FSC-klagomål mail.docx", "A 13705-2022")</f>
        <v/>
      </c>
      <c r="X31">
        <f>HYPERLINK("https://klasma.github.io/Logging_1293/tillsyn/A 13705-2022 tillsynsbegäran.docx", "A 13705-2022")</f>
        <v/>
      </c>
      <c r="Y31">
        <f>HYPERLINK("https://klasma.github.io/Logging_1293/tillsynsmail/A 13705-2022 tillsynsbegäran mail.docx", "A 13705-2022")</f>
        <v/>
      </c>
    </row>
    <row r="32" ht="15" customHeight="1">
      <c r="A32" t="inlineStr">
        <is>
          <t>A 27958-2022</t>
        </is>
      </c>
      <c r="B32" s="1" t="n">
        <v>44744</v>
      </c>
      <c r="C32" s="1" t="n">
        <v>45744</v>
      </c>
      <c r="D32" t="inlineStr">
        <is>
          <t>SKÅNE LÄN</t>
        </is>
      </c>
      <c r="E32" t="inlineStr">
        <is>
          <t>HÄSSLEHOLM</t>
        </is>
      </c>
      <c r="G32" t="n">
        <v>3.9</v>
      </c>
      <c r="H32" t="n">
        <v>0</v>
      </c>
      <c r="I32" t="n">
        <v>1</v>
      </c>
      <c r="J32" t="n">
        <v>0</v>
      </c>
      <c r="K32" t="n">
        <v>0</v>
      </c>
      <c r="L32" t="n">
        <v>0</v>
      </c>
      <c r="M32" t="n">
        <v>0</v>
      </c>
      <c r="N32" t="n">
        <v>0</v>
      </c>
      <c r="O32" t="n">
        <v>0</v>
      </c>
      <c r="P32" t="n">
        <v>0</v>
      </c>
      <c r="Q32" t="n">
        <v>1</v>
      </c>
      <c r="R32" s="2" t="inlineStr">
        <is>
          <t>Myskmadra</t>
        </is>
      </c>
      <c r="S32">
        <f>HYPERLINK("https://klasma.github.io/Logging_1293/artfynd/A 27958-2022 artfynd.xlsx", "A 27958-2022")</f>
        <v/>
      </c>
      <c r="T32">
        <f>HYPERLINK("https://klasma.github.io/Logging_1293/kartor/A 27958-2022 karta.png", "A 27958-2022")</f>
        <v/>
      </c>
      <c r="V32">
        <f>HYPERLINK("https://klasma.github.io/Logging_1293/klagomål/A 27958-2022 FSC-klagomål.docx", "A 27958-2022")</f>
        <v/>
      </c>
      <c r="W32">
        <f>HYPERLINK("https://klasma.github.io/Logging_1293/klagomålsmail/A 27958-2022 FSC-klagomål mail.docx", "A 27958-2022")</f>
        <v/>
      </c>
      <c r="X32">
        <f>HYPERLINK("https://klasma.github.io/Logging_1293/tillsyn/A 27958-2022 tillsynsbegäran.docx", "A 27958-2022")</f>
        <v/>
      </c>
      <c r="Y32">
        <f>HYPERLINK("https://klasma.github.io/Logging_1293/tillsynsmail/A 27958-2022 tillsynsbegäran mail.docx", "A 27958-2022")</f>
        <v/>
      </c>
    </row>
    <row r="33" ht="15" customHeight="1">
      <c r="A33" t="inlineStr">
        <is>
          <t>A 39733-2022</t>
        </is>
      </c>
      <c r="B33" s="1" t="n">
        <v>44819</v>
      </c>
      <c r="C33" s="1" t="n">
        <v>45744</v>
      </c>
      <c r="D33" t="inlineStr">
        <is>
          <t>SKÅNE LÄN</t>
        </is>
      </c>
      <c r="E33" t="inlineStr">
        <is>
          <t>HÄSSLEHOLM</t>
        </is>
      </c>
      <c r="G33" t="n">
        <v>1.9</v>
      </c>
      <c r="H33" t="n">
        <v>1</v>
      </c>
      <c r="I33" t="n">
        <v>0</v>
      </c>
      <c r="J33" t="n">
        <v>1</v>
      </c>
      <c r="K33" t="n">
        <v>0</v>
      </c>
      <c r="L33" t="n">
        <v>0</v>
      </c>
      <c r="M33" t="n">
        <v>0</v>
      </c>
      <c r="N33" t="n">
        <v>0</v>
      </c>
      <c r="O33" t="n">
        <v>1</v>
      </c>
      <c r="P33" t="n">
        <v>0</v>
      </c>
      <c r="Q33" t="n">
        <v>1</v>
      </c>
      <c r="R33" s="2" t="inlineStr">
        <is>
          <t>Spillkråka</t>
        </is>
      </c>
      <c r="S33">
        <f>HYPERLINK("https://klasma.github.io/Logging_1293/artfynd/A 39733-2022 artfynd.xlsx", "A 39733-2022")</f>
        <v/>
      </c>
      <c r="T33">
        <f>HYPERLINK("https://klasma.github.io/Logging_1293/kartor/A 39733-2022 karta.png", "A 39733-2022")</f>
        <v/>
      </c>
      <c r="V33">
        <f>HYPERLINK("https://klasma.github.io/Logging_1293/klagomål/A 39733-2022 FSC-klagomål.docx", "A 39733-2022")</f>
        <v/>
      </c>
      <c r="W33">
        <f>HYPERLINK("https://klasma.github.io/Logging_1293/klagomålsmail/A 39733-2022 FSC-klagomål mail.docx", "A 39733-2022")</f>
        <v/>
      </c>
      <c r="X33">
        <f>HYPERLINK("https://klasma.github.io/Logging_1293/tillsyn/A 39733-2022 tillsynsbegäran.docx", "A 39733-2022")</f>
        <v/>
      </c>
      <c r="Y33">
        <f>HYPERLINK("https://klasma.github.io/Logging_1293/tillsynsmail/A 39733-2022 tillsynsbegäran mail.docx", "A 39733-2022")</f>
        <v/>
      </c>
      <c r="Z33">
        <f>HYPERLINK("https://klasma.github.io/Logging_1293/fåglar/A 39733-2022 prioriterade fågelarter.docx", "A 39733-2022")</f>
        <v/>
      </c>
    </row>
    <row r="34" ht="15" customHeight="1">
      <c r="A34" t="inlineStr">
        <is>
          <t>A 49572-2022</t>
        </is>
      </c>
      <c r="B34" s="1" t="n">
        <v>44862</v>
      </c>
      <c r="C34" s="1" t="n">
        <v>45744</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45744</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45744</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46602-2023</t>
        </is>
      </c>
      <c r="B37" s="1" t="n">
        <v>45194</v>
      </c>
      <c r="C37" s="1" t="n">
        <v>45744</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6634-2024</t>
        </is>
      </c>
      <c r="B38" s="1" t="n">
        <v>45341</v>
      </c>
      <c r="C38" s="1" t="n">
        <v>45744</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7862-2024</t>
        </is>
      </c>
      <c r="B39" s="1" t="n">
        <v>45348</v>
      </c>
      <c r="C39" s="1" t="n">
        <v>45744</v>
      </c>
      <c r="D39" t="inlineStr">
        <is>
          <t>SKÅNE LÄN</t>
        </is>
      </c>
      <c r="E39" t="inlineStr">
        <is>
          <t>HÄSSLEHOLM</t>
        </is>
      </c>
      <c r="G39" t="n">
        <v>5</v>
      </c>
      <c r="H39" t="n">
        <v>0</v>
      </c>
      <c r="I39" t="n">
        <v>1</v>
      </c>
      <c r="J39" t="n">
        <v>0</v>
      </c>
      <c r="K39" t="n">
        <v>0</v>
      </c>
      <c r="L39" t="n">
        <v>0</v>
      </c>
      <c r="M39" t="n">
        <v>0</v>
      </c>
      <c r="N39" t="n">
        <v>0</v>
      </c>
      <c r="O39" t="n">
        <v>0</v>
      </c>
      <c r="P39" t="n">
        <v>0</v>
      </c>
      <c r="Q39" t="n">
        <v>1</v>
      </c>
      <c r="R39" s="2" t="inlineStr">
        <is>
          <t>Stor revmossa</t>
        </is>
      </c>
      <c r="S39">
        <f>HYPERLINK("https://klasma.github.io/Logging_1293/artfynd/A 7862-2024 artfynd.xlsx", "A 7862-2024")</f>
        <v/>
      </c>
      <c r="T39">
        <f>HYPERLINK("https://klasma.github.io/Logging_1293/kartor/A 7862-2024 karta.png", "A 7862-2024")</f>
        <v/>
      </c>
      <c r="V39">
        <f>HYPERLINK("https://klasma.github.io/Logging_1293/klagomål/A 7862-2024 FSC-klagomål.docx", "A 7862-2024")</f>
        <v/>
      </c>
      <c r="W39">
        <f>HYPERLINK("https://klasma.github.io/Logging_1293/klagomålsmail/A 7862-2024 FSC-klagomål mail.docx", "A 7862-2024")</f>
        <v/>
      </c>
      <c r="X39">
        <f>HYPERLINK("https://klasma.github.io/Logging_1293/tillsyn/A 7862-2024 tillsynsbegäran.docx", "A 7862-2024")</f>
        <v/>
      </c>
      <c r="Y39">
        <f>HYPERLINK("https://klasma.github.io/Logging_1293/tillsynsmail/A 7862-2024 tillsynsbegäran mail.docx", "A 7862-2024")</f>
        <v/>
      </c>
    </row>
    <row r="40" ht="15" customHeight="1">
      <c r="A40" t="inlineStr">
        <is>
          <t>A 11226-2024</t>
        </is>
      </c>
      <c r="B40" s="1" t="n">
        <v>45371</v>
      </c>
      <c r="C40" s="1" t="n">
        <v>45744</v>
      </c>
      <c r="D40" t="inlineStr">
        <is>
          <t>SKÅNE LÄN</t>
        </is>
      </c>
      <c r="E40" t="inlineStr">
        <is>
          <t>HÄSSLEHOLM</t>
        </is>
      </c>
      <c r="G40" t="n">
        <v>1.5</v>
      </c>
      <c r="H40" t="n">
        <v>0</v>
      </c>
      <c r="I40" t="n">
        <v>0</v>
      </c>
      <c r="J40" t="n">
        <v>0</v>
      </c>
      <c r="K40" t="n">
        <v>1</v>
      </c>
      <c r="L40" t="n">
        <v>0</v>
      </c>
      <c r="M40" t="n">
        <v>0</v>
      </c>
      <c r="N40" t="n">
        <v>0</v>
      </c>
      <c r="O40" t="n">
        <v>1</v>
      </c>
      <c r="P40" t="n">
        <v>1</v>
      </c>
      <c r="Q40" t="n">
        <v>1</v>
      </c>
      <c r="R40" s="2" t="inlineStr">
        <is>
          <t>Småvänderot</t>
        </is>
      </c>
      <c r="S40">
        <f>HYPERLINK("https://klasma.github.io/Logging_1293/artfynd/A 11226-2024 artfynd.xlsx", "A 11226-2024")</f>
        <v/>
      </c>
      <c r="T40">
        <f>HYPERLINK("https://klasma.github.io/Logging_1293/kartor/A 11226-2024 karta.png", "A 11226-2024")</f>
        <v/>
      </c>
      <c r="V40">
        <f>HYPERLINK("https://klasma.github.io/Logging_1293/klagomål/A 11226-2024 FSC-klagomål.docx", "A 11226-2024")</f>
        <v/>
      </c>
      <c r="W40">
        <f>HYPERLINK("https://klasma.github.io/Logging_1293/klagomålsmail/A 11226-2024 FSC-klagomål mail.docx", "A 11226-2024")</f>
        <v/>
      </c>
      <c r="X40">
        <f>HYPERLINK("https://klasma.github.io/Logging_1293/tillsyn/A 11226-2024 tillsynsbegäran.docx", "A 11226-2024")</f>
        <v/>
      </c>
      <c r="Y40">
        <f>HYPERLINK("https://klasma.github.io/Logging_1293/tillsynsmail/A 11226-2024 tillsynsbegäran mail.docx", "A 11226-2024")</f>
        <v/>
      </c>
    </row>
    <row r="41" ht="15" customHeight="1">
      <c r="A41" t="inlineStr">
        <is>
          <t>A 20679-2024</t>
        </is>
      </c>
      <c r="B41" s="1" t="n">
        <v>45436</v>
      </c>
      <c r="C41" s="1" t="n">
        <v>45744</v>
      </c>
      <c r="D41" t="inlineStr">
        <is>
          <t>SKÅNE LÄN</t>
        </is>
      </c>
      <c r="E41" t="inlineStr">
        <is>
          <t>HÄSSLEHOLM</t>
        </is>
      </c>
      <c r="G41" t="n">
        <v>1.1</v>
      </c>
      <c r="H41" t="n">
        <v>0</v>
      </c>
      <c r="I41" t="n">
        <v>1</v>
      </c>
      <c r="J41" t="n">
        <v>0</v>
      </c>
      <c r="K41" t="n">
        <v>0</v>
      </c>
      <c r="L41" t="n">
        <v>0</v>
      </c>
      <c r="M41" t="n">
        <v>0</v>
      </c>
      <c r="N41" t="n">
        <v>0</v>
      </c>
      <c r="O41" t="n">
        <v>0</v>
      </c>
      <c r="P41" t="n">
        <v>0</v>
      </c>
      <c r="Q41" t="n">
        <v>1</v>
      </c>
      <c r="R41" s="2" t="inlineStr">
        <is>
          <t>Blodticka</t>
        </is>
      </c>
      <c r="S41">
        <f>HYPERLINK("https://klasma.github.io/Logging_1293/artfynd/A 20679-2024 artfynd.xlsx", "A 20679-2024")</f>
        <v/>
      </c>
      <c r="T41">
        <f>HYPERLINK("https://klasma.github.io/Logging_1293/kartor/A 20679-2024 karta.png", "A 20679-2024")</f>
        <v/>
      </c>
      <c r="V41">
        <f>HYPERLINK("https://klasma.github.io/Logging_1293/klagomål/A 20679-2024 FSC-klagomål.docx", "A 20679-2024")</f>
        <v/>
      </c>
      <c r="W41">
        <f>HYPERLINK("https://klasma.github.io/Logging_1293/klagomålsmail/A 20679-2024 FSC-klagomål mail.docx", "A 20679-2024")</f>
        <v/>
      </c>
      <c r="X41">
        <f>HYPERLINK("https://klasma.github.io/Logging_1293/tillsyn/A 20679-2024 tillsynsbegäran.docx", "A 20679-2024")</f>
        <v/>
      </c>
      <c r="Y41">
        <f>HYPERLINK("https://klasma.github.io/Logging_1293/tillsynsmail/A 20679-2024 tillsynsbegäran mail.docx", "A 20679-2024")</f>
        <v/>
      </c>
    </row>
    <row r="42" ht="15" customHeight="1">
      <c r="A42" t="inlineStr">
        <is>
          <t>A 54523-2024</t>
        </is>
      </c>
      <c r="B42" s="1" t="n">
        <v>45617</v>
      </c>
      <c r="C42" s="1" t="n">
        <v>45744</v>
      </c>
      <c r="D42" t="inlineStr">
        <is>
          <t>SKÅNE LÄN</t>
        </is>
      </c>
      <c r="E42" t="inlineStr">
        <is>
          <t>HÄSSLEHOLM</t>
        </is>
      </c>
      <c r="G42" t="n">
        <v>4.5</v>
      </c>
      <c r="H42" t="n">
        <v>1</v>
      </c>
      <c r="I42" t="n">
        <v>0</v>
      </c>
      <c r="J42" t="n">
        <v>0</v>
      </c>
      <c r="K42" t="n">
        <v>0</v>
      </c>
      <c r="L42" t="n">
        <v>0</v>
      </c>
      <c r="M42" t="n">
        <v>0</v>
      </c>
      <c r="N42" t="n">
        <v>0</v>
      </c>
      <c r="O42" t="n">
        <v>0</v>
      </c>
      <c r="P42" t="n">
        <v>0</v>
      </c>
      <c r="Q42" t="n">
        <v>1</v>
      </c>
      <c r="R42" s="2" t="inlineStr">
        <is>
          <t>Grönvit nattviol</t>
        </is>
      </c>
      <c r="S42">
        <f>HYPERLINK("https://klasma.github.io/Logging_1293/artfynd/A 54523-2024 artfynd.xlsx", "A 54523-2024")</f>
        <v/>
      </c>
      <c r="T42">
        <f>HYPERLINK("https://klasma.github.io/Logging_1293/kartor/A 54523-2024 karta.png", "A 54523-2024")</f>
        <v/>
      </c>
      <c r="V42">
        <f>HYPERLINK("https://klasma.github.io/Logging_1293/klagomål/A 54523-2024 FSC-klagomål.docx", "A 54523-2024")</f>
        <v/>
      </c>
      <c r="W42">
        <f>HYPERLINK("https://klasma.github.io/Logging_1293/klagomålsmail/A 54523-2024 FSC-klagomål mail.docx", "A 54523-2024")</f>
        <v/>
      </c>
      <c r="X42">
        <f>HYPERLINK("https://klasma.github.io/Logging_1293/tillsyn/A 54523-2024 tillsynsbegäran.docx", "A 54523-2024")</f>
        <v/>
      </c>
      <c r="Y42">
        <f>HYPERLINK("https://klasma.github.io/Logging_1293/tillsynsmail/A 54523-2024 tillsynsbegäran mail.docx", "A 54523-2024")</f>
        <v/>
      </c>
    </row>
    <row r="43" ht="15" customHeight="1">
      <c r="A43" t="inlineStr">
        <is>
          <t>A 60925-2024</t>
        </is>
      </c>
      <c r="B43" s="1" t="n">
        <v>45645</v>
      </c>
      <c r="C43" s="1" t="n">
        <v>45744</v>
      </c>
      <c r="D43" t="inlineStr">
        <is>
          <t>SKÅNE LÄN</t>
        </is>
      </c>
      <c r="E43" t="inlineStr">
        <is>
          <t>HÄSSLEHOLM</t>
        </is>
      </c>
      <c r="G43" t="n">
        <v>1.8</v>
      </c>
      <c r="H43" t="n">
        <v>0</v>
      </c>
      <c r="I43" t="n">
        <v>0</v>
      </c>
      <c r="J43" t="n">
        <v>0</v>
      </c>
      <c r="K43" t="n">
        <v>0</v>
      </c>
      <c r="L43" t="n">
        <v>1</v>
      </c>
      <c r="M43" t="n">
        <v>0</v>
      </c>
      <c r="N43" t="n">
        <v>0</v>
      </c>
      <c r="O43" t="n">
        <v>1</v>
      </c>
      <c r="P43" t="n">
        <v>1</v>
      </c>
      <c r="Q43" t="n">
        <v>1</v>
      </c>
      <c r="R43" s="2" t="inlineStr">
        <is>
          <t>Ask</t>
        </is>
      </c>
      <c r="S43">
        <f>HYPERLINK("https://klasma.github.io/Logging_1293/artfynd/A 60925-2024 artfynd.xlsx", "A 60925-2024")</f>
        <v/>
      </c>
      <c r="T43">
        <f>HYPERLINK("https://klasma.github.io/Logging_1293/kartor/A 60925-2024 karta.png", "A 60925-2024")</f>
        <v/>
      </c>
      <c r="V43">
        <f>HYPERLINK("https://klasma.github.io/Logging_1293/klagomål/A 60925-2024 FSC-klagomål.docx", "A 60925-2024")</f>
        <v/>
      </c>
      <c r="W43">
        <f>HYPERLINK("https://klasma.github.io/Logging_1293/klagomålsmail/A 60925-2024 FSC-klagomål mail.docx", "A 60925-2024")</f>
        <v/>
      </c>
      <c r="X43">
        <f>HYPERLINK("https://klasma.github.io/Logging_1293/tillsyn/A 60925-2024 tillsynsbegäran.docx", "A 60925-2024")</f>
        <v/>
      </c>
      <c r="Y43">
        <f>HYPERLINK("https://klasma.github.io/Logging_1293/tillsynsmail/A 60925-2024 tillsynsbegäran mail.docx", "A 60925-2024")</f>
        <v/>
      </c>
    </row>
    <row r="44" ht="15" customHeight="1">
      <c r="A44" t="inlineStr">
        <is>
          <t>A 61707-2024</t>
        </is>
      </c>
      <c r="B44" s="1" t="n">
        <v>45648</v>
      </c>
      <c r="C44" s="1" t="n">
        <v>45744</v>
      </c>
      <c r="D44" t="inlineStr">
        <is>
          <t>SKÅNE LÄN</t>
        </is>
      </c>
      <c r="E44" t="inlineStr">
        <is>
          <t>HÄSSLEHOLM</t>
        </is>
      </c>
      <c r="G44" t="n">
        <v>3.2</v>
      </c>
      <c r="H44" t="n">
        <v>0</v>
      </c>
      <c r="I44" t="n">
        <v>0</v>
      </c>
      <c r="J44" t="n">
        <v>1</v>
      </c>
      <c r="K44" t="n">
        <v>0</v>
      </c>
      <c r="L44" t="n">
        <v>0</v>
      </c>
      <c r="M44" t="n">
        <v>0</v>
      </c>
      <c r="N44" t="n">
        <v>0</v>
      </c>
      <c r="O44" t="n">
        <v>1</v>
      </c>
      <c r="P44" t="n">
        <v>0</v>
      </c>
      <c r="Q44" t="n">
        <v>1</v>
      </c>
      <c r="R44" s="2" t="inlineStr">
        <is>
          <t>Rödlånke</t>
        </is>
      </c>
      <c r="S44">
        <f>HYPERLINK("https://klasma.github.io/Logging_1293/artfynd/A 61707-2024 artfynd.xlsx", "A 61707-2024")</f>
        <v/>
      </c>
      <c r="T44">
        <f>HYPERLINK("https://klasma.github.io/Logging_1293/kartor/A 61707-2024 karta.png", "A 61707-2024")</f>
        <v/>
      </c>
      <c r="V44">
        <f>HYPERLINK("https://klasma.github.io/Logging_1293/klagomål/A 61707-2024 FSC-klagomål.docx", "A 61707-2024")</f>
        <v/>
      </c>
      <c r="W44">
        <f>HYPERLINK("https://klasma.github.io/Logging_1293/klagomålsmail/A 61707-2024 FSC-klagomål mail.docx", "A 61707-2024")</f>
        <v/>
      </c>
      <c r="X44">
        <f>HYPERLINK("https://klasma.github.io/Logging_1293/tillsyn/A 61707-2024 tillsynsbegäran.docx", "A 61707-2024")</f>
        <v/>
      </c>
      <c r="Y44">
        <f>HYPERLINK("https://klasma.github.io/Logging_1293/tillsynsmail/A 61707-2024 tillsynsbegäran mail.docx", "A 61707-2024")</f>
        <v/>
      </c>
    </row>
    <row r="45" ht="15" customHeight="1">
      <c r="A45" t="inlineStr">
        <is>
          <t>A 4619-2025</t>
        </is>
      </c>
      <c r="B45" s="1" t="n">
        <v>45687</v>
      </c>
      <c r="C45" s="1" t="n">
        <v>45744</v>
      </c>
      <c r="D45" t="inlineStr">
        <is>
          <t>SKÅNE LÄN</t>
        </is>
      </c>
      <c r="E45" t="inlineStr">
        <is>
          <t>HÄSSLEHOLM</t>
        </is>
      </c>
      <c r="G45" t="n">
        <v>2.2</v>
      </c>
      <c r="H45" t="n">
        <v>0</v>
      </c>
      <c r="I45" t="n">
        <v>0</v>
      </c>
      <c r="J45" t="n">
        <v>0</v>
      </c>
      <c r="K45" t="n">
        <v>1</v>
      </c>
      <c r="L45" t="n">
        <v>0</v>
      </c>
      <c r="M45" t="n">
        <v>0</v>
      </c>
      <c r="N45" t="n">
        <v>0</v>
      </c>
      <c r="O45" t="n">
        <v>1</v>
      </c>
      <c r="P45" t="n">
        <v>1</v>
      </c>
      <c r="Q45" t="n">
        <v>1</v>
      </c>
      <c r="R45" s="2" t="inlineStr">
        <is>
          <t>Vildris</t>
        </is>
      </c>
      <c r="S45">
        <f>HYPERLINK("https://klasma.github.io/Logging_1293/artfynd/A 4619-2025 artfynd.xlsx", "A 4619-2025")</f>
        <v/>
      </c>
      <c r="T45">
        <f>HYPERLINK("https://klasma.github.io/Logging_1293/kartor/A 4619-2025 karta.png", "A 4619-2025")</f>
        <v/>
      </c>
      <c r="V45">
        <f>HYPERLINK("https://klasma.github.io/Logging_1293/klagomål/A 4619-2025 FSC-klagomål.docx", "A 4619-2025")</f>
        <v/>
      </c>
      <c r="W45">
        <f>HYPERLINK("https://klasma.github.io/Logging_1293/klagomålsmail/A 4619-2025 FSC-klagomål mail.docx", "A 4619-2025")</f>
        <v/>
      </c>
      <c r="X45">
        <f>HYPERLINK("https://klasma.github.io/Logging_1293/tillsyn/A 4619-2025 tillsynsbegäran.docx", "A 4619-2025")</f>
        <v/>
      </c>
      <c r="Y45">
        <f>HYPERLINK("https://klasma.github.io/Logging_1293/tillsynsmail/A 4619-2025 tillsynsbegäran mail.docx", "A 4619-2025")</f>
        <v/>
      </c>
    </row>
    <row r="46" ht="15" customHeight="1">
      <c r="A46" t="inlineStr">
        <is>
          <t>A 4725-2025</t>
        </is>
      </c>
      <c r="B46" s="1" t="n">
        <v>45688</v>
      </c>
      <c r="C46" s="1" t="n">
        <v>45744</v>
      </c>
      <c r="D46" t="inlineStr">
        <is>
          <t>SKÅNE LÄN</t>
        </is>
      </c>
      <c r="E46" t="inlineStr">
        <is>
          <t>HÄSSLEHOLM</t>
        </is>
      </c>
      <c r="G46" t="n">
        <v>5.5</v>
      </c>
      <c r="H46" t="n">
        <v>1</v>
      </c>
      <c r="I46" t="n">
        <v>0</v>
      </c>
      <c r="J46" t="n">
        <v>0</v>
      </c>
      <c r="K46" t="n">
        <v>0</v>
      </c>
      <c r="L46" t="n">
        <v>0</v>
      </c>
      <c r="M46" t="n">
        <v>0</v>
      </c>
      <c r="N46" t="n">
        <v>0</v>
      </c>
      <c r="O46" t="n">
        <v>0</v>
      </c>
      <c r="P46" t="n">
        <v>0</v>
      </c>
      <c r="Q46" t="n">
        <v>1</v>
      </c>
      <c r="R46" s="2" t="inlineStr">
        <is>
          <t>Grönvit nattviol</t>
        </is>
      </c>
      <c r="S46">
        <f>HYPERLINK("https://klasma.github.io/Logging_1293/artfynd/A 4725-2025 artfynd.xlsx", "A 4725-2025")</f>
        <v/>
      </c>
      <c r="T46">
        <f>HYPERLINK("https://klasma.github.io/Logging_1293/kartor/A 4725-2025 karta.png", "A 4725-2025")</f>
        <v/>
      </c>
      <c r="V46">
        <f>HYPERLINK("https://klasma.github.io/Logging_1293/klagomål/A 4725-2025 FSC-klagomål.docx", "A 4725-2025")</f>
        <v/>
      </c>
      <c r="W46">
        <f>HYPERLINK("https://klasma.github.io/Logging_1293/klagomålsmail/A 4725-2025 FSC-klagomål mail.docx", "A 4725-2025")</f>
        <v/>
      </c>
      <c r="X46">
        <f>HYPERLINK("https://klasma.github.io/Logging_1293/tillsyn/A 4725-2025 tillsynsbegäran.docx", "A 4725-2025")</f>
        <v/>
      </c>
      <c r="Y46">
        <f>HYPERLINK("https://klasma.github.io/Logging_1293/tillsynsmail/A 4725-2025 tillsynsbegäran mail.docx", "A 4725-2025")</f>
        <v/>
      </c>
    </row>
    <row r="47" ht="15" customHeight="1">
      <c r="A47" t="inlineStr">
        <is>
          <t>A 9289-2025</t>
        </is>
      </c>
      <c r="B47" s="1" t="n">
        <v>45714</v>
      </c>
      <c r="C47" s="1" t="n">
        <v>45744</v>
      </c>
      <c r="D47" t="inlineStr">
        <is>
          <t>SKÅNE LÄN</t>
        </is>
      </c>
      <c r="E47" t="inlineStr">
        <is>
          <t>HÄSSLEHOLM</t>
        </is>
      </c>
      <c r="G47" t="n">
        <v>18</v>
      </c>
      <c r="H47" t="n">
        <v>0</v>
      </c>
      <c r="I47" t="n">
        <v>1</v>
      </c>
      <c r="J47" t="n">
        <v>0</v>
      </c>
      <c r="K47" t="n">
        <v>0</v>
      </c>
      <c r="L47" t="n">
        <v>0</v>
      </c>
      <c r="M47" t="n">
        <v>0</v>
      </c>
      <c r="N47" t="n">
        <v>0</v>
      </c>
      <c r="O47" t="n">
        <v>0</v>
      </c>
      <c r="P47" t="n">
        <v>0</v>
      </c>
      <c r="Q47" t="n">
        <v>1</v>
      </c>
      <c r="R47" s="2" t="inlineStr">
        <is>
          <t>Tibast</t>
        </is>
      </c>
      <c r="S47">
        <f>HYPERLINK("https://klasma.github.io/Logging_1293/artfynd/A 9289-2025 artfynd.xlsx", "A 9289-2025")</f>
        <v/>
      </c>
      <c r="T47">
        <f>HYPERLINK("https://klasma.github.io/Logging_1293/kartor/A 9289-2025 karta.png", "A 9289-2025")</f>
        <v/>
      </c>
      <c r="V47">
        <f>HYPERLINK("https://klasma.github.io/Logging_1293/klagomål/A 9289-2025 FSC-klagomål.docx", "A 9289-2025")</f>
        <v/>
      </c>
      <c r="W47">
        <f>HYPERLINK("https://klasma.github.io/Logging_1293/klagomålsmail/A 9289-2025 FSC-klagomål mail.docx", "A 9289-2025")</f>
        <v/>
      </c>
      <c r="X47">
        <f>HYPERLINK("https://klasma.github.io/Logging_1293/tillsyn/A 9289-2025 tillsynsbegäran.docx", "A 9289-2025")</f>
        <v/>
      </c>
      <c r="Y47">
        <f>HYPERLINK("https://klasma.github.io/Logging_1293/tillsynsmail/A 9289-2025 tillsynsbegäran mail.docx", "A 9289-2025")</f>
        <v/>
      </c>
    </row>
    <row r="48" ht="15" customHeight="1">
      <c r="A48" t="inlineStr">
        <is>
          <t>A 18039-2019</t>
        </is>
      </c>
      <c r="B48" s="1" t="n">
        <v>43557</v>
      </c>
      <c r="C48" s="1" t="n">
        <v>45744</v>
      </c>
      <c r="D48" t="inlineStr">
        <is>
          <t>SKÅNE LÄN</t>
        </is>
      </c>
      <c r="E48" t="inlineStr">
        <is>
          <t>HÄSSLEHOLM</t>
        </is>
      </c>
      <c r="F48" t="inlineStr">
        <is>
          <t>Kommuner</t>
        </is>
      </c>
      <c r="G48" t="n">
        <v>4.5</v>
      </c>
      <c r="H48" t="n">
        <v>0</v>
      </c>
      <c r="I48" t="n">
        <v>0</v>
      </c>
      <c r="J48" t="n">
        <v>0</v>
      </c>
      <c r="K48" t="n">
        <v>0</v>
      </c>
      <c r="L48" t="n">
        <v>0</v>
      </c>
      <c r="M48" t="n">
        <v>0</v>
      </c>
      <c r="N48" t="n">
        <v>0</v>
      </c>
      <c r="O48" t="n">
        <v>0</v>
      </c>
      <c r="P48" t="n">
        <v>0</v>
      </c>
      <c r="Q48" t="n">
        <v>0</v>
      </c>
      <c r="R48" s="2" t="inlineStr"/>
    </row>
    <row r="49" ht="15" customHeight="1">
      <c r="A49" t="inlineStr">
        <is>
          <t>A 18984-2019</t>
        </is>
      </c>
      <c r="B49" s="1" t="n">
        <v>43563</v>
      </c>
      <c r="C49" s="1" t="n">
        <v>45744</v>
      </c>
      <c r="D49" t="inlineStr">
        <is>
          <t>SKÅNE LÄN</t>
        </is>
      </c>
      <c r="E49" t="inlineStr">
        <is>
          <t>HÄSSLEHOLM</t>
        </is>
      </c>
      <c r="F49" t="inlineStr">
        <is>
          <t>Kommuner</t>
        </is>
      </c>
      <c r="G49" t="n">
        <v>1</v>
      </c>
      <c r="H49" t="n">
        <v>0</v>
      </c>
      <c r="I49" t="n">
        <v>0</v>
      </c>
      <c r="J49" t="n">
        <v>0</v>
      </c>
      <c r="K49" t="n">
        <v>0</v>
      </c>
      <c r="L49" t="n">
        <v>0</v>
      </c>
      <c r="M49" t="n">
        <v>0</v>
      </c>
      <c r="N49" t="n">
        <v>0</v>
      </c>
      <c r="O49" t="n">
        <v>0</v>
      </c>
      <c r="P49" t="n">
        <v>0</v>
      </c>
      <c r="Q49" t="n">
        <v>0</v>
      </c>
      <c r="R49" s="2" t="inlineStr"/>
    </row>
    <row r="50" ht="15" customHeight="1">
      <c r="A50" t="inlineStr">
        <is>
          <t>A 18982-2019</t>
        </is>
      </c>
      <c r="B50" s="1" t="n">
        <v>43563</v>
      </c>
      <c r="C50" s="1" t="n">
        <v>45744</v>
      </c>
      <c r="D50" t="inlineStr">
        <is>
          <t>SKÅNE LÄN</t>
        </is>
      </c>
      <c r="E50" t="inlineStr">
        <is>
          <t>HÄSSLEHOLM</t>
        </is>
      </c>
      <c r="F50" t="inlineStr">
        <is>
          <t>Kommuner</t>
        </is>
      </c>
      <c r="G50" t="n">
        <v>1.8</v>
      </c>
      <c r="H50" t="n">
        <v>0</v>
      </c>
      <c r="I50" t="n">
        <v>0</v>
      </c>
      <c r="J50" t="n">
        <v>0</v>
      </c>
      <c r="K50" t="n">
        <v>0</v>
      </c>
      <c r="L50" t="n">
        <v>0</v>
      </c>
      <c r="M50" t="n">
        <v>0</v>
      </c>
      <c r="N50" t="n">
        <v>0</v>
      </c>
      <c r="O50" t="n">
        <v>0</v>
      </c>
      <c r="P50" t="n">
        <v>0</v>
      </c>
      <c r="Q50" t="n">
        <v>0</v>
      </c>
      <c r="R50" s="2" t="inlineStr"/>
    </row>
    <row r="51" ht="15" customHeight="1">
      <c r="A51" t="inlineStr">
        <is>
          <t>A 18911-2019</t>
        </is>
      </c>
      <c r="B51" s="1" t="n">
        <v>43563</v>
      </c>
      <c r="C51" s="1" t="n">
        <v>45744</v>
      </c>
      <c r="D51" t="inlineStr">
        <is>
          <t>SKÅNE LÄN</t>
        </is>
      </c>
      <c r="E51" t="inlineStr">
        <is>
          <t>HÄSSLEHOLM</t>
        </is>
      </c>
      <c r="G51" t="n">
        <v>2.1</v>
      </c>
      <c r="H51" t="n">
        <v>0</v>
      </c>
      <c r="I51" t="n">
        <v>0</v>
      </c>
      <c r="J51" t="n">
        <v>0</v>
      </c>
      <c r="K51" t="n">
        <v>0</v>
      </c>
      <c r="L51" t="n">
        <v>0</v>
      </c>
      <c r="M51" t="n">
        <v>0</v>
      </c>
      <c r="N51" t="n">
        <v>0</v>
      </c>
      <c r="O51" t="n">
        <v>0</v>
      </c>
      <c r="P51" t="n">
        <v>0</v>
      </c>
      <c r="Q51" t="n">
        <v>0</v>
      </c>
      <c r="R51" s="2" t="inlineStr"/>
    </row>
    <row r="52" ht="15" customHeight="1">
      <c r="A52" t="inlineStr">
        <is>
          <t>A 19473-2019</t>
        </is>
      </c>
      <c r="B52" s="1" t="n">
        <v>43565</v>
      </c>
      <c r="C52" s="1" t="n">
        <v>45744</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20765-2019</t>
        </is>
      </c>
      <c r="B53" s="1" t="n">
        <v>43573</v>
      </c>
      <c r="C53" s="1" t="n">
        <v>45744</v>
      </c>
      <c r="D53" t="inlineStr">
        <is>
          <t>SKÅNE LÄN</t>
        </is>
      </c>
      <c r="E53" t="inlineStr">
        <is>
          <t>HÄSSLEHOLM</t>
        </is>
      </c>
      <c r="G53" t="n">
        <v>0.7</v>
      </c>
      <c r="H53" t="n">
        <v>0</v>
      </c>
      <c r="I53" t="n">
        <v>0</v>
      </c>
      <c r="J53" t="n">
        <v>0</v>
      </c>
      <c r="K53" t="n">
        <v>0</v>
      </c>
      <c r="L53" t="n">
        <v>0</v>
      </c>
      <c r="M53" t="n">
        <v>0</v>
      </c>
      <c r="N53" t="n">
        <v>0</v>
      </c>
      <c r="O53" t="n">
        <v>0</v>
      </c>
      <c r="P53" t="n">
        <v>0</v>
      </c>
      <c r="Q53" t="n">
        <v>0</v>
      </c>
      <c r="R53" s="2" t="inlineStr"/>
    </row>
    <row r="54" ht="15" customHeight="1">
      <c r="A54" t="inlineStr">
        <is>
          <t>A 21534-2019</t>
        </is>
      </c>
      <c r="B54" s="1" t="n">
        <v>43580</v>
      </c>
      <c r="C54" s="1" t="n">
        <v>45744</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21535-2019</t>
        </is>
      </c>
      <c r="B55" s="1" t="n">
        <v>43580</v>
      </c>
      <c r="C55" s="1" t="n">
        <v>45744</v>
      </c>
      <c r="D55" t="inlineStr">
        <is>
          <t>SKÅNE LÄN</t>
        </is>
      </c>
      <c r="E55" t="inlineStr">
        <is>
          <t>HÄSSLEHOLM</t>
        </is>
      </c>
      <c r="G55" t="n">
        <v>1.1</v>
      </c>
      <c r="H55" t="n">
        <v>0</v>
      </c>
      <c r="I55" t="n">
        <v>0</v>
      </c>
      <c r="J55" t="n">
        <v>0</v>
      </c>
      <c r="K55" t="n">
        <v>0</v>
      </c>
      <c r="L55" t="n">
        <v>0</v>
      </c>
      <c r="M55" t="n">
        <v>0</v>
      </c>
      <c r="N55" t="n">
        <v>0</v>
      </c>
      <c r="O55" t="n">
        <v>0</v>
      </c>
      <c r="P55" t="n">
        <v>0</v>
      </c>
      <c r="Q55" t="n">
        <v>0</v>
      </c>
      <c r="R55" s="2" t="inlineStr"/>
    </row>
    <row r="56" ht="15" customHeight="1">
      <c r="A56" t="inlineStr">
        <is>
          <t>A 21976-2019</t>
        </is>
      </c>
      <c r="B56" s="1" t="n">
        <v>43584</v>
      </c>
      <c r="C56" s="1" t="n">
        <v>45744</v>
      </c>
      <c r="D56" t="inlineStr">
        <is>
          <t>SKÅNE LÄN</t>
        </is>
      </c>
      <c r="E56" t="inlineStr">
        <is>
          <t>HÄSSLEHOLM</t>
        </is>
      </c>
      <c r="F56" t="inlineStr">
        <is>
          <t>Övriga Aktiebolag</t>
        </is>
      </c>
      <c r="G56" t="n">
        <v>1.9</v>
      </c>
      <c r="H56" t="n">
        <v>0</v>
      </c>
      <c r="I56" t="n">
        <v>0</v>
      </c>
      <c r="J56" t="n">
        <v>0</v>
      </c>
      <c r="K56" t="n">
        <v>0</v>
      </c>
      <c r="L56" t="n">
        <v>0</v>
      </c>
      <c r="M56" t="n">
        <v>0</v>
      </c>
      <c r="N56" t="n">
        <v>0</v>
      </c>
      <c r="O56" t="n">
        <v>0</v>
      </c>
      <c r="P56" t="n">
        <v>0</v>
      </c>
      <c r="Q56" t="n">
        <v>0</v>
      </c>
      <c r="R56" s="2" t="inlineStr"/>
    </row>
    <row r="57" ht="15" customHeight="1">
      <c r="A57" t="inlineStr">
        <is>
          <t>A 23006-2019</t>
        </is>
      </c>
      <c r="B57" s="1" t="n">
        <v>43591</v>
      </c>
      <c r="C57" s="1" t="n">
        <v>45744</v>
      </c>
      <c r="D57" t="inlineStr">
        <is>
          <t>SKÅNE LÄN</t>
        </is>
      </c>
      <c r="E57" t="inlineStr">
        <is>
          <t>HÄSSLEHOLM</t>
        </is>
      </c>
      <c r="G57" t="n">
        <v>1.6</v>
      </c>
      <c r="H57" t="n">
        <v>0</v>
      </c>
      <c r="I57" t="n">
        <v>0</v>
      </c>
      <c r="J57" t="n">
        <v>0</v>
      </c>
      <c r="K57" t="n">
        <v>0</v>
      </c>
      <c r="L57" t="n">
        <v>0</v>
      </c>
      <c r="M57" t="n">
        <v>0</v>
      </c>
      <c r="N57" t="n">
        <v>0</v>
      </c>
      <c r="O57" t="n">
        <v>0</v>
      </c>
      <c r="P57" t="n">
        <v>0</v>
      </c>
      <c r="Q57" t="n">
        <v>0</v>
      </c>
      <c r="R57" s="2" t="inlineStr"/>
    </row>
    <row r="58" ht="15" customHeight="1">
      <c r="A58" t="inlineStr">
        <is>
          <t>A 23505-2019</t>
        </is>
      </c>
      <c r="B58" s="1" t="n">
        <v>43593</v>
      </c>
      <c r="C58" s="1" t="n">
        <v>45744</v>
      </c>
      <c r="D58" t="inlineStr">
        <is>
          <t>SKÅNE LÄN</t>
        </is>
      </c>
      <c r="E58" t="inlineStr">
        <is>
          <t>HÄSSLEHOLM</t>
        </is>
      </c>
      <c r="F58" t="inlineStr">
        <is>
          <t>Kyrkan</t>
        </is>
      </c>
      <c r="G58" t="n">
        <v>1.2</v>
      </c>
      <c r="H58" t="n">
        <v>0</v>
      </c>
      <c r="I58" t="n">
        <v>0</v>
      </c>
      <c r="J58" t="n">
        <v>0</v>
      </c>
      <c r="K58" t="n">
        <v>0</v>
      </c>
      <c r="L58" t="n">
        <v>0</v>
      </c>
      <c r="M58" t="n">
        <v>0</v>
      </c>
      <c r="N58" t="n">
        <v>0</v>
      </c>
      <c r="O58" t="n">
        <v>0</v>
      </c>
      <c r="P58" t="n">
        <v>0</v>
      </c>
      <c r="Q58" t="n">
        <v>0</v>
      </c>
      <c r="R58" s="2" t="inlineStr"/>
    </row>
    <row r="59" ht="15" customHeight="1">
      <c r="A59" t="inlineStr">
        <is>
          <t>A 24187-2019</t>
        </is>
      </c>
      <c r="B59" s="1" t="n">
        <v>43599</v>
      </c>
      <c r="C59" s="1" t="n">
        <v>45744</v>
      </c>
      <c r="D59" t="inlineStr">
        <is>
          <t>SKÅNE LÄN</t>
        </is>
      </c>
      <c r="E59" t="inlineStr">
        <is>
          <t>HÄSSLEHOLM</t>
        </is>
      </c>
      <c r="G59" t="n">
        <v>2.3</v>
      </c>
      <c r="H59" t="n">
        <v>0</v>
      </c>
      <c r="I59" t="n">
        <v>0</v>
      </c>
      <c r="J59" t="n">
        <v>0</v>
      </c>
      <c r="K59" t="n">
        <v>0</v>
      </c>
      <c r="L59" t="n">
        <v>0</v>
      </c>
      <c r="M59" t="n">
        <v>0</v>
      </c>
      <c r="N59" t="n">
        <v>0</v>
      </c>
      <c r="O59" t="n">
        <v>0</v>
      </c>
      <c r="P59" t="n">
        <v>0</v>
      </c>
      <c r="Q59" t="n">
        <v>0</v>
      </c>
      <c r="R59" s="2" t="inlineStr"/>
    </row>
    <row r="60" ht="15" customHeight="1">
      <c r="A60" t="inlineStr">
        <is>
          <t>A 24686-2019</t>
        </is>
      </c>
      <c r="B60" s="1" t="n">
        <v>43601</v>
      </c>
      <c r="C60" s="1" t="n">
        <v>45744</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25286-2019</t>
        </is>
      </c>
      <c r="B61" s="1" t="n">
        <v>43605</v>
      </c>
      <c r="C61" s="1" t="n">
        <v>45744</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25285-2019</t>
        </is>
      </c>
      <c r="B62" s="1" t="n">
        <v>43605</v>
      </c>
      <c r="C62" s="1" t="n">
        <v>45744</v>
      </c>
      <c r="D62" t="inlineStr">
        <is>
          <t>SKÅNE LÄN</t>
        </is>
      </c>
      <c r="E62" t="inlineStr">
        <is>
          <t>HÄSSLEHOLM</t>
        </is>
      </c>
      <c r="G62" t="n">
        <v>25.8</v>
      </c>
      <c r="H62" t="n">
        <v>0</v>
      </c>
      <c r="I62" t="n">
        <v>0</v>
      </c>
      <c r="J62" t="n">
        <v>0</v>
      </c>
      <c r="K62" t="n">
        <v>0</v>
      </c>
      <c r="L62" t="n">
        <v>0</v>
      </c>
      <c r="M62" t="n">
        <v>0</v>
      </c>
      <c r="N62" t="n">
        <v>0</v>
      </c>
      <c r="O62" t="n">
        <v>0</v>
      </c>
      <c r="P62" t="n">
        <v>0</v>
      </c>
      <c r="Q62" t="n">
        <v>0</v>
      </c>
      <c r="R62" s="2" t="inlineStr"/>
    </row>
    <row r="63" ht="15" customHeight="1">
      <c r="A63" t="inlineStr">
        <is>
          <t>A 25690-2019</t>
        </is>
      </c>
      <c r="B63" s="1" t="n">
        <v>43607</v>
      </c>
      <c r="C63" s="1" t="n">
        <v>45744</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26036-2019</t>
        </is>
      </c>
      <c r="B64" s="1" t="n">
        <v>43609</v>
      </c>
      <c r="C64" s="1" t="n">
        <v>45744</v>
      </c>
      <c r="D64" t="inlineStr">
        <is>
          <t>SKÅNE LÄN</t>
        </is>
      </c>
      <c r="E64" t="inlineStr">
        <is>
          <t>HÄSSLEHOLM</t>
        </is>
      </c>
      <c r="G64" t="n">
        <v>3.6</v>
      </c>
      <c r="H64" t="n">
        <v>0</v>
      </c>
      <c r="I64" t="n">
        <v>0</v>
      </c>
      <c r="J64" t="n">
        <v>0</v>
      </c>
      <c r="K64" t="n">
        <v>0</v>
      </c>
      <c r="L64" t="n">
        <v>0</v>
      </c>
      <c r="M64" t="n">
        <v>0</v>
      </c>
      <c r="N64" t="n">
        <v>0</v>
      </c>
      <c r="O64" t="n">
        <v>0</v>
      </c>
      <c r="P64" t="n">
        <v>0</v>
      </c>
      <c r="Q64" t="n">
        <v>0</v>
      </c>
      <c r="R64" s="2" t="inlineStr"/>
    </row>
    <row r="65" ht="15" customHeight="1">
      <c r="A65" t="inlineStr">
        <is>
          <t>A 26037-2019</t>
        </is>
      </c>
      <c r="B65" s="1" t="n">
        <v>43609</v>
      </c>
      <c r="C65" s="1" t="n">
        <v>45744</v>
      </c>
      <c r="D65" t="inlineStr">
        <is>
          <t>SKÅNE LÄN</t>
        </is>
      </c>
      <c r="E65" t="inlineStr">
        <is>
          <t>HÄSSLEHOLM</t>
        </is>
      </c>
      <c r="G65" t="n">
        <v>4.4</v>
      </c>
      <c r="H65" t="n">
        <v>0</v>
      </c>
      <c r="I65" t="n">
        <v>0</v>
      </c>
      <c r="J65" t="n">
        <v>0</v>
      </c>
      <c r="K65" t="n">
        <v>0</v>
      </c>
      <c r="L65" t="n">
        <v>0</v>
      </c>
      <c r="M65" t="n">
        <v>0</v>
      </c>
      <c r="N65" t="n">
        <v>0</v>
      </c>
      <c r="O65" t="n">
        <v>0</v>
      </c>
      <c r="P65" t="n">
        <v>0</v>
      </c>
      <c r="Q65" t="n">
        <v>0</v>
      </c>
      <c r="R65" s="2" t="inlineStr"/>
    </row>
    <row r="66" ht="15" customHeight="1">
      <c r="A66" t="inlineStr">
        <is>
          <t>A 26268-2019</t>
        </is>
      </c>
      <c r="B66" s="1" t="n">
        <v>43611</v>
      </c>
      <c r="C66" s="1" t="n">
        <v>45744</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26325-2019</t>
        </is>
      </c>
      <c r="B67" s="1" t="n">
        <v>43612</v>
      </c>
      <c r="C67" s="1" t="n">
        <v>45744</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26701-2019</t>
        </is>
      </c>
      <c r="B68" s="1" t="n">
        <v>43613</v>
      </c>
      <c r="C68" s="1" t="n">
        <v>45744</v>
      </c>
      <c r="D68" t="inlineStr">
        <is>
          <t>SKÅNE LÄN</t>
        </is>
      </c>
      <c r="E68" t="inlineStr">
        <is>
          <t>HÄSSLEHOLM</t>
        </is>
      </c>
      <c r="G68" t="n">
        <v>0.7</v>
      </c>
      <c r="H68" t="n">
        <v>0</v>
      </c>
      <c r="I68" t="n">
        <v>0</v>
      </c>
      <c r="J68" t="n">
        <v>0</v>
      </c>
      <c r="K68" t="n">
        <v>0</v>
      </c>
      <c r="L68" t="n">
        <v>0</v>
      </c>
      <c r="M68" t="n">
        <v>0</v>
      </c>
      <c r="N68" t="n">
        <v>0</v>
      </c>
      <c r="O68" t="n">
        <v>0</v>
      </c>
      <c r="P68" t="n">
        <v>0</v>
      </c>
      <c r="Q68" t="n">
        <v>0</v>
      </c>
      <c r="R68" s="2" t="inlineStr"/>
    </row>
    <row r="69" ht="15" customHeight="1">
      <c r="A69" t="inlineStr">
        <is>
          <t>A 26938-2019</t>
        </is>
      </c>
      <c r="B69" s="1" t="n">
        <v>43613</v>
      </c>
      <c r="C69" s="1" t="n">
        <v>45744</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26940-2019</t>
        </is>
      </c>
      <c r="B70" s="1" t="n">
        <v>43613</v>
      </c>
      <c r="C70" s="1" t="n">
        <v>45744</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26939-2019</t>
        </is>
      </c>
      <c r="B71" s="1" t="n">
        <v>43613</v>
      </c>
      <c r="C71" s="1" t="n">
        <v>45744</v>
      </c>
      <c r="D71" t="inlineStr">
        <is>
          <t>SKÅNE LÄN</t>
        </is>
      </c>
      <c r="E71" t="inlineStr">
        <is>
          <t>HÄSSLEHOLM</t>
        </is>
      </c>
      <c r="G71" t="n">
        <v>1.7</v>
      </c>
      <c r="H71" t="n">
        <v>0</v>
      </c>
      <c r="I71" t="n">
        <v>0</v>
      </c>
      <c r="J71" t="n">
        <v>0</v>
      </c>
      <c r="K71" t="n">
        <v>0</v>
      </c>
      <c r="L71" t="n">
        <v>0</v>
      </c>
      <c r="M71" t="n">
        <v>0</v>
      </c>
      <c r="N71" t="n">
        <v>0</v>
      </c>
      <c r="O71" t="n">
        <v>0</v>
      </c>
      <c r="P71" t="n">
        <v>0</v>
      </c>
      <c r="Q71" t="n">
        <v>0</v>
      </c>
      <c r="R71" s="2" t="inlineStr"/>
    </row>
    <row r="72" ht="15" customHeight="1">
      <c r="A72" t="inlineStr">
        <is>
          <t>A 28620-2019</t>
        </is>
      </c>
      <c r="B72" s="1" t="n">
        <v>43613</v>
      </c>
      <c r="C72" s="1" t="n">
        <v>45744</v>
      </c>
      <c r="D72" t="inlineStr">
        <is>
          <t>SKÅNE LÄN</t>
        </is>
      </c>
      <c r="E72" t="inlineStr">
        <is>
          <t>HÄSSLEHOLM</t>
        </is>
      </c>
      <c r="G72" t="n">
        <v>2.8</v>
      </c>
      <c r="H72" t="n">
        <v>0</v>
      </c>
      <c r="I72" t="n">
        <v>0</v>
      </c>
      <c r="J72" t="n">
        <v>0</v>
      </c>
      <c r="K72" t="n">
        <v>0</v>
      </c>
      <c r="L72" t="n">
        <v>0</v>
      </c>
      <c r="M72" t="n">
        <v>0</v>
      </c>
      <c r="N72" t="n">
        <v>0</v>
      </c>
      <c r="O72" t="n">
        <v>0</v>
      </c>
      <c r="P72" t="n">
        <v>0</v>
      </c>
      <c r="Q72" t="n">
        <v>0</v>
      </c>
      <c r="R72" s="2" t="inlineStr"/>
    </row>
    <row r="73" ht="15" customHeight="1">
      <c r="A73" t="inlineStr">
        <is>
          <t>A 27624-2019</t>
        </is>
      </c>
      <c r="B73" s="1" t="n">
        <v>43619</v>
      </c>
      <c r="C73" s="1" t="n">
        <v>45744</v>
      </c>
      <c r="D73" t="inlineStr">
        <is>
          <t>SKÅNE LÄN</t>
        </is>
      </c>
      <c r="E73" t="inlineStr">
        <is>
          <t>HÄSSLEHOLM</t>
        </is>
      </c>
      <c r="F73" t="inlineStr">
        <is>
          <t>Kyrkan</t>
        </is>
      </c>
      <c r="G73" t="n">
        <v>5.3</v>
      </c>
      <c r="H73" t="n">
        <v>0</v>
      </c>
      <c r="I73" t="n">
        <v>0</v>
      </c>
      <c r="J73" t="n">
        <v>0</v>
      </c>
      <c r="K73" t="n">
        <v>0</v>
      </c>
      <c r="L73" t="n">
        <v>0</v>
      </c>
      <c r="M73" t="n">
        <v>0</v>
      </c>
      <c r="N73" t="n">
        <v>0</v>
      </c>
      <c r="O73" t="n">
        <v>0</v>
      </c>
      <c r="P73" t="n">
        <v>0</v>
      </c>
      <c r="Q73" t="n">
        <v>0</v>
      </c>
      <c r="R73" s="2" t="inlineStr"/>
    </row>
    <row r="74" ht="15" customHeight="1">
      <c r="A74" t="inlineStr">
        <is>
          <t>A 27824-2019</t>
        </is>
      </c>
      <c r="B74" s="1" t="n">
        <v>43620</v>
      </c>
      <c r="C74" s="1" t="n">
        <v>45744</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28105-2019</t>
        </is>
      </c>
      <c r="B75" s="1" t="n">
        <v>43621</v>
      </c>
      <c r="C75" s="1" t="n">
        <v>45744</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28111-2019</t>
        </is>
      </c>
      <c r="B76" s="1" t="n">
        <v>43621</v>
      </c>
      <c r="C76" s="1" t="n">
        <v>45744</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28410-2019</t>
        </is>
      </c>
      <c r="B77" s="1" t="n">
        <v>43626</v>
      </c>
      <c r="C77" s="1" t="n">
        <v>45744</v>
      </c>
      <c r="D77" t="inlineStr">
        <is>
          <t>SKÅNE LÄN</t>
        </is>
      </c>
      <c r="E77" t="inlineStr">
        <is>
          <t>HÄSSLEHOLM</t>
        </is>
      </c>
      <c r="G77" t="n">
        <v>2.5</v>
      </c>
      <c r="H77" t="n">
        <v>0</v>
      </c>
      <c r="I77" t="n">
        <v>0</v>
      </c>
      <c r="J77" t="n">
        <v>0</v>
      </c>
      <c r="K77" t="n">
        <v>0</v>
      </c>
      <c r="L77" t="n">
        <v>0</v>
      </c>
      <c r="M77" t="n">
        <v>0</v>
      </c>
      <c r="N77" t="n">
        <v>0</v>
      </c>
      <c r="O77" t="n">
        <v>0</v>
      </c>
      <c r="P77" t="n">
        <v>0</v>
      </c>
      <c r="Q77" t="n">
        <v>0</v>
      </c>
      <c r="R77" s="2" t="inlineStr"/>
    </row>
    <row r="78" ht="15" customHeight="1">
      <c r="A78" t="inlineStr">
        <is>
          <t>A 28413-2019</t>
        </is>
      </c>
      <c r="B78" s="1" t="n">
        <v>43626</v>
      </c>
      <c r="C78" s="1" t="n">
        <v>45744</v>
      </c>
      <c r="D78" t="inlineStr">
        <is>
          <t>SKÅNE LÄN</t>
        </is>
      </c>
      <c r="E78" t="inlineStr">
        <is>
          <t>HÄSSLEHOLM</t>
        </is>
      </c>
      <c r="G78" t="n">
        <v>2.4</v>
      </c>
      <c r="H78" t="n">
        <v>0</v>
      </c>
      <c r="I78" t="n">
        <v>0</v>
      </c>
      <c r="J78" t="n">
        <v>0</v>
      </c>
      <c r="K78" t="n">
        <v>0</v>
      </c>
      <c r="L78" t="n">
        <v>0</v>
      </c>
      <c r="M78" t="n">
        <v>0</v>
      </c>
      <c r="N78" t="n">
        <v>0</v>
      </c>
      <c r="O78" t="n">
        <v>0</v>
      </c>
      <c r="P78" t="n">
        <v>0</v>
      </c>
      <c r="Q78" t="n">
        <v>0</v>
      </c>
      <c r="R78" s="2" t="inlineStr"/>
    </row>
    <row r="79" ht="15" customHeight="1">
      <c r="A79" t="inlineStr">
        <is>
          <t>A 29042-2019</t>
        </is>
      </c>
      <c r="B79" s="1" t="n">
        <v>43628</v>
      </c>
      <c r="C79" s="1" t="n">
        <v>45744</v>
      </c>
      <c r="D79" t="inlineStr">
        <is>
          <t>SKÅNE LÄN</t>
        </is>
      </c>
      <c r="E79" t="inlineStr">
        <is>
          <t>HÄSSLEHOLM</t>
        </is>
      </c>
      <c r="G79" t="n">
        <v>2.6</v>
      </c>
      <c r="H79" t="n">
        <v>0</v>
      </c>
      <c r="I79" t="n">
        <v>0</v>
      </c>
      <c r="J79" t="n">
        <v>0</v>
      </c>
      <c r="K79" t="n">
        <v>0</v>
      </c>
      <c r="L79" t="n">
        <v>0</v>
      </c>
      <c r="M79" t="n">
        <v>0</v>
      </c>
      <c r="N79" t="n">
        <v>0</v>
      </c>
      <c r="O79" t="n">
        <v>0</v>
      </c>
      <c r="P79" t="n">
        <v>0</v>
      </c>
      <c r="Q79" t="n">
        <v>0</v>
      </c>
      <c r="R79" s="2" t="inlineStr"/>
    </row>
    <row r="80" ht="15" customHeight="1">
      <c r="A80" t="inlineStr">
        <is>
          <t>A 29766-2019</t>
        </is>
      </c>
      <c r="B80" s="1" t="n">
        <v>43632</v>
      </c>
      <c r="C80" s="1" t="n">
        <v>45744</v>
      </c>
      <c r="D80" t="inlineStr">
        <is>
          <t>SKÅNE LÄN</t>
        </is>
      </c>
      <c r="E80" t="inlineStr">
        <is>
          <t>HÄSSLEHOLM</t>
        </is>
      </c>
      <c r="G80" t="n">
        <v>4.9</v>
      </c>
      <c r="H80" t="n">
        <v>0</v>
      </c>
      <c r="I80" t="n">
        <v>0</v>
      </c>
      <c r="J80" t="n">
        <v>0</v>
      </c>
      <c r="K80" t="n">
        <v>0</v>
      </c>
      <c r="L80" t="n">
        <v>0</v>
      </c>
      <c r="M80" t="n">
        <v>0</v>
      </c>
      <c r="N80" t="n">
        <v>0</v>
      </c>
      <c r="O80" t="n">
        <v>0</v>
      </c>
      <c r="P80" t="n">
        <v>0</v>
      </c>
      <c r="Q80" t="n">
        <v>0</v>
      </c>
      <c r="R80" s="2" t="inlineStr"/>
    </row>
    <row r="81" ht="15" customHeight="1">
      <c r="A81" t="inlineStr">
        <is>
          <t>A 30059-2019</t>
        </is>
      </c>
      <c r="B81" s="1" t="n">
        <v>43633</v>
      </c>
      <c r="C81" s="1" t="n">
        <v>45744</v>
      </c>
      <c r="D81" t="inlineStr">
        <is>
          <t>SKÅNE LÄN</t>
        </is>
      </c>
      <c r="E81" t="inlineStr">
        <is>
          <t>HÄSSLEHOLM</t>
        </is>
      </c>
      <c r="G81" t="n">
        <v>3.5</v>
      </c>
      <c r="H81" t="n">
        <v>0</v>
      </c>
      <c r="I81" t="n">
        <v>0</v>
      </c>
      <c r="J81" t="n">
        <v>0</v>
      </c>
      <c r="K81" t="n">
        <v>0</v>
      </c>
      <c r="L81" t="n">
        <v>0</v>
      </c>
      <c r="M81" t="n">
        <v>0</v>
      </c>
      <c r="N81" t="n">
        <v>0</v>
      </c>
      <c r="O81" t="n">
        <v>0</v>
      </c>
      <c r="P81" t="n">
        <v>0</v>
      </c>
      <c r="Q81" t="n">
        <v>0</v>
      </c>
      <c r="R81" s="2" t="inlineStr"/>
    </row>
    <row r="82" ht="15" customHeight="1">
      <c r="A82" t="inlineStr">
        <is>
          <t>A 31760-2019</t>
        </is>
      </c>
      <c r="B82" s="1" t="n">
        <v>43642</v>
      </c>
      <c r="C82" s="1" t="n">
        <v>45744</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31936-2019</t>
        </is>
      </c>
      <c r="B83" s="1" t="n">
        <v>43642</v>
      </c>
      <c r="C83" s="1" t="n">
        <v>45744</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32714-2019</t>
        </is>
      </c>
      <c r="B84" s="1" t="n">
        <v>43647</v>
      </c>
      <c r="C84" s="1" t="n">
        <v>45744</v>
      </c>
      <c r="D84" t="inlineStr">
        <is>
          <t>SKÅNE LÄN</t>
        </is>
      </c>
      <c r="E84" t="inlineStr">
        <is>
          <t>HÄSSLEHOLM</t>
        </is>
      </c>
      <c r="G84" t="n">
        <v>8.4</v>
      </c>
      <c r="H84" t="n">
        <v>0</v>
      </c>
      <c r="I84" t="n">
        <v>0</v>
      </c>
      <c r="J84" t="n">
        <v>0</v>
      </c>
      <c r="K84" t="n">
        <v>0</v>
      </c>
      <c r="L84" t="n">
        <v>0</v>
      </c>
      <c r="M84" t="n">
        <v>0</v>
      </c>
      <c r="N84" t="n">
        <v>0</v>
      </c>
      <c r="O84" t="n">
        <v>0</v>
      </c>
      <c r="P84" t="n">
        <v>0</v>
      </c>
      <c r="Q84" t="n">
        <v>0</v>
      </c>
      <c r="R84" s="2" t="inlineStr"/>
    </row>
    <row r="85" ht="15" customHeight="1">
      <c r="A85" t="inlineStr">
        <is>
          <t>A 34714-2019</t>
        </is>
      </c>
      <c r="B85" s="1" t="n">
        <v>43648</v>
      </c>
      <c r="C85" s="1" t="n">
        <v>45744</v>
      </c>
      <c r="D85" t="inlineStr">
        <is>
          <t>SKÅNE LÄN</t>
        </is>
      </c>
      <c r="E85" t="inlineStr">
        <is>
          <t>HÄSSLEHOLM</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34711-2019</t>
        </is>
      </c>
      <c r="B86" s="1" t="n">
        <v>43648</v>
      </c>
      <c r="C86" s="1" t="n">
        <v>45744</v>
      </c>
      <c r="D86" t="inlineStr">
        <is>
          <t>SKÅNE LÄN</t>
        </is>
      </c>
      <c r="E86" t="inlineStr">
        <is>
          <t>HÄSSLEHOLM</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32999-2019</t>
        </is>
      </c>
      <c r="B87" s="1" t="n">
        <v>43649</v>
      </c>
      <c r="C87" s="1" t="n">
        <v>45744</v>
      </c>
      <c r="D87" t="inlineStr">
        <is>
          <t>SKÅNE LÄN</t>
        </is>
      </c>
      <c r="E87" t="inlineStr">
        <is>
          <t>HÄSSLEHOLM</t>
        </is>
      </c>
      <c r="G87" t="n">
        <v>0.7</v>
      </c>
      <c r="H87" t="n">
        <v>0</v>
      </c>
      <c r="I87" t="n">
        <v>0</v>
      </c>
      <c r="J87" t="n">
        <v>0</v>
      </c>
      <c r="K87" t="n">
        <v>0</v>
      </c>
      <c r="L87" t="n">
        <v>0</v>
      </c>
      <c r="M87" t="n">
        <v>0</v>
      </c>
      <c r="N87" t="n">
        <v>0</v>
      </c>
      <c r="O87" t="n">
        <v>0</v>
      </c>
      <c r="P87" t="n">
        <v>0</v>
      </c>
      <c r="Q87" t="n">
        <v>0</v>
      </c>
      <c r="R87" s="2" t="inlineStr"/>
    </row>
    <row r="88" ht="15" customHeight="1">
      <c r="A88" t="inlineStr">
        <is>
          <t>A 32998-2019</t>
        </is>
      </c>
      <c r="B88" s="1" t="n">
        <v>43649</v>
      </c>
      <c r="C88" s="1" t="n">
        <v>45744</v>
      </c>
      <c r="D88" t="inlineStr">
        <is>
          <t>SKÅNE LÄN</t>
        </is>
      </c>
      <c r="E88" t="inlineStr">
        <is>
          <t>HÄSSLEHOLM</t>
        </is>
      </c>
      <c r="G88" t="n">
        <v>3.7</v>
      </c>
      <c r="H88" t="n">
        <v>0</v>
      </c>
      <c r="I88" t="n">
        <v>0</v>
      </c>
      <c r="J88" t="n">
        <v>0</v>
      </c>
      <c r="K88" t="n">
        <v>0</v>
      </c>
      <c r="L88" t="n">
        <v>0</v>
      </c>
      <c r="M88" t="n">
        <v>0</v>
      </c>
      <c r="N88" t="n">
        <v>0</v>
      </c>
      <c r="O88" t="n">
        <v>0</v>
      </c>
      <c r="P88" t="n">
        <v>0</v>
      </c>
      <c r="Q88" t="n">
        <v>0</v>
      </c>
      <c r="R88" s="2" t="inlineStr"/>
    </row>
    <row r="89" ht="15" customHeight="1">
      <c r="A89" t="inlineStr">
        <is>
          <t>A 33258-2019</t>
        </is>
      </c>
      <c r="B89" s="1" t="n">
        <v>43650</v>
      </c>
      <c r="C89" s="1" t="n">
        <v>45744</v>
      </c>
      <c r="D89" t="inlineStr">
        <is>
          <t>SKÅNE LÄN</t>
        </is>
      </c>
      <c r="E89" t="inlineStr">
        <is>
          <t>HÄSSLEHOLM</t>
        </is>
      </c>
      <c r="G89" t="n">
        <v>2</v>
      </c>
      <c r="H89" t="n">
        <v>0</v>
      </c>
      <c r="I89" t="n">
        <v>0</v>
      </c>
      <c r="J89" t="n">
        <v>0</v>
      </c>
      <c r="K89" t="n">
        <v>0</v>
      </c>
      <c r="L89" t="n">
        <v>0</v>
      </c>
      <c r="M89" t="n">
        <v>0</v>
      </c>
      <c r="N89" t="n">
        <v>0</v>
      </c>
      <c r="O89" t="n">
        <v>0</v>
      </c>
      <c r="P89" t="n">
        <v>0</v>
      </c>
      <c r="Q89" t="n">
        <v>0</v>
      </c>
      <c r="R89" s="2" t="inlineStr"/>
    </row>
    <row r="90" ht="15" customHeight="1">
      <c r="A90" t="inlineStr">
        <is>
          <t>A 33344-2019</t>
        </is>
      </c>
      <c r="B90" s="1" t="n">
        <v>43650</v>
      </c>
      <c r="C90" s="1" t="n">
        <v>45744</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33693-2019</t>
        </is>
      </c>
      <c r="B91" s="1" t="n">
        <v>43651</v>
      </c>
      <c r="C91" s="1" t="n">
        <v>45744</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33522-2019</t>
        </is>
      </c>
      <c r="B92" s="1" t="n">
        <v>43651</v>
      </c>
      <c r="C92" s="1" t="n">
        <v>45744</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33691-2019</t>
        </is>
      </c>
      <c r="B93" s="1" t="n">
        <v>43651</v>
      </c>
      <c r="C93" s="1" t="n">
        <v>45744</v>
      </c>
      <c r="D93" t="inlineStr">
        <is>
          <t>SKÅNE LÄN</t>
        </is>
      </c>
      <c r="E93" t="inlineStr">
        <is>
          <t>HÄSSLEHOLM</t>
        </is>
      </c>
      <c r="G93" t="n">
        <v>8</v>
      </c>
      <c r="H93" t="n">
        <v>0</v>
      </c>
      <c r="I93" t="n">
        <v>0</v>
      </c>
      <c r="J93" t="n">
        <v>0</v>
      </c>
      <c r="K93" t="n">
        <v>0</v>
      </c>
      <c r="L93" t="n">
        <v>0</v>
      </c>
      <c r="M93" t="n">
        <v>0</v>
      </c>
      <c r="N93" t="n">
        <v>0</v>
      </c>
      <c r="O93" t="n">
        <v>0</v>
      </c>
      <c r="P93" t="n">
        <v>0</v>
      </c>
      <c r="Q93" t="n">
        <v>0</v>
      </c>
      <c r="R93" s="2" t="inlineStr"/>
    </row>
    <row r="94" ht="15" customHeight="1">
      <c r="A94" t="inlineStr">
        <is>
          <t>A 33526-2019</t>
        </is>
      </c>
      <c r="B94" s="1" t="n">
        <v>43651</v>
      </c>
      <c r="C94" s="1" t="n">
        <v>45744</v>
      </c>
      <c r="D94" t="inlineStr">
        <is>
          <t>SKÅNE LÄN</t>
        </is>
      </c>
      <c r="E94" t="inlineStr">
        <is>
          <t>HÄSSLEHOLM</t>
        </is>
      </c>
      <c r="G94" t="n">
        <v>0.9</v>
      </c>
      <c r="H94" t="n">
        <v>0</v>
      </c>
      <c r="I94" t="n">
        <v>0</v>
      </c>
      <c r="J94" t="n">
        <v>0</v>
      </c>
      <c r="K94" t="n">
        <v>0</v>
      </c>
      <c r="L94" t="n">
        <v>0</v>
      </c>
      <c r="M94" t="n">
        <v>0</v>
      </c>
      <c r="N94" t="n">
        <v>0</v>
      </c>
      <c r="O94" t="n">
        <v>0</v>
      </c>
      <c r="P94" t="n">
        <v>0</v>
      </c>
      <c r="Q94" t="n">
        <v>0</v>
      </c>
      <c r="R94" s="2" t="inlineStr"/>
    </row>
    <row r="95" ht="15" customHeight="1">
      <c r="A95" t="inlineStr">
        <is>
          <t>A 34073-2019</t>
        </is>
      </c>
      <c r="B95" s="1" t="n">
        <v>43654</v>
      </c>
      <c r="C95" s="1" t="n">
        <v>45744</v>
      </c>
      <c r="D95" t="inlineStr">
        <is>
          <t>SKÅNE LÄN</t>
        </is>
      </c>
      <c r="E95" t="inlineStr">
        <is>
          <t>HÄSSLEHOLM</t>
        </is>
      </c>
      <c r="G95" t="n">
        <v>1.1</v>
      </c>
      <c r="H95" t="n">
        <v>0</v>
      </c>
      <c r="I95" t="n">
        <v>0</v>
      </c>
      <c r="J95" t="n">
        <v>0</v>
      </c>
      <c r="K95" t="n">
        <v>0</v>
      </c>
      <c r="L95" t="n">
        <v>0</v>
      </c>
      <c r="M95" t="n">
        <v>0</v>
      </c>
      <c r="N95" t="n">
        <v>0</v>
      </c>
      <c r="O95" t="n">
        <v>0</v>
      </c>
      <c r="P95" t="n">
        <v>0</v>
      </c>
      <c r="Q95" t="n">
        <v>0</v>
      </c>
      <c r="R95" s="2" t="inlineStr"/>
    </row>
    <row r="96" ht="15" customHeight="1">
      <c r="A96" t="inlineStr">
        <is>
          <t>A 34140-2019</t>
        </is>
      </c>
      <c r="B96" s="1" t="n">
        <v>43654</v>
      </c>
      <c r="C96" s="1" t="n">
        <v>45744</v>
      </c>
      <c r="D96" t="inlineStr">
        <is>
          <t>SKÅNE LÄN</t>
        </is>
      </c>
      <c r="E96" t="inlineStr">
        <is>
          <t>HÄSSLEHOLM</t>
        </is>
      </c>
      <c r="G96" t="n">
        <v>2.8</v>
      </c>
      <c r="H96" t="n">
        <v>0</v>
      </c>
      <c r="I96" t="n">
        <v>0</v>
      </c>
      <c r="J96" t="n">
        <v>0</v>
      </c>
      <c r="K96" t="n">
        <v>0</v>
      </c>
      <c r="L96" t="n">
        <v>0</v>
      </c>
      <c r="M96" t="n">
        <v>0</v>
      </c>
      <c r="N96" t="n">
        <v>0</v>
      </c>
      <c r="O96" t="n">
        <v>0</v>
      </c>
      <c r="P96" t="n">
        <v>0</v>
      </c>
      <c r="Q96" t="n">
        <v>0</v>
      </c>
      <c r="R96" s="2" t="inlineStr"/>
    </row>
    <row r="97" ht="15" customHeight="1">
      <c r="A97" t="inlineStr">
        <is>
          <t>A 34069-2019</t>
        </is>
      </c>
      <c r="B97" s="1" t="n">
        <v>43654</v>
      </c>
      <c r="C97" s="1" t="n">
        <v>45744</v>
      </c>
      <c r="D97" t="inlineStr">
        <is>
          <t>SKÅNE LÄN</t>
        </is>
      </c>
      <c r="E97" t="inlineStr">
        <is>
          <t>HÄSSLEHOLM</t>
        </is>
      </c>
      <c r="G97" t="n">
        <v>3.3</v>
      </c>
      <c r="H97" t="n">
        <v>0</v>
      </c>
      <c r="I97" t="n">
        <v>0</v>
      </c>
      <c r="J97" t="n">
        <v>0</v>
      </c>
      <c r="K97" t="n">
        <v>0</v>
      </c>
      <c r="L97" t="n">
        <v>0</v>
      </c>
      <c r="M97" t="n">
        <v>0</v>
      </c>
      <c r="N97" t="n">
        <v>0</v>
      </c>
      <c r="O97" t="n">
        <v>0</v>
      </c>
      <c r="P97" t="n">
        <v>0</v>
      </c>
      <c r="Q97" t="n">
        <v>0</v>
      </c>
      <c r="R97" s="2" t="inlineStr"/>
    </row>
    <row r="98" ht="15" customHeight="1">
      <c r="A98" t="inlineStr">
        <is>
          <t>A 34072-2019</t>
        </is>
      </c>
      <c r="B98" s="1" t="n">
        <v>43654</v>
      </c>
      <c r="C98" s="1" t="n">
        <v>45744</v>
      </c>
      <c r="D98" t="inlineStr">
        <is>
          <t>SKÅNE LÄN</t>
        </is>
      </c>
      <c r="E98" t="inlineStr">
        <is>
          <t>HÄSSLEHOLM</t>
        </is>
      </c>
      <c r="G98" t="n">
        <v>4</v>
      </c>
      <c r="H98" t="n">
        <v>0</v>
      </c>
      <c r="I98" t="n">
        <v>0</v>
      </c>
      <c r="J98" t="n">
        <v>0</v>
      </c>
      <c r="K98" t="n">
        <v>0</v>
      </c>
      <c r="L98" t="n">
        <v>0</v>
      </c>
      <c r="M98" t="n">
        <v>0</v>
      </c>
      <c r="N98" t="n">
        <v>0</v>
      </c>
      <c r="O98" t="n">
        <v>0</v>
      </c>
      <c r="P98" t="n">
        <v>0</v>
      </c>
      <c r="Q98" t="n">
        <v>0</v>
      </c>
      <c r="R98" s="2" t="inlineStr"/>
    </row>
    <row r="99" ht="15" customHeight="1">
      <c r="A99" t="inlineStr">
        <is>
          <t>A 36240-2019</t>
        </is>
      </c>
      <c r="B99" s="1" t="n">
        <v>43659</v>
      </c>
      <c r="C99" s="1" t="n">
        <v>45744</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36238-2019</t>
        </is>
      </c>
      <c r="B100" s="1" t="n">
        <v>43659</v>
      </c>
      <c r="C100" s="1" t="n">
        <v>45744</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36553-2019</t>
        </is>
      </c>
      <c r="B101" s="1" t="n">
        <v>43668</v>
      </c>
      <c r="C101" s="1" t="n">
        <v>45744</v>
      </c>
      <c r="D101" t="inlineStr">
        <is>
          <t>SKÅNE LÄN</t>
        </is>
      </c>
      <c r="E101" t="inlineStr">
        <is>
          <t>HÄSSLEHOLM</t>
        </is>
      </c>
      <c r="G101" t="n">
        <v>2.6</v>
      </c>
      <c r="H101" t="n">
        <v>0</v>
      </c>
      <c r="I101" t="n">
        <v>0</v>
      </c>
      <c r="J101" t="n">
        <v>0</v>
      </c>
      <c r="K101" t="n">
        <v>0</v>
      </c>
      <c r="L101" t="n">
        <v>0</v>
      </c>
      <c r="M101" t="n">
        <v>0</v>
      </c>
      <c r="N101" t="n">
        <v>0</v>
      </c>
      <c r="O101" t="n">
        <v>0</v>
      </c>
      <c r="P101" t="n">
        <v>0</v>
      </c>
      <c r="Q101" t="n">
        <v>0</v>
      </c>
      <c r="R101" s="2" t="inlineStr"/>
    </row>
    <row r="102" ht="15" customHeight="1">
      <c r="A102" t="inlineStr">
        <is>
          <t>A 36550-2019</t>
        </is>
      </c>
      <c r="B102" s="1" t="n">
        <v>43668</v>
      </c>
      <c r="C102" s="1" t="n">
        <v>45744</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37540-2019</t>
        </is>
      </c>
      <c r="B103" s="1" t="n">
        <v>43678</v>
      </c>
      <c r="C103" s="1" t="n">
        <v>45744</v>
      </c>
      <c r="D103" t="inlineStr">
        <is>
          <t>SKÅNE LÄN</t>
        </is>
      </c>
      <c r="E103" t="inlineStr">
        <is>
          <t>HÄSSLEHOLM</t>
        </is>
      </c>
      <c r="G103" t="n">
        <v>7.9</v>
      </c>
      <c r="H103" t="n">
        <v>0</v>
      </c>
      <c r="I103" t="n">
        <v>0</v>
      </c>
      <c r="J103" t="n">
        <v>0</v>
      </c>
      <c r="K103" t="n">
        <v>0</v>
      </c>
      <c r="L103" t="n">
        <v>0</v>
      </c>
      <c r="M103" t="n">
        <v>0</v>
      </c>
      <c r="N103" t="n">
        <v>0</v>
      </c>
      <c r="O103" t="n">
        <v>0</v>
      </c>
      <c r="P103" t="n">
        <v>0</v>
      </c>
      <c r="Q103" t="n">
        <v>0</v>
      </c>
      <c r="R103" s="2" t="inlineStr"/>
    </row>
    <row r="104" ht="15" customHeight="1">
      <c r="A104" t="inlineStr">
        <is>
          <t>A 37761-2019</t>
        </is>
      </c>
      <c r="B104" s="1" t="n">
        <v>43682</v>
      </c>
      <c r="C104" s="1" t="n">
        <v>45744</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37765-2019</t>
        </is>
      </c>
      <c r="B105" s="1" t="n">
        <v>43682</v>
      </c>
      <c r="C105" s="1" t="n">
        <v>45744</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38673-2019</t>
        </is>
      </c>
      <c r="B106" s="1" t="n">
        <v>43686</v>
      </c>
      <c r="C106" s="1" t="n">
        <v>45744</v>
      </c>
      <c r="D106" t="inlineStr">
        <is>
          <t>SKÅNE LÄN</t>
        </is>
      </c>
      <c r="E106" t="inlineStr">
        <is>
          <t>HÄSSLEHOLM</t>
        </is>
      </c>
      <c r="G106" t="n">
        <v>0.9</v>
      </c>
      <c r="H106" t="n">
        <v>0</v>
      </c>
      <c r="I106" t="n">
        <v>0</v>
      </c>
      <c r="J106" t="n">
        <v>0</v>
      </c>
      <c r="K106" t="n">
        <v>0</v>
      </c>
      <c r="L106" t="n">
        <v>0</v>
      </c>
      <c r="M106" t="n">
        <v>0</v>
      </c>
      <c r="N106" t="n">
        <v>0</v>
      </c>
      <c r="O106" t="n">
        <v>0</v>
      </c>
      <c r="P106" t="n">
        <v>0</v>
      </c>
      <c r="Q106" t="n">
        <v>0</v>
      </c>
      <c r="R106" s="2" t="inlineStr"/>
    </row>
    <row r="107" ht="15" customHeight="1">
      <c r="A107" t="inlineStr">
        <is>
          <t>A 38805-2019</t>
        </is>
      </c>
      <c r="B107" s="1" t="n">
        <v>43688</v>
      </c>
      <c r="C107" s="1" t="n">
        <v>45744</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38806-2019</t>
        </is>
      </c>
      <c r="B108" s="1" t="n">
        <v>43688</v>
      </c>
      <c r="C108" s="1" t="n">
        <v>45744</v>
      </c>
      <c r="D108" t="inlineStr">
        <is>
          <t>SKÅNE LÄN</t>
        </is>
      </c>
      <c r="E108" t="inlineStr">
        <is>
          <t>HÄSSLEHOLM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38808-2019</t>
        </is>
      </c>
      <c r="B109" s="1" t="n">
        <v>43688</v>
      </c>
      <c r="C109" s="1" t="n">
        <v>45744</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39502-2019</t>
        </is>
      </c>
      <c r="B110" s="1" t="n">
        <v>43691</v>
      </c>
      <c r="C110" s="1" t="n">
        <v>45744</v>
      </c>
      <c r="D110" t="inlineStr">
        <is>
          <t>SKÅNE LÄN</t>
        </is>
      </c>
      <c r="E110" t="inlineStr">
        <is>
          <t>HÄSSLEHOLM</t>
        </is>
      </c>
      <c r="G110" t="n">
        <v>3.8</v>
      </c>
      <c r="H110" t="n">
        <v>0</v>
      </c>
      <c r="I110" t="n">
        <v>0</v>
      </c>
      <c r="J110" t="n">
        <v>0</v>
      </c>
      <c r="K110" t="n">
        <v>0</v>
      </c>
      <c r="L110" t="n">
        <v>0</v>
      </c>
      <c r="M110" t="n">
        <v>0</v>
      </c>
      <c r="N110" t="n">
        <v>0</v>
      </c>
      <c r="O110" t="n">
        <v>0</v>
      </c>
      <c r="P110" t="n">
        <v>0</v>
      </c>
      <c r="Q110" t="n">
        <v>0</v>
      </c>
      <c r="R110" s="2" t="inlineStr"/>
    </row>
    <row r="111" ht="15" customHeight="1">
      <c r="A111" t="inlineStr">
        <is>
          <t>A 39507-2019</t>
        </is>
      </c>
      <c r="B111" s="1" t="n">
        <v>43691</v>
      </c>
      <c r="C111" s="1" t="n">
        <v>45744</v>
      </c>
      <c r="D111" t="inlineStr">
        <is>
          <t>SKÅNE LÄN</t>
        </is>
      </c>
      <c r="E111" t="inlineStr">
        <is>
          <t>HÄSSLEHOLM</t>
        </is>
      </c>
      <c r="G111" t="n">
        <v>5.7</v>
      </c>
      <c r="H111" t="n">
        <v>0</v>
      </c>
      <c r="I111" t="n">
        <v>0</v>
      </c>
      <c r="J111" t="n">
        <v>0</v>
      </c>
      <c r="K111" t="n">
        <v>0</v>
      </c>
      <c r="L111" t="n">
        <v>0</v>
      </c>
      <c r="M111" t="n">
        <v>0</v>
      </c>
      <c r="N111" t="n">
        <v>0</v>
      </c>
      <c r="O111" t="n">
        <v>0</v>
      </c>
      <c r="P111" t="n">
        <v>0</v>
      </c>
      <c r="Q111" t="n">
        <v>0</v>
      </c>
      <c r="R111" s="2" t="inlineStr"/>
    </row>
    <row r="112" ht="15" customHeight="1">
      <c r="A112" t="inlineStr">
        <is>
          <t>A 40262-2019</t>
        </is>
      </c>
      <c r="B112" s="1" t="n">
        <v>43695</v>
      </c>
      <c r="C112" s="1" t="n">
        <v>45744</v>
      </c>
      <c r="D112" t="inlineStr">
        <is>
          <t>SKÅNE LÄN</t>
        </is>
      </c>
      <c r="E112" t="inlineStr">
        <is>
          <t>HÄSSLEHOLM</t>
        </is>
      </c>
      <c r="G112" t="n">
        <v>1.3</v>
      </c>
      <c r="H112" t="n">
        <v>0</v>
      </c>
      <c r="I112" t="n">
        <v>0</v>
      </c>
      <c r="J112" t="n">
        <v>0</v>
      </c>
      <c r="K112" t="n">
        <v>0</v>
      </c>
      <c r="L112" t="n">
        <v>0</v>
      </c>
      <c r="M112" t="n">
        <v>0</v>
      </c>
      <c r="N112" t="n">
        <v>0</v>
      </c>
      <c r="O112" t="n">
        <v>0</v>
      </c>
      <c r="P112" t="n">
        <v>0</v>
      </c>
      <c r="Q112" t="n">
        <v>0</v>
      </c>
      <c r="R112" s="2" t="inlineStr"/>
    </row>
    <row r="113" ht="15" customHeight="1">
      <c r="A113" t="inlineStr">
        <is>
          <t>A 41485-2019</t>
        </is>
      </c>
      <c r="B113" s="1" t="n">
        <v>43696</v>
      </c>
      <c r="C113" s="1" t="n">
        <v>45744</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41068-2019</t>
        </is>
      </c>
      <c r="B114" s="1" t="n">
        <v>43698</v>
      </c>
      <c r="C114" s="1" t="n">
        <v>45744</v>
      </c>
      <c r="D114" t="inlineStr">
        <is>
          <t>SKÅNE LÄN</t>
        </is>
      </c>
      <c r="E114" t="inlineStr">
        <is>
          <t>HÄSSLEHOLM</t>
        </is>
      </c>
      <c r="G114" t="n">
        <v>3.7</v>
      </c>
      <c r="H114" t="n">
        <v>0</v>
      </c>
      <c r="I114" t="n">
        <v>0</v>
      </c>
      <c r="J114" t="n">
        <v>0</v>
      </c>
      <c r="K114" t="n">
        <v>0</v>
      </c>
      <c r="L114" t="n">
        <v>0</v>
      </c>
      <c r="M114" t="n">
        <v>0</v>
      </c>
      <c r="N114" t="n">
        <v>0</v>
      </c>
      <c r="O114" t="n">
        <v>0</v>
      </c>
      <c r="P114" t="n">
        <v>0</v>
      </c>
      <c r="Q114" t="n">
        <v>0</v>
      </c>
      <c r="R114" s="2" t="inlineStr"/>
    </row>
    <row r="115" ht="15" customHeight="1">
      <c r="A115" t="inlineStr">
        <is>
          <t>A 41439-2019</t>
        </is>
      </c>
      <c r="B115" s="1" t="n">
        <v>43698</v>
      </c>
      <c r="C115" s="1" t="n">
        <v>45744</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43674-2019</t>
        </is>
      </c>
      <c r="B116" s="1" t="n">
        <v>43704</v>
      </c>
      <c r="C116" s="1" t="n">
        <v>45744</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43547-2019</t>
        </is>
      </c>
      <c r="B117" s="1" t="n">
        <v>43706</v>
      </c>
      <c r="C117" s="1" t="n">
        <v>45744</v>
      </c>
      <c r="D117" t="inlineStr">
        <is>
          <t>SKÅNE LÄN</t>
        </is>
      </c>
      <c r="E117" t="inlineStr">
        <is>
          <t>HÄSSLEHOLM</t>
        </is>
      </c>
      <c r="G117" t="n">
        <v>1.7</v>
      </c>
      <c r="H117" t="n">
        <v>0</v>
      </c>
      <c r="I117" t="n">
        <v>0</v>
      </c>
      <c r="J117" t="n">
        <v>0</v>
      </c>
      <c r="K117" t="n">
        <v>0</v>
      </c>
      <c r="L117" t="n">
        <v>0</v>
      </c>
      <c r="M117" t="n">
        <v>0</v>
      </c>
      <c r="N117" t="n">
        <v>0</v>
      </c>
      <c r="O117" t="n">
        <v>0</v>
      </c>
      <c r="P117" t="n">
        <v>0</v>
      </c>
      <c r="Q117" t="n">
        <v>0</v>
      </c>
      <c r="R117" s="2" t="inlineStr"/>
    </row>
    <row r="118" ht="15" customHeight="1">
      <c r="A118" t="inlineStr">
        <is>
          <t>A 44032-2019</t>
        </is>
      </c>
      <c r="B118" s="1" t="n">
        <v>43710</v>
      </c>
      <c r="C118" s="1" t="n">
        <v>45744</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44255-2019</t>
        </is>
      </c>
      <c r="B119" s="1" t="n">
        <v>43710</v>
      </c>
      <c r="C119" s="1" t="n">
        <v>45744</v>
      </c>
      <c r="D119" t="inlineStr">
        <is>
          <t>SKÅNE LÄN</t>
        </is>
      </c>
      <c r="E119" t="inlineStr">
        <is>
          <t>HÄSSLEHOLM</t>
        </is>
      </c>
      <c r="G119" t="n">
        <v>4.3</v>
      </c>
      <c r="H119" t="n">
        <v>0</v>
      </c>
      <c r="I119" t="n">
        <v>0</v>
      </c>
      <c r="J119" t="n">
        <v>0</v>
      </c>
      <c r="K119" t="n">
        <v>0</v>
      </c>
      <c r="L119" t="n">
        <v>0</v>
      </c>
      <c r="M119" t="n">
        <v>0</v>
      </c>
      <c r="N119" t="n">
        <v>0</v>
      </c>
      <c r="O119" t="n">
        <v>0</v>
      </c>
      <c r="P119" t="n">
        <v>0</v>
      </c>
      <c r="Q119" t="n">
        <v>0</v>
      </c>
      <c r="R119" s="2" t="inlineStr"/>
    </row>
    <row r="120" ht="15" customHeight="1">
      <c r="A120" t="inlineStr">
        <is>
          <t>A 44256-2019</t>
        </is>
      </c>
      <c r="B120" s="1" t="n">
        <v>43710</v>
      </c>
      <c r="C120" s="1" t="n">
        <v>45744</v>
      </c>
      <c r="D120" t="inlineStr">
        <is>
          <t>SKÅNE LÄN</t>
        </is>
      </c>
      <c r="E120" t="inlineStr">
        <is>
          <t>HÄSSLEHOLM</t>
        </is>
      </c>
      <c r="G120" t="n">
        <v>5.3</v>
      </c>
      <c r="H120" t="n">
        <v>0</v>
      </c>
      <c r="I120" t="n">
        <v>0</v>
      </c>
      <c r="J120" t="n">
        <v>0</v>
      </c>
      <c r="K120" t="n">
        <v>0</v>
      </c>
      <c r="L120" t="n">
        <v>0</v>
      </c>
      <c r="M120" t="n">
        <v>0</v>
      </c>
      <c r="N120" t="n">
        <v>0</v>
      </c>
      <c r="O120" t="n">
        <v>0</v>
      </c>
      <c r="P120" t="n">
        <v>0</v>
      </c>
      <c r="Q120" t="n">
        <v>0</v>
      </c>
      <c r="R120" s="2" t="inlineStr"/>
    </row>
    <row r="121" ht="15" customHeight="1">
      <c r="A121" t="inlineStr">
        <is>
          <t>A 44546-2019</t>
        </is>
      </c>
      <c r="B121" s="1" t="n">
        <v>43711</v>
      </c>
      <c r="C121" s="1" t="n">
        <v>45744</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44543-2019</t>
        </is>
      </c>
      <c r="B122" s="1" t="n">
        <v>43711</v>
      </c>
      <c r="C122" s="1" t="n">
        <v>45744</v>
      </c>
      <c r="D122" t="inlineStr">
        <is>
          <t>SKÅNE LÄN</t>
        </is>
      </c>
      <c r="E122" t="inlineStr">
        <is>
          <t>HÄSSLEHOLM</t>
        </is>
      </c>
      <c r="G122" t="n">
        <v>2.1</v>
      </c>
      <c r="H122" t="n">
        <v>0</v>
      </c>
      <c r="I122" t="n">
        <v>0</v>
      </c>
      <c r="J122" t="n">
        <v>0</v>
      </c>
      <c r="K122" t="n">
        <v>0</v>
      </c>
      <c r="L122" t="n">
        <v>0</v>
      </c>
      <c r="M122" t="n">
        <v>0</v>
      </c>
      <c r="N122" t="n">
        <v>0</v>
      </c>
      <c r="O122" t="n">
        <v>0</v>
      </c>
      <c r="P122" t="n">
        <v>0</v>
      </c>
      <c r="Q122" t="n">
        <v>0</v>
      </c>
      <c r="R122" s="2" t="inlineStr"/>
    </row>
    <row r="123" ht="15" customHeight="1">
      <c r="A123" t="inlineStr">
        <is>
          <t>A 45811-2019</t>
        </is>
      </c>
      <c r="B123" s="1" t="n">
        <v>43711</v>
      </c>
      <c r="C123" s="1" t="n">
        <v>45744</v>
      </c>
      <c r="D123" t="inlineStr">
        <is>
          <t>SKÅNE LÄN</t>
        </is>
      </c>
      <c r="E123" t="inlineStr">
        <is>
          <t>HÄSSLEHOLM</t>
        </is>
      </c>
      <c r="G123" t="n">
        <v>2.4</v>
      </c>
      <c r="H123" t="n">
        <v>0</v>
      </c>
      <c r="I123" t="n">
        <v>0</v>
      </c>
      <c r="J123" t="n">
        <v>0</v>
      </c>
      <c r="K123" t="n">
        <v>0</v>
      </c>
      <c r="L123" t="n">
        <v>0</v>
      </c>
      <c r="M123" t="n">
        <v>0</v>
      </c>
      <c r="N123" t="n">
        <v>0</v>
      </c>
      <c r="O123" t="n">
        <v>0</v>
      </c>
      <c r="P123" t="n">
        <v>0</v>
      </c>
      <c r="Q123" t="n">
        <v>0</v>
      </c>
      <c r="R123" s="2" t="inlineStr"/>
    </row>
    <row r="124" ht="15" customHeight="1">
      <c r="A124" t="inlineStr">
        <is>
          <t>A 45843-2019</t>
        </is>
      </c>
      <c r="B124" s="1" t="n">
        <v>43711</v>
      </c>
      <c r="C124" s="1" t="n">
        <v>45744</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45238-2019</t>
        </is>
      </c>
      <c r="B125" s="1" t="n">
        <v>43713</v>
      </c>
      <c r="C125" s="1" t="n">
        <v>45744</v>
      </c>
      <c r="D125" t="inlineStr">
        <is>
          <t>SKÅNE LÄN</t>
        </is>
      </c>
      <c r="E125" t="inlineStr">
        <is>
          <t>HÄSSLEHOLM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45836-2019</t>
        </is>
      </c>
      <c r="B126" s="1" t="n">
        <v>43717</v>
      </c>
      <c r="C126" s="1" t="n">
        <v>45744</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45831-2019</t>
        </is>
      </c>
      <c r="B127" s="1" t="n">
        <v>43717</v>
      </c>
      <c r="C127" s="1" t="n">
        <v>45744</v>
      </c>
      <c r="D127" t="inlineStr">
        <is>
          <t>SKÅNE LÄN</t>
        </is>
      </c>
      <c r="E127" t="inlineStr">
        <is>
          <t>HÄSSLEHOLM</t>
        </is>
      </c>
      <c r="G127" t="n">
        <v>1.8</v>
      </c>
      <c r="H127" t="n">
        <v>0</v>
      </c>
      <c r="I127" t="n">
        <v>0</v>
      </c>
      <c r="J127" t="n">
        <v>0</v>
      </c>
      <c r="K127" t="n">
        <v>0</v>
      </c>
      <c r="L127" t="n">
        <v>0</v>
      </c>
      <c r="M127" t="n">
        <v>0</v>
      </c>
      <c r="N127" t="n">
        <v>0</v>
      </c>
      <c r="O127" t="n">
        <v>0</v>
      </c>
      <c r="P127" t="n">
        <v>0</v>
      </c>
      <c r="Q127" t="n">
        <v>0</v>
      </c>
      <c r="R127" s="2" t="inlineStr"/>
    </row>
    <row r="128" ht="15" customHeight="1">
      <c r="A128" t="inlineStr">
        <is>
          <t>A 46520-2019</t>
        </is>
      </c>
      <c r="B128" s="1" t="n">
        <v>43717</v>
      </c>
      <c r="C128" s="1" t="n">
        <v>45744</v>
      </c>
      <c r="D128" t="inlineStr">
        <is>
          <t>SKÅNE LÄN</t>
        </is>
      </c>
      <c r="E128" t="inlineStr">
        <is>
          <t>HÄSSLEHOLM</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48097-2019</t>
        </is>
      </c>
      <c r="B129" s="1" t="n">
        <v>43725</v>
      </c>
      <c r="C129" s="1" t="n">
        <v>45744</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48309-2019</t>
        </is>
      </c>
      <c r="B130" s="1" t="n">
        <v>43726</v>
      </c>
      <c r="C130" s="1" t="n">
        <v>45744</v>
      </c>
      <c r="D130" t="inlineStr">
        <is>
          <t>SKÅNE LÄN</t>
        </is>
      </c>
      <c r="E130" t="inlineStr">
        <is>
          <t>HÄSSLEHOLM</t>
        </is>
      </c>
      <c r="G130" t="n">
        <v>4.5</v>
      </c>
      <c r="H130" t="n">
        <v>0</v>
      </c>
      <c r="I130" t="n">
        <v>0</v>
      </c>
      <c r="J130" t="n">
        <v>0</v>
      </c>
      <c r="K130" t="n">
        <v>0</v>
      </c>
      <c r="L130" t="n">
        <v>0</v>
      </c>
      <c r="M130" t="n">
        <v>0</v>
      </c>
      <c r="N130" t="n">
        <v>0</v>
      </c>
      <c r="O130" t="n">
        <v>0</v>
      </c>
      <c r="P130" t="n">
        <v>0</v>
      </c>
      <c r="Q130" t="n">
        <v>0</v>
      </c>
      <c r="R130" s="2" t="inlineStr"/>
    </row>
    <row r="131" ht="15" customHeight="1">
      <c r="A131" t="inlineStr">
        <is>
          <t>A 48363-2019</t>
        </is>
      </c>
      <c r="B131" s="1" t="n">
        <v>43726</v>
      </c>
      <c r="C131" s="1" t="n">
        <v>45744</v>
      </c>
      <c r="D131" t="inlineStr">
        <is>
          <t>SKÅNE LÄN</t>
        </is>
      </c>
      <c r="E131" t="inlineStr">
        <is>
          <t>HÄSSLEHOLM</t>
        </is>
      </c>
      <c r="G131" t="n">
        <v>4.7</v>
      </c>
      <c r="H131" t="n">
        <v>0</v>
      </c>
      <c r="I131" t="n">
        <v>0</v>
      </c>
      <c r="J131" t="n">
        <v>0</v>
      </c>
      <c r="K131" t="n">
        <v>0</v>
      </c>
      <c r="L131" t="n">
        <v>0</v>
      </c>
      <c r="M131" t="n">
        <v>0</v>
      </c>
      <c r="N131" t="n">
        <v>0</v>
      </c>
      <c r="O131" t="n">
        <v>0</v>
      </c>
      <c r="P131" t="n">
        <v>0</v>
      </c>
      <c r="Q131" t="n">
        <v>0</v>
      </c>
      <c r="R131" s="2" t="inlineStr"/>
    </row>
    <row r="132" ht="15" customHeight="1">
      <c r="A132" t="inlineStr">
        <is>
          <t>A 48602-2019</t>
        </is>
      </c>
      <c r="B132" s="1" t="n">
        <v>43727</v>
      </c>
      <c r="C132" s="1" t="n">
        <v>45744</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48601-2019</t>
        </is>
      </c>
      <c r="B133" s="1" t="n">
        <v>43727</v>
      </c>
      <c r="C133" s="1" t="n">
        <v>45744</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49028-2019</t>
        </is>
      </c>
      <c r="B134" s="1" t="n">
        <v>43731</v>
      </c>
      <c r="C134" s="1" t="n">
        <v>45744</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51573-2019</t>
        </is>
      </c>
      <c r="B135" s="1" t="n">
        <v>43740</v>
      </c>
      <c r="C135" s="1" t="n">
        <v>45744</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52964-2019</t>
        </is>
      </c>
      <c r="B136" s="1" t="n">
        <v>43740</v>
      </c>
      <c r="C136" s="1" t="n">
        <v>45744</v>
      </c>
      <c r="D136" t="inlineStr">
        <is>
          <t>SKÅNE LÄN</t>
        </is>
      </c>
      <c r="E136" t="inlineStr">
        <is>
          <t>HÄSSLEHOLM</t>
        </is>
      </c>
      <c r="G136" t="n">
        <v>7.5</v>
      </c>
      <c r="H136" t="n">
        <v>0</v>
      </c>
      <c r="I136" t="n">
        <v>0</v>
      </c>
      <c r="J136" t="n">
        <v>0</v>
      </c>
      <c r="K136" t="n">
        <v>0</v>
      </c>
      <c r="L136" t="n">
        <v>0</v>
      </c>
      <c r="M136" t="n">
        <v>0</v>
      </c>
      <c r="N136" t="n">
        <v>0</v>
      </c>
      <c r="O136" t="n">
        <v>0</v>
      </c>
      <c r="P136" t="n">
        <v>0</v>
      </c>
      <c r="Q136" t="n">
        <v>0</v>
      </c>
      <c r="R136" s="2" t="inlineStr"/>
    </row>
    <row r="137" ht="15" customHeight="1">
      <c r="A137" t="inlineStr">
        <is>
          <t>A 51476-2019</t>
        </is>
      </c>
      <c r="B137" s="1" t="n">
        <v>43740</v>
      </c>
      <c r="C137" s="1" t="n">
        <v>45744</v>
      </c>
      <c r="D137" t="inlineStr">
        <is>
          <t>SKÅNE LÄN</t>
        </is>
      </c>
      <c r="E137" t="inlineStr">
        <is>
          <t>HÄSSLEHOLM</t>
        </is>
      </c>
      <c r="G137" t="n">
        <v>3.8</v>
      </c>
      <c r="H137" t="n">
        <v>0</v>
      </c>
      <c r="I137" t="n">
        <v>0</v>
      </c>
      <c r="J137" t="n">
        <v>0</v>
      </c>
      <c r="K137" t="n">
        <v>0</v>
      </c>
      <c r="L137" t="n">
        <v>0</v>
      </c>
      <c r="M137" t="n">
        <v>0</v>
      </c>
      <c r="N137" t="n">
        <v>0</v>
      </c>
      <c r="O137" t="n">
        <v>0</v>
      </c>
      <c r="P137" t="n">
        <v>0</v>
      </c>
      <c r="Q137" t="n">
        <v>0</v>
      </c>
      <c r="R137" s="2" t="inlineStr"/>
    </row>
    <row r="138" ht="15" customHeight="1">
      <c r="A138" t="inlineStr">
        <is>
          <t>A 51579-2019</t>
        </is>
      </c>
      <c r="B138" s="1" t="n">
        <v>43740</v>
      </c>
      <c r="C138" s="1" t="n">
        <v>45744</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51543-2019</t>
        </is>
      </c>
      <c r="B139" s="1" t="n">
        <v>43740</v>
      </c>
      <c r="C139" s="1" t="n">
        <v>45744</v>
      </c>
      <c r="D139" t="inlineStr">
        <is>
          <t>SKÅNE LÄN</t>
        </is>
      </c>
      <c r="E139" t="inlineStr">
        <is>
          <t>HÄSSLEHOLM</t>
        </is>
      </c>
      <c r="G139" t="n">
        <v>4</v>
      </c>
      <c r="H139" t="n">
        <v>0</v>
      </c>
      <c r="I139" t="n">
        <v>0</v>
      </c>
      <c r="J139" t="n">
        <v>0</v>
      </c>
      <c r="K139" t="n">
        <v>0</v>
      </c>
      <c r="L139" t="n">
        <v>0</v>
      </c>
      <c r="M139" t="n">
        <v>0</v>
      </c>
      <c r="N139" t="n">
        <v>0</v>
      </c>
      <c r="O139" t="n">
        <v>0</v>
      </c>
      <c r="P139" t="n">
        <v>0</v>
      </c>
      <c r="Q139" t="n">
        <v>0</v>
      </c>
      <c r="R139" s="2" t="inlineStr"/>
    </row>
    <row r="140" ht="15" customHeight="1">
      <c r="A140" t="inlineStr">
        <is>
          <t>A 51581-2019</t>
        </is>
      </c>
      <c r="B140" s="1" t="n">
        <v>43740</v>
      </c>
      <c r="C140" s="1" t="n">
        <v>45744</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51936-2019</t>
        </is>
      </c>
      <c r="B141" s="1" t="n">
        <v>43741</v>
      </c>
      <c r="C141" s="1" t="n">
        <v>45744</v>
      </c>
      <c r="D141" t="inlineStr">
        <is>
          <t>SKÅNE LÄN</t>
        </is>
      </c>
      <c r="E141" t="inlineStr">
        <is>
          <t>HÄSSLEHOLM</t>
        </is>
      </c>
      <c r="G141" t="n">
        <v>1.8</v>
      </c>
      <c r="H141" t="n">
        <v>0</v>
      </c>
      <c r="I141" t="n">
        <v>0</v>
      </c>
      <c r="J141" t="n">
        <v>0</v>
      </c>
      <c r="K141" t="n">
        <v>0</v>
      </c>
      <c r="L141" t="n">
        <v>0</v>
      </c>
      <c r="M141" t="n">
        <v>0</v>
      </c>
      <c r="N141" t="n">
        <v>0</v>
      </c>
      <c r="O141" t="n">
        <v>0</v>
      </c>
      <c r="P141" t="n">
        <v>0</v>
      </c>
      <c r="Q141" t="n">
        <v>0</v>
      </c>
      <c r="R141" s="2" t="inlineStr"/>
    </row>
    <row r="142" ht="15" customHeight="1">
      <c r="A142" t="inlineStr">
        <is>
          <t>A 51795-2019</t>
        </is>
      </c>
      <c r="B142" s="1" t="n">
        <v>43741</v>
      </c>
      <c r="C142" s="1" t="n">
        <v>45744</v>
      </c>
      <c r="D142" t="inlineStr">
        <is>
          <t>SKÅNE LÄN</t>
        </is>
      </c>
      <c r="E142" t="inlineStr">
        <is>
          <t>HÄSSLEHOLM</t>
        </is>
      </c>
      <c r="G142" t="n">
        <v>2</v>
      </c>
      <c r="H142" t="n">
        <v>0</v>
      </c>
      <c r="I142" t="n">
        <v>0</v>
      </c>
      <c r="J142" t="n">
        <v>0</v>
      </c>
      <c r="K142" t="n">
        <v>0</v>
      </c>
      <c r="L142" t="n">
        <v>0</v>
      </c>
      <c r="M142" t="n">
        <v>0</v>
      </c>
      <c r="N142" t="n">
        <v>0</v>
      </c>
      <c r="O142" t="n">
        <v>0</v>
      </c>
      <c r="P142" t="n">
        <v>0</v>
      </c>
      <c r="Q142" t="n">
        <v>0</v>
      </c>
      <c r="R142" s="2" t="inlineStr"/>
    </row>
    <row r="143" ht="15" customHeight="1">
      <c r="A143" t="inlineStr">
        <is>
          <t>A 52896-2019</t>
        </is>
      </c>
      <c r="B143" s="1" t="n">
        <v>43746</v>
      </c>
      <c r="C143" s="1" t="n">
        <v>45744</v>
      </c>
      <c r="D143" t="inlineStr">
        <is>
          <t>SKÅNE LÄN</t>
        </is>
      </c>
      <c r="E143" t="inlineStr">
        <is>
          <t>HÄSSLEHOLM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54745-2019</t>
        </is>
      </c>
      <c r="B144" s="1" t="n">
        <v>43749</v>
      </c>
      <c r="C144" s="1" t="n">
        <v>45744</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55155-2019</t>
        </is>
      </c>
      <c r="B145" s="1" t="n">
        <v>43752</v>
      </c>
      <c r="C145" s="1" t="n">
        <v>45744</v>
      </c>
      <c r="D145" t="inlineStr">
        <is>
          <t>SKÅNE LÄN</t>
        </is>
      </c>
      <c r="E145" t="inlineStr">
        <is>
          <t>HÄSSLEHOLM</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55167-2019</t>
        </is>
      </c>
      <c r="B146" s="1" t="n">
        <v>43756</v>
      </c>
      <c r="C146" s="1" t="n">
        <v>45744</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55087-2019</t>
        </is>
      </c>
      <c r="B147" s="1" t="n">
        <v>43756</v>
      </c>
      <c r="C147" s="1" t="n">
        <v>45744</v>
      </c>
      <c r="D147" t="inlineStr">
        <is>
          <t>SKÅNE LÄN</t>
        </is>
      </c>
      <c r="E147" t="inlineStr">
        <is>
          <t>HÄSSLEHOLM</t>
        </is>
      </c>
      <c r="F147" t="inlineStr">
        <is>
          <t>Kommuner</t>
        </is>
      </c>
      <c r="G147" t="n">
        <v>2</v>
      </c>
      <c r="H147" t="n">
        <v>0</v>
      </c>
      <c r="I147" t="n">
        <v>0</v>
      </c>
      <c r="J147" t="n">
        <v>0</v>
      </c>
      <c r="K147" t="n">
        <v>0</v>
      </c>
      <c r="L147" t="n">
        <v>0</v>
      </c>
      <c r="M147" t="n">
        <v>0</v>
      </c>
      <c r="N147" t="n">
        <v>0</v>
      </c>
      <c r="O147" t="n">
        <v>0</v>
      </c>
      <c r="P147" t="n">
        <v>0</v>
      </c>
      <c r="Q147" t="n">
        <v>0</v>
      </c>
      <c r="R147" s="2" t="inlineStr"/>
    </row>
    <row r="148" ht="15" customHeight="1">
      <c r="A148" t="inlineStr">
        <is>
          <t>A 55410-2019</t>
        </is>
      </c>
      <c r="B148" s="1" t="n">
        <v>43758</v>
      </c>
      <c r="C148" s="1" t="n">
        <v>45744</v>
      </c>
      <c r="D148" t="inlineStr">
        <is>
          <t>SKÅNE LÄN</t>
        </is>
      </c>
      <c r="E148" t="inlineStr">
        <is>
          <t>HÄSSLEHOLM</t>
        </is>
      </c>
      <c r="G148" t="n">
        <v>4.8</v>
      </c>
      <c r="H148" t="n">
        <v>0</v>
      </c>
      <c r="I148" t="n">
        <v>0</v>
      </c>
      <c r="J148" t="n">
        <v>0</v>
      </c>
      <c r="K148" t="n">
        <v>0</v>
      </c>
      <c r="L148" t="n">
        <v>0</v>
      </c>
      <c r="M148" t="n">
        <v>0</v>
      </c>
      <c r="N148" t="n">
        <v>0</v>
      </c>
      <c r="O148" t="n">
        <v>0</v>
      </c>
      <c r="P148" t="n">
        <v>0</v>
      </c>
      <c r="Q148" t="n">
        <v>0</v>
      </c>
      <c r="R148" s="2" t="inlineStr"/>
    </row>
    <row r="149" ht="15" customHeight="1">
      <c r="A149" t="inlineStr">
        <is>
          <t>A 55761-2019</t>
        </is>
      </c>
      <c r="B149" s="1" t="n">
        <v>43759</v>
      </c>
      <c r="C149" s="1" t="n">
        <v>45744</v>
      </c>
      <c r="D149" t="inlineStr">
        <is>
          <t>SKÅNE LÄN</t>
        </is>
      </c>
      <c r="E149" t="inlineStr">
        <is>
          <t>HÄSSLEHOLM</t>
        </is>
      </c>
      <c r="F149" t="inlineStr">
        <is>
          <t>Kommuner</t>
        </is>
      </c>
      <c r="G149" t="n">
        <v>7.7</v>
      </c>
      <c r="H149" t="n">
        <v>0</v>
      </c>
      <c r="I149" t="n">
        <v>0</v>
      </c>
      <c r="J149" t="n">
        <v>0</v>
      </c>
      <c r="K149" t="n">
        <v>0</v>
      </c>
      <c r="L149" t="n">
        <v>0</v>
      </c>
      <c r="M149" t="n">
        <v>0</v>
      </c>
      <c r="N149" t="n">
        <v>0</v>
      </c>
      <c r="O149" t="n">
        <v>0</v>
      </c>
      <c r="P149" t="n">
        <v>0</v>
      </c>
      <c r="Q149" t="n">
        <v>0</v>
      </c>
      <c r="R149" s="2" t="inlineStr"/>
    </row>
    <row r="150" ht="15" customHeight="1">
      <c r="A150" t="inlineStr">
        <is>
          <t>A 55984-2019</t>
        </is>
      </c>
      <c r="B150" s="1" t="n">
        <v>43759</v>
      </c>
      <c r="C150" s="1" t="n">
        <v>45744</v>
      </c>
      <c r="D150" t="inlineStr">
        <is>
          <t>SKÅNE LÄN</t>
        </is>
      </c>
      <c r="E150" t="inlineStr">
        <is>
          <t>HÄSSLEHOLM</t>
        </is>
      </c>
      <c r="F150" t="inlineStr">
        <is>
          <t>Kommuner</t>
        </is>
      </c>
      <c r="G150" t="n">
        <v>21.9</v>
      </c>
      <c r="H150" t="n">
        <v>0</v>
      </c>
      <c r="I150" t="n">
        <v>0</v>
      </c>
      <c r="J150" t="n">
        <v>0</v>
      </c>
      <c r="K150" t="n">
        <v>0</v>
      </c>
      <c r="L150" t="n">
        <v>0</v>
      </c>
      <c r="M150" t="n">
        <v>0</v>
      </c>
      <c r="N150" t="n">
        <v>0</v>
      </c>
      <c r="O150" t="n">
        <v>0</v>
      </c>
      <c r="P150" t="n">
        <v>0</v>
      </c>
      <c r="Q150" t="n">
        <v>0</v>
      </c>
      <c r="R150" s="2" t="inlineStr"/>
    </row>
    <row r="151" ht="15" customHeight="1">
      <c r="A151" t="inlineStr">
        <is>
          <t>A 55631-2019</t>
        </is>
      </c>
      <c r="B151" s="1" t="n">
        <v>43760</v>
      </c>
      <c r="C151" s="1" t="n">
        <v>45744</v>
      </c>
      <c r="D151" t="inlineStr">
        <is>
          <t>SKÅNE LÄN</t>
        </is>
      </c>
      <c r="E151" t="inlineStr">
        <is>
          <t>HÄSSLEHOLM</t>
        </is>
      </c>
      <c r="G151" t="n">
        <v>2.1</v>
      </c>
      <c r="H151" t="n">
        <v>0</v>
      </c>
      <c r="I151" t="n">
        <v>0</v>
      </c>
      <c r="J151" t="n">
        <v>0</v>
      </c>
      <c r="K151" t="n">
        <v>0</v>
      </c>
      <c r="L151" t="n">
        <v>0</v>
      </c>
      <c r="M151" t="n">
        <v>0</v>
      </c>
      <c r="N151" t="n">
        <v>0</v>
      </c>
      <c r="O151" t="n">
        <v>0</v>
      </c>
      <c r="P151" t="n">
        <v>0</v>
      </c>
      <c r="Q151" t="n">
        <v>0</v>
      </c>
      <c r="R151" s="2" t="inlineStr"/>
    </row>
    <row r="152" ht="15" customHeight="1">
      <c r="A152" t="inlineStr">
        <is>
          <t>A 55654-2019</t>
        </is>
      </c>
      <c r="B152" s="1" t="n">
        <v>43760</v>
      </c>
      <c r="C152" s="1" t="n">
        <v>45744</v>
      </c>
      <c r="D152" t="inlineStr">
        <is>
          <t>SKÅNE LÄN</t>
        </is>
      </c>
      <c r="E152" t="inlineStr">
        <is>
          <t>HÄSSLEHOLM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55995-2019</t>
        </is>
      </c>
      <c r="B153" s="1" t="n">
        <v>43761</v>
      </c>
      <c r="C153" s="1" t="n">
        <v>45744</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56138-2019</t>
        </is>
      </c>
      <c r="B154" s="1" t="n">
        <v>43761</v>
      </c>
      <c r="C154" s="1" t="n">
        <v>45744</v>
      </c>
      <c r="D154" t="inlineStr">
        <is>
          <t>SKÅNE LÄN</t>
        </is>
      </c>
      <c r="E154" t="inlineStr">
        <is>
          <t>HÄSSLEHOLM</t>
        </is>
      </c>
      <c r="G154" t="n">
        <v>0.7</v>
      </c>
      <c r="H154" t="n">
        <v>0</v>
      </c>
      <c r="I154" t="n">
        <v>0</v>
      </c>
      <c r="J154" t="n">
        <v>0</v>
      </c>
      <c r="K154" t="n">
        <v>0</v>
      </c>
      <c r="L154" t="n">
        <v>0</v>
      </c>
      <c r="M154" t="n">
        <v>0</v>
      </c>
      <c r="N154" t="n">
        <v>0</v>
      </c>
      <c r="O154" t="n">
        <v>0</v>
      </c>
      <c r="P154" t="n">
        <v>0</v>
      </c>
      <c r="Q154" t="n">
        <v>0</v>
      </c>
      <c r="R154" s="2" t="inlineStr"/>
    </row>
    <row r="155" ht="15" customHeight="1">
      <c r="A155" t="inlineStr">
        <is>
          <t>A 58525-2019</t>
        </is>
      </c>
      <c r="B155" s="1" t="n">
        <v>43766</v>
      </c>
      <c r="C155" s="1" t="n">
        <v>45744</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58818-2019</t>
        </is>
      </c>
      <c r="B156" s="1" t="n">
        <v>43768</v>
      </c>
      <c r="C156" s="1" t="n">
        <v>45744</v>
      </c>
      <c r="D156" t="inlineStr">
        <is>
          <t>SKÅNE LÄN</t>
        </is>
      </c>
      <c r="E156" t="inlineStr">
        <is>
          <t>HÄSSLEHOLM</t>
        </is>
      </c>
      <c r="G156" t="n">
        <v>1.6</v>
      </c>
      <c r="H156" t="n">
        <v>0</v>
      </c>
      <c r="I156" t="n">
        <v>0</v>
      </c>
      <c r="J156" t="n">
        <v>0</v>
      </c>
      <c r="K156" t="n">
        <v>0</v>
      </c>
      <c r="L156" t="n">
        <v>0</v>
      </c>
      <c r="M156" t="n">
        <v>0</v>
      </c>
      <c r="N156" t="n">
        <v>0</v>
      </c>
      <c r="O156" t="n">
        <v>0</v>
      </c>
      <c r="P156" t="n">
        <v>0</v>
      </c>
      <c r="Q156" t="n">
        <v>0</v>
      </c>
      <c r="R156" s="2" t="inlineStr"/>
    </row>
    <row r="157" ht="15" customHeight="1">
      <c r="A157" t="inlineStr">
        <is>
          <t>A 58840-2019</t>
        </is>
      </c>
      <c r="B157" s="1" t="n">
        <v>43768</v>
      </c>
      <c r="C157" s="1" t="n">
        <v>45744</v>
      </c>
      <c r="D157" t="inlineStr">
        <is>
          <t>SKÅNE LÄN</t>
        </is>
      </c>
      <c r="E157" t="inlineStr">
        <is>
          <t>HÄSSLEHOLM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58070-2019</t>
        </is>
      </c>
      <c r="B158" s="1" t="n">
        <v>43769</v>
      </c>
      <c r="C158" s="1" t="n">
        <v>45744</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58889-2019</t>
        </is>
      </c>
      <c r="B159" s="1" t="n">
        <v>43774</v>
      </c>
      <c r="C159" s="1" t="n">
        <v>45744</v>
      </c>
      <c r="D159" t="inlineStr">
        <is>
          <t>SKÅNE LÄN</t>
        </is>
      </c>
      <c r="E159" t="inlineStr">
        <is>
          <t>HÄSSLEHOLM</t>
        </is>
      </c>
      <c r="G159" t="n">
        <v>2.3</v>
      </c>
      <c r="H159" t="n">
        <v>0</v>
      </c>
      <c r="I159" t="n">
        <v>0</v>
      </c>
      <c r="J159" t="n">
        <v>0</v>
      </c>
      <c r="K159" t="n">
        <v>0</v>
      </c>
      <c r="L159" t="n">
        <v>0</v>
      </c>
      <c r="M159" t="n">
        <v>0</v>
      </c>
      <c r="N159" t="n">
        <v>0</v>
      </c>
      <c r="O159" t="n">
        <v>0</v>
      </c>
      <c r="P159" t="n">
        <v>0</v>
      </c>
      <c r="Q159" t="n">
        <v>0</v>
      </c>
      <c r="R159" s="2" t="inlineStr"/>
    </row>
    <row r="160" ht="15" customHeight="1">
      <c r="A160" t="inlineStr">
        <is>
          <t>A 59828-2019</t>
        </is>
      </c>
      <c r="B160" s="1" t="n">
        <v>43777</v>
      </c>
      <c r="C160" s="1" t="n">
        <v>45744</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61572-2019</t>
        </is>
      </c>
      <c r="B161" s="1" t="n">
        <v>43784</v>
      </c>
      <c r="C161" s="1" t="n">
        <v>45744</v>
      </c>
      <c r="D161" t="inlineStr">
        <is>
          <t>SKÅNE LÄN</t>
        </is>
      </c>
      <c r="E161" t="inlineStr">
        <is>
          <t>HÄSSLEHOLM</t>
        </is>
      </c>
      <c r="G161" t="n">
        <v>2.6</v>
      </c>
      <c r="H161" t="n">
        <v>0</v>
      </c>
      <c r="I161" t="n">
        <v>0</v>
      </c>
      <c r="J161" t="n">
        <v>0</v>
      </c>
      <c r="K161" t="n">
        <v>0</v>
      </c>
      <c r="L161" t="n">
        <v>0</v>
      </c>
      <c r="M161" t="n">
        <v>0</v>
      </c>
      <c r="N161" t="n">
        <v>0</v>
      </c>
      <c r="O161" t="n">
        <v>0</v>
      </c>
      <c r="P161" t="n">
        <v>0</v>
      </c>
      <c r="Q161" t="n">
        <v>0</v>
      </c>
      <c r="R161" s="2" t="inlineStr"/>
    </row>
    <row r="162" ht="15" customHeight="1">
      <c r="A162" t="inlineStr">
        <is>
          <t>A 61664-2019</t>
        </is>
      </c>
      <c r="B162" s="1" t="n">
        <v>43784</v>
      </c>
      <c r="C162" s="1" t="n">
        <v>45744</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61665-2019</t>
        </is>
      </c>
      <c r="B163" s="1" t="n">
        <v>43784</v>
      </c>
      <c r="C163" s="1" t="n">
        <v>45744</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62981-2019</t>
        </is>
      </c>
      <c r="B164" s="1" t="n">
        <v>43790</v>
      </c>
      <c r="C164" s="1" t="n">
        <v>45744</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62978-2019</t>
        </is>
      </c>
      <c r="B165" s="1" t="n">
        <v>43790</v>
      </c>
      <c r="C165" s="1" t="n">
        <v>45744</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62994-2019</t>
        </is>
      </c>
      <c r="B166" s="1" t="n">
        <v>43790</v>
      </c>
      <c r="C166" s="1" t="n">
        <v>45744</v>
      </c>
      <c r="D166" t="inlineStr">
        <is>
          <t>SKÅNE LÄN</t>
        </is>
      </c>
      <c r="E166" t="inlineStr">
        <is>
          <t>HÄSSLEHOLM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62997-2019</t>
        </is>
      </c>
      <c r="B167" s="1" t="n">
        <v>43790</v>
      </c>
      <c r="C167" s="1" t="n">
        <v>45744</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64766-2019</t>
        </is>
      </c>
      <c r="B168" s="1" t="n">
        <v>43795</v>
      </c>
      <c r="C168" s="1" t="n">
        <v>45744</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63710-2019</t>
        </is>
      </c>
      <c r="B169" s="1" t="n">
        <v>43795</v>
      </c>
      <c r="C169" s="1" t="n">
        <v>45744</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66885-2019</t>
        </is>
      </c>
      <c r="B170" s="1" t="n">
        <v>43805</v>
      </c>
      <c r="C170" s="1" t="n">
        <v>45744</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66428-2019</t>
        </is>
      </c>
      <c r="B171" s="1" t="n">
        <v>43809</v>
      </c>
      <c r="C171" s="1" t="n">
        <v>45744</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66662-2019</t>
        </is>
      </c>
      <c r="B172" s="1" t="n">
        <v>43809</v>
      </c>
      <c r="C172" s="1" t="n">
        <v>45744</v>
      </c>
      <c r="D172" t="inlineStr">
        <is>
          <t>SKÅNE LÄN</t>
        </is>
      </c>
      <c r="E172" t="inlineStr">
        <is>
          <t>HÄSSLEHOLM</t>
        </is>
      </c>
      <c r="G172" t="n">
        <v>9</v>
      </c>
      <c r="H172" t="n">
        <v>0</v>
      </c>
      <c r="I172" t="n">
        <v>0</v>
      </c>
      <c r="J172" t="n">
        <v>0</v>
      </c>
      <c r="K172" t="n">
        <v>0</v>
      </c>
      <c r="L172" t="n">
        <v>0</v>
      </c>
      <c r="M172" t="n">
        <v>0</v>
      </c>
      <c r="N172" t="n">
        <v>0</v>
      </c>
      <c r="O172" t="n">
        <v>0</v>
      </c>
      <c r="P172" t="n">
        <v>0</v>
      </c>
      <c r="Q172" t="n">
        <v>0</v>
      </c>
      <c r="R172" s="2" t="inlineStr"/>
    </row>
    <row r="173" ht="15" customHeight="1">
      <c r="A173" t="inlineStr">
        <is>
          <t>A 67756-2019</t>
        </is>
      </c>
      <c r="B173" s="1" t="n">
        <v>43810</v>
      </c>
      <c r="C173" s="1" t="n">
        <v>45744</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68546-2019</t>
        </is>
      </c>
      <c r="B174" s="1" t="n">
        <v>43811</v>
      </c>
      <c r="C174" s="1" t="n">
        <v>45744</v>
      </c>
      <c r="D174" t="inlineStr">
        <is>
          <t>SKÅNE LÄN</t>
        </is>
      </c>
      <c r="E174" t="inlineStr">
        <is>
          <t>HÄSSLEHOLM</t>
        </is>
      </c>
      <c r="G174" t="n">
        <v>3.2</v>
      </c>
      <c r="H174" t="n">
        <v>0</v>
      </c>
      <c r="I174" t="n">
        <v>0</v>
      </c>
      <c r="J174" t="n">
        <v>0</v>
      </c>
      <c r="K174" t="n">
        <v>0</v>
      </c>
      <c r="L174" t="n">
        <v>0</v>
      </c>
      <c r="M174" t="n">
        <v>0</v>
      </c>
      <c r="N174" t="n">
        <v>0</v>
      </c>
      <c r="O174" t="n">
        <v>0</v>
      </c>
      <c r="P174" t="n">
        <v>0</v>
      </c>
      <c r="Q174" t="n">
        <v>0</v>
      </c>
      <c r="R174" s="2" t="inlineStr"/>
    </row>
    <row r="175" ht="15" customHeight="1">
      <c r="A175" t="inlineStr">
        <is>
          <t>A 68817-2019</t>
        </is>
      </c>
      <c r="B175" s="1" t="n">
        <v>43815</v>
      </c>
      <c r="C175" s="1" t="n">
        <v>45744</v>
      </c>
      <c r="D175" t="inlineStr">
        <is>
          <t>SKÅNE LÄN</t>
        </is>
      </c>
      <c r="E175" t="inlineStr">
        <is>
          <t>HÄSSLEHOLM</t>
        </is>
      </c>
      <c r="G175" t="n">
        <v>2.4</v>
      </c>
      <c r="H175" t="n">
        <v>0</v>
      </c>
      <c r="I175" t="n">
        <v>0</v>
      </c>
      <c r="J175" t="n">
        <v>0</v>
      </c>
      <c r="K175" t="n">
        <v>0</v>
      </c>
      <c r="L175" t="n">
        <v>0</v>
      </c>
      <c r="M175" t="n">
        <v>0</v>
      </c>
      <c r="N175" t="n">
        <v>0</v>
      </c>
      <c r="O175" t="n">
        <v>0</v>
      </c>
      <c r="P175" t="n">
        <v>0</v>
      </c>
      <c r="Q175" t="n">
        <v>0</v>
      </c>
      <c r="R175" s="2" t="inlineStr"/>
    </row>
    <row r="176" ht="15" customHeight="1">
      <c r="A176" t="inlineStr">
        <is>
          <t>A 2700-2020</t>
        </is>
      </c>
      <c r="B176" s="1" t="n">
        <v>43844</v>
      </c>
      <c r="C176" s="1" t="n">
        <v>45744</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3189-2020</t>
        </is>
      </c>
      <c r="B177" s="1" t="n">
        <v>43844</v>
      </c>
      <c r="C177" s="1" t="n">
        <v>45744</v>
      </c>
      <c r="D177" t="inlineStr">
        <is>
          <t>SKÅNE LÄN</t>
        </is>
      </c>
      <c r="E177" t="inlineStr">
        <is>
          <t>HÄSSLEHOLM</t>
        </is>
      </c>
      <c r="G177" t="n">
        <v>7.5</v>
      </c>
      <c r="H177" t="n">
        <v>0</v>
      </c>
      <c r="I177" t="n">
        <v>0</v>
      </c>
      <c r="J177" t="n">
        <v>0</v>
      </c>
      <c r="K177" t="n">
        <v>0</v>
      </c>
      <c r="L177" t="n">
        <v>0</v>
      </c>
      <c r="M177" t="n">
        <v>0</v>
      </c>
      <c r="N177" t="n">
        <v>0</v>
      </c>
      <c r="O177" t="n">
        <v>0</v>
      </c>
      <c r="P177" t="n">
        <v>0</v>
      </c>
      <c r="Q177" t="n">
        <v>0</v>
      </c>
      <c r="R177" s="2" t="inlineStr"/>
    </row>
    <row r="178" ht="15" customHeight="1">
      <c r="A178" t="inlineStr">
        <is>
          <t>A 1909-2020</t>
        </is>
      </c>
      <c r="B178" s="1" t="n">
        <v>43845</v>
      </c>
      <c r="C178" s="1" t="n">
        <v>45744</v>
      </c>
      <c r="D178" t="inlineStr">
        <is>
          <t>SKÅNE LÄN</t>
        </is>
      </c>
      <c r="E178" t="inlineStr">
        <is>
          <t>HÄSSLEHOLM</t>
        </is>
      </c>
      <c r="G178" t="n">
        <v>1</v>
      </c>
      <c r="H178" t="n">
        <v>0</v>
      </c>
      <c r="I178" t="n">
        <v>0</v>
      </c>
      <c r="J178" t="n">
        <v>0</v>
      </c>
      <c r="K178" t="n">
        <v>0</v>
      </c>
      <c r="L178" t="n">
        <v>0</v>
      </c>
      <c r="M178" t="n">
        <v>0</v>
      </c>
      <c r="N178" t="n">
        <v>0</v>
      </c>
      <c r="O178" t="n">
        <v>0</v>
      </c>
      <c r="P178" t="n">
        <v>0</v>
      </c>
      <c r="Q178" t="n">
        <v>0</v>
      </c>
      <c r="R178" s="2" t="inlineStr"/>
    </row>
    <row r="179" ht="15" customHeight="1">
      <c r="A179" t="inlineStr">
        <is>
          <t>A 2036-2020</t>
        </is>
      </c>
      <c r="B179" s="1" t="n">
        <v>43845</v>
      </c>
      <c r="C179" s="1" t="n">
        <v>45744</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3441-2020</t>
        </is>
      </c>
      <c r="B180" s="1" t="n">
        <v>43847</v>
      </c>
      <c r="C180" s="1" t="n">
        <v>45744</v>
      </c>
      <c r="D180" t="inlineStr">
        <is>
          <t>SKÅNE LÄN</t>
        </is>
      </c>
      <c r="E180" t="inlineStr">
        <is>
          <t>HÄSSLEHOLM</t>
        </is>
      </c>
      <c r="G180" t="n">
        <v>2</v>
      </c>
      <c r="H180" t="n">
        <v>0</v>
      </c>
      <c r="I180" t="n">
        <v>0</v>
      </c>
      <c r="J180" t="n">
        <v>0</v>
      </c>
      <c r="K180" t="n">
        <v>0</v>
      </c>
      <c r="L180" t="n">
        <v>0</v>
      </c>
      <c r="M180" t="n">
        <v>0</v>
      </c>
      <c r="N180" t="n">
        <v>0</v>
      </c>
      <c r="O180" t="n">
        <v>0</v>
      </c>
      <c r="P180" t="n">
        <v>0</v>
      </c>
      <c r="Q180" t="n">
        <v>0</v>
      </c>
      <c r="R180" s="2" t="inlineStr"/>
    </row>
    <row r="181" ht="15" customHeight="1">
      <c r="A181" t="inlineStr">
        <is>
          <t>A 2731-2020</t>
        </is>
      </c>
      <c r="B181" s="1" t="n">
        <v>43850</v>
      </c>
      <c r="C181" s="1" t="n">
        <v>45744</v>
      </c>
      <c r="D181" t="inlineStr">
        <is>
          <t>SKÅNE LÄN</t>
        </is>
      </c>
      <c r="E181" t="inlineStr">
        <is>
          <t>HÄSSLEHOLM</t>
        </is>
      </c>
      <c r="G181" t="n">
        <v>6.2</v>
      </c>
      <c r="H181" t="n">
        <v>0</v>
      </c>
      <c r="I181" t="n">
        <v>0</v>
      </c>
      <c r="J181" t="n">
        <v>0</v>
      </c>
      <c r="K181" t="n">
        <v>0</v>
      </c>
      <c r="L181" t="n">
        <v>0</v>
      </c>
      <c r="M181" t="n">
        <v>0</v>
      </c>
      <c r="N181" t="n">
        <v>0</v>
      </c>
      <c r="O181" t="n">
        <v>0</v>
      </c>
      <c r="P181" t="n">
        <v>0</v>
      </c>
      <c r="Q181" t="n">
        <v>0</v>
      </c>
      <c r="R181" s="2" t="inlineStr"/>
    </row>
    <row r="182" ht="15" customHeight="1">
      <c r="A182" t="inlineStr">
        <is>
          <t>A 4635-2020</t>
        </is>
      </c>
      <c r="B182" s="1" t="n">
        <v>43858</v>
      </c>
      <c r="C182" s="1" t="n">
        <v>45744</v>
      </c>
      <c r="D182" t="inlineStr">
        <is>
          <t>SKÅNE LÄN</t>
        </is>
      </c>
      <c r="E182" t="inlineStr">
        <is>
          <t>HÄSSLEHOLM</t>
        </is>
      </c>
      <c r="G182" t="n">
        <v>10.7</v>
      </c>
      <c r="H182" t="n">
        <v>0</v>
      </c>
      <c r="I182" t="n">
        <v>0</v>
      </c>
      <c r="J182" t="n">
        <v>0</v>
      </c>
      <c r="K182" t="n">
        <v>0</v>
      </c>
      <c r="L182" t="n">
        <v>0</v>
      </c>
      <c r="M182" t="n">
        <v>0</v>
      </c>
      <c r="N182" t="n">
        <v>0</v>
      </c>
      <c r="O182" t="n">
        <v>0</v>
      </c>
      <c r="P182" t="n">
        <v>0</v>
      </c>
      <c r="Q182" t="n">
        <v>0</v>
      </c>
      <c r="R182" s="2" t="inlineStr"/>
    </row>
    <row r="183" ht="15" customHeight="1">
      <c r="A183" t="inlineStr">
        <is>
          <t>A 4750-2020</t>
        </is>
      </c>
      <c r="B183" s="1" t="n">
        <v>43859</v>
      </c>
      <c r="C183" s="1" t="n">
        <v>45744</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4974-2020</t>
        </is>
      </c>
      <c r="B184" s="1" t="n">
        <v>43859</v>
      </c>
      <c r="C184" s="1" t="n">
        <v>45744</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5190-2020</t>
        </is>
      </c>
      <c r="B185" s="1" t="n">
        <v>43860</v>
      </c>
      <c r="C185" s="1" t="n">
        <v>45744</v>
      </c>
      <c r="D185" t="inlineStr">
        <is>
          <t>SKÅNE LÄN</t>
        </is>
      </c>
      <c r="E185" t="inlineStr">
        <is>
          <t>HÄSSLEHOLM</t>
        </is>
      </c>
      <c r="G185" t="n">
        <v>3.7</v>
      </c>
      <c r="H185" t="n">
        <v>0</v>
      </c>
      <c r="I185" t="n">
        <v>0</v>
      </c>
      <c r="J185" t="n">
        <v>0</v>
      </c>
      <c r="K185" t="n">
        <v>0</v>
      </c>
      <c r="L185" t="n">
        <v>0</v>
      </c>
      <c r="M185" t="n">
        <v>0</v>
      </c>
      <c r="N185" t="n">
        <v>0</v>
      </c>
      <c r="O185" t="n">
        <v>0</v>
      </c>
      <c r="P185" t="n">
        <v>0</v>
      </c>
      <c r="Q185" t="n">
        <v>0</v>
      </c>
      <c r="R185" s="2" t="inlineStr"/>
    </row>
    <row r="186" ht="15" customHeight="1">
      <c r="A186" t="inlineStr">
        <is>
          <t>A 6417-2020</t>
        </is>
      </c>
      <c r="B186" s="1" t="n">
        <v>43866</v>
      </c>
      <c r="C186" s="1" t="n">
        <v>45744</v>
      </c>
      <c r="D186" t="inlineStr">
        <is>
          <t>SKÅNE LÄN</t>
        </is>
      </c>
      <c r="E186" t="inlineStr">
        <is>
          <t>HÄSSLEHOLM</t>
        </is>
      </c>
      <c r="G186" t="n">
        <v>2.5</v>
      </c>
      <c r="H186" t="n">
        <v>0</v>
      </c>
      <c r="I186" t="n">
        <v>0</v>
      </c>
      <c r="J186" t="n">
        <v>0</v>
      </c>
      <c r="K186" t="n">
        <v>0</v>
      </c>
      <c r="L186" t="n">
        <v>0</v>
      </c>
      <c r="M186" t="n">
        <v>0</v>
      </c>
      <c r="N186" t="n">
        <v>0</v>
      </c>
      <c r="O186" t="n">
        <v>0</v>
      </c>
      <c r="P186" t="n">
        <v>0</v>
      </c>
      <c r="Q186" t="n">
        <v>0</v>
      </c>
      <c r="R186" s="2" t="inlineStr"/>
    </row>
    <row r="187" ht="15" customHeight="1">
      <c r="A187" t="inlineStr">
        <is>
          <t>A 6595-2020</t>
        </is>
      </c>
      <c r="B187" s="1" t="n">
        <v>43867</v>
      </c>
      <c r="C187" s="1" t="n">
        <v>45744</v>
      </c>
      <c r="D187" t="inlineStr">
        <is>
          <t>SKÅNE LÄN</t>
        </is>
      </c>
      <c r="E187" t="inlineStr">
        <is>
          <t>HÄSSLEHOLM</t>
        </is>
      </c>
      <c r="G187" t="n">
        <v>3.5</v>
      </c>
      <c r="H187" t="n">
        <v>0</v>
      </c>
      <c r="I187" t="n">
        <v>0</v>
      </c>
      <c r="J187" t="n">
        <v>0</v>
      </c>
      <c r="K187" t="n">
        <v>0</v>
      </c>
      <c r="L187" t="n">
        <v>0</v>
      </c>
      <c r="M187" t="n">
        <v>0</v>
      </c>
      <c r="N187" t="n">
        <v>0</v>
      </c>
      <c r="O187" t="n">
        <v>0</v>
      </c>
      <c r="P187" t="n">
        <v>0</v>
      </c>
      <c r="Q187" t="n">
        <v>0</v>
      </c>
      <c r="R187" s="2" t="inlineStr"/>
    </row>
    <row r="188" ht="15" customHeight="1">
      <c r="A188" t="inlineStr">
        <is>
          <t>A 6842-2020</t>
        </is>
      </c>
      <c r="B188" s="1" t="n">
        <v>43867</v>
      </c>
      <c r="C188" s="1" t="n">
        <v>45744</v>
      </c>
      <c r="D188" t="inlineStr">
        <is>
          <t>SKÅNE LÄN</t>
        </is>
      </c>
      <c r="E188" t="inlineStr">
        <is>
          <t>HÄSSLEHOLM</t>
        </is>
      </c>
      <c r="G188" t="n">
        <v>6.1</v>
      </c>
      <c r="H188" t="n">
        <v>0</v>
      </c>
      <c r="I188" t="n">
        <v>0</v>
      </c>
      <c r="J188" t="n">
        <v>0</v>
      </c>
      <c r="K188" t="n">
        <v>0</v>
      </c>
      <c r="L188" t="n">
        <v>0</v>
      </c>
      <c r="M188" t="n">
        <v>0</v>
      </c>
      <c r="N188" t="n">
        <v>0</v>
      </c>
      <c r="O188" t="n">
        <v>0</v>
      </c>
      <c r="P188" t="n">
        <v>0</v>
      </c>
      <c r="Q188" t="n">
        <v>0</v>
      </c>
      <c r="R188" s="2" t="inlineStr"/>
    </row>
    <row r="189" ht="15" customHeight="1">
      <c r="A189" t="inlineStr">
        <is>
          <t>A 7195-2020</t>
        </is>
      </c>
      <c r="B189" s="1" t="n">
        <v>43871</v>
      </c>
      <c r="C189" s="1" t="n">
        <v>45744</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7393-2020</t>
        </is>
      </c>
      <c r="B190" s="1" t="n">
        <v>43871</v>
      </c>
      <c r="C190" s="1" t="n">
        <v>45744</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7196-2020</t>
        </is>
      </c>
      <c r="B191" s="1" t="n">
        <v>43871</v>
      </c>
      <c r="C191" s="1" t="n">
        <v>45744</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7394-2020</t>
        </is>
      </c>
      <c r="B192" s="1" t="n">
        <v>43871</v>
      </c>
      <c r="C192" s="1" t="n">
        <v>45744</v>
      </c>
      <c r="D192" t="inlineStr">
        <is>
          <t>SKÅNE LÄN</t>
        </is>
      </c>
      <c r="E192" t="inlineStr">
        <is>
          <t>HÄSSLEHOLM</t>
        </is>
      </c>
      <c r="G192" t="n">
        <v>2.6</v>
      </c>
      <c r="H192" t="n">
        <v>0</v>
      </c>
      <c r="I192" t="n">
        <v>0</v>
      </c>
      <c r="J192" t="n">
        <v>0</v>
      </c>
      <c r="K192" t="n">
        <v>0</v>
      </c>
      <c r="L192" t="n">
        <v>0</v>
      </c>
      <c r="M192" t="n">
        <v>0</v>
      </c>
      <c r="N192" t="n">
        <v>0</v>
      </c>
      <c r="O192" t="n">
        <v>0</v>
      </c>
      <c r="P192" t="n">
        <v>0</v>
      </c>
      <c r="Q192" t="n">
        <v>0</v>
      </c>
      <c r="R192" s="2" t="inlineStr"/>
    </row>
    <row r="193" ht="15" customHeight="1">
      <c r="A193" t="inlineStr">
        <is>
          <t>A 7737-2020</t>
        </is>
      </c>
      <c r="B193" s="1" t="n">
        <v>43872</v>
      </c>
      <c r="C193" s="1" t="n">
        <v>45744</v>
      </c>
      <c r="D193" t="inlineStr">
        <is>
          <t>SKÅNE LÄN</t>
        </is>
      </c>
      <c r="E193" t="inlineStr">
        <is>
          <t>HÄSSLEHOLM</t>
        </is>
      </c>
      <c r="G193" t="n">
        <v>0.7</v>
      </c>
      <c r="H193" t="n">
        <v>0</v>
      </c>
      <c r="I193" t="n">
        <v>0</v>
      </c>
      <c r="J193" t="n">
        <v>0</v>
      </c>
      <c r="K193" t="n">
        <v>0</v>
      </c>
      <c r="L193" t="n">
        <v>0</v>
      </c>
      <c r="M193" t="n">
        <v>0</v>
      </c>
      <c r="N193" t="n">
        <v>0</v>
      </c>
      <c r="O193" t="n">
        <v>0</v>
      </c>
      <c r="P193" t="n">
        <v>0</v>
      </c>
      <c r="Q193" t="n">
        <v>0</v>
      </c>
      <c r="R193" s="2" t="inlineStr"/>
    </row>
    <row r="194" ht="15" customHeight="1">
      <c r="A194" t="inlineStr">
        <is>
          <t>A 7738-2020</t>
        </is>
      </c>
      <c r="B194" s="1" t="n">
        <v>43872</v>
      </c>
      <c r="C194" s="1" t="n">
        <v>45744</v>
      </c>
      <c r="D194" t="inlineStr">
        <is>
          <t>SKÅNE LÄN</t>
        </is>
      </c>
      <c r="E194" t="inlineStr">
        <is>
          <t>HÄSSLEHOLM</t>
        </is>
      </c>
      <c r="G194" t="n">
        <v>1.6</v>
      </c>
      <c r="H194" t="n">
        <v>0</v>
      </c>
      <c r="I194" t="n">
        <v>0</v>
      </c>
      <c r="J194" t="n">
        <v>0</v>
      </c>
      <c r="K194" t="n">
        <v>0</v>
      </c>
      <c r="L194" t="n">
        <v>0</v>
      </c>
      <c r="M194" t="n">
        <v>0</v>
      </c>
      <c r="N194" t="n">
        <v>0</v>
      </c>
      <c r="O194" t="n">
        <v>0</v>
      </c>
      <c r="P194" t="n">
        <v>0</v>
      </c>
      <c r="Q194" t="n">
        <v>0</v>
      </c>
      <c r="R194" s="2" t="inlineStr"/>
    </row>
    <row r="195" ht="15" customHeight="1">
      <c r="A195" t="inlineStr">
        <is>
          <t>A 8199-2020</t>
        </is>
      </c>
      <c r="B195" s="1" t="n">
        <v>43874</v>
      </c>
      <c r="C195" s="1" t="n">
        <v>45744</v>
      </c>
      <c r="D195" t="inlineStr">
        <is>
          <t>SKÅNE LÄN</t>
        </is>
      </c>
      <c r="E195" t="inlineStr">
        <is>
          <t>HÄSSLEHOLM</t>
        </is>
      </c>
      <c r="F195" t="inlineStr">
        <is>
          <t>Kyrkan</t>
        </is>
      </c>
      <c r="G195" t="n">
        <v>5.6</v>
      </c>
      <c r="H195" t="n">
        <v>0</v>
      </c>
      <c r="I195" t="n">
        <v>0</v>
      </c>
      <c r="J195" t="n">
        <v>0</v>
      </c>
      <c r="K195" t="n">
        <v>0</v>
      </c>
      <c r="L195" t="n">
        <v>0</v>
      </c>
      <c r="M195" t="n">
        <v>0</v>
      </c>
      <c r="N195" t="n">
        <v>0</v>
      </c>
      <c r="O195" t="n">
        <v>0</v>
      </c>
      <c r="P195" t="n">
        <v>0</v>
      </c>
      <c r="Q195" t="n">
        <v>0</v>
      </c>
      <c r="R195" s="2" t="inlineStr"/>
    </row>
    <row r="196" ht="15" customHeight="1">
      <c r="A196" t="inlineStr">
        <is>
          <t>A 8651-2020</t>
        </is>
      </c>
      <c r="B196" s="1" t="n">
        <v>43878</v>
      </c>
      <c r="C196" s="1" t="n">
        <v>45744</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8842-2020</t>
        </is>
      </c>
      <c r="B197" s="1" t="n">
        <v>43878</v>
      </c>
      <c r="C197" s="1" t="n">
        <v>45744</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8840-2020</t>
        </is>
      </c>
      <c r="B198" s="1" t="n">
        <v>43878</v>
      </c>
      <c r="C198" s="1" t="n">
        <v>45744</v>
      </c>
      <c r="D198" t="inlineStr">
        <is>
          <t>SKÅNE LÄN</t>
        </is>
      </c>
      <c r="E198" t="inlineStr">
        <is>
          <t>HÄSSLEHOLM</t>
        </is>
      </c>
      <c r="G198" t="n">
        <v>3.3</v>
      </c>
      <c r="H198" t="n">
        <v>0</v>
      </c>
      <c r="I198" t="n">
        <v>0</v>
      </c>
      <c r="J198" t="n">
        <v>0</v>
      </c>
      <c r="K198" t="n">
        <v>0</v>
      </c>
      <c r="L198" t="n">
        <v>0</v>
      </c>
      <c r="M198" t="n">
        <v>0</v>
      </c>
      <c r="N198" t="n">
        <v>0</v>
      </c>
      <c r="O198" t="n">
        <v>0</v>
      </c>
      <c r="P198" t="n">
        <v>0</v>
      </c>
      <c r="Q198" t="n">
        <v>0</v>
      </c>
      <c r="R198" s="2" t="inlineStr"/>
    </row>
    <row r="199" ht="15" customHeight="1">
      <c r="A199" t="inlineStr">
        <is>
          <t>A 9428-2020</t>
        </is>
      </c>
      <c r="B199" s="1" t="n">
        <v>43880</v>
      </c>
      <c r="C199" s="1" t="n">
        <v>45744</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9661-2020</t>
        </is>
      </c>
      <c r="B200" s="1" t="n">
        <v>43881</v>
      </c>
      <c r="C200" s="1" t="n">
        <v>45744</v>
      </c>
      <c r="D200" t="inlineStr">
        <is>
          <t>SKÅNE LÄN</t>
        </is>
      </c>
      <c r="E200" t="inlineStr">
        <is>
          <t>HÄSSLEHOLM</t>
        </is>
      </c>
      <c r="G200" t="n">
        <v>1.2</v>
      </c>
      <c r="H200" t="n">
        <v>0</v>
      </c>
      <c r="I200" t="n">
        <v>0</v>
      </c>
      <c r="J200" t="n">
        <v>0</v>
      </c>
      <c r="K200" t="n">
        <v>0</v>
      </c>
      <c r="L200" t="n">
        <v>0</v>
      </c>
      <c r="M200" t="n">
        <v>0</v>
      </c>
      <c r="N200" t="n">
        <v>0</v>
      </c>
      <c r="O200" t="n">
        <v>0</v>
      </c>
      <c r="P200" t="n">
        <v>0</v>
      </c>
      <c r="Q200" t="n">
        <v>0</v>
      </c>
      <c r="R200" s="2" t="inlineStr"/>
    </row>
    <row r="201" ht="15" customHeight="1">
      <c r="A201" t="inlineStr">
        <is>
          <t>A 9890-2020</t>
        </is>
      </c>
      <c r="B201" s="1" t="n">
        <v>43882</v>
      </c>
      <c r="C201" s="1" t="n">
        <v>45744</v>
      </c>
      <c r="D201" t="inlineStr">
        <is>
          <t>SKÅNE LÄN</t>
        </is>
      </c>
      <c r="E201" t="inlineStr">
        <is>
          <t>HÄSSLEHOLM</t>
        </is>
      </c>
      <c r="G201" t="n">
        <v>3.2</v>
      </c>
      <c r="H201" t="n">
        <v>0</v>
      </c>
      <c r="I201" t="n">
        <v>0</v>
      </c>
      <c r="J201" t="n">
        <v>0</v>
      </c>
      <c r="K201" t="n">
        <v>0</v>
      </c>
      <c r="L201" t="n">
        <v>0</v>
      </c>
      <c r="M201" t="n">
        <v>0</v>
      </c>
      <c r="N201" t="n">
        <v>0</v>
      </c>
      <c r="O201" t="n">
        <v>0</v>
      </c>
      <c r="P201" t="n">
        <v>0</v>
      </c>
      <c r="Q201" t="n">
        <v>0</v>
      </c>
      <c r="R201" s="2" t="inlineStr"/>
    </row>
    <row r="202" ht="15" customHeight="1">
      <c r="A202" t="inlineStr">
        <is>
          <t>A 9885-2020</t>
        </is>
      </c>
      <c r="B202" s="1" t="n">
        <v>43882</v>
      </c>
      <c r="C202" s="1" t="n">
        <v>45744</v>
      </c>
      <c r="D202" t="inlineStr">
        <is>
          <t>SKÅNE LÄN</t>
        </is>
      </c>
      <c r="E202" t="inlineStr">
        <is>
          <t>HÄSSLEHOLM</t>
        </is>
      </c>
      <c r="G202" t="n">
        <v>6.1</v>
      </c>
      <c r="H202" t="n">
        <v>0</v>
      </c>
      <c r="I202" t="n">
        <v>0</v>
      </c>
      <c r="J202" t="n">
        <v>0</v>
      </c>
      <c r="K202" t="n">
        <v>0</v>
      </c>
      <c r="L202" t="n">
        <v>0</v>
      </c>
      <c r="M202" t="n">
        <v>0</v>
      </c>
      <c r="N202" t="n">
        <v>0</v>
      </c>
      <c r="O202" t="n">
        <v>0</v>
      </c>
      <c r="P202" t="n">
        <v>0</v>
      </c>
      <c r="Q202" t="n">
        <v>0</v>
      </c>
      <c r="R202" s="2" t="inlineStr"/>
    </row>
    <row r="203" ht="15" customHeight="1">
      <c r="A203" t="inlineStr">
        <is>
          <t>A 10263-2020</t>
        </is>
      </c>
      <c r="B203" s="1" t="n">
        <v>43885</v>
      </c>
      <c r="C203" s="1" t="n">
        <v>45744</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10512-2020</t>
        </is>
      </c>
      <c r="B204" s="1" t="n">
        <v>43886</v>
      </c>
      <c r="C204" s="1" t="n">
        <v>45744</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10956-2020</t>
        </is>
      </c>
      <c r="B205" s="1" t="n">
        <v>43889</v>
      </c>
      <c r="C205" s="1" t="n">
        <v>45744</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11883-2020</t>
        </is>
      </c>
      <c r="B206" s="1" t="n">
        <v>43894</v>
      </c>
      <c r="C206" s="1" t="n">
        <v>45744</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11884-2020</t>
        </is>
      </c>
      <c r="B207" s="1" t="n">
        <v>43894</v>
      </c>
      <c r="C207" s="1" t="n">
        <v>45744</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11925-2020</t>
        </is>
      </c>
      <c r="B208" s="1" t="n">
        <v>43894</v>
      </c>
      <c r="C208" s="1" t="n">
        <v>45744</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11994-2020</t>
        </is>
      </c>
      <c r="B209" s="1" t="n">
        <v>43894</v>
      </c>
      <c r="C209" s="1" t="n">
        <v>45744</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13486-2020</t>
        </is>
      </c>
      <c r="B210" s="1" t="n">
        <v>43894</v>
      </c>
      <c r="C210" s="1" t="n">
        <v>45744</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12752-2020</t>
        </is>
      </c>
      <c r="B211" s="1" t="n">
        <v>43899</v>
      </c>
      <c r="C211" s="1" t="n">
        <v>45744</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12756-2020</t>
        </is>
      </c>
      <c r="B212" s="1" t="n">
        <v>43899</v>
      </c>
      <c r="C212" s="1" t="n">
        <v>45744</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12749-2020</t>
        </is>
      </c>
      <c r="B213" s="1" t="n">
        <v>43899</v>
      </c>
      <c r="C213" s="1" t="n">
        <v>45744</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13976-2020</t>
        </is>
      </c>
      <c r="B214" s="1" t="n">
        <v>43899</v>
      </c>
      <c r="C214" s="1" t="n">
        <v>45744</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13896-2020</t>
        </is>
      </c>
      <c r="B215" s="1" t="n">
        <v>43906</v>
      </c>
      <c r="C215" s="1" t="n">
        <v>45744</v>
      </c>
      <c r="D215" t="inlineStr">
        <is>
          <t>SKÅNE LÄN</t>
        </is>
      </c>
      <c r="E215" t="inlineStr">
        <is>
          <t>HÄSSLEHOLM</t>
        </is>
      </c>
      <c r="G215" t="n">
        <v>2.2</v>
      </c>
      <c r="H215" t="n">
        <v>0</v>
      </c>
      <c r="I215" t="n">
        <v>0</v>
      </c>
      <c r="J215" t="n">
        <v>0</v>
      </c>
      <c r="K215" t="n">
        <v>0</v>
      </c>
      <c r="L215" t="n">
        <v>0</v>
      </c>
      <c r="M215" t="n">
        <v>0</v>
      </c>
      <c r="N215" t="n">
        <v>0</v>
      </c>
      <c r="O215" t="n">
        <v>0</v>
      </c>
      <c r="P215" t="n">
        <v>0</v>
      </c>
      <c r="Q215" t="n">
        <v>0</v>
      </c>
      <c r="R215" s="2" t="inlineStr"/>
    </row>
    <row r="216" ht="15" customHeight="1">
      <c r="A216" t="inlineStr">
        <is>
          <t>A 14040-2020</t>
        </is>
      </c>
      <c r="B216" s="1" t="n">
        <v>43906</v>
      </c>
      <c r="C216" s="1" t="n">
        <v>45744</v>
      </c>
      <c r="D216" t="inlineStr">
        <is>
          <t>SKÅNE LÄN</t>
        </is>
      </c>
      <c r="E216" t="inlineStr">
        <is>
          <t>HÄSSLEHOLM</t>
        </is>
      </c>
      <c r="G216" t="n">
        <v>4.1</v>
      </c>
      <c r="H216" t="n">
        <v>0</v>
      </c>
      <c r="I216" t="n">
        <v>0</v>
      </c>
      <c r="J216" t="n">
        <v>0</v>
      </c>
      <c r="K216" t="n">
        <v>0</v>
      </c>
      <c r="L216" t="n">
        <v>0</v>
      </c>
      <c r="M216" t="n">
        <v>0</v>
      </c>
      <c r="N216" t="n">
        <v>0</v>
      </c>
      <c r="O216" t="n">
        <v>0</v>
      </c>
      <c r="P216" t="n">
        <v>0</v>
      </c>
      <c r="Q216" t="n">
        <v>0</v>
      </c>
      <c r="R216" s="2" t="inlineStr"/>
    </row>
    <row r="217" ht="15" customHeight="1">
      <c r="A217" t="inlineStr">
        <is>
          <t>A 15860-2020</t>
        </is>
      </c>
      <c r="B217" s="1" t="n">
        <v>43910</v>
      </c>
      <c r="C217" s="1" t="n">
        <v>45744</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15678-2020</t>
        </is>
      </c>
      <c r="B218" s="1" t="n">
        <v>43915</v>
      </c>
      <c r="C218" s="1" t="n">
        <v>45744</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17421-2020</t>
        </is>
      </c>
      <c r="B219" s="1" t="n">
        <v>43917</v>
      </c>
      <c r="C219" s="1" t="n">
        <v>45744</v>
      </c>
      <c r="D219" t="inlineStr">
        <is>
          <t>SKÅNE LÄN</t>
        </is>
      </c>
      <c r="E219" t="inlineStr">
        <is>
          <t>HÄSSLEHOLM</t>
        </is>
      </c>
      <c r="G219" t="n">
        <v>1.7</v>
      </c>
      <c r="H219" t="n">
        <v>0</v>
      </c>
      <c r="I219" t="n">
        <v>0</v>
      </c>
      <c r="J219" t="n">
        <v>0</v>
      </c>
      <c r="K219" t="n">
        <v>0</v>
      </c>
      <c r="L219" t="n">
        <v>0</v>
      </c>
      <c r="M219" t="n">
        <v>0</v>
      </c>
      <c r="N219" t="n">
        <v>0</v>
      </c>
      <c r="O219" t="n">
        <v>0</v>
      </c>
      <c r="P219" t="n">
        <v>0</v>
      </c>
      <c r="Q219" t="n">
        <v>0</v>
      </c>
      <c r="R219" s="2" t="inlineStr"/>
    </row>
    <row r="220" ht="15" customHeight="1">
      <c r="A220" t="inlineStr">
        <is>
          <t>A 17348-2020</t>
        </is>
      </c>
      <c r="B220" s="1" t="n">
        <v>43923</v>
      </c>
      <c r="C220" s="1" t="n">
        <v>45744</v>
      </c>
      <c r="D220" t="inlineStr">
        <is>
          <t>SKÅNE LÄN</t>
        </is>
      </c>
      <c r="E220" t="inlineStr">
        <is>
          <t>HÄSSLEHOLM</t>
        </is>
      </c>
      <c r="G220" t="n">
        <v>2.7</v>
      </c>
      <c r="H220" t="n">
        <v>0</v>
      </c>
      <c r="I220" t="n">
        <v>0</v>
      </c>
      <c r="J220" t="n">
        <v>0</v>
      </c>
      <c r="K220" t="n">
        <v>0</v>
      </c>
      <c r="L220" t="n">
        <v>0</v>
      </c>
      <c r="M220" t="n">
        <v>0</v>
      </c>
      <c r="N220" t="n">
        <v>0</v>
      </c>
      <c r="O220" t="n">
        <v>0</v>
      </c>
      <c r="P220" t="n">
        <v>0</v>
      </c>
      <c r="Q220" t="n">
        <v>0</v>
      </c>
      <c r="R220" s="2" t="inlineStr"/>
    </row>
    <row r="221" ht="15" customHeight="1">
      <c r="A221" t="inlineStr">
        <is>
          <t>A 18406-2020</t>
        </is>
      </c>
      <c r="B221" s="1" t="n">
        <v>43928</v>
      </c>
      <c r="C221" s="1" t="n">
        <v>45744</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18658-2020</t>
        </is>
      </c>
      <c r="B222" s="1" t="n">
        <v>43930</v>
      </c>
      <c r="C222" s="1" t="n">
        <v>45744</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18846-2020</t>
        </is>
      </c>
      <c r="B223" s="1" t="n">
        <v>43935</v>
      </c>
      <c r="C223" s="1" t="n">
        <v>45744</v>
      </c>
      <c r="D223" t="inlineStr">
        <is>
          <t>SKÅNE LÄN</t>
        </is>
      </c>
      <c r="E223" t="inlineStr">
        <is>
          <t>HÄSSLEHOLM</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20799-2020</t>
        </is>
      </c>
      <c r="B224" s="1" t="n">
        <v>43949</v>
      </c>
      <c r="C224" s="1" t="n">
        <v>45744</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20967-2020</t>
        </is>
      </c>
      <c r="B225" s="1" t="n">
        <v>43950</v>
      </c>
      <c r="C225" s="1" t="n">
        <v>45744</v>
      </c>
      <c r="D225" t="inlineStr">
        <is>
          <t>SKÅNE LÄN</t>
        </is>
      </c>
      <c r="E225" t="inlineStr">
        <is>
          <t>HÄSSLEHOLM</t>
        </is>
      </c>
      <c r="F225" t="inlineStr">
        <is>
          <t>Övriga Aktiebolag</t>
        </is>
      </c>
      <c r="G225" t="n">
        <v>7.9</v>
      </c>
      <c r="H225" t="n">
        <v>0</v>
      </c>
      <c r="I225" t="n">
        <v>0</v>
      </c>
      <c r="J225" t="n">
        <v>0</v>
      </c>
      <c r="K225" t="n">
        <v>0</v>
      </c>
      <c r="L225" t="n">
        <v>0</v>
      </c>
      <c r="M225" t="n">
        <v>0</v>
      </c>
      <c r="N225" t="n">
        <v>0</v>
      </c>
      <c r="O225" t="n">
        <v>0</v>
      </c>
      <c r="P225" t="n">
        <v>0</v>
      </c>
      <c r="Q225" t="n">
        <v>0</v>
      </c>
      <c r="R225" s="2" t="inlineStr"/>
    </row>
    <row r="226" ht="15" customHeight="1">
      <c r="A226" t="inlineStr">
        <is>
          <t>A 20977-2020</t>
        </is>
      </c>
      <c r="B226" s="1" t="n">
        <v>43950</v>
      </c>
      <c r="C226" s="1" t="n">
        <v>45744</v>
      </c>
      <c r="D226" t="inlineStr">
        <is>
          <t>SKÅNE LÄN</t>
        </is>
      </c>
      <c r="E226" t="inlineStr">
        <is>
          <t>HÄSSLEHOLM</t>
        </is>
      </c>
      <c r="F226" t="inlineStr">
        <is>
          <t>Övriga Aktiebolag</t>
        </is>
      </c>
      <c r="G226" t="n">
        <v>2.2</v>
      </c>
      <c r="H226" t="n">
        <v>0</v>
      </c>
      <c r="I226" t="n">
        <v>0</v>
      </c>
      <c r="J226" t="n">
        <v>0</v>
      </c>
      <c r="K226" t="n">
        <v>0</v>
      </c>
      <c r="L226" t="n">
        <v>0</v>
      </c>
      <c r="M226" t="n">
        <v>0</v>
      </c>
      <c r="N226" t="n">
        <v>0</v>
      </c>
      <c r="O226" t="n">
        <v>0</v>
      </c>
      <c r="P226" t="n">
        <v>0</v>
      </c>
      <c r="Q226" t="n">
        <v>0</v>
      </c>
      <c r="R226" s="2" t="inlineStr"/>
    </row>
    <row r="227" ht="15" customHeight="1">
      <c r="A227" t="inlineStr">
        <is>
          <t>A 20993-2020</t>
        </is>
      </c>
      <c r="B227" s="1" t="n">
        <v>43950</v>
      </c>
      <c r="C227" s="1" t="n">
        <v>45744</v>
      </c>
      <c r="D227" t="inlineStr">
        <is>
          <t>SKÅNE LÄN</t>
        </is>
      </c>
      <c r="E227" t="inlineStr">
        <is>
          <t>HÄSSLEHOLM</t>
        </is>
      </c>
      <c r="F227" t="inlineStr">
        <is>
          <t>Övriga Aktiebolag</t>
        </is>
      </c>
      <c r="G227" t="n">
        <v>10.5</v>
      </c>
      <c r="H227" t="n">
        <v>0</v>
      </c>
      <c r="I227" t="n">
        <v>0</v>
      </c>
      <c r="J227" t="n">
        <v>0</v>
      </c>
      <c r="K227" t="n">
        <v>0</v>
      </c>
      <c r="L227" t="n">
        <v>0</v>
      </c>
      <c r="M227" t="n">
        <v>0</v>
      </c>
      <c r="N227" t="n">
        <v>0</v>
      </c>
      <c r="O227" t="n">
        <v>0</v>
      </c>
      <c r="P227" t="n">
        <v>0</v>
      </c>
      <c r="Q227" t="n">
        <v>0</v>
      </c>
      <c r="R227" s="2" t="inlineStr"/>
    </row>
    <row r="228" ht="15" customHeight="1">
      <c r="A228" t="inlineStr">
        <is>
          <t>A 21263-2020</t>
        </is>
      </c>
      <c r="B228" s="1" t="n">
        <v>43951</v>
      </c>
      <c r="C228" s="1" t="n">
        <v>45744</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21452-2020</t>
        </is>
      </c>
      <c r="B229" s="1" t="n">
        <v>43955</v>
      </c>
      <c r="C229" s="1" t="n">
        <v>45744</v>
      </c>
      <c r="D229" t="inlineStr">
        <is>
          <t>SKÅNE LÄN</t>
        </is>
      </c>
      <c r="E229" t="inlineStr">
        <is>
          <t>HÄSSLEHOLM</t>
        </is>
      </c>
      <c r="G229" t="n">
        <v>6</v>
      </c>
      <c r="H229" t="n">
        <v>0</v>
      </c>
      <c r="I229" t="n">
        <v>0</v>
      </c>
      <c r="J229" t="n">
        <v>0</v>
      </c>
      <c r="K229" t="n">
        <v>0</v>
      </c>
      <c r="L229" t="n">
        <v>0</v>
      </c>
      <c r="M229" t="n">
        <v>0</v>
      </c>
      <c r="N229" t="n">
        <v>0</v>
      </c>
      <c r="O229" t="n">
        <v>0</v>
      </c>
      <c r="P229" t="n">
        <v>0</v>
      </c>
      <c r="Q229" t="n">
        <v>0</v>
      </c>
      <c r="R229" s="2" t="inlineStr"/>
    </row>
    <row r="230" ht="15" customHeight="1">
      <c r="A230" t="inlineStr">
        <is>
          <t>A 21522-2020</t>
        </is>
      </c>
      <c r="B230" s="1" t="n">
        <v>43955</v>
      </c>
      <c r="C230" s="1" t="n">
        <v>45744</v>
      </c>
      <c r="D230" t="inlineStr">
        <is>
          <t>SKÅNE LÄN</t>
        </is>
      </c>
      <c r="E230" t="inlineStr">
        <is>
          <t>HÄSSLEHOLM</t>
        </is>
      </c>
      <c r="F230" t="inlineStr">
        <is>
          <t>Övriga Aktiebolag</t>
        </is>
      </c>
      <c r="G230" t="n">
        <v>0.5</v>
      </c>
      <c r="H230" t="n">
        <v>0</v>
      </c>
      <c r="I230" t="n">
        <v>0</v>
      </c>
      <c r="J230" t="n">
        <v>0</v>
      </c>
      <c r="K230" t="n">
        <v>0</v>
      </c>
      <c r="L230" t="n">
        <v>0</v>
      </c>
      <c r="M230" t="n">
        <v>0</v>
      </c>
      <c r="N230" t="n">
        <v>0</v>
      </c>
      <c r="O230" t="n">
        <v>0</v>
      </c>
      <c r="P230" t="n">
        <v>0</v>
      </c>
      <c r="Q230" t="n">
        <v>0</v>
      </c>
      <c r="R230" s="2" t="inlineStr"/>
    </row>
    <row r="231" ht="15" customHeight="1">
      <c r="A231" t="inlineStr">
        <is>
          <t>A 21699-2020</t>
        </is>
      </c>
      <c r="B231" s="1" t="n">
        <v>43957</v>
      </c>
      <c r="C231" s="1" t="n">
        <v>45744</v>
      </c>
      <c r="D231" t="inlineStr">
        <is>
          <t>SKÅNE LÄN</t>
        </is>
      </c>
      <c r="E231" t="inlineStr">
        <is>
          <t>HÄSSLEHOLM</t>
        </is>
      </c>
      <c r="G231" t="n">
        <v>1.5</v>
      </c>
      <c r="H231" t="n">
        <v>0</v>
      </c>
      <c r="I231" t="n">
        <v>0</v>
      </c>
      <c r="J231" t="n">
        <v>0</v>
      </c>
      <c r="K231" t="n">
        <v>0</v>
      </c>
      <c r="L231" t="n">
        <v>0</v>
      </c>
      <c r="M231" t="n">
        <v>0</v>
      </c>
      <c r="N231" t="n">
        <v>0</v>
      </c>
      <c r="O231" t="n">
        <v>0</v>
      </c>
      <c r="P231" t="n">
        <v>0</v>
      </c>
      <c r="Q231" t="n">
        <v>0</v>
      </c>
      <c r="R231" s="2" t="inlineStr"/>
    </row>
    <row r="232" ht="15" customHeight="1">
      <c r="A232" t="inlineStr">
        <is>
          <t>A 21697-2020</t>
        </is>
      </c>
      <c r="B232" s="1" t="n">
        <v>43957</v>
      </c>
      <c r="C232" s="1" t="n">
        <v>45744</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21854-2020</t>
        </is>
      </c>
      <c r="B233" s="1" t="n">
        <v>43957</v>
      </c>
      <c r="C233" s="1" t="n">
        <v>45744</v>
      </c>
      <c r="D233" t="inlineStr">
        <is>
          <t>SKÅNE LÄN</t>
        </is>
      </c>
      <c r="E233" t="inlineStr">
        <is>
          <t>HÄSSLEHOLM</t>
        </is>
      </c>
      <c r="G233" t="n">
        <v>2.6</v>
      </c>
      <c r="H233" t="n">
        <v>0</v>
      </c>
      <c r="I233" t="n">
        <v>0</v>
      </c>
      <c r="J233" t="n">
        <v>0</v>
      </c>
      <c r="K233" t="n">
        <v>0</v>
      </c>
      <c r="L233" t="n">
        <v>0</v>
      </c>
      <c r="M233" t="n">
        <v>0</v>
      </c>
      <c r="N233" t="n">
        <v>0</v>
      </c>
      <c r="O233" t="n">
        <v>0</v>
      </c>
      <c r="P233" t="n">
        <v>0</v>
      </c>
      <c r="Q233" t="n">
        <v>0</v>
      </c>
      <c r="R233" s="2" t="inlineStr"/>
    </row>
    <row r="234" ht="15" customHeight="1">
      <c r="A234" t="inlineStr">
        <is>
          <t>A 23235-2020</t>
        </is>
      </c>
      <c r="B234" s="1" t="n">
        <v>43966</v>
      </c>
      <c r="C234" s="1" t="n">
        <v>45744</v>
      </c>
      <c r="D234" t="inlineStr">
        <is>
          <t>SKÅNE LÄN</t>
        </is>
      </c>
      <c r="E234" t="inlineStr">
        <is>
          <t>HÄSSLEHOLM</t>
        </is>
      </c>
      <c r="G234" t="n">
        <v>5.2</v>
      </c>
      <c r="H234" t="n">
        <v>0</v>
      </c>
      <c r="I234" t="n">
        <v>0</v>
      </c>
      <c r="J234" t="n">
        <v>0</v>
      </c>
      <c r="K234" t="n">
        <v>0</v>
      </c>
      <c r="L234" t="n">
        <v>0</v>
      </c>
      <c r="M234" t="n">
        <v>0</v>
      </c>
      <c r="N234" t="n">
        <v>0</v>
      </c>
      <c r="O234" t="n">
        <v>0</v>
      </c>
      <c r="P234" t="n">
        <v>0</v>
      </c>
      <c r="Q234" t="n">
        <v>0</v>
      </c>
      <c r="R234" s="2" t="inlineStr"/>
    </row>
    <row r="235" ht="15" customHeight="1">
      <c r="A235" t="inlineStr">
        <is>
          <t>A 24227-2020</t>
        </is>
      </c>
      <c r="B235" s="1" t="n">
        <v>43970</v>
      </c>
      <c r="C235" s="1" t="n">
        <v>45744</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24233-2020</t>
        </is>
      </c>
      <c r="B236" s="1" t="n">
        <v>43970</v>
      </c>
      <c r="C236" s="1" t="n">
        <v>45744</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24115-2020</t>
        </is>
      </c>
      <c r="B237" s="1" t="n">
        <v>43973</v>
      </c>
      <c r="C237" s="1" t="n">
        <v>45744</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24669-2020</t>
        </is>
      </c>
      <c r="B238" s="1" t="n">
        <v>43977</v>
      </c>
      <c r="C238" s="1" t="n">
        <v>45744</v>
      </c>
      <c r="D238" t="inlineStr">
        <is>
          <t>SKÅNE LÄN</t>
        </is>
      </c>
      <c r="E238" t="inlineStr">
        <is>
          <t>HÄSSLEHOLM</t>
        </is>
      </c>
      <c r="G238" t="n">
        <v>5.4</v>
      </c>
      <c r="H238" t="n">
        <v>0</v>
      </c>
      <c r="I238" t="n">
        <v>0</v>
      </c>
      <c r="J238" t="n">
        <v>0</v>
      </c>
      <c r="K238" t="n">
        <v>0</v>
      </c>
      <c r="L238" t="n">
        <v>0</v>
      </c>
      <c r="M238" t="n">
        <v>0</v>
      </c>
      <c r="N238" t="n">
        <v>0</v>
      </c>
      <c r="O238" t="n">
        <v>0</v>
      </c>
      <c r="P238" t="n">
        <v>0</v>
      </c>
      <c r="Q238" t="n">
        <v>0</v>
      </c>
      <c r="R238" s="2" t="inlineStr"/>
    </row>
    <row r="239" ht="15" customHeight="1">
      <c r="A239" t="inlineStr">
        <is>
          <t>A 24668-2020</t>
        </is>
      </c>
      <c r="B239" s="1" t="n">
        <v>43977</v>
      </c>
      <c r="C239" s="1" t="n">
        <v>45744</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25071-2020</t>
        </is>
      </c>
      <c r="B240" s="1" t="n">
        <v>43979</v>
      </c>
      <c r="C240" s="1" t="n">
        <v>45744</v>
      </c>
      <c r="D240" t="inlineStr">
        <is>
          <t>SKÅNE LÄN</t>
        </is>
      </c>
      <c r="E240" t="inlineStr">
        <is>
          <t>HÄSSLEHOLM</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25519-2020</t>
        </is>
      </c>
      <c r="B241" s="1" t="n">
        <v>43983</v>
      </c>
      <c r="C241" s="1" t="n">
        <v>45744</v>
      </c>
      <c r="D241" t="inlineStr">
        <is>
          <t>SKÅNE LÄN</t>
        </is>
      </c>
      <c r="E241" t="inlineStr">
        <is>
          <t>HÄSSLEHOLM</t>
        </is>
      </c>
      <c r="G241" t="n">
        <v>1.7</v>
      </c>
      <c r="H241" t="n">
        <v>0</v>
      </c>
      <c r="I241" t="n">
        <v>0</v>
      </c>
      <c r="J241" t="n">
        <v>0</v>
      </c>
      <c r="K241" t="n">
        <v>0</v>
      </c>
      <c r="L241" t="n">
        <v>0</v>
      </c>
      <c r="M241" t="n">
        <v>0</v>
      </c>
      <c r="N241" t="n">
        <v>0</v>
      </c>
      <c r="O241" t="n">
        <v>0</v>
      </c>
      <c r="P241" t="n">
        <v>0</v>
      </c>
      <c r="Q241" t="n">
        <v>0</v>
      </c>
      <c r="R241" s="2" t="inlineStr"/>
    </row>
    <row r="242" ht="15" customHeight="1">
      <c r="A242" t="inlineStr">
        <is>
          <t>A 26020-2020</t>
        </is>
      </c>
      <c r="B242" s="1" t="n">
        <v>43985</v>
      </c>
      <c r="C242" s="1" t="n">
        <v>45744</v>
      </c>
      <c r="D242" t="inlineStr">
        <is>
          <t>SKÅNE LÄN</t>
        </is>
      </c>
      <c r="E242" t="inlineStr">
        <is>
          <t>HÄSSLEHOLM</t>
        </is>
      </c>
      <c r="G242" t="n">
        <v>3.8</v>
      </c>
      <c r="H242" t="n">
        <v>0</v>
      </c>
      <c r="I242" t="n">
        <v>0</v>
      </c>
      <c r="J242" t="n">
        <v>0</v>
      </c>
      <c r="K242" t="n">
        <v>0</v>
      </c>
      <c r="L242" t="n">
        <v>0</v>
      </c>
      <c r="M242" t="n">
        <v>0</v>
      </c>
      <c r="N242" t="n">
        <v>0</v>
      </c>
      <c r="O242" t="n">
        <v>0</v>
      </c>
      <c r="P242" t="n">
        <v>0</v>
      </c>
      <c r="Q242" t="n">
        <v>0</v>
      </c>
      <c r="R242" s="2" t="inlineStr"/>
    </row>
    <row r="243" ht="15" customHeight="1">
      <c r="A243" t="inlineStr">
        <is>
          <t>A 26147-2020</t>
        </is>
      </c>
      <c r="B243" s="1" t="n">
        <v>43985</v>
      </c>
      <c r="C243" s="1" t="n">
        <v>45744</v>
      </c>
      <c r="D243" t="inlineStr">
        <is>
          <t>SKÅNE LÄN</t>
        </is>
      </c>
      <c r="E243" t="inlineStr">
        <is>
          <t>HÄSSLEHOLM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26019-2020</t>
        </is>
      </c>
      <c r="B244" s="1" t="n">
        <v>43985</v>
      </c>
      <c r="C244" s="1" t="n">
        <v>45744</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26451-2020</t>
        </is>
      </c>
      <c r="B245" s="1" t="n">
        <v>43987</v>
      </c>
      <c r="C245" s="1" t="n">
        <v>45744</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27243-2020</t>
        </is>
      </c>
      <c r="B246" s="1" t="n">
        <v>43992</v>
      </c>
      <c r="C246" s="1" t="n">
        <v>45744</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27935-2020</t>
        </is>
      </c>
      <c r="B247" s="1" t="n">
        <v>43993</v>
      </c>
      <c r="C247" s="1" t="n">
        <v>45744</v>
      </c>
      <c r="D247" t="inlineStr">
        <is>
          <t>SKÅNE LÄN</t>
        </is>
      </c>
      <c r="E247" t="inlineStr">
        <is>
          <t>HÄSSLEHOLM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28023-2020</t>
        </is>
      </c>
      <c r="B248" s="1" t="n">
        <v>43997</v>
      </c>
      <c r="C248" s="1" t="n">
        <v>45744</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29016-2020</t>
        </is>
      </c>
      <c r="B249" s="1" t="n">
        <v>43999</v>
      </c>
      <c r="C249" s="1" t="n">
        <v>45744</v>
      </c>
      <c r="D249" t="inlineStr">
        <is>
          <t>SKÅNE LÄN</t>
        </is>
      </c>
      <c r="E249" t="inlineStr">
        <is>
          <t>HÄSSLEHOLM</t>
        </is>
      </c>
      <c r="G249" t="n">
        <v>2.6</v>
      </c>
      <c r="H249" t="n">
        <v>0</v>
      </c>
      <c r="I249" t="n">
        <v>0</v>
      </c>
      <c r="J249" t="n">
        <v>0</v>
      </c>
      <c r="K249" t="n">
        <v>0</v>
      </c>
      <c r="L249" t="n">
        <v>0</v>
      </c>
      <c r="M249" t="n">
        <v>0</v>
      </c>
      <c r="N249" t="n">
        <v>0</v>
      </c>
      <c r="O249" t="n">
        <v>0</v>
      </c>
      <c r="P249" t="n">
        <v>0</v>
      </c>
      <c r="Q249" t="n">
        <v>0</v>
      </c>
      <c r="R249" s="2" t="inlineStr"/>
    </row>
    <row r="250" ht="15" customHeight="1">
      <c r="A250" t="inlineStr">
        <is>
          <t>A 28884-2020</t>
        </is>
      </c>
      <c r="B250" s="1" t="n">
        <v>43999</v>
      </c>
      <c r="C250" s="1" t="n">
        <v>45744</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28863-2020</t>
        </is>
      </c>
      <c r="B251" s="1" t="n">
        <v>43999</v>
      </c>
      <c r="C251" s="1" t="n">
        <v>45744</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29230-2020</t>
        </is>
      </c>
      <c r="B252" s="1" t="n">
        <v>44004</v>
      </c>
      <c r="C252" s="1" t="n">
        <v>45744</v>
      </c>
      <c r="D252" t="inlineStr">
        <is>
          <t>SKÅNE LÄN</t>
        </is>
      </c>
      <c r="E252" t="inlineStr">
        <is>
          <t>HÄSSLEHOLM</t>
        </is>
      </c>
      <c r="G252" t="n">
        <v>1.6</v>
      </c>
      <c r="H252" t="n">
        <v>0</v>
      </c>
      <c r="I252" t="n">
        <v>0</v>
      </c>
      <c r="J252" t="n">
        <v>0</v>
      </c>
      <c r="K252" t="n">
        <v>0</v>
      </c>
      <c r="L252" t="n">
        <v>0</v>
      </c>
      <c r="M252" t="n">
        <v>0</v>
      </c>
      <c r="N252" t="n">
        <v>0</v>
      </c>
      <c r="O252" t="n">
        <v>0</v>
      </c>
      <c r="P252" t="n">
        <v>0</v>
      </c>
      <c r="Q252" t="n">
        <v>0</v>
      </c>
      <c r="R252" s="2" t="inlineStr"/>
    </row>
    <row r="253" ht="15" customHeight="1">
      <c r="A253" t="inlineStr">
        <is>
          <t>A 29719-2020</t>
        </is>
      </c>
      <c r="B253" s="1" t="n">
        <v>44005</v>
      </c>
      <c r="C253" s="1" t="n">
        <v>45744</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29932-2020</t>
        </is>
      </c>
      <c r="B254" s="1" t="n">
        <v>44006</v>
      </c>
      <c r="C254" s="1" t="n">
        <v>45744</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30292-2020</t>
        </is>
      </c>
      <c r="B255" s="1" t="n">
        <v>44007</v>
      </c>
      <c r="C255" s="1" t="n">
        <v>45744</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30719-2020</t>
        </is>
      </c>
      <c r="B256" s="1" t="n">
        <v>44008</v>
      </c>
      <c r="C256" s="1" t="n">
        <v>45744</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30816-2020</t>
        </is>
      </c>
      <c r="B257" s="1" t="n">
        <v>44011</v>
      </c>
      <c r="C257" s="1" t="n">
        <v>45744</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31069-2020</t>
        </is>
      </c>
      <c r="B258" s="1" t="n">
        <v>44012</v>
      </c>
      <c r="C258" s="1" t="n">
        <v>45744</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31617-2020</t>
        </is>
      </c>
      <c r="B259" s="1" t="n">
        <v>44013</v>
      </c>
      <c r="C259" s="1" t="n">
        <v>45744</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31628-2020</t>
        </is>
      </c>
      <c r="B260" s="1" t="n">
        <v>44013</v>
      </c>
      <c r="C260" s="1" t="n">
        <v>45744</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31625-2020</t>
        </is>
      </c>
      <c r="B261" s="1" t="n">
        <v>44013</v>
      </c>
      <c r="C261" s="1" t="n">
        <v>45744</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32727-2020</t>
        </is>
      </c>
      <c r="B262" s="1" t="n">
        <v>44019</v>
      </c>
      <c r="C262" s="1" t="n">
        <v>45744</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33302-2020</t>
        </is>
      </c>
      <c r="B263" s="1" t="n">
        <v>44022</v>
      </c>
      <c r="C263" s="1" t="n">
        <v>45744</v>
      </c>
      <c r="D263" t="inlineStr">
        <is>
          <t>SKÅNE LÄN</t>
        </is>
      </c>
      <c r="E263" t="inlineStr">
        <is>
          <t>HÄSSLEHOLM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33300-2020</t>
        </is>
      </c>
      <c r="B264" s="1" t="n">
        <v>44022</v>
      </c>
      <c r="C264" s="1" t="n">
        <v>45744</v>
      </c>
      <c r="D264" t="inlineStr">
        <is>
          <t>SKÅNE LÄN</t>
        </is>
      </c>
      <c r="E264" t="inlineStr">
        <is>
          <t>HÄSSLEHOLM</t>
        </is>
      </c>
      <c r="G264" t="n">
        <v>8.9</v>
      </c>
      <c r="H264" t="n">
        <v>0</v>
      </c>
      <c r="I264" t="n">
        <v>0</v>
      </c>
      <c r="J264" t="n">
        <v>0</v>
      </c>
      <c r="K264" t="n">
        <v>0</v>
      </c>
      <c r="L264" t="n">
        <v>0</v>
      </c>
      <c r="M264" t="n">
        <v>0</v>
      </c>
      <c r="N264" t="n">
        <v>0</v>
      </c>
      <c r="O264" t="n">
        <v>0</v>
      </c>
      <c r="P264" t="n">
        <v>0</v>
      </c>
      <c r="Q264" t="n">
        <v>0</v>
      </c>
      <c r="R264" s="2" t="inlineStr"/>
    </row>
    <row r="265" ht="15" customHeight="1">
      <c r="A265" t="inlineStr">
        <is>
          <t>A 33544-2020</t>
        </is>
      </c>
      <c r="B265" s="1" t="n">
        <v>44025</v>
      </c>
      <c r="C265" s="1" t="n">
        <v>45744</v>
      </c>
      <c r="D265" t="inlineStr">
        <is>
          <t>SKÅNE LÄN</t>
        </is>
      </c>
      <c r="E265" t="inlineStr">
        <is>
          <t>HÄSSLEHOLM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33824-2020</t>
        </is>
      </c>
      <c r="B266" s="1" t="n">
        <v>44027</v>
      </c>
      <c r="C266" s="1" t="n">
        <v>45744</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33854-2020</t>
        </is>
      </c>
      <c r="B267" s="1" t="n">
        <v>44027</v>
      </c>
      <c r="C267" s="1" t="n">
        <v>45744</v>
      </c>
      <c r="D267" t="inlineStr">
        <is>
          <t>SKÅNE LÄN</t>
        </is>
      </c>
      <c r="E267" t="inlineStr">
        <is>
          <t>HÄSSLEHOLM</t>
        </is>
      </c>
      <c r="G267" t="n">
        <v>4.7</v>
      </c>
      <c r="H267" t="n">
        <v>0</v>
      </c>
      <c r="I267" t="n">
        <v>0</v>
      </c>
      <c r="J267" t="n">
        <v>0</v>
      </c>
      <c r="K267" t="n">
        <v>0</v>
      </c>
      <c r="L267" t="n">
        <v>0</v>
      </c>
      <c r="M267" t="n">
        <v>0</v>
      </c>
      <c r="N267" t="n">
        <v>0</v>
      </c>
      <c r="O267" t="n">
        <v>0</v>
      </c>
      <c r="P267" t="n">
        <v>0</v>
      </c>
      <c r="Q267" t="n">
        <v>0</v>
      </c>
      <c r="R267" s="2" t="inlineStr"/>
    </row>
    <row r="268" ht="15" customHeight="1">
      <c r="A268" t="inlineStr">
        <is>
          <t>A 34871-2020</t>
        </is>
      </c>
      <c r="B268" s="1" t="n">
        <v>44036</v>
      </c>
      <c r="C268" s="1" t="n">
        <v>45744</v>
      </c>
      <c r="D268" t="inlineStr">
        <is>
          <t>SKÅNE LÄN</t>
        </is>
      </c>
      <c r="E268" t="inlineStr">
        <is>
          <t>HÄSSLEHOLM</t>
        </is>
      </c>
      <c r="G268" t="n">
        <v>1.7</v>
      </c>
      <c r="H268" t="n">
        <v>0</v>
      </c>
      <c r="I268" t="n">
        <v>0</v>
      </c>
      <c r="J268" t="n">
        <v>0</v>
      </c>
      <c r="K268" t="n">
        <v>0</v>
      </c>
      <c r="L268" t="n">
        <v>0</v>
      </c>
      <c r="M268" t="n">
        <v>0</v>
      </c>
      <c r="N268" t="n">
        <v>0</v>
      </c>
      <c r="O268" t="n">
        <v>0</v>
      </c>
      <c r="P268" t="n">
        <v>0</v>
      </c>
      <c r="Q268" t="n">
        <v>0</v>
      </c>
      <c r="R268" s="2" t="inlineStr"/>
    </row>
    <row r="269" ht="15" customHeight="1">
      <c r="A269" t="inlineStr">
        <is>
          <t>A 34873-2020</t>
        </is>
      </c>
      <c r="B269" s="1" t="n">
        <v>44036</v>
      </c>
      <c r="C269" s="1" t="n">
        <v>45744</v>
      </c>
      <c r="D269" t="inlineStr">
        <is>
          <t>SKÅNE LÄN</t>
        </is>
      </c>
      <c r="E269" t="inlineStr">
        <is>
          <t>HÄSSLEHOLM</t>
        </is>
      </c>
      <c r="G269" t="n">
        <v>2.7</v>
      </c>
      <c r="H269" t="n">
        <v>0</v>
      </c>
      <c r="I269" t="n">
        <v>0</v>
      </c>
      <c r="J269" t="n">
        <v>0</v>
      </c>
      <c r="K269" t="n">
        <v>0</v>
      </c>
      <c r="L269" t="n">
        <v>0</v>
      </c>
      <c r="M269" t="n">
        <v>0</v>
      </c>
      <c r="N269" t="n">
        <v>0</v>
      </c>
      <c r="O269" t="n">
        <v>0</v>
      </c>
      <c r="P269" t="n">
        <v>0</v>
      </c>
      <c r="Q269" t="n">
        <v>0</v>
      </c>
      <c r="R269" s="2" t="inlineStr"/>
    </row>
    <row r="270" ht="15" customHeight="1">
      <c r="A270" t="inlineStr">
        <is>
          <t>A 35188-2020</t>
        </is>
      </c>
      <c r="B270" s="1" t="n">
        <v>44040</v>
      </c>
      <c r="C270" s="1" t="n">
        <v>45744</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35175-2020</t>
        </is>
      </c>
      <c r="B271" s="1" t="n">
        <v>44040</v>
      </c>
      <c r="C271" s="1" t="n">
        <v>45744</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35399-2020</t>
        </is>
      </c>
      <c r="B272" s="1" t="n">
        <v>44042</v>
      </c>
      <c r="C272" s="1" t="n">
        <v>45744</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35857-2020</t>
        </is>
      </c>
      <c r="B273" s="1" t="n">
        <v>44047</v>
      </c>
      <c r="C273" s="1" t="n">
        <v>45744</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36721-2020</t>
        </is>
      </c>
      <c r="B274" s="1" t="n">
        <v>44053</v>
      </c>
      <c r="C274" s="1" t="n">
        <v>45744</v>
      </c>
      <c r="D274" t="inlineStr">
        <is>
          <t>SKÅNE LÄN</t>
        </is>
      </c>
      <c r="E274" t="inlineStr">
        <is>
          <t>HÄSSLEHOLM</t>
        </is>
      </c>
      <c r="G274" t="n">
        <v>0.4</v>
      </c>
      <c r="H274" t="n">
        <v>0</v>
      </c>
      <c r="I274" t="n">
        <v>0</v>
      </c>
      <c r="J274" t="n">
        <v>0</v>
      </c>
      <c r="K274" t="n">
        <v>0</v>
      </c>
      <c r="L274" t="n">
        <v>0</v>
      </c>
      <c r="M274" t="n">
        <v>0</v>
      </c>
      <c r="N274" t="n">
        <v>0</v>
      </c>
      <c r="O274" t="n">
        <v>0</v>
      </c>
      <c r="P274" t="n">
        <v>0</v>
      </c>
      <c r="Q274" t="n">
        <v>0</v>
      </c>
      <c r="R274" s="2" t="inlineStr"/>
    </row>
    <row r="275" ht="15" customHeight="1">
      <c r="A275" t="inlineStr">
        <is>
          <t>A 36728-2020</t>
        </is>
      </c>
      <c r="B275" s="1" t="n">
        <v>44053</v>
      </c>
      <c r="C275" s="1" t="n">
        <v>45744</v>
      </c>
      <c r="D275" t="inlineStr">
        <is>
          <t>SKÅNE LÄN</t>
        </is>
      </c>
      <c r="E275" t="inlineStr">
        <is>
          <t>HÄSSLEHOLM</t>
        </is>
      </c>
      <c r="G275" t="n">
        <v>0.2</v>
      </c>
      <c r="H275" t="n">
        <v>0</v>
      </c>
      <c r="I275" t="n">
        <v>0</v>
      </c>
      <c r="J275" t="n">
        <v>0</v>
      </c>
      <c r="K275" t="n">
        <v>0</v>
      </c>
      <c r="L275" t="n">
        <v>0</v>
      </c>
      <c r="M275" t="n">
        <v>0</v>
      </c>
      <c r="N275" t="n">
        <v>0</v>
      </c>
      <c r="O275" t="n">
        <v>0</v>
      </c>
      <c r="P275" t="n">
        <v>0</v>
      </c>
      <c r="Q275" t="n">
        <v>0</v>
      </c>
      <c r="R275" s="2" t="inlineStr"/>
    </row>
    <row r="276" ht="15" customHeight="1">
      <c r="A276" t="inlineStr">
        <is>
          <t>A 37655-2020</t>
        </is>
      </c>
      <c r="B276" s="1" t="n">
        <v>44056</v>
      </c>
      <c r="C276" s="1" t="n">
        <v>45744</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38110-2020</t>
        </is>
      </c>
      <c r="B277" s="1" t="n">
        <v>44058</v>
      </c>
      <c r="C277" s="1" t="n">
        <v>45744</v>
      </c>
      <c r="D277" t="inlineStr">
        <is>
          <t>SKÅNE LÄN</t>
        </is>
      </c>
      <c r="E277" t="inlineStr">
        <is>
          <t>HÄSSLEHOLM</t>
        </is>
      </c>
      <c r="G277" t="n">
        <v>4.2</v>
      </c>
      <c r="H277" t="n">
        <v>0</v>
      </c>
      <c r="I277" t="n">
        <v>0</v>
      </c>
      <c r="J277" t="n">
        <v>0</v>
      </c>
      <c r="K277" t="n">
        <v>0</v>
      </c>
      <c r="L277" t="n">
        <v>0</v>
      </c>
      <c r="M277" t="n">
        <v>0</v>
      </c>
      <c r="N277" t="n">
        <v>0</v>
      </c>
      <c r="O277" t="n">
        <v>0</v>
      </c>
      <c r="P277" t="n">
        <v>0</v>
      </c>
      <c r="Q277" t="n">
        <v>0</v>
      </c>
      <c r="R277" s="2" t="inlineStr"/>
    </row>
    <row r="278" ht="15" customHeight="1">
      <c r="A278" t="inlineStr">
        <is>
          <t>A 38138-2020</t>
        </is>
      </c>
      <c r="B278" s="1" t="n">
        <v>44060</v>
      </c>
      <c r="C278" s="1" t="n">
        <v>45744</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39672-2020</t>
        </is>
      </c>
      <c r="B279" s="1" t="n">
        <v>44065</v>
      </c>
      <c r="C279" s="1" t="n">
        <v>45744</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40329-2020</t>
        </is>
      </c>
      <c r="B280" s="1" t="n">
        <v>44067</v>
      </c>
      <c r="C280" s="1" t="n">
        <v>45744</v>
      </c>
      <c r="D280" t="inlineStr">
        <is>
          <t>SKÅNE LÄN</t>
        </is>
      </c>
      <c r="E280" t="inlineStr">
        <is>
          <t>HÄSSLEHOLM</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40319-2020</t>
        </is>
      </c>
      <c r="B281" s="1" t="n">
        <v>44068</v>
      </c>
      <c r="C281" s="1" t="n">
        <v>45744</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40292-2020</t>
        </is>
      </c>
      <c r="B282" s="1" t="n">
        <v>44068</v>
      </c>
      <c r="C282" s="1" t="n">
        <v>45744</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42839-2020</t>
        </is>
      </c>
      <c r="B283" s="1" t="n">
        <v>44078</v>
      </c>
      <c r="C283" s="1" t="n">
        <v>45744</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42812-2020</t>
        </is>
      </c>
      <c r="B284" s="1" t="n">
        <v>44078</v>
      </c>
      <c r="C284" s="1" t="n">
        <v>45744</v>
      </c>
      <c r="D284" t="inlineStr">
        <is>
          <t>SKÅNE LÄN</t>
        </is>
      </c>
      <c r="E284" t="inlineStr">
        <is>
          <t>HÄSSLEHOLM</t>
        </is>
      </c>
      <c r="G284" t="n">
        <v>1.7</v>
      </c>
      <c r="H284" t="n">
        <v>0</v>
      </c>
      <c r="I284" t="n">
        <v>0</v>
      </c>
      <c r="J284" t="n">
        <v>0</v>
      </c>
      <c r="K284" t="n">
        <v>0</v>
      </c>
      <c r="L284" t="n">
        <v>0</v>
      </c>
      <c r="M284" t="n">
        <v>0</v>
      </c>
      <c r="N284" t="n">
        <v>0</v>
      </c>
      <c r="O284" t="n">
        <v>0</v>
      </c>
      <c r="P284" t="n">
        <v>0</v>
      </c>
      <c r="Q284" t="n">
        <v>0</v>
      </c>
      <c r="R284" s="2" t="inlineStr"/>
    </row>
    <row r="285" ht="15" customHeight="1">
      <c r="A285" t="inlineStr">
        <is>
          <t>A 42815-2020</t>
        </is>
      </c>
      <c r="B285" s="1" t="n">
        <v>44078</v>
      </c>
      <c r="C285" s="1" t="n">
        <v>45744</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43045-2020</t>
        </is>
      </c>
      <c r="B286" s="1" t="n">
        <v>44078</v>
      </c>
      <c r="C286" s="1" t="n">
        <v>45744</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43580-2020</t>
        </is>
      </c>
      <c r="B287" s="1" t="n">
        <v>44082</v>
      </c>
      <c r="C287" s="1" t="n">
        <v>45744</v>
      </c>
      <c r="D287" t="inlineStr">
        <is>
          <t>SKÅNE LÄN</t>
        </is>
      </c>
      <c r="E287" t="inlineStr">
        <is>
          <t>HÄSSLEHOLM</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43595-2020</t>
        </is>
      </c>
      <c r="B288" s="1" t="n">
        <v>44082</v>
      </c>
      <c r="C288" s="1" t="n">
        <v>45744</v>
      </c>
      <c r="D288" t="inlineStr">
        <is>
          <t>SKÅNE LÄN</t>
        </is>
      </c>
      <c r="E288" t="inlineStr">
        <is>
          <t>HÄSSLEHOLM</t>
        </is>
      </c>
      <c r="F288" t="inlineStr">
        <is>
          <t>Kyrkan</t>
        </is>
      </c>
      <c r="G288" t="n">
        <v>1.4</v>
      </c>
      <c r="H288" t="n">
        <v>0</v>
      </c>
      <c r="I288" t="n">
        <v>0</v>
      </c>
      <c r="J288" t="n">
        <v>0</v>
      </c>
      <c r="K288" t="n">
        <v>0</v>
      </c>
      <c r="L288" t="n">
        <v>0</v>
      </c>
      <c r="M288" t="n">
        <v>0</v>
      </c>
      <c r="N288" t="n">
        <v>0</v>
      </c>
      <c r="O288" t="n">
        <v>0</v>
      </c>
      <c r="P288" t="n">
        <v>0</v>
      </c>
      <c r="Q288" t="n">
        <v>0</v>
      </c>
      <c r="R288" s="2" t="inlineStr"/>
    </row>
    <row r="289" ht="15" customHeight="1">
      <c r="A289" t="inlineStr">
        <is>
          <t>A 43600-2020</t>
        </is>
      </c>
      <c r="B289" s="1" t="n">
        <v>44082</v>
      </c>
      <c r="C289" s="1" t="n">
        <v>45744</v>
      </c>
      <c r="D289" t="inlineStr">
        <is>
          <t>SKÅNE LÄN</t>
        </is>
      </c>
      <c r="E289" t="inlineStr">
        <is>
          <t>HÄSSLEHOLM</t>
        </is>
      </c>
      <c r="F289" t="inlineStr">
        <is>
          <t>Kyrkan</t>
        </is>
      </c>
      <c r="G289" t="n">
        <v>0.9</v>
      </c>
      <c r="H289" t="n">
        <v>0</v>
      </c>
      <c r="I289" t="n">
        <v>0</v>
      </c>
      <c r="J289" t="n">
        <v>0</v>
      </c>
      <c r="K289" t="n">
        <v>0</v>
      </c>
      <c r="L289" t="n">
        <v>0</v>
      </c>
      <c r="M289" t="n">
        <v>0</v>
      </c>
      <c r="N289" t="n">
        <v>0</v>
      </c>
      <c r="O289" t="n">
        <v>0</v>
      </c>
      <c r="P289" t="n">
        <v>0</v>
      </c>
      <c r="Q289" t="n">
        <v>0</v>
      </c>
      <c r="R289" s="2" t="inlineStr"/>
    </row>
    <row r="290" ht="15" customHeight="1">
      <c r="A290" t="inlineStr">
        <is>
          <t>A 44228-2020</t>
        </is>
      </c>
      <c r="B290" s="1" t="n">
        <v>44082</v>
      </c>
      <c r="C290" s="1" t="n">
        <v>45744</v>
      </c>
      <c r="D290" t="inlineStr">
        <is>
          <t>SKÅNE LÄN</t>
        </is>
      </c>
      <c r="E290" t="inlineStr">
        <is>
          <t>HÄSSLEHOLM</t>
        </is>
      </c>
      <c r="G290" t="n">
        <v>1.6</v>
      </c>
      <c r="H290" t="n">
        <v>0</v>
      </c>
      <c r="I290" t="n">
        <v>0</v>
      </c>
      <c r="J290" t="n">
        <v>0</v>
      </c>
      <c r="K290" t="n">
        <v>0</v>
      </c>
      <c r="L290" t="n">
        <v>0</v>
      </c>
      <c r="M290" t="n">
        <v>0</v>
      </c>
      <c r="N290" t="n">
        <v>0</v>
      </c>
      <c r="O290" t="n">
        <v>0</v>
      </c>
      <c r="P290" t="n">
        <v>0</v>
      </c>
      <c r="Q290" t="n">
        <v>0</v>
      </c>
      <c r="R290" s="2" t="inlineStr"/>
    </row>
    <row r="291" ht="15" customHeight="1">
      <c r="A291" t="inlineStr">
        <is>
          <t>A 44527-2020</t>
        </is>
      </c>
      <c r="B291" s="1" t="n">
        <v>44085</v>
      </c>
      <c r="C291" s="1" t="n">
        <v>45744</v>
      </c>
      <c r="D291" t="inlineStr">
        <is>
          <t>SKÅNE LÄN</t>
        </is>
      </c>
      <c r="E291" t="inlineStr">
        <is>
          <t>HÄSSLEHOLM</t>
        </is>
      </c>
      <c r="F291" t="inlineStr">
        <is>
          <t>Kommuner</t>
        </is>
      </c>
      <c r="G291" t="n">
        <v>7.7</v>
      </c>
      <c r="H291" t="n">
        <v>0</v>
      </c>
      <c r="I291" t="n">
        <v>0</v>
      </c>
      <c r="J291" t="n">
        <v>0</v>
      </c>
      <c r="K291" t="n">
        <v>0</v>
      </c>
      <c r="L291" t="n">
        <v>0</v>
      </c>
      <c r="M291" t="n">
        <v>0</v>
      </c>
      <c r="N291" t="n">
        <v>0</v>
      </c>
      <c r="O291" t="n">
        <v>0</v>
      </c>
      <c r="P291" t="n">
        <v>0</v>
      </c>
      <c r="Q291" t="n">
        <v>0</v>
      </c>
      <c r="R291" s="2" t="inlineStr"/>
    </row>
    <row r="292" ht="15" customHeight="1">
      <c r="A292" t="inlineStr">
        <is>
          <t>A 45555-2020</t>
        </is>
      </c>
      <c r="B292" s="1" t="n">
        <v>44089</v>
      </c>
      <c r="C292" s="1" t="n">
        <v>45744</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45814-2020</t>
        </is>
      </c>
      <c r="B293" s="1" t="n">
        <v>44090</v>
      </c>
      <c r="C293" s="1" t="n">
        <v>45744</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45815-2020</t>
        </is>
      </c>
      <c r="B294" s="1" t="n">
        <v>44090</v>
      </c>
      <c r="C294" s="1" t="n">
        <v>45744</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46125-2020</t>
        </is>
      </c>
      <c r="B295" s="1" t="n">
        <v>44091</v>
      </c>
      <c r="C295" s="1" t="n">
        <v>45744</v>
      </c>
      <c r="D295" t="inlineStr">
        <is>
          <t>SKÅNE LÄN</t>
        </is>
      </c>
      <c r="E295" t="inlineStr">
        <is>
          <t>HÄSSLEHOLM</t>
        </is>
      </c>
      <c r="G295" t="n">
        <v>2</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45744</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46479-2020</t>
        </is>
      </c>
      <c r="B297" s="1" t="n">
        <v>44095</v>
      </c>
      <c r="C297" s="1" t="n">
        <v>45744</v>
      </c>
      <c r="D297" t="inlineStr">
        <is>
          <t>SKÅNE LÄN</t>
        </is>
      </c>
      <c r="E297" t="inlineStr">
        <is>
          <t>HÄSSLEHOLM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47121-2020</t>
        </is>
      </c>
      <c r="B298" s="1" t="n">
        <v>44096</v>
      </c>
      <c r="C298" s="1" t="n">
        <v>45744</v>
      </c>
      <c r="D298" t="inlineStr">
        <is>
          <t>SKÅNE LÄN</t>
        </is>
      </c>
      <c r="E298" t="inlineStr">
        <is>
          <t>HÄSSLEHOLM</t>
        </is>
      </c>
      <c r="G298" t="n">
        <v>3.6</v>
      </c>
      <c r="H298" t="n">
        <v>0</v>
      </c>
      <c r="I298" t="n">
        <v>0</v>
      </c>
      <c r="J298" t="n">
        <v>0</v>
      </c>
      <c r="K298" t="n">
        <v>0</v>
      </c>
      <c r="L298" t="n">
        <v>0</v>
      </c>
      <c r="M298" t="n">
        <v>0</v>
      </c>
      <c r="N298" t="n">
        <v>0</v>
      </c>
      <c r="O298" t="n">
        <v>0</v>
      </c>
      <c r="P298" t="n">
        <v>0</v>
      </c>
      <c r="Q298" t="n">
        <v>0</v>
      </c>
      <c r="R298" s="2" t="inlineStr"/>
    </row>
    <row r="299" ht="15" customHeight="1">
      <c r="A299" t="inlineStr">
        <is>
          <t>A 47007-2020</t>
        </is>
      </c>
      <c r="B299" s="1" t="n">
        <v>44096</v>
      </c>
      <c r="C299" s="1" t="n">
        <v>45744</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48397-2020</t>
        </is>
      </c>
      <c r="B300" s="1" t="n">
        <v>44097</v>
      </c>
      <c r="C300" s="1" t="n">
        <v>45744</v>
      </c>
      <c r="D300" t="inlineStr">
        <is>
          <t>SKÅNE LÄN</t>
        </is>
      </c>
      <c r="E300" t="inlineStr">
        <is>
          <t>HÄSSLEHOLM</t>
        </is>
      </c>
      <c r="G300" t="n">
        <v>8</v>
      </c>
      <c r="H300" t="n">
        <v>0</v>
      </c>
      <c r="I300" t="n">
        <v>0</v>
      </c>
      <c r="J300" t="n">
        <v>0</v>
      </c>
      <c r="K300" t="n">
        <v>0</v>
      </c>
      <c r="L300" t="n">
        <v>0</v>
      </c>
      <c r="M300" t="n">
        <v>0</v>
      </c>
      <c r="N300" t="n">
        <v>0</v>
      </c>
      <c r="O300" t="n">
        <v>0</v>
      </c>
      <c r="P300" t="n">
        <v>0</v>
      </c>
      <c r="Q300" t="n">
        <v>0</v>
      </c>
      <c r="R300" s="2" t="inlineStr"/>
    </row>
    <row r="301" ht="15" customHeight="1">
      <c r="A301" t="inlineStr">
        <is>
          <t>A 47283-2020</t>
        </is>
      </c>
      <c r="B301" s="1" t="n">
        <v>44097</v>
      </c>
      <c r="C301" s="1" t="n">
        <v>45744</v>
      </c>
      <c r="D301" t="inlineStr">
        <is>
          <t>SKÅNE LÄN</t>
        </is>
      </c>
      <c r="E301" t="inlineStr">
        <is>
          <t>HÄSSLEHOLM</t>
        </is>
      </c>
      <c r="G301" t="n">
        <v>5.5</v>
      </c>
      <c r="H301" t="n">
        <v>0</v>
      </c>
      <c r="I301" t="n">
        <v>0</v>
      </c>
      <c r="J301" t="n">
        <v>0</v>
      </c>
      <c r="K301" t="n">
        <v>0</v>
      </c>
      <c r="L301" t="n">
        <v>0</v>
      </c>
      <c r="M301" t="n">
        <v>0</v>
      </c>
      <c r="N301" t="n">
        <v>0</v>
      </c>
      <c r="O301" t="n">
        <v>0</v>
      </c>
      <c r="P301" t="n">
        <v>0</v>
      </c>
      <c r="Q301" t="n">
        <v>0</v>
      </c>
      <c r="R301" s="2" t="inlineStr"/>
    </row>
    <row r="302" ht="15" customHeight="1">
      <c r="A302" t="inlineStr">
        <is>
          <t>A 47521-2020</t>
        </is>
      </c>
      <c r="B302" s="1" t="n">
        <v>44098</v>
      </c>
      <c r="C302" s="1" t="n">
        <v>45744</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47531-2020</t>
        </is>
      </c>
      <c r="B303" s="1" t="n">
        <v>44098</v>
      </c>
      <c r="C303" s="1" t="n">
        <v>45744</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48212-2020</t>
        </is>
      </c>
      <c r="B304" s="1" t="n">
        <v>44102</v>
      </c>
      <c r="C304" s="1" t="n">
        <v>45744</v>
      </c>
      <c r="D304" t="inlineStr">
        <is>
          <t>SKÅNE LÄN</t>
        </is>
      </c>
      <c r="E304" t="inlineStr">
        <is>
          <t>HÄSSLEHOLM</t>
        </is>
      </c>
      <c r="G304" t="n">
        <v>4.2</v>
      </c>
      <c r="H304" t="n">
        <v>0</v>
      </c>
      <c r="I304" t="n">
        <v>0</v>
      </c>
      <c r="J304" t="n">
        <v>0</v>
      </c>
      <c r="K304" t="n">
        <v>0</v>
      </c>
      <c r="L304" t="n">
        <v>0</v>
      </c>
      <c r="M304" t="n">
        <v>0</v>
      </c>
      <c r="N304" t="n">
        <v>0</v>
      </c>
      <c r="O304" t="n">
        <v>0</v>
      </c>
      <c r="P304" t="n">
        <v>0</v>
      </c>
      <c r="Q304" t="n">
        <v>0</v>
      </c>
      <c r="R304" s="2" t="inlineStr"/>
    </row>
    <row r="305" ht="15" customHeight="1">
      <c r="A305" t="inlineStr">
        <is>
          <t>A 48792-2020</t>
        </is>
      </c>
      <c r="B305" s="1" t="n">
        <v>44103</v>
      </c>
      <c r="C305" s="1" t="n">
        <v>45744</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48486-2020</t>
        </is>
      </c>
      <c r="B306" s="1" t="n">
        <v>44103</v>
      </c>
      <c r="C306" s="1" t="n">
        <v>45744</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49786-2020</t>
        </is>
      </c>
      <c r="B307" s="1" t="n">
        <v>44103</v>
      </c>
      <c r="C307" s="1" t="n">
        <v>45744</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49389-2020</t>
        </is>
      </c>
      <c r="B308" s="1" t="n">
        <v>44105</v>
      </c>
      <c r="C308" s="1" t="n">
        <v>45744</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49865-2020</t>
        </is>
      </c>
      <c r="B309" s="1" t="n">
        <v>44107</v>
      </c>
      <c r="C309" s="1" t="n">
        <v>45744</v>
      </c>
      <c r="D309" t="inlineStr">
        <is>
          <t>SKÅNE LÄN</t>
        </is>
      </c>
      <c r="E309" t="inlineStr">
        <is>
          <t>HÄSSLEHOLM</t>
        </is>
      </c>
      <c r="G309" t="n">
        <v>1.4</v>
      </c>
      <c r="H309" t="n">
        <v>0</v>
      </c>
      <c r="I309" t="n">
        <v>0</v>
      </c>
      <c r="J309" t="n">
        <v>0</v>
      </c>
      <c r="K309" t="n">
        <v>0</v>
      </c>
      <c r="L309" t="n">
        <v>0</v>
      </c>
      <c r="M309" t="n">
        <v>0</v>
      </c>
      <c r="N309" t="n">
        <v>0</v>
      </c>
      <c r="O309" t="n">
        <v>0</v>
      </c>
      <c r="P309" t="n">
        <v>0</v>
      </c>
      <c r="Q309" t="n">
        <v>0</v>
      </c>
      <c r="R309" s="2" t="inlineStr"/>
    </row>
    <row r="310" ht="15" customHeight="1">
      <c r="A310" t="inlineStr">
        <is>
          <t>A 50046-2020</t>
        </is>
      </c>
      <c r="B310" s="1" t="n">
        <v>44109</v>
      </c>
      <c r="C310" s="1" t="n">
        <v>45744</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50372-2020</t>
        </is>
      </c>
      <c r="B311" s="1" t="n">
        <v>44110</v>
      </c>
      <c r="C311" s="1" t="n">
        <v>45744</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50371-2020</t>
        </is>
      </c>
      <c r="B312" s="1" t="n">
        <v>44110</v>
      </c>
      <c r="C312" s="1" t="n">
        <v>45744</v>
      </c>
      <c r="D312" t="inlineStr">
        <is>
          <t>SKÅNE LÄN</t>
        </is>
      </c>
      <c r="E312" t="inlineStr">
        <is>
          <t>HÄSSLEHOLM</t>
        </is>
      </c>
      <c r="G312" t="n">
        <v>3.8</v>
      </c>
      <c r="H312" t="n">
        <v>0</v>
      </c>
      <c r="I312" t="n">
        <v>0</v>
      </c>
      <c r="J312" t="n">
        <v>0</v>
      </c>
      <c r="K312" t="n">
        <v>0</v>
      </c>
      <c r="L312" t="n">
        <v>0</v>
      </c>
      <c r="M312" t="n">
        <v>0</v>
      </c>
      <c r="N312" t="n">
        <v>0</v>
      </c>
      <c r="O312" t="n">
        <v>0</v>
      </c>
      <c r="P312" t="n">
        <v>0</v>
      </c>
      <c r="Q312" t="n">
        <v>0</v>
      </c>
      <c r="R312" s="2" t="inlineStr"/>
    </row>
    <row r="313" ht="15" customHeight="1">
      <c r="A313" t="inlineStr">
        <is>
          <t>A 52561-2020</t>
        </is>
      </c>
      <c r="B313" s="1" t="n">
        <v>44116</v>
      </c>
      <c r="C313" s="1" t="n">
        <v>45744</v>
      </c>
      <c r="D313" t="inlineStr">
        <is>
          <t>SKÅNE LÄN</t>
        </is>
      </c>
      <c r="E313" t="inlineStr">
        <is>
          <t>HÄSSLEHOLM</t>
        </is>
      </c>
      <c r="G313" t="n">
        <v>6</v>
      </c>
      <c r="H313" t="n">
        <v>0</v>
      </c>
      <c r="I313" t="n">
        <v>0</v>
      </c>
      <c r="J313" t="n">
        <v>0</v>
      </c>
      <c r="K313" t="n">
        <v>0</v>
      </c>
      <c r="L313" t="n">
        <v>0</v>
      </c>
      <c r="M313" t="n">
        <v>0</v>
      </c>
      <c r="N313" t="n">
        <v>0</v>
      </c>
      <c r="O313" t="n">
        <v>0</v>
      </c>
      <c r="P313" t="n">
        <v>0</v>
      </c>
      <c r="Q313" t="n">
        <v>0</v>
      </c>
      <c r="R313" s="2" t="inlineStr"/>
    </row>
    <row r="314" ht="15" customHeight="1">
      <c r="A314" t="inlineStr">
        <is>
          <t>A 52852-2020</t>
        </is>
      </c>
      <c r="B314" s="1" t="n">
        <v>44119</v>
      </c>
      <c r="C314" s="1" t="n">
        <v>45744</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52863-2020</t>
        </is>
      </c>
      <c r="B315" s="1" t="n">
        <v>44119</v>
      </c>
      <c r="C315" s="1" t="n">
        <v>45744</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52860-2020</t>
        </is>
      </c>
      <c r="B316" s="1" t="n">
        <v>44119</v>
      </c>
      <c r="C316" s="1" t="n">
        <v>45744</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54081-2020</t>
        </is>
      </c>
      <c r="B317" s="1" t="n">
        <v>44125</v>
      </c>
      <c r="C317" s="1" t="n">
        <v>45744</v>
      </c>
      <c r="D317" t="inlineStr">
        <is>
          <t>SKÅNE LÄN</t>
        </is>
      </c>
      <c r="E317" t="inlineStr">
        <is>
          <t>HÄSSLEHOLM</t>
        </is>
      </c>
      <c r="G317" t="n">
        <v>0.2</v>
      </c>
      <c r="H317" t="n">
        <v>0</v>
      </c>
      <c r="I317" t="n">
        <v>0</v>
      </c>
      <c r="J317" t="n">
        <v>0</v>
      </c>
      <c r="K317" t="n">
        <v>0</v>
      </c>
      <c r="L317" t="n">
        <v>0</v>
      </c>
      <c r="M317" t="n">
        <v>0</v>
      </c>
      <c r="N317" t="n">
        <v>0</v>
      </c>
      <c r="O317" t="n">
        <v>0</v>
      </c>
      <c r="P317" t="n">
        <v>0</v>
      </c>
      <c r="Q317" t="n">
        <v>0</v>
      </c>
      <c r="R317" s="2" t="inlineStr"/>
    </row>
    <row r="318" ht="15" customHeight="1">
      <c r="A318" t="inlineStr">
        <is>
          <t>A 54079-2020</t>
        </is>
      </c>
      <c r="B318" s="1" t="n">
        <v>44125</v>
      </c>
      <c r="C318" s="1" t="n">
        <v>45744</v>
      </c>
      <c r="D318" t="inlineStr">
        <is>
          <t>SKÅNE LÄN</t>
        </is>
      </c>
      <c r="E318" t="inlineStr">
        <is>
          <t>HÄSSLEHOLM</t>
        </is>
      </c>
      <c r="G318" t="n">
        <v>0.3</v>
      </c>
      <c r="H318" t="n">
        <v>0</v>
      </c>
      <c r="I318" t="n">
        <v>0</v>
      </c>
      <c r="J318" t="n">
        <v>0</v>
      </c>
      <c r="K318" t="n">
        <v>0</v>
      </c>
      <c r="L318" t="n">
        <v>0</v>
      </c>
      <c r="M318" t="n">
        <v>0</v>
      </c>
      <c r="N318" t="n">
        <v>0</v>
      </c>
      <c r="O318" t="n">
        <v>0</v>
      </c>
      <c r="P318" t="n">
        <v>0</v>
      </c>
      <c r="Q318" t="n">
        <v>0</v>
      </c>
      <c r="R318" s="2" t="inlineStr"/>
    </row>
    <row r="319" ht="15" customHeight="1">
      <c r="A319" t="inlineStr">
        <is>
          <t>A 54084-2020</t>
        </is>
      </c>
      <c r="B319" s="1" t="n">
        <v>44125</v>
      </c>
      <c r="C319" s="1" t="n">
        <v>45744</v>
      </c>
      <c r="D319" t="inlineStr">
        <is>
          <t>SKÅNE LÄN</t>
        </is>
      </c>
      <c r="E319" t="inlineStr">
        <is>
          <t>HÄSSLEHOLM</t>
        </is>
      </c>
      <c r="G319" t="n">
        <v>1.6</v>
      </c>
      <c r="H319" t="n">
        <v>0</v>
      </c>
      <c r="I319" t="n">
        <v>0</v>
      </c>
      <c r="J319" t="n">
        <v>0</v>
      </c>
      <c r="K319" t="n">
        <v>0</v>
      </c>
      <c r="L319" t="n">
        <v>0</v>
      </c>
      <c r="M319" t="n">
        <v>0</v>
      </c>
      <c r="N319" t="n">
        <v>0</v>
      </c>
      <c r="O319" t="n">
        <v>0</v>
      </c>
      <c r="P319" t="n">
        <v>0</v>
      </c>
      <c r="Q319" t="n">
        <v>0</v>
      </c>
      <c r="R319" s="2" t="inlineStr"/>
    </row>
    <row r="320" ht="15" customHeight="1">
      <c r="A320" t="inlineStr">
        <is>
          <t>A 54371-2020</t>
        </is>
      </c>
      <c r="B320" s="1" t="n">
        <v>44126</v>
      </c>
      <c r="C320" s="1" t="n">
        <v>45744</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54363-2020</t>
        </is>
      </c>
      <c r="B321" s="1" t="n">
        <v>44126</v>
      </c>
      <c r="C321" s="1" t="n">
        <v>45744</v>
      </c>
      <c r="D321" t="inlineStr">
        <is>
          <t>SKÅNE LÄN</t>
        </is>
      </c>
      <c r="E321" t="inlineStr">
        <is>
          <t>HÄSSLEHOLM</t>
        </is>
      </c>
      <c r="G321" t="n">
        <v>4.8</v>
      </c>
      <c r="H321" t="n">
        <v>0</v>
      </c>
      <c r="I321" t="n">
        <v>0</v>
      </c>
      <c r="J321" t="n">
        <v>0</v>
      </c>
      <c r="K321" t="n">
        <v>0</v>
      </c>
      <c r="L321" t="n">
        <v>0</v>
      </c>
      <c r="M321" t="n">
        <v>0</v>
      </c>
      <c r="N321" t="n">
        <v>0</v>
      </c>
      <c r="O321" t="n">
        <v>0</v>
      </c>
      <c r="P321" t="n">
        <v>0</v>
      </c>
      <c r="Q321" t="n">
        <v>0</v>
      </c>
      <c r="R321" s="2" t="inlineStr"/>
    </row>
    <row r="322" ht="15" customHeight="1">
      <c r="A322" t="inlineStr">
        <is>
          <t>A 54493-2020</t>
        </is>
      </c>
      <c r="B322" s="1" t="n">
        <v>44126</v>
      </c>
      <c r="C322" s="1" t="n">
        <v>45744</v>
      </c>
      <c r="D322" t="inlineStr">
        <is>
          <t>SKÅNE LÄN</t>
        </is>
      </c>
      <c r="E322" t="inlineStr">
        <is>
          <t>HÄSSLEHOLM</t>
        </is>
      </c>
      <c r="F322" t="inlineStr">
        <is>
          <t>Kyrkan</t>
        </is>
      </c>
      <c r="G322" t="n">
        <v>4.4</v>
      </c>
      <c r="H322" t="n">
        <v>0</v>
      </c>
      <c r="I322" t="n">
        <v>0</v>
      </c>
      <c r="J322" t="n">
        <v>0</v>
      </c>
      <c r="K322" t="n">
        <v>0</v>
      </c>
      <c r="L322" t="n">
        <v>0</v>
      </c>
      <c r="M322" t="n">
        <v>0</v>
      </c>
      <c r="N322" t="n">
        <v>0</v>
      </c>
      <c r="O322" t="n">
        <v>0</v>
      </c>
      <c r="P322" t="n">
        <v>0</v>
      </c>
      <c r="Q322" t="n">
        <v>0</v>
      </c>
      <c r="R322" s="2" t="inlineStr"/>
    </row>
    <row r="323" ht="15" customHeight="1">
      <c r="A323" t="inlineStr">
        <is>
          <t>A 54359-2020</t>
        </is>
      </c>
      <c r="B323" s="1" t="n">
        <v>44126</v>
      </c>
      <c r="C323" s="1" t="n">
        <v>45744</v>
      </c>
      <c r="D323" t="inlineStr">
        <is>
          <t>SKÅNE LÄN</t>
        </is>
      </c>
      <c r="E323" t="inlineStr">
        <is>
          <t>HÄSSLEHOLM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54365-2020</t>
        </is>
      </c>
      <c r="B324" s="1" t="n">
        <v>44126</v>
      </c>
      <c r="C324" s="1" t="n">
        <v>45744</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54374-2020</t>
        </is>
      </c>
      <c r="B325" s="1" t="n">
        <v>44126</v>
      </c>
      <c r="C325" s="1" t="n">
        <v>45744</v>
      </c>
      <c r="D325" t="inlineStr">
        <is>
          <t>SKÅNE LÄN</t>
        </is>
      </c>
      <c r="E325" t="inlineStr">
        <is>
          <t>HÄSSLEHOLM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54362-2020</t>
        </is>
      </c>
      <c r="B326" s="1" t="n">
        <v>44126</v>
      </c>
      <c r="C326" s="1" t="n">
        <v>45744</v>
      </c>
      <c r="D326" t="inlineStr">
        <is>
          <t>SKÅNE LÄN</t>
        </is>
      </c>
      <c r="E326" t="inlineStr">
        <is>
          <t>HÄSSLEHOLM</t>
        </is>
      </c>
      <c r="G326" t="n">
        <v>4.5</v>
      </c>
      <c r="H326" t="n">
        <v>0</v>
      </c>
      <c r="I326" t="n">
        <v>0</v>
      </c>
      <c r="J326" t="n">
        <v>0</v>
      </c>
      <c r="K326" t="n">
        <v>0</v>
      </c>
      <c r="L326" t="n">
        <v>0</v>
      </c>
      <c r="M326" t="n">
        <v>0</v>
      </c>
      <c r="N326" t="n">
        <v>0</v>
      </c>
      <c r="O326" t="n">
        <v>0</v>
      </c>
      <c r="P326" t="n">
        <v>0</v>
      </c>
      <c r="Q326" t="n">
        <v>0</v>
      </c>
      <c r="R326" s="2" t="inlineStr"/>
    </row>
    <row r="327" ht="15" customHeight="1">
      <c r="A327" t="inlineStr">
        <is>
          <t>A 56158-2020</t>
        </is>
      </c>
      <c r="B327" s="1" t="n">
        <v>44133</v>
      </c>
      <c r="C327" s="1" t="n">
        <v>45744</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57811-2020</t>
        </is>
      </c>
      <c r="B328" s="1" t="n">
        <v>44141</v>
      </c>
      <c r="C328" s="1" t="n">
        <v>45744</v>
      </c>
      <c r="D328" t="inlineStr">
        <is>
          <t>SKÅNE LÄN</t>
        </is>
      </c>
      <c r="E328" t="inlineStr">
        <is>
          <t>HÄSSLEHOLM</t>
        </is>
      </c>
      <c r="G328" t="n">
        <v>2</v>
      </c>
      <c r="H328" t="n">
        <v>0</v>
      </c>
      <c r="I328" t="n">
        <v>0</v>
      </c>
      <c r="J328" t="n">
        <v>0</v>
      </c>
      <c r="K328" t="n">
        <v>0</v>
      </c>
      <c r="L328" t="n">
        <v>0</v>
      </c>
      <c r="M328" t="n">
        <v>0</v>
      </c>
      <c r="N328" t="n">
        <v>0</v>
      </c>
      <c r="O328" t="n">
        <v>0</v>
      </c>
      <c r="P328" t="n">
        <v>0</v>
      </c>
      <c r="Q328" t="n">
        <v>0</v>
      </c>
      <c r="R328" s="2" t="inlineStr"/>
    </row>
    <row r="329" ht="15" customHeight="1">
      <c r="A329" t="inlineStr">
        <is>
          <t>A 58091-2020</t>
        </is>
      </c>
      <c r="B329" s="1" t="n">
        <v>44144</v>
      </c>
      <c r="C329" s="1" t="n">
        <v>45744</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58509-2020</t>
        </is>
      </c>
      <c r="B330" s="1" t="n">
        <v>44144</v>
      </c>
      <c r="C330" s="1" t="n">
        <v>45744</v>
      </c>
      <c r="D330" t="inlineStr">
        <is>
          <t>SKÅNE LÄN</t>
        </is>
      </c>
      <c r="E330" t="inlineStr">
        <is>
          <t>HÄSSLEHOLM</t>
        </is>
      </c>
      <c r="G330" t="n">
        <v>8.5</v>
      </c>
      <c r="H330" t="n">
        <v>0</v>
      </c>
      <c r="I330" t="n">
        <v>0</v>
      </c>
      <c r="J330" t="n">
        <v>0</v>
      </c>
      <c r="K330" t="n">
        <v>0</v>
      </c>
      <c r="L330" t="n">
        <v>0</v>
      </c>
      <c r="M330" t="n">
        <v>0</v>
      </c>
      <c r="N330" t="n">
        <v>0</v>
      </c>
      <c r="O330" t="n">
        <v>0</v>
      </c>
      <c r="P330" t="n">
        <v>0</v>
      </c>
      <c r="Q330" t="n">
        <v>0</v>
      </c>
      <c r="R330" s="2" t="inlineStr"/>
    </row>
    <row r="331" ht="15" customHeight="1">
      <c r="A331" t="inlineStr">
        <is>
          <t>A 59295-2020</t>
        </is>
      </c>
      <c r="B331" s="1" t="n">
        <v>44147</v>
      </c>
      <c r="C331" s="1" t="n">
        <v>45744</v>
      </c>
      <c r="D331" t="inlineStr">
        <is>
          <t>SKÅNE LÄN</t>
        </is>
      </c>
      <c r="E331" t="inlineStr">
        <is>
          <t>HÄSSLEHOLM</t>
        </is>
      </c>
      <c r="G331" t="n">
        <v>4.3</v>
      </c>
      <c r="H331" t="n">
        <v>0</v>
      </c>
      <c r="I331" t="n">
        <v>0</v>
      </c>
      <c r="J331" t="n">
        <v>0</v>
      </c>
      <c r="K331" t="n">
        <v>0</v>
      </c>
      <c r="L331" t="n">
        <v>0</v>
      </c>
      <c r="M331" t="n">
        <v>0</v>
      </c>
      <c r="N331" t="n">
        <v>0</v>
      </c>
      <c r="O331" t="n">
        <v>0</v>
      </c>
      <c r="P331" t="n">
        <v>0</v>
      </c>
      <c r="Q331" t="n">
        <v>0</v>
      </c>
      <c r="R331" s="2" t="inlineStr"/>
    </row>
    <row r="332" ht="15" customHeight="1">
      <c r="A332" t="inlineStr">
        <is>
          <t>A 59302-2020</t>
        </is>
      </c>
      <c r="B332" s="1" t="n">
        <v>44147</v>
      </c>
      <c r="C332" s="1" t="n">
        <v>45744</v>
      </c>
      <c r="D332" t="inlineStr">
        <is>
          <t>SKÅNE LÄN</t>
        </is>
      </c>
      <c r="E332" t="inlineStr">
        <is>
          <t>HÄSSLEHOLM</t>
        </is>
      </c>
      <c r="G332" t="n">
        <v>11.2</v>
      </c>
      <c r="H332" t="n">
        <v>0</v>
      </c>
      <c r="I332" t="n">
        <v>0</v>
      </c>
      <c r="J332" t="n">
        <v>0</v>
      </c>
      <c r="K332" t="n">
        <v>0</v>
      </c>
      <c r="L332" t="n">
        <v>0</v>
      </c>
      <c r="M332" t="n">
        <v>0</v>
      </c>
      <c r="N332" t="n">
        <v>0</v>
      </c>
      <c r="O332" t="n">
        <v>0</v>
      </c>
      <c r="P332" t="n">
        <v>0</v>
      </c>
      <c r="Q332" t="n">
        <v>0</v>
      </c>
      <c r="R332" s="2" t="inlineStr"/>
    </row>
    <row r="333" ht="15" customHeight="1">
      <c r="A333" t="inlineStr">
        <is>
          <t>A 59418-2020</t>
        </is>
      </c>
      <c r="B333" s="1" t="n">
        <v>44148</v>
      </c>
      <c r="C333" s="1" t="n">
        <v>45744</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59542-2020</t>
        </is>
      </c>
      <c r="B334" s="1" t="n">
        <v>44148</v>
      </c>
      <c r="C334" s="1" t="n">
        <v>45744</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60597-2020</t>
        </is>
      </c>
      <c r="B335" s="1" t="n">
        <v>44152</v>
      </c>
      <c r="C335" s="1" t="n">
        <v>45744</v>
      </c>
      <c r="D335" t="inlineStr">
        <is>
          <t>SKÅNE LÄN</t>
        </is>
      </c>
      <c r="E335" t="inlineStr">
        <is>
          <t>HÄSSLEHOLM</t>
        </is>
      </c>
      <c r="G335" t="n">
        <v>3.4</v>
      </c>
      <c r="H335" t="n">
        <v>0</v>
      </c>
      <c r="I335" t="n">
        <v>0</v>
      </c>
      <c r="J335" t="n">
        <v>0</v>
      </c>
      <c r="K335" t="n">
        <v>0</v>
      </c>
      <c r="L335" t="n">
        <v>0</v>
      </c>
      <c r="M335" t="n">
        <v>0</v>
      </c>
      <c r="N335" t="n">
        <v>0</v>
      </c>
      <c r="O335" t="n">
        <v>0</v>
      </c>
      <c r="P335" t="n">
        <v>0</v>
      </c>
      <c r="Q335" t="n">
        <v>0</v>
      </c>
      <c r="R335" s="2" t="inlineStr"/>
    </row>
    <row r="336" ht="15" customHeight="1">
      <c r="A336" t="inlineStr">
        <is>
          <t>A 61216-2020</t>
        </is>
      </c>
      <c r="B336" s="1" t="n">
        <v>44155</v>
      </c>
      <c r="C336" s="1" t="n">
        <v>45744</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61233-2020</t>
        </is>
      </c>
      <c r="B337" s="1" t="n">
        <v>44155</v>
      </c>
      <c r="C337" s="1" t="n">
        <v>45744</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62347-2020</t>
        </is>
      </c>
      <c r="B338" s="1" t="n">
        <v>44159</v>
      </c>
      <c r="C338" s="1" t="n">
        <v>45744</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62802-2020</t>
        </is>
      </c>
      <c r="B339" s="1" t="n">
        <v>44161</v>
      </c>
      <c r="C339" s="1" t="n">
        <v>45744</v>
      </c>
      <c r="D339" t="inlineStr">
        <is>
          <t>SKÅNE LÄN</t>
        </is>
      </c>
      <c r="E339" t="inlineStr">
        <is>
          <t>HÄSSLEHOLM</t>
        </is>
      </c>
      <c r="G339" t="n">
        <v>1.1</v>
      </c>
      <c r="H339" t="n">
        <v>0</v>
      </c>
      <c r="I339" t="n">
        <v>0</v>
      </c>
      <c r="J339" t="n">
        <v>0</v>
      </c>
      <c r="K339" t="n">
        <v>0</v>
      </c>
      <c r="L339" t="n">
        <v>0</v>
      </c>
      <c r="M339" t="n">
        <v>0</v>
      </c>
      <c r="N339" t="n">
        <v>0</v>
      </c>
      <c r="O339" t="n">
        <v>0</v>
      </c>
      <c r="P339" t="n">
        <v>0</v>
      </c>
      <c r="Q339" t="n">
        <v>0</v>
      </c>
      <c r="R339" s="2" t="inlineStr"/>
    </row>
    <row r="340" ht="15" customHeight="1">
      <c r="A340" t="inlineStr">
        <is>
          <t>A 62782-2020</t>
        </is>
      </c>
      <c r="B340" s="1" t="n">
        <v>44161</v>
      </c>
      <c r="C340" s="1" t="n">
        <v>45744</v>
      </c>
      <c r="D340" t="inlineStr">
        <is>
          <t>SKÅNE LÄN</t>
        </is>
      </c>
      <c r="E340" t="inlineStr">
        <is>
          <t>HÄSSLEHOLM</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62858-2020</t>
        </is>
      </c>
      <c r="B341" s="1" t="n">
        <v>44161</v>
      </c>
      <c r="C341" s="1" t="n">
        <v>45744</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64361-2020</t>
        </is>
      </c>
      <c r="B342" s="1" t="n">
        <v>44168</v>
      </c>
      <c r="C342" s="1" t="n">
        <v>45744</v>
      </c>
      <c r="D342" t="inlineStr">
        <is>
          <t>SKÅNE LÄN</t>
        </is>
      </c>
      <c r="E342" t="inlineStr">
        <is>
          <t>HÄSSLEHOLM</t>
        </is>
      </c>
      <c r="G342" t="n">
        <v>5.4</v>
      </c>
      <c r="H342" t="n">
        <v>0</v>
      </c>
      <c r="I342" t="n">
        <v>0</v>
      </c>
      <c r="J342" t="n">
        <v>0</v>
      </c>
      <c r="K342" t="n">
        <v>0</v>
      </c>
      <c r="L342" t="n">
        <v>0</v>
      </c>
      <c r="M342" t="n">
        <v>0</v>
      </c>
      <c r="N342" t="n">
        <v>0</v>
      </c>
      <c r="O342" t="n">
        <v>0</v>
      </c>
      <c r="P342" t="n">
        <v>0</v>
      </c>
      <c r="Q342" t="n">
        <v>0</v>
      </c>
      <c r="R342" s="2" t="inlineStr"/>
    </row>
    <row r="343" ht="15" customHeight="1">
      <c r="A343" t="inlineStr">
        <is>
          <t>A 64211-2020</t>
        </is>
      </c>
      <c r="B343" s="1" t="n">
        <v>44168</v>
      </c>
      <c r="C343" s="1" t="n">
        <v>45744</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45744</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66474-2020</t>
        </is>
      </c>
      <c r="B345" s="1" t="n">
        <v>44177</v>
      </c>
      <c r="C345" s="1" t="n">
        <v>45744</v>
      </c>
      <c r="D345" t="inlineStr">
        <is>
          <t>SKÅNE LÄN</t>
        </is>
      </c>
      <c r="E345" t="inlineStr">
        <is>
          <t>HÄSSLEHOLM</t>
        </is>
      </c>
      <c r="G345" t="n">
        <v>2.8</v>
      </c>
      <c r="H345" t="n">
        <v>0</v>
      </c>
      <c r="I345" t="n">
        <v>0</v>
      </c>
      <c r="J345" t="n">
        <v>0</v>
      </c>
      <c r="K345" t="n">
        <v>0</v>
      </c>
      <c r="L345" t="n">
        <v>0</v>
      </c>
      <c r="M345" t="n">
        <v>0</v>
      </c>
      <c r="N345" t="n">
        <v>0</v>
      </c>
      <c r="O345" t="n">
        <v>0</v>
      </c>
      <c r="P345" t="n">
        <v>0</v>
      </c>
      <c r="Q345" t="n">
        <v>0</v>
      </c>
      <c r="R345" s="2" t="inlineStr"/>
    </row>
    <row r="346" ht="15" customHeight="1">
      <c r="A346" t="inlineStr">
        <is>
          <t>A 66520-2020</t>
        </is>
      </c>
      <c r="B346" s="1" t="n">
        <v>44179</v>
      </c>
      <c r="C346" s="1" t="n">
        <v>45744</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67974-2020</t>
        </is>
      </c>
      <c r="B347" s="1" t="n">
        <v>44182</v>
      </c>
      <c r="C347" s="1" t="n">
        <v>45744</v>
      </c>
      <c r="D347" t="inlineStr">
        <is>
          <t>SKÅNE LÄN</t>
        </is>
      </c>
      <c r="E347" t="inlineStr">
        <is>
          <t>HÄSSLEHOLM</t>
        </is>
      </c>
      <c r="G347" t="n">
        <v>9</v>
      </c>
      <c r="H347" t="n">
        <v>0</v>
      </c>
      <c r="I347" t="n">
        <v>0</v>
      </c>
      <c r="J347" t="n">
        <v>0</v>
      </c>
      <c r="K347" t="n">
        <v>0</v>
      </c>
      <c r="L347" t="n">
        <v>0</v>
      </c>
      <c r="M347" t="n">
        <v>0</v>
      </c>
      <c r="N347" t="n">
        <v>0</v>
      </c>
      <c r="O347" t="n">
        <v>0</v>
      </c>
      <c r="P347" t="n">
        <v>0</v>
      </c>
      <c r="Q347" t="n">
        <v>0</v>
      </c>
      <c r="R347" s="2" t="inlineStr"/>
    </row>
    <row r="348" ht="15" customHeight="1">
      <c r="A348" t="inlineStr">
        <is>
          <t>A 68200-2020</t>
        </is>
      </c>
      <c r="B348" s="1" t="n">
        <v>44183</v>
      </c>
      <c r="C348" s="1" t="n">
        <v>45744</v>
      </c>
      <c r="D348" t="inlineStr">
        <is>
          <t>SKÅNE LÄN</t>
        </is>
      </c>
      <c r="E348" t="inlineStr">
        <is>
          <t>HÄSSLEHOLM</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68794-2020</t>
        </is>
      </c>
      <c r="B349" s="1" t="n">
        <v>44186</v>
      </c>
      <c r="C349" s="1" t="n">
        <v>45744</v>
      </c>
      <c r="D349" t="inlineStr">
        <is>
          <t>SKÅNE LÄN</t>
        </is>
      </c>
      <c r="E349" t="inlineStr">
        <is>
          <t>HÄSSLEHOLM</t>
        </is>
      </c>
      <c r="G349" t="n">
        <v>8.9</v>
      </c>
      <c r="H349" t="n">
        <v>0</v>
      </c>
      <c r="I349" t="n">
        <v>0</v>
      </c>
      <c r="J349" t="n">
        <v>0</v>
      </c>
      <c r="K349" t="n">
        <v>0</v>
      </c>
      <c r="L349" t="n">
        <v>0</v>
      </c>
      <c r="M349" t="n">
        <v>0</v>
      </c>
      <c r="N349" t="n">
        <v>0</v>
      </c>
      <c r="O349" t="n">
        <v>0</v>
      </c>
      <c r="P349" t="n">
        <v>0</v>
      </c>
      <c r="Q349" t="n">
        <v>0</v>
      </c>
      <c r="R349" s="2" t="inlineStr"/>
    </row>
    <row r="350" ht="15" customHeight="1">
      <c r="A350" t="inlineStr">
        <is>
          <t>A 69103-2020</t>
        </is>
      </c>
      <c r="B350" s="1" t="n">
        <v>44188</v>
      </c>
      <c r="C350" s="1" t="n">
        <v>45744</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69109-2020</t>
        </is>
      </c>
      <c r="B351" s="1" t="n">
        <v>44188</v>
      </c>
      <c r="C351" s="1" t="n">
        <v>45744</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69112-2020</t>
        </is>
      </c>
      <c r="B352" s="1" t="n">
        <v>44188</v>
      </c>
      <c r="C352" s="1" t="n">
        <v>45744</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69339-2020</t>
        </is>
      </c>
      <c r="B353" s="1" t="n">
        <v>44188</v>
      </c>
      <c r="C353" s="1" t="n">
        <v>45744</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69201-2020</t>
        </is>
      </c>
      <c r="B354" s="1" t="n">
        <v>44191</v>
      </c>
      <c r="C354" s="1" t="n">
        <v>45744</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69198-2020</t>
        </is>
      </c>
      <c r="B355" s="1" t="n">
        <v>44191</v>
      </c>
      <c r="C355" s="1" t="n">
        <v>45744</v>
      </c>
      <c r="D355" t="inlineStr">
        <is>
          <t>SKÅNE LÄN</t>
        </is>
      </c>
      <c r="E355" t="inlineStr">
        <is>
          <t>HÄSSLEHOLM</t>
        </is>
      </c>
      <c r="G355" t="n">
        <v>6.6</v>
      </c>
      <c r="H355" t="n">
        <v>0</v>
      </c>
      <c r="I355" t="n">
        <v>0</v>
      </c>
      <c r="J355" t="n">
        <v>0</v>
      </c>
      <c r="K355" t="n">
        <v>0</v>
      </c>
      <c r="L355" t="n">
        <v>0</v>
      </c>
      <c r="M355" t="n">
        <v>0</v>
      </c>
      <c r="N355" t="n">
        <v>0</v>
      </c>
      <c r="O355" t="n">
        <v>0</v>
      </c>
      <c r="P355" t="n">
        <v>0</v>
      </c>
      <c r="Q355" t="n">
        <v>0</v>
      </c>
      <c r="R355" s="2" t="inlineStr"/>
    </row>
    <row r="356" ht="15" customHeight="1">
      <c r="A356" t="inlineStr">
        <is>
          <t>A 69505-2020</t>
        </is>
      </c>
      <c r="B356" s="1" t="n">
        <v>44194</v>
      </c>
      <c r="C356" s="1" t="n">
        <v>45744</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69504-2020</t>
        </is>
      </c>
      <c r="B357" s="1" t="n">
        <v>44194</v>
      </c>
      <c r="C357" s="1" t="n">
        <v>45744</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69500-2020</t>
        </is>
      </c>
      <c r="B358" s="1" t="n">
        <v>44194</v>
      </c>
      <c r="C358" s="1" t="n">
        <v>45744</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47-2021</t>
        </is>
      </c>
      <c r="B359" s="1" t="n">
        <v>44199</v>
      </c>
      <c r="C359" s="1" t="n">
        <v>45744</v>
      </c>
      <c r="D359" t="inlineStr">
        <is>
          <t>SKÅNE LÄN</t>
        </is>
      </c>
      <c r="E359" t="inlineStr">
        <is>
          <t>HÄSSLEHOLM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197-2021</t>
        </is>
      </c>
      <c r="B360" s="1" t="n">
        <v>44200</v>
      </c>
      <c r="C360" s="1" t="n">
        <v>45744</v>
      </c>
      <c r="D360" t="inlineStr">
        <is>
          <t>SKÅNE LÄN</t>
        </is>
      </c>
      <c r="E360" t="inlineStr">
        <is>
          <t>HÄSSLEHOLM</t>
        </is>
      </c>
      <c r="G360" t="n">
        <v>12.9</v>
      </c>
      <c r="H360" t="n">
        <v>0</v>
      </c>
      <c r="I360" t="n">
        <v>0</v>
      </c>
      <c r="J360" t="n">
        <v>0</v>
      </c>
      <c r="K360" t="n">
        <v>0</v>
      </c>
      <c r="L360" t="n">
        <v>0</v>
      </c>
      <c r="M360" t="n">
        <v>0</v>
      </c>
      <c r="N360" t="n">
        <v>0</v>
      </c>
      <c r="O360" t="n">
        <v>0</v>
      </c>
      <c r="P360" t="n">
        <v>0</v>
      </c>
      <c r="Q360" t="n">
        <v>0</v>
      </c>
      <c r="R360" s="2" t="inlineStr"/>
    </row>
    <row r="361" ht="15" customHeight="1">
      <c r="A361" t="inlineStr">
        <is>
          <t>A 964-2021</t>
        </is>
      </c>
      <c r="B361" s="1" t="n">
        <v>44207</v>
      </c>
      <c r="C361" s="1" t="n">
        <v>45744</v>
      </c>
      <c r="D361" t="inlineStr">
        <is>
          <t>SKÅNE LÄN</t>
        </is>
      </c>
      <c r="E361" t="inlineStr">
        <is>
          <t>HÄSSLEHOLM</t>
        </is>
      </c>
      <c r="G361" t="n">
        <v>1</v>
      </c>
      <c r="H361" t="n">
        <v>0</v>
      </c>
      <c r="I361" t="n">
        <v>0</v>
      </c>
      <c r="J361" t="n">
        <v>0</v>
      </c>
      <c r="K361" t="n">
        <v>0</v>
      </c>
      <c r="L361" t="n">
        <v>0</v>
      </c>
      <c r="M361" t="n">
        <v>0</v>
      </c>
      <c r="N361" t="n">
        <v>0</v>
      </c>
      <c r="O361" t="n">
        <v>0</v>
      </c>
      <c r="P361" t="n">
        <v>0</v>
      </c>
      <c r="Q361" t="n">
        <v>0</v>
      </c>
      <c r="R361" s="2" t="inlineStr"/>
    </row>
    <row r="362" ht="15" customHeight="1">
      <c r="A362" t="inlineStr">
        <is>
          <t>A 1344-2021</t>
        </is>
      </c>
      <c r="B362" s="1" t="n">
        <v>44208</v>
      </c>
      <c r="C362" s="1" t="n">
        <v>45744</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1445-2021</t>
        </is>
      </c>
      <c r="B363" s="1" t="n">
        <v>44208</v>
      </c>
      <c r="C363" s="1" t="n">
        <v>45744</v>
      </c>
      <c r="D363" t="inlineStr">
        <is>
          <t>SKÅNE LÄN</t>
        </is>
      </c>
      <c r="E363" t="inlineStr">
        <is>
          <t>HÄSSLEHOLM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1461-2021</t>
        </is>
      </c>
      <c r="B364" s="1" t="n">
        <v>44208</v>
      </c>
      <c r="C364" s="1" t="n">
        <v>45744</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2514-2021</t>
        </is>
      </c>
      <c r="B365" s="1" t="n">
        <v>44214</v>
      </c>
      <c r="C365" s="1" t="n">
        <v>45744</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2509-2021</t>
        </is>
      </c>
      <c r="B366" s="1" t="n">
        <v>44214</v>
      </c>
      <c r="C366" s="1" t="n">
        <v>45744</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2813-2021</t>
        </is>
      </c>
      <c r="B367" s="1" t="n">
        <v>44215</v>
      </c>
      <c r="C367" s="1" t="n">
        <v>45744</v>
      </c>
      <c r="D367" t="inlineStr">
        <is>
          <t>SKÅNE LÄN</t>
        </is>
      </c>
      <c r="E367" t="inlineStr">
        <is>
          <t>HÄSSLEHOLM</t>
        </is>
      </c>
      <c r="G367" t="n">
        <v>7.1</v>
      </c>
      <c r="H367" t="n">
        <v>0</v>
      </c>
      <c r="I367" t="n">
        <v>0</v>
      </c>
      <c r="J367" t="n">
        <v>0</v>
      </c>
      <c r="K367" t="n">
        <v>0</v>
      </c>
      <c r="L367" t="n">
        <v>0</v>
      </c>
      <c r="M367" t="n">
        <v>0</v>
      </c>
      <c r="N367" t="n">
        <v>0</v>
      </c>
      <c r="O367" t="n">
        <v>0</v>
      </c>
      <c r="P367" t="n">
        <v>0</v>
      </c>
      <c r="Q367" t="n">
        <v>0</v>
      </c>
      <c r="R367" s="2" t="inlineStr"/>
    </row>
    <row r="368" ht="15" customHeight="1">
      <c r="A368" t="inlineStr">
        <is>
          <t>A 2692-2021</t>
        </is>
      </c>
      <c r="B368" s="1" t="n">
        <v>44215</v>
      </c>
      <c r="C368" s="1" t="n">
        <v>45744</v>
      </c>
      <c r="D368" t="inlineStr">
        <is>
          <t>SKÅNE LÄN</t>
        </is>
      </c>
      <c r="E368" t="inlineStr">
        <is>
          <t>HÄSSLEHOLM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2952-2021</t>
        </is>
      </c>
      <c r="B369" s="1" t="n">
        <v>44216</v>
      </c>
      <c r="C369" s="1" t="n">
        <v>45744</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3044-2021</t>
        </is>
      </c>
      <c r="B370" s="1" t="n">
        <v>44216</v>
      </c>
      <c r="C370" s="1" t="n">
        <v>45744</v>
      </c>
      <c r="D370" t="inlineStr">
        <is>
          <t>SKÅNE LÄN</t>
        </is>
      </c>
      <c r="E370" t="inlineStr">
        <is>
          <t>HÄSSLEHOLM</t>
        </is>
      </c>
      <c r="G370" t="n">
        <v>3.7</v>
      </c>
      <c r="H370" t="n">
        <v>0</v>
      </c>
      <c r="I370" t="n">
        <v>0</v>
      </c>
      <c r="J370" t="n">
        <v>0</v>
      </c>
      <c r="K370" t="n">
        <v>0</v>
      </c>
      <c r="L370" t="n">
        <v>0</v>
      </c>
      <c r="M370" t="n">
        <v>0</v>
      </c>
      <c r="N370" t="n">
        <v>0</v>
      </c>
      <c r="O370" t="n">
        <v>0</v>
      </c>
      <c r="P370" t="n">
        <v>0</v>
      </c>
      <c r="Q370" t="n">
        <v>0</v>
      </c>
      <c r="R370" s="2" t="inlineStr"/>
    </row>
    <row r="371" ht="15" customHeight="1">
      <c r="A371" t="inlineStr">
        <is>
          <t>A 3365-2021</t>
        </is>
      </c>
      <c r="B371" s="1" t="n">
        <v>44216</v>
      </c>
      <c r="C371" s="1" t="n">
        <v>45744</v>
      </c>
      <c r="D371" t="inlineStr">
        <is>
          <t>SKÅNE LÄN</t>
        </is>
      </c>
      <c r="E371" t="inlineStr">
        <is>
          <t>HÄSSLEHOLM</t>
        </is>
      </c>
      <c r="G371" t="n">
        <v>4.1</v>
      </c>
      <c r="H371" t="n">
        <v>0</v>
      </c>
      <c r="I371" t="n">
        <v>0</v>
      </c>
      <c r="J371" t="n">
        <v>0</v>
      </c>
      <c r="K371" t="n">
        <v>0</v>
      </c>
      <c r="L371" t="n">
        <v>0</v>
      </c>
      <c r="M371" t="n">
        <v>0</v>
      </c>
      <c r="N371" t="n">
        <v>0</v>
      </c>
      <c r="O371" t="n">
        <v>0</v>
      </c>
      <c r="P371" t="n">
        <v>0</v>
      </c>
      <c r="Q371" t="n">
        <v>0</v>
      </c>
      <c r="R371" s="2" t="inlineStr"/>
    </row>
    <row r="372" ht="15" customHeight="1">
      <c r="A372" t="inlineStr">
        <is>
          <t>A 3447-2021</t>
        </is>
      </c>
      <c r="B372" s="1" t="n">
        <v>44218</v>
      </c>
      <c r="C372" s="1" t="n">
        <v>45744</v>
      </c>
      <c r="D372" t="inlineStr">
        <is>
          <t>SKÅNE LÄN</t>
        </is>
      </c>
      <c r="E372" t="inlineStr">
        <is>
          <t>HÄSSLEHOLM</t>
        </is>
      </c>
      <c r="G372" t="n">
        <v>3.9</v>
      </c>
      <c r="H372" t="n">
        <v>0</v>
      </c>
      <c r="I372" t="n">
        <v>0</v>
      </c>
      <c r="J372" t="n">
        <v>0</v>
      </c>
      <c r="K372" t="n">
        <v>0</v>
      </c>
      <c r="L372" t="n">
        <v>0</v>
      </c>
      <c r="M372" t="n">
        <v>0</v>
      </c>
      <c r="N372" t="n">
        <v>0</v>
      </c>
      <c r="O372" t="n">
        <v>0</v>
      </c>
      <c r="P372" t="n">
        <v>0</v>
      </c>
      <c r="Q372" t="n">
        <v>0</v>
      </c>
      <c r="R372" s="2" t="inlineStr"/>
    </row>
    <row r="373" ht="15" customHeight="1">
      <c r="A373" t="inlineStr">
        <is>
          <t>A 3483-2021</t>
        </is>
      </c>
      <c r="B373" s="1" t="n">
        <v>44218</v>
      </c>
      <c r="C373" s="1" t="n">
        <v>45744</v>
      </c>
      <c r="D373" t="inlineStr">
        <is>
          <t>SKÅNE LÄN</t>
        </is>
      </c>
      <c r="E373" t="inlineStr">
        <is>
          <t>HÄSSLEHOLM</t>
        </is>
      </c>
      <c r="G373" t="n">
        <v>2.1</v>
      </c>
      <c r="H373" t="n">
        <v>0</v>
      </c>
      <c r="I373" t="n">
        <v>0</v>
      </c>
      <c r="J373" t="n">
        <v>0</v>
      </c>
      <c r="K373" t="n">
        <v>0</v>
      </c>
      <c r="L373" t="n">
        <v>0</v>
      </c>
      <c r="M373" t="n">
        <v>0</v>
      </c>
      <c r="N373" t="n">
        <v>0</v>
      </c>
      <c r="O373" t="n">
        <v>0</v>
      </c>
      <c r="P373" t="n">
        <v>0</v>
      </c>
      <c r="Q373" t="n">
        <v>0</v>
      </c>
      <c r="R373" s="2" t="inlineStr"/>
    </row>
    <row r="374" ht="15" customHeight="1">
      <c r="A374" t="inlineStr">
        <is>
          <t>A 3714-2021</t>
        </is>
      </c>
      <c r="B374" s="1" t="n">
        <v>44221</v>
      </c>
      <c r="C374" s="1" t="n">
        <v>45744</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3925-2021</t>
        </is>
      </c>
      <c r="B375" s="1" t="n">
        <v>44222</v>
      </c>
      <c r="C375" s="1" t="n">
        <v>45744</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3930-2021</t>
        </is>
      </c>
      <c r="B376" s="1" t="n">
        <v>44222</v>
      </c>
      <c r="C376" s="1" t="n">
        <v>45744</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4370-2021</t>
        </is>
      </c>
      <c r="B377" s="1" t="n">
        <v>44223</v>
      </c>
      <c r="C377" s="1" t="n">
        <v>45744</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5476-2021</t>
        </is>
      </c>
      <c r="B378" s="1" t="n">
        <v>44230</v>
      </c>
      <c r="C378" s="1" t="n">
        <v>45744</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5478-2021</t>
        </is>
      </c>
      <c r="B379" s="1" t="n">
        <v>44230</v>
      </c>
      <c r="C379" s="1" t="n">
        <v>45744</v>
      </c>
      <c r="D379" t="inlineStr">
        <is>
          <t>SKÅNE LÄN</t>
        </is>
      </c>
      <c r="E379" t="inlineStr">
        <is>
          <t>HÄSSLEHOLM</t>
        </is>
      </c>
      <c r="G379" t="n">
        <v>0.1</v>
      </c>
      <c r="H379" t="n">
        <v>0</v>
      </c>
      <c r="I379" t="n">
        <v>0</v>
      </c>
      <c r="J379" t="n">
        <v>0</v>
      </c>
      <c r="K379" t="n">
        <v>0</v>
      </c>
      <c r="L379" t="n">
        <v>0</v>
      </c>
      <c r="M379" t="n">
        <v>0</v>
      </c>
      <c r="N379" t="n">
        <v>0</v>
      </c>
      <c r="O379" t="n">
        <v>0</v>
      </c>
      <c r="P379" t="n">
        <v>0</v>
      </c>
      <c r="Q379" t="n">
        <v>0</v>
      </c>
      <c r="R379" s="2" t="inlineStr"/>
    </row>
    <row r="380" ht="15" customHeight="1">
      <c r="A380" t="inlineStr">
        <is>
          <t>A 6122-2021</t>
        </is>
      </c>
      <c r="B380" s="1" t="n">
        <v>44232</v>
      </c>
      <c r="C380" s="1" t="n">
        <v>45744</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6180-2021</t>
        </is>
      </c>
      <c r="B381" s="1" t="n">
        <v>44232</v>
      </c>
      <c r="C381" s="1" t="n">
        <v>45744</v>
      </c>
      <c r="D381" t="inlineStr">
        <is>
          <t>SKÅNE LÄN</t>
        </is>
      </c>
      <c r="E381" t="inlineStr">
        <is>
          <t>HÄSSLEHOLM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6327-2021</t>
        </is>
      </c>
      <c r="B382" s="1" t="n">
        <v>44235</v>
      </c>
      <c r="C382" s="1" t="n">
        <v>45744</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6638-2021</t>
        </is>
      </c>
      <c r="B383" s="1" t="n">
        <v>44235</v>
      </c>
      <c r="C383" s="1" t="n">
        <v>45744</v>
      </c>
      <c r="D383" t="inlineStr">
        <is>
          <t>SKÅNE LÄN</t>
        </is>
      </c>
      <c r="E383" t="inlineStr">
        <is>
          <t>HÄSSLEHOLM</t>
        </is>
      </c>
      <c r="G383" t="n">
        <v>112.4</v>
      </c>
      <c r="H383" t="n">
        <v>0</v>
      </c>
      <c r="I383" t="n">
        <v>0</v>
      </c>
      <c r="J383" t="n">
        <v>0</v>
      </c>
      <c r="K383" t="n">
        <v>0</v>
      </c>
      <c r="L383" t="n">
        <v>0</v>
      </c>
      <c r="M383" t="n">
        <v>0</v>
      </c>
      <c r="N383" t="n">
        <v>0</v>
      </c>
      <c r="O383" t="n">
        <v>0</v>
      </c>
      <c r="P383" t="n">
        <v>0</v>
      </c>
      <c r="Q383" t="n">
        <v>0</v>
      </c>
      <c r="R383" s="2" t="inlineStr"/>
    </row>
    <row r="384" ht="15" customHeight="1">
      <c r="A384" t="inlineStr">
        <is>
          <t>A 6583-2021</t>
        </is>
      </c>
      <c r="B384" s="1" t="n">
        <v>44236</v>
      </c>
      <c r="C384" s="1" t="n">
        <v>45744</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6596-2021</t>
        </is>
      </c>
      <c r="B385" s="1" t="n">
        <v>44236</v>
      </c>
      <c r="C385" s="1" t="n">
        <v>45744</v>
      </c>
      <c r="D385" t="inlineStr">
        <is>
          <t>SKÅNE LÄN</t>
        </is>
      </c>
      <c r="E385" t="inlineStr">
        <is>
          <t>HÄSSLEHOLM</t>
        </is>
      </c>
      <c r="G385" t="n">
        <v>2</v>
      </c>
      <c r="H385" t="n">
        <v>0</v>
      </c>
      <c r="I385" t="n">
        <v>0</v>
      </c>
      <c r="J385" t="n">
        <v>0</v>
      </c>
      <c r="K385" t="n">
        <v>0</v>
      </c>
      <c r="L385" t="n">
        <v>0</v>
      </c>
      <c r="M385" t="n">
        <v>0</v>
      </c>
      <c r="N385" t="n">
        <v>0</v>
      </c>
      <c r="O385" t="n">
        <v>0</v>
      </c>
      <c r="P385" t="n">
        <v>0</v>
      </c>
      <c r="Q385" t="n">
        <v>0</v>
      </c>
      <c r="R385" s="2" t="inlineStr"/>
    </row>
    <row r="386" ht="15" customHeight="1">
      <c r="A386" t="inlineStr">
        <is>
          <t>A 6791-2021</t>
        </is>
      </c>
      <c r="B386" s="1" t="n">
        <v>44236</v>
      </c>
      <c r="C386" s="1" t="n">
        <v>45744</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6804-2021</t>
        </is>
      </c>
      <c r="B387" s="1" t="n">
        <v>44236</v>
      </c>
      <c r="C387" s="1" t="n">
        <v>45744</v>
      </c>
      <c r="D387" t="inlineStr">
        <is>
          <t>SKÅNE LÄN</t>
        </is>
      </c>
      <c r="E387" t="inlineStr">
        <is>
          <t>HÄSSLEHOLM</t>
        </is>
      </c>
      <c r="G387" t="n">
        <v>4.6</v>
      </c>
      <c r="H387" t="n">
        <v>0</v>
      </c>
      <c r="I387" t="n">
        <v>0</v>
      </c>
      <c r="J387" t="n">
        <v>0</v>
      </c>
      <c r="K387" t="n">
        <v>0</v>
      </c>
      <c r="L387" t="n">
        <v>0</v>
      </c>
      <c r="M387" t="n">
        <v>0</v>
      </c>
      <c r="N387" t="n">
        <v>0</v>
      </c>
      <c r="O387" t="n">
        <v>0</v>
      </c>
      <c r="P387" t="n">
        <v>0</v>
      </c>
      <c r="Q387" t="n">
        <v>0</v>
      </c>
      <c r="R387" s="2" t="inlineStr"/>
    </row>
    <row r="388" ht="15" customHeight="1">
      <c r="A388" t="inlineStr">
        <is>
          <t>A 7248-2021</t>
        </is>
      </c>
      <c r="B388" s="1" t="n">
        <v>44236</v>
      </c>
      <c r="C388" s="1" t="n">
        <v>45744</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6962-2021</t>
        </is>
      </c>
      <c r="B389" s="1" t="n">
        <v>44237</v>
      </c>
      <c r="C389" s="1" t="n">
        <v>45744</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6967-2021</t>
        </is>
      </c>
      <c r="B390" s="1" t="n">
        <v>44237</v>
      </c>
      <c r="C390" s="1" t="n">
        <v>45744</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6973-2021</t>
        </is>
      </c>
      <c r="B391" s="1" t="n">
        <v>44237</v>
      </c>
      <c r="C391" s="1" t="n">
        <v>45744</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6965-2021</t>
        </is>
      </c>
      <c r="B392" s="1" t="n">
        <v>44237</v>
      </c>
      <c r="C392" s="1" t="n">
        <v>45744</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7522-2021</t>
        </is>
      </c>
      <c r="B393" s="1" t="n">
        <v>44238</v>
      </c>
      <c r="C393" s="1" t="n">
        <v>45744</v>
      </c>
      <c r="D393" t="inlineStr">
        <is>
          <t>SKÅNE LÄN</t>
        </is>
      </c>
      <c r="E393" t="inlineStr">
        <is>
          <t>HÄSSLEHOLM</t>
        </is>
      </c>
      <c r="G393" t="n">
        <v>2.2</v>
      </c>
      <c r="H393" t="n">
        <v>0</v>
      </c>
      <c r="I393" t="n">
        <v>0</v>
      </c>
      <c r="J393" t="n">
        <v>0</v>
      </c>
      <c r="K393" t="n">
        <v>0</v>
      </c>
      <c r="L393" t="n">
        <v>0</v>
      </c>
      <c r="M393" t="n">
        <v>0</v>
      </c>
      <c r="N393" t="n">
        <v>0</v>
      </c>
      <c r="O393" t="n">
        <v>0</v>
      </c>
      <c r="P393" t="n">
        <v>0</v>
      </c>
      <c r="Q393" t="n">
        <v>0</v>
      </c>
      <c r="R393" s="2" t="inlineStr"/>
    </row>
    <row r="394" ht="15" customHeight="1">
      <c r="A394" t="inlineStr">
        <is>
          <t>A 7701-2021</t>
        </is>
      </c>
      <c r="B394" s="1" t="n">
        <v>44242</v>
      </c>
      <c r="C394" s="1" t="n">
        <v>45744</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7655-2021</t>
        </is>
      </c>
      <c r="B395" s="1" t="n">
        <v>44242</v>
      </c>
      <c r="C395" s="1" t="n">
        <v>45744</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7692-2021</t>
        </is>
      </c>
      <c r="B396" s="1" t="n">
        <v>44242</v>
      </c>
      <c r="C396" s="1" t="n">
        <v>45744</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7729-2021</t>
        </is>
      </c>
      <c r="B397" s="1" t="n">
        <v>44242</v>
      </c>
      <c r="C397" s="1" t="n">
        <v>45744</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7771-2021</t>
        </is>
      </c>
      <c r="B398" s="1" t="n">
        <v>44242</v>
      </c>
      <c r="C398" s="1" t="n">
        <v>45744</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8278-2021</t>
        </is>
      </c>
      <c r="B399" s="1" t="n">
        <v>44244</v>
      </c>
      <c r="C399" s="1" t="n">
        <v>45744</v>
      </c>
      <c r="D399" t="inlineStr">
        <is>
          <t>SKÅNE LÄN</t>
        </is>
      </c>
      <c r="E399" t="inlineStr">
        <is>
          <t>HÄSSLEHOLM</t>
        </is>
      </c>
      <c r="F399" t="inlineStr">
        <is>
          <t>Kyrkan</t>
        </is>
      </c>
      <c r="G399" t="n">
        <v>1.4</v>
      </c>
      <c r="H399" t="n">
        <v>0</v>
      </c>
      <c r="I399" t="n">
        <v>0</v>
      </c>
      <c r="J399" t="n">
        <v>0</v>
      </c>
      <c r="K399" t="n">
        <v>0</v>
      </c>
      <c r="L399" t="n">
        <v>0</v>
      </c>
      <c r="M399" t="n">
        <v>0</v>
      </c>
      <c r="N399" t="n">
        <v>0</v>
      </c>
      <c r="O399" t="n">
        <v>0</v>
      </c>
      <c r="P399" t="n">
        <v>0</v>
      </c>
      <c r="Q399" t="n">
        <v>0</v>
      </c>
      <c r="R399" s="2" t="inlineStr"/>
    </row>
    <row r="400" ht="15" customHeight="1">
      <c r="A400" t="inlineStr">
        <is>
          <t>A 8695-2021</t>
        </is>
      </c>
      <c r="B400" s="1" t="n">
        <v>44246</v>
      </c>
      <c r="C400" s="1" t="n">
        <v>45744</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9257-2021</t>
        </is>
      </c>
      <c r="B401" s="1" t="n">
        <v>44250</v>
      </c>
      <c r="C401" s="1" t="n">
        <v>45744</v>
      </c>
      <c r="D401" t="inlineStr">
        <is>
          <t>SKÅNE LÄN</t>
        </is>
      </c>
      <c r="E401" t="inlineStr">
        <is>
          <t>HÄSSLEHOLM</t>
        </is>
      </c>
      <c r="G401" t="n">
        <v>2.2</v>
      </c>
      <c r="H401" t="n">
        <v>0</v>
      </c>
      <c r="I401" t="n">
        <v>0</v>
      </c>
      <c r="J401" t="n">
        <v>0</v>
      </c>
      <c r="K401" t="n">
        <v>0</v>
      </c>
      <c r="L401" t="n">
        <v>0</v>
      </c>
      <c r="M401" t="n">
        <v>0</v>
      </c>
      <c r="N401" t="n">
        <v>0</v>
      </c>
      <c r="O401" t="n">
        <v>0</v>
      </c>
      <c r="P401" t="n">
        <v>0</v>
      </c>
      <c r="Q401" t="n">
        <v>0</v>
      </c>
      <c r="R401" s="2" t="inlineStr"/>
    </row>
    <row r="402" ht="15" customHeight="1">
      <c r="A402" t="inlineStr">
        <is>
          <t>A 9453-2021</t>
        </is>
      </c>
      <c r="B402" s="1" t="n">
        <v>44251</v>
      </c>
      <c r="C402" s="1" t="n">
        <v>45744</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9885-2021</t>
        </is>
      </c>
      <c r="B403" s="1" t="n">
        <v>44253</v>
      </c>
      <c r="C403" s="1" t="n">
        <v>45744</v>
      </c>
      <c r="D403" t="inlineStr">
        <is>
          <t>SKÅNE LÄN</t>
        </is>
      </c>
      <c r="E403" t="inlineStr">
        <is>
          <t>HÄSSLEHOLM</t>
        </is>
      </c>
      <c r="G403" t="n">
        <v>2.4</v>
      </c>
      <c r="H403" t="n">
        <v>0</v>
      </c>
      <c r="I403" t="n">
        <v>0</v>
      </c>
      <c r="J403" t="n">
        <v>0</v>
      </c>
      <c r="K403" t="n">
        <v>0</v>
      </c>
      <c r="L403" t="n">
        <v>0</v>
      </c>
      <c r="M403" t="n">
        <v>0</v>
      </c>
      <c r="N403" t="n">
        <v>0</v>
      </c>
      <c r="O403" t="n">
        <v>0</v>
      </c>
      <c r="P403" t="n">
        <v>0</v>
      </c>
      <c r="Q403" t="n">
        <v>0</v>
      </c>
      <c r="R403" s="2" t="inlineStr"/>
    </row>
    <row r="404" ht="15" customHeight="1">
      <c r="A404" t="inlineStr">
        <is>
          <t>A 9880-2021</t>
        </is>
      </c>
      <c r="B404" s="1" t="n">
        <v>44253</v>
      </c>
      <c r="C404" s="1" t="n">
        <v>45744</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11260-2021</t>
        </is>
      </c>
      <c r="B405" s="1" t="n">
        <v>44263</v>
      </c>
      <c r="C405" s="1" t="n">
        <v>45744</v>
      </c>
      <c r="D405" t="inlineStr">
        <is>
          <t>SKÅNE LÄN</t>
        </is>
      </c>
      <c r="E405" t="inlineStr">
        <is>
          <t>HÄSSLEHOLM</t>
        </is>
      </c>
      <c r="G405" t="n">
        <v>5.4</v>
      </c>
      <c r="H405" t="n">
        <v>0</v>
      </c>
      <c r="I405" t="n">
        <v>0</v>
      </c>
      <c r="J405" t="n">
        <v>0</v>
      </c>
      <c r="K405" t="n">
        <v>0</v>
      </c>
      <c r="L405" t="n">
        <v>0</v>
      </c>
      <c r="M405" t="n">
        <v>0</v>
      </c>
      <c r="N405" t="n">
        <v>0</v>
      </c>
      <c r="O405" t="n">
        <v>0</v>
      </c>
      <c r="P405" t="n">
        <v>0</v>
      </c>
      <c r="Q405" t="n">
        <v>0</v>
      </c>
      <c r="R405" s="2" t="inlineStr"/>
    </row>
    <row r="406" ht="15" customHeight="1">
      <c r="A406" t="inlineStr">
        <is>
          <t>A 11616-2021</t>
        </is>
      </c>
      <c r="B406" s="1" t="n">
        <v>44264</v>
      </c>
      <c r="C406" s="1" t="n">
        <v>45744</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12617-2021</t>
        </is>
      </c>
      <c r="B407" s="1" t="n">
        <v>44270</v>
      </c>
      <c r="C407" s="1" t="n">
        <v>45744</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13063-2021</t>
        </is>
      </c>
      <c r="B408" s="1" t="n">
        <v>44272</v>
      </c>
      <c r="C408" s="1" t="n">
        <v>45744</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13711-2021</t>
        </is>
      </c>
      <c r="B409" s="1" t="n">
        <v>44274</v>
      </c>
      <c r="C409" s="1" t="n">
        <v>45744</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45744</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13811-2021</t>
        </is>
      </c>
      <c r="B411" s="1" t="n">
        <v>44276</v>
      </c>
      <c r="C411" s="1" t="n">
        <v>45744</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14054-2021</t>
        </is>
      </c>
      <c r="B412" s="1" t="n">
        <v>44277</v>
      </c>
      <c r="C412" s="1" t="n">
        <v>45744</v>
      </c>
      <c r="D412" t="inlineStr">
        <is>
          <t>SKÅNE LÄN</t>
        </is>
      </c>
      <c r="E412" t="inlineStr">
        <is>
          <t>HÄSSLEHOLM</t>
        </is>
      </c>
      <c r="G412" t="n">
        <v>2</v>
      </c>
      <c r="H412" t="n">
        <v>0</v>
      </c>
      <c r="I412" t="n">
        <v>0</v>
      </c>
      <c r="J412" t="n">
        <v>0</v>
      </c>
      <c r="K412" t="n">
        <v>0</v>
      </c>
      <c r="L412" t="n">
        <v>0</v>
      </c>
      <c r="M412" t="n">
        <v>0</v>
      </c>
      <c r="N412" t="n">
        <v>0</v>
      </c>
      <c r="O412" t="n">
        <v>0</v>
      </c>
      <c r="P412" t="n">
        <v>0</v>
      </c>
      <c r="Q412" t="n">
        <v>0</v>
      </c>
      <c r="R412" s="2" t="inlineStr"/>
    </row>
    <row r="413" ht="15" customHeight="1">
      <c r="A413" t="inlineStr">
        <is>
          <t>A 13982-2021</t>
        </is>
      </c>
      <c r="B413" s="1" t="n">
        <v>44277</v>
      </c>
      <c r="C413" s="1" t="n">
        <v>45744</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14157-2021</t>
        </is>
      </c>
      <c r="B414" s="1" t="n">
        <v>44278</v>
      </c>
      <c r="C414" s="1" t="n">
        <v>45744</v>
      </c>
      <c r="D414" t="inlineStr">
        <is>
          <t>SKÅNE LÄN</t>
        </is>
      </c>
      <c r="E414" t="inlineStr">
        <is>
          <t>HÄSSLEHOLM</t>
        </is>
      </c>
      <c r="G414" t="n">
        <v>10.5</v>
      </c>
      <c r="H414" t="n">
        <v>0</v>
      </c>
      <c r="I414" t="n">
        <v>0</v>
      </c>
      <c r="J414" t="n">
        <v>0</v>
      </c>
      <c r="K414" t="n">
        <v>0</v>
      </c>
      <c r="L414" t="n">
        <v>0</v>
      </c>
      <c r="M414" t="n">
        <v>0</v>
      </c>
      <c r="N414" t="n">
        <v>0</v>
      </c>
      <c r="O414" t="n">
        <v>0</v>
      </c>
      <c r="P414" t="n">
        <v>0</v>
      </c>
      <c r="Q414" t="n">
        <v>0</v>
      </c>
      <c r="R414" s="2" t="inlineStr"/>
    </row>
    <row r="415" ht="15" customHeight="1">
      <c r="A415" t="inlineStr">
        <is>
          <t>A 17497-2021</t>
        </is>
      </c>
      <c r="B415" s="1" t="n">
        <v>44299</v>
      </c>
      <c r="C415" s="1" t="n">
        <v>45744</v>
      </c>
      <c r="D415" t="inlineStr">
        <is>
          <t>SKÅNE LÄN</t>
        </is>
      </c>
      <c r="E415" t="inlineStr">
        <is>
          <t>HÄSSLEHOLM</t>
        </is>
      </c>
      <c r="G415" t="n">
        <v>8</v>
      </c>
      <c r="H415" t="n">
        <v>0</v>
      </c>
      <c r="I415" t="n">
        <v>0</v>
      </c>
      <c r="J415" t="n">
        <v>0</v>
      </c>
      <c r="K415" t="n">
        <v>0</v>
      </c>
      <c r="L415" t="n">
        <v>0</v>
      </c>
      <c r="M415" t="n">
        <v>0</v>
      </c>
      <c r="N415" t="n">
        <v>0</v>
      </c>
      <c r="O415" t="n">
        <v>0</v>
      </c>
      <c r="P415" t="n">
        <v>0</v>
      </c>
      <c r="Q415" t="n">
        <v>0</v>
      </c>
      <c r="R415" s="2" t="inlineStr"/>
    </row>
    <row r="416" ht="15" customHeight="1">
      <c r="A416" t="inlineStr">
        <is>
          <t>A 18011-2021</t>
        </is>
      </c>
      <c r="B416" s="1" t="n">
        <v>44302</v>
      </c>
      <c r="C416" s="1" t="n">
        <v>45744</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18523-2021</t>
        </is>
      </c>
      <c r="B417" s="1" t="n">
        <v>44305</v>
      </c>
      <c r="C417" s="1" t="n">
        <v>45744</v>
      </c>
      <c r="D417" t="inlineStr">
        <is>
          <t>SKÅNE LÄN</t>
        </is>
      </c>
      <c r="E417" t="inlineStr">
        <is>
          <t>HÄSSLEHOLM</t>
        </is>
      </c>
      <c r="F417" t="inlineStr">
        <is>
          <t>Övriga Aktiebolag</t>
        </is>
      </c>
      <c r="G417" t="n">
        <v>1.2</v>
      </c>
      <c r="H417" t="n">
        <v>0</v>
      </c>
      <c r="I417" t="n">
        <v>0</v>
      </c>
      <c r="J417" t="n">
        <v>0</v>
      </c>
      <c r="K417" t="n">
        <v>0</v>
      </c>
      <c r="L417" t="n">
        <v>0</v>
      </c>
      <c r="M417" t="n">
        <v>0</v>
      </c>
      <c r="N417" t="n">
        <v>0</v>
      </c>
      <c r="O417" t="n">
        <v>0</v>
      </c>
      <c r="P417" t="n">
        <v>0</v>
      </c>
      <c r="Q417" t="n">
        <v>0</v>
      </c>
      <c r="R417" s="2" t="inlineStr"/>
    </row>
    <row r="418" ht="15" customHeight="1">
      <c r="A418" t="inlineStr">
        <is>
          <t>A 18511-2021</t>
        </is>
      </c>
      <c r="B418" s="1" t="n">
        <v>44305</v>
      </c>
      <c r="C418" s="1" t="n">
        <v>45744</v>
      </c>
      <c r="D418" t="inlineStr">
        <is>
          <t>SKÅNE LÄN</t>
        </is>
      </c>
      <c r="E418" t="inlineStr">
        <is>
          <t>HÄSSLEHOLM</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18515-2021</t>
        </is>
      </c>
      <c r="B419" s="1" t="n">
        <v>44305</v>
      </c>
      <c r="C419" s="1" t="n">
        <v>45744</v>
      </c>
      <c r="D419" t="inlineStr">
        <is>
          <t>SKÅNE LÄN</t>
        </is>
      </c>
      <c r="E419" t="inlineStr">
        <is>
          <t>HÄSSLEHOLM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18528-2021</t>
        </is>
      </c>
      <c r="B420" s="1" t="n">
        <v>44305</v>
      </c>
      <c r="C420" s="1" t="n">
        <v>45744</v>
      </c>
      <c r="D420" t="inlineStr">
        <is>
          <t>SKÅNE LÄN</t>
        </is>
      </c>
      <c r="E420" t="inlineStr">
        <is>
          <t>HÄSSLEHOLM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18648-2021</t>
        </is>
      </c>
      <c r="B421" s="1" t="n">
        <v>44306</v>
      </c>
      <c r="C421" s="1" t="n">
        <v>45744</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19449-2021</t>
        </is>
      </c>
      <c r="B422" s="1" t="n">
        <v>44310</v>
      </c>
      <c r="C422" s="1" t="n">
        <v>45744</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20510-2021</t>
        </is>
      </c>
      <c r="B423" s="1" t="n">
        <v>44315</v>
      </c>
      <c r="C423" s="1" t="n">
        <v>45744</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20435-2021</t>
        </is>
      </c>
      <c r="B424" s="1" t="n">
        <v>44315</v>
      </c>
      <c r="C424" s="1" t="n">
        <v>45744</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20513-2021</t>
        </is>
      </c>
      <c r="B425" s="1" t="n">
        <v>44315</v>
      </c>
      <c r="C425" s="1" t="n">
        <v>45744</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20648-2021</t>
        </is>
      </c>
      <c r="B426" s="1" t="n">
        <v>44316</v>
      </c>
      <c r="C426" s="1" t="n">
        <v>45744</v>
      </c>
      <c r="D426" t="inlineStr">
        <is>
          <t>SKÅNE LÄN</t>
        </is>
      </c>
      <c r="E426" t="inlineStr">
        <is>
          <t>HÄSSLEHOLM</t>
        </is>
      </c>
      <c r="G426" t="n">
        <v>2.4</v>
      </c>
      <c r="H426" t="n">
        <v>0</v>
      </c>
      <c r="I426" t="n">
        <v>0</v>
      </c>
      <c r="J426" t="n">
        <v>0</v>
      </c>
      <c r="K426" t="n">
        <v>0</v>
      </c>
      <c r="L426" t="n">
        <v>0</v>
      </c>
      <c r="M426" t="n">
        <v>0</v>
      </c>
      <c r="N426" t="n">
        <v>0</v>
      </c>
      <c r="O426" t="n">
        <v>0</v>
      </c>
      <c r="P426" t="n">
        <v>0</v>
      </c>
      <c r="Q426" t="n">
        <v>0</v>
      </c>
      <c r="R426" s="2" t="inlineStr"/>
    </row>
    <row r="427" ht="15" customHeight="1">
      <c r="A427" t="inlineStr">
        <is>
          <t>A 20659-2021</t>
        </is>
      </c>
      <c r="B427" s="1" t="n">
        <v>44316</v>
      </c>
      <c r="C427" s="1" t="n">
        <v>45744</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21715-2021</t>
        </is>
      </c>
      <c r="B428" s="1" t="n">
        <v>44316</v>
      </c>
      <c r="C428" s="1" t="n">
        <v>45744</v>
      </c>
      <c r="D428" t="inlineStr">
        <is>
          <t>SKÅNE LÄN</t>
        </is>
      </c>
      <c r="E428" t="inlineStr">
        <is>
          <t>HÄSSLEHOLM</t>
        </is>
      </c>
      <c r="G428" t="n">
        <v>9.5</v>
      </c>
      <c r="H428" t="n">
        <v>0</v>
      </c>
      <c r="I428" t="n">
        <v>0</v>
      </c>
      <c r="J428" t="n">
        <v>0</v>
      </c>
      <c r="K428" t="n">
        <v>0</v>
      </c>
      <c r="L428" t="n">
        <v>0</v>
      </c>
      <c r="M428" t="n">
        <v>0</v>
      </c>
      <c r="N428" t="n">
        <v>0</v>
      </c>
      <c r="O428" t="n">
        <v>0</v>
      </c>
      <c r="P428" t="n">
        <v>0</v>
      </c>
      <c r="Q428" t="n">
        <v>0</v>
      </c>
      <c r="R428" s="2" t="inlineStr"/>
    </row>
    <row r="429" ht="15" customHeight="1">
      <c r="A429" t="inlineStr">
        <is>
          <t>A 21028-2021</t>
        </is>
      </c>
      <c r="B429" s="1" t="n">
        <v>44319</v>
      </c>
      <c r="C429" s="1" t="n">
        <v>45744</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21029-2021</t>
        </is>
      </c>
      <c r="B430" s="1" t="n">
        <v>44319</v>
      </c>
      <c r="C430" s="1" t="n">
        <v>45744</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21535-2021</t>
        </is>
      </c>
      <c r="B431" s="1" t="n">
        <v>44321</v>
      </c>
      <c r="C431" s="1" t="n">
        <v>45744</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22320-2021</t>
        </is>
      </c>
      <c r="B432" s="1" t="n">
        <v>44323</v>
      </c>
      <c r="C432" s="1" t="n">
        <v>45744</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22423-2021</t>
        </is>
      </c>
      <c r="B433" s="1" t="n">
        <v>44326</v>
      </c>
      <c r="C433" s="1" t="n">
        <v>45744</v>
      </c>
      <c r="D433" t="inlineStr">
        <is>
          <t>SKÅNE LÄN</t>
        </is>
      </c>
      <c r="E433" t="inlineStr">
        <is>
          <t>HÄSSLEHOLM</t>
        </is>
      </c>
      <c r="F433" t="inlineStr">
        <is>
          <t>Övriga Aktiebolag</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22541-2021</t>
        </is>
      </c>
      <c r="B434" s="1" t="n">
        <v>44326</v>
      </c>
      <c r="C434" s="1" t="n">
        <v>45744</v>
      </c>
      <c r="D434" t="inlineStr">
        <is>
          <t>SKÅNE LÄN</t>
        </is>
      </c>
      <c r="E434" t="inlineStr">
        <is>
          <t>HÄSSLEHOLM</t>
        </is>
      </c>
      <c r="G434" t="n">
        <v>4.4</v>
      </c>
      <c r="H434" t="n">
        <v>0</v>
      </c>
      <c r="I434" t="n">
        <v>0</v>
      </c>
      <c r="J434" t="n">
        <v>0</v>
      </c>
      <c r="K434" t="n">
        <v>0</v>
      </c>
      <c r="L434" t="n">
        <v>0</v>
      </c>
      <c r="M434" t="n">
        <v>0</v>
      </c>
      <c r="N434" t="n">
        <v>0</v>
      </c>
      <c r="O434" t="n">
        <v>0</v>
      </c>
      <c r="P434" t="n">
        <v>0</v>
      </c>
      <c r="Q434" t="n">
        <v>0</v>
      </c>
      <c r="R434" s="2" t="inlineStr"/>
    </row>
    <row r="435" ht="15" customHeight="1">
      <c r="A435" t="inlineStr">
        <is>
          <t>A 23003-2021</t>
        </is>
      </c>
      <c r="B435" s="1" t="n">
        <v>44328</v>
      </c>
      <c r="C435" s="1" t="n">
        <v>45744</v>
      </c>
      <c r="D435" t="inlineStr">
        <is>
          <t>SKÅNE LÄN</t>
        </is>
      </c>
      <c r="E435" t="inlineStr">
        <is>
          <t>HÄSSLEHOLM</t>
        </is>
      </c>
      <c r="G435" t="n">
        <v>4.4</v>
      </c>
      <c r="H435" t="n">
        <v>0</v>
      </c>
      <c r="I435" t="n">
        <v>0</v>
      </c>
      <c r="J435" t="n">
        <v>0</v>
      </c>
      <c r="K435" t="n">
        <v>0</v>
      </c>
      <c r="L435" t="n">
        <v>0</v>
      </c>
      <c r="M435" t="n">
        <v>0</v>
      </c>
      <c r="N435" t="n">
        <v>0</v>
      </c>
      <c r="O435" t="n">
        <v>0</v>
      </c>
      <c r="P435" t="n">
        <v>0</v>
      </c>
      <c r="Q435" t="n">
        <v>0</v>
      </c>
      <c r="R435" s="2" t="inlineStr"/>
    </row>
    <row r="436" ht="15" customHeight="1">
      <c r="A436" t="inlineStr">
        <is>
          <t>A 22899-2021</t>
        </is>
      </c>
      <c r="B436" s="1" t="n">
        <v>44328</v>
      </c>
      <c r="C436" s="1" t="n">
        <v>45744</v>
      </c>
      <c r="D436" t="inlineStr">
        <is>
          <t>SKÅNE LÄN</t>
        </is>
      </c>
      <c r="E436" t="inlineStr">
        <is>
          <t>HÄSSLEHOLM</t>
        </is>
      </c>
      <c r="G436" t="n">
        <v>1.3</v>
      </c>
      <c r="H436" t="n">
        <v>0</v>
      </c>
      <c r="I436" t="n">
        <v>0</v>
      </c>
      <c r="J436" t="n">
        <v>0</v>
      </c>
      <c r="K436" t="n">
        <v>0</v>
      </c>
      <c r="L436" t="n">
        <v>0</v>
      </c>
      <c r="M436" t="n">
        <v>0</v>
      </c>
      <c r="N436" t="n">
        <v>0</v>
      </c>
      <c r="O436" t="n">
        <v>0</v>
      </c>
      <c r="P436" t="n">
        <v>0</v>
      </c>
      <c r="Q436" t="n">
        <v>0</v>
      </c>
      <c r="R436" s="2" t="inlineStr"/>
    </row>
    <row r="437" ht="15" customHeight="1">
      <c r="A437" t="inlineStr">
        <is>
          <t>A 22907-2021</t>
        </is>
      </c>
      <c r="B437" s="1" t="n">
        <v>44328</v>
      </c>
      <c r="C437" s="1" t="n">
        <v>45744</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23045-2021</t>
        </is>
      </c>
      <c r="B438" s="1" t="n">
        <v>44329</v>
      </c>
      <c r="C438" s="1" t="n">
        <v>45744</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23106-2021</t>
        </is>
      </c>
      <c r="B439" s="1" t="n">
        <v>44330</v>
      </c>
      <c r="C439" s="1" t="n">
        <v>45744</v>
      </c>
      <c r="D439" t="inlineStr">
        <is>
          <t>SKÅNE LÄN</t>
        </is>
      </c>
      <c r="E439" t="inlineStr">
        <is>
          <t>HÄSSLEHOLM</t>
        </is>
      </c>
      <c r="G439" t="n">
        <v>2.5</v>
      </c>
      <c r="H439" t="n">
        <v>0</v>
      </c>
      <c r="I439" t="n">
        <v>0</v>
      </c>
      <c r="J439" t="n">
        <v>0</v>
      </c>
      <c r="K439" t="n">
        <v>0</v>
      </c>
      <c r="L439" t="n">
        <v>0</v>
      </c>
      <c r="M439" t="n">
        <v>0</v>
      </c>
      <c r="N439" t="n">
        <v>0</v>
      </c>
      <c r="O439" t="n">
        <v>0</v>
      </c>
      <c r="P439" t="n">
        <v>0</v>
      </c>
      <c r="Q439" t="n">
        <v>0</v>
      </c>
      <c r="R439" s="2" t="inlineStr"/>
    </row>
    <row r="440" ht="15" customHeight="1">
      <c r="A440" t="inlineStr">
        <is>
          <t>A 23830-2021</t>
        </is>
      </c>
      <c r="B440" s="1" t="n">
        <v>44335</v>
      </c>
      <c r="C440" s="1" t="n">
        <v>45744</v>
      </c>
      <c r="D440" t="inlineStr">
        <is>
          <t>SKÅNE LÄN</t>
        </is>
      </c>
      <c r="E440" t="inlineStr">
        <is>
          <t>HÄSSLEHOLM</t>
        </is>
      </c>
      <c r="G440" t="n">
        <v>18.7</v>
      </c>
      <c r="H440" t="n">
        <v>0</v>
      </c>
      <c r="I440" t="n">
        <v>0</v>
      </c>
      <c r="J440" t="n">
        <v>0</v>
      </c>
      <c r="K440" t="n">
        <v>0</v>
      </c>
      <c r="L440" t="n">
        <v>0</v>
      </c>
      <c r="M440" t="n">
        <v>0</v>
      </c>
      <c r="N440" t="n">
        <v>0</v>
      </c>
      <c r="O440" t="n">
        <v>0</v>
      </c>
      <c r="P440" t="n">
        <v>0</v>
      </c>
      <c r="Q440" t="n">
        <v>0</v>
      </c>
      <c r="R440" s="2" t="inlineStr"/>
    </row>
    <row r="441" ht="15" customHeight="1">
      <c r="A441" t="inlineStr">
        <is>
          <t>A 23837-2021</t>
        </is>
      </c>
      <c r="B441" s="1" t="n">
        <v>44335</v>
      </c>
      <c r="C441" s="1" t="n">
        <v>45744</v>
      </c>
      <c r="D441" t="inlineStr">
        <is>
          <t>SKÅNE LÄN</t>
        </is>
      </c>
      <c r="E441" t="inlineStr">
        <is>
          <t>HÄSSLEHOLM</t>
        </is>
      </c>
      <c r="G441" t="n">
        <v>7.6</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45744</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23826-2021</t>
        </is>
      </c>
      <c r="B443" s="1" t="n">
        <v>44335</v>
      </c>
      <c r="C443" s="1" t="n">
        <v>45744</v>
      </c>
      <c r="D443" t="inlineStr">
        <is>
          <t>SKÅNE LÄN</t>
        </is>
      </c>
      <c r="E443" t="inlineStr">
        <is>
          <t>HÄSSLEHOLM</t>
        </is>
      </c>
      <c r="G443" t="n">
        <v>6.5</v>
      </c>
      <c r="H443" t="n">
        <v>0</v>
      </c>
      <c r="I443" t="n">
        <v>0</v>
      </c>
      <c r="J443" t="n">
        <v>0</v>
      </c>
      <c r="K443" t="n">
        <v>0</v>
      </c>
      <c r="L443" t="n">
        <v>0</v>
      </c>
      <c r="M443" t="n">
        <v>0</v>
      </c>
      <c r="N443" t="n">
        <v>0</v>
      </c>
      <c r="O443" t="n">
        <v>0</v>
      </c>
      <c r="P443" t="n">
        <v>0</v>
      </c>
      <c r="Q443" t="n">
        <v>0</v>
      </c>
      <c r="R443" s="2" t="inlineStr"/>
    </row>
    <row r="444" ht="15" customHeight="1">
      <c r="A444" t="inlineStr">
        <is>
          <t>A 24498-2021</t>
        </is>
      </c>
      <c r="B444" s="1" t="n">
        <v>44337</v>
      </c>
      <c r="C444" s="1" t="n">
        <v>45744</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24496-2021</t>
        </is>
      </c>
      <c r="B445" s="1" t="n">
        <v>44337</v>
      </c>
      <c r="C445" s="1" t="n">
        <v>45744</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25383-2021</t>
        </is>
      </c>
      <c r="B446" s="1" t="n">
        <v>44342</v>
      </c>
      <c r="C446" s="1" t="n">
        <v>45744</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25379-2021</t>
        </is>
      </c>
      <c r="B447" s="1" t="n">
        <v>44342</v>
      </c>
      <c r="C447" s="1" t="n">
        <v>45744</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25788-2021</t>
        </is>
      </c>
      <c r="B448" s="1" t="n">
        <v>44343</v>
      </c>
      <c r="C448" s="1" t="n">
        <v>45744</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26207-2021</t>
        </is>
      </c>
      <c r="B449" s="1" t="n">
        <v>44347</v>
      </c>
      <c r="C449" s="1" t="n">
        <v>45744</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27137-2021</t>
        </is>
      </c>
      <c r="B450" s="1" t="n">
        <v>44350</v>
      </c>
      <c r="C450" s="1" t="n">
        <v>45744</v>
      </c>
      <c r="D450" t="inlineStr">
        <is>
          <t>SKÅNE LÄN</t>
        </is>
      </c>
      <c r="E450" t="inlineStr">
        <is>
          <t>HÄSSLEHOLM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27197-2021</t>
        </is>
      </c>
      <c r="B451" s="1" t="n">
        <v>44350</v>
      </c>
      <c r="C451" s="1" t="n">
        <v>45744</v>
      </c>
      <c r="D451" t="inlineStr">
        <is>
          <t>SKÅNE LÄN</t>
        </is>
      </c>
      <c r="E451" t="inlineStr">
        <is>
          <t>HÄSSLEHOLM</t>
        </is>
      </c>
      <c r="G451" t="n">
        <v>1.8</v>
      </c>
      <c r="H451" t="n">
        <v>0</v>
      </c>
      <c r="I451" t="n">
        <v>0</v>
      </c>
      <c r="J451" t="n">
        <v>0</v>
      </c>
      <c r="K451" t="n">
        <v>0</v>
      </c>
      <c r="L451" t="n">
        <v>0</v>
      </c>
      <c r="M451" t="n">
        <v>0</v>
      </c>
      <c r="N451" t="n">
        <v>0</v>
      </c>
      <c r="O451" t="n">
        <v>0</v>
      </c>
      <c r="P451" t="n">
        <v>0</v>
      </c>
      <c r="Q451" t="n">
        <v>0</v>
      </c>
      <c r="R451" s="2" t="inlineStr"/>
    </row>
    <row r="452" ht="15" customHeight="1">
      <c r="A452" t="inlineStr">
        <is>
          <t>A 27330-2021</t>
        </is>
      </c>
      <c r="B452" s="1" t="n">
        <v>44351</v>
      </c>
      <c r="C452" s="1" t="n">
        <v>45744</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29143-2021</t>
        </is>
      </c>
      <c r="B453" s="1" t="n">
        <v>44358</v>
      </c>
      <c r="C453" s="1" t="n">
        <v>45744</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30879-2021</t>
        </is>
      </c>
      <c r="B454" s="1" t="n">
        <v>44365</v>
      </c>
      <c r="C454" s="1" t="n">
        <v>45744</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30992-2021</t>
        </is>
      </c>
      <c r="B455" s="1" t="n">
        <v>44366</v>
      </c>
      <c r="C455" s="1" t="n">
        <v>45744</v>
      </c>
      <c r="D455" t="inlineStr">
        <is>
          <t>SKÅNE LÄN</t>
        </is>
      </c>
      <c r="E455" t="inlineStr">
        <is>
          <t>HÄSSLEHOLM</t>
        </is>
      </c>
      <c r="G455" t="n">
        <v>3.1</v>
      </c>
      <c r="H455" t="n">
        <v>0</v>
      </c>
      <c r="I455" t="n">
        <v>0</v>
      </c>
      <c r="J455" t="n">
        <v>0</v>
      </c>
      <c r="K455" t="n">
        <v>0</v>
      </c>
      <c r="L455" t="n">
        <v>0</v>
      </c>
      <c r="M455" t="n">
        <v>0</v>
      </c>
      <c r="N455" t="n">
        <v>0</v>
      </c>
      <c r="O455" t="n">
        <v>0</v>
      </c>
      <c r="P455" t="n">
        <v>0</v>
      </c>
      <c r="Q455" t="n">
        <v>0</v>
      </c>
      <c r="R455" s="2" t="inlineStr"/>
    </row>
    <row r="456" ht="15" customHeight="1">
      <c r="A456" t="inlineStr">
        <is>
          <t>A 32792-2021</t>
        </is>
      </c>
      <c r="B456" s="1" t="n">
        <v>44375</v>
      </c>
      <c r="C456" s="1" t="n">
        <v>45744</v>
      </c>
      <c r="D456" t="inlineStr">
        <is>
          <t>SKÅNE LÄN</t>
        </is>
      </c>
      <c r="E456" t="inlineStr">
        <is>
          <t>HÄSSLEHOLM</t>
        </is>
      </c>
      <c r="G456" t="n">
        <v>1</v>
      </c>
      <c r="H456" t="n">
        <v>0</v>
      </c>
      <c r="I456" t="n">
        <v>0</v>
      </c>
      <c r="J456" t="n">
        <v>0</v>
      </c>
      <c r="K456" t="n">
        <v>0</v>
      </c>
      <c r="L456" t="n">
        <v>0</v>
      </c>
      <c r="M456" t="n">
        <v>0</v>
      </c>
      <c r="N456" t="n">
        <v>0</v>
      </c>
      <c r="O456" t="n">
        <v>0</v>
      </c>
      <c r="P456" t="n">
        <v>0</v>
      </c>
      <c r="Q456" t="n">
        <v>0</v>
      </c>
      <c r="R456" s="2" t="inlineStr"/>
    </row>
    <row r="457" ht="15" customHeight="1">
      <c r="A457" t="inlineStr">
        <is>
          <t>A 32892-2021</t>
        </is>
      </c>
      <c r="B457" s="1" t="n">
        <v>44375</v>
      </c>
      <c r="C457" s="1" t="n">
        <v>45744</v>
      </c>
      <c r="D457" t="inlineStr">
        <is>
          <t>SKÅNE LÄN</t>
        </is>
      </c>
      <c r="E457" t="inlineStr">
        <is>
          <t>HÄSSLEHOLM</t>
        </is>
      </c>
      <c r="G457" t="n">
        <v>2.9</v>
      </c>
      <c r="H457" t="n">
        <v>0</v>
      </c>
      <c r="I457" t="n">
        <v>0</v>
      </c>
      <c r="J457" t="n">
        <v>0</v>
      </c>
      <c r="K457" t="n">
        <v>0</v>
      </c>
      <c r="L457" t="n">
        <v>0</v>
      </c>
      <c r="M457" t="n">
        <v>0</v>
      </c>
      <c r="N457" t="n">
        <v>0</v>
      </c>
      <c r="O457" t="n">
        <v>0</v>
      </c>
      <c r="P457" t="n">
        <v>0</v>
      </c>
      <c r="Q457" t="n">
        <v>0</v>
      </c>
      <c r="R457" s="2" t="inlineStr"/>
    </row>
    <row r="458" ht="15" customHeight="1">
      <c r="A458" t="inlineStr">
        <is>
          <t>A 32794-2021</t>
        </is>
      </c>
      <c r="B458" s="1" t="n">
        <v>44375</v>
      </c>
      <c r="C458" s="1" t="n">
        <v>45744</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32967-2021</t>
        </is>
      </c>
      <c r="B459" s="1" t="n">
        <v>44376</v>
      </c>
      <c r="C459" s="1" t="n">
        <v>45744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33736-2021</t>
        </is>
      </c>
      <c r="B460" s="1" t="n">
        <v>44378</v>
      </c>
      <c r="C460" s="1" t="n">
        <v>45744</v>
      </c>
      <c r="D460" t="inlineStr">
        <is>
          <t>SKÅNE LÄN</t>
        </is>
      </c>
      <c r="E460" t="inlineStr">
        <is>
          <t>HÄSSLEHOLM</t>
        </is>
      </c>
      <c r="G460" t="n">
        <v>7.6</v>
      </c>
      <c r="H460" t="n">
        <v>0</v>
      </c>
      <c r="I460" t="n">
        <v>0</v>
      </c>
      <c r="J460" t="n">
        <v>0</v>
      </c>
      <c r="K460" t="n">
        <v>0</v>
      </c>
      <c r="L460" t="n">
        <v>0</v>
      </c>
      <c r="M460" t="n">
        <v>0</v>
      </c>
      <c r="N460" t="n">
        <v>0</v>
      </c>
      <c r="O460" t="n">
        <v>0</v>
      </c>
      <c r="P460" t="n">
        <v>0</v>
      </c>
      <c r="Q460" t="n">
        <v>0</v>
      </c>
      <c r="R460" s="2" t="inlineStr"/>
    </row>
    <row r="461" ht="15" customHeight="1">
      <c r="A461" t="inlineStr">
        <is>
          <t>A 33873-2021</t>
        </is>
      </c>
      <c r="B461" s="1" t="n">
        <v>44378</v>
      </c>
      <c r="C461" s="1" t="n">
        <v>45744</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33927-2021</t>
        </is>
      </c>
      <c r="B462" s="1" t="n">
        <v>44378</v>
      </c>
      <c r="C462" s="1" t="n">
        <v>45744</v>
      </c>
      <c r="D462" t="inlineStr">
        <is>
          <t>SKÅNE LÄN</t>
        </is>
      </c>
      <c r="E462" t="inlineStr">
        <is>
          <t>HÄSSLEHOLM</t>
        </is>
      </c>
      <c r="G462" t="n">
        <v>16.7</v>
      </c>
      <c r="H462" t="n">
        <v>0</v>
      </c>
      <c r="I462" t="n">
        <v>0</v>
      </c>
      <c r="J462" t="n">
        <v>0</v>
      </c>
      <c r="K462" t="n">
        <v>0</v>
      </c>
      <c r="L462" t="n">
        <v>0</v>
      </c>
      <c r="M462" t="n">
        <v>0</v>
      </c>
      <c r="N462" t="n">
        <v>0</v>
      </c>
      <c r="O462" t="n">
        <v>0</v>
      </c>
      <c r="P462" t="n">
        <v>0</v>
      </c>
      <c r="Q462" t="n">
        <v>0</v>
      </c>
      <c r="R462" s="2" t="inlineStr"/>
    </row>
    <row r="463" ht="15" customHeight="1">
      <c r="A463" t="inlineStr">
        <is>
          <t>A 34027-2021</t>
        </is>
      </c>
      <c r="B463" s="1" t="n">
        <v>44379</v>
      </c>
      <c r="C463" s="1" t="n">
        <v>45744</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34342-2021</t>
        </is>
      </c>
      <c r="B464" s="1" t="n">
        <v>44379</v>
      </c>
      <c r="C464" s="1" t="n">
        <v>45744</v>
      </c>
      <c r="D464" t="inlineStr">
        <is>
          <t>SKÅNE LÄN</t>
        </is>
      </c>
      <c r="E464" t="inlineStr">
        <is>
          <t>HÄSSLEHOLM</t>
        </is>
      </c>
      <c r="G464" t="n">
        <v>7</v>
      </c>
      <c r="H464" t="n">
        <v>0</v>
      </c>
      <c r="I464" t="n">
        <v>0</v>
      </c>
      <c r="J464" t="n">
        <v>0</v>
      </c>
      <c r="K464" t="n">
        <v>0</v>
      </c>
      <c r="L464" t="n">
        <v>0</v>
      </c>
      <c r="M464" t="n">
        <v>0</v>
      </c>
      <c r="N464" t="n">
        <v>0</v>
      </c>
      <c r="O464" t="n">
        <v>0</v>
      </c>
      <c r="P464" t="n">
        <v>0</v>
      </c>
      <c r="Q464" t="n">
        <v>0</v>
      </c>
      <c r="R464" s="2" t="inlineStr"/>
    </row>
    <row r="465" ht="15" customHeight="1">
      <c r="A465" t="inlineStr">
        <is>
          <t>A 34679-2021</t>
        </is>
      </c>
      <c r="B465" s="1" t="n">
        <v>44382</v>
      </c>
      <c r="C465" s="1" t="n">
        <v>45744</v>
      </c>
      <c r="D465" t="inlineStr">
        <is>
          <t>SKÅNE LÄN</t>
        </is>
      </c>
      <c r="E465" t="inlineStr">
        <is>
          <t>HÄSSLEHOLM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34684-2021</t>
        </is>
      </c>
      <c r="B466" s="1" t="n">
        <v>44382</v>
      </c>
      <c r="C466" s="1" t="n">
        <v>45744</v>
      </c>
      <c r="D466" t="inlineStr">
        <is>
          <t>SKÅNE LÄN</t>
        </is>
      </c>
      <c r="E466" t="inlineStr">
        <is>
          <t>HÄSSLEHOLM</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37141-2021</t>
        </is>
      </c>
      <c r="B467" s="1" t="n">
        <v>44396</v>
      </c>
      <c r="C467" s="1" t="n">
        <v>45744</v>
      </c>
      <c r="D467" t="inlineStr">
        <is>
          <t>SKÅNE LÄN</t>
        </is>
      </c>
      <c r="E467" t="inlineStr">
        <is>
          <t>HÄSSLEHOLM</t>
        </is>
      </c>
      <c r="G467" t="n">
        <v>12.8</v>
      </c>
      <c r="H467" t="n">
        <v>0</v>
      </c>
      <c r="I467" t="n">
        <v>0</v>
      </c>
      <c r="J467" t="n">
        <v>0</v>
      </c>
      <c r="K467" t="n">
        <v>0</v>
      </c>
      <c r="L467" t="n">
        <v>0</v>
      </c>
      <c r="M467" t="n">
        <v>0</v>
      </c>
      <c r="N467" t="n">
        <v>0</v>
      </c>
      <c r="O467" t="n">
        <v>0</v>
      </c>
      <c r="P467" t="n">
        <v>0</v>
      </c>
      <c r="Q467" t="n">
        <v>0</v>
      </c>
      <c r="R467" s="2" t="inlineStr"/>
    </row>
    <row r="468" ht="15" customHeight="1">
      <c r="A468" t="inlineStr">
        <is>
          <t>A 37334-2021</t>
        </is>
      </c>
      <c r="B468" s="1" t="n">
        <v>44397</v>
      </c>
      <c r="C468" s="1" t="n">
        <v>45744</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37898-2021</t>
        </is>
      </c>
      <c r="B469" s="1" t="n">
        <v>44403</v>
      </c>
      <c r="C469" s="1" t="n">
        <v>45744</v>
      </c>
      <c r="D469" t="inlineStr">
        <is>
          <t>SKÅNE LÄN</t>
        </is>
      </c>
      <c r="E469" t="inlineStr">
        <is>
          <t>HÄSSLEHOLM</t>
        </is>
      </c>
      <c r="F469" t="inlineStr">
        <is>
          <t>Kommuner</t>
        </is>
      </c>
      <c r="G469" t="n">
        <v>8.4</v>
      </c>
      <c r="H469" t="n">
        <v>0</v>
      </c>
      <c r="I469" t="n">
        <v>0</v>
      </c>
      <c r="J469" t="n">
        <v>0</v>
      </c>
      <c r="K469" t="n">
        <v>0</v>
      </c>
      <c r="L469" t="n">
        <v>0</v>
      </c>
      <c r="M469" t="n">
        <v>0</v>
      </c>
      <c r="N469" t="n">
        <v>0</v>
      </c>
      <c r="O469" t="n">
        <v>0</v>
      </c>
      <c r="P469" t="n">
        <v>0</v>
      </c>
      <c r="Q469" t="n">
        <v>0</v>
      </c>
      <c r="R469" s="2" t="inlineStr"/>
    </row>
    <row r="470" ht="15" customHeight="1">
      <c r="A470" t="inlineStr">
        <is>
          <t>A 38228-2021</t>
        </is>
      </c>
      <c r="B470" s="1" t="n">
        <v>44405</v>
      </c>
      <c r="C470" s="1" t="n">
        <v>45744</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38160-2021</t>
        </is>
      </c>
      <c r="B471" s="1" t="n">
        <v>44405</v>
      </c>
      <c r="C471" s="1" t="n">
        <v>45744</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38372-2021</t>
        </is>
      </c>
      <c r="B472" s="1" t="n">
        <v>44406</v>
      </c>
      <c r="C472" s="1" t="n">
        <v>45744</v>
      </c>
      <c r="D472" t="inlineStr">
        <is>
          <t>SKÅNE LÄN</t>
        </is>
      </c>
      <c r="E472" t="inlineStr">
        <is>
          <t>HÄSSLEHOLM</t>
        </is>
      </c>
      <c r="F472" t="inlineStr">
        <is>
          <t>Kommuner</t>
        </is>
      </c>
      <c r="G472" t="n">
        <v>2.7</v>
      </c>
      <c r="H472" t="n">
        <v>0</v>
      </c>
      <c r="I472" t="n">
        <v>0</v>
      </c>
      <c r="J472" t="n">
        <v>0</v>
      </c>
      <c r="K472" t="n">
        <v>0</v>
      </c>
      <c r="L472" t="n">
        <v>0</v>
      </c>
      <c r="M472" t="n">
        <v>0</v>
      </c>
      <c r="N472" t="n">
        <v>0</v>
      </c>
      <c r="O472" t="n">
        <v>0</v>
      </c>
      <c r="P472" t="n">
        <v>0</v>
      </c>
      <c r="Q472" t="n">
        <v>0</v>
      </c>
      <c r="R472" s="2" t="inlineStr"/>
    </row>
    <row r="473" ht="15" customHeight="1">
      <c r="A473" t="inlineStr">
        <is>
          <t>A 40342-2021</t>
        </is>
      </c>
      <c r="B473" s="1" t="n">
        <v>44419</v>
      </c>
      <c r="C473" s="1" t="n">
        <v>45744</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40702-2021</t>
        </is>
      </c>
      <c r="B474" s="1" t="n">
        <v>44420</v>
      </c>
      <c r="C474" s="1" t="n">
        <v>45744</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41581-2021</t>
        </is>
      </c>
      <c r="B475" s="1" t="n">
        <v>44425</v>
      </c>
      <c r="C475" s="1" t="n">
        <v>45744</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41998-2021</t>
        </is>
      </c>
      <c r="B476" s="1" t="n">
        <v>44425</v>
      </c>
      <c r="C476" s="1" t="n">
        <v>45744</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42776-2021</t>
        </is>
      </c>
      <c r="B477" s="1" t="n">
        <v>44428</v>
      </c>
      <c r="C477" s="1" t="n">
        <v>45744</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43639-2021</t>
        </is>
      </c>
      <c r="B478" s="1" t="n">
        <v>44433</v>
      </c>
      <c r="C478" s="1" t="n">
        <v>45744</v>
      </c>
      <c r="D478" t="inlineStr">
        <is>
          <t>SKÅNE LÄN</t>
        </is>
      </c>
      <c r="E478" t="inlineStr">
        <is>
          <t>HÄSSLEHOLM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44262-2021</t>
        </is>
      </c>
      <c r="B479" s="1" t="n">
        <v>44434</v>
      </c>
      <c r="C479" s="1" t="n">
        <v>45744</v>
      </c>
      <c r="D479" t="inlineStr">
        <is>
          <t>SKÅNE LÄN</t>
        </is>
      </c>
      <c r="E479" t="inlineStr">
        <is>
          <t>HÄSSLEHOLM</t>
        </is>
      </c>
      <c r="G479" t="n">
        <v>4.7</v>
      </c>
      <c r="H479" t="n">
        <v>0</v>
      </c>
      <c r="I479" t="n">
        <v>0</v>
      </c>
      <c r="J479" t="n">
        <v>0</v>
      </c>
      <c r="K479" t="n">
        <v>0</v>
      </c>
      <c r="L479" t="n">
        <v>0</v>
      </c>
      <c r="M479" t="n">
        <v>0</v>
      </c>
      <c r="N479" t="n">
        <v>0</v>
      </c>
      <c r="O479" t="n">
        <v>0</v>
      </c>
      <c r="P479" t="n">
        <v>0</v>
      </c>
      <c r="Q479" t="n">
        <v>0</v>
      </c>
      <c r="R479" s="2" t="inlineStr"/>
    </row>
    <row r="480" ht="15" customHeight="1">
      <c r="A480" t="inlineStr">
        <is>
          <t>A 44328-2021</t>
        </is>
      </c>
      <c r="B480" s="1" t="n">
        <v>44435</v>
      </c>
      <c r="C480" s="1" t="n">
        <v>45744</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44755-2021</t>
        </is>
      </c>
      <c r="B481" s="1" t="n">
        <v>44438</v>
      </c>
      <c r="C481" s="1" t="n">
        <v>45744</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44697-2021</t>
        </is>
      </c>
      <c r="B482" s="1" t="n">
        <v>44438</v>
      </c>
      <c r="C482" s="1" t="n">
        <v>45744</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44770-2021</t>
        </is>
      </c>
      <c r="B483" s="1" t="n">
        <v>44438</v>
      </c>
      <c r="C483" s="1" t="n">
        <v>45744</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44794-2021</t>
        </is>
      </c>
      <c r="B484" s="1" t="n">
        <v>44438</v>
      </c>
      <c r="C484" s="1" t="n">
        <v>45744</v>
      </c>
      <c r="D484" t="inlineStr">
        <is>
          <t>SKÅNE LÄN</t>
        </is>
      </c>
      <c r="E484" t="inlineStr">
        <is>
          <t>HÄSSLEHOLM</t>
        </is>
      </c>
      <c r="G484" t="n">
        <v>0.3</v>
      </c>
      <c r="H484" t="n">
        <v>0</v>
      </c>
      <c r="I484" t="n">
        <v>0</v>
      </c>
      <c r="J484" t="n">
        <v>0</v>
      </c>
      <c r="K484" t="n">
        <v>0</v>
      </c>
      <c r="L484" t="n">
        <v>0</v>
      </c>
      <c r="M484" t="n">
        <v>0</v>
      </c>
      <c r="N484" t="n">
        <v>0</v>
      </c>
      <c r="O484" t="n">
        <v>0</v>
      </c>
      <c r="P484" t="n">
        <v>0</v>
      </c>
      <c r="Q484" t="n">
        <v>0</v>
      </c>
      <c r="R484" s="2" t="inlineStr"/>
    </row>
    <row r="485" ht="15" customHeight="1">
      <c r="A485" t="inlineStr">
        <is>
          <t>A 45284-2021</t>
        </is>
      </c>
      <c r="B485" s="1" t="n">
        <v>44439</v>
      </c>
      <c r="C485" s="1" t="n">
        <v>45744</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45814-2021</t>
        </is>
      </c>
      <c r="B486" s="1" t="n">
        <v>44441</v>
      </c>
      <c r="C486" s="1" t="n">
        <v>45744</v>
      </c>
      <c r="D486" t="inlineStr">
        <is>
          <t>SKÅNE LÄN</t>
        </is>
      </c>
      <c r="E486" t="inlineStr">
        <is>
          <t>HÄSSLEHOLM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45984-2021</t>
        </is>
      </c>
      <c r="B487" s="1" t="n">
        <v>44441</v>
      </c>
      <c r="C487" s="1" t="n">
        <v>45744</v>
      </c>
      <c r="D487" t="inlineStr">
        <is>
          <t>SKÅNE LÄN</t>
        </is>
      </c>
      <c r="E487" t="inlineStr">
        <is>
          <t>HÄSSLEHOLM</t>
        </is>
      </c>
      <c r="G487" t="n">
        <v>2.1</v>
      </c>
      <c r="H487" t="n">
        <v>0</v>
      </c>
      <c r="I487" t="n">
        <v>0</v>
      </c>
      <c r="J487" t="n">
        <v>0</v>
      </c>
      <c r="K487" t="n">
        <v>0</v>
      </c>
      <c r="L487" t="n">
        <v>0</v>
      </c>
      <c r="M487" t="n">
        <v>0</v>
      </c>
      <c r="N487" t="n">
        <v>0</v>
      </c>
      <c r="O487" t="n">
        <v>0</v>
      </c>
      <c r="P487" t="n">
        <v>0</v>
      </c>
      <c r="Q487" t="n">
        <v>0</v>
      </c>
      <c r="R487" s="2" t="inlineStr"/>
    </row>
    <row r="488" ht="15" customHeight="1">
      <c r="A488" t="inlineStr">
        <is>
          <t>A 45989-2021</t>
        </is>
      </c>
      <c r="B488" s="1" t="n">
        <v>44441</v>
      </c>
      <c r="C488" s="1" t="n">
        <v>45744</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46000-2021</t>
        </is>
      </c>
      <c r="B489" s="1" t="n">
        <v>44441</v>
      </c>
      <c r="C489" s="1" t="n">
        <v>45744</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47112-2021</t>
        </is>
      </c>
      <c r="B490" s="1" t="n">
        <v>44446</v>
      </c>
      <c r="C490" s="1" t="n">
        <v>45744</v>
      </c>
      <c r="D490" t="inlineStr">
        <is>
          <t>SKÅNE LÄN</t>
        </is>
      </c>
      <c r="E490" t="inlineStr">
        <is>
          <t>HÄSSLEHOLM</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47737-2021</t>
        </is>
      </c>
      <c r="B491" s="1" t="n">
        <v>44448</v>
      </c>
      <c r="C491" s="1" t="n">
        <v>45744</v>
      </c>
      <c r="D491" t="inlineStr">
        <is>
          <t>SKÅNE LÄN</t>
        </is>
      </c>
      <c r="E491" t="inlineStr">
        <is>
          <t>HÄSSLEHOLM</t>
        </is>
      </c>
      <c r="G491" t="n">
        <v>6.1</v>
      </c>
      <c r="H491" t="n">
        <v>0</v>
      </c>
      <c r="I491" t="n">
        <v>0</v>
      </c>
      <c r="J491" t="n">
        <v>0</v>
      </c>
      <c r="K491" t="n">
        <v>0</v>
      </c>
      <c r="L491" t="n">
        <v>0</v>
      </c>
      <c r="M491" t="n">
        <v>0</v>
      </c>
      <c r="N491" t="n">
        <v>0</v>
      </c>
      <c r="O491" t="n">
        <v>0</v>
      </c>
      <c r="P491" t="n">
        <v>0</v>
      </c>
      <c r="Q491" t="n">
        <v>0</v>
      </c>
      <c r="R491" s="2" t="inlineStr"/>
    </row>
    <row r="492" ht="15" customHeight="1">
      <c r="A492" t="inlineStr">
        <is>
          <t>A 47907-2021</t>
        </is>
      </c>
      <c r="B492" s="1" t="n">
        <v>44448</v>
      </c>
      <c r="C492" s="1" t="n">
        <v>45744</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47906-2021</t>
        </is>
      </c>
      <c r="B493" s="1" t="n">
        <v>44448</v>
      </c>
      <c r="C493" s="1" t="n">
        <v>45744</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48191-2021</t>
        </is>
      </c>
      <c r="B494" s="1" t="n">
        <v>44449</v>
      </c>
      <c r="C494" s="1" t="n">
        <v>45744</v>
      </c>
      <c r="D494" t="inlineStr">
        <is>
          <t>SKÅNE LÄN</t>
        </is>
      </c>
      <c r="E494" t="inlineStr">
        <is>
          <t>HÄSSLEHOLM</t>
        </is>
      </c>
      <c r="G494" t="n">
        <v>6</v>
      </c>
      <c r="H494" t="n">
        <v>0</v>
      </c>
      <c r="I494" t="n">
        <v>0</v>
      </c>
      <c r="J494" t="n">
        <v>0</v>
      </c>
      <c r="K494" t="n">
        <v>0</v>
      </c>
      <c r="L494" t="n">
        <v>0</v>
      </c>
      <c r="M494" t="n">
        <v>0</v>
      </c>
      <c r="N494" t="n">
        <v>0</v>
      </c>
      <c r="O494" t="n">
        <v>0</v>
      </c>
      <c r="P494" t="n">
        <v>0</v>
      </c>
      <c r="Q494" t="n">
        <v>0</v>
      </c>
      <c r="R494" s="2" t="inlineStr"/>
    </row>
    <row r="495" ht="15" customHeight="1">
      <c r="A495" t="inlineStr">
        <is>
          <t>A 48313-2021</t>
        </is>
      </c>
      <c r="B495" s="1" t="n">
        <v>44450</v>
      </c>
      <c r="C495" s="1" t="n">
        <v>45744</v>
      </c>
      <c r="D495" t="inlineStr">
        <is>
          <t>SKÅNE LÄN</t>
        </is>
      </c>
      <c r="E495" t="inlineStr">
        <is>
          <t>HÄSSLEHOLM</t>
        </is>
      </c>
      <c r="G495" t="n">
        <v>3</v>
      </c>
      <c r="H495" t="n">
        <v>0</v>
      </c>
      <c r="I495" t="n">
        <v>0</v>
      </c>
      <c r="J495" t="n">
        <v>0</v>
      </c>
      <c r="K495" t="n">
        <v>0</v>
      </c>
      <c r="L495" t="n">
        <v>0</v>
      </c>
      <c r="M495" t="n">
        <v>0</v>
      </c>
      <c r="N495" t="n">
        <v>0</v>
      </c>
      <c r="O495" t="n">
        <v>0</v>
      </c>
      <c r="P495" t="n">
        <v>0</v>
      </c>
      <c r="Q495" t="n">
        <v>0</v>
      </c>
      <c r="R495" s="2" t="inlineStr"/>
    </row>
    <row r="496" ht="15" customHeight="1">
      <c r="A496" t="inlineStr">
        <is>
          <t>A 48553-2021</t>
        </is>
      </c>
      <c r="B496" s="1" t="n">
        <v>44452</v>
      </c>
      <c r="C496" s="1" t="n">
        <v>45744</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48624-2021</t>
        </is>
      </c>
      <c r="B497" s="1" t="n">
        <v>44452</v>
      </c>
      <c r="C497" s="1" t="n">
        <v>45744</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48807-2021</t>
        </is>
      </c>
      <c r="B498" s="1" t="n">
        <v>44452</v>
      </c>
      <c r="C498" s="1" t="n">
        <v>45744</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48631-2021</t>
        </is>
      </c>
      <c r="B499" s="1" t="n">
        <v>44452</v>
      </c>
      <c r="C499" s="1" t="n">
        <v>45744</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49219-2021</t>
        </is>
      </c>
      <c r="B500" s="1" t="n">
        <v>44454</v>
      </c>
      <c r="C500" s="1" t="n">
        <v>45744</v>
      </c>
      <c r="D500" t="inlineStr">
        <is>
          <t>SKÅNE LÄN</t>
        </is>
      </c>
      <c r="E500" t="inlineStr">
        <is>
          <t>HÄSSLEHOLM</t>
        </is>
      </c>
      <c r="G500" t="n">
        <v>7.8</v>
      </c>
      <c r="H500" t="n">
        <v>0</v>
      </c>
      <c r="I500" t="n">
        <v>0</v>
      </c>
      <c r="J500" t="n">
        <v>0</v>
      </c>
      <c r="K500" t="n">
        <v>0</v>
      </c>
      <c r="L500" t="n">
        <v>0</v>
      </c>
      <c r="M500" t="n">
        <v>0</v>
      </c>
      <c r="N500" t="n">
        <v>0</v>
      </c>
      <c r="O500" t="n">
        <v>0</v>
      </c>
      <c r="P500" t="n">
        <v>0</v>
      </c>
      <c r="Q500" t="n">
        <v>0</v>
      </c>
      <c r="R500" s="2" t="inlineStr"/>
    </row>
    <row r="501" ht="15" customHeight="1">
      <c r="A501" t="inlineStr">
        <is>
          <t>A 49324-2021</t>
        </is>
      </c>
      <c r="B501" s="1" t="n">
        <v>44454</v>
      </c>
      <c r="C501" s="1" t="n">
        <v>45744</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49379-2021</t>
        </is>
      </c>
      <c r="B502" s="1" t="n">
        <v>44454</v>
      </c>
      <c r="C502" s="1" t="n">
        <v>45744</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49384-2021</t>
        </is>
      </c>
      <c r="B503" s="1" t="n">
        <v>44454</v>
      </c>
      <c r="C503" s="1" t="n">
        <v>45744</v>
      </c>
      <c r="D503" t="inlineStr">
        <is>
          <t>SKÅNE LÄN</t>
        </is>
      </c>
      <c r="E503" t="inlineStr">
        <is>
          <t>HÄSSLEHOLM</t>
        </is>
      </c>
      <c r="G503" t="n">
        <v>2.6</v>
      </c>
      <c r="H503" t="n">
        <v>0</v>
      </c>
      <c r="I503" t="n">
        <v>0</v>
      </c>
      <c r="J503" t="n">
        <v>0</v>
      </c>
      <c r="K503" t="n">
        <v>0</v>
      </c>
      <c r="L503" t="n">
        <v>0</v>
      </c>
      <c r="M503" t="n">
        <v>0</v>
      </c>
      <c r="N503" t="n">
        <v>0</v>
      </c>
      <c r="O503" t="n">
        <v>0</v>
      </c>
      <c r="P503" t="n">
        <v>0</v>
      </c>
      <c r="Q503" t="n">
        <v>0</v>
      </c>
      <c r="R503" s="2" t="inlineStr"/>
    </row>
    <row r="504" ht="15" customHeight="1">
      <c r="A504" t="inlineStr">
        <is>
          <t>A 49381-2021</t>
        </is>
      </c>
      <c r="B504" s="1" t="n">
        <v>44454</v>
      </c>
      <c r="C504" s="1" t="n">
        <v>45744</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49454-2021</t>
        </is>
      </c>
      <c r="B505" s="1" t="n">
        <v>44454</v>
      </c>
      <c r="C505" s="1" t="n">
        <v>45744</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49450-2021</t>
        </is>
      </c>
      <c r="B506" s="1" t="n">
        <v>44454</v>
      </c>
      <c r="C506" s="1" t="n">
        <v>45744</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50094-2021</t>
        </is>
      </c>
      <c r="B507" s="1" t="n">
        <v>44456</v>
      </c>
      <c r="C507" s="1" t="n">
        <v>45744</v>
      </c>
      <c r="D507" t="inlineStr">
        <is>
          <t>SKÅNE LÄN</t>
        </is>
      </c>
      <c r="E507" t="inlineStr">
        <is>
          <t>HÄSSLEHOLM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50618-2021</t>
        </is>
      </c>
      <c r="B508" s="1" t="n">
        <v>44459</v>
      </c>
      <c r="C508" s="1" t="n">
        <v>45744</v>
      </c>
      <c r="D508" t="inlineStr">
        <is>
          <t>SKÅNE LÄN</t>
        </is>
      </c>
      <c r="E508" t="inlineStr">
        <is>
          <t>HÄSSLEHOLM</t>
        </is>
      </c>
      <c r="F508" t="inlineStr">
        <is>
          <t>Kyrkan</t>
        </is>
      </c>
      <c r="G508" t="n">
        <v>15.1</v>
      </c>
      <c r="H508" t="n">
        <v>0</v>
      </c>
      <c r="I508" t="n">
        <v>0</v>
      </c>
      <c r="J508" t="n">
        <v>0</v>
      </c>
      <c r="K508" t="n">
        <v>0</v>
      </c>
      <c r="L508" t="n">
        <v>0</v>
      </c>
      <c r="M508" t="n">
        <v>0</v>
      </c>
      <c r="N508" t="n">
        <v>0</v>
      </c>
      <c r="O508" t="n">
        <v>0</v>
      </c>
      <c r="P508" t="n">
        <v>0</v>
      </c>
      <c r="Q508" t="n">
        <v>0</v>
      </c>
      <c r="R508" s="2" t="inlineStr"/>
    </row>
    <row r="509" ht="15" customHeight="1">
      <c r="A509" t="inlineStr">
        <is>
          <t>A 51159-2021</t>
        </is>
      </c>
      <c r="B509" s="1" t="n">
        <v>44461</v>
      </c>
      <c r="C509" s="1" t="n">
        <v>45744</v>
      </c>
      <c r="D509" t="inlineStr">
        <is>
          <t>SKÅNE LÄN</t>
        </is>
      </c>
      <c r="E509" t="inlineStr">
        <is>
          <t>HÄSSLEHOLM</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51895-2021</t>
        </is>
      </c>
      <c r="B510" s="1" t="n">
        <v>44462</v>
      </c>
      <c r="C510" s="1" t="n">
        <v>45744</v>
      </c>
      <c r="D510" t="inlineStr">
        <is>
          <t>SKÅNE LÄN</t>
        </is>
      </c>
      <c r="E510" t="inlineStr">
        <is>
          <t>HÄSSLEHOLM</t>
        </is>
      </c>
      <c r="G510" t="n">
        <v>5.7</v>
      </c>
      <c r="H510" t="n">
        <v>0</v>
      </c>
      <c r="I510" t="n">
        <v>0</v>
      </c>
      <c r="J510" t="n">
        <v>0</v>
      </c>
      <c r="K510" t="n">
        <v>0</v>
      </c>
      <c r="L510" t="n">
        <v>0</v>
      </c>
      <c r="M510" t="n">
        <v>0</v>
      </c>
      <c r="N510" t="n">
        <v>0</v>
      </c>
      <c r="O510" t="n">
        <v>0</v>
      </c>
      <c r="P510" t="n">
        <v>0</v>
      </c>
      <c r="Q510" t="n">
        <v>0</v>
      </c>
      <c r="R510" s="2" t="inlineStr"/>
    </row>
    <row r="511" ht="15" customHeight="1">
      <c r="A511" t="inlineStr">
        <is>
          <t>A 51893-2021</t>
        </is>
      </c>
      <c r="B511" s="1" t="n">
        <v>44462</v>
      </c>
      <c r="C511" s="1" t="n">
        <v>45744</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51888-2021</t>
        </is>
      </c>
      <c r="B512" s="1" t="n">
        <v>44462</v>
      </c>
      <c r="C512" s="1" t="n">
        <v>45744</v>
      </c>
      <c r="D512" t="inlineStr">
        <is>
          <t>SKÅNE LÄN</t>
        </is>
      </c>
      <c r="E512" t="inlineStr">
        <is>
          <t>HÄSSLEHOLM</t>
        </is>
      </c>
      <c r="G512" t="n">
        <v>5.6</v>
      </c>
      <c r="H512" t="n">
        <v>0</v>
      </c>
      <c r="I512" t="n">
        <v>0</v>
      </c>
      <c r="J512" t="n">
        <v>0</v>
      </c>
      <c r="K512" t="n">
        <v>0</v>
      </c>
      <c r="L512" t="n">
        <v>0</v>
      </c>
      <c r="M512" t="n">
        <v>0</v>
      </c>
      <c r="N512" t="n">
        <v>0</v>
      </c>
      <c r="O512" t="n">
        <v>0</v>
      </c>
      <c r="P512" t="n">
        <v>0</v>
      </c>
      <c r="Q512" t="n">
        <v>0</v>
      </c>
      <c r="R512" s="2" t="inlineStr"/>
    </row>
    <row r="513" ht="15" customHeight="1">
      <c r="A513" t="inlineStr">
        <is>
          <t>A 52235-2021</t>
        </is>
      </c>
      <c r="B513" s="1" t="n">
        <v>44463</v>
      </c>
      <c r="C513" s="1" t="n">
        <v>45744</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52295-2021</t>
        </is>
      </c>
      <c r="B514" s="1" t="n">
        <v>44463</v>
      </c>
      <c r="C514" s="1" t="n">
        <v>45744</v>
      </c>
      <c r="D514" t="inlineStr">
        <is>
          <t>SKÅNE LÄN</t>
        </is>
      </c>
      <c r="E514" t="inlineStr">
        <is>
          <t>HÄSSLEHOLM</t>
        </is>
      </c>
      <c r="G514" t="n">
        <v>0.3</v>
      </c>
      <c r="H514" t="n">
        <v>0</v>
      </c>
      <c r="I514" t="n">
        <v>0</v>
      </c>
      <c r="J514" t="n">
        <v>0</v>
      </c>
      <c r="K514" t="n">
        <v>0</v>
      </c>
      <c r="L514" t="n">
        <v>0</v>
      </c>
      <c r="M514" t="n">
        <v>0</v>
      </c>
      <c r="N514" t="n">
        <v>0</v>
      </c>
      <c r="O514" t="n">
        <v>0</v>
      </c>
      <c r="P514" t="n">
        <v>0</v>
      </c>
      <c r="Q514" t="n">
        <v>0</v>
      </c>
      <c r="R514" s="2" t="inlineStr"/>
    </row>
    <row r="515" ht="15" customHeight="1">
      <c r="A515" t="inlineStr">
        <is>
          <t>A 52306-2021</t>
        </is>
      </c>
      <c r="B515" s="1" t="n">
        <v>44463</v>
      </c>
      <c r="C515" s="1" t="n">
        <v>45744</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52642-2021</t>
        </is>
      </c>
      <c r="B516" s="1" t="n">
        <v>44466</v>
      </c>
      <c r="C516" s="1" t="n">
        <v>45744</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52461-2021</t>
        </is>
      </c>
      <c r="B517" s="1" t="n">
        <v>44466</v>
      </c>
      <c r="C517" s="1" t="n">
        <v>45744</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52567-2021</t>
        </is>
      </c>
      <c r="B518" s="1" t="n">
        <v>44466</v>
      </c>
      <c r="C518" s="1" t="n">
        <v>45744</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52786-2021</t>
        </is>
      </c>
      <c r="B519" s="1" t="n">
        <v>44467</v>
      </c>
      <c r="C519" s="1" t="n">
        <v>45744</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53055-2021</t>
        </is>
      </c>
      <c r="B520" s="1" t="n">
        <v>44467</v>
      </c>
      <c r="C520" s="1" t="n">
        <v>45744</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54175-2021</t>
        </is>
      </c>
      <c r="B521" s="1" t="n">
        <v>44470</v>
      </c>
      <c r="C521" s="1" t="n">
        <v>45744</v>
      </c>
      <c r="D521" t="inlineStr">
        <is>
          <t>SKÅNE LÄN</t>
        </is>
      </c>
      <c r="E521" t="inlineStr">
        <is>
          <t>HÄSSLEHOLM</t>
        </is>
      </c>
      <c r="G521" t="n">
        <v>0.5</v>
      </c>
      <c r="H521" t="n">
        <v>0</v>
      </c>
      <c r="I521" t="n">
        <v>0</v>
      </c>
      <c r="J521" t="n">
        <v>0</v>
      </c>
      <c r="K521" t="n">
        <v>0</v>
      </c>
      <c r="L521" t="n">
        <v>0</v>
      </c>
      <c r="M521" t="n">
        <v>0</v>
      </c>
      <c r="N521" t="n">
        <v>0</v>
      </c>
      <c r="O521" t="n">
        <v>0</v>
      </c>
      <c r="P521" t="n">
        <v>0</v>
      </c>
      <c r="Q521" t="n">
        <v>0</v>
      </c>
      <c r="R521" s="2" t="inlineStr"/>
    </row>
    <row r="522" ht="15" customHeight="1">
      <c r="A522" t="inlineStr">
        <is>
          <t>A 54171-2021</t>
        </is>
      </c>
      <c r="B522" s="1" t="n">
        <v>44470</v>
      </c>
      <c r="C522" s="1" t="n">
        <v>45744</v>
      </c>
      <c r="D522" t="inlineStr">
        <is>
          <t>SKÅNE LÄN</t>
        </is>
      </c>
      <c r="E522" t="inlineStr">
        <is>
          <t>HÄSSLEHOLM</t>
        </is>
      </c>
      <c r="G522" t="n">
        <v>1</v>
      </c>
      <c r="H522" t="n">
        <v>0</v>
      </c>
      <c r="I522" t="n">
        <v>0</v>
      </c>
      <c r="J522" t="n">
        <v>0</v>
      </c>
      <c r="K522" t="n">
        <v>0</v>
      </c>
      <c r="L522" t="n">
        <v>0</v>
      </c>
      <c r="M522" t="n">
        <v>0</v>
      </c>
      <c r="N522" t="n">
        <v>0</v>
      </c>
      <c r="O522" t="n">
        <v>0</v>
      </c>
      <c r="P522" t="n">
        <v>0</v>
      </c>
      <c r="Q522" t="n">
        <v>0</v>
      </c>
      <c r="R522" s="2" t="inlineStr"/>
    </row>
    <row r="523" ht="15" customHeight="1">
      <c r="A523" t="inlineStr">
        <is>
          <t>A 54178-2021</t>
        </is>
      </c>
      <c r="B523" s="1" t="n">
        <v>44470</v>
      </c>
      <c r="C523" s="1" t="n">
        <v>45744</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55056-2021</t>
        </is>
      </c>
      <c r="B524" s="1" t="n">
        <v>44474</v>
      </c>
      <c r="C524" s="1" t="n">
        <v>45744</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55416-2021</t>
        </is>
      </c>
      <c r="B525" s="1" t="n">
        <v>44475</v>
      </c>
      <c r="C525" s="1" t="n">
        <v>45744</v>
      </c>
      <c r="D525" t="inlineStr">
        <is>
          <t>SKÅNE LÄN</t>
        </is>
      </c>
      <c r="E525" t="inlineStr">
        <is>
          <t>HÄSSLEHOLM</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55454-2021</t>
        </is>
      </c>
      <c r="B526" s="1" t="n">
        <v>44475</v>
      </c>
      <c r="C526" s="1" t="n">
        <v>45744</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56431-2021</t>
        </is>
      </c>
      <c r="B527" s="1" t="n">
        <v>44480</v>
      </c>
      <c r="C527" s="1" t="n">
        <v>45744</v>
      </c>
      <c r="D527" t="inlineStr">
        <is>
          <t>SKÅNE LÄN</t>
        </is>
      </c>
      <c r="E527" t="inlineStr">
        <is>
          <t>HÄSSLEHOLM</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56502-2021</t>
        </is>
      </c>
      <c r="B528" s="1" t="n">
        <v>44480</v>
      </c>
      <c r="C528" s="1" t="n">
        <v>45744</v>
      </c>
      <c r="D528" t="inlineStr">
        <is>
          <t>SKÅNE LÄN</t>
        </is>
      </c>
      <c r="E528" t="inlineStr">
        <is>
          <t>HÄSSLEHOLM</t>
        </is>
      </c>
      <c r="F528" t="inlineStr">
        <is>
          <t>Kyrkan</t>
        </is>
      </c>
      <c r="G528" t="n">
        <v>13.8</v>
      </c>
      <c r="H528" t="n">
        <v>0</v>
      </c>
      <c r="I528" t="n">
        <v>0</v>
      </c>
      <c r="J528" t="n">
        <v>0</v>
      </c>
      <c r="K528" t="n">
        <v>0</v>
      </c>
      <c r="L528" t="n">
        <v>0</v>
      </c>
      <c r="M528" t="n">
        <v>0</v>
      </c>
      <c r="N528" t="n">
        <v>0</v>
      </c>
      <c r="O528" t="n">
        <v>0</v>
      </c>
      <c r="P528" t="n">
        <v>0</v>
      </c>
      <c r="Q528" t="n">
        <v>0</v>
      </c>
      <c r="R528" s="2" t="inlineStr"/>
    </row>
    <row r="529" ht="15" customHeight="1">
      <c r="A529" t="inlineStr">
        <is>
          <t>A 56424-2021</t>
        </is>
      </c>
      <c r="B529" s="1" t="n">
        <v>44480</v>
      </c>
      <c r="C529" s="1" t="n">
        <v>45744</v>
      </c>
      <c r="D529" t="inlineStr">
        <is>
          <t>SKÅNE LÄN</t>
        </is>
      </c>
      <c r="E529" t="inlineStr">
        <is>
          <t>HÄSSLEHOLM</t>
        </is>
      </c>
      <c r="F529" t="inlineStr">
        <is>
          <t>Kyrkan</t>
        </is>
      </c>
      <c r="G529" t="n">
        <v>3.4</v>
      </c>
      <c r="H529" t="n">
        <v>0</v>
      </c>
      <c r="I529" t="n">
        <v>0</v>
      </c>
      <c r="J529" t="n">
        <v>0</v>
      </c>
      <c r="K529" t="n">
        <v>0</v>
      </c>
      <c r="L529" t="n">
        <v>0</v>
      </c>
      <c r="M529" t="n">
        <v>0</v>
      </c>
      <c r="N529" t="n">
        <v>0</v>
      </c>
      <c r="O529" t="n">
        <v>0</v>
      </c>
      <c r="P529" t="n">
        <v>0</v>
      </c>
      <c r="Q529" t="n">
        <v>0</v>
      </c>
      <c r="R529" s="2" t="inlineStr"/>
    </row>
    <row r="530" ht="15" customHeight="1">
      <c r="A530" t="inlineStr">
        <is>
          <t>A 56477-2021</t>
        </is>
      </c>
      <c r="B530" s="1" t="n">
        <v>44480</v>
      </c>
      <c r="C530" s="1" t="n">
        <v>45744</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56490-2021</t>
        </is>
      </c>
      <c r="B531" s="1" t="n">
        <v>44480</v>
      </c>
      <c r="C531" s="1" t="n">
        <v>45744</v>
      </c>
      <c r="D531" t="inlineStr">
        <is>
          <t>SKÅNE LÄN</t>
        </is>
      </c>
      <c r="E531" t="inlineStr">
        <is>
          <t>HÄSSLEHOLM</t>
        </is>
      </c>
      <c r="F531" t="inlineStr">
        <is>
          <t>Kyrkan</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56527-2021</t>
        </is>
      </c>
      <c r="B532" s="1" t="n">
        <v>44480</v>
      </c>
      <c r="C532" s="1" t="n">
        <v>45744</v>
      </c>
      <c r="D532" t="inlineStr">
        <is>
          <t>SKÅNE LÄN</t>
        </is>
      </c>
      <c r="E532" t="inlineStr">
        <is>
          <t>HÄSSLEHOLM</t>
        </is>
      </c>
      <c r="F532" t="inlineStr">
        <is>
          <t>Kyrkan</t>
        </is>
      </c>
      <c r="G532" t="n">
        <v>2.7</v>
      </c>
      <c r="H532" t="n">
        <v>0</v>
      </c>
      <c r="I532" t="n">
        <v>0</v>
      </c>
      <c r="J532" t="n">
        <v>0</v>
      </c>
      <c r="K532" t="n">
        <v>0</v>
      </c>
      <c r="L532" t="n">
        <v>0</v>
      </c>
      <c r="M532" t="n">
        <v>0</v>
      </c>
      <c r="N532" t="n">
        <v>0</v>
      </c>
      <c r="O532" t="n">
        <v>0</v>
      </c>
      <c r="P532" t="n">
        <v>0</v>
      </c>
      <c r="Q532" t="n">
        <v>0</v>
      </c>
      <c r="R532" s="2" t="inlineStr"/>
    </row>
    <row r="533" ht="15" customHeight="1">
      <c r="A533" t="inlineStr">
        <is>
          <t>A 56881-2021</t>
        </is>
      </c>
      <c r="B533" s="1" t="n">
        <v>44481</v>
      </c>
      <c r="C533" s="1" t="n">
        <v>45744</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56989-2021</t>
        </is>
      </c>
      <c r="B534" s="1" t="n">
        <v>44482</v>
      </c>
      <c r="C534" s="1" t="n">
        <v>45744</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58566-2021</t>
        </is>
      </c>
      <c r="B535" s="1" t="n">
        <v>44488</v>
      </c>
      <c r="C535" s="1" t="n">
        <v>45744</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58564-2021</t>
        </is>
      </c>
      <c r="B536" s="1" t="n">
        <v>44488</v>
      </c>
      <c r="C536" s="1" t="n">
        <v>45744</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59390-2021</t>
        </is>
      </c>
      <c r="B537" s="1" t="n">
        <v>44490</v>
      </c>
      <c r="C537" s="1" t="n">
        <v>45744</v>
      </c>
      <c r="D537" t="inlineStr">
        <is>
          <t>SKÅNE LÄN</t>
        </is>
      </c>
      <c r="E537" t="inlineStr">
        <is>
          <t>HÄSSLEHOLM</t>
        </is>
      </c>
      <c r="G537" t="n">
        <v>7.1</v>
      </c>
      <c r="H537" t="n">
        <v>0</v>
      </c>
      <c r="I537" t="n">
        <v>0</v>
      </c>
      <c r="J537" t="n">
        <v>0</v>
      </c>
      <c r="K537" t="n">
        <v>0</v>
      </c>
      <c r="L537" t="n">
        <v>0</v>
      </c>
      <c r="M537" t="n">
        <v>0</v>
      </c>
      <c r="N537" t="n">
        <v>0</v>
      </c>
      <c r="O537" t="n">
        <v>0</v>
      </c>
      <c r="P537" t="n">
        <v>0</v>
      </c>
      <c r="Q537" t="n">
        <v>0</v>
      </c>
      <c r="R537" s="2" t="inlineStr"/>
    </row>
    <row r="538" ht="15" customHeight="1">
      <c r="A538" t="inlineStr">
        <is>
          <t>A 60260-2021</t>
        </is>
      </c>
      <c r="B538" s="1" t="n">
        <v>44495</v>
      </c>
      <c r="C538" s="1" t="n">
        <v>45744</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61073-2021</t>
        </is>
      </c>
      <c r="B539" s="1" t="n">
        <v>44497</v>
      </c>
      <c r="C539" s="1" t="n">
        <v>45744</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61072-2021</t>
        </is>
      </c>
      <c r="B540" s="1" t="n">
        <v>44497</v>
      </c>
      <c r="C540" s="1" t="n">
        <v>45744</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61510-2021</t>
        </is>
      </c>
      <c r="B541" s="1" t="n">
        <v>44501</v>
      </c>
      <c r="C541" s="1" t="n">
        <v>45744</v>
      </c>
      <c r="D541" t="inlineStr">
        <is>
          <t>SKÅNE LÄN</t>
        </is>
      </c>
      <c r="E541" t="inlineStr">
        <is>
          <t>HÄSSLEHOLM</t>
        </is>
      </c>
      <c r="G541" t="n">
        <v>6.1</v>
      </c>
      <c r="H541" t="n">
        <v>0</v>
      </c>
      <c r="I541" t="n">
        <v>0</v>
      </c>
      <c r="J541" t="n">
        <v>0</v>
      </c>
      <c r="K541" t="n">
        <v>0</v>
      </c>
      <c r="L541" t="n">
        <v>0</v>
      </c>
      <c r="M541" t="n">
        <v>0</v>
      </c>
      <c r="N541" t="n">
        <v>0</v>
      </c>
      <c r="O541" t="n">
        <v>0</v>
      </c>
      <c r="P541" t="n">
        <v>0</v>
      </c>
      <c r="Q541" t="n">
        <v>0</v>
      </c>
      <c r="R541" s="2" t="inlineStr"/>
    </row>
    <row r="542" ht="15" customHeight="1">
      <c r="A542" t="inlineStr">
        <is>
          <t>A 61691-2021</t>
        </is>
      </c>
      <c r="B542" s="1" t="n">
        <v>44501</v>
      </c>
      <c r="C542" s="1" t="n">
        <v>45744</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63767-2021</t>
        </is>
      </c>
      <c r="B543" s="1" t="n">
        <v>44509</v>
      </c>
      <c r="C543" s="1" t="n">
        <v>45744</v>
      </c>
      <c r="D543" t="inlineStr">
        <is>
          <t>SKÅNE LÄN</t>
        </is>
      </c>
      <c r="E543" t="inlineStr">
        <is>
          <t>HÄSSLEHOLM</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63972-2021</t>
        </is>
      </c>
      <c r="B544" s="1" t="n">
        <v>44509</v>
      </c>
      <c r="C544" s="1" t="n">
        <v>45744</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64607-2021</t>
        </is>
      </c>
      <c r="B545" s="1" t="n">
        <v>44511</v>
      </c>
      <c r="C545" s="1" t="n">
        <v>45744</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64826-2021</t>
        </is>
      </c>
      <c r="B546" s="1" t="n">
        <v>44512</v>
      </c>
      <c r="C546" s="1" t="n">
        <v>45744</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65235-2021</t>
        </is>
      </c>
      <c r="B547" s="1" t="n">
        <v>44515</v>
      </c>
      <c r="C547" s="1" t="n">
        <v>45744</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66321-2021</t>
        </is>
      </c>
      <c r="B548" s="1" t="n">
        <v>44518</v>
      </c>
      <c r="C548" s="1" t="n">
        <v>45744</v>
      </c>
      <c r="D548" t="inlineStr">
        <is>
          <t>SKÅNE LÄN</t>
        </is>
      </c>
      <c r="E548" t="inlineStr">
        <is>
          <t>HÄSSLEHOLM</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66413-2021</t>
        </is>
      </c>
      <c r="B549" s="1" t="n">
        <v>44518</v>
      </c>
      <c r="C549" s="1" t="n">
        <v>45744</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66518-2021</t>
        </is>
      </c>
      <c r="B550" s="1" t="n">
        <v>44519</v>
      </c>
      <c r="C550" s="1" t="n">
        <v>45744</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67150-2021</t>
        </is>
      </c>
      <c r="B551" s="1" t="n">
        <v>44523</v>
      </c>
      <c r="C551" s="1" t="n">
        <v>45744</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67355-2021</t>
        </is>
      </c>
      <c r="B552" s="1" t="n">
        <v>44523</v>
      </c>
      <c r="C552" s="1" t="n">
        <v>45744</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67517-2021</t>
        </is>
      </c>
      <c r="B553" s="1" t="n">
        <v>44524</v>
      </c>
      <c r="C553" s="1" t="n">
        <v>45744</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67801-2021</t>
        </is>
      </c>
      <c r="B554" s="1" t="n">
        <v>44525</v>
      </c>
      <c r="C554" s="1" t="n">
        <v>45744</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68408-2021</t>
        </is>
      </c>
      <c r="B555" s="1" t="n">
        <v>44526</v>
      </c>
      <c r="C555" s="1" t="n">
        <v>45744</v>
      </c>
      <c r="D555" t="inlineStr">
        <is>
          <t>SKÅNE LÄN</t>
        </is>
      </c>
      <c r="E555" t="inlineStr">
        <is>
          <t>HÄSSLEHOLM</t>
        </is>
      </c>
      <c r="G555" t="n">
        <v>2.4</v>
      </c>
      <c r="H555" t="n">
        <v>0</v>
      </c>
      <c r="I555" t="n">
        <v>0</v>
      </c>
      <c r="J555" t="n">
        <v>0</v>
      </c>
      <c r="K555" t="n">
        <v>0</v>
      </c>
      <c r="L555" t="n">
        <v>0</v>
      </c>
      <c r="M555" t="n">
        <v>0</v>
      </c>
      <c r="N555" t="n">
        <v>0</v>
      </c>
      <c r="O555" t="n">
        <v>0</v>
      </c>
      <c r="P555" t="n">
        <v>0</v>
      </c>
      <c r="Q555" t="n">
        <v>0</v>
      </c>
      <c r="R555" s="2" t="inlineStr"/>
    </row>
    <row r="556" ht="15" customHeight="1">
      <c r="A556" t="inlineStr">
        <is>
          <t>A 68909-2021</t>
        </is>
      </c>
      <c r="B556" s="1" t="n">
        <v>44530</v>
      </c>
      <c r="C556" s="1" t="n">
        <v>45744</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69357-2021</t>
        </is>
      </c>
      <c r="B557" s="1" t="n">
        <v>44531</v>
      </c>
      <c r="C557" s="1" t="n">
        <v>45744</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45744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70087-2021</t>
        </is>
      </c>
      <c r="B559" s="1" t="n">
        <v>44533</v>
      </c>
      <c r="C559" s="1" t="n">
        <v>45744</v>
      </c>
      <c r="D559" t="inlineStr">
        <is>
          <t>SKÅNE LÄN</t>
        </is>
      </c>
      <c r="E559" t="inlineStr">
        <is>
          <t>HÄSSLEHOLM</t>
        </is>
      </c>
      <c r="G559" t="n">
        <v>5</v>
      </c>
      <c r="H559" t="n">
        <v>0</v>
      </c>
      <c r="I559" t="n">
        <v>0</v>
      </c>
      <c r="J559" t="n">
        <v>0</v>
      </c>
      <c r="K559" t="n">
        <v>0</v>
      </c>
      <c r="L559" t="n">
        <v>0</v>
      </c>
      <c r="M559" t="n">
        <v>0</v>
      </c>
      <c r="N559" t="n">
        <v>0</v>
      </c>
      <c r="O559" t="n">
        <v>0</v>
      </c>
      <c r="P559" t="n">
        <v>0</v>
      </c>
      <c r="Q559" t="n">
        <v>0</v>
      </c>
      <c r="R559" s="2" t="inlineStr"/>
    </row>
    <row r="560" ht="15" customHeight="1">
      <c r="A560" t="inlineStr">
        <is>
          <t>A 73513-2021</t>
        </is>
      </c>
      <c r="B560" s="1" t="n">
        <v>44551</v>
      </c>
      <c r="C560" s="1" t="n">
        <v>45744</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74030-2021</t>
        </is>
      </c>
      <c r="B561" s="1" t="n">
        <v>44553</v>
      </c>
      <c r="C561" s="1" t="n">
        <v>45744</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74293-2021</t>
        </is>
      </c>
      <c r="B562" s="1" t="n">
        <v>44558</v>
      </c>
      <c r="C562" s="1" t="n">
        <v>45744</v>
      </c>
      <c r="D562" t="inlineStr">
        <is>
          <t>SKÅNE LÄN</t>
        </is>
      </c>
      <c r="E562" t="inlineStr">
        <is>
          <t>HÄSSLEHOLM</t>
        </is>
      </c>
      <c r="F562" t="inlineStr">
        <is>
          <t>Kyrkan</t>
        </is>
      </c>
      <c r="G562" t="n">
        <v>3.3</v>
      </c>
      <c r="H562" t="n">
        <v>0</v>
      </c>
      <c r="I562" t="n">
        <v>0</v>
      </c>
      <c r="J562" t="n">
        <v>0</v>
      </c>
      <c r="K562" t="n">
        <v>0</v>
      </c>
      <c r="L562" t="n">
        <v>0</v>
      </c>
      <c r="M562" t="n">
        <v>0</v>
      </c>
      <c r="N562" t="n">
        <v>0</v>
      </c>
      <c r="O562" t="n">
        <v>0</v>
      </c>
      <c r="P562" t="n">
        <v>0</v>
      </c>
      <c r="Q562" t="n">
        <v>0</v>
      </c>
      <c r="R562" s="2" t="inlineStr"/>
    </row>
    <row r="563" ht="15" customHeight="1">
      <c r="A563" t="inlineStr">
        <is>
          <t>A 74294-2021</t>
        </is>
      </c>
      <c r="B563" s="1" t="n">
        <v>44558</v>
      </c>
      <c r="C563" s="1" t="n">
        <v>45744</v>
      </c>
      <c r="D563" t="inlineStr">
        <is>
          <t>SKÅNE LÄN</t>
        </is>
      </c>
      <c r="E563" t="inlineStr">
        <is>
          <t>HÄSSLEHOLM</t>
        </is>
      </c>
      <c r="F563" t="inlineStr">
        <is>
          <t>Kyrkan</t>
        </is>
      </c>
      <c r="G563" t="n">
        <v>16.2</v>
      </c>
      <c r="H563" t="n">
        <v>0</v>
      </c>
      <c r="I563" t="n">
        <v>0</v>
      </c>
      <c r="J563" t="n">
        <v>0</v>
      </c>
      <c r="K563" t="n">
        <v>0</v>
      </c>
      <c r="L563" t="n">
        <v>0</v>
      </c>
      <c r="M563" t="n">
        <v>0</v>
      </c>
      <c r="N563" t="n">
        <v>0</v>
      </c>
      <c r="O563" t="n">
        <v>0</v>
      </c>
      <c r="P563" t="n">
        <v>0</v>
      </c>
      <c r="Q563" t="n">
        <v>0</v>
      </c>
      <c r="R563" s="2" t="inlineStr"/>
    </row>
    <row r="564" ht="15" customHeight="1">
      <c r="A564" t="inlineStr">
        <is>
          <t>A 74297-2021</t>
        </is>
      </c>
      <c r="B564" s="1" t="n">
        <v>44558</v>
      </c>
      <c r="C564" s="1" t="n">
        <v>45744</v>
      </c>
      <c r="D564" t="inlineStr">
        <is>
          <t>SKÅNE LÄN</t>
        </is>
      </c>
      <c r="E564" t="inlineStr">
        <is>
          <t>HÄSSLEHOLM</t>
        </is>
      </c>
      <c r="F564" t="inlineStr">
        <is>
          <t>Kyrkan</t>
        </is>
      </c>
      <c r="G564" t="n">
        <v>3.8</v>
      </c>
      <c r="H564" t="n">
        <v>0</v>
      </c>
      <c r="I564" t="n">
        <v>0</v>
      </c>
      <c r="J564" t="n">
        <v>0</v>
      </c>
      <c r="K564" t="n">
        <v>0</v>
      </c>
      <c r="L564" t="n">
        <v>0</v>
      </c>
      <c r="M564" t="n">
        <v>0</v>
      </c>
      <c r="N564" t="n">
        <v>0</v>
      </c>
      <c r="O564" t="n">
        <v>0</v>
      </c>
      <c r="P564" t="n">
        <v>0</v>
      </c>
      <c r="Q564" t="n">
        <v>0</v>
      </c>
      <c r="R564" s="2" t="inlineStr"/>
    </row>
    <row r="565" ht="15" customHeight="1">
      <c r="A565" t="inlineStr">
        <is>
          <t>A 74453-2021</t>
        </is>
      </c>
      <c r="B565" s="1" t="n">
        <v>44560</v>
      </c>
      <c r="C565" s="1" t="n">
        <v>45744</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74476-2021</t>
        </is>
      </c>
      <c r="B566" s="1" t="n">
        <v>44560</v>
      </c>
      <c r="C566" s="1" t="n">
        <v>45744</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220-2022</t>
        </is>
      </c>
      <c r="B567" s="1" t="n">
        <v>44564</v>
      </c>
      <c r="C567" s="1" t="n">
        <v>45744</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219-2022</t>
        </is>
      </c>
      <c r="B568" s="1" t="n">
        <v>44564</v>
      </c>
      <c r="C568" s="1" t="n">
        <v>45744</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354-2022</t>
        </is>
      </c>
      <c r="B569" s="1" t="n">
        <v>44565</v>
      </c>
      <c r="C569" s="1" t="n">
        <v>45744</v>
      </c>
      <c r="D569" t="inlineStr">
        <is>
          <t>SKÅNE LÄN</t>
        </is>
      </c>
      <c r="E569" t="inlineStr">
        <is>
          <t>HÄSSLEHOLM</t>
        </is>
      </c>
      <c r="G569" t="n">
        <v>2.4</v>
      </c>
      <c r="H569" t="n">
        <v>0</v>
      </c>
      <c r="I569" t="n">
        <v>0</v>
      </c>
      <c r="J569" t="n">
        <v>0</v>
      </c>
      <c r="K569" t="n">
        <v>0</v>
      </c>
      <c r="L569" t="n">
        <v>0</v>
      </c>
      <c r="M569" t="n">
        <v>0</v>
      </c>
      <c r="N569" t="n">
        <v>0</v>
      </c>
      <c r="O569" t="n">
        <v>0</v>
      </c>
      <c r="P569" t="n">
        <v>0</v>
      </c>
      <c r="Q569" t="n">
        <v>0</v>
      </c>
      <c r="R569" s="2" t="inlineStr"/>
    </row>
    <row r="570" ht="15" customHeight="1">
      <c r="A570" t="inlineStr">
        <is>
          <t>A 315-2022</t>
        </is>
      </c>
      <c r="B570" s="1" t="n">
        <v>44565</v>
      </c>
      <c r="C570" s="1" t="n">
        <v>45744</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441-2022</t>
        </is>
      </c>
      <c r="B571" s="1" t="n">
        <v>44566</v>
      </c>
      <c r="C571" s="1" t="n">
        <v>45744</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418-2022</t>
        </is>
      </c>
      <c r="B572" s="1" t="n">
        <v>44565</v>
      </c>
      <c r="C572" s="1" t="n">
        <v>45744</v>
      </c>
      <c r="D572" t="inlineStr">
        <is>
          <t>SKÅNE LÄN</t>
        </is>
      </c>
      <c r="E572" t="inlineStr">
        <is>
          <t>HÄSSLEHOLM</t>
        </is>
      </c>
      <c r="G572" t="n">
        <v>0</v>
      </c>
      <c r="H572" t="n">
        <v>0</v>
      </c>
      <c r="I572" t="n">
        <v>0</v>
      </c>
      <c r="J572" t="n">
        <v>0</v>
      </c>
      <c r="K572" t="n">
        <v>0</v>
      </c>
      <c r="L572" t="n">
        <v>0</v>
      </c>
      <c r="M572" t="n">
        <v>0</v>
      </c>
      <c r="N572" t="n">
        <v>0</v>
      </c>
      <c r="O572" t="n">
        <v>0</v>
      </c>
      <c r="P572" t="n">
        <v>0</v>
      </c>
      <c r="Q572" t="n">
        <v>0</v>
      </c>
      <c r="R572" s="2" t="inlineStr"/>
    </row>
    <row r="573" ht="15" customHeight="1">
      <c r="A573" t="inlineStr">
        <is>
          <t>A 417-2022</t>
        </is>
      </c>
      <c r="B573" s="1" t="n">
        <v>44565</v>
      </c>
      <c r="C573" s="1" t="n">
        <v>45744</v>
      </c>
      <c r="D573" t="inlineStr">
        <is>
          <t>SKÅNE LÄN</t>
        </is>
      </c>
      <c r="E573" t="inlineStr">
        <is>
          <t>HÄSSLEHOLM</t>
        </is>
      </c>
      <c r="G573" t="n">
        <v>0</v>
      </c>
      <c r="H573" t="n">
        <v>0</v>
      </c>
      <c r="I573" t="n">
        <v>0</v>
      </c>
      <c r="J573" t="n">
        <v>0</v>
      </c>
      <c r="K573" t="n">
        <v>0</v>
      </c>
      <c r="L573" t="n">
        <v>0</v>
      </c>
      <c r="M573" t="n">
        <v>0</v>
      </c>
      <c r="N573" t="n">
        <v>0</v>
      </c>
      <c r="O573" t="n">
        <v>0</v>
      </c>
      <c r="P573" t="n">
        <v>0</v>
      </c>
      <c r="Q573" t="n">
        <v>0</v>
      </c>
      <c r="R573" s="2" t="inlineStr"/>
    </row>
    <row r="574" ht="15" customHeight="1">
      <c r="A574" t="inlineStr">
        <is>
          <t>A 525-2022</t>
        </is>
      </c>
      <c r="B574" s="1" t="n">
        <v>44566</v>
      </c>
      <c r="C574" s="1" t="n">
        <v>45744</v>
      </c>
      <c r="D574" t="inlineStr">
        <is>
          <t>SKÅNE LÄN</t>
        </is>
      </c>
      <c r="E574" t="inlineStr">
        <is>
          <t>HÄSSLEHOLM</t>
        </is>
      </c>
      <c r="G574" t="n">
        <v>1.7</v>
      </c>
      <c r="H574" t="n">
        <v>0</v>
      </c>
      <c r="I574" t="n">
        <v>0</v>
      </c>
      <c r="J574" t="n">
        <v>0</v>
      </c>
      <c r="K574" t="n">
        <v>0</v>
      </c>
      <c r="L574" t="n">
        <v>0</v>
      </c>
      <c r="M574" t="n">
        <v>0</v>
      </c>
      <c r="N574" t="n">
        <v>0</v>
      </c>
      <c r="O574" t="n">
        <v>0</v>
      </c>
      <c r="P574" t="n">
        <v>0</v>
      </c>
      <c r="Q574" t="n">
        <v>0</v>
      </c>
      <c r="R574" s="2" t="inlineStr"/>
    </row>
    <row r="575" ht="15" customHeight="1">
      <c r="A575" t="inlineStr">
        <is>
          <t>A 1210-2022</t>
        </is>
      </c>
      <c r="B575" s="1" t="n">
        <v>44572</v>
      </c>
      <c r="C575" s="1" t="n">
        <v>45744</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1535-2022</t>
        </is>
      </c>
      <c r="B576" s="1" t="n">
        <v>44573</v>
      </c>
      <c r="C576" s="1" t="n">
        <v>45744</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1619-2022</t>
        </is>
      </c>
      <c r="B577" s="1" t="n">
        <v>44573</v>
      </c>
      <c r="C577" s="1" t="n">
        <v>45744</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1679-2022</t>
        </is>
      </c>
      <c r="B578" s="1" t="n">
        <v>44573</v>
      </c>
      <c r="C578" s="1" t="n">
        <v>45744</v>
      </c>
      <c r="D578" t="inlineStr">
        <is>
          <t>SKÅNE LÄN</t>
        </is>
      </c>
      <c r="E578" t="inlineStr">
        <is>
          <t>HÄSSLEHOLM</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2618-2022</t>
        </is>
      </c>
      <c r="B579" s="1" t="n">
        <v>44580</v>
      </c>
      <c r="C579" s="1" t="n">
        <v>45744</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2631-2022</t>
        </is>
      </c>
      <c r="B580" s="1" t="n">
        <v>44580</v>
      </c>
      <c r="C580" s="1" t="n">
        <v>45744</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45744</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3101-2022</t>
        </is>
      </c>
      <c r="B582" s="1" t="n">
        <v>44580</v>
      </c>
      <c r="C582" s="1" t="n">
        <v>45744</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2858-2022</t>
        </is>
      </c>
      <c r="B583" s="1" t="n">
        <v>44581</v>
      </c>
      <c r="C583" s="1" t="n">
        <v>45744</v>
      </c>
      <c r="D583" t="inlineStr">
        <is>
          <t>SKÅNE LÄN</t>
        </is>
      </c>
      <c r="E583" t="inlineStr">
        <is>
          <t>HÄSSLEHOLM</t>
        </is>
      </c>
      <c r="F583" t="inlineStr">
        <is>
          <t>Övriga Aktiebolag</t>
        </is>
      </c>
      <c r="G583" t="n">
        <v>1.3</v>
      </c>
      <c r="H583" t="n">
        <v>0</v>
      </c>
      <c r="I583" t="n">
        <v>0</v>
      </c>
      <c r="J583" t="n">
        <v>0</v>
      </c>
      <c r="K583" t="n">
        <v>0</v>
      </c>
      <c r="L583" t="n">
        <v>0</v>
      </c>
      <c r="M583" t="n">
        <v>0</v>
      </c>
      <c r="N583" t="n">
        <v>0</v>
      </c>
      <c r="O583" t="n">
        <v>0</v>
      </c>
      <c r="P583" t="n">
        <v>0</v>
      </c>
      <c r="Q583" t="n">
        <v>0</v>
      </c>
      <c r="R583" s="2" t="inlineStr"/>
    </row>
    <row r="584" ht="15" customHeight="1">
      <c r="A584" t="inlineStr">
        <is>
          <t>A 3167-2022</t>
        </is>
      </c>
      <c r="B584" s="1" t="n">
        <v>44582</v>
      </c>
      <c r="C584" s="1" t="n">
        <v>45744</v>
      </c>
      <c r="D584" t="inlineStr">
        <is>
          <t>SKÅNE LÄN</t>
        </is>
      </c>
      <c r="E584" t="inlineStr">
        <is>
          <t>HÄSSLEHOLM</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3248-2022</t>
        </is>
      </c>
      <c r="B585" s="1" t="n">
        <v>44583</v>
      </c>
      <c r="C585" s="1" t="n">
        <v>45744</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3245-2022</t>
        </is>
      </c>
      <c r="B586" s="1" t="n">
        <v>44583</v>
      </c>
      <c r="C586" s="1" t="n">
        <v>45744</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3247-2022</t>
        </is>
      </c>
      <c r="B587" s="1" t="n">
        <v>44583</v>
      </c>
      <c r="C587" s="1" t="n">
        <v>45744</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3276-2022</t>
        </is>
      </c>
      <c r="B588" s="1" t="n">
        <v>44584</v>
      </c>
      <c r="C588" s="1" t="n">
        <v>45744</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3277-2022</t>
        </is>
      </c>
      <c r="B589" s="1" t="n">
        <v>44584</v>
      </c>
      <c r="C589" s="1" t="n">
        <v>45744</v>
      </c>
      <c r="D589" t="inlineStr">
        <is>
          <t>SKÅNE LÄN</t>
        </is>
      </c>
      <c r="E589" t="inlineStr">
        <is>
          <t>HÄSSLEHOLM</t>
        </is>
      </c>
      <c r="G589" t="n">
        <v>0.2</v>
      </c>
      <c r="H589" t="n">
        <v>0</v>
      </c>
      <c r="I589" t="n">
        <v>0</v>
      </c>
      <c r="J589" t="n">
        <v>0</v>
      </c>
      <c r="K589" t="n">
        <v>0</v>
      </c>
      <c r="L589" t="n">
        <v>0</v>
      </c>
      <c r="M589" t="n">
        <v>0</v>
      </c>
      <c r="N589" t="n">
        <v>0</v>
      </c>
      <c r="O589" t="n">
        <v>0</v>
      </c>
      <c r="P589" t="n">
        <v>0</v>
      </c>
      <c r="Q589" t="n">
        <v>0</v>
      </c>
      <c r="R589" s="2" t="inlineStr"/>
    </row>
    <row r="590" ht="15" customHeight="1">
      <c r="A590" t="inlineStr">
        <is>
          <t>A 3395-2022</t>
        </is>
      </c>
      <c r="B590" s="1" t="n">
        <v>44585</v>
      </c>
      <c r="C590" s="1" t="n">
        <v>45744</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3855-2022</t>
        </is>
      </c>
      <c r="B591" s="1" t="n">
        <v>44587</v>
      </c>
      <c r="C591" s="1" t="n">
        <v>45744</v>
      </c>
      <c r="D591" t="inlineStr">
        <is>
          <t>SKÅNE LÄN</t>
        </is>
      </c>
      <c r="E591" t="inlineStr">
        <is>
          <t>HÄSSLEHOLM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3952-2022</t>
        </is>
      </c>
      <c r="B592" s="1" t="n">
        <v>44587</v>
      </c>
      <c r="C592" s="1" t="n">
        <v>45744</v>
      </c>
      <c r="D592" t="inlineStr">
        <is>
          <t>SKÅNE LÄN</t>
        </is>
      </c>
      <c r="E592" t="inlineStr">
        <is>
          <t>HÄSSLEHOLM</t>
        </is>
      </c>
      <c r="G592" t="n">
        <v>4.2</v>
      </c>
      <c r="H592" t="n">
        <v>0</v>
      </c>
      <c r="I592" t="n">
        <v>0</v>
      </c>
      <c r="J592" t="n">
        <v>0</v>
      </c>
      <c r="K592" t="n">
        <v>0</v>
      </c>
      <c r="L592" t="n">
        <v>0</v>
      </c>
      <c r="M592" t="n">
        <v>0</v>
      </c>
      <c r="N592" t="n">
        <v>0</v>
      </c>
      <c r="O592" t="n">
        <v>0</v>
      </c>
      <c r="P592" t="n">
        <v>0</v>
      </c>
      <c r="Q592" t="n">
        <v>0</v>
      </c>
      <c r="R592" s="2" t="inlineStr"/>
    </row>
    <row r="593" ht="15" customHeight="1">
      <c r="A593" t="inlineStr">
        <is>
          <t>A 3992-2022</t>
        </is>
      </c>
      <c r="B593" s="1" t="n">
        <v>44587</v>
      </c>
      <c r="C593" s="1" t="n">
        <v>45744</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4156-2022</t>
        </is>
      </c>
      <c r="B594" s="1" t="n">
        <v>44588</v>
      </c>
      <c r="C594" s="1" t="n">
        <v>45744</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4161-2022</t>
        </is>
      </c>
      <c r="B595" s="1" t="n">
        <v>44588</v>
      </c>
      <c r="C595" s="1" t="n">
        <v>45744</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4719-2022</t>
        </is>
      </c>
      <c r="B596" s="1" t="n">
        <v>44592</v>
      </c>
      <c r="C596" s="1" t="n">
        <v>45744</v>
      </c>
      <c r="D596" t="inlineStr">
        <is>
          <t>SKÅNE LÄN</t>
        </is>
      </c>
      <c r="E596" t="inlineStr">
        <is>
          <t>HÄSSLEHOLM</t>
        </is>
      </c>
      <c r="F596" t="inlineStr">
        <is>
          <t>Kyrkan</t>
        </is>
      </c>
      <c r="G596" t="n">
        <v>1.6</v>
      </c>
      <c r="H596" t="n">
        <v>0</v>
      </c>
      <c r="I596" t="n">
        <v>0</v>
      </c>
      <c r="J596" t="n">
        <v>0</v>
      </c>
      <c r="K596" t="n">
        <v>0</v>
      </c>
      <c r="L596" t="n">
        <v>0</v>
      </c>
      <c r="M596" t="n">
        <v>0</v>
      </c>
      <c r="N596" t="n">
        <v>0</v>
      </c>
      <c r="O596" t="n">
        <v>0</v>
      </c>
      <c r="P596" t="n">
        <v>0</v>
      </c>
      <c r="Q596" t="n">
        <v>0</v>
      </c>
      <c r="R596" s="2" t="inlineStr"/>
    </row>
    <row r="597" ht="15" customHeight="1">
      <c r="A597" t="inlineStr">
        <is>
          <t>A 4945-2022</t>
        </is>
      </c>
      <c r="B597" s="1" t="n">
        <v>44593</v>
      </c>
      <c r="C597" s="1" t="n">
        <v>45744</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5054-2022</t>
        </is>
      </c>
      <c r="B598" s="1" t="n">
        <v>44593</v>
      </c>
      <c r="C598" s="1" t="n">
        <v>45744</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5091-2022</t>
        </is>
      </c>
      <c r="B599" s="1" t="n">
        <v>44593</v>
      </c>
      <c r="C599" s="1" t="n">
        <v>45744</v>
      </c>
      <c r="D599" t="inlineStr">
        <is>
          <t>SKÅNE LÄN</t>
        </is>
      </c>
      <c r="E599" t="inlineStr">
        <is>
          <t>HÄSSLEHOLM</t>
        </is>
      </c>
      <c r="G599" t="n">
        <v>2.5</v>
      </c>
      <c r="H599" t="n">
        <v>0</v>
      </c>
      <c r="I599" t="n">
        <v>0</v>
      </c>
      <c r="J599" t="n">
        <v>0</v>
      </c>
      <c r="K599" t="n">
        <v>0</v>
      </c>
      <c r="L599" t="n">
        <v>0</v>
      </c>
      <c r="M599" t="n">
        <v>0</v>
      </c>
      <c r="N599" t="n">
        <v>0</v>
      </c>
      <c r="O599" t="n">
        <v>0</v>
      </c>
      <c r="P599" t="n">
        <v>0</v>
      </c>
      <c r="Q599" t="n">
        <v>0</v>
      </c>
      <c r="R599" s="2" t="inlineStr"/>
    </row>
    <row r="600" ht="15" customHeight="1">
      <c r="A600" t="inlineStr">
        <is>
          <t>A 5090-2022</t>
        </is>
      </c>
      <c r="B600" s="1" t="n">
        <v>44593</v>
      </c>
      <c r="C600" s="1" t="n">
        <v>45744</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5334-2022</t>
        </is>
      </c>
      <c r="B601" s="1" t="n">
        <v>44594</v>
      </c>
      <c r="C601" s="1" t="n">
        <v>45744</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5564-2022</t>
        </is>
      </c>
      <c r="B602" s="1" t="n">
        <v>44595</v>
      </c>
      <c r="C602" s="1" t="n">
        <v>45744</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6048-2022</t>
        </is>
      </c>
      <c r="B603" s="1" t="n">
        <v>44599</v>
      </c>
      <c r="C603" s="1" t="n">
        <v>45744</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6101-2022</t>
        </is>
      </c>
      <c r="B604" s="1" t="n">
        <v>44599</v>
      </c>
      <c r="C604" s="1" t="n">
        <v>45744</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5992-2022</t>
        </is>
      </c>
      <c r="B605" s="1" t="n">
        <v>44599</v>
      </c>
      <c r="C605" s="1" t="n">
        <v>45744</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6253-2022</t>
        </is>
      </c>
      <c r="B606" s="1" t="n">
        <v>44600</v>
      </c>
      <c r="C606" s="1" t="n">
        <v>45744</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6414-2022</t>
        </is>
      </c>
      <c r="B607" s="1" t="n">
        <v>44600</v>
      </c>
      <c r="C607" s="1" t="n">
        <v>45744</v>
      </c>
      <c r="D607" t="inlineStr">
        <is>
          <t>SKÅNE LÄN</t>
        </is>
      </c>
      <c r="E607" t="inlineStr">
        <is>
          <t>HÄSSLEHOLM</t>
        </is>
      </c>
      <c r="G607" t="n">
        <v>2.9</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45744</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7250-2022</t>
        </is>
      </c>
      <c r="B609" s="1" t="n">
        <v>44606</v>
      </c>
      <c r="C609" s="1" t="n">
        <v>45744</v>
      </c>
      <c r="D609" t="inlineStr">
        <is>
          <t>SKÅNE LÄN</t>
        </is>
      </c>
      <c r="E609" t="inlineStr">
        <is>
          <t>HÄSSLEHOLM</t>
        </is>
      </c>
      <c r="F609" t="inlineStr">
        <is>
          <t>Övriga Aktiebolag</t>
        </is>
      </c>
      <c r="G609" t="n">
        <v>2.6</v>
      </c>
      <c r="H609" t="n">
        <v>0</v>
      </c>
      <c r="I609" t="n">
        <v>0</v>
      </c>
      <c r="J609" t="n">
        <v>0</v>
      </c>
      <c r="K609" t="n">
        <v>0</v>
      </c>
      <c r="L609" t="n">
        <v>0</v>
      </c>
      <c r="M609" t="n">
        <v>0</v>
      </c>
      <c r="N609" t="n">
        <v>0</v>
      </c>
      <c r="O609" t="n">
        <v>0</v>
      </c>
      <c r="P609" t="n">
        <v>0</v>
      </c>
      <c r="Q609" t="n">
        <v>0</v>
      </c>
      <c r="R609" s="2" t="inlineStr"/>
    </row>
    <row r="610" ht="15" customHeight="1">
      <c r="A610" t="inlineStr">
        <is>
          <t>A 7262-2022</t>
        </is>
      </c>
      <c r="B610" s="1" t="n">
        <v>44606</v>
      </c>
      <c r="C610" s="1" t="n">
        <v>45744</v>
      </c>
      <c r="D610" t="inlineStr">
        <is>
          <t>SKÅNE LÄN</t>
        </is>
      </c>
      <c r="E610" t="inlineStr">
        <is>
          <t>HÄSSLEHOLM</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7249-2022</t>
        </is>
      </c>
      <c r="B611" s="1" t="n">
        <v>44606</v>
      </c>
      <c r="C611" s="1" t="n">
        <v>45744</v>
      </c>
      <c r="D611" t="inlineStr">
        <is>
          <t>SKÅNE LÄN</t>
        </is>
      </c>
      <c r="E611" t="inlineStr">
        <is>
          <t>HÄSSLEHOLM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7861-2022</t>
        </is>
      </c>
      <c r="B612" s="1" t="n">
        <v>44607</v>
      </c>
      <c r="C612" s="1" t="n">
        <v>45744</v>
      </c>
      <c r="D612" t="inlineStr">
        <is>
          <t>SKÅNE LÄN</t>
        </is>
      </c>
      <c r="E612" t="inlineStr">
        <is>
          <t>HÄSSLEHOLM</t>
        </is>
      </c>
      <c r="F612" t="inlineStr">
        <is>
          <t>Kyrkan</t>
        </is>
      </c>
      <c r="G612" t="n">
        <v>4.3</v>
      </c>
      <c r="H612" t="n">
        <v>0</v>
      </c>
      <c r="I612" t="n">
        <v>0</v>
      </c>
      <c r="J612" t="n">
        <v>0</v>
      </c>
      <c r="K612" t="n">
        <v>0</v>
      </c>
      <c r="L612" t="n">
        <v>0</v>
      </c>
      <c r="M612" t="n">
        <v>0</v>
      </c>
      <c r="N612" t="n">
        <v>0</v>
      </c>
      <c r="O612" t="n">
        <v>0</v>
      </c>
      <c r="P612" t="n">
        <v>0</v>
      </c>
      <c r="Q612" t="n">
        <v>0</v>
      </c>
      <c r="R612" s="2" t="inlineStr"/>
    </row>
    <row r="613" ht="15" customHeight="1">
      <c r="A613" t="inlineStr">
        <is>
          <t>A 7904-2022</t>
        </is>
      </c>
      <c r="B613" s="1" t="n">
        <v>44607</v>
      </c>
      <c r="C613" s="1" t="n">
        <v>45744</v>
      </c>
      <c r="D613" t="inlineStr">
        <is>
          <t>SKÅNE LÄN</t>
        </is>
      </c>
      <c r="E613" t="inlineStr">
        <is>
          <t>HÄSSLEHOLM</t>
        </is>
      </c>
      <c r="F613" t="inlineStr">
        <is>
          <t>Kyrkan</t>
        </is>
      </c>
      <c r="G613" t="n">
        <v>3.9</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45744</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8177-2022</t>
        </is>
      </c>
      <c r="B615" s="1" t="n">
        <v>44607</v>
      </c>
      <c r="C615" s="1" t="n">
        <v>45744</v>
      </c>
      <c r="D615" t="inlineStr">
        <is>
          <t>SKÅNE LÄN</t>
        </is>
      </c>
      <c r="E615" t="inlineStr">
        <is>
          <t>HÄSSLEHOLM</t>
        </is>
      </c>
      <c r="F615" t="inlineStr">
        <is>
          <t>Kyrkan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7820-2022</t>
        </is>
      </c>
      <c r="B616" s="1" t="n">
        <v>44608</v>
      </c>
      <c r="C616" s="1" t="n">
        <v>45744</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8204-2022</t>
        </is>
      </c>
      <c r="B617" s="1" t="n">
        <v>44609</v>
      </c>
      <c r="C617" s="1" t="n">
        <v>45744</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8280-2022</t>
        </is>
      </c>
      <c r="B618" s="1" t="n">
        <v>44610</v>
      </c>
      <c r="C618" s="1" t="n">
        <v>45744</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9098-2022</t>
        </is>
      </c>
      <c r="B619" s="1" t="n">
        <v>44615</v>
      </c>
      <c r="C619" s="1" t="n">
        <v>45744</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9292-2022</t>
        </is>
      </c>
      <c r="B620" s="1" t="n">
        <v>44616</v>
      </c>
      <c r="C620" s="1" t="n">
        <v>45744</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10968-2022</t>
        </is>
      </c>
      <c r="B621" s="1" t="n">
        <v>44628</v>
      </c>
      <c r="C621" s="1" t="n">
        <v>45744</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v>
      </c>
      <c r="C622" s="1" t="n">
        <v>45744</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12036-2022</t>
        </is>
      </c>
      <c r="B623" s="1" t="n">
        <v>44636</v>
      </c>
      <c r="C623" s="1" t="n">
        <v>45744</v>
      </c>
      <c r="D623" t="inlineStr">
        <is>
          <t>SKÅNE LÄN</t>
        </is>
      </c>
      <c r="E623" t="inlineStr">
        <is>
          <t>HÄSSLEHOLM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12507-2022</t>
        </is>
      </c>
      <c r="B624" s="1" t="n">
        <v>44638</v>
      </c>
      <c r="C624" s="1" t="n">
        <v>45744</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12503-2022</t>
        </is>
      </c>
      <c r="B625" s="1" t="n">
        <v>44638</v>
      </c>
      <c r="C625" s="1" t="n">
        <v>45744</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13410-2022</t>
        </is>
      </c>
      <c r="B626" s="1" t="n">
        <v>44645</v>
      </c>
      <c r="C626" s="1" t="n">
        <v>45744</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13990-2022</t>
        </is>
      </c>
      <c r="B627" s="1" t="n">
        <v>44650</v>
      </c>
      <c r="C627" s="1" t="n">
        <v>45744</v>
      </c>
      <c r="D627" t="inlineStr">
        <is>
          <t>SKÅNE LÄN</t>
        </is>
      </c>
      <c r="E627" t="inlineStr">
        <is>
          <t>HÄSSLEHOLM</t>
        </is>
      </c>
      <c r="G627" t="n">
        <v>3.6</v>
      </c>
      <c r="H627" t="n">
        <v>0</v>
      </c>
      <c r="I627" t="n">
        <v>0</v>
      </c>
      <c r="J627" t="n">
        <v>0</v>
      </c>
      <c r="K627" t="n">
        <v>0</v>
      </c>
      <c r="L627" t="n">
        <v>0</v>
      </c>
      <c r="M627" t="n">
        <v>0</v>
      </c>
      <c r="N627" t="n">
        <v>0</v>
      </c>
      <c r="O627" t="n">
        <v>0</v>
      </c>
      <c r="P627" t="n">
        <v>0</v>
      </c>
      <c r="Q627" t="n">
        <v>0</v>
      </c>
      <c r="R627" s="2" t="inlineStr"/>
    </row>
    <row r="628" ht="15" customHeight="1">
      <c r="A628" t="inlineStr">
        <is>
          <t>A 14402-2022</t>
        </is>
      </c>
      <c r="B628" s="1" t="n">
        <v>44652</v>
      </c>
      <c r="C628" s="1" t="n">
        <v>45744</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15118-2022</t>
        </is>
      </c>
      <c r="B629" s="1" t="n">
        <v>44659</v>
      </c>
      <c r="C629" s="1" t="n">
        <v>45744</v>
      </c>
      <c r="D629" t="inlineStr">
        <is>
          <t>SKÅNE LÄN</t>
        </is>
      </c>
      <c r="E629" t="inlineStr">
        <is>
          <t>HÄSSLEHOLM</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15417-2022</t>
        </is>
      </c>
      <c r="B630" s="1" t="n">
        <v>44659</v>
      </c>
      <c r="C630" s="1" t="n">
        <v>45744</v>
      </c>
      <c r="D630" t="inlineStr">
        <is>
          <t>SKÅNE LÄN</t>
        </is>
      </c>
      <c r="E630" t="inlineStr">
        <is>
          <t>HÄSSLEHOLM</t>
        </is>
      </c>
      <c r="F630" t="inlineStr">
        <is>
          <t>Kyrkan</t>
        </is>
      </c>
      <c r="G630" t="n">
        <v>2.9</v>
      </c>
      <c r="H630" t="n">
        <v>0</v>
      </c>
      <c r="I630" t="n">
        <v>0</v>
      </c>
      <c r="J630" t="n">
        <v>0</v>
      </c>
      <c r="K630" t="n">
        <v>0</v>
      </c>
      <c r="L630" t="n">
        <v>0</v>
      </c>
      <c r="M630" t="n">
        <v>0</v>
      </c>
      <c r="N630" t="n">
        <v>0</v>
      </c>
      <c r="O630" t="n">
        <v>0</v>
      </c>
      <c r="P630" t="n">
        <v>0</v>
      </c>
      <c r="Q630" t="n">
        <v>0</v>
      </c>
      <c r="R630" s="2" t="inlineStr"/>
    </row>
    <row r="631" ht="15" customHeight="1">
      <c r="A631" t="inlineStr">
        <is>
          <t>A 15423-2022</t>
        </is>
      </c>
      <c r="B631" s="1" t="n">
        <v>44659</v>
      </c>
      <c r="C631" s="1" t="n">
        <v>45744</v>
      </c>
      <c r="D631" t="inlineStr">
        <is>
          <t>SKÅNE LÄN</t>
        </is>
      </c>
      <c r="E631" t="inlineStr">
        <is>
          <t>HÄSSLEHOLM</t>
        </is>
      </c>
      <c r="F631" t="inlineStr">
        <is>
          <t>Kyrkan</t>
        </is>
      </c>
      <c r="G631" t="n">
        <v>0.9</v>
      </c>
      <c r="H631" t="n">
        <v>0</v>
      </c>
      <c r="I631" t="n">
        <v>0</v>
      </c>
      <c r="J631" t="n">
        <v>0</v>
      </c>
      <c r="K631" t="n">
        <v>0</v>
      </c>
      <c r="L631" t="n">
        <v>0</v>
      </c>
      <c r="M631" t="n">
        <v>0</v>
      </c>
      <c r="N631" t="n">
        <v>0</v>
      </c>
      <c r="O631" t="n">
        <v>0</v>
      </c>
      <c r="P631" t="n">
        <v>0</v>
      </c>
      <c r="Q631" t="n">
        <v>0</v>
      </c>
      <c r="R631" s="2" t="inlineStr"/>
    </row>
    <row r="632" ht="15" customHeight="1">
      <c r="A632" t="inlineStr">
        <is>
          <t>A 15703-2022</t>
        </is>
      </c>
      <c r="B632" s="1" t="n">
        <v>44663</v>
      </c>
      <c r="C632" s="1" t="n">
        <v>45744</v>
      </c>
      <c r="D632" t="inlineStr">
        <is>
          <t>SKÅNE LÄN</t>
        </is>
      </c>
      <c r="E632" t="inlineStr">
        <is>
          <t>HÄSSLEHOLM</t>
        </is>
      </c>
      <c r="G632" t="n">
        <v>3</v>
      </c>
      <c r="H632" t="n">
        <v>0</v>
      </c>
      <c r="I632" t="n">
        <v>0</v>
      </c>
      <c r="J632" t="n">
        <v>0</v>
      </c>
      <c r="K632" t="n">
        <v>0</v>
      </c>
      <c r="L632" t="n">
        <v>0</v>
      </c>
      <c r="M632" t="n">
        <v>0</v>
      </c>
      <c r="N632" t="n">
        <v>0</v>
      </c>
      <c r="O632" t="n">
        <v>0</v>
      </c>
      <c r="P632" t="n">
        <v>0</v>
      </c>
      <c r="Q632" t="n">
        <v>0</v>
      </c>
      <c r="R632" s="2" t="inlineStr"/>
    </row>
    <row r="633" ht="15" customHeight="1">
      <c r="A633" t="inlineStr">
        <is>
          <t>A 15986-2022</t>
        </is>
      </c>
      <c r="B633" s="1" t="n">
        <v>44664</v>
      </c>
      <c r="C633" s="1" t="n">
        <v>45744</v>
      </c>
      <c r="D633" t="inlineStr">
        <is>
          <t>SKÅNE LÄN</t>
        </is>
      </c>
      <c r="E633" t="inlineStr">
        <is>
          <t>HÄSSLEHOLM</t>
        </is>
      </c>
      <c r="F633" t="inlineStr">
        <is>
          <t>Kyrkan</t>
        </is>
      </c>
      <c r="G633" t="n">
        <v>6</v>
      </c>
      <c r="H633" t="n">
        <v>0</v>
      </c>
      <c r="I633" t="n">
        <v>0</v>
      </c>
      <c r="J633" t="n">
        <v>0</v>
      </c>
      <c r="K633" t="n">
        <v>0</v>
      </c>
      <c r="L633" t="n">
        <v>0</v>
      </c>
      <c r="M633" t="n">
        <v>0</v>
      </c>
      <c r="N633" t="n">
        <v>0</v>
      </c>
      <c r="O633" t="n">
        <v>0</v>
      </c>
      <c r="P633" t="n">
        <v>0</v>
      </c>
      <c r="Q633" t="n">
        <v>0</v>
      </c>
      <c r="R633" s="2" t="inlineStr"/>
    </row>
    <row r="634" ht="15" customHeight="1">
      <c r="A634" t="inlineStr">
        <is>
          <t>A 16397-2022</t>
        </is>
      </c>
      <c r="B634" s="1" t="n">
        <v>44671</v>
      </c>
      <c r="C634" s="1" t="n">
        <v>45744</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16398-2022</t>
        </is>
      </c>
      <c r="B635" s="1" t="n">
        <v>44671</v>
      </c>
      <c r="C635" s="1" t="n">
        <v>45744</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18178-2022</t>
        </is>
      </c>
      <c r="B636" s="1" t="n">
        <v>44684</v>
      </c>
      <c r="C636" s="1" t="n">
        <v>45744</v>
      </c>
      <c r="D636" t="inlineStr">
        <is>
          <t>SKÅNE LÄN</t>
        </is>
      </c>
      <c r="E636" t="inlineStr">
        <is>
          <t>HÄSSLEHOLM</t>
        </is>
      </c>
      <c r="G636" t="n">
        <v>1.3</v>
      </c>
      <c r="H636" t="n">
        <v>0</v>
      </c>
      <c r="I636" t="n">
        <v>0</v>
      </c>
      <c r="J636" t="n">
        <v>0</v>
      </c>
      <c r="K636" t="n">
        <v>0</v>
      </c>
      <c r="L636" t="n">
        <v>0</v>
      </c>
      <c r="M636" t="n">
        <v>0</v>
      </c>
      <c r="N636" t="n">
        <v>0</v>
      </c>
      <c r="O636" t="n">
        <v>0</v>
      </c>
      <c r="P636" t="n">
        <v>0</v>
      </c>
      <c r="Q636" t="n">
        <v>0</v>
      </c>
      <c r="R636" s="2" t="inlineStr"/>
    </row>
    <row r="637" ht="15" customHeight="1">
      <c r="A637" t="inlineStr">
        <is>
          <t>A 20657-2022</t>
        </is>
      </c>
      <c r="B637" s="1" t="n">
        <v>44700</v>
      </c>
      <c r="C637" s="1" t="n">
        <v>45744</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21356-2022</t>
        </is>
      </c>
      <c r="B638" s="1" t="n">
        <v>44705</v>
      </c>
      <c r="C638" s="1" t="n">
        <v>45744</v>
      </c>
      <c r="D638" t="inlineStr">
        <is>
          <t>SKÅNE LÄN</t>
        </is>
      </c>
      <c r="E638" t="inlineStr">
        <is>
          <t>HÄSSLEHOLM</t>
        </is>
      </c>
      <c r="G638" t="n">
        <v>4.8</v>
      </c>
      <c r="H638" t="n">
        <v>0</v>
      </c>
      <c r="I638" t="n">
        <v>0</v>
      </c>
      <c r="J638" t="n">
        <v>0</v>
      </c>
      <c r="K638" t="n">
        <v>0</v>
      </c>
      <c r="L638" t="n">
        <v>0</v>
      </c>
      <c r="M638" t="n">
        <v>0</v>
      </c>
      <c r="N638" t="n">
        <v>0</v>
      </c>
      <c r="O638" t="n">
        <v>0</v>
      </c>
      <c r="P638" t="n">
        <v>0</v>
      </c>
      <c r="Q638" t="n">
        <v>0</v>
      </c>
      <c r="R638" s="2" t="inlineStr"/>
    </row>
    <row r="639" ht="15" customHeight="1">
      <c r="A639" t="inlineStr">
        <is>
          <t>A 21310-2022</t>
        </is>
      </c>
      <c r="B639" s="1" t="n">
        <v>44705</v>
      </c>
      <c r="C639" s="1" t="n">
        <v>45744</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21628-2022</t>
        </is>
      </c>
      <c r="B640" s="1" t="n">
        <v>44706</v>
      </c>
      <c r="C640" s="1" t="n">
        <v>45744</v>
      </c>
      <c r="D640" t="inlineStr">
        <is>
          <t>SKÅNE LÄN</t>
        </is>
      </c>
      <c r="E640" t="inlineStr">
        <is>
          <t>HÄSSLEHOLM</t>
        </is>
      </c>
      <c r="G640" t="n">
        <v>3.1</v>
      </c>
      <c r="H640" t="n">
        <v>0</v>
      </c>
      <c r="I640" t="n">
        <v>0</v>
      </c>
      <c r="J640" t="n">
        <v>0</v>
      </c>
      <c r="K640" t="n">
        <v>0</v>
      </c>
      <c r="L640" t="n">
        <v>0</v>
      </c>
      <c r="M640" t="n">
        <v>0</v>
      </c>
      <c r="N640" t="n">
        <v>0</v>
      </c>
      <c r="O640" t="n">
        <v>0</v>
      </c>
      <c r="P640" t="n">
        <v>0</v>
      </c>
      <c r="Q640" t="n">
        <v>0</v>
      </c>
      <c r="R640" s="2" t="inlineStr"/>
    </row>
    <row r="641" ht="15" customHeight="1">
      <c r="A641" t="inlineStr">
        <is>
          <t>A 22693-2022</t>
        </is>
      </c>
      <c r="B641" s="1" t="n">
        <v>44714</v>
      </c>
      <c r="C641" s="1" t="n">
        <v>45744</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22690-2022</t>
        </is>
      </c>
      <c r="B642" s="1" t="n">
        <v>44714</v>
      </c>
      <c r="C642" s="1" t="n">
        <v>45744</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23069-2022</t>
        </is>
      </c>
      <c r="B643" s="1" t="n">
        <v>44719</v>
      </c>
      <c r="C643" s="1" t="n">
        <v>45744</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45744</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v>
      </c>
      <c r="C645" s="1" t="n">
        <v>45744</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23967-2022</t>
        </is>
      </c>
      <c r="B646" s="1" t="n">
        <v>44722</v>
      </c>
      <c r="C646" s="1" t="n">
        <v>45744</v>
      </c>
      <c r="D646" t="inlineStr">
        <is>
          <t>SKÅNE LÄN</t>
        </is>
      </c>
      <c r="E646" t="inlineStr">
        <is>
          <t>HÄSSLEHOLM</t>
        </is>
      </c>
      <c r="F646" t="inlineStr">
        <is>
          <t>Kyrkan</t>
        </is>
      </c>
      <c r="G646" t="n">
        <v>12.4</v>
      </c>
      <c r="H646" t="n">
        <v>0</v>
      </c>
      <c r="I646" t="n">
        <v>0</v>
      </c>
      <c r="J646" t="n">
        <v>0</v>
      </c>
      <c r="K646" t="n">
        <v>0</v>
      </c>
      <c r="L646" t="n">
        <v>0</v>
      </c>
      <c r="M646" t="n">
        <v>0</v>
      </c>
      <c r="N646" t="n">
        <v>0</v>
      </c>
      <c r="O646" t="n">
        <v>0</v>
      </c>
      <c r="P646" t="n">
        <v>0</v>
      </c>
      <c r="Q646" t="n">
        <v>0</v>
      </c>
      <c r="R646" s="2" t="inlineStr"/>
    </row>
    <row r="647" ht="15" customHeight="1">
      <c r="A647" t="inlineStr">
        <is>
          <t>A 23962-2022</t>
        </is>
      </c>
      <c r="B647" s="1" t="n">
        <v>44722</v>
      </c>
      <c r="C647" s="1" t="n">
        <v>45744</v>
      </c>
      <c r="D647" t="inlineStr">
        <is>
          <t>SKÅNE LÄN</t>
        </is>
      </c>
      <c r="E647" t="inlineStr">
        <is>
          <t>HÄSSLEHOLM</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23879-2022</t>
        </is>
      </c>
      <c r="B648" s="1" t="n">
        <v>44722</v>
      </c>
      <c r="C648" s="1" t="n">
        <v>45744</v>
      </c>
      <c r="D648" t="inlineStr">
        <is>
          <t>SKÅNE LÄN</t>
        </is>
      </c>
      <c r="E648" t="inlineStr">
        <is>
          <t>HÄSSLEHOLM</t>
        </is>
      </c>
      <c r="G648" t="n">
        <v>4</v>
      </c>
      <c r="H648" t="n">
        <v>0</v>
      </c>
      <c r="I648" t="n">
        <v>0</v>
      </c>
      <c r="J648" t="n">
        <v>0</v>
      </c>
      <c r="K648" t="n">
        <v>0</v>
      </c>
      <c r="L648" t="n">
        <v>0</v>
      </c>
      <c r="M648" t="n">
        <v>0</v>
      </c>
      <c r="N648" t="n">
        <v>0</v>
      </c>
      <c r="O648" t="n">
        <v>0</v>
      </c>
      <c r="P648" t="n">
        <v>0</v>
      </c>
      <c r="Q648" t="n">
        <v>0</v>
      </c>
      <c r="R648" s="2" t="inlineStr"/>
    </row>
    <row r="649" ht="15" customHeight="1">
      <c r="A649" t="inlineStr">
        <is>
          <t>A 24896-2022</t>
        </is>
      </c>
      <c r="B649" s="1" t="n">
        <v>44728</v>
      </c>
      <c r="C649" s="1" t="n">
        <v>45744</v>
      </c>
      <c r="D649" t="inlineStr">
        <is>
          <t>SKÅNE LÄN</t>
        </is>
      </c>
      <c r="E649" t="inlineStr">
        <is>
          <t>HÄSSLEHOLM</t>
        </is>
      </c>
      <c r="G649" t="n">
        <v>5</v>
      </c>
      <c r="H649" t="n">
        <v>0</v>
      </c>
      <c r="I649" t="n">
        <v>0</v>
      </c>
      <c r="J649" t="n">
        <v>0</v>
      </c>
      <c r="K649" t="n">
        <v>0</v>
      </c>
      <c r="L649" t="n">
        <v>0</v>
      </c>
      <c r="M649" t="n">
        <v>0</v>
      </c>
      <c r="N649" t="n">
        <v>0</v>
      </c>
      <c r="O649" t="n">
        <v>0</v>
      </c>
      <c r="P649" t="n">
        <v>0</v>
      </c>
      <c r="Q649" t="n">
        <v>0</v>
      </c>
      <c r="R649" s="2" t="inlineStr"/>
    </row>
    <row r="650" ht="15" customHeight="1">
      <c r="A650" t="inlineStr">
        <is>
          <t>A 24906-2022</t>
        </is>
      </c>
      <c r="B650" s="1" t="n">
        <v>44728</v>
      </c>
      <c r="C650" s="1" t="n">
        <v>45744</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25046-2022</t>
        </is>
      </c>
      <c r="B651" s="1" t="n">
        <v>44728</v>
      </c>
      <c r="C651" s="1" t="n">
        <v>45744</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25165-2022</t>
        </is>
      </c>
      <c r="B652" s="1" t="n">
        <v>44729</v>
      </c>
      <c r="C652" s="1" t="n">
        <v>45744</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25464-2022</t>
        </is>
      </c>
      <c r="B653" s="1" t="n">
        <v>44729</v>
      </c>
      <c r="C653" s="1" t="n">
        <v>45744</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25469-2022</t>
        </is>
      </c>
      <c r="B654" s="1" t="n">
        <v>44732</v>
      </c>
      <c r="C654" s="1" t="n">
        <v>45744</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25955-2022</t>
        </is>
      </c>
      <c r="B655" s="1" t="n">
        <v>44734</v>
      </c>
      <c r="C655" s="1" t="n">
        <v>45744</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26012-2022</t>
        </is>
      </c>
      <c r="B656" s="1" t="n">
        <v>44734</v>
      </c>
      <c r="C656" s="1" t="n">
        <v>45744</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26386-2022</t>
        </is>
      </c>
      <c r="B657" s="1" t="n">
        <v>44735</v>
      </c>
      <c r="C657" s="1" t="n">
        <v>45744</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26387-2022</t>
        </is>
      </c>
      <c r="B658" s="1" t="n">
        <v>44735</v>
      </c>
      <c r="C658" s="1" t="n">
        <v>45744</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26536-2022</t>
        </is>
      </c>
      <c r="B659" s="1" t="n">
        <v>44739</v>
      </c>
      <c r="C659" s="1" t="n">
        <v>45744</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27242-2022</t>
        </is>
      </c>
      <c r="B660" s="1" t="n">
        <v>44741</v>
      </c>
      <c r="C660" s="1" t="n">
        <v>45744</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27244-2022</t>
        </is>
      </c>
      <c r="B661" s="1" t="n">
        <v>44741</v>
      </c>
      <c r="C661" s="1" t="n">
        <v>45744</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27452-2022</t>
        </is>
      </c>
      <c r="B662" s="1" t="n">
        <v>44742</v>
      </c>
      <c r="C662" s="1" t="n">
        <v>45744</v>
      </c>
      <c r="D662" t="inlineStr">
        <is>
          <t>SKÅNE LÄN</t>
        </is>
      </c>
      <c r="E662" t="inlineStr">
        <is>
          <t>HÄSSLEHOLM</t>
        </is>
      </c>
      <c r="G662" t="n">
        <v>4.2</v>
      </c>
      <c r="H662" t="n">
        <v>0</v>
      </c>
      <c r="I662" t="n">
        <v>0</v>
      </c>
      <c r="J662" t="n">
        <v>0</v>
      </c>
      <c r="K662" t="n">
        <v>0</v>
      </c>
      <c r="L662" t="n">
        <v>0</v>
      </c>
      <c r="M662" t="n">
        <v>0</v>
      </c>
      <c r="N662" t="n">
        <v>0</v>
      </c>
      <c r="O662" t="n">
        <v>0</v>
      </c>
      <c r="P662" t="n">
        <v>0</v>
      </c>
      <c r="Q662" t="n">
        <v>0</v>
      </c>
      <c r="R662" s="2" t="inlineStr"/>
    </row>
    <row r="663" ht="15" customHeight="1">
      <c r="A663" t="inlineStr">
        <is>
          <t>A 27464-2022</t>
        </is>
      </c>
      <c r="B663" s="1" t="n">
        <v>44742</v>
      </c>
      <c r="C663" s="1" t="n">
        <v>45744</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27954-2022</t>
        </is>
      </c>
      <c r="B664" s="1" t="n">
        <v>44743</v>
      </c>
      <c r="C664" s="1" t="n">
        <v>45744</v>
      </c>
      <c r="D664" t="inlineStr">
        <is>
          <t>SKÅNE LÄN</t>
        </is>
      </c>
      <c r="E664" t="inlineStr">
        <is>
          <t>HÄSSLEHOLM</t>
        </is>
      </c>
      <c r="G664" t="n">
        <v>9.4</v>
      </c>
      <c r="H664" t="n">
        <v>0</v>
      </c>
      <c r="I664" t="n">
        <v>0</v>
      </c>
      <c r="J664" t="n">
        <v>0</v>
      </c>
      <c r="K664" t="n">
        <v>0</v>
      </c>
      <c r="L664" t="n">
        <v>0</v>
      </c>
      <c r="M664" t="n">
        <v>0</v>
      </c>
      <c r="N664" t="n">
        <v>0</v>
      </c>
      <c r="O664" t="n">
        <v>0</v>
      </c>
      <c r="P664" t="n">
        <v>0</v>
      </c>
      <c r="Q664" t="n">
        <v>0</v>
      </c>
      <c r="R664" s="2" t="inlineStr"/>
    </row>
    <row r="665" ht="15" customHeight="1">
      <c r="A665" t="inlineStr">
        <is>
          <t>A 27959-2022</t>
        </is>
      </c>
      <c r="B665" s="1" t="n">
        <v>44744</v>
      </c>
      <c r="C665" s="1" t="n">
        <v>45744</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28236-2022</t>
        </is>
      </c>
      <c r="B666" s="1" t="n">
        <v>44746</v>
      </c>
      <c r="C666" s="1" t="n">
        <v>45744</v>
      </c>
      <c r="D666" t="inlineStr">
        <is>
          <t>SKÅNE LÄN</t>
        </is>
      </c>
      <c r="E666" t="inlineStr">
        <is>
          <t>HÄSSLEHOLM</t>
        </is>
      </c>
      <c r="G666" t="n">
        <v>3.5</v>
      </c>
      <c r="H666" t="n">
        <v>0</v>
      </c>
      <c r="I666" t="n">
        <v>0</v>
      </c>
      <c r="J666" t="n">
        <v>0</v>
      </c>
      <c r="K666" t="n">
        <v>0</v>
      </c>
      <c r="L666" t="n">
        <v>0</v>
      </c>
      <c r="M666" t="n">
        <v>0</v>
      </c>
      <c r="N666" t="n">
        <v>0</v>
      </c>
      <c r="O666" t="n">
        <v>0</v>
      </c>
      <c r="P666" t="n">
        <v>0</v>
      </c>
      <c r="Q666" t="n">
        <v>0</v>
      </c>
      <c r="R666" s="2" t="inlineStr"/>
    </row>
    <row r="667" ht="15" customHeight="1">
      <c r="A667" t="inlineStr">
        <is>
          <t>A 28221-2022</t>
        </is>
      </c>
      <c r="B667" s="1" t="n">
        <v>44746</v>
      </c>
      <c r="C667" s="1" t="n">
        <v>45744</v>
      </c>
      <c r="D667" t="inlineStr">
        <is>
          <t>SKÅNE LÄN</t>
        </is>
      </c>
      <c r="E667" t="inlineStr">
        <is>
          <t>HÄSSLEHOLM</t>
        </is>
      </c>
      <c r="G667" t="n">
        <v>1</v>
      </c>
      <c r="H667" t="n">
        <v>0</v>
      </c>
      <c r="I667" t="n">
        <v>0</v>
      </c>
      <c r="J667" t="n">
        <v>0</v>
      </c>
      <c r="K667" t="n">
        <v>0</v>
      </c>
      <c r="L667" t="n">
        <v>0</v>
      </c>
      <c r="M667" t="n">
        <v>0</v>
      </c>
      <c r="N667" t="n">
        <v>0</v>
      </c>
      <c r="O667" t="n">
        <v>0</v>
      </c>
      <c r="P667" t="n">
        <v>0</v>
      </c>
      <c r="Q667" t="n">
        <v>0</v>
      </c>
      <c r="R667" s="2" t="inlineStr"/>
    </row>
    <row r="668" ht="15" customHeight="1">
      <c r="A668" t="inlineStr">
        <is>
          <t>A 28211-2022</t>
        </is>
      </c>
      <c r="B668" s="1" t="n">
        <v>44746</v>
      </c>
      <c r="C668" s="1" t="n">
        <v>45744</v>
      </c>
      <c r="D668" t="inlineStr">
        <is>
          <t>SKÅNE LÄN</t>
        </is>
      </c>
      <c r="E668" t="inlineStr">
        <is>
          <t>HÄSSLEHOLM</t>
        </is>
      </c>
      <c r="G668" t="n">
        <v>2.8</v>
      </c>
      <c r="H668" t="n">
        <v>0</v>
      </c>
      <c r="I668" t="n">
        <v>0</v>
      </c>
      <c r="J668" t="n">
        <v>0</v>
      </c>
      <c r="K668" t="n">
        <v>0</v>
      </c>
      <c r="L668" t="n">
        <v>0</v>
      </c>
      <c r="M668" t="n">
        <v>0</v>
      </c>
      <c r="N668" t="n">
        <v>0</v>
      </c>
      <c r="O668" t="n">
        <v>0</v>
      </c>
      <c r="P668" t="n">
        <v>0</v>
      </c>
      <c r="Q668" t="n">
        <v>0</v>
      </c>
      <c r="R668" s="2" t="inlineStr"/>
    </row>
    <row r="669" ht="15" customHeight="1">
      <c r="A669" t="inlineStr">
        <is>
          <t>A 28218-2022</t>
        </is>
      </c>
      <c r="B669" s="1" t="n">
        <v>44746</v>
      </c>
      <c r="C669" s="1" t="n">
        <v>45744</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29700-2022</t>
        </is>
      </c>
      <c r="B670" s="1" t="n">
        <v>44755</v>
      </c>
      <c r="C670" s="1" t="n">
        <v>45744</v>
      </c>
      <c r="D670" t="inlineStr">
        <is>
          <t>SKÅNE LÄN</t>
        </is>
      </c>
      <c r="E670" t="inlineStr">
        <is>
          <t>HÄSSLEHOLM</t>
        </is>
      </c>
      <c r="G670" t="n">
        <v>6.6</v>
      </c>
      <c r="H670" t="n">
        <v>0</v>
      </c>
      <c r="I670" t="n">
        <v>0</v>
      </c>
      <c r="J670" t="n">
        <v>0</v>
      </c>
      <c r="K670" t="n">
        <v>0</v>
      </c>
      <c r="L670" t="n">
        <v>0</v>
      </c>
      <c r="M670" t="n">
        <v>0</v>
      </c>
      <c r="N670" t="n">
        <v>0</v>
      </c>
      <c r="O670" t="n">
        <v>0</v>
      </c>
      <c r="P670" t="n">
        <v>0</v>
      </c>
      <c r="Q670" t="n">
        <v>0</v>
      </c>
      <c r="R670" s="2" t="inlineStr"/>
    </row>
    <row r="671" ht="15" customHeight="1">
      <c r="A671" t="inlineStr">
        <is>
          <t>A 30344-2022</t>
        </is>
      </c>
      <c r="B671" s="1" t="n">
        <v>44760</v>
      </c>
      <c r="C671" s="1" t="n">
        <v>45744</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31557-2022</t>
        </is>
      </c>
      <c r="B672" s="1" t="n">
        <v>44775</v>
      </c>
      <c r="C672" s="1" t="n">
        <v>45744</v>
      </c>
      <c r="D672" t="inlineStr">
        <is>
          <t>SKÅNE LÄN</t>
        </is>
      </c>
      <c r="E672" t="inlineStr">
        <is>
          <t>HÄSSLEHOLM</t>
        </is>
      </c>
      <c r="F672" t="inlineStr">
        <is>
          <t>Kommuner</t>
        </is>
      </c>
      <c r="G672" t="n">
        <v>4.9</v>
      </c>
      <c r="H672" t="n">
        <v>0</v>
      </c>
      <c r="I672" t="n">
        <v>0</v>
      </c>
      <c r="J672" t="n">
        <v>0</v>
      </c>
      <c r="K672" t="n">
        <v>0</v>
      </c>
      <c r="L672" t="n">
        <v>0</v>
      </c>
      <c r="M672" t="n">
        <v>0</v>
      </c>
      <c r="N672" t="n">
        <v>0</v>
      </c>
      <c r="O672" t="n">
        <v>0</v>
      </c>
      <c r="P672" t="n">
        <v>0</v>
      </c>
      <c r="Q672" t="n">
        <v>0</v>
      </c>
      <c r="R672" s="2" t="inlineStr"/>
    </row>
    <row r="673" ht="15" customHeight="1">
      <c r="A673" t="inlineStr">
        <is>
          <t>A 31572-2022</t>
        </is>
      </c>
      <c r="B673" s="1" t="n">
        <v>44775</v>
      </c>
      <c r="C673" s="1" t="n">
        <v>45744</v>
      </c>
      <c r="D673" t="inlineStr">
        <is>
          <t>SKÅNE LÄN</t>
        </is>
      </c>
      <c r="E673" t="inlineStr">
        <is>
          <t>HÄSSLEHOLM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32669-2022</t>
        </is>
      </c>
      <c r="B674" s="1" t="n">
        <v>44783</v>
      </c>
      <c r="C674" s="1" t="n">
        <v>45744</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33299-2022</t>
        </is>
      </c>
      <c r="B675" s="1" t="n">
        <v>44788</v>
      </c>
      <c r="C675" s="1" t="n">
        <v>45744</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34348-2022</t>
        </is>
      </c>
      <c r="B676" s="1" t="n">
        <v>44792</v>
      </c>
      <c r="C676" s="1" t="n">
        <v>45744</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34982-2022</t>
        </is>
      </c>
      <c r="B677" s="1" t="n">
        <v>44796</v>
      </c>
      <c r="C677" s="1" t="n">
        <v>45744</v>
      </c>
      <c r="D677" t="inlineStr">
        <is>
          <t>SKÅNE LÄN</t>
        </is>
      </c>
      <c r="E677" t="inlineStr">
        <is>
          <t>HÄSSLEHOLM</t>
        </is>
      </c>
      <c r="F677" t="inlineStr">
        <is>
          <t>Kyrkan</t>
        </is>
      </c>
      <c r="G677" t="n">
        <v>3.4</v>
      </c>
      <c r="H677" t="n">
        <v>0</v>
      </c>
      <c r="I677" t="n">
        <v>0</v>
      </c>
      <c r="J677" t="n">
        <v>0</v>
      </c>
      <c r="K677" t="n">
        <v>0</v>
      </c>
      <c r="L677" t="n">
        <v>0</v>
      </c>
      <c r="M677" t="n">
        <v>0</v>
      </c>
      <c r="N677" t="n">
        <v>0</v>
      </c>
      <c r="O677" t="n">
        <v>0</v>
      </c>
      <c r="P677" t="n">
        <v>0</v>
      </c>
      <c r="Q677" t="n">
        <v>0</v>
      </c>
      <c r="R677" s="2" t="inlineStr"/>
    </row>
    <row r="678" ht="15" customHeight="1">
      <c r="A678" t="inlineStr">
        <is>
          <t>A 35099-2022</t>
        </is>
      </c>
      <c r="B678" s="1" t="n">
        <v>44797</v>
      </c>
      <c r="C678" s="1" t="n">
        <v>45744</v>
      </c>
      <c r="D678" t="inlineStr">
        <is>
          <t>SKÅNE LÄN</t>
        </is>
      </c>
      <c r="E678" t="inlineStr">
        <is>
          <t>HÄSSLEHOLM</t>
        </is>
      </c>
      <c r="G678" t="n">
        <v>4.1</v>
      </c>
      <c r="H678" t="n">
        <v>0</v>
      </c>
      <c r="I678" t="n">
        <v>0</v>
      </c>
      <c r="J678" t="n">
        <v>0</v>
      </c>
      <c r="K678" t="n">
        <v>0</v>
      </c>
      <c r="L678" t="n">
        <v>0</v>
      </c>
      <c r="M678" t="n">
        <v>0</v>
      </c>
      <c r="N678" t="n">
        <v>0</v>
      </c>
      <c r="O678" t="n">
        <v>0</v>
      </c>
      <c r="P678" t="n">
        <v>0</v>
      </c>
      <c r="Q678" t="n">
        <v>0</v>
      </c>
      <c r="R678" s="2" t="inlineStr"/>
    </row>
    <row r="679" ht="15" customHeight="1">
      <c r="A679" t="inlineStr">
        <is>
          <t>A 35727-2022</t>
        </is>
      </c>
      <c r="B679" s="1" t="n">
        <v>44799</v>
      </c>
      <c r="C679" s="1" t="n">
        <v>45744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35845-2022</t>
        </is>
      </c>
      <c r="B680" s="1" t="n">
        <v>44802</v>
      </c>
      <c r="C680" s="1" t="n">
        <v>45744</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35842-2022</t>
        </is>
      </c>
      <c r="B681" s="1" t="n">
        <v>44802</v>
      </c>
      <c r="C681" s="1" t="n">
        <v>45744</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35974-2022</t>
        </is>
      </c>
      <c r="B682" s="1" t="n">
        <v>44802</v>
      </c>
      <c r="C682" s="1" t="n">
        <v>45744</v>
      </c>
      <c r="D682" t="inlineStr">
        <is>
          <t>SKÅNE LÄN</t>
        </is>
      </c>
      <c r="E682" t="inlineStr">
        <is>
          <t>HÄSSLEHOLM</t>
        </is>
      </c>
      <c r="G682" t="n">
        <v>3.8</v>
      </c>
      <c r="H682" t="n">
        <v>0</v>
      </c>
      <c r="I682" t="n">
        <v>0</v>
      </c>
      <c r="J682" t="n">
        <v>0</v>
      </c>
      <c r="K682" t="n">
        <v>0</v>
      </c>
      <c r="L682" t="n">
        <v>0</v>
      </c>
      <c r="M682" t="n">
        <v>0</v>
      </c>
      <c r="N682" t="n">
        <v>0</v>
      </c>
      <c r="O682" t="n">
        <v>0</v>
      </c>
      <c r="P682" t="n">
        <v>0</v>
      </c>
      <c r="Q682" t="n">
        <v>0</v>
      </c>
      <c r="R682" s="2" t="inlineStr"/>
    </row>
    <row r="683" ht="15" customHeight="1">
      <c r="A683" t="inlineStr">
        <is>
          <t>A 36706-2022</t>
        </is>
      </c>
      <c r="B683" s="1" t="n">
        <v>44805</v>
      </c>
      <c r="C683" s="1" t="n">
        <v>45744</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37098-2022</t>
        </is>
      </c>
      <c r="B684" s="1" t="n">
        <v>44806</v>
      </c>
      <c r="C684" s="1" t="n">
        <v>45744</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37162-2022</t>
        </is>
      </c>
      <c r="B685" s="1" t="n">
        <v>44806</v>
      </c>
      <c r="C685" s="1" t="n">
        <v>45744</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37170-2022</t>
        </is>
      </c>
      <c r="B686" s="1" t="n">
        <v>44806</v>
      </c>
      <c r="C686" s="1" t="n">
        <v>45744</v>
      </c>
      <c r="D686" t="inlineStr">
        <is>
          <t>SKÅNE LÄN</t>
        </is>
      </c>
      <c r="E686" t="inlineStr">
        <is>
          <t>HÄSSLEHOLM</t>
        </is>
      </c>
      <c r="F686" t="inlineStr">
        <is>
          <t>Kyrkan</t>
        </is>
      </c>
      <c r="G686" t="n">
        <v>4.5</v>
      </c>
      <c r="H686" t="n">
        <v>0</v>
      </c>
      <c r="I686" t="n">
        <v>0</v>
      </c>
      <c r="J686" t="n">
        <v>0</v>
      </c>
      <c r="K686" t="n">
        <v>0</v>
      </c>
      <c r="L686" t="n">
        <v>0</v>
      </c>
      <c r="M686" t="n">
        <v>0</v>
      </c>
      <c r="N686" t="n">
        <v>0</v>
      </c>
      <c r="O686" t="n">
        <v>0</v>
      </c>
      <c r="P686" t="n">
        <v>0</v>
      </c>
      <c r="Q686" t="n">
        <v>0</v>
      </c>
      <c r="R686" s="2" t="inlineStr"/>
    </row>
    <row r="687" ht="15" customHeight="1">
      <c r="A687" t="inlineStr">
        <is>
          <t>A 37181-2022</t>
        </is>
      </c>
      <c r="B687" s="1" t="n">
        <v>44806</v>
      </c>
      <c r="C687" s="1" t="n">
        <v>45744</v>
      </c>
      <c r="D687" t="inlineStr">
        <is>
          <t>SKÅNE LÄN</t>
        </is>
      </c>
      <c r="E687" t="inlineStr">
        <is>
          <t>HÄSSLEHOLM</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37457-2022</t>
        </is>
      </c>
      <c r="B688" s="1" t="n">
        <v>44809</v>
      </c>
      <c r="C688" s="1" t="n">
        <v>45744</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37764-2022</t>
        </is>
      </c>
      <c r="B689" s="1" t="n">
        <v>44810</v>
      </c>
      <c r="C689" s="1" t="n">
        <v>45744</v>
      </c>
      <c r="D689" t="inlineStr">
        <is>
          <t>SKÅNE LÄN</t>
        </is>
      </c>
      <c r="E689" t="inlineStr">
        <is>
          <t>HÄSSLEHOLM</t>
        </is>
      </c>
      <c r="F689" t="inlineStr">
        <is>
          <t>Kyrkan</t>
        </is>
      </c>
      <c r="G689" t="n">
        <v>9.4</v>
      </c>
      <c r="H689" t="n">
        <v>0</v>
      </c>
      <c r="I689" t="n">
        <v>0</v>
      </c>
      <c r="J689" t="n">
        <v>0</v>
      </c>
      <c r="K689" t="n">
        <v>0</v>
      </c>
      <c r="L689" t="n">
        <v>0</v>
      </c>
      <c r="M689" t="n">
        <v>0</v>
      </c>
      <c r="N689" t="n">
        <v>0</v>
      </c>
      <c r="O689" t="n">
        <v>0</v>
      </c>
      <c r="P689" t="n">
        <v>0</v>
      </c>
      <c r="Q689" t="n">
        <v>0</v>
      </c>
      <c r="R689" s="2" t="inlineStr"/>
    </row>
    <row r="690" ht="15" customHeight="1">
      <c r="A690" t="inlineStr">
        <is>
          <t>A 38148-2022</t>
        </is>
      </c>
      <c r="B690" s="1" t="n">
        <v>44811</v>
      </c>
      <c r="C690" s="1" t="n">
        <v>45744</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38133-2022</t>
        </is>
      </c>
      <c r="B691" s="1" t="n">
        <v>44811</v>
      </c>
      <c r="C691" s="1" t="n">
        <v>45744</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38306-2022</t>
        </is>
      </c>
      <c r="B692" s="1" t="n">
        <v>44812</v>
      </c>
      <c r="C692" s="1" t="n">
        <v>45744</v>
      </c>
      <c r="D692" t="inlineStr">
        <is>
          <t>SKÅNE LÄN</t>
        </is>
      </c>
      <c r="E692" t="inlineStr">
        <is>
          <t>HÄSSLEHOLM</t>
        </is>
      </c>
      <c r="G692" t="n">
        <v>2.2</v>
      </c>
      <c r="H692" t="n">
        <v>0</v>
      </c>
      <c r="I692" t="n">
        <v>0</v>
      </c>
      <c r="J692" t="n">
        <v>0</v>
      </c>
      <c r="K692" t="n">
        <v>0</v>
      </c>
      <c r="L692" t="n">
        <v>0</v>
      </c>
      <c r="M692" t="n">
        <v>0</v>
      </c>
      <c r="N692" t="n">
        <v>0</v>
      </c>
      <c r="O692" t="n">
        <v>0</v>
      </c>
      <c r="P692" t="n">
        <v>0</v>
      </c>
      <c r="Q692" t="n">
        <v>0</v>
      </c>
      <c r="R692" s="2" t="inlineStr"/>
    </row>
    <row r="693" ht="15" customHeight="1">
      <c r="A693" t="inlineStr">
        <is>
          <t>A 38376-2022</t>
        </is>
      </c>
      <c r="B693" s="1" t="n">
        <v>44812</v>
      </c>
      <c r="C693" s="1" t="n">
        <v>45744</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38463-2022</t>
        </is>
      </c>
      <c r="B694" s="1" t="n">
        <v>44813</v>
      </c>
      <c r="C694" s="1" t="n">
        <v>45744</v>
      </c>
      <c r="D694" t="inlineStr">
        <is>
          <t>SKÅNE LÄN</t>
        </is>
      </c>
      <c r="E694" t="inlineStr">
        <is>
          <t>HÄSSLEHOLM</t>
        </is>
      </c>
      <c r="G694" t="n">
        <v>5.8</v>
      </c>
      <c r="H694" t="n">
        <v>0</v>
      </c>
      <c r="I694" t="n">
        <v>0</v>
      </c>
      <c r="J694" t="n">
        <v>0</v>
      </c>
      <c r="K694" t="n">
        <v>0</v>
      </c>
      <c r="L694" t="n">
        <v>0</v>
      </c>
      <c r="M694" t="n">
        <v>0</v>
      </c>
      <c r="N694" t="n">
        <v>0</v>
      </c>
      <c r="O694" t="n">
        <v>0</v>
      </c>
      <c r="P694" t="n">
        <v>0</v>
      </c>
      <c r="Q694" t="n">
        <v>0</v>
      </c>
      <c r="R694" s="2" t="inlineStr"/>
    </row>
    <row r="695" ht="15" customHeight="1">
      <c r="A695" t="inlineStr">
        <is>
          <t>A 39102-2022</t>
        </is>
      </c>
      <c r="B695" s="1" t="n">
        <v>44817</v>
      </c>
      <c r="C695" s="1" t="n">
        <v>45744</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40202-2022</t>
        </is>
      </c>
      <c r="B696" s="1" t="n">
        <v>44820</v>
      </c>
      <c r="C696" s="1" t="n">
        <v>45744</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40199-2022</t>
        </is>
      </c>
      <c r="B697" s="1" t="n">
        <v>44820</v>
      </c>
      <c r="C697" s="1" t="n">
        <v>45744</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40764-2022</t>
        </is>
      </c>
      <c r="B698" s="1" t="n">
        <v>44820</v>
      </c>
      <c r="C698" s="1" t="n">
        <v>45744</v>
      </c>
      <c r="D698" t="inlineStr">
        <is>
          <t>SKÅNE LÄN</t>
        </is>
      </c>
      <c r="E698" t="inlineStr">
        <is>
          <t>HÄSSLEHOLM</t>
        </is>
      </c>
      <c r="G698" t="n">
        <v>0.3</v>
      </c>
      <c r="H698" t="n">
        <v>0</v>
      </c>
      <c r="I698" t="n">
        <v>0</v>
      </c>
      <c r="J698" t="n">
        <v>0</v>
      </c>
      <c r="K698" t="n">
        <v>0</v>
      </c>
      <c r="L698" t="n">
        <v>0</v>
      </c>
      <c r="M698" t="n">
        <v>0</v>
      </c>
      <c r="N698" t="n">
        <v>0</v>
      </c>
      <c r="O698" t="n">
        <v>0</v>
      </c>
      <c r="P698" t="n">
        <v>0</v>
      </c>
      <c r="Q698" t="n">
        <v>0</v>
      </c>
      <c r="R698" s="2" t="inlineStr"/>
    </row>
    <row r="699" ht="15" customHeight="1">
      <c r="A699" t="inlineStr">
        <is>
          <t>A 40780-2022</t>
        </is>
      </c>
      <c r="B699" s="1" t="n">
        <v>44820</v>
      </c>
      <c r="C699" s="1" t="n">
        <v>45744</v>
      </c>
      <c r="D699" t="inlineStr">
        <is>
          <t>SKÅNE LÄN</t>
        </is>
      </c>
      <c r="E699" t="inlineStr">
        <is>
          <t>HÄSSLEHOLM</t>
        </is>
      </c>
      <c r="G699" t="n">
        <v>7.4</v>
      </c>
      <c r="H699" t="n">
        <v>0</v>
      </c>
      <c r="I699" t="n">
        <v>0</v>
      </c>
      <c r="J699" t="n">
        <v>0</v>
      </c>
      <c r="K699" t="n">
        <v>0</v>
      </c>
      <c r="L699" t="n">
        <v>0</v>
      </c>
      <c r="M699" t="n">
        <v>0</v>
      </c>
      <c r="N699" t="n">
        <v>0</v>
      </c>
      <c r="O699" t="n">
        <v>0</v>
      </c>
      <c r="P699" t="n">
        <v>0</v>
      </c>
      <c r="Q699" t="n">
        <v>0</v>
      </c>
      <c r="R699" s="2" t="inlineStr"/>
    </row>
    <row r="700" ht="15" customHeight="1">
      <c r="A700" t="inlineStr">
        <is>
          <t>A 40768-2022</t>
        </is>
      </c>
      <c r="B700" s="1" t="n">
        <v>44820</v>
      </c>
      <c r="C700" s="1" t="n">
        <v>45744</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41459-2022</t>
        </is>
      </c>
      <c r="B701" s="1" t="n">
        <v>44827</v>
      </c>
      <c r="C701" s="1" t="n">
        <v>45744</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42232-2022</t>
        </is>
      </c>
      <c r="B702" s="1" t="n">
        <v>44830</v>
      </c>
      <c r="C702" s="1" t="n">
        <v>45744</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42231-2022</t>
        </is>
      </c>
      <c r="B703" s="1" t="n">
        <v>44830</v>
      </c>
      <c r="C703" s="1" t="n">
        <v>45744</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42428-2022</t>
        </is>
      </c>
      <c r="B704" s="1" t="n">
        <v>44831</v>
      </c>
      <c r="C704" s="1" t="n">
        <v>45744</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42925-2022</t>
        </is>
      </c>
      <c r="B705" s="1" t="n">
        <v>44833</v>
      </c>
      <c r="C705" s="1" t="n">
        <v>45744</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42906-2022</t>
        </is>
      </c>
      <c r="B706" s="1" t="n">
        <v>44833</v>
      </c>
      <c r="C706" s="1" t="n">
        <v>45744</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43874-2022</t>
        </is>
      </c>
      <c r="B707" s="1" t="n">
        <v>44838</v>
      </c>
      <c r="C707" s="1" t="n">
        <v>45744</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43950-2022</t>
        </is>
      </c>
      <c r="B708" s="1" t="n">
        <v>44838</v>
      </c>
      <c r="C708" s="1" t="n">
        <v>45744</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44669-2022</t>
        </is>
      </c>
      <c r="B709" s="1" t="n">
        <v>44840</v>
      </c>
      <c r="C709" s="1" t="n">
        <v>45744</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45400-2022</t>
        </is>
      </c>
      <c r="B710" s="1" t="n">
        <v>44844</v>
      </c>
      <c r="C710" s="1" t="n">
        <v>45744</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45349-2022</t>
        </is>
      </c>
      <c r="B711" s="1" t="n">
        <v>44844</v>
      </c>
      <c r="C711" s="1" t="n">
        <v>45744</v>
      </c>
      <c r="D711" t="inlineStr">
        <is>
          <t>SKÅNE LÄN</t>
        </is>
      </c>
      <c r="E711" t="inlineStr">
        <is>
          <t>HÄSSLEHOLM</t>
        </is>
      </c>
      <c r="G711" t="n">
        <v>6.2</v>
      </c>
      <c r="H711" t="n">
        <v>0</v>
      </c>
      <c r="I711" t="n">
        <v>0</v>
      </c>
      <c r="J711" t="n">
        <v>0</v>
      </c>
      <c r="K711" t="n">
        <v>0</v>
      </c>
      <c r="L711" t="n">
        <v>0</v>
      </c>
      <c r="M711" t="n">
        <v>0</v>
      </c>
      <c r="N711" t="n">
        <v>0</v>
      </c>
      <c r="O711" t="n">
        <v>0</v>
      </c>
      <c r="P711" t="n">
        <v>0</v>
      </c>
      <c r="Q711" t="n">
        <v>0</v>
      </c>
      <c r="R711" s="2" t="inlineStr"/>
    </row>
    <row r="712" ht="15" customHeight="1">
      <c r="A712" t="inlineStr">
        <is>
          <t>A 45357-2022</t>
        </is>
      </c>
      <c r="B712" s="1" t="n">
        <v>44844</v>
      </c>
      <c r="C712" s="1" t="n">
        <v>45744</v>
      </c>
      <c r="D712" t="inlineStr">
        <is>
          <t>SKÅNE LÄN</t>
        </is>
      </c>
      <c r="E712" t="inlineStr">
        <is>
          <t>HÄSSLEHOLM</t>
        </is>
      </c>
      <c r="G712" t="n">
        <v>5.8</v>
      </c>
      <c r="H712" t="n">
        <v>0</v>
      </c>
      <c r="I712" t="n">
        <v>0</v>
      </c>
      <c r="J712" t="n">
        <v>0</v>
      </c>
      <c r="K712" t="n">
        <v>0</v>
      </c>
      <c r="L712" t="n">
        <v>0</v>
      </c>
      <c r="M712" t="n">
        <v>0</v>
      </c>
      <c r="N712" t="n">
        <v>0</v>
      </c>
      <c r="O712" t="n">
        <v>0</v>
      </c>
      <c r="P712" t="n">
        <v>0</v>
      </c>
      <c r="Q712" t="n">
        <v>0</v>
      </c>
      <c r="R712" s="2" t="inlineStr"/>
    </row>
    <row r="713" ht="15" customHeight="1">
      <c r="A713" t="inlineStr">
        <is>
          <t>A 45399-2022</t>
        </is>
      </c>
      <c r="B713" s="1" t="n">
        <v>44844</v>
      </c>
      <c r="C713" s="1" t="n">
        <v>45744</v>
      </c>
      <c r="D713" t="inlineStr">
        <is>
          <t>SKÅNE LÄN</t>
        </is>
      </c>
      <c r="E713" t="inlineStr">
        <is>
          <t>HÄSSLEHOLM</t>
        </is>
      </c>
      <c r="G713" t="n">
        <v>0</v>
      </c>
      <c r="H713" t="n">
        <v>0</v>
      </c>
      <c r="I713" t="n">
        <v>0</v>
      </c>
      <c r="J713" t="n">
        <v>0</v>
      </c>
      <c r="K713" t="n">
        <v>0</v>
      </c>
      <c r="L713" t="n">
        <v>0</v>
      </c>
      <c r="M713" t="n">
        <v>0</v>
      </c>
      <c r="N713" t="n">
        <v>0</v>
      </c>
      <c r="O713" t="n">
        <v>0</v>
      </c>
      <c r="P713" t="n">
        <v>0</v>
      </c>
      <c r="Q713" t="n">
        <v>0</v>
      </c>
      <c r="R713" s="2" t="inlineStr"/>
    </row>
    <row r="714" ht="15" customHeight="1">
      <c r="A714" t="inlineStr">
        <is>
          <t>A 45187-2022</t>
        </is>
      </c>
      <c r="B714" s="1" t="n">
        <v>44844</v>
      </c>
      <c r="C714" s="1" t="n">
        <v>45744</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45196-2022</t>
        </is>
      </c>
      <c r="B715" s="1" t="n">
        <v>44844</v>
      </c>
      <c r="C715" s="1" t="n">
        <v>45744</v>
      </c>
      <c r="D715" t="inlineStr">
        <is>
          <t>SKÅNE LÄN</t>
        </is>
      </c>
      <c r="E715" t="inlineStr">
        <is>
          <t>HÄSSLEHOLM</t>
        </is>
      </c>
      <c r="G715" t="n">
        <v>4.2</v>
      </c>
      <c r="H715" t="n">
        <v>0</v>
      </c>
      <c r="I715" t="n">
        <v>0</v>
      </c>
      <c r="J715" t="n">
        <v>0</v>
      </c>
      <c r="K715" t="n">
        <v>0</v>
      </c>
      <c r="L715" t="n">
        <v>0</v>
      </c>
      <c r="M715" t="n">
        <v>0</v>
      </c>
      <c r="N715" t="n">
        <v>0</v>
      </c>
      <c r="O715" t="n">
        <v>0</v>
      </c>
      <c r="P715" t="n">
        <v>0</v>
      </c>
      <c r="Q715" t="n">
        <v>0</v>
      </c>
      <c r="R715" s="2" t="inlineStr"/>
    </row>
    <row r="716" ht="15" customHeight="1">
      <c r="A716" t="inlineStr">
        <is>
          <t>A 45739-2022</t>
        </is>
      </c>
      <c r="B716" s="1" t="n">
        <v>44846</v>
      </c>
      <c r="C716" s="1" t="n">
        <v>45744</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46217-2022</t>
        </is>
      </c>
      <c r="B717" s="1" t="n">
        <v>44846</v>
      </c>
      <c r="C717" s="1" t="n">
        <v>45744</v>
      </c>
      <c r="D717" t="inlineStr">
        <is>
          <t>SKÅNE LÄN</t>
        </is>
      </c>
      <c r="E717" t="inlineStr">
        <is>
          <t>HÄSSLEHOLM</t>
        </is>
      </c>
      <c r="G717" t="n">
        <v>3.1</v>
      </c>
      <c r="H717" t="n">
        <v>0</v>
      </c>
      <c r="I717" t="n">
        <v>0</v>
      </c>
      <c r="J717" t="n">
        <v>0</v>
      </c>
      <c r="K717" t="n">
        <v>0</v>
      </c>
      <c r="L717" t="n">
        <v>0</v>
      </c>
      <c r="M717" t="n">
        <v>0</v>
      </c>
      <c r="N717" t="n">
        <v>0</v>
      </c>
      <c r="O717" t="n">
        <v>0</v>
      </c>
      <c r="P717" t="n">
        <v>0</v>
      </c>
      <c r="Q717" t="n">
        <v>0</v>
      </c>
      <c r="R717" s="2" t="inlineStr"/>
    </row>
    <row r="718" ht="15" customHeight="1">
      <c r="A718" t="inlineStr">
        <is>
          <t>A 46185-2022</t>
        </is>
      </c>
      <c r="B718" s="1" t="n">
        <v>44847</v>
      </c>
      <c r="C718" s="1" t="n">
        <v>45744</v>
      </c>
      <c r="D718" t="inlineStr">
        <is>
          <t>SKÅNE LÄN</t>
        </is>
      </c>
      <c r="E718" t="inlineStr">
        <is>
          <t>HÄSSLEHOLM</t>
        </is>
      </c>
      <c r="G718" t="n">
        <v>16.8</v>
      </c>
      <c r="H718" t="n">
        <v>0</v>
      </c>
      <c r="I718" t="n">
        <v>0</v>
      </c>
      <c r="J718" t="n">
        <v>0</v>
      </c>
      <c r="K718" t="n">
        <v>0</v>
      </c>
      <c r="L718" t="n">
        <v>0</v>
      </c>
      <c r="M718" t="n">
        <v>0</v>
      </c>
      <c r="N718" t="n">
        <v>0</v>
      </c>
      <c r="O718" t="n">
        <v>0</v>
      </c>
      <c r="P718" t="n">
        <v>0</v>
      </c>
      <c r="Q718" t="n">
        <v>0</v>
      </c>
      <c r="R718" s="2" t="inlineStr"/>
    </row>
    <row r="719" ht="15" customHeight="1">
      <c r="A719" t="inlineStr">
        <is>
          <t>A 46229-2022</t>
        </is>
      </c>
      <c r="B719" s="1" t="n">
        <v>44847</v>
      </c>
      <c r="C719" s="1" t="n">
        <v>45744</v>
      </c>
      <c r="D719" t="inlineStr">
        <is>
          <t>SKÅNE LÄN</t>
        </is>
      </c>
      <c r="E719" t="inlineStr">
        <is>
          <t>HÄSSLEHOLM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46222-2022</t>
        </is>
      </c>
      <c r="B720" s="1" t="n">
        <v>44847</v>
      </c>
      <c r="C720" s="1" t="n">
        <v>45744</v>
      </c>
      <c r="D720" t="inlineStr">
        <is>
          <t>SKÅNE LÄN</t>
        </is>
      </c>
      <c r="E720" t="inlineStr">
        <is>
          <t>HÄSSLEHOLM</t>
        </is>
      </c>
      <c r="G720" t="n">
        <v>6.3</v>
      </c>
      <c r="H720" t="n">
        <v>0</v>
      </c>
      <c r="I720" t="n">
        <v>0</v>
      </c>
      <c r="J720" t="n">
        <v>0</v>
      </c>
      <c r="K720" t="n">
        <v>0</v>
      </c>
      <c r="L720" t="n">
        <v>0</v>
      </c>
      <c r="M720" t="n">
        <v>0</v>
      </c>
      <c r="N720" t="n">
        <v>0</v>
      </c>
      <c r="O720" t="n">
        <v>0</v>
      </c>
      <c r="P720" t="n">
        <v>0</v>
      </c>
      <c r="Q720" t="n">
        <v>0</v>
      </c>
      <c r="R720" s="2" t="inlineStr"/>
    </row>
    <row r="721" ht="15" customHeight="1">
      <c r="A721" t="inlineStr">
        <is>
          <t>A 49250-2022</t>
        </is>
      </c>
      <c r="B721" s="1" t="n">
        <v>44858</v>
      </c>
      <c r="C721" s="1" t="n">
        <v>45744</v>
      </c>
      <c r="D721" t="inlineStr">
        <is>
          <t>SKÅNE LÄN</t>
        </is>
      </c>
      <c r="E721" t="inlineStr">
        <is>
          <t>HÄSSLEHOLM</t>
        </is>
      </c>
      <c r="F721" t="inlineStr">
        <is>
          <t>Kyrkan</t>
        </is>
      </c>
      <c r="G721" t="n">
        <v>1.5</v>
      </c>
      <c r="H721" t="n">
        <v>0</v>
      </c>
      <c r="I721" t="n">
        <v>0</v>
      </c>
      <c r="J721" t="n">
        <v>0</v>
      </c>
      <c r="K721" t="n">
        <v>0</v>
      </c>
      <c r="L721" t="n">
        <v>0</v>
      </c>
      <c r="M721" t="n">
        <v>0</v>
      </c>
      <c r="N721" t="n">
        <v>0</v>
      </c>
      <c r="O721" t="n">
        <v>0</v>
      </c>
      <c r="P721" t="n">
        <v>0</v>
      </c>
      <c r="Q721" t="n">
        <v>0</v>
      </c>
      <c r="R721" s="2" t="inlineStr"/>
    </row>
    <row r="722" ht="15" customHeight="1">
      <c r="A722" t="inlineStr">
        <is>
          <t>A 48747-2022</t>
        </is>
      </c>
      <c r="B722" s="1" t="n">
        <v>44859</v>
      </c>
      <c r="C722" s="1" t="n">
        <v>45744</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49827-2022</t>
        </is>
      </c>
      <c r="B723" s="1" t="n">
        <v>44859</v>
      </c>
      <c r="C723" s="1" t="n">
        <v>45744</v>
      </c>
      <c r="D723" t="inlineStr">
        <is>
          <t>SKÅNE LÄN</t>
        </is>
      </c>
      <c r="E723" t="inlineStr">
        <is>
          <t>HÄSSLEHOLM</t>
        </is>
      </c>
      <c r="G723" t="n">
        <v>6.1</v>
      </c>
      <c r="H723" t="n">
        <v>0</v>
      </c>
      <c r="I723" t="n">
        <v>0</v>
      </c>
      <c r="J723" t="n">
        <v>0</v>
      </c>
      <c r="K723" t="n">
        <v>0</v>
      </c>
      <c r="L723" t="n">
        <v>0</v>
      </c>
      <c r="M723" t="n">
        <v>0</v>
      </c>
      <c r="N723" t="n">
        <v>0</v>
      </c>
      <c r="O723" t="n">
        <v>0</v>
      </c>
      <c r="P723" t="n">
        <v>0</v>
      </c>
      <c r="Q723" t="n">
        <v>0</v>
      </c>
      <c r="R723" s="2" t="inlineStr"/>
    </row>
    <row r="724" ht="15" customHeight="1">
      <c r="A724" t="inlineStr">
        <is>
          <t>A 49167-2022</t>
        </is>
      </c>
      <c r="B724" s="1" t="n">
        <v>44860</v>
      </c>
      <c r="C724" s="1" t="n">
        <v>45744</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49691-2022</t>
        </is>
      </c>
      <c r="B725" s="1" t="n">
        <v>44862</v>
      </c>
      <c r="C725" s="1" t="n">
        <v>45744</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50585-2022</t>
        </is>
      </c>
      <c r="B726" s="1" t="n">
        <v>44866</v>
      </c>
      <c r="C726" s="1" t="n">
        <v>45744</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51287-2022</t>
        </is>
      </c>
      <c r="B727" s="1" t="n">
        <v>44868</v>
      </c>
      <c r="C727" s="1" t="n">
        <v>45744</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52912-2022</t>
        </is>
      </c>
      <c r="B728" s="1" t="n">
        <v>44872</v>
      </c>
      <c r="C728" s="1" t="n">
        <v>45744</v>
      </c>
      <c r="D728" t="inlineStr">
        <is>
          <t>SKÅNE LÄN</t>
        </is>
      </c>
      <c r="E728" t="inlineStr">
        <is>
          <t>HÄSSLEHOLM</t>
        </is>
      </c>
      <c r="G728" t="n">
        <v>4.7</v>
      </c>
      <c r="H728" t="n">
        <v>0</v>
      </c>
      <c r="I728" t="n">
        <v>0</v>
      </c>
      <c r="J728" t="n">
        <v>0</v>
      </c>
      <c r="K728" t="n">
        <v>0</v>
      </c>
      <c r="L728" t="n">
        <v>0</v>
      </c>
      <c r="M728" t="n">
        <v>0</v>
      </c>
      <c r="N728" t="n">
        <v>0</v>
      </c>
      <c r="O728" t="n">
        <v>0</v>
      </c>
      <c r="P728" t="n">
        <v>0</v>
      </c>
      <c r="Q728" t="n">
        <v>0</v>
      </c>
      <c r="R728" s="2" t="inlineStr"/>
    </row>
    <row r="729" ht="15" customHeight="1">
      <c r="A729" t="inlineStr">
        <is>
          <t>A 53067-2022</t>
        </is>
      </c>
      <c r="B729" s="1" t="n">
        <v>44873</v>
      </c>
      <c r="C729" s="1" t="n">
        <v>45744</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53085-2022</t>
        </is>
      </c>
      <c r="B730" s="1" t="n">
        <v>44873</v>
      </c>
      <c r="C730" s="1" t="n">
        <v>45744</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53077-2022</t>
        </is>
      </c>
      <c r="B731" s="1" t="n">
        <v>44873</v>
      </c>
      <c r="C731" s="1" t="n">
        <v>45744</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52564-2022</t>
        </is>
      </c>
      <c r="B732" s="1" t="n">
        <v>44874</v>
      </c>
      <c r="C732" s="1" t="n">
        <v>45744</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52968-2022</t>
        </is>
      </c>
      <c r="B733" s="1" t="n">
        <v>44875</v>
      </c>
      <c r="C733" s="1" t="n">
        <v>45744</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53576-2022</t>
        </is>
      </c>
      <c r="B734" s="1" t="n">
        <v>44875</v>
      </c>
      <c r="C734" s="1" t="n">
        <v>45744</v>
      </c>
      <c r="D734" t="inlineStr">
        <is>
          <t>SKÅNE LÄN</t>
        </is>
      </c>
      <c r="E734" t="inlineStr">
        <is>
          <t>HÄSSLEHOLM</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53593-2022</t>
        </is>
      </c>
      <c r="B735" s="1" t="n">
        <v>44875</v>
      </c>
      <c r="C735" s="1" t="n">
        <v>45744</v>
      </c>
      <c r="D735" t="inlineStr">
        <is>
          <t>SKÅNE LÄN</t>
        </is>
      </c>
      <c r="E735" t="inlineStr">
        <is>
          <t>HÄSSLEHOLM</t>
        </is>
      </c>
      <c r="F735" t="inlineStr">
        <is>
          <t>Övriga Aktiebolag</t>
        </is>
      </c>
      <c r="G735" t="n">
        <v>1.8</v>
      </c>
      <c r="H735" t="n">
        <v>0</v>
      </c>
      <c r="I735" t="n">
        <v>0</v>
      </c>
      <c r="J735" t="n">
        <v>0</v>
      </c>
      <c r="K735" t="n">
        <v>0</v>
      </c>
      <c r="L735" t="n">
        <v>0</v>
      </c>
      <c r="M735" t="n">
        <v>0</v>
      </c>
      <c r="N735" t="n">
        <v>0</v>
      </c>
      <c r="O735" t="n">
        <v>0</v>
      </c>
      <c r="P735" t="n">
        <v>0</v>
      </c>
      <c r="Q735" t="n">
        <v>0</v>
      </c>
      <c r="R735" s="2" t="inlineStr"/>
    </row>
    <row r="736" ht="15" customHeight="1">
      <c r="A736" t="inlineStr">
        <is>
          <t>A 53590-2022</t>
        </is>
      </c>
      <c r="B736" s="1" t="n">
        <v>44875</v>
      </c>
      <c r="C736" s="1" t="n">
        <v>45744</v>
      </c>
      <c r="D736" t="inlineStr">
        <is>
          <t>SKÅNE LÄN</t>
        </is>
      </c>
      <c r="E736" t="inlineStr">
        <is>
          <t>HÄSSLEHOLM</t>
        </is>
      </c>
      <c r="F736" t="inlineStr">
        <is>
          <t>Övriga Aktiebolag</t>
        </is>
      </c>
      <c r="G736" t="n">
        <v>2.9</v>
      </c>
      <c r="H736" t="n">
        <v>0</v>
      </c>
      <c r="I736" t="n">
        <v>0</v>
      </c>
      <c r="J736" t="n">
        <v>0</v>
      </c>
      <c r="K736" t="n">
        <v>0</v>
      </c>
      <c r="L736" t="n">
        <v>0</v>
      </c>
      <c r="M736" t="n">
        <v>0</v>
      </c>
      <c r="N736" t="n">
        <v>0</v>
      </c>
      <c r="O736" t="n">
        <v>0</v>
      </c>
      <c r="P736" t="n">
        <v>0</v>
      </c>
      <c r="Q736" t="n">
        <v>0</v>
      </c>
      <c r="R736" s="2" t="inlineStr"/>
    </row>
    <row r="737" ht="15" customHeight="1">
      <c r="A737" t="inlineStr">
        <is>
          <t>A 53058-2022</t>
        </is>
      </c>
      <c r="B737" s="1" t="n">
        <v>44876</v>
      </c>
      <c r="C737" s="1" t="n">
        <v>45744</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53136-2022</t>
        </is>
      </c>
      <c r="B738" s="1" t="n">
        <v>44876</v>
      </c>
      <c r="C738" s="1" t="n">
        <v>45744</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53302-2022</t>
        </is>
      </c>
      <c r="B739" s="1" t="n">
        <v>44877</v>
      </c>
      <c r="C739" s="1" t="n">
        <v>45744</v>
      </c>
      <c r="D739" t="inlineStr">
        <is>
          <t>SKÅNE LÄN</t>
        </is>
      </c>
      <c r="E739" t="inlineStr">
        <is>
          <t>HÄSSLEHOLM</t>
        </is>
      </c>
      <c r="G739" t="n">
        <v>0.1</v>
      </c>
      <c r="H739" t="n">
        <v>0</v>
      </c>
      <c r="I739" t="n">
        <v>0</v>
      </c>
      <c r="J739" t="n">
        <v>0</v>
      </c>
      <c r="K739" t="n">
        <v>0</v>
      </c>
      <c r="L739" t="n">
        <v>0</v>
      </c>
      <c r="M739" t="n">
        <v>0</v>
      </c>
      <c r="N739" t="n">
        <v>0</v>
      </c>
      <c r="O739" t="n">
        <v>0</v>
      </c>
      <c r="P739" t="n">
        <v>0</v>
      </c>
      <c r="Q739" t="n">
        <v>0</v>
      </c>
      <c r="R739" s="2" t="inlineStr"/>
    </row>
    <row r="740" ht="15" customHeight="1">
      <c r="A740" t="inlineStr">
        <is>
          <t>A 54106-2022</t>
        </is>
      </c>
      <c r="B740" s="1" t="n">
        <v>44879</v>
      </c>
      <c r="C740" s="1" t="n">
        <v>45744</v>
      </c>
      <c r="D740" t="inlineStr">
        <is>
          <t>SKÅNE LÄN</t>
        </is>
      </c>
      <c r="E740" t="inlineStr">
        <is>
          <t>HÄSSLEHOLM</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54174-2022</t>
        </is>
      </c>
      <c r="B741" s="1" t="n">
        <v>44881</v>
      </c>
      <c r="C741" s="1" t="n">
        <v>45744</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54164-2022</t>
        </is>
      </c>
      <c r="B742" s="1" t="n">
        <v>44881</v>
      </c>
      <c r="C742" s="1" t="n">
        <v>45744</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54171-2022</t>
        </is>
      </c>
      <c r="B743" s="1" t="n">
        <v>44881</v>
      </c>
      <c r="C743" s="1" t="n">
        <v>45744</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54176-2022</t>
        </is>
      </c>
      <c r="B744" s="1" t="n">
        <v>44881</v>
      </c>
      <c r="C744" s="1" t="n">
        <v>45744</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54874-2022</t>
        </is>
      </c>
      <c r="B745" s="1" t="n">
        <v>44881</v>
      </c>
      <c r="C745" s="1" t="n">
        <v>45744</v>
      </c>
      <c r="D745" t="inlineStr">
        <is>
          <t>SKÅNE LÄN</t>
        </is>
      </c>
      <c r="E745" t="inlineStr">
        <is>
          <t>HÄSSLEHOLM</t>
        </is>
      </c>
      <c r="G745" t="n">
        <v>8.1</v>
      </c>
      <c r="H745" t="n">
        <v>0</v>
      </c>
      <c r="I745" t="n">
        <v>0</v>
      </c>
      <c r="J745" t="n">
        <v>0</v>
      </c>
      <c r="K745" t="n">
        <v>0</v>
      </c>
      <c r="L745" t="n">
        <v>0</v>
      </c>
      <c r="M745" t="n">
        <v>0</v>
      </c>
      <c r="N745" t="n">
        <v>0</v>
      </c>
      <c r="O745" t="n">
        <v>0</v>
      </c>
      <c r="P745" t="n">
        <v>0</v>
      </c>
      <c r="Q745" t="n">
        <v>0</v>
      </c>
      <c r="R745" s="2" t="inlineStr"/>
    </row>
    <row r="746" ht="15" customHeight="1">
      <c r="A746" t="inlineStr">
        <is>
          <t>A 54326-2022</t>
        </is>
      </c>
      <c r="B746" s="1" t="n">
        <v>44882</v>
      </c>
      <c r="C746" s="1" t="n">
        <v>45744</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54462-2022</t>
        </is>
      </c>
      <c r="B747" s="1" t="n">
        <v>44882</v>
      </c>
      <c r="C747" s="1" t="n">
        <v>45744</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54518-2022</t>
        </is>
      </c>
      <c r="B748" s="1" t="n">
        <v>44882</v>
      </c>
      <c r="C748" s="1" t="n">
        <v>45744</v>
      </c>
      <c r="D748" t="inlineStr">
        <is>
          <t>SKÅNE LÄN</t>
        </is>
      </c>
      <c r="E748" t="inlineStr">
        <is>
          <t>HÄSSLEHOLM</t>
        </is>
      </c>
      <c r="F748" t="inlineStr">
        <is>
          <t>Övriga Aktiebolag</t>
        </is>
      </c>
      <c r="G748" t="n">
        <v>6.8</v>
      </c>
      <c r="H748" t="n">
        <v>0</v>
      </c>
      <c r="I748" t="n">
        <v>0</v>
      </c>
      <c r="J748" t="n">
        <v>0</v>
      </c>
      <c r="K748" t="n">
        <v>0</v>
      </c>
      <c r="L748" t="n">
        <v>0</v>
      </c>
      <c r="M748" t="n">
        <v>0</v>
      </c>
      <c r="N748" t="n">
        <v>0</v>
      </c>
      <c r="O748" t="n">
        <v>0</v>
      </c>
      <c r="P748" t="n">
        <v>0</v>
      </c>
      <c r="Q748" t="n">
        <v>0</v>
      </c>
      <c r="R748" s="2" t="inlineStr"/>
    </row>
    <row r="749" ht="15" customHeight="1">
      <c r="A749" t="inlineStr">
        <is>
          <t>A 55424-2022</t>
        </is>
      </c>
      <c r="B749" s="1" t="n">
        <v>44882</v>
      </c>
      <c r="C749" s="1" t="n">
        <v>45744</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55429-2022</t>
        </is>
      </c>
      <c r="B750" s="1" t="n">
        <v>44882</v>
      </c>
      <c r="C750" s="1" t="n">
        <v>45744</v>
      </c>
      <c r="D750" t="inlineStr">
        <is>
          <t>SKÅNE LÄN</t>
        </is>
      </c>
      <c r="E750" t="inlineStr">
        <is>
          <t>HÄSSLEHOLM</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55412-2022</t>
        </is>
      </c>
      <c r="B751" s="1" t="n">
        <v>44882</v>
      </c>
      <c r="C751" s="1" t="n">
        <v>45744</v>
      </c>
      <c r="D751" t="inlineStr">
        <is>
          <t>SKÅNE LÄN</t>
        </is>
      </c>
      <c r="E751" t="inlineStr">
        <is>
          <t>HÄSSLEHOLM</t>
        </is>
      </c>
      <c r="F751" t="inlineStr">
        <is>
          <t>Övriga Aktiebolag</t>
        </is>
      </c>
      <c r="G751" t="n">
        <v>4</v>
      </c>
      <c r="H751" t="n">
        <v>0</v>
      </c>
      <c r="I751" t="n">
        <v>0</v>
      </c>
      <c r="J751" t="n">
        <v>0</v>
      </c>
      <c r="K751" t="n">
        <v>0</v>
      </c>
      <c r="L751" t="n">
        <v>0</v>
      </c>
      <c r="M751" t="n">
        <v>0</v>
      </c>
      <c r="N751" t="n">
        <v>0</v>
      </c>
      <c r="O751" t="n">
        <v>0</v>
      </c>
      <c r="P751" t="n">
        <v>0</v>
      </c>
      <c r="Q751" t="n">
        <v>0</v>
      </c>
      <c r="R751" s="2" t="inlineStr"/>
    </row>
    <row r="752" ht="15" customHeight="1">
      <c r="A752" t="inlineStr">
        <is>
          <t>A 55419-2022</t>
        </is>
      </c>
      <c r="B752" s="1" t="n">
        <v>44882</v>
      </c>
      <c r="C752" s="1" t="n">
        <v>45744</v>
      </c>
      <c r="D752" t="inlineStr">
        <is>
          <t>SKÅNE LÄN</t>
        </is>
      </c>
      <c r="E752" t="inlineStr">
        <is>
          <t>HÄSSLEHOLM</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54662-2022</t>
        </is>
      </c>
      <c r="B753" s="1" t="n">
        <v>44883</v>
      </c>
      <c r="C753" s="1" t="n">
        <v>45744</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54777-2022</t>
        </is>
      </c>
      <c r="B754" s="1" t="n">
        <v>44883</v>
      </c>
      <c r="C754" s="1" t="n">
        <v>45744</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54671-2022</t>
        </is>
      </c>
      <c r="B755" s="1" t="n">
        <v>44883</v>
      </c>
      <c r="C755" s="1" t="n">
        <v>45744</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54807-2022</t>
        </is>
      </c>
      <c r="B756" s="1" t="n">
        <v>44883</v>
      </c>
      <c r="C756" s="1" t="n">
        <v>45744</v>
      </c>
      <c r="D756" t="inlineStr">
        <is>
          <t>SKÅNE LÄN</t>
        </is>
      </c>
      <c r="E756" t="inlineStr">
        <is>
          <t>HÄSSLEHOLM</t>
        </is>
      </c>
      <c r="G756" t="n">
        <v>4</v>
      </c>
      <c r="H756" t="n">
        <v>0</v>
      </c>
      <c r="I756" t="n">
        <v>0</v>
      </c>
      <c r="J756" t="n">
        <v>0</v>
      </c>
      <c r="K756" t="n">
        <v>0</v>
      </c>
      <c r="L756" t="n">
        <v>0</v>
      </c>
      <c r="M756" t="n">
        <v>0</v>
      </c>
      <c r="N756" t="n">
        <v>0</v>
      </c>
      <c r="O756" t="n">
        <v>0</v>
      </c>
      <c r="P756" t="n">
        <v>0</v>
      </c>
      <c r="Q756" t="n">
        <v>0</v>
      </c>
      <c r="R756" s="2" t="inlineStr"/>
    </row>
    <row r="757" ht="15" customHeight="1">
      <c r="A757" t="inlineStr">
        <is>
          <t>A 55662-2022</t>
        </is>
      </c>
      <c r="B757" s="1" t="n">
        <v>44883</v>
      </c>
      <c r="C757" s="1" t="n">
        <v>45744</v>
      </c>
      <c r="D757" t="inlineStr">
        <is>
          <t>SKÅNE LÄN</t>
        </is>
      </c>
      <c r="E757" t="inlineStr">
        <is>
          <t>HÄSSLEHOLM</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55690-2022</t>
        </is>
      </c>
      <c r="B758" s="1" t="n">
        <v>44883</v>
      </c>
      <c r="C758" s="1" t="n">
        <v>45744</v>
      </c>
      <c r="D758" t="inlineStr">
        <is>
          <t>SKÅNE LÄN</t>
        </is>
      </c>
      <c r="E758" t="inlineStr">
        <is>
          <t>HÄSSLEHOLM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55618-2022</t>
        </is>
      </c>
      <c r="B759" s="1" t="n">
        <v>44883</v>
      </c>
      <c r="C759" s="1" t="n">
        <v>45744</v>
      </c>
      <c r="D759" t="inlineStr">
        <is>
          <t>SKÅNE LÄN</t>
        </is>
      </c>
      <c r="E759" t="inlineStr">
        <is>
          <t>HÄSSLEHOLM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55649-2022</t>
        </is>
      </c>
      <c r="B760" s="1" t="n">
        <v>44883</v>
      </c>
      <c r="C760" s="1" t="n">
        <v>45744</v>
      </c>
      <c r="D760" t="inlineStr">
        <is>
          <t>SKÅNE LÄN</t>
        </is>
      </c>
      <c r="E760" t="inlineStr">
        <is>
          <t>HÄSSLEHOLM</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54948-2022</t>
        </is>
      </c>
      <c r="B761" s="1" t="n">
        <v>44886</v>
      </c>
      <c r="C761" s="1" t="n">
        <v>45744</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55154-2022</t>
        </is>
      </c>
      <c r="B762" s="1" t="n">
        <v>44886</v>
      </c>
      <c r="C762" s="1" t="n">
        <v>45744</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55155-2022</t>
        </is>
      </c>
      <c r="B763" s="1" t="n">
        <v>44886</v>
      </c>
      <c r="C763" s="1" t="n">
        <v>45744</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55364-2022</t>
        </is>
      </c>
      <c r="B764" s="1" t="n">
        <v>44887</v>
      </c>
      <c r="C764" s="1" t="n">
        <v>45744</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55394-2022</t>
        </is>
      </c>
      <c r="B765" s="1" t="n">
        <v>44887</v>
      </c>
      <c r="C765" s="1" t="n">
        <v>45744</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55425-2022</t>
        </is>
      </c>
      <c r="B766" s="1" t="n">
        <v>44887</v>
      </c>
      <c r="C766" s="1" t="n">
        <v>45744</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57033-2022</t>
        </is>
      </c>
      <c r="B767" s="1" t="n">
        <v>44895</v>
      </c>
      <c r="C767" s="1" t="n">
        <v>45744</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57079-2022</t>
        </is>
      </c>
      <c r="B768" s="1" t="n">
        <v>44895</v>
      </c>
      <c r="C768" s="1" t="n">
        <v>45744</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58891-2022</t>
        </is>
      </c>
      <c r="B769" s="1" t="n">
        <v>44896</v>
      </c>
      <c r="C769" s="1" t="n">
        <v>45744</v>
      </c>
      <c r="D769" t="inlineStr">
        <is>
          <t>SKÅNE LÄN</t>
        </is>
      </c>
      <c r="E769" t="inlineStr">
        <is>
          <t>HÄSSLEHOLM</t>
        </is>
      </c>
      <c r="F769" t="inlineStr">
        <is>
          <t>Kyrkan</t>
        </is>
      </c>
      <c r="G769" t="n">
        <v>1.6</v>
      </c>
      <c r="H769" t="n">
        <v>0</v>
      </c>
      <c r="I769" t="n">
        <v>0</v>
      </c>
      <c r="J769" t="n">
        <v>0</v>
      </c>
      <c r="K769" t="n">
        <v>0</v>
      </c>
      <c r="L769" t="n">
        <v>0</v>
      </c>
      <c r="M769" t="n">
        <v>0</v>
      </c>
      <c r="N769" t="n">
        <v>0</v>
      </c>
      <c r="O769" t="n">
        <v>0</v>
      </c>
      <c r="P769" t="n">
        <v>0</v>
      </c>
      <c r="Q769" t="n">
        <v>0</v>
      </c>
      <c r="R769" s="2" t="inlineStr"/>
    </row>
    <row r="770" ht="15" customHeight="1">
      <c r="A770" t="inlineStr">
        <is>
          <t>A 57656-2022</t>
        </is>
      </c>
      <c r="B770" s="1" t="n">
        <v>44897</v>
      </c>
      <c r="C770" s="1" t="n">
        <v>45744</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57649-2022</t>
        </is>
      </c>
      <c r="B771" s="1" t="n">
        <v>44897</v>
      </c>
      <c r="C771" s="1" t="n">
        <v>45744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57676-2022</t>
        </is>
      </c>
      <c r="B772" s="1" t="n">
        <v>44897</v>
      </c>
      <c r="C772" s="1" t="n">
        <v>45744</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57665-2022</t>
        </is>
      </c>
      <c r="B773" s="1" t="n">
        <v>44897</v>
      </c>
      <c r="C773" s="1" t="n">
        <v>45744</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57978-2022</t>
        </is>
      </c>
      <c r="B774" s="1" t="n">
        <v>44900</v>
      </c>
      <c r="C774" s="1" t="n">
        <v>45744</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59763-2022</t>
        </is>
      </c>
      <c r="B775" s="1" t="n">
        <v>44900</v>
      </c>
      <c r="C775" s="1" t="n">
        <v>45744</v>
      </c>
      <c r="D775" t="inlineStr">
        <is>
          <t>SKÅNE LÄN</t>
        </is>
      </c>
      <c r="E775" t="inlineStr">
        <is>
          <t>HÄSSLEHOLM</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59728-2022</t>
        </is>
      </c>
      <c r="B776" s="1" t="n">
        <v>44900</v>
      </c>
      <c r="C776" s="1" t="n">
        <v>45744</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61485-2022</t>
        </is>
      </c>
      <c r="B777" s="1" t="n">
        <v>44910</v>
      </c>
      <c r="C777" s="1" t="n">
        <v>45744</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61498-2022</t>
        </is>
      </c>
      <c r="B778" s="1" t="n">
        <v>44910</v>
      </c>
      <c r="C778" s="1" t="n">
        <v>45744</v>
      </c>
      <c r="D778" t="inlineStr">
        <is>
          <t>SKÅNE LÄN</t>
        </is>
      </c>
      <c r="E778" t="inlineStr">
        <is>
          <t>HÄSSLEHOLM</t>
        </is>
      </c>
      <c r="F778" t="inlineStr">
        <is>
          <t>Kyrkan</t>
        </is>
      </c>
      <c r="G778" t="n">
        <v>3.2</v>
      </c>
      <c r="H778" t="n">
        <v>0</v>
      </c>
      <c r="I778" t="n">
        <v>0</v>
      </c>
      <c r="J778" t="n">
        <v>0</v>
      </c>
      <c r="K778" t="n">
        <v>0</v>
      </c>
      <c r="L778" t="n">
        <v>0</v>
      </c>
      <c r="M778" t="n">
        <v>0</v>
      </c>
      <c r="N778" t="n">
        <v>0</v>
      </c>
      <c r="O778" t="n">
        <v>0</v>
      </c>
      <c r="P778" t="n">
        <v>0</v>
      </c>
      <c r="Q778" t="n">
        <v>0</v>
      </c>
      <c r="R778" s="2" t="inlineStr"/>
    </row>
    <row r="779" ht="15" customHeight="1">
      <c r="A779" t="inlineStr">
        <is>
          <t>A 61504-2022</t>
        </is>
      </c>
      <c r="B779" s="1" t="n">
        <v>44910</v>
      </c>
      <c r="C779" s="1" t="n">
        <v>45744</v>
      </c>
      <c r="D779" t="inlineStr">
        <is>
          <t>SKÅNE LÄN</t>
        </is>
      </c>
      <c r="E779" t="inlineStr">
        <is>
          <t>HÄSSLEHOLM</t>
        </is>
      </c>
      <c r="F779" t="inlineStr">
        <is>
          <t>Kyrkan</t>
        </is>
      </c>
      <c r="G779" t="n">
        <v>2.9</v>
      </c>
      <c r="H779" t="n">
        <v>0</v>
      </c>
      <c r="I779" t="n">
        <v>0</v>
      </c>
      <c r="J779" t="n">
        <v>0</v>
      </c>
      <c r="K779" t="n">
        <v>0</v>
      </c>
      <c r="L779" t="n">
        <v>0</v>
      </c>
      <c r="M779" t="n">
        <v>0</v>
      </c>
      <c r="N779" t="n">
        <v>0</v>
      </c>
      <c r="O779" t="n">
        <v>0</v>
      </c>
      <c r="P779" t="n">
        <v>0</v>
      </c>
      <c r="Q779" t="n">
        <v>0</v>
      </c>
      <c r="R779" s="2" t="inlineStr"/>
    </row>
    <row r="780" ht="15" customHeight="1">
      <c r="A780" t="inlineStr">
        <is>
          <t>A 61507-2022</t>
        </is>
      </c>
      <c r="B780" s="1" t="n">
        <v>44910</v>
      </c>
      <c r="C780" s="1" t="n">
        <v>45744</v>
      </c>
      <c r="D780" t="inlineStr">
        <is>
          <t>SKÅNE LÄN</t>
        </is>
      </c>
      <c r="E780" t="inlineStr">
        <is>
          <t>HÄSSLEHOLM</t>
        </is>
      </c>
      <c r="F780" t="inlineStr">
        <is>
          <t>Kyrkan</t>
        </is>
      </c>
      <c r="G780" t="n">
        <v>4.3</v>
      </c>
      <c r="H780" t="n">
        <v>0</v>
      </c>
      <c r="I780" t="n">
        <v>0</v>
      </c>
      <c r="J780" t="n">
        <v>0</v>
      </c>
      <c r="K780" t="n">
        <v>0</v>
      </c>
      <c r="L780" t="n">
        <v>0</v>
      </c>
      <c r="M780" t="n">
        <v>0</v>
      </c>
      <c r="N780" t="n">
        <v>0</v>
      </c>
      <c r="O780" t="n">
        <v>0</v>
      </c>
      <c r="P780" t="n">
        <v>0</v>
      </c>
      <c r="Q780" t="n">
        <v>0</v>
      </c>
      <c r="R780" s="2" t="inlineStr"/>
    </row>
    <row r="781" ht="15" customHeight="1">
      <c r="A781" t="inlineStr">
        <is>
          <t>A 61524-2022</t>
        </is>
      </c>
      <c r="B781" s="1" t="n">
        <v>44910</v>
      </c>
      <c r="C781" s="1" t="n">
        <v>45744</v>
      </c>
      <c r="D781" t="inlineStr">
        <is>
          <t>SKÅNE LÄN</t>
        </is>
      </c>
      <c r="E781" t="inlineStr">
        <is>
          <t>HÄSSLEHOLM</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61539-2022</t>
        </is>
      </c>
      <c r="B782" s="1" t="n">
        <v>44910</v>
      </c>
      <c r="C782" s="1" t="n">
        <v>45744</v>
      </c>
      <c r="D782" t="inlineStr">
        <is>
          <t>SKÅNE LÄN</t>
        </is>
      </c>
      <c r="E782" t="inlineStr">
        <is>
          <t>HÄSSLEHOLM</t>
        </is>
      </c>
      <c r="G782" t="n">
        <v>8.6</v>
      </c>
      <c r="H782" t="n">
        <v>0</v>
      </c>
      <c r="I782" t="n">
        <v>0</v>
      </c>
      <c r="J782" t="n">
        <v>0</v>
      </c>
      <c r="K782" t="n">
        <v>0</v>
      </c>
      <c r="L782" t="n">
        <v>0</v>
      </c>
      <c r="M782" t="n">
        <v>0</v>
      </c>
      <c r="N782" t="n">
        <v>0</v>
      </c>
      <c r="O782" t="n">
        <v>0</v>
      </c>
      <c r="P782" t="n">
        <v>0</v>
      </c>
      <c r="Q782" t="n">
        <v>0</v>
      </c>
      <c r="R782" s="2" t="inlineStr"/>
    </row>
    <row r="783" ht="15" customHeight="1">
      <c r="A783" t="inlineStr">
        <is>
          <t>A 61533-2022</t>
        </is>
      </c>
      <c r="B783" s="1" t="n">
        <v>44910</v>
      </c>
      <c r="C783" s="1" t="n">
        <v>45744</v>
      </c>
      <c r="D783" t="inlineStr">
        <is>
          <t>SKÅNE LÄN</t>
        </is>
      </c>
      <c r="E783" t="inlineStr">
        <is>
          <t>HÄSSLEHOLM</t>
        </is>
      </c>
      <c r="F783" t="inlineStr">
        <is>
          <t>Kyrkan</t>
        </is>
      </c>
      <c r="G783" t="n">
        <v>1</v>
      </c>
      <c r="H783" t="n">
        <v>0</v>
      </c>
      <c r="I783" t="n">
        <v>0</v>
      </c>
      <c r="J783" t="n">
        <v>0</v>
      </c>
      <c r="K783" t="n">
        <v>0</v>
      </c>
      <c r="L783" t="n">
        <v>0</v>
      </c>
      <c r="M783" t="n">
        <v>0</v>
      </c>
      <c r="N783" t="n">
        <v>0</v>
      </c>
      <c r="O783" t="n">
        <v>0</v>
      </c>
      <c r="P783" t="n">
        <v>0</v>
      </c>
      <c r="Q783" t="n">
        <v>0</v>
      </c>
      <c r="R783" s="2" t="inlineStr"/>
    </row>
    <row r="784" ht="15" customHeight="1">
      <c r="A784" t="inlineStr">
        <is>
          <t>A 60519-2022</t>
        </is>
      </c>
      <c r="B784" s="1" t="n">
        <v>44911</v>
      </c>
      <c r="C784" s="1" t="n">
        <v>45744</v>
      </c>
      <c r="D784" t="inlineStr">
        <is>
          <t>SKÅNE LÄN</t>
        </is>
      </c>
      <c r="E784" t="inlineStr">
        <is>
          <t>HÄSSLEHOLM</t>
        </is>
      </c>
      <c r="G784" t="n">
        <v>1.6</v>
      </c>
      <c r="H784" t="n">
        <v>0</v>
      </c>
      <c r="I784" t="n">
        <v>0</v>
      </c>
      <c r="J784" t="n">
        <v>0</v>
      </c>
      <c r="K784" t="n">
        <v>0</v>
      </c>
      <c r="L784" t="n">
        <v>0</v>
      </c>
      <c r="M784" t="n">
        <v>0</v>
      </c>
      <c r="N784" t="n">
        <v>0</v>
      </c>
      <c r="O784" t="n">
        <v>0</v>
      </c>
      <c r="P784" t="n">
        <v>0</v>
      </c>
      <c r="Q784" t="n">
        <v>0</v>
      </c>
      <c r="R784" s="2" t="inlineStr"/>
    </row>
    <row r="785" ht="15" customHeight="1">
      <c r="A785" t="inlineStr">
        <is>
          <t>A 60846-2022</t>
        </is>
      </c>
      <c r="B785" s="1" t="n">
        <v>44914</v>
      </c>
      <c r="C785" s="1" t="n">
        <v>45744</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60843-2022</t>
        </is>
      </c>
      <c r="B786" s="1" t="n">
        <v>44914</v>
      </c>
      <c r="C786" s="1" t="n">
        <v>45744</v>
      </c>
      <c r="D786" t="inlineStr">
        <is>
          <t>SKÅNE LÄN</t>
        </is>
      </c>
      <c r="E786" t="inlineStr">
        <is>
          <t>HÄSSLEHOLM</t>
        </is>
      </c>
      <c r="G786" t="n">
        <v>2.2</v>
      </c>
      <c r="H786" t="n">
        <v>0</v>
      </c>
      <c r="I786" t="n">
        <v>0</v>
      </c>
      <c r="J786" t="n">
        <v>0</v>
      </c>
      <c r="K786" t="n">
        <v>0</v>
      </c>
      <c r="L786" t="n">
        <v>0</v>
      </c>
      <c r="M786" t="n">
        <v>0</v>
      </c>
      <c r="N786" t="n">
        <v>0</v>
      </c>
      <c r="O786" t="n">
        <v>0</v>
      </c>
      <c r="P786" t="n">
        <v>0</v>
      </c>
      <c r="Q786" t="n">
        <v>0</v>
      </c>
      <c r="R786" s="2" t="inlineStr"/>
    </row>
    <row r="787" ht="15" customHeight="1">
      <c r="A787" t="inlineStr">
        <is>
          <t>A 60848-2022</t>
        </is>
      </c>
      <c r="B787" s="1" t="n">
        <v>44914</v>
      </c>
      <c r="C787" s="1" t="n">
        <v>45744</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60959-2022</t>
        </is>
      </c>
      <c r="B788" s="1" t="n">
        <v>44914</v>
      </c>
      <c r="C788" s="1" t="n">
        <v>45744</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61170-2022</t>
        </is>
      </c>
      <c r="B789" s="1" t="n">
        <v>44915</v>
      </c>
      <c r="C789" s="1" t="n">
        <v>45744</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61186-2022</t>
        </is>
      </c>
      <c r="B790" s="1" t="n">
        <v>44915</v>
      </c>
      <c r="C790" s="1" t="n">
        <v>45744</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61178-2022</t>
        </is>
      </c>
      <c r="B791" s="1" t="n">
        <v>44915</v>
      </c>
      <c r="C791" s="1" t="n">
        <v>45744</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61292-2022</t>
        </is>
      </c>
      <c r="B792" s="1" t="n">
        <v>44915</v>
      </c>
      <c r="C792" s="1" t="n">
        <v>45744</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61158-2022</t>
        </is>
      </c>
      <c r="B793" s="1" t="n">
        <v>44915</v>
      </c>
      <c r="C793" s="1" t="n">
        <v>45744</v>
      </c>
      <c r="D793" t="inlineStr">
        <is>
          <t>SKÅNE LÄN</t>
        </is>
      </c>
      <c r="E793" t="inlineStr">
        <is>
          <t>HÄSSLEHOLM</t>
        </is>
      </c>
      <c r="G793" t="n">
        <v>8.4</v>
      </c>
      <c r="H793" t="n">
        <v>0</v>
      </c>
      <c r="I793" t="n">
        <v>0</v>
      </c>
      <c r="J793" t="n">
        <v>0</v>
      </c>
      <c r="K793" t="n">
        <v>0</v>
      </c>
      <c r="L793" t="n">
        <v>0</v>
      </c>
      <c r="M793" t="n">
        <v>0</v>
      </c>
      <c r="N793" t="n">
        <v>0</v>
      </c>
      <c r="O793" t="n">
        <v>0</v>
      </c>
      <c r="P793" t="n">
        <v>0</v>
      </c>
      <c r="Q793" t="n">
        <v>0</v>
      </c>
      <c r="R793" s="2" t="inlineStr"/>
    </row>
    <row r="794" ht="15" customHeight="1">
      <c r="A794" t="inlineStr">
        <is>
          <t>A 62171-2022</t>
        </is>
      </c>
      <c r="B794" s="1" t="n">
        <v>44915</v>
      </c>
      <c r="C794" s="1" t="n">
        <v>45744</v>
      </c>
      <c r="D794" t="inlineStr">
        <is>
          <t>SKÅNE LÄN</t>
        </is>
      </c>
      <c r="E794" t="inlineStr">
        <is>
          <t>HÄSSLEHOLM</t>
        </is>
      </c>
      <c r="F794" t="inlineStr">
        <is>
          <t>Kyrkan</t>
        </is>
      </c>
      <c r="G794" t="n">
        <v>9</v>
      </c>
      <c r="H794" t="n">
        <v>0</v>
      </c>
      <c r="I794" t="n">
        <v>0</v>
      </c>
      <c r="J794" t="n">
        <v>0</v>
      </c>
      <c r="K794" t="n">
        <v>0</v>
      </c>
      <c r="L794" t="n">
        <v>0</v>
      </c>
      <c r="M794" t="n">
        <v>0</v>
      </c>
      <c r="N794" t="n">
        <v>0</v>
      </c>
      <c r="O794" t="n">
        <v>0</v>
      </c>
      <c r="P794" t="n">
        <v>0</v>
      </c>
      <c r="Q794" t="n">
        <v>0</v>
      </c>
      <c r="R794" s="2" t="inlineStr"/>
    </row>
    <row r="795" ht="15" customHeight="1">
      <c r="A795" t="inlineStr">
        <is>
          <t>A 61185-2022</t>
        </is>
      </c>
      <c r="B795" s="1" t="n">
        <v>44915</v>
      </c>
      <c r="C795" s="1" t="n">
        <v>45744</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62167-2022</t>
        </is>
      </c>
      <c r="B796" s="1" t="n">
        <v>44915</v>
      </c>
      <c r="C796" s="1" t="n">
        <v>45744</v>
      </c>
      <c r="D796" t="inlineStr">
        <is>
          <t>SKÅNE LÄN</t>
        </is>
      </c>
      <c r="E796" t="inlineStr">
        <is>
          <t>HÄSSLEHOLM</t>
        </is>
      </c>
      <c r="F796" t="inlineStr">
        <is>
          <t>Kyrkan</t>
        </is>
      </c>
      <c r="G796" t="n">
        <v>3.1</v>
      </c>
      <c r="H796" t="n">
        <v>0</v>
      </c>
      <c r="I796" t="n">
        <v>0</v>
      </c>
      <c r="J796" t="n">
        <v>0</v>
      </c>
      <c r="K796" t="n">
        <v>0</v>
      </c>
      <c r="L796" t="n">
        <v>0</v>
      </c>
      <c r="M796" t="n">
        <v>0</v>
      </c>
      <c r="N796" t="n">
        <v>0</v>
      </c>
      <c r="O796" t="n">
        <v>0</v>
      </c>
      <c r="P796" t="n">
        <v>0</v>
      </c>
      <c r="Q796" t="n">
        <v>0</v>
      </c>
      <c r="R796" s="2" t="inlineStr"/>
    </row>
    <row r="797" ht="15" customHeight="1">
      <c r="A797" t="inlineStr">
        <is>
          <t>A 62199-2022</t>
        </is>
      </c>
      <c r="B797" s="1" t="n">
        <v>44915</v>
      </c>
      <c r="C797" s="1" t="n">
        <v>45744</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61625-2022</t>
        </is>
      </c>
      <c r="B798" s="1" t="n">
        <v>44916</v>
      </c>
      <c r="C798" s="1" t="n">
        <v>45744</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61680-2022</t>
        </is>
      </c>
      <c r="B799" s="1" t="n">
        <v>44917</v>
      </c>
      <c r="C799" s="1" t="n">
        <v>45744</v>
      </c>
      <c r="D799" t="inlineStr">
        <is>
          <t>SKÅNE LÄN</t>
        </is>
      </c>
      <c r="E799" t="inlineStr">
        <is>
          <t>HÄSSLEHOLM</t>
        </is>
      </c>
      <c r="G799" t="n">
        <v>2.4</v>
      </c>
      <c r="H799" t="n">
        <v>0</v>
      </c>
      <c r="I799" t="n">
        <v>0</v>
      </c>
      <c r="J799" t="n">
        <v>0</v>
      </c>
      <c r="K799" t="n">
        <v>0</v>
      </c>
      <c r="L799" t="n">
        <v>0</v>
      </c>
      <c r="M799" t="n">
        <v>0</v>
      </c>
      <c r="N799" t="n">
        <v>0</v>
      </c>
      <c r="O799" t="n">
        <v>0</v>
      </c>
      <c r="P799" t="n">
        <v>0</v>
      </c>
      <c r="Q799" t="n">
        <v>0</v>
      </c>
      <c r="R799" s="2" t="inlineStr"/>
    </row>
    <row r="800" ht="15" customHeight="1">
      <c r="A800" t="inlineStr">
        <is>
          <t>A 61909-2022</t>
        </is>
      </c>
      <c r="B800" s="1" t="n">
        <v>44917</v>
      </c>
      <c r="C800" s="1" t="n">
        <v>45744</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61901-2022</t>
        </is>
      </c>
      <c r="B801" s="1" t="n">
        <v>44917</v>
      </c>
      <c r="C801" s="1" t="n">
        <v>45744</v>
      </c>
      <c r="D801" t="inlineStr">
        <is>
          <t>SKÅNE LÄN</t>
        </is>
      </c>
      <c r="E801" t="inlineStr">
        <is>
          <t>HÄSSLEHOLM</t>
        </is>
      </c>
      <c r="G801" t="n">
        <v>1.7</v>
      </c>
      <c r="H801" t="n">
        <v>0</v>
      </c>
      <c r="I801" t="n">
        <v>0</v>
      </c>
      <c r="J801" t="n">
        <v>0</v>
      </c>
      <c r="K801" t="n">
        <v>0</v>
      </c>
      <c r="L801" t="n">
        <v>0</v>
      </c>
      <c r="M801" t="n">
        <v>0</v>
      </c>
      <c r="N801" t="n">
        <v>0</v>
      </c>
      <c r="O801" t="n">
        <v>0</v>
      </c>
      <c r="P801" t="n">
        <v>0</v>
      </c>
      <c r="Q801" t="n">
        <v>0</v>
      </c>
      <c r="R801" s="2" t="inlineStr"/>
    </row>
    <row r="802" ht="15" customHeight="1">
      <c r="A802" t="inlineStr">
        <is>
          <t>A 62044-2022</t>
        </is>
      </c>
      <c r="B802" s="1" t="n">
        <v>44918</v>
      </c>
      <c r="C802" s="1" t="n">
        <v>45744</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62041-2022</t>
        </is>
      </c>
      <c r="B803" s="1" t="n">
        <v>44918</v>
      </c>
      <c r="C803" s="1" t="n">
        <v>45744</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62234-2022</t>
        </is>
      </c>
      <c r="B804" s="1" t="n">
        <v>44922</v>
      </c>
      <c r="C804" s="1" t="n">
        <v>45744</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876-2023</t>
        </is>
      </c>
      <c r="B805" s="1" t="n">
        <v>44931</v>
      </c>
      <c r="C805" s="1" t="n">
        <v>45744</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1426-2023</t>
        </is>
      </c>
      <c r="B806" s="1" t="n">
        <v>44937</v>
      </c>
      <c r="C806" s="1" t="n">
        <v>45744</v>
      </c>
      <c r="D806" t="inlineStr">
        <is>
          <t>SKÅNE LÄN</t>
        </is>
      </c>
      <c r="E806" t="inlineStr">
        <is>
          <t>HÄSSLEHOLM</t>
        </is>
      </c>
      <c r="F806" t="inlineStr">
        <is>
          <t>Sveaskog</t>
        </is>
      </c>
      <c r="G806" t="n">
        <v>6.8</v>
      </c>
      <c r="H806" t="n">
        <v>0</v>
      </c>
      <c r="I806" t="n">
        <v>0</v>
      </c>
      <c r="J806" t="n">
        <v>0</v>
      </c>
      <c r="K806" t="n">
        <v>0</v>
      </c>
      <c r="L806" t="n">
        <v>0</v>
      </c>
      <c r="M806" t="n">
        <v>0</v>
      </c>
      <c r="N806" t="n">
        <v>0</v>
      </c>
      <c r="O806" t="n">
        <v>0</v>
      </c>
      <c r="P806" t="n">
        <v>0</v>
      </c>
      <c r="Q806" t="n">
        <v>0</v>
      </c>
      <c r="R806" s="2" t="inlineStr"/>
    </row>
    <row r="807" ht="15" customHeight="1">
      <c r="A807" t="inlineStr">
        <is>
          <t>A 1560-2023</t>
        </is>
      </c>
      <c r="B807" s="1" t="n">
        <v>44937</v>
      </c>
      <c r="C807" s="1" t="n">
        <v>45744</v>
      </c>
      <c r="D807" t="inlineStr">
        <is>
          <t>SKÅNE LÄN</t>
        </is>
      </c>
      <c r="E807" t="inlineStr">
        <is>
          <t>HÄSSLEHOLM</t>
        </is>
      </c>
      <c r="G807" t="n">
        <v>6.8</v>
      </c>
      <c r="H807" t="n">
        <v>0</v>
      </c>
      <c r="I807" t="n">
        <v>0</v>
      </c>
      <c r="J807" t="n">
        <v>0</v>
      </c>
      <c r="K807" t="n">
        <v>0</v>
      </c>
      <c r="L807" t="n">
        <v>0</v>
      </c>
      <c r="M807" t="n">
        <v>0</v>
      </c>
      <c r="N807" t="n">
        <v>0</v>
      </c>
      <c r="O807" t="n">
        <v>0</v>
      </c>
      <c r="P807" t="n">
        <v>0</v>
      </c>
      <c r="Q807" t="n">
        <v>0</v>
      </c>
      <c r="R807" s="2" t="inlineStr"/>
    </row>
    <row r="808" ht="15" customHeight="1">
      <c r="A808" t="inlineStr">
        <is>
          <t>A 1557-2023</t>
        </is>
      </c>
      <c r="B808" s="1" t="n">
        <v>44937</v>
      </c>
      <c r="C808" s="1" t="n">
        <v>45744</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1562-2023</t>
        </is>
      </c>
      <c r="B809" s="1" t="n">
        <v>44937</v>
      </c>
      <c r="C809" s="1" t="n">
        <v>45744</v>
      </c>
      <c r="D809" t="inlineStr">
        <is>
          <t>SKÅNE LÄN</t>
        </is>
      </c>
      <c r="E809" t="inlineStr">
        <is>
          <t>HÄSSLEHOLM</t>
        </is>
      </c>
      <c r="G809" t="n">
        <v>2.7</v>
      </c>
      <c r="H809" t="n">
        <v>0</v>
      </c>
      <c r="I809" t="n">
        <v>0</v>
      </c>
      <c r="J809" t="n">
        <v>0</v>
      </c>
      <c r="K809" t="n">
        <v>0</v>
      </c>
      <c r="L809" t="n">
        <v>0</v>
      </c>
      <c r="M809" t="n">
        <v>0</v>
      </c>
      <c r="N809" t="n">
        <v>0</v>
      </c>
      <c r="O809" t="n">
        <v>0</v>
      </c>
      <c r="P809" t="n">
        <v>0</v>
      </c>
      <c r="Q809" t="n">
        <v>0</v>
      </c>
      <c r="R809" s="2" t="inlineStr"/>
    </row>
    <row r="810" ht="15" customHeight="1">
      <c r="A810" t="inlineStr">
        <is>
          <t>A 1553-2023</t>
        </is>
      </c>
      <c r="B810" s="1" t="n">
        <v>44937</v>
      </c>
      <c r="C810" s="1" t="n">
        <v>45744</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2663-2023</t>
        </is>
      </c>
      <c r="B811" s="1" t="n">
        <v>44942</v>
      </c>
      <c r="C811" s="1" t="n">
        <v>45744</v>
      </c>
      <c r="D811" t="inlineStr">
        <is>
          <t>SKÅNE LÄN</t>
        </is>
      </c>
      <c r="E811" t="inlineStr">
        <is>
          <t>HÄSSLEHOLM</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2743-2023</t>
        </is>
      </c>
      <c r="B812" s="1" t="n">
        <v>44944</v>
      </c>
      <c r="C812" s="1" t="n">
        <v>45744</v>
      </c>
      <c r="D812" t="inlineStr">
        <is>
          <t>SKÅNE LÄN</t>
        </is>
      </c>
      <c r="E812" t="inlineStr">
        <is>
          <t>HÄSSLEHOLM</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2882-2023</t>
        </is>
      </c>
      <c r="B813" s="1" t="n">
        <v>44945</v>
      </c>
      <c r="C813" s="1" t="n">
        <v>45744</v>
      </c>
      <c r="D813" t="inlineStr">
        <is>
          <t>SKÅNE LÄN</t>
        </is>
      </c>
      <c r="E813" t="inlineStr">
        <is>
          <t>HÄSSLEHOLM</t>
        </is>
      </c>
      <c r="G813" t="n">
        <v>5.2</v>
      </c>
      <c r="H813" t="n">
        <v>0</v>
      </c>
      <c r="I813" t="n">
        <v>0</v>
      </c>
      <c r="J813" t="n">
        <v>0</v>
      </c>
      <c r="K813" t="n">
        <v>0</v>
      </c>
      <c r="L813" t="n">
        <v>0</v>
      </c>
      <c r="M813" t="n">
        <v>0</v>
      </c>
      <c r="N813" t="n">
        <v>0</v>
      </c>
      <c r="O813" t="n">
        <v>0</v>
      </c>
      <c r="P813" t="n">
        <v>0</v>
      </c>
      <c r="Q813" t="n">
        <v>0</v>
      </c>
      <c r="R813" s="2" t="inlineStr"/>
    </row>
    <row r="814" ht="15" customHeight="1">
      <c r="A814" t="inlineStr">
        <is>
          <t>A 3135-2023</t>
        </is>
      </c>
      <c r="B814" s="1" t="n">
        <v>44946</v>
      </c>
      <c r="C814" s="1" t="n">
        <v>45744</v>
      </c>
      <c r="D814" t="inlineStr">
        <is>
          <t>SKÅNE LÄN</t>
        </is>
      </c>
      <c r="E814" t="inlineStr">
        <is>
          <t>HÄSSLEHOLM</t>
        </is>
      </c>
      <c r="G814" t="n">
        <v>7.2</v>
      </c>
      <c r="H814" t="n">
        <v>0</v>
      </c>
      <c r="I814" t="n">
        <v>0</v>
      </c>
      <c r="J814" t="n">
        <v>0</v>
      </c>
      <c r="K814" t="n">
        <v>0</v>
      </c>
      <c r="L814" t="n">
        <v>0</v>
      </c>
      <c r="M814" t="n">
        <v>0</v>
      </c>
      <c r="N814" t="n">
        <v>0</v>
      </c>
      <c r="O814" t="n">
        <v>0</v>
      </c>
      <c r="P814" t="n">
        <v>0</v>
      </c>
      <c r="Q814" t="n">
        <v>0</v>
      </c>
      <c r="R814" s="2" t="inlineStr"/>
    </row>
    <row r="815" ht="15" customHeight="1">
      <c r="A815" t="inlineStr">
        <is>
          <t>A 3123-2023</t>
        </is>
      </c>
      <c r="B815" s="1" t="n">
        <v>44946</v>
      </c>
      <c r="C815" s="1" t="n">
        <v>45744</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3069-2023</t>
        </is>
      </c>
      <c r="B816" s="1" t="n">
        <v>44946</v>
      </c>
      <c r="C816" s="1" t="n">
        <v>45744</v>
      </c>
      <c r="D816" t="inlineStr">
        <is>
          <t>SKÅNE LÄN</t>
        </is>
      </c>
      <c r="E816" t="inlineStr">
        <is>
          <t>HÄSSLEHOLM</t>
        </is>
      </c>
      <c r="G816" t="n">
        <v>3.7</v>
      </c>
      <c r="H816" t="n">
        <v>0</v>
      </c>
      <c r="I816" t="n">
        <v>0</v>
      </c>
      <c r="J816" t="n">
        <v>0</v>
      </c>
      <c r="K816" t="n">
        <v>0</v>
      </c>
      <c r="L816" t="n">
        <v>0</v>
      </c>
      <c r="M816" t="n">
        <v>0</v>
      </c>
      <c r="N816" t="n">
        <v>0</v>
      </c>
      <c r="O816" t="n">
        <v>0</v>
      </c>
      <c r="P816" t="n">
        <v>0</v>
      </c>
      <c r="Q816" t="n">
        <v>0</v>
      </c>
      <c r="R816" s="2" t="inlineStr"/>
    </row>
    <row r="817" ht="15" customHeight="1">
      <c r="A817" t="inlineStr">
        <is>
          <t>A 3126-2023</t>
        </is>
      </c>
      <c r="B817" s="1" t="n">
        <v>44946</v>
      </c>
      <c r="C817" s="1" t="n">
        <v>45744</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3132-2023</t>
        </is>
      </c>
      <c r="B818" s="1" t="n">
        <v>44946</v>
      </c>
      <c r="C818" s="1" t="n">
        <v>45744</v>
      </c>
      <c r="D818" t="inlineStr">
        <is>
          <t>SKÅNE LÄN</t>
        </is>
      </c>
      <c r="E818" t="inlineStr">
        <is>
          <t>HÄSSLEHOLM</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3349-2023</t>
        </is>
      </c>
      <c r="B819" s="1" t="n">
        <v>44949</v>
      </c>
      <c r="C819" s="1" t="n">
        <v>45744</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3325-2023</t>
        </is>
      </c>
      <c r="B820" s="1" t="n">
        <v>44949</v>
      </c>
      <c r="C820" s="1" t="n">
        <v>45744</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45744</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3291-2023</t>
        </is>
      </c>
      <c r="B822" s="1" t="n">
        <v>44949</v>
      </c>
      <c r="C822" s="1" t="n">
        <v>45744</v>
      </c>
      <c r="D822" t="inlineStr">
        <is>
          <t>SKÅNE LÄN</t>
        </is>
      </c>
      <c r="E822" t="inlineStr">
        <is>
          <t>HÄSSLEHOLM</t>
        </is>
      </c>
      <c r="G822" t="n">
        <v>3.6</v>
      </c>
      <c r="H822" t="n">
        <v>0</v>
      </c>
      <c r="I822" t="n">
        <v>0</v>
      </c>
      <c r="J822" t="n">
        <v>0</v>
      </c>
      <c r="K822" t="n">
        <v>0</v>
      </c>
      <c r="L822" t="n">
        <v>0</v>
      </c>
      <c r="M822" t="n">
        <v>0</v>
      </c>
      <c r="N822" t="n">
        <v>0</v>
      </c>
      <c r="O822" t="n">
        <v>0</v>
      </c>
      <c r="P822" t="n">
        <v>0</v>
      </c>
      <c r="Q822" t="n">
        <v>0</v>
      </c>
      <c r="R822" s="2" t="inlineStr"/>
    </row>
    <row r="823" ht="15" customHeight="1">
      <c r="A823" t="inlineStr">
        <is>
          <t>A 3452-2023</t>
        </is>
      </c>
      <c r="B823" s="1" t="n">
        <v>44949</v>
      </c>
      <c r="C823" s="1" t="n">
        <v>45744</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3531-2023</t>
        </is>
      </c>
      <c r="B824" s="1" t="n">
        <v>44950</v>
      </c>
      <c r="C824" s="1" t="n">
        <v>45744</v>
      </c>
      <c r="D824" t="inlineStr">
        <is>
          <t>SKÅNE LÄN</t>
        </is>
      </c>
      <c r="E824" t="inlineStr">
        <is>
          <t>HÄSSLEHOLM</t>
        </is>
      </c>
      <c r="G824" t="n">
        <v>10.1</v>
      </c>
      <c r="H824" t="n">
        <v>0</v>
      </c>
      <c r="I824" t="n">
        <v>0</v>
      </c>
      <c r="J824" t="n">
        <v>0</v>
      </c>
      <c r="K824" t="n">
        <v>0</v>
      </c>
      <c r="L824" t="n">
        <v>0</v>
      </c>
      <c r="M824" t="n">
        <v>0</v>
      </c>
      <c r="N824" t="n">
        <v>0</v>
      </c>
      <c r="O824" t="n">
        <v>0</v>
      </c>
      <c r="P824" t="n">
        <v>0</v>
      </c>
      <c r="Q824" t="n">
        <v>0</v>
      </c>
      <c r="R824" s="2" t="inlineStr"/>
    </row>
    <row r="825" ht="15" customHeight="1">
      <c r="A825" t="inlineStr">
        <is>
          <t>A 3855-2023</t>
        </is>
      </c>
      <c r="B825" s="1" t="n">
        <v>44951</v>
      </c>
      <c r="C825" s="1" t="n">
        <v>45744</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4042-2023</t>
        </is>
      </c>
      <c r="B826" s="1" t="n">
        <v>44952</v>
      </c>
      <c r="C826" s="1" t="n">
        <v>45744</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4140-2023</t>
        </is>
      </c>
      <c r="B827" s="1" t="n">
        <v>44953</v>
      </c>
      <c r="C827" s="1" t="n">
        <v>45744</v>
      </c>
      <c r="D827" t="inlineStr">
        <is>
          <t>SKÅNE LÄN</t>
        </is>
      </c>
      <c r="E827" t="inlineStr">
        <is>
          <t>HÄSSLEHOLM</t>
        </is>
      </c>
      <c r="G827" t="n">
        <v>10.6</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45744</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4382-2023</t>
        </is>
      </c>
      <c r="B829" s="1" t="n">
        <v>44955</v>
      </c>
      <c r="C829" s="1" t="n">
        <v>45744</v>
      </c>
      <c r="D829" t="inlineStr">
        <is>
          <t>SKÅNE LÄN</t>
        </is>
      </c>
      <c r="E829" t="inlineStr">
        <is>
          <t>HÄSSLEHOLM</t>
        </is>
      </c>
      <c r="G829" t="n">
        <v>0.3</v>
      </c>
      <c r="H829" t="n">
        <v>0</v>
      </c>
      <c r="I829" t="n">
        <v>0</v>
      </c>
      <c r="J829" t="n">
        <v>0</v>
      </c>
      <c r="K829" t="n">
        <v>0</v>
      </c>
      <c r="L829" t="n">
        <v>0</v>
      </c>
      <c r="M829" t="n">
        <v>0</v>
      </c>
      <c r="N829" t="n">
        <v>0</v>
      </c>
      <c r="O829" t="n">
        <v>0</v>
      </c>
      <c r="P829" t="n">
        <v>0</v>
      </c>
      <c r="Q829" t="n">
        <v>0</v>
      </c>
      <c r="R829" s="2" t="inlineStr"/>
    </row>
    <row r="830" ht="15" customHeight="1">
      <c r="A830" t="inlineStr">
        <is>
          <t>A 4787-2023</t>
        </is>
      </c>
      <c r="B830" s="1" t="n">
        <v>44957</v>
      </c>
      <c r="C830" s="1" t="n">
        <v>45744</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4774-2023</t>
        </is>
      </c>
      <c r="B831" s="1" t="n">
        <v>44957</v>
      </c>
      <c r="C831" s="1" t="n">
        <v>45744</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4788-2023</t>
        </is>
      </c>
      <c r="B832" s="1" t="n">
        <v>44957</v>
      </c>
      <c r="C832" s="1" t="n">
        <v>45744</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5116-2023</t>
        </is>
      </c>
      <c r="B833" s="1" t="n">
        <v>44958</v>
      </c>
      <c r="C833" s="1" t="n">
        <v>45744</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5754-2023</t>
        </is>
      </c>
      <c r="B834" s="1" t="n">
        <v>44958</v>
      </c>
      <c r="C834" s="1" t="n">
        <v>45744</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5036-2023</t>
        </is>
      </c>
      <c r="B835" s="1" t="n">
        <v>44958</v>
      </c>
      <c r="C835" s="1" t="n">
        <v>45744</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5285-2023</t>
        </is>
      </c>
      <c r="B836" s="1" t="n">
        <v>44959</v>
      </c>
      <c r="C836" s="1" t="n">
        <v>45744</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5282-2023</t>
        </is>
      </c>
      <c r="B837" s="1" t="n">
        <v>44959</v>
      </c>
      <c r="C837" s="1" t="n">
        <v>45744</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5316-2023</t>
        </is>
      </c>
      <c r="B838" s="1" t="n">
        <v>44959</v>
      </c>
      <c r="C838" s="1" t="n">
        <v>45744</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5284-2023</t>
        </is>
      </c>
      <c r="B839" s="1" t="n">
        <v>44959</v>
      </c>
      <c r="C839" s="1" t="n">
        <v>45744</v>
      </c>
      <c r="D839" t="inlineStr">
        <is>
          <t>SKÅNE LÄN</t>
        </is>
      </c>
      <c r="E839" t="inlineStr">
        <is>
          <t>HÄSSLEHOLM</t>
        </is>
      </c>
      <c r="G839" t="n">
        <v>0.4</v>
      </c>
      <c r="H839" t="n">
        <v>0</v>
      </c>
      <c r="I839" t="n">
        <v>0</v>
      </c>
      <c r="J839" t="n">
        <v>0</v>
      </c>
      <c r="K839" t="n">
        <v>0</v>
      </c>
      <c r="L839" t="n">
        <v>0</v>
      </c>
      <c r="M839" t="n">
        <v>0</v>
      </c>
      <c r="N839" t="n">
        <v>0</v>
      </c>
      <c r="O839" t="n">
        <v>0</v>
      </c>
      <c r="P839" t="n">
        <v>0</v>
      </c>
      <c r="Q839" t="n">
        <v>0</v>
      </c>
      <c r="R839" s="2" t="inlineStr"/>
    </row>
    <row r="840" ht="15" customHeight="1">
      <c r="A840" t="inlineStr">
        <is>
          <t>A 5306-2023</t>
        </is>
      </c>
      <c r="B840" s="1" t="n">
        <v>44959</v>
      </c>
      <c r="C840" s="1" t="n">
        <v>45744</v>
      </c>
      <c r="D840" t="inlineStr">
        <is>
          <t>SKÅNE LÄN</t>
        </is>
      </c>
      <c r="E840" t="inlineStr">
        <is>
          <t>HÄSSLEHOLM</t>
        </is>
      </c>
      <c r="G840" t="n">
        <v>3</v>
      </c>
      <c r="H840" t="n">
        <v>0</v>
      </c>
      <c r="I840" t="n">
        <v>0</v>
      </c>
      <c r="J840" t="n">
        <v>0</v>
      </c>
      <c r="K840" t="n">
        <v>0</v>
      </c>
      <c r="L840" t="n">
        <v>0</v>
      </c>
      <c r="M840" t="n">
        <v>0</v>
      </c>
      <c r="N840" t="n">
        <v>0</v>
      </c>
      <c r="O840" t="n">
        <v>0</v>
      </c>
      <c r="P840" t="n">
        <v>0</v>
      </c>
      <c r="Q840" t="n">
        <v>0</v>
      </c>
      <c r="R840" s="2" t="inlineStr"/>
    </row>
    <row r="841" ht="15" customHeight="1">
      <c r="A841" t="inlineStr">
        <is>
          <t>A 5971-2023</t>
        </is>
      </c>
      <c r="B841" s="1" t="n">
        <v>44959</v>
      </c>
      <c r="C841" s="1" t="n">
        <v>45744</v>
      </c>
      <c r="D841" t="inlineStr">
        <is>
          <t>SKÅNE LÄN</t>
        </is>
      </c>
      <c r="E841" t="inlineStr">
        <is>
          <t>HÄSSLEHOLM</t>
        </is>
      </c>
      <c r="G841" t="n">
        <v>3.4</v>
      </c>
      <c r="H841" t="n">
        <v>0</v>
      </c>
      <c r="I841" t="n">
        <v>0</v>
      </c>
      <c r="J841" t="n">
        <v>0</v>
      </c>
      <c r="K841" t="n">
        <v>0</v>
      </c>
      <c r="L841" t="n">
        <v>0</v>
      </c>
      <c r="M841" t="n">
        <v>0</v>
      </c>
      <c r="N841" t="n">
        <v>0</v>
      </c>
      <c r="O841" t="n">
        <v>0</v>
      </c>
      <c r="P841" t="n">
        <v>0</v>
      </c>
      <c r="Q841" t="n">
        <v>0</v>
      </c>
      <c r="R841" s="2" t="inlineStr"/>
    </row>
    <row r="842" ht="15" customHeight="1">
      <c r="A842" t="inlineStr">
        <is>
          <t>A 5502-2023</t>
        </is>
      </c>
      <c r="B842" s="1" t="n">
        <v>44960</v>
      </c>
      <c r="C842" s="1" t="n">
        <v>45744</v>
      </c>
      <c r="D842" t="inlineStr">
        <is>
          <t>SKÅNE LÄN</t>
        </is>
      </c>
      <c r="E842" t="inlineStr">
        <is>
          <t>HÄSSLEHOLM</t>
        </is>
      </c>
      <c r="F842" t="inlineStr">
        <is>
          <t>Övriga Aktiebolag</t>
        </is>
      </c>
      <c r="G842" t="n">
        <v>0.6</v>
      </c>
      <c r="H842" t="n">
        <v>0</v>
      </c>
      <c r="I842" t="n">
        <v>0</v>
      </c>
      <c r="J842" t="n">
        <v>0</v>
      </c>
      <c r="K842" t="n">
        <v>0</v>
      </c>
      <c r="L842" t="n">
        <v>0</v>
      </c>
      <c r="M842" t="n">
        <v>0</v>
      </c>
      <c r="N842" t="n">
        <v>0</v>
      </c>
      <c r="O842" t="n">
        <v>0</v>
      </c>
      <c r="P842" t="n">
        <v>0</v>
      </c>
      <c r="Q842" t="n">
        <v>0</v>
      </c>
      <c r="R842" s="2" t="inlineStr"/>
    </row>
    <row r="843" ht="15" customHeight="1">
      <c r="A843" t="inlineStr">
        <is>
          <t>A 5891-2023</t>
        </is>
      </c>
      <c r="B843" s="1" t="n">
        <v>44963</v>
      </c>
      <c r="C843" s="1" t="n">
        <v>45744</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5890-2023</t>
        </is>
      </c>
      <c r="B844" s="1" t="n">
        <v>44963</v>
      </c>
      <c r="C844" s="1" t="n">
        <v>45744</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5894-2023</t>
        </is>
      </c>
      <c r="B845" s="1" t="n">
        <v>44963</v>
      </c>
      <c r="C845" s="1" t="n">
        <v>45744</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6164-2023</t>
        </is>
      </c>
      <c r="B846" s="1" t="n">
        <v>44964</v>
      </c>
      <c r="C846" s="1" t="n">
        <v>45744</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6416-2023</t>
        </is>
      </c>
      <c r="B847" s="1" t="n">
        <v>44965</v>
      </c>
      <c r="C847" s="1" t="n">
        <v>45744</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6836-2023</t>
        </is>
      </c>
      <c r="B848" s="1" t="n">
        <v>44967</v>
      </c>
      <c r="C848" s="1" t="n">
        <v>45744</v>
      </c>
      <c r="D848" t="inlineStr">
        <is>
          <t>SKÅNE LÄN</t>
        </is>
      </c>
      <c r="E848" t="inlineStr">
        <is>
          <t>HÄSSLEHOLM</t>
        </is>
      </c>
      <c r="G848" t="n">
        <v>3.5</v>
      </c>
      <c r="H848" t="n">
        <v>0</v>
      </c>
      <c r="I848" t="n">
        <v>0</v>
      </c>
      <c r="J848" t="n">
        <v>0</v>
      </c>
      <c r="K848" t="n">
        <v>0</v>
      </c>
      <c r="L848" t="n">
        <v>0</v>
      </c>
      <c r="M848" t="n">
        <v>0</v>
      </c>
      <c r="N848" t="n">
        <v>0</v>
      </c>
      <c r="O848" t="n">
        <v>0</v>
      </c>
      <c r="P848" t="n">
        <v>0</v>
      </c>
      <c r="Q848" t="n">
        <v>0</v>
      </c>
      <c r="R848" s="2" t="inlineStr"/>
    </row>
    <row r="849" ht="15" customHeight="1">
      <c r="A849" t="inlineStr">
        <is>
          <t>A 6845-2023</t>
        </is>
      </c>
      <c r="B849" s="1" t="n">
        <v>44967</v>
      </c>
      <c r="C849" s="1" t="n">
        <v>45744</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6842-2023</t>
        </is>
      </c>
      <c r="B850" s="1" t="n">
        <v>44967</v>
      </c>
      <c r="C850" s="1" t="n">
        <v>45744</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6830-2023</t>
        </is>
      </c>
      <c r="B851" s="1" t="n">
        <v>44967</v>
      </c>
      <c r="C851" s="1" t="n">
        <v>45744</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6835-2023</t>
        </is>
      </c>
      <c r="B852" s="1" t="n">
        <v>44967</v>
      </c>
      <c r="C852" s="1" t="n">
        <v>45744</v>
      </c>
      <c r="D852" t="inlineStr">
        <is>
          <t>SKÅNE LÄN</t>
        </is>
      </c>
      <c r="E852" t="inlineStr">
        <is>
          <t>HÄSSLEHOLM</t>
        </is>
      </c>
      <c r="G852" t="n">
        <v>4.8</v>
      </c>
      <c r="H852" t="n">
        <v>0</v>
      </c>
      <c r="I852" t="n">
        <v>0</v>
      </c>
      <c r="J852" t="n">
        <v>0</v>
      </c>
      <c r="K852" t="n">
        <v>0</v>
      </c>
      <c r="L852" t="n">
        <v>0</v>
      </c>
      <c r="M852" t="n">
        <v>0</v>
      </c>
      <c r="N852" t="n">
        <v>0</v>
      </c>
      <c r="O852" t="n">
        <v>0</v>
      </c>
      <c r="P852" t="n">
        <v>0</v>
      </c>
      <c r="Q852" t="n">
        <v>0</v>
      </c>
      <c r="R852" s="2" t="inlineStr"/>
    </row>
    <row r="853" ht="15" customHeight="1">
      <c r="A853" t="inlineStr">
        <is>
          <t>A 7094-2023</t>
        </is>
      </c>
      <c r="B853" s="1" t="n">
        <v>44970</v>
      </c>
      <c r="C853" s="1" t="n">
        <v>45744</v>
      </c>
      <c r="D853" t="inlineStr">
        <is>
          <t>SKÅNE LÄN</t>
        </is>
      </c>
      <c r="E853" t="inlineStr">
        <is>
          <t>HÄSSLEHOLM</t>
        </is>
      </c>
      <c r="G853" t="n">
        <v>3.6</v>
      </c>
      <c r="H853" t="n">
        <v>0</v>
      </c>
      <c r="I853" t="n">
        <v>0</v>
      </c>
      <c r="J853" t="n">
        <v>0</v>
      </c>
      <c r="K853" t="n">
        <v>0</v>
      </c>
      <c r="L853" t="n">
        <v>0</v>
      </c>
      <c r="M853" t="n">
        <v>0</v>
      </c>
      <c r="N853" t="n">
        <v>0</v>
      </c>
      <c r="O853" t="n">
        <v>0</v>
      </c>
      <c r="P853" t="n">
        <v>0</v>
      </c>
      <c r="Q853" t="n">
        <v>0</v>
      </c>
      <c r="R853" s="2" t="inlineStr"/>
    </row>
    <row r="854" ht="15" customHeight="1">
      <c r="A854" t="inlineStr">
        <is>
          <t>A 7494-2023</t>
        </is>
      </c>
      <c r="B854" s="1" t="n">
        <v>44971</v>
      </c>
      <c r="C854" s="1" t="n">
        <v>45744</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7481-2023</t>
        </is>
      </c>
      <c r="B855" s="1" t="n">
        <v>44971</v>
      </c>
      <c r="C855" s="1" t="n">
        <v>45744</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8378-2023</t>
        </is>
      </c>
      <c r="B856" s="1" t="n">
        <v>44971</v>
      </c>
      <c r="C856" s="1" t="n">
        <v>45744</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7581-2023</t>
        </is>
      </c>
      <c r="B857" s="1" t="n">
        <v>44972</v>
      </c>
      <c r="C857" s="1" t="n">
        <v>45744</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8246-2023</t>
        </is>
      </c>
      <c r="B858" s="1" t="n">
        <v>44974</v>
      </c>
      <c r="C858" s="1" t="n">
        <v>45744</v>
      </c>
      <c r="D858" t="inlineStr">
        <is>
          <t>SKÅNE LÄN</t>
        </is>
      </c>
      <c r="E858" t="inlineStr">
        <is>
          <t>HÄSSLEHOLM</t>
        </is>
      </c>
      <c r="G858" t="n">
        <v>1.6</v>
      </c>
      <c r="H858" t="n">
        <v>0</v>
      </c>
      <c r="I858" t="n">
        <v>0</v>
      </c>
      <c r="J858" t="n">
        <v>0</v>
      </c>
      <c r="K858" t="n">
        <v>0</v>
      </c>
      <c r="L858" t="n">
        <v>0</v>
      </c>
      <c r="M858" t="n">
        <v>0</v>
      </c>
      <c r="N858" t="n">
        <v>0</v>
      </c>
      <c r="O858" t="n">
        <v>0</v>
      </c>
      <c r="P858" t="n">
        <v>0</v>
      </c>
      <c r="Q858" t="n">
        <v>0</v>
      </c>
      <c r="R858" s="2" t="inlineStr"/>
    </row>
    <row r="859" ht="15" customHeight="1">
      <c r="A859" t="inlineStr">
        <is>
          <t>A 8244-2023</t>
        </is>
      </c>
      <c r="B859" s="1" t="n">
        <v>44974</v>
      </c>
      <c r="C859" s="1" t="n">
        <v>45744</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8249-2023</t>
        </is>
      </c>
      <c r="B860" s="1" t="n">
        <v>44974</v>
      </c>
      <c r="C860" s="1" t="n">
        <v>45744</v>
      </c>
      <c r="D860" t="inlineStr">
        <is>
          <t>SKÅNE LÄN</t>
        </is>
      </c>
      <c r="E860" t="inlineStr">
        <is>
          <t>HÄSSLEHOLM</t>
        </is>
      </c>
      <c r="G860" t="n">
        <v>5.8</v>
      </c>
      <c r="H860" t="n">
        <v>0</v>
      </c>
      <c r="I860" t="n">
        <v>0</v>
      </c>
      <c r="J860" t="n">
        <v>0</v>
      </c>
      <c r="K860" t="n">
        <v>0</v>
      </c>
      <c r="L860" t="n">
        <v>0</v>
      </c>
      <c r="M860" t="n">
        <v>0</v>
      </c>
      <c r="N860" t="n">
        <v>0</v>
      </c>
      <c r="O860" t="n">
        <v>0</v>
      </c>
      <c r="P860" t="n">
        <v>0</v>
      </c>
      <c r="Q860" t="n">
        <v>0</v>
      </c>
      <c r="R860" s="2" t="inlineStr"/>
    </row>
    <row r="861" ht="15" customHeight="1">
      <c r="A861" t="inlineStr">
        <is>
          <t>A 8250-2023</t>
        </is>
      </c>
      <c r="B861" s="1" t="n">
        <v>44974</v>
      </c>
      <c r="C861" s="1" t="n">
        <v>45744</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8619-2023</t>
        </is>
      </c>
      <c r="B862" s="1" t="n">
        <v>44977</v>
      </c>
      <c r="C862" s="1" t="n">
        <v>45744</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8803-2023</t>
        </is>
      </c>
      <c r="B863" s="1" t="n">
        <v>44978</v>
      </c>
      <c r="C863" s="1" t="n">
        <v>45744</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8807-2023</t>
        </is>
      </c>
      <c r="B864" s="1" t="n">
        <v>44978</v>
      </c>
      <c r="C864" s="1" t="n">
        <v>45744</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8793-2023</t>
        </is>
      </c>
      <c r="B865" s="1" t="n">
        <v>44978</v>
      </c>
      <c r="C865" s="1" t="n">
        <v>45744</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9308-2023</t>
        </is>
      </c>
      <c r="B866" s="1" t="n">
        <v>44980</v>
      </c>
      <c r="C866" s="1" t="n">
        <v>45744</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45744</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9485-2023</t>
        </is>
      </c>
      <c r="B868" s="1" t="n">
        <v>44981</v>
      </c>
      <c r="C868" s="1" t="n">
        <v>45744</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9502-2023</t>
        </is>
      </c>
      <c r="B869" s="1" t="n">
        <v>44981</v>
      </c>
      <c r="C869" s="1" t="n">
        <v>45744</v>
      </c>
      <c r="D869" t="inlineStr">
        <is>
          <t>SKÅNE LÄN</t>
        </is>
      </c>
      <c r="E869" t="inlineStr">
        <is>
          <t>HÄSSLEHOLM</t>
        </is>
      </c>
      <c r="G869" t="n">
        <v>0.4</v>
      </c>
      <c r="H869" t="n">
        <v>0</v>
      </c>
      <c r="I869" t="n">
        <v>0</v>
      </c>
      <c r="J869" t="n">
        <v>0</v>
      </c>
      <c r="K869" t="n">
        <v>0</v>
      </c>
      <c r="L869" t="n">
        <v>0</v>
      </c>
      <c r="M869" t="n">
        <v>0</v>
      </c>
      <c r="N869" t="n">
        <v>0</v>
      </c>
      <c r="O869" t="n">
        <v>0</v>
      </c>
      <c r="P869" t="n">
        <v>0</v>
      </c>
      <c r="Q869" t="n">
        <v>0</v>
      </c>
      <c r="R869" s="2" t="inlineStr"/>
    </row>
    <row r="870" ht="15" customHeight="1">
      <c r="A870" t="inlineStr">
        <is>
          <t>A 9692-2023</t>
        </is>
      </c>
      <c r="B870" s="1" t="n">
        <v>44984</v>
      </c>
      <c r="C870" s="1" t="n">
        <v>45744</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9697-2023</t>
        </is>
      </c>
      <c r="B871" s="1" t="n">
        <v>44984</v>
      </c>
      <c r="C871" s="1" t="n">
        <v>45744</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9709-2023</t>
        </is>
      </c>
      <c r="B872" s="1" t="n">
        <v>44984</v>
      </c>
      <c r="C872" s="1" t="n">
        <v>45744</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10897-2023</t>
        </is>
      </c>
      <c r="B873" s="1" t="n">
        <v>44985</v>
      </c>
      <c r="C873" s="1" t="n">
        <v>45744</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10220-2023</t>
        </is>
      </c>
      <c r="B874" s="1" t="n">
        <v>44986</v>
      </c>
      <c r="C874" s="1" t="n">
        <v>45744</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10277-2023</t>
        </is>
      </c>
      <c r="B875" s="1" t="n">
        <v>44986</v>
      </c>
      <c r="C875" s="1" t="n">
        <v>45744</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10221-2023</t>
        </is>
      </c>
      <c r="B876" s="1" t="n">
        <v>44986</v>
      </c>
      <c r="C876" s="1" t="n">
        <v>45744</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10270-2023</t>
        </is>
      </c>
      <c r="B877" s="1" t="n">
        <v>44986</v>
      </c>
      <c r="C877" s="1" t="n">
        <v>45744</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10290-2023</t>
        </is>
      </c>
      <c r="B878" s="1" t="n">
        <v>44986</v>
      </c>
      <c r="C878" s="1" t="n">
        <v>45744</v>
      </c>
      <c r="D878" t="inlineStr">
        <is>
          <t>SKÅNE LÄN</t>
        </is>
      </c>
      <c r="E878" t="inlineStr">
        <is>
          <t>HÄSSLEHOLM</t>
        </is>
      </c>
      <c r="G878" t="n">
        <v>1</v>
      </c>
      <c r="H878" t="n">
        <v>0</v>
      </c>
      <c r="I878" t="n">
        <v>0</v>
      </c>
      <c r="J878" t="n">
        <v>0</v>
      </c>
      <c r="K878" t="n">
        <v>0</v>
      </c>
      <c r="L878" t="n">
        <v>0</v>
      </c>
      <c r="M878" t="n">
        <v>0</v>
      </c>
      <c r="N878" t="n">
        <v>0</v>
      </c>
      <c r="O878" t="n">
        <v>0</v>
      </c>
      <c r="P878" t="n">
        <v>0</v>
      </c>
      <c r="Q878" t="n">
        <v>0</v>
      </c>
      <c r="R878" s="2" t="inlineStr"/>
    </row>
    <row r="879" ht="15" customHeight="1">
      <c r="A879" t="inlineStr">
        <is>
          <t>A 11121-2023</t>
        </is>
      </c>
      <c r="B879" s="1" t="n">
        <v>44986</v>
      </c>
      <c r="C879" s="1" t="n">
        <v>45744</v>
      </c>
      <c r="D879" t="inlineStr">
        <is>
          <t>SKÅNE LÄN</t>
        </is>
      </c>
      <c r="E879" t="inlineStr">
        <is>
          <t>HÄSSLEHOLM</t>
        </is>
      </c>
      <c r="F879" t="inlineStr">
        <is>
          <t>Kommuner</t>
        </is>
      </c>
      <c r="G879" t="n">
        <v>5.8</v>
      </c>
      <c r="H879" t="n">
        <v>0</v>
      </c>
      <c r="I879" t="n">
        <v>0</v>
      </c>
      <c r="J879" t="n">
        <v>0</v>
      </c>
      <c r="K879" t="n">
        <v>0</v>
      </c>
      <c r="L879" t="n">
        <v>0</v>
      </c>
      <c r="M879" t="n">
        <v>0</v>
      </c>
      <c r="N879" t="n">
        <v>0</v>
      </c>
      <c r="O879" t="n">
        <v>0</v>
      </c>
      <c r="P879" t="n">
        <v>0</v>
      </c>
      <c r="Q879" t="n">
        <v>0</v>
      </c>
      <c r="R879" s="2" t="inlineStr"/>
    </row>
    <row r="880" ht="15" customHeight="1">
      <c r="A880" t="inlineStr">
        <is>
          <t>A 11116-2023</t>
        </is>
      </c>
      <c r="B880" s="1" t="n">
        <v>44986</v>
      </c>
      <c r="C880" s="1" t="n">
        <v>45744</v>
      </c>
      <c r="D880" t="inlineStr">
        <is>
          <t>SKÅNE LÄN</t>
        </is>
      </c>
      <c r="E880" t="inlineStr">
        <is>
          <t>HÄSSLEHOLM</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10389-2023</t>
        </is>
      </c>
      <c r="B881" s="1" t="n">
        <v>44987</v>
      </c>
      <c r="C881" s="1" t="n">
        <v>45744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10660-2023</t>
        </is>
      </c>
      <c r="B882" s="1" t="n">
        <v>44988</v>
      </c>
      <c r="C882" s="1" t="n">
        <v>45744</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11217-2023</t>
        </is>
      </c>
      <c r="B883" s="1" t="n">
        <v>44992</v>
      </c>
      <c r="C883" s="1" t="n">
        <v>45744</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11237-2023</t>
        </is>
      </c>
      <c r="B884" s="1" t="n">
        <v>44992</v>
      </c>
      <c r="C884" s="1" t="n">
        <v>45744</v>
      </c>
      <c r="D884" t="inlineStr">
        <is>
          <t>SKÅNE LÄN</t>
        </is>
      </c>
      <c r="E884" t="inlineStr">
        <is>
          <t>HÄSSLEHOLM</t>
        </is>
      </c>
      <c r="G884" t="n">
        <v>5.8</v>
      </c>
      <c r="H884" t="n">
        <v>0</v>
      </c>
      <c r="I884" t="n">
        <v>0</v>
      </c>
      <c r="J884" t="n">
        <v>0</v>
      </c>
      <c r="K884" t="n">
        <v>0</v>
      </c>
      <c r="L884" t="n">
        <v>0</v>
      </c>
      <c r="M884" t="n">
        <v>0</v>
      </c>
      <c r="N884" t="n">
        <v>0</v>
      </c>
      <c r="O884" t="n">
        <v>0</v>
      </c>
      <c r="P884" t="n">
        <v>0</v>
      </c>
      <c r="Q884" t="n">
        <v>0</v>
      </c>
      <c r="R884" s="2" t="inlineStr"/>
    </row>
    <row r="885" ht="15" customHeight="1">
      <c r="A885" t="inlineStr">
        <is>
          <t>A 11240-2023</t>
        </is>
      </c>
      <c r="B885" s="1" t="n">
        <v>44992</v>
      </c>
      <c r="C885" s="1" t="n">
        <v>45744</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11681-2023</t>
        </is>
      </c>
      <c r="B886" s="1" t="n">
        <v>44992</v>
      </c>
      <c r="C886" s="1" t="n">
        <v>45744</v>
      </c>
      <c r="D886" t="inlineStr">
        <is>
          <t>SKÅNE LÄN</t>
        </is>
      </c>
      <c r="E886" t="inlineStr">
        <is>
          <t>HÄSSLEHOLM</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11715-2023</t>
        </is>
      </c>
      <c r="B887" s="1" t="n">
        <v>44992</v>
      </c>
      <c r="C887" s="1" t="n">
        <v>45744</v>
      </c>
      <c r="D887" t="inlineStr">
        <is>
          <t>SKÅNE LÄN</t>
        </is>
      </c>
      <c r="E887" t="inlineStr">
        <is>
          <t>HÄSSLEHOLM</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11840-2023</t>
        </is>
      </c>
      <c r="B888" s="1" t="n">
        <v>44995</v>
      </c>
      <c r="C888" s="1" t="n">
        <v>45744</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12162-2023</t>
        </is>
      </c>
      <c r="B889" s="1" t="n">
        <v>44998</v>
      </c>
      <c r="C889" s="1" t="n">
        <v>45744</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12346-2023</t>
        </is>
      </c>
      <c r="B890" s="1" t="n">
        <v>44999</v>
      </c>
      <c r="C890" s="1" t="n">
        <v>45744</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12344-2023</t>
        </is>
      </c>
      <c r="B891" s="1" t="n">
        <v>44999</v>
      </c>
      <c r="C891" s="1" t="n">
        <v>45744</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v>
      </c>
      <c r="C892" s="1" t="n">
        <v>45744</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12570-2023</t>
        </is>
      </c>
      <c r="B893" s="1" t="n">
        <v>44999</v>
      </c>
      <c r="C893" s="1" t="n">
        <v>45744</v>
      </c>
      <c r="D893" t="inlineStr">
        <is>
          <t>SKÅNE LÄN</t>
        </is>
      </c>
      <c r="E893" t="inlineStr">
        <is>
          <t>HÄSSLEHOLM</t>
        </is>
      </c>
      <c r="G893" t="n">
        <v>3.4</v>
      </c>
      <c r="H893" t="n">
        <v>0</v>
      </c>
      <c r="I893" t="n">
        <v>0</v>
      </c>
      <c r="J893" t="n">
        <v>0</v>
      </c>
      <c r="K893" t="n">
        <v>0</v>
      </c>
      <c r="L893" t="n">
        <v>0</v>
      </c>
      <c r="M893" t="n">
        <v>0</v>
      </c>
      <c r="N893" t="n">
        <v>0</v>
      </c>
      <c r="O893" t="n">
        <v>0</v>
      </c>
      <c r="P893" t="n">
        <v>0</v>
      </c>
      <c r="Q893" t="n">
        <v>0</v>
      </c>
      <c r="R893" s="2" t="inlineStr"/>
    </row>
    <row r="894" ht="15" customHeight="1">
      <c r="A894" t="inlineStr">
        <is>
          <t>A 12558-2023</t>
        </is>
      </c>
      <c r="B894" s="1" t="n">
        <v>45000</v>
      </c>
      <c r="C894" s="1" t="n">
        <v>45744</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12839-2023</t>
        </is>
      </c>
      <c r="B895" s="1" t="n">
        <v>45000</v>
      </c>
      <c r="C895" s="1" t="n">
        <v>45744</v>
      </c>
      <c r="D895" t="inlineStr">
        <is>
          <t>SKÅNE LÄN</t>
        </is>
      </c>
      <c r="E895" t="inlineStr">
        <is>
          <t>HÄSSLEHOLM</t>
        </is>
      </c>
      <c r="G895" t="n">
        <v>5</v>
      </c>
      <c r="H895" t="n">
        <v>0</v>
      </c>
      <c r="I895" t="n">
        <v>0</v>
      </c>
      <c r="J895" t="n">
        <v>0</v>
      </c>
      <c r="K895" t="n">
        <v>0</v>
      </c>
      <c r="L895" t="n">
        <v>0</v>
      </c>
      <c r="M895" t="n">
        <v>0</v>
      </c>
      <c r="N895" t="n">
        <v>0</v>
      </c>
      <c r="O895" t="n">
        <v>0</v>
      </c>
      <c r="P895" t="n">
        <v>0</v>
      </c>
      <c r="Q895" t="n">
        <v>0</v>
      </c>
      <c r="R895" s="2" t="inlineStr"/>
    </row>
    <row r="896" ht="15" customHeight="1">
      <c r="A896" t="inlineStr">
        <is>
          <t>A 12843-2023</t>
        </is>
      </c>
      <c r="B896" s="1" t="n">
        <v>45001</v>
      </c>
      <c r="C896" s="1" t="n">
        <v>45744</v>
      </c>
      <c r="D896" t="inlineStr">
        <is>
          <t>SKÅNE LÄN</t>
        </is>
      </c>
      <c r="E896" t="inlineStr">
        <is>
          <t>HÄSSLEHOLM</t>
        </is>
      </c>
      <c r="G896" t="n">
        <v>3.9</v>
      </c>
      <c r="H896" t="n">
        <v>0</v>
      </c>
      <c r="I896" t="n">
        <v>0</v>
      </c>
      <c r="J896" t="n">
        <v>0</v>
      </c>
      <c r="K896" t="n">
        <v>0</v>
      </c>
      <c r="L896" t="n">
        <v>0</v>
      </c>
      <c r="M896" t="n">
        <v>0</v>
      </c>
      <c r="N896" t="n">
        <v>0</v>
      </c>
      <c r="O896" t="n">
        <v>0</v>
      </c>
      <c r="P896" t="n">
        <v>0</v>
      </c>
      <c r="Q896" t="n">
        <v>0</v>
      </c>
      <c r="R896" s="2" t="inlineStr"/>
    </row>
    <row r="897" ht="15" customHeight="1">
      <c r="A897" t="inlineStr">
        <is>
          <t>A 13087-2023</t>
        </is>
      </c>
      <c r="B897" s="1" t="n">
        <v>45001</v>
      </c>
      <c r="C897" s="1" t="n">
        <v>45744</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13316-2023</t>
        </is>
      </c>
      <c r="B898" s="1" t="n">
        <v>45005</v>
      </c>
      <c r="C898" s="1" t="n">
        <v>45744</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13358-2023</t>
        </is>
      </c>
      <c r="B899" s="1" t="n">
        <v>45005</v>
      </c>
      <c r="C899" s="1" t="n">
        <v>45744</v>
      </c>
      <c r="D899" t="inlineStr">
        <is>
          <t>SKÅNE LÄN</t>
        </is>
      </c>
      <c r="E899" t="inlineStr">
        <is>
          <t>HÄSSLEHOLM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13673-2023</t>
        </is>
      </c>
      <c r="B900" s="1" t="n">
        <v>45006</v>
      </c>
      <c r="C900" s="1" t="n">
        <v>45744</v>
      </c>
      <c r="D900" t="inlineStr">
        <is>
          <t>SKÅNE LÄN</t>
        </is>
      </c>
      <c r="E900" t="inlineStr">
        <is>
          <t>HÄSSLEHOLM</t>
        </is>
      </c>
      <c r="G900" t="n">
        <v>3.2</v>
      </c>
      <c r="H900" t="n">
        <v>0</v>
      </c>
      <c r="I900" t="n">
        <v>0</v>
      </c>
      <c r="J900" t="n">
        <v>0</v>
      </c>
      <c r="K900" t="n">
        <v>0</v>
      </c>
      <c r="L900" t="n">
        <v>0</v>
      </c>
      <c r="M900" t="n">
        <v>0</v>
      </c>
      <c r="N900" t="n">
        <v>0</v>
      </c>
      <c r="O900" t="n">
        <v>0</v>
      </c>
      <c r="P900" t="n">
        <v>0</v>
      </c>
      <c r="Q900" t="n">
        <v>0</v>
      </c>
      <c r="R900" s="2" t="inlineStr"/>
    </row>
    <row r="901" ht="15" customHeight="1">
      <c r="A901" t="inlineStr">
        <is>
          <t>A 13932-2023</t>
        </is>
      </c>
      <c r="B901" s="1" t="n">
        <v>45008</v>
      </c>
      <c r="C901" s="1" t="n">
        <v>45744</v>
      </c>
      <c r="D901" t="inlineStr">
        <is>
          <t>SKÅNE LÄN</t>
        </is>
      </c>
      <c r="E901" t="inlineStr">
        <is>
          <t>HÄSSLEHOLM</t>
        </is>
      </c>
      <c r="G901" t="n">
        <v>3.3</v>
      </c>
      <c r="H901" t="n">
        <v>0</v>
      </c>
      <c r="I901" t="n">
        <v>0</v>
      </c>
      <c r="J901" t="n">
        <v>0</v>
      </c>
      <c r="K901" t="n">
        <v>0</v>
      </c>
      <c r="L901" t="n">
        <v>0</v>
      </c>
      <c r="M901" t="n">
        <v>0</v>
      </c>
      <c r="N901" t="n">
        <v>0</v>
      </c>
      <c r="O901" t="n">
        <v>0</v>
      </c>
      <c r="P901" t="n">
        <v>0</v>
      </c>
      <c r="Q901" t="n">
        <v>0</v>
      </c>
      <c r="R901" s="2" t="inlineStr"/>
    </row>
    <row r="902" ht="15" customHeight="1">
      <c r="A902" t="inlineStr">
        <is>
          <t>A 14008-2023</t>
        </is>
      </c>
      <c r="B902" s="1" t="n">
        <v>45008</v>
      </c>
      <c r="C902" s="1" t="n">
        <v>45744</v>
      </c>
      <c r="D902" t="inlineStr">
        <is>
          <t>SKÅNE LÄN</t>
        </is>
      </c>
      <c r="E902" t="inlineStr">
        <is>
          <t>HÄSSLEHOLM</t>
        </is>
      </c>
      <c r="G902" t="n">
        <v>3.3</v>
      </c>
      <c r="H902" t="n">
        <v>0</v>
      </c>
      <c r="I902" t="n">
        <v>0</v>
      </c>
      <c r="J902" t="n">
        <v>0</v>
      </c>
      <c r="K902" t="n">
        <v>0</v>
      </c>
      <c r="L902" t="n">
        <v>0</v>
      </c>
      <c r="M902" t="n">
        <v>0</v>
      </c>
      <c r="N902" t="n">
        <v>0</v>
      </c>
      <c r="O902" t="n">
        <v>0</v>
      </c>
      <c r="P902" t="n">
        <v>0</v>
      </c>
      <c r="Q902" t="n">
        <v>0</v>
      </c>
      <c r="R902" s="2" t="inlineStr"/>
    </row>
    <row r="903" ht="15" customHeight="1">
      <c r="A903" t="inlineStr">
        <is>
          <t>A 13961-2023</t>
        </is>
      </c>
      <c r="B903" s="1" t="n">
        <v>45008</v>
      </c>
      <c r="C903" s="1" t="n">
        <v>45744</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13998-2023</t>
        </is>
      </c>
      <c r="B904" s="1" t="n">
        <v>45008</v>
      </c>
      <c r="C904" s="1" t="n">
        <v>45744</v>
      </c>
      <c r="D904" t="inlineStr">
        <is>
          <t>SKÅNE LÄN</t>
        </is>
      </c>
      <c r="E904" t="inlineStr">
        <is>
          <t>HÄSSLEHOLM</t>
        </is>
      </c>
      <c r="G904" t="n">
        <v>4.8</v>
      </c>
      <c r="H904" t="n">
        <v>0</v>
      </c>
      <c r="I904" t="n">
        <v>0</v>
      </c>
      <c r="J904" t="n">
        <v>0</v>
      </c>
      <c r="K904" t="n">
        <v>0</v>
      </c>
      <c r="L904" t="n">
        <v>0</v>
      </c>
      <c r="M904" t="n">
        <v>0</v>
      </c>
      <c r="N904" t="n">
        <v>0</v>
      </c>
      <c r="O904" t="n">
        <v>0</v>
      </c>
      <c r="P904" t="n">
        <v>0</v>
      </c>
      <c r="Q904" t="n">
        <v>0</v>
      </c>
      <c r="R904" s="2" t="inlineStr"/>
    </row>
    <row r="905" ht="15" customHeight="1">
      <c r="A905" t="inlineStr">
        <is>
          <t>A 13954-2023</t>
        </is>
      </c>
      <c r="B905" s="1" t="n">
        <v>45008</v>
      </c>
      <c r="C905" s="1" t="n">
        <v>45744</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14002-2023</t>
        </is>
      </c>
      <c r="B906" s="1" t="n">
        <v>45008</v>
      </c>
      <c r="C906" s="1" t="n">
        <v>45744</v>
      </c>
      <c r="D906" t="inlineStr">
        <is>
          <t>SKÅNE LÄN</t>
        </is>
      </c>
      <c r="E906" t="inlineStr">
        <is>
          <t>HÄSSLEHOLM</t>
        </is>
      </c>
      <c r="G906" t="n">
        <v>3.6</v>
      </c>
      <c r="H906" t="n">
        <v>0</v>
      </c>
      <c r="I906" t="n">
        <v>0</v>
      </c>
      <c r="J906" t="n">
        <v>0</v>
      </c>
      <c r="K906" t="n">
        <v>0</v>
      </c>
      <c r="L906" t="n">
        <v>0</v>
      </c>
      <c r="M906" t="n">
        <v>0</v>
      </c>
      <c r="N906" t="n">
        <v>0</v>
      </c>
      <c r="O906" t="n">
        <v>0</v>
      </c>
      <c r="P906" t="n">
        <v>0</v>
      </c>
      <c r="Q906" t="n">
        <v>0</v>
      </c>
      <c r="R906" s="2" t="inlineStr"/>
    </row>
    <row r="907" ht="15" customHeight="1">
      <c r="A907" t="inlineStr">
        <is>
          <t>A 13992-2023</t>
        </is>
      </c>
      <c r="B907" s="1" t="n">
        <v>45008</v>
      </c>
      <c r="C907" s="1" t="n">
        <v>45744</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14145-2023</t>
        </is>
      </c>
      <c r="B908" s="1" t="n">
        <v>45009</v>
      </c>
      <c r="C908" s="1" t="n">
        <v>45744</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14633-2023</t>
        </is>
      </c>
      <c r="B909" s="1" t="n">
        <v>45013</v>
      </c>
      <c r="C909" s="1" t="n">
        <v>45744</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14612-2023</t>
        </is>
      </c>
      <c r="B910" s="1" t="n">
        <v>45013</v>
      </c>
      <c r="C910" s="1" t="n">
        <v>45744</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14666-2023</t>
        </is>
      </c>
      <c r="B911" s="1" t="n">
        <v>45013</v>
      </c>
      <c r="C911" s="1" t="n">
        <v>45744</v>
      </c>
      <c r="D911" t="inlineStr">
        <is>
          <t>SKÅNE LÄN</t>
        </is>
      </c>
      <c r="E911" t="inlineStr">
        <is>
          <t>HÄSSLEHOLM</t>
        </is>
      </c>
      <c r="G911" t="n">
        <v>3.1</v>
      </c>
      <c r="H911" t="n">
        <v>0</v>
      </c>
      <c r="I911" t="n">
        <v>0</v>
      </c>
      <c r="J911" t="n">
        <v>0</v>
      </c>
      <c r="K911" t="n">
        <v>0</v>
      </c>
      <c r="L911" t="n">
        <v>0</v>
      </c>
      <c r="M911" t="n">
        <v>0</v>
      </c>
      <c r="N911" t="n">
        <v>0</v>
      </c>
      <c r="O911" t="n">
        <v>0</v>
      </c>
      <c r="P911" t="n">
        <v>0</v>
      </c>
      <c r="Q911" t="n">
        <v>0</v>
      </c>
      <c r="R911" s="2" t="inlineStr"/>
    </row>
    <row r="912" ht="15" customHeight="1">
      <c r="A912" t="inlineStr">
        <is>
          <t>A 14615-2023</t>
        </is>
      </c>
      <c r="B912" s="1" t="n">
        <v>45013</v>
      </c>
      <c r="C912" s="1" t="n">
        <v>45744</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14700-2023</t>
        </is>
      </c>
      <c r="B913" s="1" t="n">
        <v>45014</v>
      </c>
      <c r="C913" s="1" t="n">
        <v>45744</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14939-2023</t>
        </is>
      </c>
      <c r="B914" s="1" t="n">
        <v>45014</v>
      </c>
      <c r="C914" s="1" t="n">
        <v>45744</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15053-2023</t>
        </is>
      </c>
      <c r="B915" s="1" t="n">
        <v>45015</v>
      </c>
      <c r="C915" s="1" t="n">
        <v>45744</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15055-2023</t>
        </is>
      </c>
      <c r="B916" s="1" t="n">
        <v>45015</v>
      </c>
      <c r="C916" s="1" t="n">
        <v>45744</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15060-2023</t>
        </is>
      </c>
      <c r="B917" s="1" t="n">
        <v>45015</v>
      </c>
      <c r="C917" s="1" t="n">
        <v>45744</v>
      </c>
      <c r="D917" t="inlineStr">
        <is>
          <t>SKÅNE LÄN</t>
        </is>
      </c>
      <c r="E917" t="inlineStr">
        <is>
          <t>HÄSSLEHOLM</t>
        </is>
      </c>
      <c r="G917" t="n">
        <v>1.7</v>
      </c>
      <c r="H917" t="n">
        <v>0</v>
      </c>
      <c r="I917" t="n">
        <v>0</v>
      </c>
      <c r="J917" t="n">
        <v>0</v>
      </c>
      <c r="K917" t="n">
        <v>0</v>
      </c>
      <c r="L917" t="n">
        <v>0</v>
      </c>
      <c r="M917" t="n">
        <v>0</v>
      </c>
      <c r="N917" t="n">
        <v>0</v>
      </c>
      <c r="O917" t="n">
        <v>0</v>
      </c>
      <c r="P917" t="n">
        <v>0</v>
      </c>
      <c r="Q917" t="n">
        <v>0</v>
      </c>
      <c r="R917" s="2" t="inlineStr"/>
    </row>
    <row r="918" ht="15" customHeight="1">
      <c r="A918" t="inlineStr">
        <is>
          <t>A 15104-2023</t>
        </is>
      </c>
      <c r="B918" s="1" t="n">
        <v>45016</v>
      </c>
      <c r="C918" s="1" t="n">
        <v>45744</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15133-2023</t>
        </is>
      </c>
      <c r="B919" s="1" t="n">
        <v>45016</v>
      </c>
      <c r="C919" s="1" t="n">
        <v>45744</v>
      </c>
      <c r="D919" t="inlineStr">
        <is>
          <t>SKÅNE LÄN</t>
        </is>
      </c>
      <c r="E919" t="inlineStr">
        <is>
          <t>HÄSSLEHOLM</t>
        </is>
      </c>
      <c r="G919" t="n">
        <v>7.8</v>
      </c>
      <c r="H919" t="n">
        <v>0</v>
      </c>
      <c r="I919" t="n">
        <v>0</v>
      </c>
      <c r="J919" t="n">
        <v>0</v>
      </c>
      <c r="K919" t="n">
        <v>0</v>
      </c>
      <c r="L919" t="n">
        <v>0</v>
      </c>
      <c r="M919" t="n">
        <v>0</v>
      </c>
      <c r="N919" t="n">
        <v>0</v>
      </c>
      <c r="O919" t="n">
        <v>0</v>
      </c>
      <c r="P919" t="n">
        <v>0</v>
      </c>
      <c r="Q919" t="n">
        <v>0</v>
      </c>
      <c r="R919" s="2" t="inlineStr"/>
    </row>
    <row r="920" ht="15" customHeight="1">
      <c r="A920" t="inlineStr">
        <is>
          <t>A 15546-2023</t>
        </is>
      </c>
      <c r="B920" s="1" t="n">
        <v>45018</v>
      </c>
      <c r="C920" s="1" t="n">
        <v>45744</v>
      </c>
      <c r="D920" t="inlineStr">
        <is>
          <t>SKÅNE LÄN</t>
        </is>
      </c>
      <c r="E920" t="inlineStr">
        <is>
          <t>HÄSSLEHOLM</t>
        </is>
      </c>
      <c r="G920" t="n">
        <v>4.2</v>
      </c>
      <c r="H920" t="n">
        <v>0</v>
      </c>
      <c r="I920" t="n">
        <v>0</v>
      </c>
      <c r="J920" t="n">
        <v>0</v>
      </c>
      <c r="K920" t="n">
        <v>0</v>
      </c>
      <c r="L920" t="n">
        <v>0</v>
      </c>
      <c r="M920" t="n">
        <v>0</v>
      </c>
      <c r="N920" t="n">
        <v>0</v>
      </c>
      <c r="O920" t="n">
        <v>0</v>
      </c>
      <c r="P920" t="n">
        <v>0</v>
      </c>
      <c r="Q920" t="n">
        <v>0</v>
      </c>
      <c r="R920" s="2" t="inlineStr"/>
    </row>
    <row r="921" ht="15" customHeight="1">
      <c r="A921" t="inlineStr">
        <is>
          <t>A 15508-2023</t>
        </is>
      </c>
      <c r="B921" s="1" t="n">
        <v>45020</v>
      </c>
      <c r="C921" s="1" t="n">
        <v>45744</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15603-2023</t>
        </is>
      </c>
      <c r="B922" s="1" t="n">
        <v>45020</v>
      </c>
      <c r="C922" s="1" t="n">
        <v>45744</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15698-2023</t>
        </is>
      </c>
      <c r="B923" s="1" t="n">
        <v>45021</v>
      </c>
      <c r="C923" s="1" t="n">
        <v>45744</v>
      </c>
      <c r="D923" t="inlineStr">
        <is>
          <t>SKÅNE LÄN</t>
        </is>
      </c>
      <c r="E923" t="inlineStr">
        <is>
          <t>HÄSSLEHOLM</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15701-2023</t>
        </is>
      </c>
      <c r="B924" s="1" t="n">
        <v>45021</v>
      </c>
      <c r="C924" s="1" t="n">
        <v>45744</v>
      </c>
      <c r="D924" t="inlineStr">
        <is>
          <t>SKÅNE LÄN</t>
        </is>
      </c>
      <c r="E924" t="inlineStr">
        <is>
          <t>HÄSSLEHOLM</t>
        </is>
      </c>
      <c r="F924" t="inlineStr">
        <is>
          <t>Kommuner</t>
        </is>
      </c>
      <c r="G924" t="n">
        <v>3.5</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v>
      </c>
      <c r="C925" s="1" t="n">
        <v>45744</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16017-2023</t>
        </is>
      </c>
      <c r="B926" s="1" t="n">
        <v>45026</v>
      </c>
      <c r="C926" s="1" t="n">
        <v>45744</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16454-2023</t>
        </is>
      </c>
      <c r="B927" s="1" t="n">
        <v>45029</v>
      </c>
      <c r="C927" s="1" t="n">
        <v>45744</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16891-2023</t>
        </is>
      </c>
      <c r="B928" s="1" t="n">
        <v>45033</v>
      </c>
      <c r="C928" s="1" t="n">
        <v>45744</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17176-2023</t>
        </is>
      </c>
      <c r="B929" s="1" t="n">
        <v>45034</v>
      </c>
      <c r="C929" s="1" t="n">
        <v>45744</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17535-2023</t>
        </is>
      </c>
      <c r="B930" s="1" t="n">
        <v>45036</v>
      </c>
      <c r="C930" s="1" t="n">
        <v>45744</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18063-2023</t>
        </is>
      </c>
      <c r="B931" s="1" t="n">
        <v>45040</v>
      </c>
      <c r="C931" s="1" t="n">
        <v>45744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18086-2023</t>
        </is>
      </c>
      <c r="B932" s="1" t="n">
        <v>45040</v>
      </c>
      <c r="C932" s="1" t="n">
        <v>45744</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18041-2023</t>
        </is>
      </c>
      <c r="B933" s="1" t="n">
        <v>45040</v>
      </c>
      <c r="C933" s="1" t="n">
        <v>45744</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18335-2023</t>
        </is>
      </c>
      <c r="B934" s="1" t="n">
        <v>45041</v>
      </c>
      <c r="C934" s="1" t="n">
        <v>45744</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18623-2023</t>
        </is>
      </c>
      <c r="B935" s="1" t="n">
        <v>45043</v>
      </c>
      <c r="C935" s="1" t="n">
        <v>45744</v>
      </c>
      <c r="D935" t="inlineStr">
        <is>
          <t>SKÅNE LÄN</t>
        </is>
      </c>
      <c r="E935" t="inlineStr">
        <is>
          <t>HÄSSLEHOLM</t>
        </is>
      </c>
      <c r="G935" t="n">
        <v>3.2</v>
      </c>
      <c r="H935" t="n">
        <v>0</v>
      </c>
      <c r="I935" t="n">
        <v>0</v>
      </c>
      <c r="J935" t="n">
        <v>0</v>
      </c>
      <c r="K935" t="n">
        <v>0</v>
      </c>
      <c r="L935" t="n">
        <v>0</v>
      </c>
      <c r="M935" t="n">
        <v>0</v>
      </c>
      <c r="N935" t="n">
        <v>0</v>
      </c>
      <c r="O935" t="n">
        <v>0</v>
      </c>
      <c r="P935" t="n">
        <v>0</v>
      </c>
      <c r="Q935" t="n">
        <v>0</v>
      </c>
      <c r="R935" s="2" t="inlineStr"/>
    </row>
    <row r="936" ht="15" customHeight="1">
      <c r="A936" t="inlineStr">
        <is>
          <t>A 18577-2023</t>
        </is>
      </c>
      <c r="B936" s="1" t="n">
        <v>45043</v>
      </c>
      <c r="C936" s="1" t="n">
        <v>45744</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18580-2023</t>
        </is>
      </c>
      <c r="B937" s="1" t="n">
        <v>45043</v>
      </c>
      <c r="C937" s="1" t="n">
        <v>45744</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18908-2023</t>
        </is>
      </c>
      <c r="B938" s="1" t="n">
        <v>45044</v>
      </c>
      <c r="C938" s="1" t="n">
        <v>45744</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18800-2023</t>
        </is>
      </c>
      <c r="B939" s="1" t="n">
        <v>45044</v>
      </c>
      <c r="C939" s="1" t="n">
        <v>45744</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19151-2023</t>
        </is>
      </c>
      <c r="B940" s="1" t="n">
        <v>45044</v>
      </c>
      <c r="C940" s="1" t="n">
        <v>45744</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18938-2023</t>
        </is>
      </c>
      <c r="B941" s="1" t="n">
        <v>45044</v>
      </c>
      <c r="C941" s="1" t="n">
        <v>45744</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19141-2023</t>
        </is>
      </c>
      <c r="B942" s="1" t="n">
        <v>45048</v>
      </c>
      <c r="C942" s="1" t="n">
        <v>45744</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19367-2023</t>
        </is>
      </c>
      <c r="B943" s="1" t="n">
        <v>45049</v>
      </c>
      <c r="C943" s="1" t="n">
        <v>45744</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19593-2023</t>
        </is>
      </c>
      <c r="B944" s="1" t="n">
        <v>45050</v>
      </c>
      <c r="C944" s="1" t="n">
        <v>45744</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19739-2023</t>
        </is>
      </c>
      <c r="B945" s="1" t="n">
        <v>45051</v>
      </c>
      <c r="C945" s="1" t="n">
        <v>45744</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19735-2023</t>
        </is>
      </c>
      <c r="B946" s="1" t="n">
        <v>45051</v>
      </c>
      <c r="C946" s="1" t="n">
        <v>45744</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19796-2023</t>
        </is>
      </c>
      <c r="B947" s="1" t="n">
        <v>45051</v>
      </c>
      <c r="C947" s="1" t="n">
        <v>45744</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19744-2023</t>
        </is>
      </c>
      <c r="B948" s="1" t="n">
        <v>45051</v>
      </c>
      <c r="C948" s="1" t="n">
        <v>45744</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19978-2023</t>
        </is>
      </c>
      <c r="B949" s="1" t="n">
        <v>45054</v>
      </c>
      <c r="C949" s="1" t="n">
        <v>45744</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20058-2023</t>
        </is>
      </c>
      <c r="B950" s="1" t="n">
        <v>45054</v>
      </c>
      <c r="C950" s="1" t="n">
        <v>45744</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20185-2023</t>
        </is>
      </c>
      <c r="B951" s="1" t="n">
        <v>45055</v>
      </c>
      <c r="C951" s="1" t="n">
        <v>45744</v>
      </c>
      <c r="D951" t="inlineStr">
        <is>
          <t>SKÅNE LÄN</t>
        </is>
      </c>
      <c r="E951" t="inlineStr">
        <is>
          <t>HÄSSLEHOLM</t>
        </is>
      </c>
      <c r="G951" t="n">
        <v>3.5</v>
      </c>
      <c r="H951" t="n">
        <v>0</v>
      </c>
      <c r="I951" t="n">
        <v>0</v>
      </c>
      <c r="J951" t="n">
        <v>0</v>
      </c>
      <c r="K951" t="n">
        <v>0</v>
      </c>
      <c r="L951" t="n">
        <v>0</v>
      </c>
      <c r="M951" t="n">
        <v>0</v>
      </c>
      <c r="N951" t="n">
        <v>0</v>
      </c>
      <c r="O951" t="n">
        <v>0</v>
      </c>
      <c r="P951" t="n">
        <v>0</v>
      </c>
      <c r="Q951" t="n">
        <v>0</v>
      </c>
      <c r="R951" s="2" t="inlineStr"/>
    </row>
    <row r="952" ht="15" customHeight="1">
      <c r="A952" t="inlineStr">
        <is>
          <t>A 20203-2023</t>
        </is>
      </c>
      <c r="B952" s="1" t="n">
        <v>45055</v>
      </c>
      <c r="C952" s="1" t="n">
        <v>45744</v>
      </c>
      <c r="D952" t="inlineStr">
        <is>
          <t>SKÅNE LÄN</t>
        </is>
      </c>
      <c r="E952" t="inlineStr">
        <is>
          <t>HÄSSLEHOLM</t>
        </is>
      </c>
      <c r="G952" t="n">
        <v>4.3</v>
      </c>
      <c r="H952" t="n">
        <v>0</v>
      </c>
      <c r="I952" t="n">
        <v>0</v>
      </c>
      <c r="J952" t="n">
        <v>0</v>
      </c>
      <c r="K952" t="n">
        <v>0</v>
      </c>
      <c r="L952" t="n">
        <v>0</v>
      </c>
      <c r="M952" t="n">
        <v>0</v>
      </c>
      <c r="N952" t="n">
        <v>0</v>
      </c>
      <c r="O952" t="n">
        <v>0</v>
      </c>
      <c r="P952" t="n">
        <v>0</v>
      </c>
      <c r="Q952" t="n">
        <v>0</v>
      </c>
      <c r="R952" s="2" t="inlineStr"/>
    </row>
    <row r="953" ht="15" customHeight="1">
      <c r="A953" t="inlineStr">
        <is>
          <t>A 20187-2023</t>
        </is>
      </c>
      <c r="B953" s="1" t="n">
        <v>45055</v>
      </c>
      <c r="C953" s="1" t="n">
        <v>45744</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20846-2023</t>
        </is>
      </c>
      <c r="B954" s="1" t="n">
        <v>45056</v>
      </c>
      <c r="C954" s="1" t="n">
        <v>45744</v>
      </c>
      <c r="D954" t="inlineStr">
        <is>
          <t>SKÅNE LÄN</t>
        </is>
      </c>
      <c r="E954" t="inlineStr">
        <is>
          <t>HÄSSLEHOLM</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20566-2023</t>
        </is>
      </c>
      <c r="B955" s="1" t="n">
        <v>45057</v>
      </c>
      <c r="C955" s="1" t="n">
        <v>45744</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20564-2023</t>
        </is>
      </c>
      <c r="B956" s="1" t="n">
        <v>45057</v>
      </c>
      <c r="C956" s="1" t="n">
        <v>45744</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20800-2023</t>
        </is>
      </c>
      <c r="B957" s="1" t="n">
        <v>45058</v>
      </c>
      <c r="C957" s="1" t="n">
        <v>45744</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20666-2023</t>
        </is>
      </c>
      <c r="B958" s="1" t="n">
        <v>45058</v>
      </c>
      <c r="C958" s="1" t="n">
        <v>45744</v>
      </c>
      <c r="D958" t="inlineStr">
        <is>
          <t>SKÅNE LÄN</t>
        </is>
      </c>
      <c r="E958" t="inlineStr">
        <is>
          <t>HÄSSLEHOLM</t>
        </is>
      </c>
      <c r="F958" t="inlineStr">
        <is>
          <t>Kyrkan</t>
        </is>
      </c>
      <c r="G958" t="n">
        <v>1.3</v>
      </c>
      <c r="H958" t="n">
        <v>0</v>
      </c>
      <c r="I958" t="n">
        <v>0</v>
      </c>
      <c r="J958" t="n">
        <v>0</v>
      </c>
      <c r="K958" t="n">
        <v>0</v>
      </c>
      <c r="L958" t="n">
        <v>0</v>
      </c>
      <c r="M958" t="n">
        <v>0</v>
      </c>
      <c r="N958" t="n">
        <v>0</v>
      </c>
      <c r="O958" t="n">
        <v>0</v>
      </c>
      <c r="P958" t="n">
        <v>0</v>
      </c>
      <c r="Q958" t="n">
        <v>0</v>
      </c>
      <c r="R958" s="2" t="inlineStr"/>
    </row>
    <row r="959" ht="15" customHeight="1">
      <c r="A959" t="inlineStr">
        <is>
          <t>A 20797-2023</t>
        </is>
      </c>
      <c r="B959" s="1" t="n">
        <v>45058</v>
      </c>
      <c r="C959" s="1" t="n">
        <v>45744</v>
      </c>
      <c r="D959" t="inlineStr">
        <is>
          <t>SKÅNE LÄN</t>
        </is>
      </c>
      <c r="E959" t="inlineStr">
        <is>
          <t>HÄSSLEHOLM</t>
        </is>
      </c>
      <c r="G959" t="n">
        <v>5.4</v>
      </c>
      <c r="H959" t="n">
        <v>0</v>
      </c>
      <c r="I959" t="n">
        <v>0</v>
      </c>
      <c r="J959" t="n">
        <v>0</v>
      </c>
      <c r="K959" t="n">
        <v>0</v>
      </c>
      <c r="L959" t="n">
        <v>0</v>
      </c>
      <c r="M959" t="n">
        <v>0</v>
      </c>
      <c r="N959" t="n">
        <v>0</v>
      </c>
      <c r="O959" t="n">
        <v>0</v>
      </c>
      <c r="P959" t="n">
        <v>0</v>
      </c>
      <c r="Q959" t="n">
        <v>0</v>
      </c>
      <c r="R959" s="2" t="inlineStr"/>
    </row>
    <row r="960" ht="15" customHeight="1">
      <c r="A960" t="inlineStr">
        <is>
          <t>A 20990-2023</t>
        </is>
      </c>
      <c r="B960" s="1" t="n">
        <v>45061</v>
      </c>
      <c r="C960" s="1" t="n">
        <v>45744</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21328-2023</t>
        </is>
      </c>
      <c r="B961" s="1" t="n">
        <v>45062</v>
      </c>
      <c r="C961" s="1" t="n">
        <v>45744</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21325-2023</t>
        </is>
      </c>
      <c r="B962" s="1" t="n">
        <v>45062</v>
      </c>
      <c r="C962" s="1" t="n">
        <v>45744</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21329-2023</t>
        </is>
      </c>
      <c r="B963" s="1" t="n">
        <v>45062</v>
      </c>
      <c r="C963" s="1" t="n">
        <v>45744</v>
      </c>
      <c r="D963" t="inlineStr">
        <is>
          <t>SKÅNE LÄN</t>
        </is>
      </c>
      <c r="E963" t="inlineStr">
        <is>
          <t>HÄSSLEHOLM</t>
        </is>
      </c>
      <c r="G963" t="n">
        <v>1.1</v>
      </c>
      <c r="H963" t="n">
        <v>0</v>
      </c>
      <c r="I963" t="n">
        <v>0</v>
      </c>
      <c r="J963" t="n">
        <v>0</v>
      </c>
      <c r="K963" t="n">
        <v>0</v>
      </c>
      <c r="L963" t="n">
        <v>0</v>
      </c>
      <c r="M963" t="n">
        <v>0</v>
      </c>
      <c r="N963" t="n">
        <v>0</v>
      </c>
      <c r="O963" t="n">
        <v>0</v>
      </c>
      <c r="P963" t="n">
        <v>0</v>
      </c>
      <c r="Q963" t="n">
        <v>0</v>
      </c>
      <c r="R963" s="2" t="inlineStr"/>
    </row>
    <row r="964" ht="15" customHeight="1">
      <c r="A964" t="inlineStr">
        <is>
          <t>A 21495-2023</t>
        </is>
      </c>
      <c r="B964" s="1" t="n">
        <v>45063</v>
      </c>
      <c r="C964" s="1" t="n">
        <v>45744</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21542-2023</t>
        </is>
      </c>
      <c r="B965" s="1" t="n">
        <v>45063</v>
      </c>
      <c r="C965" s="1" t="n">
        <v>45744</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21494-2023</t>
        </is>
      </c>
      <c r="B966" s="1" t="n">
        <v>45063</v>
      </c>
      <c r="C966" s="1" t="n">
        <v>45744</v>
      </c>
      <c r="D966" t="inlineStr">
        <is>
          <t>SKÅNE LÄN</t>
        </is>
      </c>
      <c r="E966" t="inlineStr">
        <is>
          <t>HÄSSLEHOLM</t>
        </is>
      </c>
      <c r="G966" t="n">
        <v>3.7</v>
      </c>
      <c r="H966" t="n">
        <v>0</v>
      </c>
      <c r="I966" t="n">
        <v>0</v>
      </c>
      <c r="J966" t="n">
        <v>0</v>
      </c>
      <c r="K966" t="n">
        <v>0</v>
      </c>
      <c r="L966" t="n">
        <v>0</v>
      </c>
      <c r="M966" t="n">
        <v>0</v>
      </c>
      <c r="N966" t="n">
        <v>0</v>
      </c>
      <c r="O966" t="n">
        <v>0</v>
      </c>
      <c r="P966" t="n">
        <v>0</v>
      </c>
      <c r="Q966" t="n">
        <v>0</v>
      </c>
      <c r="R966" s="2" t="inlineStr"/>
    </row>
    <row r="967" ht="15" customHeight="1">
      <c r="A967" t="inlineStr">
        <is>
          <t>A 21867-2023</t>
        </is>
      </c>
      <c r="B967" s="1" t="n">
        <v>45063</v>
      </c>
      <c r="C967" s="1" t="n">
        <v>45744</v>
      </c>
      <c r="D967" t="inlineStr">
        <is>
          <t>SKÅNE LÄN</t>
        </is>
      </c>
      <c r="E967" t="inlineStr">
        <is>
          <t>HÄSSLEHOLM</t>
        </is>
      </c>
      <c r="G967" t="n">
        <v>7.6</v>
      </c>
      <c r="H967" t="n">
        <v>0</v>
      </c>
      <c r="I967" t="n">
        <v>0</v>
      </c>
      <c r="J967" t="n">
        <v>0</v>
      </c>
      <c r="K967" t="n">
        <v>0</v>
      </c>
      <c r="L967" t="n">
        <v>0</v>
      </c>
      <c r="M967" t="n">
        <v>0</v>
      </c>
      <c r="N967" t="n">
        <v>0</v>
      </c>
      <c r="O967" t="n">
        <v>0</v>
      </c>
      <c r="P967" t="n">
        <v>0</v>
      </c>
      <c r="Q967" t="n">
        <v>0</v>
      </c>
      <c r="R967" s="2" t="inlineStr"/>
    </row>
    <row r="968" ht="15" customHeight="1">
      <c r="A968" t="inlineStr">
        <is>
          <t>A 22140-2023</t>
        </is>
      </c>
      <c r="B968" s="1" t="n">
        <v>45065</v>
      </c>
      <c r="C968" s="1" t="n">
        <v>45744</v>
      </c>
      <c r="D968" t="inlineStr">
        <is>
          <t>SKÅNE LÄN</t>
        </is>
      </c>
      <c r="E968" t="inlineStr">
        <is>
          <t>HÄSSLEHOLM</t>
        </is>
      </c>
      <c r="G968" t="n">
        <v>6.7</v>
      </c>
      <c r="H968" t="n">
        <v>0</v>
      </c>
      <c r="I968" t="n">
        <v>0</v>
      </c>
      <c r="J968" t="n">
        <v>0</v>
      </c>
      <c r="K968" t="n">
        <v>0</v>
      </c>
      <c r="L968" t="n">
        <v>0</v>
      </c>
      <c r="M968" t="n">
        <v>0</v>
      </c>
      <c r="N968" t="n">
        <v>0</v>
      </c>
      <c r="O968" t="n">
        <v>0</v>
      </c>
      <c r="P968" t="n">
        <v>0</v>
      </c>
      <c r="Q968" t="n">
        <v>0</v>
      </c>
      <c r="R968" s="2" t="inlineStr"/>
    </row>
    <row r="969" ht="15" customHeight="1">
      <c r="A969" t="inlineStr">
        <is>
          <t>A 21879-2023</t>
        </is>
      </c>
      <c r="B969" s="1" t="n">
        <v>45068</v>
      </c>
      <c r="C969" s="1" t="n">
        <v>45744</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21873-2023</t>
        </is>
      </c>
      <c r="B970" s="1" t="n">
        <v>45068</v>
      </c>
      <c r="C970" s="1" t="n">
        <v>45744</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21877-2023</t>
        </is>
      </c>
      <c r="B971" s="1" t="n">
        <v>45068</v>
      </c>
      <c r="C971" s="1" t="n">
        <v>45744</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22628-2023</t>
        </is>
      </c>
      <c r="B972" s="1" t="n">
        <v>45071</v>
      </c>
      <c r="C972" s="1" t="n">
        <v>45744</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v>
      </c>
      <c r="C973" s="1" t="n">
        <v>45744</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23643-2023</t>
        </is>
      </c>
      <c r="B974" s="1" t="n">
        <v>45072</v>
      </c>
      <c r="C974" s="1" t="n">
        <v>45744</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23666-2023</t>
        </is>
      </c>
      <c r="B975" s="1" t="n">
        <v>45077</v>
      </c>
      <c r="C975" s="1" t="n">
        <v>45744</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23683-2023</t>
        </is>
      </c>
      <c r="B976" s="1" t="n">
        <v>45077</v>
      </c>
      <c r="C976" s="1" t="n">
        <v>45744</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23723-2023</t>
        </is>
      </c>
      <c r="B977" s="1" t="n">
        <v>45077</v>
      </c>
      <c r="C977" s="1" t="n">
        <v>45744</v>
      </c>
      <c r="D977" t="inlineStr">
        <is>
          <t>SKÅNE LÄN</t>
        </is>
      </c>
      <c r="E977" t="inlineStr">
        <is>
          <t>HÄSSLEHOLM</t>
        </is>
      </c>
      <c r="G977" t="n">
        <v>3.9</v>
      </c>
      <c r="H977" t="n">
        <v>0</v>
      </c>
      <c r="I977" t="n">
        <v>0</v>
      </c>
      <c r="J977" t="n">
        <v>0</v>
      </c>
      <c r="K977" t="n">
        <v>0</v>
      </c>
      <c r="L977" t="n">
        <v>0</v>
      </c>
      <c r="M977" t="n">
        <v>0</v>
      </c>
      <c r="N977" t="n">
        <v>0</v>
      </c>
      <c r="O977" t="n">
        <v>0</v>
      </c>
      <c r="P977" t="n">
        <v>0</v>
      </c>
      <c r="Q977" t="n">
        <v>0</v>
      </c>
      <c r="R977" s="2" t="inlineStr"/>
    </row>
    <row r="978" ht="15" customHeight="1">
      <c r="A978" t="inlineStr">
        <is>
          <t>A 23684-2023</t>
        </is>
      </c>
      <c r="B978" s="1" t="n">
        <v>45077</v>
      </c>
      <c r="C978" s="1" t="n">
        <v>45744</v>
      </c>
      <c r="D978" t="inlineStr">
        <is>
          <t>SKÅNE LÄN</t>
        </is>
      </c>
      <c r="E978" t="inlineStr">
        <is>
          <t>HÄSSLEHOLM</t>
        </is>
      </c>
      <c r="G978" t="n">
        <v>3.7</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v>
      </c>
      <c r="C979" s="1" t="n">
        <v>45744</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23946-2023</t>
        </is>
      </c>
      <c r="B980" s="1" t="n">
        <v>45078</v>
      </c>
      <c r="C980" s="1" t="n">
        <v>45744</v>
      </c>
      <c r="D980" t="inlineStr">
        <is>
          <t>SKÅNE LÄN</t>
        </is>
      </c>
      <c r="E980" t="inlineStr">
        <is>
          <t>HÄSSLEHOLM</t>
        </is>
      </c>
      <c r="G980" t="n">
        <v>0.2</v>
      </c>
      <c r="H980" t="n">
        <v>0</v>
      </c>
      <c r="I980" t="n">
        <v>0</v>
      </c>
      <c r="J980" t="n">
        <v>0</v>
      </c>
      <c r="K980" t="n">
        <v>0</v>
      </c>
      <c r="L980" t="n">
        <v>0</v>
      </c>
      <c r="M980" t="n">
        <v>0</v>
      </c>
      <c r="N980" t="n">
        <v>0</v>
      </c>
      <c r="O980" t="n">
        <v>0</v>
      </c>
      <c r="P980" t="n">
        <v>0</v>
      </c>
      <c r="Q980" t="n">
        <v>0</v>
      </c>
      <c r="R980" s="2" t="inlineStr"/>
    </row>
    <row r="981" ht="15" customHeight="1">
      <c r="A981" t="inlineStr">
        <is>
          <t>A 23950-2023</t>
        </is>
      </c>
      <c r="B981" s="1" t="n">
        <v>45078</v>
      </c>
      <c r="C981" s="1" t="n">
        <v>45744</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23959-2023</t>
        </is>
      </c>
      <c r="B982" s="1" t="n">
        <v>45078</v>
      </c>
      <c r="C982" s="1" t="n">
        <v>45744</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23957-2023</t>
        </is>
      </c>
      <c r="B983" s="1" t="n">
        <v>45078</v>
      </c>
      <c r="C983" s="1" t="n">
        <v>45744</v>
      </c>
      <c r="D983" t="inlineStr">
        <is>
          <t>SKÅNE LÄN</t>
        </is>
      </c>
      <c r="E983" t="inlineStr">
        <is>
          <t>HÄSSLEHOLM</t>
        </is>
      </c>
      <c r="G983" t="n">
        <v>4.8</v>
      </c>
      <c r="H983" t="n">
        <v>0</v>
      </c>
      <c r="I983" t="n">
        <v>0</v>
      </c>
      <c r="J983" t="n">
        <v>0</v>
      </c>
      <c r="K983" t="n">
        <v>0</v>
      </c>
      <c r="L983" t="n">
        <v>0</v>
      </c>
      <c r="M983" t="n">
        <v>0</v>
      </c>
      <c r="N983" t="n">
        <v>0</v>
      </c>
      <c r="O983" t="n">
        <v>0</v>
      </c>
      <c r="P983" t="n">
        <v>0</v>
      </c>
      <c r="Q983" t="n">
        <v>0</v>
      </c>
      <c r="R983" s="2" t="inlineStr"/>
    </row>
    <row r="984" ht="15" customHeight="1">
      <c r="A984" t="inlineStr">
        <is>
          <t>A 23952-2023</t>
        </is>
      </c>
      <c r="B984" s="1" t="n">
        <v>45078</v>
      </c>
      <c r="C984" s="1" t="n">
        <v>45744</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23956-2023</t>
        </is>
      </c>
      <c r="B985" s="1" t="n">
        <v>45078</v>
      </c>
      <c r="C985" s="1" t="n">
        <v>45744</v>
      </c>
      <c r="D985" t="inlineStr">
        <is>
          <t>SKÅNE LÄN</t>
        </is>
      </c>
      <c r="E985" t="inlineStr">
        <is>
          <t>HÄSSLEHOLM</t>
        </is>
      </c>
      <c r="G985" t="n">
        <v>0.1</v>
      </c>
      <c r="H985" t="n">
        <v>0</v>
      </c>
      <c r="I985" t="n">
        <v>0</v>
      </c>
      <c r="J985" t="n">
        <v>0</v>
      </c>
      <c r="K985" t="n">
        <v>0</v>
      </c>
      <c r="L985" t="n">
        <v>0</v>
      </c>
      <c r="M985" t="n">
        <v>0</v>
      </c>
      <c r="N985" t="n">
        <v>0</v>
      </c>
      <c r="O985" t="n">
        <v>0</v>
      </c>
      <c r="P985" t="n">
        <v>0</v>
      </c>
      <c r="Q985" t="n">
        <v>0</v>
      </c>
      <c r="R985" s="2" t="inlineStr"/>
    </row>
    <row r="986" ht="15" customHeight="1">
      <c r="A986" t="inlineStr">
        <is>
          <t>A 24246-2023</t>
        </is>
      </c>
      <c r="B986" s="1" t="n">
        <v>45079</v>
      </c>
      <c r="C986" s="1" t="n">
        <v>45744</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24241-2023</t>
        </is>
      </c>
      <c r="B987" s="1" t="n">
        <v>45079</v>
      </c>
      <c r="C987" s="1" t="n">
        <v>45744</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24249-2023</t>
        </is>
      </c>
      <c r="B988" s="1" t="n">
        <v>45079</v>
      </c>
      <c r="C988" s="1" t="n">
        <v>45744</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25483-2023</t>
        </is>
      </c>
      <c r="B989" s="1" t="n">
        <v>45081</v>
      </c>
      <c r="C989" s="1" t="n">
        <v>45744</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24370-2023</t>
        </is>
      </c>
      <c r="B990" s="1" t="n">
        <v>45082</v>
      </c>
      <c r="C990" s="1" t="n">
        <v>45744</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24640-2023</t>
        </is>
      </c>
      <c r="B991" s="1" t="n">
        <v>45084</v>
      </c>
      <c r="C991" s="1" t="n">
        <v>45744</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24679-2023</t>
        </is>
      </c>
      <c r="B992" s="1" t="n">
        <v>45084</v>
      </c>
      <c r="C992" s="1" t="n">
        <v>45744</v>
      </c>
      <c r="D992" t="inlineStr">
        <is>
          <t>SKÅNE LÄN</t>
        </is>
      </c>
      <c r="E992" t="inlineStr">
        <is>
          <t>HÄSSLEHOLM</t>
        </is>
      </c>
      <c r="G992" t="n">
        <v>7.1</v>
      </c>
      <c r="H992" t="n">
        <v>0</v>
      </c>
      <c r="I992" t="n">
        <v>0</v>
      </c>
      <c r="J992" t="n">
        <v>0</v>
      </c>
      <c r="K992" t="n">
        <v>0</v>
      </c>
      <c r="L992" t="n">
        <v>0</v>
      </c>
      <c r="M992" t="n">
        <v>0</v>
      </c>
      <c r="N992" t="n">
        <v>0</v>
      </c>
      <c r="O992" t="n">
        <v>0</v>
      </c>
      <c r="P992" t="n">
        <v>0</v>
      </c>
      <c r="Q992" t="n">
        <v>0</v>
      </c>
      <c r="R992" s="2" t="inlineStr"/>
    </row>
    <row r="993" ht="15" customHeight="1">
      <c r="A993" t="inlineStr">
        <is>
          <t>A 25219-2023</t>
        </is>
      </c>
      <c r="B993" s="1" t="n">
        <v>45086</v>
      </c>
      <c r="C993" s="1" t="n">
        <v>45744</v>
      </c>
      <c r="D993" t="inlineStr">
        <is>
          <t>SKÅNE LÄN</t>
        </is>
      </c>
      <c r="E993" t="inlineStr">
        <is>
          <t>HÄSSLEHOLM</t>
        </is>
      </c>
      <c r="G993" t="n">
        <v>6.9</v>
      </c>
      <c r="H993" t="n">
        <v>0</v>
      </c>
      <c r="I993" t="n">
        <v>0</v>
      </c>
      <c r="J993" t="n">
        <v>0</v>
      </c>
      <c r="K993" t="n">
        <v>0</v>
      </c>
      <c r="L993" t="n">
        <v>0</v>
      </c>
      <c r="M993" t="n">
        <v>0</v>
      </c>
      <c r="N993" t="n">
        <v>0</v>
      </c>
      <c r="O993" t="n">
        <v>0</v>
      </c>
      <c r="P993" t="n">
        <v>0</v>
      </c>
      <c r="Q993" t="n">
        <v>0</v>
      </c>
      <c r="R993" s="2" t="inlineStr"/>
    </row>
    <row r="994" ht="15" customHeight="1">
      <c r="A994" t="inlineStr">
        <is>
          <t>A 25221-2023</t>
        </is>
      </c>
      <c r="B994" s="1" t="n">
        <v>45086</v>
      </c>
      <c r="C994" s="1" t="n">
        <v>45744</v>
      </c>
      <c r="D994" t="inlineStr">
        <is>
          <t>SKÅNE LÄN</t>
        </is>
      </c>
      <c r="E994" t="inlineStr">
        <is>
          <t>HÄSSLEHOLM</t>
        </is>
      </c>
      <c r="G994" t="n">
        <v>2.5</v>
      </c>
      <c r="H994" t="n">
        <v>0</v>
      </c>
      <c r="I994" t="n">
        <v>0</v>
      </c>
      <c r="J994" t="n">
        <v>0</v>
      </c>
      <c r="K994" t="n">
        <v>0</v>
      </c>
      <c r="L994" t="n">
        <v>0</v>
      </c>
      <c r="M994" t="n">
        <v>0</v>
      </c>
      <c r="N994" t="n">
        <v>0</v>
      </c>
      <c r="O994" t="n">
        <v>0</v>
      </c>
      <c r="P994" t="n">
        <v>0</v>
      </c>
      <c r="Q994" t="n">
        <v>0</v>
      </c>
      <c r="R994" s="2" t="inlineStr"/>
    </row>
    <row r="995" ht="15" customHeight="1">
      <c r="A995" t="inlineStr">
        <is>
          <t>A 25213-2023</t>
        </is>
      </c>
      <c r="B995" s="1" t="n">
        <v>45086</v>
      </c>
      <c r="C995" s="1" t="n">
        <v>45744</v>
      </c>
      <c r="D995" t="inlineStr">
        <is>
          <t>SKÅNE LÄN</t>
        </is>
      </c>
      <c r="E995" t="inlineStr">
        <is>
          <t>HÄSSLEHOLM</t>
        </is>
      </c>
      <c r="G995" t="n">
        <v>7.2</v>
      </c>
      <c r="H995" t="n">
        <v>0</v>
      </c>
      <c r="I995" t="n">
        <v>0</v>
      </c>
      <c r="J995" t="n">
        <v>0</v>
      </c>
      <c r="K995" t="n">
        <v>0</v>
      </c>
      <c r="L995" t="n">
        <v>0</v>
      </c>
      <c r="M995" t="n">
        <v>0</v>
      </c>
      <c r="N995" t="n">
        <v>0</v>
      </c>
      <c r="O995" t="n">
        <v>0</v>
      </c>
      <c r="P995" t="n">
        <v>0</v>
      </c>
      <c r="Q995" t="n">
        <v>0</v>
      </c>
      <c r="R995" s="2" t="inlineStr"/>
    </row>
    <row r="996" ht="15" customHeight="1">
      <c r="A996" t="inlineStr">
        <is>
          <t>A 25206-2023</t>
        </is>
      </c>
      <c r="B996" s="1" t="n">
        <v>45086</v>
      </c>
      <c r="C996" s="1" t="n">
        <v>45744</v>
      </c>
      <c r="D996" t="inlineStr">
        <is>
          <t>SKÅNE LÄN</t>
        </is>
      </c>
      <c r="E996" t="inlineStr">
        <is>
          <t>HÄSSLEHOLM</t>
        </is>
      </c>
      <c r="G996" t="n">
        <v>2.9</v>
      </c>
      <c r="H996" t="n">
        <v>0</v>
      </c>
      <c r="I996" t="n">
        <v>0</v>
      </c>
      <c r="J996" t="n">
        <v>0</v>
      </c>
      <c r="K996" t="n">
        <v>0</v>
      </c>
      <c r="L996" t="n">
        <v>0</v>
      </c>
      <c r="M996" t="n">
        <v>0</v>
      </c>
      <c r="N996" t="n">
        <v>0</v>
      </c>
      <c r="O996" t="n">
        <v>0</v>
      </c>
      <c r="P996" t="n">
        <v>0</v>
      </c>
      <c r="Q996" t="n">
        <v>0</v>
      </c>
      <c r="R996" s="2" t="inlineStr"/>
    </row>
    <row r="997" ht="15" customHeight="1">
      <c r="A997" t="inlineStr">
        <is>
          <t>A 26397-2023</t>
        </is>
      </c>
      <c r="B997" s="1" t="n">
        <v>45087</v>
      </c>
      <c r="C997" s="1" t="n">
        <v>45744</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25511-2023</t>
        </is>
      </c>
      <c r="B998" s="1" t="n">
        <v>45089</v>
      </c>
      <c r="C998" s="1" t="n">
        <v>45744</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25773-2023</t>
        </is>
      </c>
      <c r="B999" s="1" t="n">
        <v>45090</v>
      </c>
      <c r="C999" s="1" t="n">
        <v>45744</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26641-2023</t>
        </is>
      </c>
      <c r="B1000" s="1" t="n">
        <v>45092</v>
      </c>
      <c r="C1000" s="1" t="n">
        <v>45744</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26642-2023</t>
        </is>
      </c>
      <c r="B1001" s="1" t="n">
        <v>45092</v>
      </c>
      <c r="C1001" s="1" t="n">
        <v>45744</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27502-2023</t>
        </is>
      </c>
      <c r="B1002" s="1" t="n">
        <v>45092</v>
      </c>
      <c r="C1002" s="1" t="n">
        <v>45744</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27478-2023</t>
        </is>
      </c>
      <c r="B1003" s="1" t="n">
        <v>45092</v>
      </c>
      <c r="C1003" s="1" t="n">
        <v>45744</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27297-2023</t>
        </is>
      </c>
      <c r="B1004" s="1" t="n">
        <v>45096</v>
      </c>
      <c r="C1004" s="1" t="n">
        <v>45744</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27291-2023</t>
        </is>
      </c>
      <c r="B1005" s="1" t="n">
        <v>45096</v>
      </c>
      <c r="C1005" s="1" t="n">
        <v>45744</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27304-2023</t>
        </is>
      </c>
      <c r="B1006" s="1" t="n">
        <v>45096</v>
      </c>
      <c r="C1006" s="1" t="n">
        <v>45744</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27481-2023</t>
        </is>
      </c>
      <c r="B1007" s="1" t="n">
        <v>45097</v>
      </c>
      <c r="C1007" s="1" t="n">
        <v>45744</v>
      </c>
      <c r="D1007" t="inlineStr">
        <is>
          <t>SKÅNE LÄN</t>
        </is>
      </c>
      <c r="E1007" t="inlineStr">
        <is>
          <t>HÄSSLEHOLM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29287-2023</t>
        </is>
      </c>
      <c r="B1008" s="1" t="n">
        <v>45098</v>
      </c>
      <c r="C1008" s="1" t="n">
        <v>45744</v>
      </c>
      <c r="D1008" t="inlineStr">
        <is>
          <t>SKÅNE LÄN</t>
        </is>
      </c>
      <c r="E1008" t="inlineStr">
        <is>
          <t>HÄSSLEHOLM</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28057-2023</t>
        </is>
      </c>
      <c r="B1009" s="1" t="n">
        <v>45099</v>
      </c>
      <c r="C1009" s="1" t="n">
        <v>45744</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28071-2023</t>
        </is>
      </c>
      <c r="B1010" s="1" t="n">
        <v>45099</v>
      </c>
      <c r="C1010" s="1" t="n">
        <v>45744</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28597-2023</t>
        </is>
      </c>
      <c r="B1011" s="1" t="n">
        <v>45103</v>
      </c>
      <c r="C1011" s="1" t="n">
        <v>45744</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29275-2023</t>
        </is>
      </c>
      <c r="B1012" s="1" t="n">
        <v>45105</v>
      </c>
      <c r="C1012" s="1" t="n">
        <v>45744</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29274-2023</t>
        </is>
      </c>
      <c r="B1013" s="1" t="n">
        <v>45105</v>
      </c>
      <c r="C1013" s="1" t="n">
        <v>45744</v>
      </c>
      <c r="D1013" t="inlineStr">
        <is>
          <t>SKÅNE LÄN</t>
        </is>
      </c>
      <c r="E1013" t="inlineStr">
        <is>
          <t>HÄSSLEHOLM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29276-2023</t>
        </is>
      </c>
      <c r="B1014" s="1" t="n">
        <v>45105</v>
      </c>
      <c r="C1014" s="1" t="n">
        <v>45744</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29889-2023</t>
        </is>
      </c>
      <c r="B1015" s="1" t="n">
        <v>45107</v>
      </c>
      <c r="C1015" s="1" t="n">
        <v>45744</v>
      </c>
      <c r="D1015" t="inlineStr">
        <is>
          <t>SKÅNE LÄN</t>
        </is>
      </c>
      <c r="E1015" t="inlineStr">
        <is>
          <t>HÄSSLEHOLM</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31995-2023</t>
        </is>
      </c>
      <c r="B1016" s="1" t="n">
        <v>45107</v>
      </c>
      <c r="C1016" s="1" t="n">
        <v>45744</v>
      </c>
      <c r="D1016" t="inlineStr">
        <is>
          <t>SKÅNE LÄN</t>
        </is>
      </c>
      <c r="E1016" t="inlineStr">
        <is>
          <t>HÄSSLEHOLM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29994-2023</t>
        </is>
      </c>
      <c r="B1017" s="1" t="n">
        <v>45109</v>
      </c>
      <c r="C1017" s="1" t="n">
        <v>45744</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30006-2023</t>
        </is>
      </c>
      <c r="B1018" s="1" t="n">
        <v>45109</v>
      </c>
      <c r="C1018" s="1" t="n">
        <v>45744</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30007-2023</t>
        </is>
      </c>
      <c r="B1019" s="1" t="n">
        <v>45109</v>
      </c>
      <c r="C1019" s="1" t="n">
        <v>45744</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30021-2023</t>
        </is>
      </c>
      <c r="B1020" s="1" t="n">
        <v>45110</v>
      </c>
      <c r="C1020" s="1" t="n">
        <v>45744</v>
      </c>
      <c r="D1020" t="inlineStr">
        <is>
          <t>SKÅNE LÄN</t>
        </is>
      </c>
      <c r="E1020" t="inlineStr">
        <is>
          <t>HÄSSLEHOLM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30192-2023</t>
        </is>
      </c>
      <c r="B1021" s="1" t="n">
        <v>45110</v>
      </c>
      <c r="C1021" s="1" t="n">
        <v>45744</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32616-2023</t>
        </is>
      </c>
      <c r="B1022" s="1" t="n">
        <v>45111</v>
      </c>
      <c r="C1022" s="1" t="n">
        <v>45744</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31008-2023</t>
        </is>
      </c>
      <c r="B1023" s="1" t="n">
        <v>45113</v>
      </c>
      <c r="C1023" s="1" t="n">
        <v>45744</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31391-2023</t>
        </is>
      </c>
      <c r="B1024" s="1" t="n">
        <v>45114</v>
      </c>
      <c r="C1024" s="1" t="n">
        <v>45744</v>
      </c>
      <c r="D1024" t="inlineStr">
        <is>
          <t>SKÅNE LÄN</t>
        </is>
      </c>
      <c r="E1024" t="inlineStr">
        <is>
          <t>HÄSSLEHOLM</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31581-2023</t>
        </is>
      </c>
      <c r="B1025" s="1" t="n">
        <v>45117</v>
      </c>
      <c r="C1025" s="1" t="n">
        <v>45744</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31872-2023</t>
        </is>
      </c>
      <c r="B1026" s="1" t="n">
        <v>45118</v>
      </c>
      <c r="C1026" s="1" t="n">
        <v>45744</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31946-2023</t>
        </is>
      </c>
      <c r="B1027" s="1" t="n">
        <v>45119</v>
      </c>
      <c r="C1027" s="1" t="n">
        <v>45744</v>
      </c>
      <c r="D1027" t="inlineStr">
        <is>
          <t>SKÅNE LÄN</t>
        </is>
      </c>
      <c r="E1027" t="inlineStr">
        <is>
          <t>HÄSSLEHOLM</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31986-2023</t>
        </is>
      </c>
      <c r="B1028" s="1" t="n">
        <v>45119</v>
      </c>
      <c r="C1028" s="1" t="n">
        <v>45744</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32061-2023</t>
        </is>
      </c>
      <c r="B1029" s="1" t="n">
        <v>45119</v>
      </c>
      <c r="C1029" s="1" t="n">
        <v>45744</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31944-2023</t>
        </is>
      </c>
      <c r="B1030" s="1" t="n">
        <v>45119</v>
      </c>
      <c r="C1030" s="1" t="n">
        <v>45744</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31998-2023</t>
        </is>
      </c>
      <c r="B1031" s="1" t="n">
        <v>45119</v>
      </c>
      <c r="C1031" s="1" t="n">
        <v>45744</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32567-2023</t>
        </is>
      </c>
      <c r="B1032" s="1" t="n">
        <v>45121</v>
      </c>
      <c r="C1032" s="1" t="n">
        <v>45744</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32794-2023</t>
        </is>
      </c>
      <c r="B1033" s="1" t="n">
        <v>45124</v>
      </c>
      <c r="C1033" s="1" t="n">
        <v>45744</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33938-2023</t>
        </is>
      </c>
      <c r="B1034" s="1" t="n">
        <v>45124</v>
      </c>
      <c r="C1034" s="1" t="n">
        <v>45744</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32967-2023</t>
        </is>
      </c>
      <c r="B1035" s="1" t="n">
        <v>45125</v>
      </c>
      <c r="C1035" s="1" t="n">
        <v>45744</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32968-2023</t>
        </is>
      </c>
      <c r="B1036" s="1" t="n">
        <v>45125</v>
      </c>
      <c r="C1036" s="1" t="n">
        <v>45744</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32999-2023</t>
        </is>
      </c>
      <c r="B1037" s="1" t="n">
        <v>45125</v>
      </c>
      <c r="C1037" s="1" t="n">
        <v>45744</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32957-2023</t>
        </is>
      </c>
      <c r="B1038" s="1" t="n">
        <v>45125</v>
      </c>
      <c r="C1038" s="1" t="n">
        <v>45744</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32958-2023</t>
        </is>
      </c>
      <c r="B1039" s="1" t="n">
        <v>45125</v>
      </c>
      <c r="C1039" s="1" t="n">
        <v>45744</v>
      </c>
      <c r="D1039" t="inlineStr">
        <is>
          <t>SKÅNE LÄN</t>
        </is>
      </c>
      <c r="E1039" t="inlineStr">
        <is>
          <t>HÄSSLEHOLM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33095-2023</t>
        </is>
      </c>
      <c r="B1040" s="1" t="n">
        <v>45126</v>
      </c>
      <c r="C1040" s="1" t="n">
        <v>45744</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33056-2023</t>
        </is>
      </c>
      <c r="B1041" s="1" t="n">
        <v>45126</v>
      </c>
      <c r="C1041" s="1" t="n">
        <v>45744</v>
      </c>
      <c r="D1041" t="inlineStr">
        <is>
          <t>SKÅNE LÄN</t>
        </is>
      </c>
      <c r="E1041" t="inlineStr">
        <is>
          <t>HÄSSLEHOLM</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33520-2023</t>
        </is>
      </c>
      <c r="B1042" s="1" t="n">
        <v>45131</v>
      </c>
      <c r="C1042" s="1" t="n">
        <v>45744</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33597-2023</t>
        </is>
      </c>
      <c r="B1043" s="1" t="n">
        <v>45132</v>
      </c>
      <c r="C1043" s="1" t="n">
        <v>45744</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33598-2023</t>
        </is>
      </c>
      <c r="B1044" s="1" t="n">
        <v>45132</v>
      </c>
      <c r="C1044" s="1" t="n">
        <v>45744</v>
      </c>
      <c r="D1044" t="inlineStr">
        <is>
          <t>SKÅNE LÄN</t>
        </is>
      </c>
      <c r="E1044" t="inlineStr">
        <is>
          <t>HÄSSLEHOLM</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33599-2023</t>
        </is>
      </c>
      <c r="B1045" s="1" t="n">
        <v>45132</v>
      </c>
      <c r="C1045" s="1" t="n">
        <v>45744</v>
      </c>
      <c r="D1045" t="inlineStr">
        <is>
          <t>SKÅNE LÄN</t>
        </is>
      </c>
      <c r="E1045" t="inlineStr">
        <is>
          <t>HÄSSLEHOLM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34187-2023</t>
        </is>
      </c>
      <c r="B1046" s="1" t="n">
        <v>45138</v>
      </c>
      <c r="C1046" s="1" t="n">
        <v>45744</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34369-2023</t>
        </is>
      </c>
      <c r="B1047" s="1" t="n">
        <v>45139</v>
      </c>
      <c r="C1047" s="1" t="n">
        <v>45744</v>
      </c>
      <c r="D1047" t="inlineStr">
        <is>
          <t>SKÅNE LÄN</t>
        </is>
      </c>
      <c r="E1047" t="inlineStr">
        <is>
          <t>HÄSSLEHOLM</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34834-2023</t>
        </is>
      </c>
      <c r="B1048" s="1" t="n">
        <v>45141</v>
      </c>
      <c r="C1048" s="1" t="n">
        <v>45744</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34876-2023</t>
        </is>
      </c>
      <c r="B1049" s="1" t="n">
        <v>45142</v>
      </c>
      <c r="C1049" s="1" t="n">
        <v>45744</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34884-2023</t>
        </is>
      </c>
      <c r="B1050" s="1" t="n">
        <v>45142</v>
      </c>
      <c r="C1050" s="1" t="n">
        <v>45744</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34890-2023</t>
        </is>
      </c>
      <c r="B1051" s="1" t="n">
        <v>45142</v>
      </c>
      <c r="C1051" s="1" t="n">
        <v>45744</v>
      </c>
      <c r="D1051" t="inlineStr">
        <is>
          <t>SKÅNE LÄN</t>
        </is>
      </c>
      <c r="E1051" t="inlineStr">
        <is>
          <t>HÄSSLEHOLM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34886-2023</t>
        </is>
      </c>
      <c r="B1052" s="1" t="n">
        <v>45142</v>
      </c>
      <c r="C1052" s="1" t="n">
        <v>45744</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34887-2023</t>
        </is>
      </c>
      <c r="B1053" s="1" t="n">
        <v>45142</v>
      </c>
      <c r="C1053" s="1" t="n">
        <v>45744</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34883-2023</t>
        </is>
      </c>
      <c r="B1054" s="1" t="n">
        <v>45142</v>
      </c>
      <c r="C1054" s="1" t="n">
        <v>45744</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34888-2023</t>
        </is>
      </c>
      <c r="B1055" s="1" t="n">
        <v>45142</v>
      </c>
      <c r="C1055" s="1" t="n">
        <v>45744</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35082-2023</t>
        </is>
      </c>
      <c r="B1056" s="1" t="n">
        <v>45145</v>
      </c>
      <c r="C1056" s="1" t="n">
        <v>45744</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35150-2023</t>
        </is>
      </c>
      <c r="B1057" s="1" t="n">
        <v>45145</v>
      </c>
      <c r="C1057" s="1" t="n">
        <v>45744</v>
      </c>
      <c r="D1057" t="inlineStr">
        <is>
          <t>SKÅNE LÄN</t>
        </is>
      </c>
      <c r="E1057" t="inlineStr">
        <is>
          <t>HÄSSLEHOLM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35089-2023</t>
        </is>
      </c>
      <c r="B1058" s="1" t="n">
        <v>45145</v>
      </c>
      <c r="C1058" s="1" t="n">
        <v>45744</v>
      </c>
      <c r="D1058" t="inlineStr">
        <is>
          <t>SKÅNE LÄN</t>
        </is>
      </c>
      <c r="E1058" t="inlineStr">
        <is>
          <t>HÄSSLEHOLM</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35237-2023</t>
        </is>
      </c>
      <c r="B1059" s="1" t="n">
        <v>45145</v>
      </c>
      <c r="C1059" s="1" t="n">
        <v>45744</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35085-2023</t>
        </is>
      </c>
      <c r="B1060" s="1" t="n">
        <v>45145</v>
      </c>
      <c r="C1060" s="1" t="n">
        <v>45744</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35108-2023</t>
        </is>
      </c>
      <c r="B1061" s="1" t="n">
        <v>45145</v>
      </c>
      <c r="C1061" s="1" t="n">
        <v>45744</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35299-2023</t>
        </is>
      </c>
      <c r="B1062" s="1" t="n">
        <v>45146</v>
      </c>
      <c r="C1062" s="1" t="n">
        <v>45744</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35462-2023</t>
        </is>
      </c>
      <c r="B1063" s="1" t="n">
        <v>45146</v>
      </c>
      <c r="C1063" s="1" t="n">
        <v>45744</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35468-2023</t>
        </is>
      </c>
      <c r="B1064" s="1" t="n">
        <v>45146</v>
      </c>
      <c r="C1064" s="1" t="n">
        <v>45744</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35640-2023</t>
        </is>
      </c>
      <c r="B1065" s="1" t="n">
        <v>45147</v>
      </c>
      <c r="C1065" s="1" t="n">
        <v>45744</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35644-2023</t>
        </is>
      </c>
      <c r="B1066" s="1" t="n">
        <v>45147</v>
      </c>
      <c r="C1066" s="1" t="n">
        <v>45744</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35890-2023</t>
        </is>
      </c>
      <c r="B1067" s="1" t="n">
        <v>45148</v>
      </c>
      <c r="C1067" s="1" t="n">
        <v>45744</v>
      </c>
      <c r="D1067" t="inlineStr">
        <is>
          <t>SKÅNE LÄN</t>
        </is>
      </c>
      <c r="E1067" t="inlineStr">
        <is>
          <t>HÄSSLEHOLM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35894-2023</t>
        </is>
      </c>
      <c r="B1068" s="1" t="n">
        <v>45148</v>
      </c>
      <c r="C1068" s="1" t="n">
        <v>45744</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35810-2023</t>
        </is>
      </c>
      <c r="B1069" s="1" t="n">
        <v>45148</v>
      </c>
      <c r="C1069" s="1" t="n">
        <v>45744</v>
      </c>
      <c r="D1069" t="inlineStr">
        <is>
          <t>SKÅNE LÄN</t>
        </is>
      </c>
      <c r="E1069" t="inlineStr">
        <is>
          <t>HÄSSLEHOLM</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35892-2023</t>
        </is>
      </c>
      <c r="B1070" s="1" t="n">
        <v>45148</v>
      </c>
      <c r="C1070" s="1" t="n">
        <v>45744</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35833-2023</t>
        </is>
      </c>
      <c r="B1071" s="1" t="n">
        <v>45148</v>
      </c>
      <c r="C1071" s="1" t="n">
        <v>45744</v>
      </c>
      <c r="D1071" t="inlineStr">
        <is>
          <t>SKÅNE LÄN</t>
        </is>
      </c>
      <c r="E1071" t="inlineStr">
        <is>
          <t>HÄSSLEHOLM</t>
        </is>
      </c>
      <c r="F1071" t="inlineStr">
        <is>
          <t>Kommuner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35889-2023</t>
        </is>
      </c>
      <c r="B1072" s="1" t="n">
        <v>45148</v>
      </c>
      <c r="C1072" s="1" t="n">
        <v>45744</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35893-2023</t>
        </is>
      </c>
      <c r="B1073" s="1" t="n">
        <v>45148</v>
      </c>
      <c r="C1073" s="1" t="n">
        <v>45744</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35895-2023</t>
        </is>
      </c>
      <c r="B1074" s="1" t="n">
        <v>45148</v>
      </c>
      <c r="C1074" s="1" t="n">
        <v>45744</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36240-2023</t>
        </is>
      </c>
      <c r="B1075" s="1" t="n">
        <v>45150</v>
      </c>
      <c r="C1075" s="1" t="n">
        <v>45744</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36733-2023</t>
        </is>
      </c>
      <c r="B1076" s="1" t="n">
        <v>45153</v>
      </c>
      <c r="C1076" s="1" t="n">
        <v>45744</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36818-2023</t>
        </is>
      </c>
      <c r="B1077" s="1" t="n">
        <v>45154</v>
      </c>
      <c r="C1077" s="1" t="n">
        <v>45744</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36811-2023</t>
        </is>
      </c>
      <c r="B1078" s="1" t="n">
        <v>45154</v>
      </c>
      <c r="C1078" s="1" t="n">
        <v>45744</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36911-2023</t>
        </is>
      </c>
      <c r="B1079" s="1" t="n">
        <v>45154</v>
      </c>
      <c r="C1079" s="1" t="n">
        <v>45744</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36795-2023</t>
        </is>
      </c>
      <c r="B1080" s="1" t="n">
        <v>45154</v>
      </c>
      <c r="C1080" s="1" t="n">
        <v>45744</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36813-2023</t>
        </is>
      </c>
      <c r="B1081" s="1" t="n">
        <v>45154</v>
      </c>
      <c r="C1081" s="1" t="n">
        <v>45744</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37294-2023</t>
        </is>
      </c>
      <c r="B1082" s="1" t="n">
        <v>45156</v>
      </c>
      <c r="C1082" s="1" t="n">
        <v>45744</v>
      </c>
      <c r="D1082" t="inlineStr">
        <is>
          <t>SKÅNE LÄN</t>
        </is>
      </c>
      <c r="E1082" t="inlineStr">
        <is>
          <t>HÄSSLEHOLM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37300-2023</t>
        </is>
      </c>
      <c r="B1083" s="1" t="n">
        <v>45156</v>
      </c>
      <c r="C1083" s="1" t="n">
        <v>45744</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38211-2023</t>
        </is>
      </c>
      <c r="B1084" s="1" t="n">
        <v>45161</v>
      </c>
      <c r="C1084" s="1" t="n">
        <v>45744</v>
      </c>
      <c r="D1084" t="inlineStr">
        <is>
          <t>SKÅNE LÄN</t>
        </is>
      </c>
      <c r="E1084" t="inlineStr">
        <is>
          <t>HÄSSLEHOLM</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38307-2023</t>
        </is>
      </c>
      <c r="B1085" s="1" t="n">
        <v>45161</v>
      </c>
      <c r="C1085" s="1" t="n">
        <v>45744</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38888-2023</t>
        </is>
      </c>
      <c r="B1086" s="1" t="n">
        <v>45161</v>
      </c>
      <c r="C1086" s="1" t="n">
        <v>45744</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38222-2023</t>
        </is>
      </c>
      <c r="B1087" s="1" t="n">
        <v>45161</v>
      </c>
      <c r="C1087" s="1" t="n">
        <v>45744</v>
      </c>
      <c r="D1087" t="inlineStr">
        <is>
          <t>SKÅNE LÄN</t>
        </is>
      </c>
      <c r="E1087" t="inlineStr">
        <is>
          <t>HÄSSLEHOLM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38221-2023</t>
        </is>
      </c>
      <c r="B1088" s="1" t="n">
        <v>45161</v>
      </c>
      <c r="C1088" s="1" t="n">
        <v>45744</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39111-2023</t>
        </is>
      </c>
      <c r="B1089" s="1" t="n">
        <v>45164</v>
      </c>
      <c r="C1089" s="1" t="n">
        <v>45744</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39915-2023</t>
        </is>
      </c>
      <c r="B1090" s="1" t="n">
        <v>45168</v>
      </c>
      <c r="C1090" s="1" t="n">
        <v>45744</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41209-2023</t>
        </is>
      </c>
      <c r="B1091" s="1" t="n">
        <v>45174</v>
      </c>
      <c r="C1091" s="1" t="n">
        <v>45744</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41211-2023</t>
        </is>
      </c>
      <c r="B1092" s="1" t="n">
        <v>45174</v>
      </c>
      <c r="C1092" s="1" t="n">
        <v>45744</v>
      </c>
      <c r="D1092" t="inlineStr">
        <is>
          <t>SKÅNE LÄN</t>
        </is>
      </c>
      <c r="E1092" t="inlineStr">
        <is>
          <t>HÄSSLEHOLM</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41261-2023</t>
        </is>
      </c>
      <c r="B1093" s="1" t="n">
        <v>45174</v>
      </c>
      <c r="C1093" s="1" t="n">
        <v>45744</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41873-2023</t>
        </is>
      </c>
      <c r="B1094" s="1" t="n">
        <v>45176</v>
      </c>
      <c r="C1094" s="1" t="n">
        <v>45744</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42078-2023</t>
        </is>
      </c>
      <c r="B1095" s="1" t="n">
        <v>45177</v>
      </c>
      <c r="C1095" s="1" t="n">
        <v>45744</v>
      </c>
      <c r="D1095" t="inlineStr">
        <is>
          <t>SKÅNE LÄN</t>
        </is>
      </c>
      <c r="E1095" t="inlineStr">
        <is>
          <t>HÄSSLEHOLM</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42364-2023</t>
        </is>
      </c>
      <c r="B1096" s="1" t="n">
        <v>45180</v>
      </c>
      <c r="C1096" s="1" t="n">
        <v>45744</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42370-2023</t>
        </is>
      </c>
      <c r="B1097" s="1" t="n">
        <v>45180</v>
      </c>
      <c r="C1097" s="1" t="n">
        <v>45744</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43629-2023</t>
        </is>
      </c>
      <c r="B1098" s="1" t="n">
        <v>45184</v>
      </c>
      <c r="C1098" s="1" t="n">
        <v>45744</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44767-2023</t>
        </is>
      </c>
      <c r="B1099" s="1" t="n">
        <v>45186</v>
      </c>
      <c r="C1099" s="1" t="n">
        <v>45744</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44789-2023</t>
        </is>
      </c>
      <c r="B1100" s="1" t="n">
        <v>45186</v>
      </c>
      <c r="C1100" s="1" t="n">
        <v>45744</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43677-2023</t>
        </is>
      </c>
      <c r="B1101" s="1" t="n">
        <v>45187</v>
      </c>
      <c r="C1101" s="1" t="n">
        <v>45744</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43828-2023</t>
        </is>
      </c>
      <c r="B1102" s="1" t="n">
        <v>45187</v>
      </c>
      <c r="C1102" s="1" t="n">
        <v>45744</v>
      </c>
      <c r="D1102" t="inlineStr">
        <is>
          <t>SKÅNE LÄN</t>
        </is>
      </c>
      <c r="E1102" t="inlineStr">
        <is>
          <t>HÄSSLEHOLM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44042-2023</t>
        </is>
      </c>
      <c r="B1103" s="1" t="n">
        <v>45188</v>
      </c>
      <c r="C1103" s="1" t="n">
        <v>45744</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44671-2023</t>
        </is>
      </c>
      <c r="B1104" s="1" t="n">
        <v>45189</v>
      </c>
      <c r="C1104" s="1" t="n">
        <v>45744</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v>
      </c>
      <c r="C1105" s="1" t="n">
        <v>45744</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44838-2023</t>
        </is>
      </c>
      <c r="B1106" s="1" t="n">
        <v>45190</v>
      </c>
      <c r="C1106" s="1" t="n">
        <v>45744</v>
      </c>
      <c r="D1106" t="inlineStr">
        <is>
          <t>SKÅNE LÄN</t>
        </is>
      </c>
      <c r="E1106" t="inlineStr">
        <is>
          <t>HÄSSLEHOLM</t>
        </is>
      </c>
      <c r="F1106" t="inlineStr">
        <is>
          <t>Kommuner</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44842-2023</t>
        </is>
      </c>
      <c r="B1107" s="1" t="n">
        <v>45190</v>
      </c>
      <c r="C1107" s="1" t="n">
        <v>45744</v>
      </c>
      <c r="D1107" t="inlineStr">
        <is>
          <t>SKÅNE LÄN</t>
        </is>
      </c>
      <c r="E1107" t="inlineStr">
        <is>
          <t>HÄSSLEHOLM</t>
        </is>
      </c>
      <c r="F1107" t="inlineStr">
        <is>
          <t>Kommuner</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44940-2023</t>
        </is>
      </c>
      <c r="B1108" s="1" t="n">
        <v>45190</v>
      </c>
      <c r="C1108" s="1" t="n">
        <v>45744</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45220-2023</t>
        </is>
      </c>
      <c r="B1109" s="1" t="n">
        <v>45191</v>
      </c>
      <c r="C1109" s="1" t="n">
        <v>45744</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45222-2023</t>
        </is>
      </c>
      <c r="B1110" s="1" t="n">
        <v>45191</v>
      </c>
      <c r="C1110" s="1" t="n">
        <v>45744</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45353-2023</t>
        </is>
      </c>
      <c r="B1111" s="1" t="n">
        <v>45192</v>
      </c>
      <c r="C1111" s="1" t="n">
        <v>45744</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45361-2023</t>
        </is>
      </c>
      <c r="B1112" s="1" t="n">
        <v>45192</v>
      </c>
      <c r="C1112" s="1" t="n">
        <v>45744</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45461-2023</t>
        </is>
      </c>
      <c r="B1113" s="1" t="n">
        <v>45194</v>
      </c>
      <c r="C1113" s="1" t="n">
        <v>45744</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45470-2023</t>
        </is>
      </c>
      <c r="B1114" s="1" t="n">
        <v>45194</v>
      </c>
      <c r="C1114" s="1" t="n">
        <v>45744</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45663-2023</t>
        </is>
      </c>
      <c r="B1115" s="1" t="n">
        <v>45194</v>
      </c>
      <c r="C1115" s="1" t="n">
        <v>45744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45803-2023</t>
        </is>
      </c>
      <c r="B1116" s="1" t="n">
        <v>45195</v>
      </c>
      <c r="C1116" s="1" t="n">
        <v>45744</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46288-2023</t>
        </is>
      </c>
      <c r="B1117" s="1" t="n">
        <v>45197</v>
      </c>
      <c r="C1117" s="1" t="n">
        <v>45744</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46641-2023</t>
        </is>
      </c>
      <c r="B1118" s="1" t="n">
        <v>45198</v>
      </c>
      <c r="C1118" s="1" t="n">
        <v>45744</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46680-2023</t>
        </is>
      </c>
      <c r="B1119" s="1" t="n">
        <v>45198</v>
      </c>
      <c r="C1119" s="1" t="n">
        <v>45744</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46645-2023</t>
        </is>
      </c>
      <c r="B1120" s="1" t="n">
        <v>45198</v>
      </c>
      <c r="C1120" s="1" t="n">
        <v>45744</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47249-2023</t>
        </is>
      </c>
      <c r="B1121" s="1" t="n">
        <v>45202</v>
      </c>
      <c r="C1121" s="1" t="n">
        <v>45744</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47248-2023</t>
        </is>
      </c>
      <c r="B1122" s="1" t="n">
        <v>45202</v>
      </c>
      <c r="C1122" s="1" t="n">
        <v>45744</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48046-2023</t>
        </is>
      </c>
      <c r="B1123" s="1" t="n">
        <v>45204</v>
      </c>
      <c r="C1123" s="1" t="n">
        <v>45744</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47840-2023</t>
        </is>
      </c>
      <c r="B1124" s="1" t="n">
        <v>45204</v>
      </c>
      <c r="C1124" s="1" t="n">
        <v>45744</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47915-2023</t>
        </is>
      </c>
      <c r="B1125" s="1" t="n">
        <v>45204</v>
      </c>
      <c r="C1125" s="1" t="n">
        <v>45744</v>
      </c>
      <c r="D1125" t="inlineStr">
        <is>
          <t>SKÅNE LÄN</t>
        </is>
      </c>
      <c r="E1125" t="inlineStr">
        <is>
          <t>HÄSSLEHOLM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48335-2023</t>
        </is>
      </c>
      <c r="B1126" s="1" t="n">
        <v>45205</v>
      </c>
      <c r="C1126" s="1" t="n">
        <v>45744</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48326-2023</t>
        </is>
      </c>
      <c r="B1127" s="1" t="n">
        <v>45205</v>
      </c>
      <c r="C1127" s="1" t="n">
        <v>45744</v>
      </c>
      <c r="D1127" t="inlineStr">
        <is>
          <t>SKÅNE LÄN</t>
        </is>
      </c>
      <c r="E1127" t="inlineStr">
        <is>
          <t>HÄSSLEHOLM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48677-2023</t>
        </is>
      </c>
      <c r="B1128" s="1" t="n">
        <v>45208</v>
      </c>
      <c r="C1128" s="1" t="n">
        <v>45744</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48627-2023</t>
        </is>
      </c>
      <c r="B1129" s="1" t="n">
        <v>45208</v>
      </c>
      <c r="C1129" s="1" t="n">
        <v>45744</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48797-2023</t>
        </is>
      </c>
      <c r="B1130" s="1" t="n">
        <v>45209</v>
      </c>
      <c r="C1130" s="1" t="n">
        <v>45744</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48844-2023</t>
        </is>
      </c>
      <c r="B1131" s="1" t="n">
        <v>45209</v>
      </c>
      <c r="C1131" s="1" t="n">
        <v>45744</v>
      </c>
      <c r="D1131" t="inlineStr">
        <is>
          <t>SKÅNE LÄN</t>
        </is>
      </c>
      <c r="E1131" t="inlineStr">
        <is>
          <t>HÄSSLEHOLM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48798-2023</t>
        </is>
      </c>
      <c r="B1132" s="1" t="n">
        <v>45209</v>
      </c>
      <c r="C1132" s="1" t="n">
        <v>45744</v>
      </c>
      <c r="D1132" t="inlineStr">
        <is>
          <t>SKÅNE LÄN</t>
        </is>
      </c>
      <c r="E1132" t="inlineStr">
        <is>
          <t>HÄSSLEHOLM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49106-2023</t>
        </is>
      </c>
      <c r="B1133" s="1" t="n">
        <v>45210</v>
      </c>
      <c r="C1133" s="1" t="n">
        <v>45744</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49107-2023</t>
        </is>
      </c>
      <c r="B1134" s="1" t="n">
        <v>45210</v>
      </c>
      <c r="C1134" s="1" t="n">
        <v>45744</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49111-2023</t>
        </is>
      </c>
      <c r="B1135" s="1" t="n">
        <v>45210</v>
      </c>
      <c r="C1135" s="1" t="n">
        <v>45744</v>
      </c>
      <c r="D1135" t="inlineStr">
        <is>
          <t>SKÅNE LÄN</t>
        </is>
      </c>
      <c r="E1135" t="inlineStr">
        <is>
          <t>HÄSSLEHOLM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50607-2023</t>
        </is>
      </c>
      <c r="B1136" s="1" t="n">
        <v>45210</v>
      </c>
      <c r="C1136" s="1" t="n">
        <v>45744</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50781-2023</t>
        </is>
      </c>
      <c r="B1137" s="1" t="n">
        <v>45210</v>
      </c>
      <c r="C1137" s="1" t="n">
        <v>45744</v>
      </c>
      <c r="D1137" t="inlineStr">
        <is>
          <t>SKÅNE LÄN</t>
        </is>
      </c>
      <c r="E1137" t="inlineStr">
        <is>
          <t>HÄSSLEHOLM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50616-2023</t>
        </is>
      </c>
      <c r="B1138" s="1" t="n">
        <v>45210</v>
      </c>
      <c r="C1138" s="1" t="n">
        <v>45744</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51323-2023</t>
        </is>
      </c>
      <c r="B1139" s="1" t="n">
        <v>45212</v>
      </c>
      <c r="C1139" s="1" t="n">
        <v>45744</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51245-2023</t>
        </is>
      </c>
      <c r="B1140" s="1" t="n">
        <v>45212</v>
      </c>
      <c r="C1140" s="1" t="n">
        <v>45744</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v>
      </c>
      <c r="C1141" s="1" t="n">
        <v>45744</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49937-2023</t>
        </is>
      </c>
      <c r="B1142" s="1" t="n">
        <v>45215</v>
      </c>
      <c r="C1142" s="1" t="n">
        <v>45744</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49942-2023</t>
        </is>
      </c>
      <c r="B1143" s="1" t="n">
        <v>45215</v>
      </c>
      <c r="C1143" s="1" t="n">
        <v>45744</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49950-2023</t>
        </is>
      </c>
      <c r="B1144" s="1" t="n">
        <v>45215</v>
      </c>
      <c r="C1144" s="1" t="n">
        <v>45744</v>
      </c>
      <c r="D1144" t="inlineStr">
        <is>
          <t>SKÅNE LÄN</t>
        </is>
      </c>
      <c r="E1144" t="inlineStr">
        <is>
          <t>HÄSSLEHOLM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50571-2023</t>
        </is>
      </c>
      <c r="B1145" s="1" t="n">
        <v>45217</v>
      </c>
      <c r="C1145" s="1" t="n">
        <v>45744</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50659-2023</t>
        </is>
      </c>
      <c r="B1146" s="1" t="n">
        <v>45217</v>
      </c>
      <c r="C1146" s="1" t="n">
        <v>45744</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50664-2023</t>
        </is>
      </c>
      <c r="B1147" s="1" t="n">
        <v>45217</v>
      </c>
      <c r="C1147" s="1" t="n">
        <v>45744</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50587-2023</t>
        </is>
      </c>
      <c r="B1148" s="1" t="n">
        <v>45217</v>
      </c>
      <c r="C1148" s="1" t="n">
        <v>45744</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50669-2023</t>
        </is>
      </c>
      <c r="B1149" s="1" t="n">
        <v>45217</v>
      </c>
      <c r="C1149" s="1" t="n">
        <v>45744</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50548-2023</t>
        </is>
      </c>
      <c r="B1150" s="1" t="n">
        <v>45217</v>
      </c>
      <c r="C1150" s="1" t="n">
        <v>45744</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50657-2023</t>
        </is>
      </c>
      <c r="B1151" s="1" t="n">
        <v>45217</v>
      </c>
      <c r="C1151" s="1" t="n">
        <v>45744</v>
      </c>
      <c r="D1151" t="inlineStr">
        <is>
          <t>SKÅNE LÄN</t>
        </is>
      </c>
      <c r="E1151" t="inlineStr">
        <is>
          <t>HÄSSLEHOLM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50557-2023</t>
        </is>
      </c>
      <c r="B1152" s="1" t="n">
        <v>45217</v>
      </c>
      <c r="C1152" s="1" t="n">
        <v>45744</v>
      </c>
      <c r="D1152" t="inlineStr">
        <is>
          <t>SKÅNE LÄN</t>
        </is>
      </c>
      <c r="E1152" t="inlineStr">
        <is>
          <t>HÄSSLEHOLM</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50564-2023</t>
        </is>
      </c>
      <c r="B1153" s="1" t="n">
        <v>45217</v>
      </c>
      <c r="C1153" s="1" t="n">
        <v>45744</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51018-2023</t>
        </is>
      </c>
      <c r="B1154" s="1" t="n">
        <v>45218</v>
      </c>
      <c r="C1154" s="1" t="n">
        <v>45744</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52548-2023</t>
        </is>
      </c>
      <c r="B1155" s="1" t="n">
        <v>45218</v>
      </c>
      <c r="C1155" s="1" t="n">
        <v>45744</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52608-2023</t>
        </is>
      </c>
      <c r="B1156" s="1" t="n">
        <v>45219</v>
      </c>
      <c r="C1156" s="1" t="n">
        <v>45744</v>
      </c>
      <c r="D1156" t="inlineStr">
        <is>
          <t>SKÅNE LÄN</t>
        </is>
      </c>
      <c r="E1156" t="inlineStr">
        <is>
          <t>HÄSSLEHOLM</t>
        </is>
      </c>
      <c r="F1156" t="inlineStr">
        <is>
          <t>Övriga Aktiebolag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51565-2023</t>
        </is>
      </c>
      <c r="B1157" s="1" t="n">
        <v>45222</v>
      </c>
      <c r="C1157" s="1" t="n">
        <v>45744</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51752-2023</t>
        </is>
      </c>
      <c r="B1158" s="1" t="n">
        <v>45222</v>
      </c>
      <c r="C1158" s="1" t="n">
        <v>45744</v>
      </c>
      <c r="D1158" t="inlineStr">
        <is>
          <t>SKÅNE LÄN</t>
        </is>
      </c>
      <c r="E1158" t="inlineStr">
        <is>
          <t>HÄSSLEHOLM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51571-2023</t>
        </is>
      </c>
      <c r="B1159" s="1" t="n">
        <v>45222</v>
      </c>
      <c r="C1159" s="1" t="n">
        <v>45744</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52340-2023</t>
        </is>
      </c>
      <c r="B1160" s="1" t="n">
        <v>45224</v>
      </c>
      <c r="C1160" s="1" t="n">
        <v>45744</v>
      </c>
      <c r="D1160" t="inlineStr">
        <is>
          <t>SKÅNE LÄN</t>
        </is>
      </c>
      <c r="E1160" t="inlineStr">
        <is>
          <t>HÄSSLEHOLM</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52337-2023</t>
        </is>
      </c>
      <c r="B1161" s="1" t="n">
        <v>45224</v>
      </c>
      <c r="C1161" s="1" t="n">
        <v>45744</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52341-2023</t>
        </is>
      </c>
      <c r="B1162" s="1" t="n">
        <v>45224</v>
      </c>
      <c r="C1162" s="1" t="n">
        <v>45744</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53870-2023</t>
        </is>
      </c>
      <c r="B1163" s="1" t="n">
        <v>45224</v>
      </c>
      <c r="C1163" s="1" t="n">
        <v>45744</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52973-2023</t>
        </is>
      </c>
      <c r="B1164" s="1" t="n">
        <v>45226</v>
      </c>
      <c r="C1164" s="1" t="n">
        <v>45744</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53350-2023</t>
        </is>
      </c>
      <c r="B1165" s="1" t="n">
        <v>45229</v>
      </c>
      <c r="C1165" s="1" t="n">
        <v>45744</v>
      </c>
      <c r="D1165" t="inlineStr">
        <is>
          <t>SKÅNE LÄN</t>
        </is>
      </c>
      <c r="E1165" t="inlineStr">
        <is>
          <t>HÄSSLEHOLM</t>
        </is>
      </c>
      <c r="F1165" t="inlineStr">
        <is>
          <t>Kommuner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53623-2023</t>
        </is>
      </c>
      <c r="B1166" s="1" t="n">
        <v>45230</v>
      </c>
      <c r="C1166" s="1" t="n">
        <v>45744</v>
      </c>
      <c r="D1166" t="inlineStr">
        <is>
          <t>SKÅNE LÄN</t>
        </is>
      </c>
      <c r="E1166" t="inlineStr">
        <is>
          <t>HÄSSLEHOLM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53880-2023</t>
        </is>
      </c>
      <c r="B1167" s="1" t="n">
        <v>45231</v>
      </c>
      <c r="C1167" s="1" t="n">
        <v>45744</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53887-2023</t>
        </is>
      </c>
      <c r="B1168" s="1" t="n">
        <v>45231</v>
      </c>
      <c r="C1168" s="1" t="n">
        <v>45744</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53897-2023</t>
        </is>
      </c>
      <c r="B1169" s="1" t="n">
        <v>45231</v>
      </c>
      <c r="C1169" s="1" t="n">
        <v>45744</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54473-2023</t>
        </is>
      </c>
      <c r="B1170" s="1" t="n">
        <v>45233</v>
      </c>
      <c r="C1170" s="1" t="n">
        <v>45744</v>
      </c>
      <c r="D1170" t="inlineStr">
        <is>
          <t>SKÅNE LÄN</t>
        </is>
      </c>
      <c r="E1170" t="inlineStr">
        <is>
          <t>HÄSSLEHOLM</t>
        </is>
      </c>
      <c r="G1170" t="n">
        <v>24.5</v>
      </c>
      <c r="H1170" t="n">
        <v>0</v>
      </c>
      <c r="I1170" t="n">
        <v>0</v>
      </c>
      <c r="J1170" t="n">
        <v>0</v>
      </c>
      <c r="K1170" t="n">
        <v>0</v>
      </c>
      <c r="L1170" t="n">
        <v>0</v>
      </c>
      <c r="M1170" t="n">
        <v>0</v>
      </c>
      <c r="N1170" t="n">
        <v>0</v>
      </c>
      <c r="O1170" t="n">
        <v>0</v>
      </c>
      <c r="P1170" t="n">
        <v>0</v>
      </c>
      <c r="Q1170" t="n">
        <v>0</v>
      </c>
      <c r="R1170" s="2" t="inlineStr"/>
    </row>
    <row r="1171" ht="15" customHeight="1">
      <c r="A1171" t="inlineStr">
        <is>
          <t>A 54471-2023</t>
        </is>
      </c>
      <c r="B1171" s="1" t="n">
        <v>45233</v>
      </c>
      <c r="C1171" s="1" t="n">
        <v>45744</v>
      </c>
      <c r="D1171" t="inlineStr">
        <is>
          <t>SKÅNE LÄN</t>
        </is>
      </c>
      <c r="E1171" t="inlineStr">
        <is>
          <t>HÄSSLEHOLM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54376-2023</t>
        </is>
      </c>
      <c r="B1172" s="1" t="n">
        <v>45233</v>
      </c>
      <c r="C1172" s="1" t="n">
        <v>45744</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54658-2023</t>
        </is>
      </c>
      <c r="B1173" s="1" t="n">
        <v>45235</v>
      </c>
      <c r="C1173" s="1" t="n">
        <v>45744</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54659-2023</t>
        </is>
      </c>
      <c r="B1174" s="1" t="n">
        <v>45235</v>
      </c>
      <c r="C1174" s="1" t="n">
        <v>45744</v>
      </c>
      <c r="D1174" t="inlineStr">
        <is>
          <t>SKÅNE LÄN</t>
        </is>
      </c>
      <c r="E1174" t="inlineStr">
        <is>
          <t>HÄSSLEHOLM</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56101-2023</t>
        </is>
      </c>
      <c r="B1175" s="1" t="n">
        <v>45236</v>
      </c>
      <c r="C1175" s="1" t="n">
        <v>45744</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55284-2023</t>
        </is>
      </c>
      <c r="B1176" s="1" t="n">
        <v>45237</v>
      </c>
      <c r="C1176" s="1" t="n">
        <v>45744</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55218-2023</t>
        </is>
      </c>
      <c r="B1177" s="1" t="n">
        <v>45237</v>
      </c>
      <c r="C1177" s="1" t="n">
        <v>45744</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56397-2023</t>
        </is>
      </c>
      <c r="B1178" s="1" t="n">
        <v>45237</v>
      </c>
      <c r="C1178" s="1" t="n">
        <v>45744</v>
      </c>
      <c r="D1178" t="inlineStr">
        <is>
          <t>SKÅNE LÄN</t>
        </is>
      </c>
      <c r="E1178" t="inlineStr">
        <is>
          <t>HÄSSLEHOLM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56080-2023</t>
        </is>
      </c>
      <c r="B1179" s="1" t="n">
        <v>45240</v>
      </c>
      <c r="C1179" s="1" t="n">
        <v>45744</v>
      </c>
      <c r="D1179" t="inlineStr">
        <is>
          <t>SKÅNE LÄN</t>
        </is>
      </c>
      <c r="E1179" t="inlineStr">
        <is>
          <t>HÄSSLEHOLM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56355-2023</t>
        </is>
      </c>
      <c r="B1180" s="1" t="n">
        <v>45243</v>
      </c>
      <c r="C1180" s="1" t="n">
        <v>45744</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56386-2023</t>
        </is>
      </c>
      <c r="B1181" s="1" t="n">
        <v>45243</v>
      </c>
      <c r="C1181" s="1" t="n">
        <v>45744</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57735-2023</t>
        </is>
      </c>
      <c r="B1182" s="1" t="n">
        <v>45243</v>
      </c>
      <c r="C1182" s="1" t="n">
        <v>45744</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57272-2023</t>
        </is>
      </c>
      <c r="B1183" s="1" t="n">
        <v>45245</v>
      </c>
      <c r="C1183" s="1" t="n">
        <v>45744</v>
      </c>
      <c r="D1183" t="inlineStr">
        <is>
          <t>SKÅNE LÄN</t>
        </is>
      </c>
      <c r="E1183" t="inlineStr">
        <is>
          <t>HÄSSLEHOLM</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57277-2023</t>
        </is>
      </c>
      <c r="B1184" s="1" t="n">
        <v>45245</v>
      </c>
      <c r="C1184" s="1" t="n">
        <v>45744</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57275-2023</t>
        </is>
      </c>
      <c r="B1185" s="1" t="n">
        <v>45245</v>
      </c>
      <c r="C1185" s="1" t="n">
        <v>45744</v>
      </c>
      <c r="D1185" t="inlineStr">
        <is>
          <t>SKÅNE LÄN</t>
        </is>
      </c>
      <c r="E1185" t="inlineStr">
        <is>
          <t>HÄSSLEHOLM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57695-2023</t>
        </is>
      </c>
      <c r="B1186" s="1" t="n">
        <v>45246</v>
      </c>
      <c r="C1186" s="1" t="n">
        <v>45744</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57749-2023</t>
        </is>
      </c>
      <c r="B1187" s="1" t="n">
        <v>45246</v>
      </c>
      <c r="C1187" s="1" t="n">
        <v>45744</v>
      </c>
      <c r="D1187" t="inlineStr">
        <is>
          <t>SKÅNE LÄN</t>
        </is>
      </c>
      <c r="E1187" t="inlineStr">
        <is>
          <t>HÄSSLEHOLM</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57963-2023</t>
        </is>
      </c>
      <c r="B1188" s="1" t="n">
        <v>45247</v>
      </c>
      <c r="C1188" s="1" t="n">
        <v>45744</v>
      </c>
      <c r="D1188" t="inlineStr">
        <is>
          <t>SKÅNE LÄN</t>
        </is>
      </c>
      <c r="E1188" t="inlineStr">
        <is>
          <t>HÄSSLEHOLM</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58815-2023</t>
        </is>
      </c>
      <c r="B1189" s="1" t="n">
        <v>45247</v>
      </c>
      <c r="C1189" s="1" t="n">
        <v>45744</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57967-2023</t>
        </is>
      </c>
      <c r="B1190" s="1" t="n">
        <v>45247</v>
      </c>
      <c r="C1190" s="1" t="n">
        <v>45744</v>
      </c>
      <c r="D1190" t="inlineStr">
        <is>
          <t>SKÅNE LÄN</t>
        </is>
      </c>
      <c r="E1190" t="inlineStr">
        <is>
          <t>HÄSSLEHOLM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58915-2023</t>
        </is>
      </c>
      <c r="B1191" s="1" t="n">
        <v>45250</v>
      </c>
      <c r="C1191" s="1" t="n">
        <v>45744</v>
      </c>
      <c r="D1191" t="inlineStr">
        <is>
          <t>SKÅNE LÄN</t>
        </is>
      </c>
      <c r="E1191" t="inlineStr">
        <is>
          <t>HÄSSLEHOLM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58834-2023</t>
        </is>
      </c>
      <c r="B1192" s="1" t="n">
        <v>45250</v>
      </c>
      <c r="C1192" s="1" t="n">
        <v>45744</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59028-2023</t>
        </is>
      </c>
      <c r="B1193" s="1" t="n">
        <v>45252</v>
      </c>
      <c r="C1193" s="1" t="n">
        <v>45744</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58906-2023</t>
        </is>
      </c>
      <c r="B1194" s="1" t="n">
        <v>45252</v>
      </c>
      <c r="C1194" s="1" t="n">
        <v>45744</v>
      </c>
      <c r="D1194" t="inlineStr">
        <is>
          <t>SKÅNE LÄN</t>
        </is>
      </c>
      <c r="E1194" t="inlineStr">
        <is>
          <t>HÄSSLEHOLM</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59059-2023</t>
        </is>
      </c>
      <c r="B1195" s="1" t="n">
        <v>45252</v>
      </c>
      <c r="C1195" s="1" t="n">
        <v>45744</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59109-2023</t>
        </is>
      </c>
      <c r="B1196" s="1" t="n">
        <v>45253</v>
      </c>
      <c r="C1196" s="1" t="n">
        <v>45744</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59431-2023</t>
        </is>
      </c>
      <c r="B1197" s="1" t="n">
        <v>45254</v>
      </c>
      <c r="C1197" s="1" t="n">
        <v>45744</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59434-2023</t>
        </is>
      </c>
      <c r="B1198" s="1" t="n">
        <v>45254</v>
      </c>
      <c r="C1198" s="1" t="n">
        <v>45744</v>
      </c>
      <c r="D1198" t="inlineStr">
        <is>
          <t>SKÅNE LÄN</t>
        </is>
      </c>
      <c r="E1198" t="inlineStr">
        <is>
          <t>HÄSSLEHOLM</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59429-2023</t>
        </is>
      </c>
      <c r="B1199" s="1" t="n">
        <v>45254</v>
      </c>
      <c r="C1199" s="1" t="n">
        <v>45744</v>
      </c>
      <c r="D1199" t="inlineStr">
        <is>
          <t>SKÅNE LÄN</t>
        </is>
      </c>
      <c r="E1199" t="inlineStr">
        <is>
          <t>HÄSSLEHOLM</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59433-2023</t>
        </is>
      </c>
      <c r="B1200" s="1" t="n">
        <v>45254</v>
      </c>
      <c r="C1200" s="1" t="n">
        <v>45744</v>
      </c>
      <c r="D1200" t="inlineStr">
        <is>
          <t>SKÅNE LÄN</t>
        </is>
      </c>
      <c r="E1200" t="inlineStr">
        <is>
          <t>HÄSSLEHOLM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59556-2023</t>
        </is>
      </c>
      <c r="B1201" s="1" t="n">
        <v>45254</v>
      </c>
      <c r="C1201" s="1" t="n">
        <v>45744</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60515-2023</t>
        </is>
      </c>
      <c r="B1202" s="1" t="n">
        <v>45259</v>
      </c>
      <c r="C1202" s="1" t="n">
        <v>45744</v>
      </c>
      <c r="D1202" t="inlineStr">
        <is>
          <t>SKÅNE LÄN</t>
        </is>
      </c>
      <c r="E1202" t="inlineStr">
        <is>
          <t>HÄSSLEHOLM</t>
        </is>
      </c>
      <c r="F1202" t="inlineStr">
        <is>
          <t>Övriga Aktiebolag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60509-2023</t>
        </is>
      </c>
      <c r="B1203" s="1" t="n">
        <v>45259</v>
      </c>
      <c r="C1203" s="1" t="n">
        <v>45744</v>
      </c>
      <c r="D1203" t="inlineStr">
        <is>
          <t>SKÅNE LÄN</t>
        </is>
      </c>
      <c r="E1203" t="inlineStr">
        <is>
          <t>HÄSSLEHOLM</t>
        </is>
      </c>
      <c r="F1203" t="inlineStr">
        <is>
          <t>Övriga Aktiebolag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60561-2023</t>
        </is>
      </c>
      <c r="B1204" s="1" t="n">
        <v>45259</v>
      </c>
      <c r="C1204" s="1" t="n">
        <v>45744</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60586-2023</t>
        </is>
      </c>
      <c r="B1205" s="1" t="n">
        <v>45259</v>
      </c>
      <c r="C1205" s="1" t="n">
        <v>45744</v>
      </c>
      <c r="D1205" t="inlineStr">
        <is>
          <t>SKÅNE LÄN</t>
        </is>
      </c>
      <c r="E1205" t="inlineStr">
        <is>
          <t>HÄSSLEHOLM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60653-2023</t>
        </is>
      </c>
      <c r="B1206" s="1" t="n">
        <v>45260</v>
      </c>
      <c r="C1206" s="1" t="n">
        <v>45744</v>
      </c>
      <c r="D1206" t="inlineStr">
        <is>
          <t>SKÅNE LÄN</t>
        </is>
      </c>
      <c r="E1206" t="inlineStr">
        <is>
          <t>HÄSSLEHOLM</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60774-2023</t>
        </is>
      </c>
      <c r="B1207" s="1" t="n">
        <v>45260</v>
      </c>
      <c r="C1207" s="1" t="n">
        <v>45744</v>
      </c>
      <c r="D1207" t="inlineStr">
        <is>
          <t>SKÅNE LÄN</t>
        </is>
      </c>
      <c r="E1207" t="inlineStr">
        <is>
          <t>HÄSSLEHOLM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60704-2023</t>
        </is>
      </c>
      <c r="B1208" s="1" t="n">
        <v>45260</v>
      </c>
      <c r="C1208" s="1" t="n">
        <v>45744</v>
      </c>
      <c r="D1208" t="inlineStr">
        <is>
          <t>SKÅNE LÄN</t>
        </is>
      </c>
      <c r="E1208" t="inlineStr">
        <is>
          <t>HÄSSLEHOLM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61041-2023</t>
        </is>
      </c>
      <c r="B1209" s="1" t="n">
        <v>45261</v>
      </c>
      <c r="C1209" s="1" t="n">
        <v>45744</v>
      </c>
      <c r="D1209" t="inlineStr">
        <is>
          <t>SKÅNE LÄN</t>
        </is>
      </c>
      <c r="E1209" t="inlineStr">
        <is>
          <t>HÄSSLEHOLM</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61407-2023</t>
        </is>
      </c>
      <c r="B1210" s="1" t="n">
        <v>45264</v>
      </c>
      <c r="C1210" s="1" t="n">
        <v>45744</v>
      </c>
      <c r="D1210" t="inlineStr">
        <is>
          <t>SKÅNE LÄN</t>
        </is>
      </c>
      <c r="E1210" t="inlineStr">
        <is>
          <t>HÄSSLEHOLM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61271-2023</t>
        </is>
      </c>
      <c r="B1211" s="1" t="n">
        <v>45264</v>
      </c>
      <c r="C1211" s="1" t="n">
        <v>45744</v>
      </c>
      <c r="D1211" t="inlineStr">
        <is>
          <t>SKÅNE LÄN</t>
        </is>
      </c>
      <c r="E1211" t="inlineStr">
        <is>
          <t>HÄSSLEHOLM</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61578-2023</t>
        </is>
      </c>
      <c r="B1212" s="1" t="n">
        <v>45265</v>
      </c>
      <c r="C1212" s="1" t="n">
        <v>45744</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61655-2023</t>
        </is>
      </c>
      <c r="B1213" s="1" t="n">
        <v>45265</v>
      </c>
      <c r="C1213" s="1" t="n">
        <v>45744</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61562-2023</t>
        </is>
      </c>
      <c r="B1214" s="1" t="n">
        <v>45265</v>
      </c>
      <c r="C1214" s="1" t="n">
        <v>45744</v>
      </c>
      <c r="D1214" t="inlineStr">
        <is>
          <t>SKÅNE LÄN</t>
        </is>
      </c>
      <c r="E1214" t="inlineStr">
        <is>
          <t>HÄSSLEHOLM</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61569-2023</t>
        </is>
      </c>
      <c r="B1215" s="1" t="n">
        <v>45265</v>
      </c>
      <c r="C1215" s="1" t="n">
        <v>45744</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61574-2023</t>
        </is>
      </c>
      <c r="B1216" s="1" t="n">
        <v>45265</v>
      </c>
      <c r="C1216" s="1" t="n">
        <v>45744</v>
      </c>
      <c r="D1216" t="inlineStr">
        <is>
          <t>SKÅNE LÄN</t>
        </is>
      </c>
      <c r="E1216" t="inlineStr">
        <is>
          <t>HÄSSLEHOLM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61731-2023</t>
        </is>
      </c>
      <c r="B1217" s="1" t="n">
        <v>45265</v>
      </c>
      <c r="C1217" s="1" t="n">
        <v>45744</v>
      </c>
      <c r="D1217" t="inlineStr">
        <is>
          <t>SKÅNE LÄN</t>
        </is>
      </c>
      <c r="E1217" t="inlineStr">
        <is>
          <t>HÄSSLEHOLM</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61929-2023</t>
        </is>
      </c>
      <c r="B1218" s="1" t="n">
        <v>45266</v>
      </c>
      <c r="C1218" s="1" t="n">
        <v>45744</v>
      </c>
      <c r="D1218" t="inlineStr">
        <is>
          <t>SKÅNE LÄN</t>
        </is>
      </c>
      <c r="E1218" t="inlineStr">
        <is>
          <t>HÄSSLEHOLM</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61934-2023</t>
        </is>
      </c>
      <c r="B1219" s="1" t="n">
        <v>45266</v>
      </c>
      <c r="C1219" s="1" t="n">
        <v>45744</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62055-2023</t>
        </is>
      </c>
      <c r="B1220" s="1" t="n">
        <v>45266</v>
      </c>
      <c r="C1220" s="1" t="n">
        <v>45744</v>
      </c>
      <c r="D1220" t="inlineStr">
        <is>
          <t>SKÅNE LÄN</t>
        </is>
      </c>
      <c r="E1220" t="inlineStr">
        <is>
          <t>HÄSSLEHOLM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61932-2023</t>
        </is>
      </c>
      <c r="B1221" s="1" t="n">
        <v>45266</v>
      </c>
      <c r="C1221" s="1" t="n">
        <v>45744</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62277-2023</t>
        </is>
      </c>
      <c r="B1222" s="1" t="n">
        <v>45266</v>
      </c>
      <c r="C1222" s="1" t="n">
        <v>45744</v>
      </c>
      <c r="D1222" t="inlineStr">
        <is>
          <t>SKÅNE LÄN</t>
        </is>
      </c>
      <c r="E1222" t="inlineStr">
        <is>
          <t>HÄSSLEHOLM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63141-2023</t>
        </is>
      </c>
      <c r="B1223" s="1" t="n">
        <v>45273</v>
      </c>
      <c r="C1223" s="1" t="n">
        <v>45744</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63119-2023</t>
        </is>
      </c>
      <c r="B1224" s="1" t="n">
        <v>45273</v>
      </c>
      <c r="C1224" s="1" t="n">
        <v>45744</v>
      </c>
      <c r="D1224" t="inlineStr">
        <is>
          <t>SKÅNE LÄN</t>
        </is>
      </c>
      <c r="E1224" t="inlineStr">
        <is>
          <t>HÄSSLEHOLM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63610-2023</t>
        </is>
      </c>
      <c r="B1225" s="1" t="n">
        <v>45275</v>
      </c>
      <c r="C1225" s="1" t="n">
        <v>45744</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64063-2023</t>
        </is>
      </c>
      <c r="B1226" s="1" t="n">
        <v>45279</v>
      </c>
      <c r="C1226" s="1" t="n">
        <v>45744</v>
      </c>
      <c r="D1226" t="inlineStr">
        <is>
          <t>SKÅNE LÄN</t>
        </is>
      </c>
      <c r="E1226" t="inlineStr">
        <is>
          <t>HÄSSLEHOLM</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64765-2023</t>
        </is>
      </c>
      <c r="B1227" s="1" t="n">
        <v>45282</v>
      </c>
      <c r="C1227" s="1" t="n">
        <v>45744</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64884-2023</t>
        </is>
      </c>
      <c r="B1228" s="1" t="n">
        <v>45282</v>
      </c>
      <c r="C1228" s="1" t="n">
        <v>45744</v>
      </c>
      <c r="D1228" t="inlineStr">
        <is>
          <t>SKÅNE LÄN</t>
        </is>
      </c>
      <c r="E1228" t="inlineStr">
        <is>
          <t>HÄSSLEHOLM</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64883-2023</t>
        </is>
      </c>
      <c r="B1229" s="1" t="n">
        <v>45282</v>
      </c>
      <c r="C1229" s="1" t="n">
        <v>45744</v>
      </c>
      <c r="D1229" t="inlineStr">
        <is>
          <t>SKÅNE LÄN</t>
        </is>
      </c>
      <c r="E1229" t="inlineStr">
        <is>
          <t>HÄSSLEHOLM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146-2024</t>
        </is>
      </c>
      <c r="B1230" s="1" t="n">
        <v>45294</v>
      </c>
      <c r="C1230" s="1" t="n">
        <v>45744</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257-2024</t>
        </is>
      </c>
      <c r="B1231" s="1" t="n">
        <v>45294</v>
      </c>
      <c r="C1231" s="1" t="n">
        <v>45744</v>
      </c>
      <c r="D1231" t="inlineStr">
        <is>
          <t>SKÅNE LÄN</t>
        </is>
      </c>
      <c r="E1231" t="inlineStr">
        <is>
          <t>HÄSSLEHOLM</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259-2024</t>
        </is>
      </c>
      <c r="B1232" s="1" t="n">
        <v>45294</v>
      </c>
      <c r="C1232" s="1" t="n">
        <v>45744</v>
      </c>
      <c r="D1232" t="inlineStr">
        <is>
          <t>SKÅNE LÄN</t>
        </is>
      </c>
      <c r="E1232" t="inlineStr">
        <is>
          <t>HÄSSLEHOLM</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260-2024</t>
        </is>
      </c>
      <c r="B1233" s="1" t="n">
        <v>45294</v>
      </c>
      <c r="C1233" s="1" t="n">
        <v>45744</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444-2024</t>
        </is>
      </c>
      <c r="B1234" s="1" t="n">
        <v>45296</v>
      </c>
      <c r="C1234" s="1" t="n">
        <v>45744</v>
      </c>
      <c r="D1234" t="inlineStr">
        <is>
          <t>SKÅNE LÄN</t>
        </is>
      </c>
      <c r="E1234" t="inlineStr">
        <is>
          <t>HÄSSLEHOLM</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524-2024</t>
        </is>
      </c>
      <c r="B1235" s="1" t="n">
        <v>45299</v>
      </c>
      <c r="C1235" s="1" t="n">
        <v>45744</v>
      </c>
      <c r="D1235" t="inlineStr">
        <is>
          <t>SKÅNE LÄN</t>
        </is>
      </c>
      <c r="E1235" t="inlineStr">
        <is>
          <t>HÄSSLEHOLM</t>
        </is>
      </c>
      <c r="G1235" t="n">
        <v>29.4</v>
      </c>
      <c r="H1235" t="n">
        <v>0</v>
      </c>
      <c r="I1235" t="n">
        <v>0</v>
      </c>
      <c r="J1235" t="n">
        <v>0</v>
      </c>
      <c r="K1235" t="n">
        <v>0</v>
      </c>
      <c r="L1235" t="n">
        <v>0</v>
      </c>
      <c r="M1235" t="n">
        <v>0</v>
      </c>
      <c r="N1235" t="n">
        <v>0</v>
      </c>
      <c r="O1235" t="n">
        <v>0</v>
      </c>
      <c r="P1235" t="n">
        <v>0</v>
      </c>
      <c r="Q1235" t="n">
        <v>0</v>
      </c>
      <c r="R1235" s="2" t="inlineStr"/>
    </row>
    <row r="1236" ht="15" customHeight="1">
      <c r="A1236" t="inlineStr">
        <is>
          <t>A 677-2024</t>
        </is>
      </c>
      <c r="B1236" s="1" t="n">
        <v>45300</v>
      </c>
      <c r="C1236" s="1" t="n">
        <v>45744</v>
      </c>
      <c r="D1236" t="inlineStr">
        <is>
          <t>SKÅNE LÄN</t>
        </is>
      </c>
      <c r="E1236" t="inlineStr">
        <is>
          <t>HÄSSLEHOLM</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1197-2024</t>
        </is>
      </c>
      <c r="B1237" s="1" t="n">
        <v>45302</v>
      </c>
      <c r="C1237" s="1" t="n">
        <v>45744</v>
      </c>
      <c r="D1237" t="inlineStr">
        <is>
          <t>SKÅNE LÄN</t>
        </is>
      </c>
      <c r="E1237" t="inlineStr">
        <is>
          <t>HÄSSLEHOLM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1120-2024</t>
        </is>
      </c>
      <c r="B1238" s="1" t="n">
        <v>45302</v>
      </c>
      <c r="C1238" s="1" t="n">
        <v>45744</v>
      </c>
      <c r="D1238" t="inlineStr">
        <is>
          <t>SKÅNE LÄN</t>
        </is>
      </c>
      <c r="E1238" t="inlineStr">
        <is>
          <t>HÄSSLEHOLM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1124-2024</t>
        </is>
      </c>
      <c r="B1239" s="1" t="n">
        <v>45302</v>
      </c>
      <c r="C1239" s="1" t="n">
        <v>45744</v>
      </c>
      <c r="D1239" t="inlineStr">
        <is>
          <t>SKÅNE LÄN</t>
        </is>
      </c>
      <c r="E1239" t="inlineStr">
        <is>
          <t>HÄSSLEHOLM</t>
        </is>
      </c>
      <c r="F1239" t="inlineStr">
        <is>
          <t>Kommuner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1119-2024</t>
        </is>
      </c>
      <c r="B1240" s="1" t="n">
        <v>45302</v>
      </c>
      <c r="C1240" s="1" t="n">
        <v>45744</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1289-2024</t>
        </is>
      </c>
      <c r="B1241" s="1" t="n">
        <v>45303</v>
      </c>
      <c r="C1241" s="1" t="n">
        <v>45744</v>
      </c>
      <c r="D1241" t="inlineStr">
        <is>
          <t>SKÅNE LÄN</t>
        </is>
      </c>
      <c r="E1241" t="inlineStr">
        <is>
          <t>HÄSSLEHOLM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1543-2024</t>
        </is>
      </c>
      <c r="B1242" s="1" t="n">
        <v>45306</v>
      </c>
      <c r="C1242" s="1" t="n">
        <v>45744</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1538-2024</t>
        </is>
      </c>
      <c r="B1243" s="1" t="n">
        <v>45306</v>
      </c>
      <c r="C1243" s="1" t="n">
        <v>45744</v>
      </c>
      <c r="D1243" t="inlineStr">
        <is>
          <t>SKÅNE LÄN</t>
        </is>
      </c>
      <c r="E1243" t="inlineStr">
        <is>
          <t>HÄSSLEHOLM</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1521-2024</t>
        </is>
      </c>
      <c r="B1244" s="1" t="n">
        <v>45306</v>
      </c>
      <c r="C1244" s="1" t="n">
        <v>45744</v>
      </c>
      <c r="D1244" t="inlineStr">
        <is>
          <t>SKÅNE LÄN</t>
        </is>
      </c>
      <c r="E1244" t="inlineStr">
        <is>
          <t>HÄSSLEHOLM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2181-2024</t>
        </is>
      </c>
      <c r="B1245" s="1" t="n">
        <v>45309</v>
      </c>
      <c r="C1245" s="1" t="n">
        <v>45744</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2098-2024</t>
        </is>
      </c>
      <c r="B1246" s="1" t="n">
        <v>45309</v>
      </c>
      <c r="C1246" s="1" t="n">
        <v>45744</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2290-2024</t>
        </is>
      </c>
      <c r="B1247" s="1" t="n">
        <v>45310</v>
      </c>
      <c r="C1247" s="1" t="n">
        <v>45744</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2479-2024</t>
        </is>
      </c>
      <c r="B1248" s="1" t="n">
        <v>45313</v>
      </c>
      <c r="C1248" s="1" t="n">
        <v>45744</v>
      </c>
      <c r="D1248" t="inlineStr">
        <is>
          <t>SKÅNE LÄN</t>
        </is>
      </c>
      <c r="E1248" t="inlineStr">
        <is>
          <t>HÄSSLEHOLM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2567-2024</t>
        </is>
      </c>
      <c r="B1249" s="1" t="n">
        <v>45313</v>
      </c>
      <c r="C1249" s="1" t="n">
        <v>45744</v>
      </c>
      <c r="D1249" t="inlineStr">
        <is>
          <t>SKÅNE LÄN</t>
        </is>
      </c>
      <c r="E1249" t="inlineStr">
        <is>
          <t>HÄSSLEHOLM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2596-2024</t>
        </is>
      </c>
      <c r="B1250" s="1" t="n">
        <v>45313</v>
      </c>
      <c r="C1250" s="1" t="n">
        <v>45744</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2490-2024</t>
        </is>
      </c>
      <c r="B1251" s="1" t="n">
        <v>45313</v>
      </c>
      <c r="C1251" s="1" t="n">
        <v>45744</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2597-2024</t>
        </is>
      </c>
      <c r="B1252" s="1" t="n">
        <v>45313</v>
      </c>
      <c r="C1252" s="1" t="n">
        <v>45744</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2589-2024</t>
        </is>
      </c>
      <c r="B1253" s="1" t="n">
        <v>45313</v>
      </c>
      <c r="C1253" s="1" t="n">
        <v>45744</v>
      </c>
      <c r="D1253" t="inlineStr">
        <is>
          <t>SKÅNE LÄN</t>
        </is>
      </c>
      <c r="E1253" t="inlineStr">
        <is>
          <t>HÄSSLEHOLM</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2595-2024</t>
        </is>
      </c>
      <c r="B1254" s="1" t="n">
        <v>45313</v>
      </c>
      <c r="C1254" s="1" t="n">
        <v>45744</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2688-2024</t>
        </is>
      </c>
      <c r="B1255" s="1" t="n">
        <v>45314</v>
      </c>
      <c r="C1255" s="1" t="n">
        <v>45744</v>
      </c>
      <c r="D1255" t="inlineStr">
        <is>
          <t>SKÅNE LÄN</t>
        </is>
      </c>
      <c r="E1255" t="inlineStr">
        <is>
          <t>HÄSSLEHOLM</t>
        </is>
      </c>
      <c r="F1255" t="inlineStr">
        <is>
          <t>Övriga Aktiebolag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2681-2024</t>
        </is>
      </c>
      <c r="B1256" s="1" t="n">
        <v>45314</v>
      </c>
      <c r="C1256" s="1" t="n">
        <v>45744</v>
      </c>
      <c r="D1256" t="inlineStr">
        <is>
          <t>SKÅNE LÄN</t>
        </is>
      </c>
      <c r="E1256" t="inlineStr">
        <is>
          <t>HÄSSLEHOLM</t>
        </is>
      </c>
      <c r="F1256" t="inlineStr">
        <is>
          <t>Övriga Aktiebolag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2712-2024</t>
        </is>
      </c>
      <c r="B1257" s="1" t="n">
        <v>45314</v>
      </c>
      <c r="C1257" s="1" t="n">
        <v>45744</v>
      </c>
      <c r="D1257" t="inlineStr">
        <is>
          <t>SKÅNE LÄN</t>
        </is>
      </c>
      <c r="E1257" t="inlineStr">
        <is>
          <t>HÄSSLEHOLM</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3507-2024</t>
        </is>
      </c>
      <c r="B1258" s="1" t="n">
        <v>45320</v>
      </c>
      <c r="C1258" s="1" t="n">
        <v>45744</v>
      </c>
      <c r="D1258" t="inlineStr">
        <is>
          <t>SKÅNE LÄN</t>
        </is>
      </c>
      <c r="E1258" t="inlineStr">
        <is>
          <t>HÄSSLEHOLM</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3480-2024</t>
        </is>
      </c>
      <c r="B1259" s="1" t="n">
        <v>45320</v>
      </c>
      <c r="C1259" s="1" t="n">
        <v>45744</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3500-2024</t>
        </is>
      </c>
      <c r="B1260" s="1" t="n">
        <v>45320</v>
      </c>
      <c r="C1260" s="1" t="n">
        <v>45744</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3650-2024</t>
        </is>
      </c>
      <c r="B1261" s="1" t="n">
        <v>45321</v>
      </c>
      <c r="C1261" s="1" t="n">
        <v>45744</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3723-2024</t>
        </is>
      </c>
      <c r="B1262" s="1" t="n">
        <v>45321</v>
      </c>
      <c r="C1262" s="1" t="n">
        <v>45744</v>
      </c>
      <c r="D1262" t="inlineStr">
        <is>
          <t>SKÅNE LÄN</t>
        </is>
      </c>
      <c r="E1262" t="inlineStr">
        <is>
          <t>HÄSSLEHOLM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3663-2024</t>
        </is>
      </c>
      <c r="B1263" s="1" t="n">
        <v>45321</v>
      </c>
      <c r="C1263" s="1" t="n">
        <v>45744</v>
      </c>
      <c r="D1263" t="inlineStr">
        <is>
          <t>SKÅNE LÄN</t>
        </is>
      </c>
      <c r="E1263" t="inlineStr">
        <is>
          <t>HÄSSLEHOLM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3699-2024</t>
        </is>
      </c>
      <c r="B1264" s="1" t="n">
        <v>45321</v>
      </c>
      <c r="C1264" s="1" t="n">
        <v>45744</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3746-2024</t>
        </is>
      </c>
      <c r="B1265" s="1" t="n">
        <v>45321</v>
      </c>
      <c r="C1265" s="1" t="n">
        <v>45744</v>
      </c>
      <c r="D1265" t="inlineStr">
        <is>
          <t>SKÅNE LÄN</t>
        </is>
      </c>
      <c r="E1265" t="inlineStr">
        <is>
          <t>HÄSSLEHOLM</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3726-2024</t>
        </is>
      </c>
      <c r="B1266" s="1" t="n">
        <v>45321</v>
      </c>
      <c r="C1266" s="1" t="n">
        <v>45744</v>
      </c>
      <c r="D1266" t="inlineStr">
        <is>
          <t>SKÅNE LÄN</t>
        </is>
      </c>
      <c r="E1266" t="inlineStr">
        <is>
          <t>HÄSSLEHOLM</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3886-2024</t>
        </is>
      </c>
      <c r="B1267" s="1" t="n">
        <v>45322</v>
      </c>
      <c r="C1267" s="1" t="n">
        <v>45744</v>
      </c>
      <c r="D1267" t="inlineStr">
        <is>
          <t>SKÅNE LÄN</t>
        </is>
      </c>
      <c r="E1267" t="inlineStr">
        <is>
          <t>HÄSSLEHOLM</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3890-2024</t>
        </is>
      </c>
      <c r="B1268" s="1" t="n">
        <v>45322</v>
      </c>
      <c r="C1268" s="1" t="n">
        <v>45744</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3889-2024</t>
        </is>
      </c>
      <c r="B1269" s="1" t="n">
        <v>45322</v>
      </c>
      <c r="C1269" s="1" t="n">
        <v>45744</v>
      </c>
      <c r="D1269" t="inlineStr">
        <is>
          <t>SKÅNE LÄN</t>
        </is>
      </c>
      <c r="E1269" t="inlineStr">
        <is>
          <t>HÄSSLEHOLM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3888-2024</t>
        </is>
      </c>
      <c r="B1270" s="1" t="n">
        <v>45322</v>
      </c>
      <c r="C1270" s="1" t="n">
        <v>45744</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4119-2024</t>
        </is>
      </c>
      <c r="B1271" s="1" t="n">
        <v>45323</v>
      </c>
      <c r="C1271" s="1" t="n">
        <v>45744</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4009-2024</t>
        </is>
      </c>
      <c r="B1272" s="1" t="n">
        <v>45323</v>
      </c>
      <c r="C1272" s="1" t="n">
        <v>45744</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4356-2024</t>
        </is>
      </c>
      <c r="B1273" s="1" t="n">
        <v>45325</v>
      </c>
      <c r="C1273" s="1" t="n">
        <v>45744</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4513-2024</t>
        </is>
      </c>
      <c r="B1274" s="1" t="n">
        <v>45327</v>
      </c>
      <c r="C1274" s="1" t="n">
        <v>45744</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4512-2024</t>
        </is>
      </c>
      <c r="B1275" s="1" t="n">
        <v>45327</v>
      </c>
      <c r="C1275" s="1" t="n">
        <v>45744</v>
      </c>
      <c r="D1275" t="inlineStr">
        <is>
          <t>SKÅNE LÄN</t>
        </is>
      </c>
      <c r="E1275" t="inlineStr">
        <is>
          <t>HÄSSLEHOLM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4516-2024</t>
        </is>
      </c>
      <c r="B1276" s="1" t="n">
        <v>45327</v>
      </c>
      <c r="C1276" s="1" t="n">
        <v>45744</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4604-2024</t>
        </is>
      </c>
      <c r="B1277" s="1" t="n">
        <v>45328</v>
      </c>
      <c r="C1277" s="1" t="n">
        <v>45744</v>
      </c>
      <c r="D1277" t="inlineStr">
        <is>
          <t>SKÅNE LÄN</t>
        </is>
      </c>
      <c r="E1277" t="inlineStr">
        <is>
          <t>HÄSSLEHOLM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4605-2024</t>
        </is>
      </c>
      <c r="B1278" s="1" t="n">
        <v>45328</v>
      </c>
      <c r="C1278" s="1" t="n">
        <v>45744</v>
      </c>
      <c r="D1278" t="inlineStr">
        <is>
          <t>SKÅNE LÄN</t>
        </is>
      </c>
      <c r="E1278" t="inlineStr">
        <is>
          <t>HÄSSLEHOLM</t>
        </is>
      </c>
      <c r="F1278" t="inlineStr">
        <is>
          <t>Övriga Aktiebolag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4626-2024</t>
        </is>
      </c>
      <c r="B1279" s="1" t="n">
        <v>45328</v>
      </c>
      <c r="C1279" s="1" t="n">
        <v>45744</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4602-2024</t>
        </is>
      </c>
      <c r="B1280" s="1" t="n">
        <v>45328</v>
      </c>
      <c r="C1280" s="1" t="n">
        <v>45744</v>
      </c>
      <c r="D1280" t="inlineStr">
        <is>
          <t>SKÅNE LÄN</t>
        </is>
      </c>
      <c r="E1280" t="inlineStr">
        <is>
          <t>HÄSSLEHOLM</t>
        </is>
      </c>
      <c r="F1280" t="inlineStr">
        <is>
          <t>Övriga Aktiebolag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4750-2024</t>
        </is>
      </c>
      <c r="B1281" s="1" t="n">
        <v>45328</v>
      </c>
      <c r="C1281" s="1" t="n">
        <v>45744</v>
      </c>
      <c r="D1281" t="inlineStr">
        <is>
          <t>SKÅNE LÄN</t>
        </is>
      </c>
      <c r="E1281" t="inlineStr">
        <is>
          <t>HÄSSLEHOLM</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4882-2024</t>
        </is>
      </c>
      <c r="B1282" s="1" t="n">
        <v>45329</v>
      </c>
      <c r="C1282" s="1" t="n">
        <v>45744</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4876-2024</t>
        </is>
      </c>
      <c r="B1283" s="1" t="n">
        <v>45329</v>
      </c>
      <c r="C1283" s="1" t="n">
        <v>45744</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4895-2024</t>
        </is>
      </c>
      <c r="B1284" s="1" t="n">
        <v>45329</v>
      </c>
      <c r="C1284" s="1" t="n">
        <v>45744</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4916-2024</t>
        </is>
      </c>
      <c r="B1285" s="1" t="n">
        <v>45329</v>
      </c>
      <c r="C1285" s="1" t="n">
        <v>45744</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5016-2024</t>
        </is>
      </c>
      <c r="B1286" s="1" t="n">
        <v>45329</v>
      </c>
      <c r="C1286" s="1" t="n">
        <v>45744</v>
      </c>
      <c r="D1286" t="inlineStr">
        <is>
          <t>SKÅNE LÄN</t>
        </is>
      </c>
      <c r="E1286" t="inlineStr">
        <is>
          <t>HÄSSLEHOLM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4894-2024</t>
        </is>
      </c>
      <c r="B1287" s="1" t="n">
        <v>45329</v>
      </c>
      <c r="C1287" s="1" t="n">
        <v>45744</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5015-2024</t>
        </is>
      </c>
      <c r="B1288" s="1" t="n">
        <v>45329</v>
      </c>
      <c r="C1288" s="1" t="n">
        <v>45744</v>
      </c>
      <c r="D1288" t="inlineStr">
        <is>
          <t>SKÅNE LÄN</t>
        </is>
      </c>
      <c r="E1288" t="inlineStr">
        <is>
          <t>HÄSSLEHOLM</t>
        </is>
      </c>
      <c r="F1288" t="inlineStr">
        <is>
          <t>Övriga Aktiebolag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5226-2024</t>
        </is>
      </c>
      <c r="B1289" s="1" t="n">
        <v>45330</v>
      </c>
      <c r="C1289" s="1" t="n">
        <v>45744</v>
      </c>
      <c r="D1289" t="inlineStr">
        <is>
          <t>SKÅNE LÄN</t>
        </is>
      </c>
      <c r="E1289" t="inlineStr">
        <is>
          <t>HÄSSLEHOLM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5395-2024</t>
        </is>
      </c>
      <c r="B1290" s="1" t="n">
        <v>45331</v>
      </c>
      <c r="C1290" s="1" t="n">
        <v>45744</v>
      </c>
      <c r="D1290" t="inlineStr">
        <is>
          <t>SKÅNE LÄN</t>
        </is>
      </c>
      <c r="E1290" t="inlineStr">
        <is>
          <t>HÄSSLEHOLM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5307-2024</t>
        </is>
      </c>
      <c r="B1291" s="1" t="n">
        <v>45331</v>
      </c>
      <c r="C1291" s="1" t="n">
        <v>45744</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5780-2024</t>
        </is>
      </c>
      <c r="B1292" s="1" t="n">
        <v>45335</v>
      </c>
      <c r="C1292" s="1" t="n">
        <v>45744</v>
      </c>
      <c r="D1292" t="inlineStr">
        <is>
          <t>SKÅNE LÄN</t>
        </is>
      </c>
      <c r="E1292" t="inlineStr">
        <is>
          <t>HÄSSLEHOLM</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5852-2024</t>
        </is>
      </c>
      <c r="B1293" s="1" t="n">
        <v>45335</v>
      </c>
      <c r="C1293" s="1" t="n">
        <v>45744</v>
      </c>
      <c r="D1293" t="inlineStr">
        <is>
          <t>SKÅNE LÄN</t>
        </is>
      </c>
      <c r="E1293" t="inlineStr">
        <is>
          <t>HÄSSLEHOLM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5980-2024</t>
        </is>
      </c>
      <c r="B1294" s="1" t="n">
        <v>45335</v>
      </c>
      <c r="C1294" s="1" t="n">
        <v>45744</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6192-2024</t>
        </is>
      </c>
      <c r="B1295" s="1" t="n">
        <v>45337</v>
      </c>
      <c r="C1295" s="1" t="n">
        <v>45744</v>
      </c>
      <c r="D1295" t="inlineStr">
        <is>
          <t>SKÅNE LÄN</t>
        </is>
      </c>
      <c r="E1295" t="inlineStr">
        <is>
          <t>HÄSSLEHOLM</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6612-2024</t>
        </is>
      </c>
      <c r="B1296" s="1" t="n">
        <v>45341</v>
      </c>
      <c r="C1296" s="1" t="n">
        <v>45744</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6619-2024</t>
        </is>
      </c>
      <c r="B1297" s="1" t="n">
        <v>45341</v>
      </c>
      <c r="C1297" s="1" t="n">
        <v>45744</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6618-2024</t>
        </is>
      </c>
      <c r="B1298" s="1" t="n">
        <v>45341</v>
      </c>
      <c r="C1298" s="1" t="n">
        <v>45744</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6645-2024</t>
        </is>
      </c>
      <c r="B1299" s="1" t="n">
        <v>45341</v>
      </c>
      <c r="C1299" s="1" t="n">
        <v>45744</v>
      </c>
      <c r="D1299" t="inlineStr">
        <is>
          <t>SKÅNE LÄN</t>
        </is>
      </c>
      <c r="E1299" t="inlineStr">
        <is>
          <t>HÄSSLEHOLM</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6921-2024</t>
        </is>
      </c>
      <c r="B1300" s="1" t="n">
        <v>45343</v>
      </c>
      <c r="C1300" s="1" t="n">
        <v>45744</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7351-2024</t>
        </is>
      </c>
      <c r="B1301" s="1" t="n">
        <v>45345</v>
      </c>
      <c r="C1301" s="1" t="n">
        <v>45744</v>
      </c>
      <c r="D1301" t="inlineStr">
        <is>
          <t>SKÅNE LÄN</t>
        </is>
      </c>
      <c r="E1301" t="inlineStr">
        <is>
          <t>HÄSSLEHOLM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7345-2024</t>
        </is>
      </c>
      <c r="B1302" s="1" t="n">
        <v>45345</v>
      </c>
      <c r="C1302" s="1" t="n">
        <v>45744</v>
      </c>
      <c r="D1302" t="inlineStr">
        <is>
          <t>SKÅNE LÄN</t>
        </is>
      </c>
      <c r="E1302" t="inlineStr">
        <is>
          <t>HÄSSLEHOLM</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7511-2024</t>
        </is>
      </c>
      <c r="B1303" s="1" t="n">
        <v>45348</v>
      </c>
      <c r="C1303" s="1" t="n">
        <v>45744</v>
      </c>
      <c r="D1303" t="inlineStr">
        <is>
          <t>SKÅNE LÄN</t>
        </is>
      </c>
      <c r="E1303" t="inlineStr">
        <is>
          <t>HÄSSLEHOLM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7652-2024</t>
        </is>
      </c>
      <c r="B1304" s="1" t="n">
        <v>45348</v>
      </c>
      <c r="C1304" s="1" t="n">
        <v>45744</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7653-2024</t>
        </is>
      </c>
      <c r="B1305" s="1" t="n">
        <v>45348</v>
      </c>
      <c r="C1305" s="1" t="n">
        <v>45744</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7604-2024</t>
        </is>
      </c>
      <c r="B1306" s="1" t="n">
        <v>45348</v>
      </c>
      <c r="C1306" s="1" t="n">
        <v>45744</v>
      </c>
      <c r="D1306" t="inlineStr">
        <is>
          <t>SKÅNE LÄN</t>
        </is>
      </c>
      <c r="E1306" t="inlineStr">
        <is>
          <t>HÄSSLEHOLM</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7865-2024</t>
        </is>
      </c>
      <c r="B1307" s="1" t="n">
        <v>45348</v>
      </c>
      <c r="C1307" s="1" t="n">
        <v>45744</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7818-2024</t>
        </is>
      </c>
      <c r="B1308" s="1" t="n">
        <v>45349</v>
      </c>
      <c r="C1308" s="1" t="n">
        <v>45744</v>
      </c>
      <c r="D1308" t="inlineStr">
        <is>
          <t>SKÅNE LÄN</t>
        </is>
      </c>
      <c r="E1308" t="inlineStr">
        <is>
          <t>HÄSSLEHOLM</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7890-2024</t>
        </is>
      </c>
      <c r="B1309" s="1" t="n">
        <v>45350</v>
      </c>
      <c r="C1309" s="1" t="n">
        <v>45744</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8160-2024</t>
        </is>
      </c>
      <c r="B1310" s="1" t="n">
        <v>45351</v>
      </c>
      <c r="C1310" s="1" t="n">
        <v>45744</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8433-2024</t>
        </is>
      </c>
      <c r="B1311" s="1" t="n">
        <v>45353</v>
      </c>
      <c r="C1311" s="1" t="n">
        <v>45744</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8524-2024</t>
        </is>
      </c>
      <c r="B1312" s="1" t="n">
        <v>45355</v>
      </c>
      <c r="C1312" s="1" t="n">
        <v>45744</v>
      </c>
      <c r="D1312" t="inlineStr">
        <is>
          <t>SKÅNE LÄN</t>
        </is>
      </c>
      <c r="E1312" t="inlineStr">
        <is>
          <t>HÄSSLEHOLM</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8752-2024</t>
        </is>
      </c>
      <c r="B1313" s="1" t="n">
        <v>45356</v>
      </c>
      <c r="C1313" s="1" t="n">
        <v>45744</v>
      </c>
      <c r="D1313" t="inlineStr">
        <is>
          <t>SKÅNE LÄN</t>
        </is>
      </c>
      <c r="E1313" t="inlineStr">
        <is>
          <t>HÄSSLEHOLM</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8749-2024</t>
        </is>
      </c>
      <c r="B1314" s="1" t="n">
        <v>45356</v>
      </c>
      <c r="C1314" s="1" t="n">
        <v>45744</v>
      </c>
      <c r="D1314" t="inlineStr">
        <is>
          <t>SKÅNE LÄN</t>
        </is>
      </c>
      <c r="E1314" t="inlineStr">
        <is>
          <t>HÄSSLEHOLM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8755-2024</t>
        </is>
      </c>
      <c r="B1315" s="1" t="n">
        <v>45356</v>
      </c>
      <c r="C1315" s="1" t="n">
        <v>45744</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8759-2024</t>
        </is>
      </c>
      <c r="B1316" s="1" t="n">
        <v>45356</v>
      </c>
      <c r="C1316" s="1" t="n">
        <v>45744</v>
      </c>
      <c r="D1316" t="inlineStr">
        <is>
          <t>SKÅNE LÄN</t>
        </is>
      </c>
      <c r="E1316" t="inlineStr">
        <is>
          <t>HÄSSLEHOLM</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8760-2024</t>
        </is>
      </c>
      <c r="B1317" s="1" t="n">
        <v>45356</v>
      </c>
      <c r="C1317" s="1" t="n">
        <v>45744</v>
      </c>
      <c r="D1317" t="inlineStr">
        <is>
          <t>SKÅNE LÄN</t>
        </is>
      </c>
      <c r="E1317" t="inlineStr">
        <is>
          <t>HÄSSLEHOLM</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9747-2024</t>
        </is>
      </c>
      <c r="B1318" s="1" t="n">
        <v>45362</v>
      </c>
      <c r="C1318" s="1" t="n">
        <v>45744</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9938-2024</t>
        </is>
      </c>
      <c r="B1319" s="1" t="n">
        <v>45363</v>
      </c>
      <c r="C1319" s="1" t="n">
        <v>45744</v>
      </c>
      <c r="D1319" t="inlineStr">
        <is>
          <t>SKÅNE LÄN</t>
        </is>
      </c>
      <c r="E1319" t="inlineStr">
        <is>
          <t>HÄSSLEHOLM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10020-2024</t>
        </is>
      </c>
      <c r="B1320" s="1" t="n">
        <v>45364</v>
      </c>
      <c r="C1320" s="1" t="n">
        <v>45744</v>
      </c>
      <c r="D1320" t="inlineStr">
        <is>
          <t>SKÅNE LÄN</t>
        </is>
      </c>
      <c r="E1320" t="inlineStr">
        <is>
          <t>HÄSSLEHOLM</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10028-2024</t>
        </is>
      </c>
      <c r="B1321" s="1" t="n">
        <v>45364</v>
      </c>
      <c r="C1321" s="1" t="n">
        <v>45744</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10115-2024</t>
        </is>
      </c>
      <c r="B1322" s="1" t="n">
        <v>45364</v>
      </c>
      <c r="C1322" s="1" t="n">
        <v>45744</v>
      </c>
      <c r="D1322" t="inlineStr">
        <is>
          <t>SKÅNE LÄN</t>
        </is>
      </c>
      <c r="E1322" t="inlineStr">
        <is>
          <t>HÄSSLEHOLM</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10409-2024</t>
        </is>
      </c>
      <c r="B1323" s="1" t="n">
        <v>45365</v>
      </c>
      <c r="C1323" s="1" t="n">
        <v>45744</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10802-2024</t>
        </is>
      </c>
      <c r="B1324" s="1" t="n">
        <v>45369</v>
      </c>
      <c r="C1324" s="1" t="n">
        <v>45744</v>
      </c>
      <c r="D1324" t="inlineStr">
        <is>
          <t>SKÅNE LÄN</t>
        </is>
      </c>
      <c r="E1324" t="inlineStr">
        <is>
          <t>HÄSSLEHOLM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10928-2024</t>
        </is>
      </c>
      <c r="B1325" s="1" t="n">
        <v>45370</v>
      </c>
      <c r="C1325" s="1" t="n">
        <v>45744</v>
      </c>
      <c r="D1325" t="inlineStr">
        <is>
          <t>SKÅNE LÄN</t>
        </is>
      </c>
      <c r="E1325" t="inlineStr">
        <is>
          <t>HÄSSLEHOLM</t>
        </is>
      </c>
      <c r="F1325" t="inlineStr">
        <is>
          <t>Övriga Aktiebolag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10944-2024</t>
        </is>
      </c>
      <c r="B1326" s="1" t="n">
        <v>45370</v>
      </c>
      <c r="C1326" s="1" t="n">
        <v>45744</v>
      </c>
      <c r="D1326" t="inlineStr">
        <is>
          <t>SKÅNE LÄN</t>
        </is>
      </c>
      <c r="E1326" t="inlineStr">
        <is>
          <t>HÄSSLEHOLM</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11907-2024</t>
        </is>
      </c>
      <c r="B1327" s="1" t="n">
        <v>45376</v>
      </c>
      <c r="C1327" s="1" t="n">
        <v>45744</v>
      </c>
      <c r="D1327" t="inlineStr">
        <is>
          <t>SKÅNE LÄN</t>
        </is>
      </c>
      <c r="E1327" t="inlineStr">
        <is>
          <t>HÄSSLEHOLM</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12172-2024</t>
        </is>
      </c>
      <c r="B1328" s="1" t="n">
        <v>45377</v>
      </c>
      <c r="C1328" s="1" t="n">
        <v>45744</v>
      </c>
      <c r="D1328" t="inlineStr">
        <is>
          <t>SKÅNE LÄN</t>
        </is>
      </c>
      <c r="E1328" t="inlineStr">
        <is>
          <t>HÄSSLEHOLM</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12114-2024</t>
        </is>
      </c>
      <c r="B1329" s="1" t="n">
        <v>45377</v>
      </c>
      <c r="C1329" s="1" t="n">
        <v>45744</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12314-2024</t>
        </is>
      </c>
      <c r="B1330" s="1" t="n">
        <v>45378</v>
      </c>
      <c r="C1330" s="1" t="n">
        <v>45744</v>
      </c>
      <c r="D1330" t="inlineStr">
        <is>
          <t>SKÅNE LÄN</t>
        </is>
      </c>
      <c r="E1330" t="inlineStr">
        <is>
          <t>HÄSSLEHOLM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12338-2024</t>
        </is>
      </c>
      <c r="B1331" s="1" t="n">
        <v>45378</v>
      </c>
      <c r="C1331" s="1" t="n">
        <v>45744</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12491-2024</t>
        </is>
      </c>
      <c r="B1332" s="1" t="n">
        <v>45379</v>
      </c>
      <c r="C1332" s="1" t="n">
        <v>45744</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12468-2024</t>
        </is>
      </c>
      <c r="B1333" s="1" t="n">
        <v>45379</v>
      </c>
      <c r="C1333" s="1" t="n">
        <v>45744</v>
      </c>
      <c r="D1333" t="inlineStr">
        <is>
          <t>SKÅNE LÄN</t>
        </is>
      </c>
      <c r="E1333" t="inlineStr">
        <is>
          <t>HÄSSLEHOLM</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12492-2024</t>
        </is>
      </c>
      <c r="B1334" s="1" t="n">
        <v>45379</v>
      </c>
      <c r="C1334" s="1" t="n">
        <v>45744</v>
      </c>
      <c r="D1334" t="inlineStr">
        <is>
          <t>SKÅNE LÄN</t>
        </is>
      </c>
      <c r="E1334" t="inlineStr">
        <is>
          <t>HÄSSLEHOLM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12780-2024</t>
        </is>
      </c>
      <c r="B1335" s="1" t="n">
        <v>45384</v>
      </c>
      <c r="C1335" s="1" t="n">
        <v>45744</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12908-2024</t>
        </is>
      </c>
      <c r="B1336" s="1" t="n">
        <v>45385</v>
      </c>
      <c r="C1336" s="1" t="n">
        <v>45744</v>
      </c>
      <c r="D1336" t="inlineStr">
        <is>
          <t>SKÅNE LÄN</t>
        </is>
      </c>
      <c r="E1336" t="inlineStr">
        <is>
          <t>HÄSSLEHOLM</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13018-2024</t>
        </is>
      </c>
      <c r="B1337" s="1" t="n">
        <v>45385</v>
      </c>
      <c r="C1337" s="1" t="n">
        <v>45744</v>
      </c>
      <c r="D1337" t="inlineStr">
        <is>
          <t>SKÅNE LÄN</t>
        </is>
      </c>
      <c r="E1337" t="inlineStr">
        <is>
          <t>HÄSSLEHOLM</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13007-2024</t>
        </is>
      </c>
      <c r="B1338" s="1" t="n">
        <v>45385</v>
      </c>
      <c r="C1338" s="1" t="n">
        <v>45744</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13149-2024</t>
        </is>
      </c>
      <c r="B1339" s="1" t="n">
        <v>45386</v>
      </c>
      <c r="C1339" s="1" t="n">
        <v>45744</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13646-2024</t>
        </is>
      </c>
      <c r="B1340" s="1" t="n">
        <v>45387</v>
      </c>
      <c r="C1340" s="1" t="n">
        <v>45744</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13424-2024</t>
        </is>
      </c>
      <c r="B1341" s="1" t="n">
        <v>45387</v>
      </c>
      <c r="C1341" s="1" t="n">
        <v>45744</v>
      </c>
      <c r="D1341" t="inlineStr">
        <is>
          <t>SKÅNE LÄN</t>
        </is>
      </c>
      <c r="E1341" t="inlineStr">
        <is>
          <t>HÄSSLEHOLM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13719-2024</t>
        </is>
      </c>
      <c r="B1342" s="1" t="n">
        <v>45390</v>
      </c>
      <c r="C1342" s="1" t="n">
        <v>45744</v>
      </c>
      <c r="D1342" t="inlineStr">
        <is>
          <t>SKÅNE LÄN</t>
        </is>
      </c>
      <c r="E1342" t="inlineStr">
        <is>
          <t>HÄSSLEHOLM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13897-2024</t>
        </is>
      </c>
      <c r="B1343" s="1" t="n">
        <v>45391</v>
      </c>
      <c r="C1343" s="1" t="n">
        <v>45744</v>
      </c>
      <c r="D1343" t="inlineStr">
        <is>
          <t>SKÅNE LÄN</t>
        </is>
      </c>
      <c r="E1343" t="inlineStr">
        <is>
          <t>HÄSSLEHOLM</t>
        </is>
      </c>
      <c r="F1343" t="inlineStr">
        <is>
          <t>Kommuner</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13890-2024</t>
        </is>
      </c>
      <c r="B1344" s="1" t="n">
        <v>45391</v>
      </c>
      <c r="C1344" s="1" t="n">
        <v>45744</v>
      </c>
      <c r="D1344" t="inlineStr">
        <is>
          <t>SKÅNE LÄN</t>
        </is>
      </c>
      <c r="E1344" t="inlineStr">
        <is>
          <t>HÄSSLEHOLM</t>
        </is>
      </c>
      <c r="F1344" t="inlineStr">
        <is>
          <t>Kommuner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14105-2024</t>
        </is>
      </c>
      <c r="B1345" s="1" t="n">
        <v>45392</v>
      </c>
      <c r="C1345" s="1" t="n">
        <v>45744</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14255-2024</t>
        </is>
      </c>
      <c r="B1346" s="1" t="n">
        <v>45393</v>
      </c>
      <c r="C1346" s="1" t="n">
        <v>45744</v>
      </c>
      <c r="D1346" t="inlineStr">
        <is>
          <t>SKÅNE LÄN</t>
        </is>
      </c>
      <c r="E1346" t="inlineStr">
        <is>
          <t>HÄSSLEHOLM</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14705-2024</t>
        </is>
      </c>
      <c r="B1347" s="1" t="n">
        <v>45397</v>
      </c>
      <c r="C1347" s="1" t="n">
        <v>45744</v>
      </c>
      <c r="D1347" t="inlineStr">
        <is>
          <t>SKÅNE LÄN</t>
        </is>
      </c>
      <c r="E1347" t="inlineStr">
        <is>
          <t>HÄSSLEHOLM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14926-2024</t>
        </is>
      </c>
      <c r="B1348" s="1" t="n">
        <v>45398</v>
      </c>
      <c r="C1348" s="1" t="n">
        <v>45744</v>
      </c>
      <c r="D1348" t="inlineStr">
        <is>
          <t>SKÅNE LÄN</t>
        </is>
      </c>
      <c r="E1348" t="inlineStr">
        <is>
          <t>HÄSSLEHOLM</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15072-2024</t>
        </is>
      </c>
      <c r="B1349" s="1" t="n">
        <v>45399</v>
      </c>
      <c r="C1349" s="1" t="n">
        <v>45744</v>
      </c>
      <c r="D1349" t="inlineStr">
        <is>
          <t>SKÅNE LÄN</t>
        </is>
      </c>
      <c r="E1349" t="inlineStr">
        <is>
          <t>HÄSSLEHOLM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15036-2024</t>
        </is>
      </c>
      <c r="B1350" s="1" t="n">
        <v>45399</v>
      </c>
      <c r="C1350" s="1" t="n">
        <v>45744</v>
      </c>
      <c r="D1350" t="inlineStr">
        <is>
          <t>SKÅNE LÄN</t>
        </is>
      </c>
      <c r="E1350" t="inlineStr">
        <is>
          <t>HÄSSLEHOLM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15160-2024</t>
        </is>
      </c>
      <c r="B1351" s="1" t="n">
        <v>45400</v>
      </c>
      <c r="C1351" s="1" t="n">
        <v>45744</v>
      </c>
      <c r="D1351" t="inlineStr">
        <is>
          <t>SKÅNE LÄN</t>
        </is>
      </c>
      <c r="E1351" t="inlineStr">
        <is>
          <t>HÄSSLEHOLM</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15562-2024</t>
        </is>
      </c>
      <c r="B1352" s="1" t="n">
        <v>45401</v>
      </c>
      <c r="C1352" s="1" t="n">
        <v>45744</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15665-2024</t>
        </is>
      </c>
      <c r="B1353" s="1" t="n">
        <v>45404</v>
      </c>
      <c r="C1353" s="1" t="n">
        <v>45744</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15669-2024</t>
        </is>
      </c>
      <c r="B1354" s="1" t="n">
        <v>45404</v>
      </c>
      <c r="C1354" s="1" t="n">
        <v>45744</v>
      </c>
      <c r="D1354" t="inlineStr">
        <is>
          <t>SKÅNE LÄN</t>
        </is>
      </c>
      <c r="E1354" t="inlineStr">
        <is>
          <t>HÄSSLEHOLM</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16334-2024</t>
        </is>
      </c>
      <c r="B1355" s="1" t="n">
        <v>45407</v>
      </c>
      <c r="C1355" s="1" t="n">
        <v>45744</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16561-2024</t>
        </is>
      </c>
      <c r="B1356" s="1" t="n">
        <v>45408</v>
      </c>
      <c r="C1356" s="1" t="n">
        <v>45744</v>
      </c>
      <c r="D1356" t="inlineStr">
        <is>
          <t>SKÅNE LÄN</t>
        </is>
      </c>
      <c r="E1356" t="inlineStr">
        <is>
          <t>HÄSSLEHOLM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17064-2024</t>
        </is>
      </c>
      <c r="B1357" s="1" t="n">
        <v>45411</v>
      </c>
      <c r="C1357" s="1" t="n">
        <v>45744</v>
      </c>
      <c r="D1357" t="inlineStr">
        <is>
          <t>SKÅNE LÄN</t>
        </is>
      </c>
      <c r="E1357" t="inlineStr">
        <is>
          <t>HÄSSLEHOLM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16930-2024</t>
        </is>
      </c>
      <c r="B1358" s="1" t="n">
        <v>45411</v>
      </c>
      <c r="C1358" s="1" t="n">
        <v>45744</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16932-2024</t>
        </is>
      </c>
      <c r="B1359" s="1" t="n">
        <v>45411</v>
      </c>
      <c r="C1359" s="1" t="n">
        <v>45744</v>
      </c>
      <c r="D1359" t="inlineStr">
        <is>
          <t>SKÅNE LÄN</t>
        </is>
      </c>
      <c r="E1359" t="inlineStr">
        <is>
          <t>HÄSSLEHOLM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17335-2024</t>
        </is>
      </c>
      <c r="B1360" s="1" t="n">
        <v>45414</v>
      </c>
      <c r="C1360" s="1" t="n">
        <v>45744</v>
      </c>
      <c r="D1360" t="inlineStr">
        <is>
          <t>SKÅNE LÄN</t>
        </is>
      </c>
      <c r="E1360" t="inlineStr">
        <is>
          <t>HÄSSLEHOLM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17320-2024</t>
        </is>
      </c>
      <c r="B1361" s="1" t="n">
        <v>45414</v>
      </c>
      <c r="C1361" s="1" t="n">
        <v>45744</v>
      </c>
      <c r="D1361" t="inlineStr">
        <is>
          <t>SKÅNE LÄN</t>
        </is>
      </c>
      <c r="E1361" t="inlineStr">
        <is>
          <t>HÄSSLEHOLM</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17699-2024</t>
        </is>
      </c>
      <c r="B1362" s="1" t="n">
        <v>45418</v>
      </c>
      <c r="C1362" s="1" t="n">
        <v>45744</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17703-2024</t>
        </is>
      </c>
      <c r="B1363" s="1" t="n">
        <v>45418</v>
      </c>
      <c r="C1363" s="1" t="n">
        <v>45744</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17702-2024</t>
        </is>
      </c>
      <c r="B1364" s="1" t="n">
        <v>45418</v>
      </c>
      <c r="C1364" s="1" t="n">
        <v>45744</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17917-2024</t>
        </is>
      </c>
      <c r="B1365" s="1" t="n">
        <v>45419</v>
      </c>
      <c r="C1365" s="1" t="n">
        <v>45744</v>
      </c>
      <c r="D1365" t="inlineStr">
        <is>
          <t>SKÅNE LÄN</t>
        </is>
      </c>
      <c r="E1365" t="inlineStr">
        <is>
          <t>HÄSSLEHOLM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19022-2024</t>
        </is>
      </c>
      <c r="B1366" s="1" t="n">
        <v>45427</v>
      </c>
      <c r="C1366" s="1" t="n">
        <v>45744</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19020-2024</t>
        </is>
      </c>
      <c r="B1367" s="1" t="n">
        <v>45427</v>
      </c>
      <c r="C1367" s="1" t="n">
        <v>45744</v>
      </c>
      <c r="D1367" t="inlineStr">
        <is>
          <t>SKÅNE LÄN</t>
        </is>
      </c>
      <c r="E1367" t="inlineStr">
        <is>
          <t>HÄSSLEHOLM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20494-2024</t>
        </is>
      </c>
      <c r="B1368" s="1" t="n">
        <v>45435</v>
      </c>
      <c r="C1368" s="1" t="n">
        <v>45744</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20493-2024</t>
        </is>
      </c>
      <c r="B1369" s="1" t="n">
        <v>45435</v>
      </c>
      <c r="C1369" s="1" t="n">
        <v>45744</v>
      </c>
      <c r="D1369" t="inlineStr">
        <is>
          <t>SKÅNE LÄN</t>
        </is>
      </c>
      <c r="E1369" t="inlineStr">
        <is>
          <t>HÄSSLEHOLM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20639-2024</t>
        </is>
      </c>
      <c r="B1370" s="1" t="n">
        <v>45436</v>
      </c>
      <c r="C1370" s="1" t="n">
        <v>45744</v>
      </c>
      <c r="D1370" t="inlineStr">
        <is>
          <t>SKÅNE LÄN</t>
        </is>
      </c>
      <c r="E1370" t="inlineStr">
        <is>
          <t>HÄSSLEHOLM</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20668-2024</t>
        </is>
      </c>
      <c r="B1371" s="1" t="n">
        <v>45436</v>
      </c>
      <c r="C1371" s="1" t="n">
        <v>45744</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21141-2024</t>
        </is>
      </c>
      <c r="B1372" s="1" t="n">
        <v>45440</v>
      </c>
      <c r="C1372" s="1" t="n">
        <v>45744</v>
      </c>
      <c r="D1372" t="inlineStr">
        <is>
          <t>SKÅNE LÄN</t>
        </is>
      </c>
      <c r="E1372" t="inlineStr">
        <is>
          <t>HÄSSLEHOLM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21497-2024</t>
        </is>
      </c>
      <c r="B1373" s="1" t="n">
        <v>45441</v>
      </c>
      <c r="C1373" s="1" t="n">
        <v>45744</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22134-2024</t>
        </is>
      </c>
      <c r="B1374" s="1" t="n">
        <v>45444</v>
      </c>
      <c r="C1374" s="1" t="n">
        <v>45744</v>
      </c>
      <c r="D1374" t="inlineStr">
        <is>
          <t>SKÅNE LÄN</t>
        </is>
      </c>
      <c r="E1374" t="inlineStr">
        <is>
          <t>HÄSSLEHOLM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22132-2024</t>
        </is>
      </c>
      <c r="B1375" s="1" t="n">
        <v>45444</v>
      </c>
      <c r="C1375" s="1" t="n">
        <v>45744</v>
      </c>
      <c r="D1375" t="inlineStr">
        <is>
          <t>SKÅNE LÄN</t>
        </is>
      </c>
      <c r="E1375" t="inlineStr">
        <is>
          <t>HÄSSLEHOLM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22157-2024</t>
        </is>
      </c>
      <c r="B1376" s="1" t="n">
        <v>45445</v>
      </c>
      <c r="C1376" s="1" t="n">
        <v>45744</v>
      </c>
      <c r="D1376" t="inlineStr">
        <is>
          <t>SKÅNE LÄN</t>
        </is>
      </c>
      <c r="E1376" t="inlineStr">
        <is>
          <t>HÄSSLEHOLM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22384-2024</t>
        </is>
      </c>
      <c r="B1377" s="1" t="n">
        <v>45446</v>
      </c>
      <c r="C1377" s="1" t="n">
        <v>45744</v>
      </c>
      <c r="D1377" t="inlineStr">
        <is>
          <t>SKÅNE LÄN</t>
        </is>
      </c>
      <c r="E1377" t="inlineStr">
        <is>
          <t>HÄSSLEHOLM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22305-2024</t>
        </is>
      </c>
      <c r="B1378" s="1" t="n">
        <v>45446</v>
      </c>
      <c r="C1378" s="1" t="n">
        <v>45744</v>
      </c>
      <c r="D1378" t="inlineStr">
        <is>
          <t>SKÅNE LÄN</t>
        </is>
      </c>
      <c r="E1378" t="inlineStr">
        <is>
          <t>HÄSSLEHOLM</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22310-2024</t>
        </is>
      </c>
      <c r="B1379" s="1" t="n">
        <v>45446</v>
      </c>
      <c r="C1379" s="1" t="n">
        <v>45744</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22204-2024</t>
        </is>
      </c>
      <c r="B1380" s="1" t="n">
        <v>45446</v>
      </c>
      <c r="C1380" s="1" t="n">
        <v>45744</v>
      </c>
      <c r="D1380" t="inlineStr">
        <is>
          <t>SKÅNE LÄN</t>
        </is>
      </c>
      <c r="E1380" t="inlineStr">
        <is>
          <t>HÄSSLEHOLM</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22595-2024</t>
        </is>
      </c>
      <c r="B1381" s="1" t="n">
        <v>45447</v>
      </c>
      <c r="C1381" s="1" t="n">
        <v>45744</v>
      </c>
      <c r="D1381" t="inlineStr">
        <is>
          <t>SKÅNE LÄN</t>
        </is>
      </c>
      <c r="E1381" t="inlineStr">
        <is>
          <t>HÄSSLEHOLM</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22535-2024</t>
        </is>
      </c>
      <c r="B1382" s="1" t="n">
        <v>45447</v>
      </c>
      <c r="C1382" s="1" t="n">
        <v>45744</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22594-2024</t>
        </is>
      </c>
      <c r="B1383" s="1" t="n">
        <v>45447</v>
      </c>
      <c r="C1383" s="1" t="n">
        <v>45744</v>
      </c>
      <c r="D1383" t="inlineStr">
        <is>
          <t>SKÅNE LÄN</t>
        </is>
      </c>
      <c r="E1383" t="inlineStr">
        <is>
          <t>HÄSSLEHOLM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22886-2024</t>
        </is>
      </c>
      <c r="B1384" s="1" t="n">
        <v>45448</v>
      </c>
      <c r="C1384" s="1" t="n">
        <v>45744</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23010-2024</t>
        </is>
      </c>
      <c r="B1385" s="1" t="n">
        <v>45450</v>
      </c>
      <c r="C1385" s="1" t="n">
        <v>45744</v>
      </c>
      <c r="D1385" t="inlineStr">
        <is>
          <t>SKÅNE LÄN</t>
        </is>
      </c>
      <c r="E1385" t="inlineStr">
        <is>
          <t>HÄSSLEHOLM</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23361-2024</t>
        </is>
      </c>
      <c r="B1386" s="1" t="n">
        <v>45453</v>
      </c>
      <c r="C1386" s="1" t="n">
        <v>45744</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23857-2024</t>
        </is>
      </c>
      <c r="B1387" s="1" t="n">
        <v>45455</v>
      </c>
      <c r="C1387" s="1" t="n">
        <v>45744</v>
      </c>
      <c r="D1387" t="inlineStr">
        <is>
          <t>SKÅNE LÄN</t>
        </is>
      </c>
      <c r="E1387" t="inlineStr">
        <is>
          <t>HÄSSLEHOLM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23864-2024</t>
        </is>
      </c>
      <c r="B1388" s="1" t="n">
        <v>45455</v>
      </c>
      <c r="C1388" s="1" t="n">
        <v>45744</v>
      </c>
      <c r="D1388" t="inlineStr">
        <is>
          <t>SKÅNE LÄN</t>
        </is>
      </c>
      <c r="E1388" t="inlineStr">
        <is>
          <t>HÄSSLEHOLM</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23860-2024</t>
        </is>
      </c>
      <c r="B1389" s="1" t="n">
        <v>45455</v>
      </c>
      <c r="C1389" s="1" t="n">
        <v>45744</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23987-2024</t>
        </is>
      </c>
      <c r="B1390" s="1" t="n">
        <v>45456</v>
      </c>
      <c r="C1390" s="1" t="n">
        <v>45744</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24865-2024</t>
        </is>
      </c>
      <c r="B1391" s="1" t="n">
        <v>45461</v>
      </c>
      <c r="C1391" s="1" t="n">
        <v>45744</v>
      </c>
      <c r="D1391" t="inlineStr">
        <is>
          <t>SKÅNE LÄN</t>
        </is>
      </c>
      <c r="E1391" t="inlineStr">
        <is>
          <t>HÄSSLEHOLM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24969-2024</t>
        </is>
      </c>
      <c r="B1392" s="1" t="n">
        <v>45461</v>
      </c>
      <c r="C1392" s="1" t="n">
        <v>45744</v>
      </c>
      <c r="D1392" t="inlineStr">
        <is>
          <t>SKÅNE LÄN</t>
        </is>
      </c>
      <c r="E1392" t="inlineStr">
        <is>
          <t>HÄSSLEHOLM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25326-2024</t>
        </is>
      </c>
      <c r="B1393" s="1" t="n">
        <v>45462</v>
      </c>
      <c r="C1393" s="1" t="n">
        <v>45744</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25323-2024</t>
        </is>
      </c>
      <c r="B1394" s="1" t="n">
        <v>45462</v>
      </c>
      <c r="C1394" s="1" t="n">
        <v>45744</v>
      </c>
      <c r="D1394" t="inlineStr">
        <is>
          <t>SKÅNE LÄN</t>
        </is>
      </c>
      <c r="E1394" t="inlineStr">
        <is>
          <t>HÄSSLEHOLM</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25325-2024</t>
        </is>
      </c>
      <c r="B1395" s="1" t="n">
        <v>45462</v>
      </c>
      <c r="C1395" s="1" t="n">
        <v>45744</v>
      </c>
      <c r="D1395" t="inlineStr">
        <is>
          <t>SKÅNE LÄN</t>
        </is>
      </c>
      <c r="E1395" t="inlineStr">
        <is>
          <t>HÄSSLEHOLM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25176-2024</t>
        </is>
      </c>
      <c r="B1396" s="1" t="n">
        <v>45462</v>
      </c>
      <c r="C1396" s="1" t="n">
        <v>45744</v>
      </c>
      <c r="D1396" t="inlineStr">
        <is>
          <t>SKÅNE LÄN</t>
        </is>
      </c>
      <c r="E1396" t="inlineStr">
        <is>
          <t>HÄSSLEHOLM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25077-2024</t>
        </is>
      </c>
      <c r="B1397" s="1" t="n">
        <v>45462</v>
      </c>
      <c r="C1397" s="1" t="n">
        <v>45744</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25057-2024</t>
        </is>
      </c>
      <c r="B1398" s="1" t="n">
        <v>45462</v>
      </c>
      <c r="C1398" s="1" t="n">
        <v>45744</v>
      </c>
      <c r="D1398" t="inlineStr">
        <is>
          <t>SKÅNE LÄN</t>
        </is>
      </c>
      <c r="E1398" t="inlineStr">
        <is>
          <t>HÄSSLEHOLM</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25324-2024</t>
        </is>
      </c>
      <c r="B1399" s="1" t="n">
        <v>45462</v>
      </c>
      <c r="C1399" s="1" t="n">
        <v>45744</v>
      </c>
      <c r="D1399" t="inlineStr">
        <is>
          <t>SKÅNE LÄN</t>
        </is>
      </c>
      <c r="E1399" t="inlineStr">
        <is>
          <t>HÄSSLEHOLM</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25203-2024</t>
        </is>
      </c>
      <c r="B1400" s="1" t="n">
        <v>45462</v>
      </c>
      <c r="C1400" s="1" t="n">
        <v>45744</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25604-2024</t>
        </is>
      </c>
      <c r="B1401" s="1" t="n">
        <v>45463</v>
      </c>
      <c r="C1401" s="1" t="n">
        <v>45744</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25606-2024</t>
        </is>
      </c>
      <c r="B1402" s="1" t="n">
        <v>45463</v>
      </c>
      <c r="C1402" s="1" t="n">
        <v>45744</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25542-2024</t>
        </is>
      </c>
      <c r="B1403" s="1" t="n">
        <v>45463</v>
      </c>
      <c r="C1403" s="1" t="n">
        <v>45744</v>
      </c>
      <c r="D1403" t="inlineStr">
        <is>
          <t>SKÅNE LÄN</t>
        </is>
      </c>
      <c r="E1403" t="inlineStr">
        <is>
          <t>HÄSSLEHOLM</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25538-2024</t>
        </is>
      </c>
      <c r="B1404" s="1" t="n">
        <v>45463</v>
      </c>
      <c r="C1404" s="1" t="n">
        <v>45744</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25611-2024</t>
        </is>
      </c>
      <c r="B1405" s="1" t="n">
        <v>45463</v>
      </c>
      <c r="C1405" s="1" t="n">
        <v>45744</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25533-2024</t>
        </is>
      </c>
      <c r="B1406" s="1" t="n">
        <v>45463</v>
      </c>
      <c r="C1406" s="1" t="n">
        <v>45744</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25422-2024</t>
        </is>
      </c>
      <c r="B1407" s="1" t="n">
        <v>45463</v>
      </c>
      <c r="C1407" s="1" t="n">
        <v>45744</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26147-2024</t>
        </is>
      </c>
      <c r="B1408" s="1" t="n">
        <v>45468</v>
      </c>
      <c r="C1408" s="1" t="n">
        <v>45744</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26403-2024</t>
        </is>
      </c>
      <c r="B1409" s="1" t="n">
        <v>45469</v>
      </c>
      <c r="C1409" s="1" t="n">
        <v>45744</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26879-2024</t>
        </is>
      </c>
      <c r="B1410" s="1" t="n">
        <v>45470</v>
      </c>
      <c r="C1410" s="1" t="n">
        <v>45744</v>
      </c>
      <c r="D1410" t="inlineStr">
        <is>
          <t>SKÅNE LÄN</t>
        </is>
      </c>
      <c r="E1410" t="inlineStr">
        <is>
          <t>HÄSSLEHOLM</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27175-2024</t>
        </is>
      </c>
      <c r="B1411" s="1" t="n">
        <v>45471</v>
      </c>
      <c r="C1411" s="1" t="n">
        <v>45744</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27173-2024</t>
        </is>
      </c>
      <c r="B1412" s="1" t="n">
        <v>45471</v>
      </c>
      <c r="C1412" s="1" t="n">
        <v>45744</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27177-2024</t>
        </is>
      </c>
      <c r="B1413" s="1" t="n">
        <v>45471</v>
      </c>
      <c r="C1413" s="1" t="n">
        <v>45744</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27606-2024</t>
        </is>
      </c>
      <c r="B1414" s="1" t="n">
        <v>45474</v>
      </c>
      <c r="C1414" s="1" t="n">
        <v>45744</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27581-2024</t>
        </is>
      </c>
      <c r="B1415" s="1" t="n">
        <v>45474</v>
      </c>
      <c r="C1415" s="1" t="n">
        <v>45744</v>
      </c>
      <c r="D1415" t="inlineStr">
        <is>
          <t>SKÅNE LÄN</t>
        </is>
      </c>
      <c r="E1415" t="inlineStr">
        <is>
          <t>HÄSSLEHOLM</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27820-2024</t>
        </is>
      </c>
      <c r="B1416" s="1" t="n">
        <v>45475</v>
      </c>
      <c r="C1416" s="1" t="n">
        <v>45744</v>
      </c>
      <c r="D1416" t="inlineStr">
        <is>
          <t>SKÅNE LÄN</t>
        </is>
      </c>
      <c r="E1416" t="inlineStr">
        <is>
          <t>HÄSSLEHOLM</t>
        </is>
      </c>
      <c r="F1416" t="inlineStr">
        <is>
          <t>Kommuner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27832-2024</t>
        </is>
      </c>
      <c r="B1417" s="1" t="n">
        <v>45475</v>
      </c>
      <c r="C1417" s="1" t="n">
        <v>45744</v>
      </c>
      <c r="D1417" t="inlineStr">
        <is>
          <t>SKÅNE LÄN</t>
        </is>
      </c>
      <c r="E1417" t="inlineStr">
        <is>
          <t>HÄSSLEHOLM</t>
        </is>
      </c>
      <c r="F1417" t="inlineStr">
        <is>
          <t>Kommuner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27837-2024</t>
        </is>
      </c>
      <c r="B1418" s="1" t="n">
        <v>45475</v>
      </c>
      <c r="C1418" s="1" t="n">
        <v>45744</v>
      </c>
      <c r="D1418" t="inlineStr">
        <is>
          <t>SKÅNE LÄN</t>
        </is>
      </c>
      <c r="E1418" t="inlineStr">
        <is>
          <t>HÄSSLEHOLM</t>
        </is>
      </c>
      <c r="F1418" t="inlineStr">
        <is>
          <t>Kommuner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27825-2024</t>
        </is>
      </c>
      <c r="B1419" s="1" t="n">
        <v>45475</v>
      </c>
      <c r="C1419" s="1" t="n">
        <v>45744</v>
      </c>
      <c r="D1419" t="inlineStr">
        <is>
          <t>SKÅNE LÄN</t>
        </is>
      </c>
      <c r="E1419" t="inlineStr">
        <is>
          <t>HÄSSLEHOLM</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27991-2024</t>
        </is>
      </c>
      <c r="B1420" s="1" t="n">
        <v>45476</v>
      </c>
      <c r="C1420" s="1" t="n">
        <v>45744</v>
      </c>
      <c r="D1420" t="inlineStr">
        <is>
          <t>SKÅNE LÄN</t>
        </is>
      </c>
      <c r="E1420" t="inlineStr">
        <is>
          <t>HÄSSLEHOLM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28456-2024</t>
        </is>
      </c>
      <c r="B1421" s="1" t="n">
        <v>45477</v>
      </c>
      <c r="C1421" s="1" t="n">
        <v>45744</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28457-2024</t>
        </is>
      </c>
      <c r="B1422" s="1" t="n">
        <v>45477</v>
      </c>
      <c r="C1422" s="1" t="n">
        <v>45744</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28599-2024</t>
        </is>
      </c>
      <c r="B1423" s="1" t="n">
        <v>45478</v>
      </c>
      <c r="C1423" s="1" t="n">
        <v>45744</v>
      </c>
      <c r="D1423" t="inlineStr">
        <is>
          <t>SKÅNE LÄN</t>
        </is>
      </c>
      <c r="E1423" t="inlineStr">
        <is>
          <t>HÄSSLEHOLM</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28749-2024</t>
        </is>
      </c>
      <c r="B1424" s="1" t="n">
        <v>45478</v>
      </c>
      <c r="C1424" s="1" t="n">
        <v>45744</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28632-2024</t>
        </is>
      </c>
      <c r="B1425" s="1" t="n">
        <v>45478</v>
      </c>
      <c r="C1425" s="1" t="n">
        <v>45744</v>
      </c>
      <c r="D1425" t="inlineStr">
        <is>
          <t>SKÅNE LÄN</t>
        </is>
      </c>
      <c r="E1425" t="inlineStr">
        <is>
          <t>HÄSSLEHOLM</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29629-2024</t>
        </is>
      </c>
      <c r="B1426" s="1" t="n">
        <v>45484</v>
      </c>
      <c r="C1426" s="1" t="n">
        <v>45744</v>
      </c>
      <c r="D1426" t="inlineStr">
        <is>
          <t>SKÅNE LÄN</t>
        </is>
      </c>
      <c r="E1426" t="inlineStr">
        <is>
          <t>HÄSSLEHOLM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29659-2024</t>
        </is>
      </c>
      <c r="B1427" s="1" t="n">
        <v>45485</v>
      </c>
      <c r="C1427" s="1" t="n">
        <v>45744</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29627-2024</t>
        </is>
      </c>
      <c r="B1428" s="1" t="n">
        <v>45484</v>
      </c>
      <c r="C1428" s="1" t="n">
        <v>45744</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29847-2024</t>
        </is>
      </c>
      <c r="B1429" s="1" t="n">
        <v>45485</v>
      </c>
      <c r="C1429" s="1" t="n">
        <v>45744</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29844-2024</t>
        </is>
      </c>
      <c r="B1430" s="1" t="n">
        <v>45485</v>
      </c>
      <c r="C1430" s="1" t="n">
        <v>45744</v>
      </c>
      <c r="D1430" t="inlineStr">
        <is>
          <t>SKÅNE LÄN</t>
        </is>
      </c>
      <c r="E1430" t="inlineStr">
        <is>
          <t>HÄSSLEHOLM</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29845-2024</t>
        </is>
      </c>
      <c r="B1431" s="1" t="n">
        <v>45485</v>
      </c>
      <c r="C1431" s="1" t="n">
        <v>45744</v>
      </c>
      <c r="D1431" t="inlineStr">
        <is>
          <t>SKÅNE LÄN</t>
        </is>
      </c>
      <c r="E1431" t="inlineStr">
        <is>
          <t>HÄSSLEHOLM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29838-2024</t>
        </is>
      </c>
      <c r="B1432" s="1" t="n">
        <v>45485</v>
      </c>
      <c r="C1432" s="1" t="n">
        <v>45744</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29842-2024</t>
        </is>
      </c>
      <c r="B1433" s="1" t="n">
        <v>45485</v>
      </c>
      <c r="C1433" s="1" t="n">
        <v>45744</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29850-2024</t>
        </is>
      </c>
      <c r="B1434" s="1" t="n">
        <v>45485</v>
      </c>
      <c r="C1434" s="1" t="n">
        <v>45744</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29853-2024</t>
        </is>
      </c>
      <c r="B1435" s="1" t="n">
        <v>45485</v>
      </c>
      <c r="C1435" s="1" t="n">
        <v>45744</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30151-2024</t>
        </is>
      </c>
      <c r="B1436" s="1" t="n">
        <v>45488</v>
      </c>
      <c r="C1436" s="1" t="n">
        <v>45744</v>
      </c>
      <c r="D1436" t="inlineStr">
        <is>
          <t>SKÅNE LÄN</t>
        </is>
      </c>
      <c r="E1436" t="inlineStr">
        <is>
          <t>HÄSSLEHOLM</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30155-2024</t>
        </is>
      </c>
      <c r="B1437" s="1" t="n">
        <v>45488</v>
      </c>
      <c r="C1437" s="1" t="n">
        <v>45744</v>
      </c>
      <c r="D1437" t="inlineStr">
        <is>
          <t>SKÅNE LÄN</t>
        </is>
      </c>
      <c r="E1437" t="inlineStr">
        <is>
          <t>HÄSSLEHOLM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30227-2024</t>
        </is>
      </c>
      <c r="B1438" s="1" t="n">
        <v>45490</v>
      </c>
      <c r="C1438" s="1" t="n">
        <v>45744</v>
      </c>
      <c r="D1438" t="inlineStr">
        <is>
          <t>SKÅNE LÄN</t>
        </is>
      </c>
      <c r="E1438" t="inlineStr">
        <is>
          <t>HÄSSLEHOLM</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30391-2024</t>
        </is>
      </c>
      <c r="B1439" s="1" t="n">
        <v>45491</v>
      </c>
      <c r="C1439" s="1" t="n">
        <v>45744</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31161-2024</t>
        </is>
      </c>
      <c r="B1440" s="1" t="n">
        <v>45503</v>
      </c>
      <c r="C1440" s="1" t="n">
        <v>45744</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31162-2024</t>
        </is>
      </c>
      <c r="B1441" s="1" t="n">
        <v>45503</v>
      </c>
      <c r="C1441" s="1" t="n">
        <v>45744</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31160-2024</t>
        </is>
      </c>
      <c r="B1442" s="1" t="n">
        <v>45503</v>
      </c>
      <c r="C1442" s="1" t="n">
        <v>45744</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31254-2024</t>
        </is>
      </c>
      <c r="B1443" s="1" t="n">
        <v>45503</v>
      </c>
      <c r="C1443" s="1" t="n">
        <v>45744</v>
      </c>
      <c r="D1443" t="inlineStr">
        <is>
          <t>SKÅNE LÄN</t>
        </is>
      </c>
      <c r="E1443" t="inlineStr">
        <is>
          <t>HÄSSLEHOLM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31255-2024</t>
        </is>
      </c>
      <c r="B1444" s="1" t="n">
        <v>45503</v>
      </c>
      <c r="C1444" s="1" t="n">
        <v>45744</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31335-2024</t>
        </is>
      </c>
      <c r="B1445" s="1" t="n">
        <v>45504</v>
      </c>
      <c r="C1445" s="1" t="n">
        <v>45744</v>
      </c>
      <c r="D1445" t="inlineStr">
        <is>
          <t>SKÅNE LÄN</t>
        </is>
      </c>
      <c r="E1445" t="inlineStr">
        <is>
          <t>HÄSSLEHOLM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31268-2024</t>
        </is>
      </c>
      <c r="B1446" s="1" t="n">
        <v>45504</v>
      </c>
      <c r="C1446" s="1" t="n">
        <v>45744</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31336-2024</t>
        </is>
      </c>
      <c r="B1447" s="1" t="n">
        <v>45504</v>
      </c>
      <c r="C1447" s="1" t="n">
        <v>45744</v>
      </c>
      <c r="D1447" t="inlineStr">
        <is>
          <t>SKÅNE LÄN</t>
        </is>
      </c>
      <c r="E1447" t="inlineStr">
        <is>
          <t>HÄSSLEHOLM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31379-2024</t>
        </is>
      </c>
      <c r="B1448" s="1" t="n">
        <v>45505</v>
      </c>
      <c r="C1448" s="1" t="n">
        <v>45744</v>
      </c>
      <c r="D1448" t="inlineStr">
        <is>
          <t>SKÅNE LÄN</t>
        </is>
      </c>
      <c r="E1448" t="inlineStr">
        <is>
          <t>HÄSSLEHOLM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32008-2024</t>
        </is>
      </c>
      <c r="B1449" s="1" t="n">
        <v>45510</v>
      </c>
      <c r="C1449" s="1" t="n">
        <v>45744</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31934-2024</t>
        </is>
      </c>
      <c r="B1450" s="1" t="n">
        <v>45510</v>
      </c>
      <c r="C1450" s="1" t="n">
        <v>45744</v>
      </c>
      <c r="D1450" t="inlineStr">
        <is>
          <t>SKÅNE LÄN</t>
        </is>
      </c>
      <c r="E1450" t="inlineStr">
        <is>
          <t>HÄSSLEHOLM</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31989-2024</t>
        </is>
      </c>
      <c r="B1451" s="1" t="n">
        <v>45510</v>
      </c>
      <c r="C1451" s="1" t="n">
        <v>45744</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31931-2024</t>
        </is>
      </c>
      <c r="B1452" s="1" t="n">
        <v>45510</v>
      </c>
      <c r="C1452" s="1" t="n">
        <v>45744</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31933-2024</t>
        </is>
      </c>
      <c r="B1453" s="1" t="n">
        <v>45510</v>
      </c>
      <c r="C1453" s="1" t="n">
        <v>45744</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32154-2024</t>
        </is>
      </c>
      <c r="B1454" s="1" t="n">
        <v>45511</v>
      </c>
      <c r="C1454" s="1" t="n">
        <v>45744</v>
      </c>
      <c r="D1454" t="inlineStr">
        <is>
          <t>SKÅNE LÄN</t>
        </is>
      </c>
      <c r="E1454" t="inlineStr">
        <is>
          <t>HÄSSLEHOLM</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32211-2024</t>
        </is>
      </c>
      <c r="B1455" s="1" t="n">
        <v>45511</v>
      </c>
      <c r="C1455" s="1" t="n">
        <v>45744</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32100-2024</t>
        </is>
      </c>
      <c r="B1456" s="1" t="n">
        <v>45511</v>
      </c>
      <c r="C1456" s="1" t="n">
        <v>45744</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32210-2024</t>
        </is>
      </c>
      <c r="B1457" s="1" t="n">
        <v>45511</v>
      </c>
      <c r="C1457" s="1" t="n">
        <v>45744</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32514-2024</t>
        </is>
      </c>
      <c r="B1458" s="1" t="n">
        <v>45513</v>
      </c>
      <c r="C1458" s="1" t="n">
        <v>45744</v>
      </c>
      <c r="D1458" t="inlineStr">
        <is>
          <t>SKÅNE LÄN</t>
        </is>
      </c>
      <c r="E1458" t="inlineStr">
        <is>
          <t>HÄSSLEHOLM</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32512-2024</t>
        </is>
      </c>
      <c r="B1459" s="1" t="n">
        <v>45513</v>
      </c>
      <c r="C1459" s="1" t="n">
        <v>45744</v>
      </c>
      <c r="D1459" t="inlineStr">
        <is>
          <t>SKÅNE LÄN</t>
        </is>
      </c>
      <c r="E1459" t="inlineStr">
        <is>
          <t>HÄSSLEHOLM</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32586-2024</t>
        </is>
      </c>
      <c r="B1460" s="1" t="n">
        <v>45513</v>
      </c>
      <c r="C1460" s="1" t="n">
        <v>45744</v>
      </c>
      <c r="D1460" t="inlineStr">
        <is>
          <t>SKÅNE LÄN</t>
        </is>
      </c>
      <c r="E1460" t="inlineStr">
        <is>
          <t>HÄSSLEHOLM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32589-2024</t>
        </is>
      </c>
      <c r="B1461" s="1" t="n">
        <v>45513</v>
      </c>
      <c r="C1461" s="1" t="n">
        <v>45744</v>
      </c>
      <c r="D1461" t="inlineStr">
        <is>
          <t>SKÅNE LÄN</t>
        </is>
      </c>
      <c r="E1461" t="inlineStr">
        <is>
          <t>HÄSSLEHOLM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32834-2024</t>
        </is>
      </c>
      <c r="B1462" s="1" t="n">
        <v>45516</v>
      </c>
      <c r="C1462" s="1" t="n">
        <v>45744</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32881-2024</t>
        </is>
      </c>
      <c r="B1463" s="1" t="n">
        <v>45516</v>
      </c>
      <c r="C1463" s="1" t="n">
        <v>45744</v>
      </c>
      <c r="D1463" t="inlineStr">
        <is>
          <t>SKÅNE LÄN</t>
        </is>
      </c>
      <c r="E1463" t="inlineStr">
        <is>
          <t>HÄSSLEHOLM</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32817-2024</t>
        </is>
      </c>
      <c r="B1464" s="1" t="n">
        <v>45516</v>
      </c>
      <c r="C1464" s="1" t="n">
        <v>45744</v>
      </c>
      <c r="D1464" t="inlineStr">
        <is>
          <t>SKÅNE LÄN</t>
        </is>
      </c>
      <c r="E1464" t="inlineStr">
        <is>
          <t>HÄSSLEHOLM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32826-2024</t>
        </is>
      </c>
      <c r="B1465" s="1" t="n">
        <v>45516</v>
      </c>
      <c r="C1465" s="1" t="n">
        <v>45744</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33064-2024</t>
        </is>
      </c>
      <c r="B1466" s="1" t="n">
        <v>45517</v>
      </c>
      <c r="C1466" s="1" t="n">
        <v>45744</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33067-2024</t>
        </is>
      </c>
      <c r="B1467" s="1" t="n">
        <v>45517</v>
      </c>
      <c r="C1467" s="1" t="n">
        <v>45744</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33257-2024</t>
        </is>
      </c>
      <c r="B1468" s="1" t="n">
        <v>45518</v>
      </c>
      <c r="C1468" s="1" t="n">
        <v>45744</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33260-2024</t>
        </is>
      </c>
      <c r="B1469" s="1" t="n">
        <v>45518</v>
      </c>
      <c r="C1469" s="1" t="n">
        <v>45744</v>
      </c>
      <c r="D1469" t="inlineStr">
        <is>
          <t>SKÅNE LÄN</t>
        </is>
      </c>
      <c r="E1469" t="inlineStr">
        <is>
          <t>HÄSSLEHOLM</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33266-2024</t>
        </is>
      </c>
      <c r="B1470" s="1" t="n">
        <v>45518</v>
      </c>
      <c r="C1470" s="1" t="n">
        <v>45744</v>
      </c>
      <c r="D1470" t="inlineStr">
        <is>
          <t>SKÅNE LÄN</t>
        </is>
      </c>
      <c r="E1470" t="inlineStr">
        <is>
          <t>HÄSSLEHOLM</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33267-2024</t>
        </is>
      </c>
      <c r="B1471" s="1" t="n">
        <v>45518</v>
      </c>
      <c r="C1471" s="1" t="n">
        <v>45744</v>
      </c>
      <c r="D1471" t="inlineStr">
        <is>
          <t>SKÅNE LÄN</t>
        </is>
      </c>
      <c r="E1471" t="inlineStr">
        <is>
          <t>HÄSSLEHOLM</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33259-2024</t>
        </is>
      </c>
      <c r="B1472" s="1" t="n">
        <v>45518</v>
      </c>
      <c r="C1472" s="1" t="n">
        <v>45744</v>
      </c>
      <c r="D1472" t="inlineStr">
        <is>
          <t>SKÅNE LÄN</t>
        </is>
      </c>
      <c r="E1472" t="inlineStr">
        <is>
          <t>HÄSSLEHOLM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33465-2024</t>
        </is>
      </c>
      <c r="B1473" s="1" t="n">
        <v>45519</v>
      </c>
      <c r="C1473" s="1" t="n">
        <v>45744</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33481-2024</t>
        </is>
      </c>
      <c r="B1474" s="1" t="n">
        <v>45519</v>
      </c>
      <c r="C1474" s="1" t="n">
        <v>45744</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33466-2024</t>
        </is>
      </c>
      <c r="B1475" s="1" t="n">
        <v>45519</v>
      </c>
      <c r="C1475" s="1" t="n">
        <v>45744</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33463-2024</t>
        </is>
      </c>
      <c r="B1476" s="1" t="n">
        <v>45519</v>
      </c>
      <c r="C1476" s="1" t="n">
        <v>45744</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33536-2024</t>
        </is>
      </c>
      <c r="B1477" s="1" t="n">
        <v>45519</v>
      </c>
      <c r="C1477" s="1" t="n">
        <v>45744</v>
      </c>
      <c r="D1477" t="inlineStr">
        <is>
          <t>SKÅNE LÄN</t>
        </is>
      </c>
      <c r="E1477" t="inlineStr">
        <is>
          <t>HÄSSLEHOLM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34027-2024</t>
        </is>
      </c>
      <c r="B1478" s="1" t="n">
        <v>45523</v>
      </c>
      <c r="C1478" s="1" t="n">
        <v>45744</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34243-2024</t>
        </is>
      </c>
      <c r="B1479" s="1" t="n">
        <v>45524</v>
      </c>
      <c r="C1479" s="1" t="n">
        <v>45744</v>
      </c>
      <c r="D1479" t="inlineStr">
        <is>
          <t>SKÅNE LÄN</t>
        </is>
      </c>
      <c r="E1479" t="inlineStr">
        <is>
          <t>HÄSSLEHOLM</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34299-2024</t>
        </is>
      </c>
      <c r="B1480" s="1" t="n">
        <v>45524</v>
      </c>
      <c r="C1480" s="1" t="n">
        <v>45744</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34301-2024</t>
        </is>
      </c>
      <c r="B1481" s="1" t="n">
        <v>45524</v>
      </c>
      <c r="C1481" s="1" t="n">
        <v>45744</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35119-2024</t>
        </is>
      </c>
      <c r="B1482" s="1" t="n">
        <v>45529</v>
      </c>
      <c r="C1482" s="1" t="n">
        <v>45744</v>
      </c>
      <c r="D1482" t="inlineStr">
        <is>
          <t>SKÅNE LÄN</t>
        </is>
      </c>
      <c r="E1482" t="inlineStr">
        <is>
          <t>HÄSSLEHOLM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35132-2024</t>
        </is>
      </c>
      <c r="B1483" s="1" t="n">
        <v>45529</v>
      </c>
      <c r="C1483" s="1" t="n">
        <v>45744</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35120-2024</t>
        </is>
      </c>
      <c r="B1484" s="1" t="n">
        <v>45529</v>
      </c>
      <c r="C1484" s="1" t="n">
        <v>45744</v>
      </c>
      <c r="D1484" t="inlineStr">
        <is>
          <t>SKÅNE LÄN</t>
        </is>
      </c>
      <c r="E1484" t="inlineStr">
        <is>
          <t>HÄSSLEHOLM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35157-2024</t>
        </is>
      </c>
      <c r="B1485" s="1" t="n">
        <v>45530</v>
      </c>
      <c r="C1485" s="1" t="n">
        <v>45744</v>
      </c>
      <c r="D1485" t="inlineStr">
        <is>
          <t>SKÅNE LÄN</t>
        </is>
      </c>
      <c r="E1485" t="inlineStr">
        <is>
          <t>HÄSSLEHOLM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35711-2024</t>
        </is>
      </c>
      <c r="B1486" s="1" t="n">
        <v>45532</v>
      </c>
      <c r="C1486" s="1" t="n">
        <v>45744</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35712-2024</t>
        </is>
      </c>
      <c r="B1487" s="1" t="n">
        <v>45532</v>
      </c>
      <c r="C1487" s="1" t="n">
        <v>45744</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36568-2024</t>
        </is>
      </c>
      <c r="B1488" s="1" t="n">
        <v>45537</v>
      </c>
      <c r="C1488" s="1" t="n">
        <v>45744</v>
      </c>
      <c r="D1488" t="inlineStr">
        <is>
          <t>SKÅNE LÄN</t>
        </is>
      </c>
      <c r="E1488" t="inlineStr">
        <is>
          <t>HÄSSLEHOLM</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36662-2024</t>
        </is>
      </c>
      <c r="B1489" s="1" t="n">
        <v>45537</v>
      </c>
      <c r="C1489" s="1" t="n">
        <v>45744</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36703-2024</t>
        </is>
      </c>
      <c r="B1490" s="1" t="n">
        <v>45537</v>
      </c>
      <c r="C1490" s="1" t="n">
        <v>45744</v>
      </c>
      <c r="D1490" t="inlineStr">
        <is>
          <t>SKÅNE LÄN</t>
        </is>
      </c>
      <c r="E1490" t="inlineStr">
        <is>
          <t>HÄSSLEHOLM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37045-2024</t>
        </is>
      </c>
      <c r="B1491" s="1" t="n">
        <v>45539</v>
      </c>
      <c r="C1491" s="1" t="n">
        <v>45744</v>
      </c>
      <c r="D1491" t="inlineStr">
        <is>
          <t>SKÅNE LÄN</t>
        </is>
      </c>
      <c r="E1491" t="inlineStr">
        <is>
          <t>HÄSSLEHOLM</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37319-2024</t>
        </is>
      </c>
      <c r="B1492" s="1" t="n">
        <v>45540</v>
      </c>
      <c r="C1492" s="1" t="n">
        <v>45744</v>
      </c>
      <c r="D1492" t="inlineStr">
        <is>
          <t>SKÅNE LÄN</t>
        </is>
      </c>
      <c r="E1492" t="inlineStr">
        <is>
          <t>HÄSSLEHOLM</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37318-2024</t>
        </is>
      </c>
      <c r="B1493" s="1" t="n">
        <v>45540</v>
      </c>
      <c r="C1493" s="1" t="n">
        <v>45744</v>
      </c>
      <c r="D1493" t="inlineStr">
        <is>
          <t>SKÅNE LÄN</t>
        </is>
      </c>
      <c r="E1493" t="inlineStr">
        <is>
          <t>HÄSSLEHOLM</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37316-2024</t>
        </is>
      </c>
      <c r="B1494" s="1" t="n">
        <v>45540</v>
      </c>
      <c r="C1494" s="1" t="n">
        <v>45744</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37324-2024</t>
        </is>
      </c>
      <c r="B1495" s="1" t="n">
        <v>45540</v>
      </c>
      <c r="C1495" s="1" t="n">
        <v>45744</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37486-2024</t>
        </is>
      </c>
      <c r="B1496" s="1" t="n">
        <v>45541</v>
      </c>
      <c r="C1496" s="1" t="n">
        <v>45744</v>
      </c>
      <c r="D1496" t="inlineStr">
        <is>
          <t>SKÅNE LÄN</t>
        </is>
      </c>
      <c r="E1496" t="inlineStr">
        <is>
          <t>HÄSSLEHOLM</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37481-2024</t>
        </is>
      </c>
      <c r="B1497" s="1" t="n">
        <v>45541</v>
      </c>
      <c r="C1497" s="1" t="n">
        <v>45744</v>
      </c>
      <c r="D1497" t="inlineStr">
        <is>
          <t>SKÅNE LÄN</t>
        </is>
      </c>
      <c r="E1497" t="inlineStr">
        <is>
          <t>HÄSSLEHOLM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38358-2024</t>
        </is>
      </c>
      <c r="B1498" s="1" t="n">
        <v>45545</v>
      </c>
      <c r="C1498" s="1" t="n">
        <v>45744</v>
      </c>
      <c r="D1498" t="inlineStr">
        <is>
          <t>SKÅNE LÄN</t>
        </is>
      </c>
      <c r="E1498" t="inlineStr">
        <is>
          <t>HÄSSLEHOLM</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38362-2024</t>
        </is>
      </c>
      <c r="B1499" s="1" t="n">
        <v>45545</v>
      </c>
      <c r="C1499" s="1" t="n">
        <v>45744</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38559-2024</t>
        </is>
      </c>
      <c r="B1500" s="1" t="n">
        <v>45546</v>
      </c>
      <c r="C1500" s="1" t="n">
        <v>45744</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38712-2024</t>
        </is>
      </c>
      <c r="B1501" s="1" t="n">
        <v>45547</v>
      </c>
      <c r="C1501" s="1" t="n">
        <v>45744</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38829-2024</t>
        </is>
      </c>
      <c r="B1502" s="1" t="n">
        <v>45547</v>
      </c>
      <c r="C1502" s="1" t="n">
        <v>45744</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38808-2024</t>
        </is>
      </c>
      <c r="B1503" s="1" t="n">
        <v>45547</v>
      </c>
      <c r="C1503" s="1" t="n">
        <v>45744</v>
      </c>
      <c r="D1503" t="inlineStr">
        <is>
          <t>SKÅNE LÄN</t>
        </is>
      </c>
      <c r="E1503" t="inlineStr">
        <is>
          <t>HÄSSLEHOLM</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38980-2024</t>
        </is>
      </c>
      <c r="B1504" s="1" t="n">
        <v>45548</v>
      </c>
      <c r="C1504" s="1" t="n">
        <v>45744</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39042-2024</t>
        </is>
      </c>
      <c r="B1505" s="1" t="n">
        <v>45548</v>
      </c>
      <c r="C1505" s="1" t="n">
        <v>45744</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39044-2024</t>
        </is>
      </c>
      <c r="B1506" s="1" t="n">
        <v>45548</v>
      </c>
      <c r="C1506" s="1" t="n">
        <v>45744</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39241-2024</t>
        </is>
      </c>
      <c r="B1507" s="1" t="n">
        <v>45550</v>
      </c>
      <c r="C1507" s="1" t="n">
        <v>45744</v>
      </c>
      <c r="D1507" t="inlineStr">
        <is>
          <t>SKÅNE LÄN</t>
        </is>
      </c>
      <c r="E1507" t="inlineStr">
        <is>
          <t>HÄSSLEHOLM</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39223-2024</t>
        </is>
      </c>
      <c r="B1508" s="1" t="n">
        <v>45550</v>
      </c>
      <c r="C1508" s="1" t="n">
        <v>45744</v>
      </c>
      <c r="D1508" t="inlineStr">
        <is>
          <t>SKÅNE LÄN</t>
        </is>
      </c>
      <c r="E1508" t="inlineStr">
        <is>
          <t>HÄSSLEHOLM</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40152-2024</t>
        </is>
      </c>
      <c r="B1509" s="1" t="n">
        <v>45554</v>
      </c>
      <c r="C1509" s="1" t="n">
        <v>45744</v>
      </c>
      <c r="D1509" t="inlineStr">
        <is>
          <t>SKÅNE LÄN</t>
        </is>
      </c>
      <c r="E1509" t="inlineStr">
        <is>
          <t>HÄSSLEHOLM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40254-2024</t>
        </is>
      </c>
      <c r="B1510" s="1" t="n">
        <v>45554</v>
      </c>
      <c r="C1510" s="1" t="n">
        <v>45744</v>
      </c>
      <c r="D1510" t="inlineStr">
        <is>
          <t>SKÅNE LÄN</t>
        </is>
      </c>
      <c r="E1510" t="inlineStr">
        <is>
          <t>HÄSSLEHOLM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40536-2024</t>
        </is>
      </c>
      <c r="B1511" s="1" t="n">
        <v>45555</v>
      </c>
      <c r="C1511" s="1" t="n">
        <v>45744</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40739-2024</t>
        </is>
      </c>
      <c r="B1512" s="1" t="n">
        <v>45558</v>
      </c>
      <c r="C1512" s="1" t="n">
        <v>45744</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40734-2024</t>
        </is>
      </c>
      <c r="B1513" s="1" t="n">
        <v>45558</v>
      </c>
      <c r="C1513" s="1" t="n">
        <v>45744</v>
      </c>
      <c r="D1513" t="inlineStr">
        <is>
          <t>SKÅNE LÄN</t>
        </is>
      </c>
      <c r="E1513" t="inlineStr">
        <is>
          <t>HÄSSLEHOLM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40738-2024</t>
        </is>
      </c>
      <c r="B1514" s="1" t="n">
        <v>45558</v>
      </c>
      <c r="C1514" s="1" t="n">
        <v>45744</v>
      </c>
      <c r="D1514" t="inlineStr">
        <is>
          <t>SKÅNE LÄN</t>
        </is>
      </c>
      <c r="E1514" t="inlineStr">
        <is>
          <t>HÄSSLEHOLM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41697-2024</t>
        </is>
      </c>
      <c r="B1515" s="1" t="n">
        <v>45560</v>
      </c>
      <c r="C1515" s="1" t="n">
        <v>45744</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41693-2024</t>
        </is>
      </c>
      <c r="B1516" s="1" t="n">
        <v>45560</v>
      </c>
      <c r="C1516" s="1" t="n">
        <v>45744</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41694-2024</t>
        </is>
      </c>
      <c r="B1517" s="1" t="n">
        <v>45560</v>
      </c>
      <c r="C1517" s="1" t="n">
        <v>45744</v>
      </c>
      <c r="D1517" t="inlineStr">
        <is>
          <t>SKÅNE LÄN</t>
        </is>
      </c>
      <c r="E1517" t="inlineStr">
        <is>
          <t>HÄSSLEHOLM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41680-2024</t>
        </is>
      </c>
      <c r="B1518" s="1" t="n">
        <v>45560</v>
      </c>
      <c r="C1518" s="1" t="n">
        <v>45744</v>
      </c>
      <c r="D1518" t="inlineStr">
        <is>
          <t>SKÅNE LÄN</t>
        </is>
      </c>
      <c r="E1518" t="inlineStr">
        <is>
          <t>HÄSSLEHOLM</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41913-2024</t>
        </is>
      </c>
      <c r="B1519" s="1" t="n">
        <v>45561</v>
      </c>
      <c r="C1519" s="1" t="n">
        <v>45744</v>
      </c>
      <c r="D1519" t="inlineStr">
        <is>
          <t>SKÅNE LÄN</t>
        </is>
      </c>
      <c r="E1519" t="inlineStr">
        <is>
          <t>HÄSSLEHOLM</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41874-2024</t>
        </is>
      </c>
      <c r="B1520" s="1" t="n">
        <v>45561</v>
      </c>
      <c r="C1520" s="1" t="n">
        <v>45744</v>
      </c>
      <c r="D1520" t="inlineStr">
        <is>
          <t>SKÅNE LÄN</t>
        </is>
      </c>
      <c r="E1520" t="inlineStr">
        <is>
          <t>HÄSSLEHOLM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42372-2024</t>
        </is>
      </c>
      <c r="B1521" s="1" t="n">
        <v>45564</v>
      </c>
      <c r="C1521" s="1" t="n">
        <v>45744</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42371-2024</t>
        </is>
      </c>
      <c r="B1522" s="1" t="n">
        <v>45564</v>
      </c>
      <c r="C1522" s="1" t="n">
        <v>45744</v>
      </c>
      <c r="D1522" t="inlineStr">
        <is>
          <t>SKÅNE LÄN</t>
        </is>
      </c>
      <c r="E1522" t="inlineStr">
        <is>
          <t>HÄSSLEHOLM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42389-2024</t>
        </is>
      </c>
      <c r="B1523" s="1" t="n">
        <v>45565</v>
      </c>
      <c r="C1523" s="1" t="n">
        <v>45744</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42735-2024</t>
        </is>
      </c>
      <c r="B1524" s="1" t="n">
        <v>45566</v>
      </c>
      <c r="C1524" s="1" t="n">
        <v>45744</v>
      </c>
      <c r="D1524" t="inlineStr">
        <is>
          <t>SKÅNE LÄN</t>
        </is>
      </c>
      <c r="E1524" t="inlineStr">
        <is>
          <t>HÄSSLEHOLM</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43061-2024</t>
        </is>
      </c>
      <c r="B1525" s="1" t="n">
        <v>45567</v>
      </c>
      <c r="C1525" s="1" t="n">
        <v>45744</v>
      </c>
      <c r="D1525" t="inlineStr">
        <is>
          <t>SKÅNE LÄN</t>
        </is>
      </c>
      <c r="E1525" t="inlineStr">
        <is>
          <t>HÄSSLEHOLM</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43136-2024</t>
        </is>
      </c>
      <c r="B1526" s="1" t="n">
        <v>45567</v>
      </c>
      <c r="C1526" s="1" t="n">
        <v>45744</v>
      </c>
      <c r="D1526" t="inlineStr">
        <is>
          <t>SKÅNE LÄN</t>
        </is>
      </c>
      <c r="E1526" t="inlineStr">
        <is>
          <t>HÄSSLEHOLM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43656-2024</t>
        </is>
      </c>
      <c r="B1527" s="1" t="n">
        <v>45569</v>
      </c>
      <c r="C1527" s="1" t="n">
        <v>45744</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43696-2024</t>
        </is>
      </c>
      <c r="B1528" s="1" t="n">
        <v>45569</v>
      </c>
      <c r="C1528" s="1" t="n">
        <v>45744</v>
      </c>
      <c r="D1528" t="inlineStr">
        <is>
          <t>SKÅNE LÄN</t>
        </is>
      </c>
      <c r="E1528" t="inlineStr">
        <is>
          <t>HÄSSLEHOLM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43657-2024</t>
        </is>
      </c>
      <c r="B1529" s="1" t="n">
        <v>45569</v>
      </c>
      <c r="C1529" s="1" t="n">
        <v>45744</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44676-2024</t>
        </is>
      </c>
      <c r="B1530" s="1" t="n">
        <v>45574</v>
      </c>
      <c r="C1530" s="1" t="n">
        <v>45744</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44678-2024</t>
        </is>
      </c>
      <c r="B1531" s="1" t="n">
        <v>45574</v>
      </c>
      <c r="C1531" s="1" t="n">
        <v>45744</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45128-2024</t>
        </is>
      </c>
      <c r="B1532" s="1" t="n">
        <v>45575</v>
      </c>
      <c r="C1532" s="1" t="n">
        <v>45744</v>
      </c>
      <c r="D1532" t="inlineStr">
        <is>
          <t>SKÅNE LÄN</t>
        </is>
      </c>
      <c r="E1532" t="inlineStr">
        <is>
          <t>HÄSSLEHOLM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45392-2024</t>
        </is>
      </c>
      <c r="B1533" s="1" t="n">
        <v>45576</v>
      </c>
      <c r="C1533" s="1" t="n">
        <v>45744</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45398-2024</t>
        </is>
      </c>
      <c r="B1534" s="1" t="n">
        <v>45576</v>
      </c>
      <c r="C1534" s="1" t="n">
        <v>45744</v>
      </c>
      <c r="D1534" t="inlineStr">
        <is>
          <t>SKÅNE LÄN</t>
        </is>
      </c>
      <c r="E1534" t="inlineStr">
        <is>
          <t>HÄSSLEHOLM</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45299-2024</t>
        </is>
      </c>
      <c r="B1535" s="1" t="n">
        <v>45576</v>
      </c>
      <c r="C1535" s="1" t="n">
        <v>45744</v>
      </c>
      <c r="D1535" t="inlineStr">
        <is>
          <t>SKÅNE LÄN</t>
        </is>
      </c>
      <c r="E1535" t="inlineStr">
        <is>
          <t>HÄSSLEHOLM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45653-2024</t>
        </is>
      </c>
      <c r="B1536" s="1" t="n">
        <v>45579</v>
      </c>
      <c r="C1536" s="1" t="n">
        <v>45744</v>
      </c>
      <c r="D1536" t="inlineStr">
        <is>
          <t>SKÅNE LÄN</t>
        </is>
      </c>
      <c r="E1536" t="inlineStr">
        <is>
          <t>HÄSSLEHOLM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45844-2024</t>
        </is>
      </c>
      <c r="B1537" s="1" t="n">
        <v>45580</v>
      </c>
      <c r="C1537" s="1" t="n">
        <v>45744</v>
      </c>
      <c r="D1537" t="inlineStr">
        <is>
          <t>SKÅNE LÄN</t>
        </is>
      </c>
      <c r="E1537" t="inlineStr">
        <is>
          <t>HÄSSLEHOLM</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46348-2024</t>
        </is>
      </c>
      <c r="B1538" s="1" t="n">
        <v>45582</v>
      </c>
      <c r="C1538" s="1" t="n">
        <v>45744</v>
      </c>
      <c r="D1538" t="inlineStr">
        <is>
          <t>SKÅNE LÄN</t>
        </is>
      </c>
      <c r="E1538" t="inlineStr">
        <is>
          <t>HÄSSLEHOLM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46840-2024</t>
        </is>
      </c>
      <c r="B1539" s="1" t="n">
        <v>45583</v>
      </c>
      <c r="C1539" s="1" t="n">
        <v>45744</v>
      </c>
      <c r="D1539" t="inlineStr">
        <is>
          <t>SKÅNE LÄN</t>
        </is>
      </c>
      <c r="E1539" t="inlineStr">
        <is>
          <t>HÄSSLEHOLM</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46813-2024</t>
        </is>
      </c>
      <c r="B1540" s="1" t="n">
        <v>45583</v>
      </c>
      <c r="C1540" s="1" t="n">
        <v>45744</v>
      </c>
      <c r="D1540" t="inlineStr">
        <is>
          <t>SKÅNE LÄN</t>
        </is>
      </c>
      <c r="E1540" t="inlineStr">
        <is>
          <t>HÄSSLEHOLM</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46941-2024</t>
        </is>
      </c>
      <c r="B1541" s="1" t="n">
        <v>45585</v>
      </c>
      <c r="C1541" s="1" t="n">
        <v>45744</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46942-2024</t>
        </is>
      </c>
      <c r="B1542" s="1" t="n">
        <v>45585</v>
      </c>
      <c r="C1542" s="1" t="n">
        <v>45744</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47757-2024</t>
        </is>
      </c>
      <c r="B1543" s="1" t="n">
        <v>45588</v>
      </c>
      <c r="C1543" s="1" t="n">
        <v>45744</v>
      </c>
      <c r="D1543" t="inlineStr">
        <is>
          <t>SKÅNE LÄN</t>
        </is>
      </c>
      <c r="E1543" t="inlineStr">
        <is>
          <t>HÄSSLEHOLM</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45744</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48103-2024</t>
        </is>
      </c>
      <c r="B1545" s="1" t="n">
        <v>45589</v>
      </c>
      <c r="C1545" s="1" t="n">
        <v>45744</v>
      </c>
      <c r="D1545" t="inlineStr">
        <is>
          <t>SKÅNE LÄN</t>
        </is>
      </c>
      <c r="E1545" t="inlineStr">
        <is>
          <t>HÄSSLEHOLM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48112-2024</t>
        </is>
      </c>
      <c r="B1546" s="1" t="n">
        <v>45589</v>
      </c>
      <c r="C1546" s="1" t="n">
        <v>45744</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48097-2024</t>
        </is>
      </c>
      <c r="B1547" s="1" t="n">
        <v>45589</v>
      </c>
      <c r="C1547" s="1" t="n">
        <v>45744</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48556-2024</t>
        </is>
      </c>
      <c r="B1548" s="1" t="n">
        <v>45593</v>
      </c>
      <c r="C1548" s="1" t="n">
        <v>45744</v>
      </c>
      <c r="D1548" t="inlineStr">
        <is>
          <t>SKÅNE LÄN</t>
        </is>
      </c>
      <c r="E1548" t="inlineStr">
        <is>
          <t>HÄSSLEHOLM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48771-2024</t>
        </is>
      </c>
      <c r="B1549" s="1" t="n">
        <v>45593</v>
      </c>
      <c r="C1549" s="1" t="n">
        <v>45744</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48795-2024</t>
        </is>
      </c>
      <c r="B1550" s="1" t="n">
        <v>45593</v>
      </c>
      <c r="C1550" s="1" t="n">
        <v>45744</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48663-2024</t>
        </is>
      </c>
      <c r="B1551" s="1" t="n">
        <v>45593</v>
      </c>
      <c r="C1551" s="1" t="n">
        <v>45744</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48877-2024</t>
        </is>
      </c>
      <c r="B1552" s="1" t="n">
        <v>45594</v>
      </c>
      <c r="C1552" s="1" t="n">
        <v>45744</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48889-2024</t>
        </is>
      </c>
      <c r="B1553" s="1" t="n">
        <v>45594</v>
      </c>
      <c r="C1553" s="1" t="n">
        <v>45744</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49181-2024</t>
        </is>
      </c>
      <c r="B1554" s="1" t="n">
        <v>45595</v>
      </c>
      <c r="C1554" s="1" t="n">
        <v>45744</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49193-2024</t>
        </is>
      </c>
      <c r="B1555" s="1" t="n">
        <v>45595</v>
      </c>
      <c r="C1555" s="1" t="n">
        <v>45744</v>
      </c>
      <c r="D1555" t="inlineStr">
        <is>
          <t>SKÅNE LÄN</t>
        </is>
      </c>
      <c r="E1555" t="inlineStr">
        <is>
          <t>HÄSSLEHOLM</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49199-2024</t>
        </is>
      </c>
      <c r="B1556" s="1" t="n">
        <v>45595</v>
      </c>
      <c r="C1556" s="1" t="n">
        <v>45744</v>
      </c>
      <c r="D1556" t="inlineStr">
        <is>
          <t>SKÅNE LÄN</t>
        </is>
      </c>
      <c r="E1556" t="inlineStr">
        <is>
          <t>HÄSSLEHOLM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49219-2024</t>
        </is>
      </c>
      <c r="B1557" s="1" t="n">
        <v>45595</v>
      </c>
      <c r="C1557" s="1" t="n">
        <v>45744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49559-2024</t>
        </is>
      </c>
      <c r="B1558" s="1" t="n">
        <v>45596</v>
      </c>
      <c r="C1558" s="1" t="n">
        <v>45744</v>
      </c>
      <c r="D1558" t="inlineStr">
        <is>
          <t>SKÅNE LÄN</t>
        </is>
      </c>
      <c r="E1558" t="inlineStr">
        <is>
          <t>HÄSSLEHOLM</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49824-2024</t>
        </is>
      </c>
      <c r="B1559" s="1" t="n">
        <v>45597</v>
      </c>
      <c r="C1559" s="1" t="n">
        <v>45744</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49791-2024</t>
        </is>
      </c>
      <c r="B1560" s="1" t="n">
        <v>45597</v>
      </c>
      <c r="C1560" s="1" t="n">
        <v>45744</v>
      </c>
      <c r="D1560" t="inlineStr">
        <is>
          <t>SKÅNE LÄN</t>
        </is>
      </c>
      <c r="E1560" t="inlineStr">
        <is>
          <t>HÄSSLEHOLM</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49746-2024</t>
        </is>
      </c>
      <c r="B1561" s="1" t="n">
        <v>45597</v>
      </c>
      <c r="C1561" s="1" t="n">
        <v>45744</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50244-2024</t>
        </is>
      </c>
      <c r="B1562" s="1" t="n">
        <v>45600</v>
      </c>
      <c r="C1562" s="1" t="n">
        <v>45744</v>
      </c>
      <c r="D1562" t="inlineStr">
        <is>
          <t>SKÅNE LÄN</t>
        </is>
      </c>
      <c r="E1562" t="inlineStr">
        <is>
          <t>HÄSSLEHOLM</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50249-2024</t>
        </is>
      </c>
      <c r="B1563" s="1" t="n">
        <v>45600</v>
      </c>
      <c r="C1563" s="1" t="n">
        <v>45744</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50525-2024</t>
        </is>
      </c>
      <c r="B1564" s="1" t="n">
        <v>45601</v>
      </c>
      <c r="C1564" s="1" t="n">
        <v>45744</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50393-2024</t>
        </is>
      </c>
      <c r="B1565" s="1" t="n">
        <v>45601</v>
      </c>
      <c r="C1565" s="1" t="n">
        <v>45744</v>
      </c>
      <c r="D1565" t="inlineStr">
        <is>
          <t>SKÅNE LÄN</t>
        </is>
      </c>
      <c r="E1565" t="inlineStr">
        <is>
          <t>HÄSSLEHOLM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50899-2024</t>
        </is>
      </c>
      <c r="B1566" s="1" t="n">
        <v>45602</v>
      </c>
      <c r="C1566" s="1" t="n">
        <v>45744</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51040-2024</t>
        </is>
      </c>
      <c r="B1567" s="1" t="n">
        <v>45603</v>
      </c>
      <c r="C1567" s="1" t="n">
        <v>45744</v>
      </c>
      <c r="D1567" t="inlineStr">
        <is>
          <t>SKÅNE LÄN</t>
        </is>
      </c>
      <c r="E1567" t="inlineStr">
        <is>
          <t>HÄSSLEHOLM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51358-2024</t>
        </is>
      </c>
      <c r="B1568" s="1" t="n">
        <v>45604</v>
      </c>
      <c r="C1568" s="1" t="n">
        <v>45744</v>
      </c>
      <c r="D1568" t="inlineStr">
        <is>
          <t>SKÅNE LÄN</t>
        </is>
      </c>
      <c r="E1568" t="inlineStr">
        <is>
          <t>HÄSSLEHOLM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51618-2024</t>
        </is>
      </c>
      <c r="B1569" s="1" t="n">
        <v>45604</v>
      </c>
      <c r="C1569" s="1" t="n">
        <v>45744</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51700-2024</t>
        </is>
      </c>
      <c r="B1570" s="1" t="n">
        <v>45607</v>
      </c>
      <c r="C1570" s="1" t="n">
        <v>45744</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52560-2024</t>
        </is>
      </c>
      <c r="B1571" s="1" t="n">
        <v>45609</v>
      </c>
      <c r="C1571" s="1" t="n">
        <v>45744</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52819-2024</t>
        </is>
      </c>
      <c r="B1572" s="1" t="n">
        <v>45610</v>
      </c>
      <c r="C1572" s="1" t="n">
        <v>45744</v>
      </c>
      <c r="D1572" t="inlineStr">
        <is>
          <t>SKÅNE LÄN</t>
        </is>
      </c>
      <c r="E1572" t="inlineStr">
        <is>
          <t>HÄSSLEHOLM</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52824-2024</t>
        </is>
      </c>
      <c r="B1573" s="1" t="n">
        <v>45610</v>
      </c>
      <c r="C1573" s="1" t="n">
        <v>45744</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53126-2024</t>
        </is>
      </c>
      <c r="B1574" s="1" t="n">
        <v>45611</v>
      </c>
      <c r="C1574" s="1" t="n">
        <v>45744</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53466-2024</t>
        </is>
      </c>
      <c r="B1575" s="1" t="n">
        <v>45614</v>
      </c>
      <c r="C1575" s="1" t="n">
        <v>45744</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53941-2024</t>
        </is>
      </c>
      <c r="B1576" s="1" t="n">
        <v>45616</v>
      </c>
      <c r="C1576" s="1" t="n">
        <v>45744</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54369-2024</t>
        </is>
      </c>
      <c r="B1577" s="1" t="n">
        <v>45617</v>
      </c>
      <c r="C1577" s="1" t="n">
        <v>45744</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54408-2024</t>
        </is>
      </c>
      <c r="B1578" s="1" t="n">
        <v>45617</v>
      </c>
      <c r="C1578" s="1" t="n">
        <v>45744</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54435-2024</t>
        </is>
      </c>
      <c r="B1579" s="1" t="n">
        <v>45617</v>
      </c>
      <c r="C1579" s="1" t="n">
        <v>45744</v>
      </c>
      <c r="D1579" t="inlineStr">
        <is>
          <t>SKÅNE LÄN</t>
        </is>
      </c>
      <c r="E1579" t="inlineStr">
        <is>
          <t>HÄSSLEHOLM</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54491-2024</t>
        </is>
      </c>
      <c r="B1580" s="1" t="n">
        <v>45617</v>
      </c>
      <c r="C1580" s="1" t="n">
        <v>45744</v>
      </c>
      <c r="D1580" t="inlineStr">
        <is>
          <t>SKÅNE LÄN</t>
        </is>
      </c>
      <c r="E1580" t="inlineStr">
        <is>
          <t>HÄSSLEHOLM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54406-2024</t>
        </is>
      </c>
      <c r="B1581" s="1" t="n">
        <v>45617</v>
      </c>
      <c r="C1581" s="1" t="n">
        <v>45744</v>
      </c>
      <c r="D1581" t="inlineStr">
        <is>
          <t>SKÅNE LÄN</t>
        </is>
      </c>
      <c r="E1581" t="inlineStr">
        <is>
          <t>HÄSSLEHOLM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54472-2024</t>
        </is>
      </c>
      <c r="B1582" s="1" t="n">
        <v>45617</v>
      </c>
      <c r="C1582" s="1" t="n">
        <v>45744</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54982-2024</t>
        </is>
      </c>
      <c r="B1583" s="1" t="n">
        <v>45620</v>
      </c>
      <c r="C1583" s="1" t="n">
        <v>45744</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55303-2024</t>
        </is>
      </c>
      <c r="B1584" s="1" t="n">
        <v>45621</v>
      </c>
      <c r="C1584" s="1" t="n">
        <v>45744</v>
      </c>
      <c r="D1584" t="inlineStr">
        <is>
          <t>SKÅNE LÄN</t>
        </is>
      </c>
      <c r="E1584" t="inlineStr">
        <is>
          <t>HÄSSLEHOLM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55522-2024</t>
        </is>
      </c>
      <c r="B1585" s="1" t="n">
        <v>45622</v>
      </c>
      <c r="C1585" s="1" t="n">
        <v>45744</v>
      </c>
      <c r="D1585" t="inlineStr">
        <is>
          <t>SKÅNE LÄN</t>
        </is>
      </c>
      <c r="E1585" t="inlineStr">
        <is>
          <t>HÄSSLEHOLM</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55577-2024</t>
        </is>
      </c>
      <c r="B1586" s="1" t="n">
        <v>45622</v>
      </c>
      <c r="C1586" s="1" t="n">
        <v>45744</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55587-2024</t>
        </is>
      </c>
      <c r="B1587" s="1" t="n">
        <v>45622</v>
      </c>
      <c r="C1587" s="1" t="n">
        <v>45744</v>
      </c>
      <c r="D1587" t="inlineStr">
        <is>
          <t>SKÅNE LÄN</t>
        </is>
      </c>
      <c r="E1587" t="inlineStr">
        <is>
          <t>HÄSSLEHOLM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56062-2024</t>
        </is>
      </c>
      <c r="B1588" s="1" t="n">
        <v>45624</v>
      </c>
      <c r="C1588" s="1" t="n">
        <v>45744</v>
      </c>
      <c r="D1588" t="inlineStr">
        <is>
          <t>SKÅNE LÄN</t>
        </is>
      </c>
      <c r="E1588" t="inlineStr">
        <is>
          <t>HÄSSLEHOLM</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56153-2024</t>
        </is>
      </c>
      <c r="B1589" s="1" t="n">
        <v>45624</v>
      </c>
      <c r="C1589" s="1" t="n">
        <v>45744</v>
      </c>
      <c r="D1589" t="inlineStr">
        <is>
          <t>SKÅNE LÄN</t>
        </is>
      </c>
      <c r="E1589" t="inlineStr">
        <is>
          <t>HÄSSLEHOLM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56065-2024</t>
        </is>
      </c>
      <c r="B1590" s="1" t="n">
        <v>45624</v>
      </c>
      <c r="C1590" s="1" t="n">
        <v>45744</v>
      </c>
      <c r="D1590" t="inlineStr">
        <is>
          <t>SKÅNE LÄN</t>
        </is>
      </c>
      <c r="E1590" t="inlineStr">
        <is>
          <t>HÄSSLEHOLM</t>
        </is>
      </c>
      <c r="F1590" t="inlineStr">
        <is>
          <t>Övriga Aktiebolag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56069-2024</t>
        </is>
      </c>
      <c r="B1591" s="1" t="n">
        <v>45624</v>
      </c>
      <c r="C1591" s="1" t="n">
        <v>45744</v>
      </c>
      <c r="D1591" t="inlineStr">
        <is>
          <t>SKÅNE LÄN</t>
        </is>
      </c>
      <c r="E1591" t="inlineStr">
        <is>
          <t>HÄSSLEHOLM</t>
        </is>
      </c>
      <c r="F1591" t="inlineStr">
        <is>
          <t>Övriga Aktiebolag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56072-2024</t>
        </is>
      </c>
      <c r="B1592" s="1" t="n">
        <v>45624</v>
      </c>
      <c r="C1592" s="1" t="n">
        <v>45744</v>
      </c>
      <c r="D1592" t="inlineStr">
        <is>
          <t>SKÅNE LÄN</t>
        </is>
      </c>
      <c r="E1592" t="inlineStr">
        <is>
          <t>HÄSSLEHOLM</t>
        </is>
      </c>
      <c r="F1592" t="inlineStr">
        <is>
          <t>Övriga Aktiebolag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56956-2024</t>
        </is>
      </c>
      <c r="B1593" s="1" t="n">
        <v>45626</v>
      </c>
      <c r="C1593" s="1" t="n">
        <v>45744</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56986-2024</t>
        </is>
      </c>
      <c r="B1594" s="1" t="n">
        <v>45626</v>
      </c>
      <c r="C1594" s="1" t="n">
        <v>45744</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56695-2024</t>
        </is>
      </c>
      <c r="B1595" s="1" t="n">
        <v>45627</v>
      </c>
      <c r="C1595" s="1" t="n">
        <v>45744</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56735-2024</t>
        </is>
      </c>
      <c r="B1596" s="1" t="n">
        <v>45628</v>
      </c>
      <c r="C1596" s="1" t="n">
        <v>45744</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57491-2024</t>
        </is>
      </c>
      <c r="B1597" s="1" t="n">
        <v>45629</v>
      </c>
      <c r="C1597" s="1" t="n">
        <v>45744</v>
      </c>
      <c r="D1597" t="inlineStr">
        <is>
          <t>SKÅNE LÄN</t>
        </is>
      </c>
      <c r="E1597" t="inlineStr">
        <is>
          <t>HÄSSLEHOLM</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57647-2024</t>
        </is>
      </c>
      <c r="B1598" s="1" t="n">
        <v>45630</v>
      </c>
      <c r="C1598" s="1" t="n">
        <v>45744</v>
      </c>
      <c r="D1598" t="inlineStr">
        <is>
          <t>SKÅNE LÄN</t>
        </is>
      </c>
      <c r="E1598" t="inlineStr">
        <is>
          <t>HÄSSLEHOLM</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57939-2024</t>
        </is>
      </c>
      <c r="B1599" s="1" t="n">
        <v>45631</v>
      </c>
      <c r="C1599" s="1" t="n">
        <v>45744</v>
      </c>
      <c r="D1599" t="inlineStr">
        <is>
          <t>SKÅNE LÄN</t>
        </is>
      </c>
      <c r="E1599" t="inlineStr">
        <is>
          <t>HÄSSLEHOLM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58268-2024</t>
        </is>
      </c>
      <c r="B1600" s="1" t="n">
        <v>45632</v>
      </c>
      <c r="C1600" s="1" t="n">
        <v>45744</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58272-2024</t>
        </is>
      </c>
      <c r="B1601" s="1" t="n">
        <v>45632</v>
      </c>
      <c r="C1601" s="1" t="n">
        <v>45744</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58250-2024</t>
        </is>
      </c>
      <c r="B1602" s="1" t="n">
        <v>45632</v>
      </c>
      <c r="C1602" s="1" t="n">
        <v>45744</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58489-2024</t>
        </is>
      </c>
      <c r="B1603" s="1" t="n">
        <v>45632</v>
      </c>
      <c r="C1603" s="1" t="n">
        <v>45744</v>
      </c>
      <c r="D1603" t="inlineStr">
        <is>
          <t>SKÅNE LÄN</t>
        </is>
      </c>
      <c r="E1603" t="inlineStr">
        <is>
          <t>HÄSSLEHOLM</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58618-2024</t>
        </is>
      </c>
      <c r="B1604" s="1" t="n">
        <v>45635</v>
      </c>
      <c r="C1604" s="1" t="n">
        <v>45744</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58886-2024</t>
        </is>
      </c>
      <c r="B1605" s="1" t="n">
        <v>45636</v>
      </c>
      <c r="C1605" s="1" t="n">
        <v>45744</v>
      </c>
      <c r="D1605" t="inlineStr">
        <is>
          <t>SKÅNE LÄN</t>
        </is>
      </c>
      <c r="E1605" t="inlineStr">
        <is>
          <t>HÄSSLEHOLM</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59246-2024</t>
        </is>
      </c>
      <c r="B1606" s="1" t="n">
        <v>45636</v>
      </c>
      <c r="C1606" s="1" t="n">
        <v>45744</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58883-2024</t>
        </is>
      </c>
      <c r="B1607" s="1" t="n">
        <v>45636</v>
      </c>
      <c r="C1607" s="1" t="n">
        <v>45744</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59030-2024</t>
        </is>
      </c>
      <c r="B1608" s="1" t="n">
        <v>45636</v>
      </c>
      <c r="C1608" s="1" t="n">
        <v>45744</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58888-2024</t>
        </is>
      </c>
      <c r="B1609" s="1" t="n">
        <v>45636</v>
      </c>
      <c r="C1609" s="1" t="n">
        <v>45744</v>
      </c>
      <c r="D1609" t="inlineStr">
        <is>
          <t>SKÅNE LÄN</t>
        </is>
      </c>
      <c r="E1609" t="inlineStr">
        <is>
          <t>HÄSSLEHOLM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59153-2024</t>
        </is>
      </c>
      <c r="B1610" s="1" t="n">
        <v>45637</v>
      </c>
      <c r="C1610" s="1" t="n">
        <v>45744</v>
      </c>
      <c r="D1610" t="inlineStr">
        <is>
          <t>SKÅNE LÄN</t>
        </is>
      </c>
      <c r="E1610" t="inlineStr">
        <is>
          <t>HÄSSLEHOLM</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60795-2024</t>
        </is>
      </c>
      <c r="B1611" s="1" t="n">
        <v>45644</v>
      </c>
      <c r="C1611" s="1" t="n">
        <v>45744</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60797-2024</t>
        </is>
      </c>
      <c r="B1612" s="1" t="n">
        <v>45644</v>
      </c>
      <c r="C1612" s="1" t="n">
        <v>45744</v>
      </c>
      <c r="D1612" t="inlineStr">
        <is>
          <t>SKÅNE LÄN</t>
        </is>
      </c>
      <c r="E1612" t="inlineStr">
        <is>
          <t>HÄSSLEHOLM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60851-2024</t>
        </is>
      </c>
      <c r="B1613" s="1" t="n">
        <v>45644</v>
      </c>
      <c r="C1613" s="1" t="n">
        <v>45744</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60973-2024</t>
        </is>
      </c>
      <c r="B1614" s="1" t="n">
        <v>45644</v>
      </c>
      <c r="C1614" s="1" t="n">
        <v>45744</v>
      </c>
      <c r="D1614" t="inlineStr">
        <is>
          <t>SKÅNE LÄN</t>
        </is>
      </c>
      <c r="E1614" t="inlineStr">
        <is>
          <t>HÄSSLEHOLM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60789-2024</t>
        </is>
      </c>
      <c r="B1615" s="1" t="n">
        <v>45644</v>
      </c>
      <c r="C1615" s="1" t="n">
        <v>45744</v>
      </c>
      <c r="D1615" t="inlineStr">
        <is>
          <t>SKÅNE LÄN</t>
        </is>
      </c>
      <c r="E1615" t="inlineStr">
        <is>
          <t>HÄSSLEHOLM</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60798-2024</t>
        </is>
      </c>
      <c r="B1616" s="1" t="n">
        <v>45644</v>
      </c>
      <c r="C1616" s="1" t="n">
        <v>45744</v>
      </c>
      <c r="D1616" t="inlineStr">
        <is>
          <t>SKÅNE LÄN</t>
        </is>
      </c>
      <c r="E1616" t="inlineStr">
        <is>
          <t>HÄSSLEHOLM</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60920-2024</t>
        </is>
      </c>
      <c r="B1617" s="1" t="n">
        <v>45645</v>
      </c>
      <c r="C1617" s="1" t="n">
        <v>45744</v>
      </c>
      <c r="D1617" t="inlineStr">
        <is>
          <t>SKÅNE LÄN</t>
        </is>
      </c>
      <c r="E1617" t="inlineStr">
        <is>
          <t>HÄSSLEHOLM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60913-2024</t>
        </is>
      </c>
      <c r="B1618" s="1" t="n">
        <v>45645</v>
      </c>
      <c r="C1618" s="1" t="n">
        <v>45744</v>
      </c>
      <c r="D1618" t="inlineStr">
        <is>
          <t>SKÅNE LÄN</t>
        </is>
      </c>
      <c r="E1618" t="inlineStr">
        <is>
          <t>HÄSSLEHOLM</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61192-2024</t>
        </is>
      </c>
      <c r="B1619" s="1" t="n">
        <v>45645</v>
      </c>
      <c r="C1619" s="1" t="n">
        <v>45744</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61182-2024</t>
        </is>
      </c>
      <c r="B1620" s="1" t="n">
        <v>45645</v>
      </c>
      <c r="C1620" s="1" t="n">
        <v>45744</v>
      </c>
      <c r="D1620" t="inlineStr">
        <is>
          <t>SKÅNE LÄN</t>
        </is>
      </c>
      <c r="E1620" t="inlineStr">
        <is>
          <t>HÄSSLEHOLM</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61197-2024</t>
        </is>
      </c>
      <c r="B1621" s="1" t="n">
        <v>45645</v>
      </c>
      <c r="C1621" s="1" t="n">
        <v>45744</v>
      </c>
      <c r="D1621" t="inlineStr">
        <is>
          <t>SKÅNE LÄN</t>
        </is>
      </c>
      <c r="E1621" t="inlineStr">
        <is>
          <t>HÄSSLEHOLM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61533-2024</t>
        </is>
      </c>
      <c r="B1622" s="1" t="n">
        <v>45646</v>
      </c>
      <c r="C1622" s="1" t="n">
        <v>45744</v>
      </c>
      <c r="D1622" t="inlineStr">
        <is>
          <t>SKÅNE LÄN</t>
        </is>
      </c>
      <c r="E1622" t="inlineStr">
        <is>
          <t>HÄSSLEHOLM</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61436-2024</t>
        </is>
      </c>
      <c r="B1623" s="1" t="n">
        <v>45646</v>
      </c>
      <c r="C1623" s="1" t="n">
        <v>45744</v>
      </c>
      <c r="D1623" t="inlineStr">
        <is>
          <t>SKÅNE LÄN</t>
        </is>
      </c>
      <c r="E1623" t="inlineStr">
        <is>
          <t>HÄSSLEHOLM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61489-2024</t>
        </is>
      </c>
      <c r="B1624" s="1" t="n">
        <v>45646</v>
      </c>
      <c r="C1624" s="1" t="n">
        <v>45744</v>
      </c>
      <c r="D1624" t="inlineStr">
        <is>
          <t>SKÅNE LÄN</t>
        </is>
      </c>
      <c r="E1624" t="inlineStr">
        <is>
          <t>HÄSSLEHOLM</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61537-2024</t>
        </is>
      </c>
      <c r="B1625" s="1" t="n">
        <v>45646</v>
      </c>
      <c r="C1625" s="1" t="n">
        <v>45744</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190-2025</t>
        </is>
      </c>
      <c r="B1626" s="1" t="n">
        <v>45649</v>
      </c>
      <c r="C1626" s="1" t="n">
        <v>45744</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61900-2024</t>
        </is>
      </c>
      <c r="B1627" s="1" t="n">
        <v>45652</v>
      </c>
      <c r="C1627" s="1" t="n">
        <v>45744</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62000-2024</t>
        </is>
      </c>
      <c r="B1628" s="1" t="n">
        <v>45654</v>
      </c>
      <c r="C1628" s="1" t="n">
        <v>45744</v>
      </c>
      <c r="D1628" t="inlineStr">
        <is>
          <t>SKÅNE LÄN</t>
        </is>
      </c>
      <c r="E1628" t="inlineStr">
        <is>
          <t>HÄSSLEHOLM</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317-2025</t>
        </is>
      </c>
      <c r="B1629" s="1" t="n">
        <v>45660</v>
      </c>
      <c r="C1629" s="1" t="n">
        <v>45744</v>
      </c>
      <c r="D1629" t="inlineStr">
        <is>
          <t>SKÅNE LÄN</t>
        </is>
      </c>
      <c r="E1629" t="inlineStr">
        <is>
          <t>HÄSSLEHOLM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680-2025</t>
        </is>
      </c>
      <c r="B1630" s="1" t="n">
        <v>45664</v>
      </c>
      <c r="C1630" s="1" t="n">
        <v>45744</v>
      </c>
      <c r="D1630" t="inlineStr">
        <is>
          <t>SKÅNE LÄN</t>
        </is>
      </c>
      <c r="E1630" t="inlineStr">
        <is>
          <t>HÄSSLEHOLM</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653-2025</t>
        </is>
      </c>
      <c r="B1631" s="1" t="n">
        <v>45664</v>
      </c>
      <c r="C1631" s="1" t="n">
        <v>45744</v>
      </c>
      <c r="D1631" t="inlineStr">
        <is>
          <t>SKÅNE LÄN</t>
        </is>
      </c>
      <c r="E1631" t="inlineStr">
        <is>
          <t>HÄSSLEHOLM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829-2025</t>
        </is>
      </c>
      <c r="B1632" s="1" t="n">
        <v>45665</v>
      </c>
      <c r="C1632" s="1" t="n">
        <v>45744</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720-2025</t>
        </is>
      </c>
      <c r="B1633" s="1" t="n">
        <v>45665</v>
      </c>
      <c r="C1633" s="1" t="n">
        <v>45744</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1170-2025</t>
        </is>
      </c>
      <c r="B1634" s="1" t="n">
        <v>45667</v>
      </c>
      <c r="C1634" s="1" t="n">
        <v>45744</v>
      </c>
      <c r="D1634" t="inlineStr">
        <is>
          <t>SKÅNE LÄN</t>
        </is>
      </c>
      <c r="E1634" t="inlineStr">
        <is>
          <t>HÄSSLEHOLM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1434-2025</t>
        </is>
      </c>
      <c r="B1635" s="1" t="n">
        <v>45669</v>
      </c>
      <c r="C1635" s="1" t="n">
        <v>45744</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1616-2025</t>
        </is>
      </c>
      <c r="B1636" s="1" t="n">
        <v>45670</v>
      </c>
      <c r="C1636" s="1" t="n">
        <v>45744</v>
      </c>
      <c r="D1636" t="inlineStr">
        <is>
          <t>SKÅNE LÄN</t>
        </is>
      </c>
      <c r="E1636" t="inlineStr">
        <is>
          <t>HÄSSLEHOLM</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1692-2025</t>
        </is>
      </c>
      <c r="B1637" s="1" t="n">
        <v>45670</v>
      </c>
      <c r="C1637" s="1" t="n">
        <v>45744</v>
      </c>
      <c r="D1637" t="inlineStr">
        <is>
          <t>SKÅNE LÄN</t>
        </is>
      </c>
      <c r="E1637" t="inlineStr">
        <is>
          <t>HÄSSLEHOLM</t>
        </is>
      </c>
      <c r="F1637" t="inlineStr">
        <is>
          <t>Övriga Aktiebolag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1706-2025</t>
        </is>
      </c>
      <c r="B1638" s="1" t="n">
        <v>45670</v>
      </c>
      <c r="C1638" s="1" t="n">
        <v>45744</v>
      </c>
      <c r="D1638" t="inlineStr">
        <is>
          <t>SKÅNE LÄN</t>
        </is>
      </c>
      <c r="E1638" t="inlineStr">
        <is>
          <t>HÄSSLEHOLM</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1703-2025</t>
        </is>
      </c>
      <c r="B1639" s="1" t="n">
        <v>45670</v>
      </c>
      <c r="C1639" s="1" t="n">
        <v>45744</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1886-2025</t>
        </is>
      </c>
      <c r="B1640" s="1" t="n">
        <v>45671</v>
      </c>
      <c r="C1640" s="1" t="n">
        <v>45744</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2267-2025</t>
        </is>
      </c>
      <c r="B1641" s="1" t="n">
        <v>45673</v>
      </c>
      <c r="C1641" s="1" t="n">
        <v>45744</v>
      </c>
      <c r="D1641" t="inlineStr">
        <is>
          <t>SKÅNE LÄN</t>
        </is>
      </c>
      <c r="E1641" t="inlineStr">
        <is>
          <t>HÄSSLEHOLM</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2621-2025</t>
        </is>
      </c>
      <c r="B1642" s="1" t="n">
        <v>45675</v>
      </c>
      <c r="C1642" s="1" t="n">
        <v>45744</v>
      </c>
      <c r="D1642" t="inlineStr">
        <is>
          <t>SKÅNE LÄN</t>
        </is>
      </c>
      <c r="E1642" t="inlineStr">
        <is>
          <t>HÄSSLEHOLM</t>
        </is>
      </c>
      <c r="F1642" t="inlineStr">
        <is>
          <t>Kommuner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2863-2025</t>
        </is>
      </c>
      <c r="B1643" s="1" t="n">
        <v>45677</v>
      </c>
      <c r="C1643" s="1" t="n">
        <v>45744</v>
      </c>
      <c r="D1643" t="inlineStr">
        <is>
          <t>SKÅNE LÄN</t>
        </is>
      </c>
      <c r="E1643" t="inlineStr">
        <is>
          <t>HÄSSLEHOLM</t>
        </is>
      </c>
      <c r="F1643" t="inlineStr">
        <is>
          <t>Övriga Aktiebolag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3297-2025</t>
        </is>
      </c>
      <c r="B1644" s="1" t="n">
        <v>45679</v>
      </c>
      <c r="C1644" s="1" t="n">
        <v>45744</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3317-2025</t>
        </is>
      </c>
      <c r="B1645" s="1" t="n">
        <v>45679</v>
      </c>
      <c r="C1645" s="1" t="n">
        <v>45744</v>
      </c>
      <c r="D1645" t="inlineStr">
        <is>
          <t>SKÅNE LÄN</t>
        </is>
      </c>
      <c r="E1645" t="inlineStr">
        <is>
          <t>HÄSSLEHOLM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3294-2025</t>
        </is>
      </c>
      <c r="B1646" s="1" t="n">
        <v>45679</v>
      </c>
      <c r="C1646" s="1" t="n">
        <v>45744</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3776-2025</t>
        </is>
      </c>
      <c r="B1647" s="1" t="n">
        <v>45681</v>
      </c>
      <c r="C1647" s="1" t="n">
        <v>45744</v>
      </c>
      <c r="D1647" t="inlineStr">
        <is>
          <t>SKÅNE LÄN</t>
        </is>
      </c>
      <c r="E1647" t="inlineStr">
        <is>
          <t>HÄSSLEHOLM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4040-2025</t>
        </is>
      </c>
      <c r="B1648" s="1" t="n">
        <v>45684</v>
      </c>
      <c r="C1648" s="1" t="n">
        <v>45744</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4104-2025</t>
        </is>
      </c>
      <c r="B1649" s="1" t="n">
        <v>45684</v>
      </c>
      <c r="C1649" s="1" t="n">
        <v>45744</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45744</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45744</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45744</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45744</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45744</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45744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45744</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45744</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45744</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45744</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45744</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45744</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45744</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45744</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45744</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45744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45744</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45744</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45744</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45744</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45744</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45744</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45744</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45744</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45744</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45744</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45744</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45744</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45744</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45744</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45744</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45744</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45744</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45744</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45744</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45744</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45744</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8223-2025</t>
        </is>
      </c>
      <c r="B1687" s="1" t="n">
        <v>45708</v>
      </c>
      <c r="C1687" s="1" t="n">
        <v>45744</v>
      </c>
      <c r="D1687" t="inlineStr">
        <is>
          <t>SKÅNE LÄN</t>
        </is>
      </c>
      <c r="E1687" t="inlineStr">
        <is>
          <t>HÄSSLEHOLM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45744</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8181-2025</t>
        </is>
      </c>
      <c r="B1689" s="1" t="n">
        <v>45708</v>
      </c>
      <c r="C1689" s="1" t="n">
        <v>45744</v>
      </c>
      <c r="D1689" t="inlineStr">
        <is>
          <t>SKÅNE LÄN</t>
        </is>
      </c>
      <c r="E1689" t="inlineStr">
        <is>
          <t>HÄSSLEHOLM</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45744</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45744</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45744</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8153-2025</t>
        </is>
      </c>
      <c r="B1693" s="1" t="n">
        <v>45708</v>
      </c>
      <c r="C1693" s="1" t="n">
        <v>45744</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8263-2025</t>
        </is>
      </c>
      <c r="B1694" s="1" t="n">
        <v>45708</v>
      </c>
      <c r="C1694" s="1" t="n">
        <v>45744</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45744</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45744</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45744</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45744</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45744</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45744</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45744</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45744</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45744</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45744</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45744</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v>
      </c>
      <c r="C1706" s="1" t="n">
        <v>45744</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9396-2025</t>
        </is>
      </c>
      <c r="B1707" s="1" t="n">
        <v>45715</v>
      </c>
      <c r="C1707" s="1" t="n">
        <v>45744</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9393-2025</t>
        </is>
      </c>
      <c r="B1708" s="1" t="n">
        <v>45715</v>
      </c>
      <c r="C1708" s="1" t="n">
        <v>45744</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45744</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45744</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45744</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45744</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9665-2025</t>
        </is>
      </c>
      <c r="B1713" s="1" t="n">
        <v>45716</v>
      </c>
      <c r="C1713" s="1" t="n">
        <v>45744</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9669-2025</t>
        </is>
      </c>
      <c r="B1714" s="1" t="n">
        <v>45716</v>
      </c>
      <c r="C1714" s="1" t="n">
        <v>45744</v>
      </c>
      <c r="D1714" t="inlineStr">
        <is>
          <t>SKÅNE LÄN</t>
        </is>
      </c>
      <c r="E1714" t="inlineStr">
        <is>
          <t>HÄSSLEHOLM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9678-2025</t>
        </is>
      </c>
      <c r="B1715" s="1" t="n">
        <v>45716</v>
      </c>
      <c r="C1715" s="1" t="n">
        <v>45744</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9667-2025</t>
        </is>
      </c>
      <c r="B1716" s="1" t="n">
        <v>45716</v>
      </c>
      <c r="C1716" s="1" t="n">
        <v>45744</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45744</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45744</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45744</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10383-2025</t>
        </is>
      </c>
      <c r="B1720" s="1" t="n">
        <v>45720</v>
      </c>
      <c r="C1720" s="1" t="n">
        <v>45744</v>
      </c>
      <c r="D1720" t="inlineStr">
        <is>
          <t>SKÅNE LÄN</t>
        </is>
      </c>
      <c r="E1720" t="inlineStr">
        <is>
          <t>HÄSSLEHOLM</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10385-2025</t>
        </is>
      </c>
      <c r="B1721" s="1" t="n">
        <v>45720</v>
      </c>
      <c r="C1721" s="1" t="n">
        <v>45744</v>
      </c>
      <c r="D1721" t="inlineStr">
        <is>
          <t>SKÅNE LÄN</t>
        </is>
      </c>
      <c r="E1721" t="inlineStr">
        <is>
          <t>HÄSSLEHOLM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10594-2025</t>
        </is>
      </c>
      <c r="B1722" s="1" t="n">
        <v>45721</v>
      </c>
      <c r="C1722" s="1" t="n">
        <v>45744</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10562-2025</t>
        </is>
      </c>
      <c r="B1723" s="1" t="n">
        <v>45721</v>
      </c>
      <c r="C1723" s="1" t="n">
        <v>45744</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10752-2025</t>
        </is>
      </c>
      <c r="B1724" s="1" t="n">
        <v>45722</v>
      </c>
      <c r="C1724" s="1" t="n">
        <v>45744</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45744</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45744</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11262-2025</t>
        </is>
      </c>
      <c r="B1727" s="1" t="n">
        <v>45726</v>
      </c>
      <c r="C1727" s="1" t="n">
        <v>45744</v>
      </c>
      <c r="D1727" t="inlineStr">
        <is>
          <t>SKÅNE LÄN</t>
        </is>
      </c>
      <c r="E1727" t="inlineStr">
        <is>
          <t>HÄSSLEHOLM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11266-2025</t>
        </is>
      </c>
      <c r="B1728" s="1" t="n">
        <v>45726</v>
      </c>
      <c r="C1728" s="1" t="n">
        <v>45744</v>
      </c>
      <c r="D1728" t="inlineStr">
        <is>
          <t>SKÅNE LÄN</t>
        </is>
      </c>
      <c r="E1728" t="inlineStr">
        <is>
          <t>HÄSSLEHOLM</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11347-2025</t>
        </is>
      </c>
      <c r="B1729" s="1" t="n">
        <v>45726</v>
      </c>
      <c r="C1729" s="1" t="n">
        <v>45744</v>
      </c>
      <c r="D1729" t="inlineStr">
        <is>
          <t>SKÅNE LÄN</t>
        </is>
      </c>
      <c r="E1729" t="inlineStr">
        <is>
          <t>HÄSSLEHOLM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11412-2025</t>
        </is>
      </c>
      <c r="B1730" s="1" t="n">
        <v>45726</v>
      </c>
      <c r="C1730" s="1" t="n">
        <v>45744</v>
      </c>
      <c r="D1730" t="inlineStr">
        <is>
          <t>SKÅNE LÄN</t>
        </is>
      </c>
      <c r="E1730" t="inlineStr">
        <is>
          <t>HÄSSLEHOLM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45744</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11446-2025</t>
        </is>
      </c>
      <c r="B1732" s="1" t="n">
        <v>45726</v>
      </c>
      <c r="C1732" s="1" t="n">
        <v>45744</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45744</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45744</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11609-2025</t>
        </is>
      </c>
      <c r="B1735" s="1" t="n">
        <v>45727</v>
      </c>
      <c r="C1735" s="1" t="n">
        <v>45744</v>
      </c>
      <c r="D1735" t="inlineStr">
        <is>
          <t>SKÅNE LÄN</t>
        </is>
      </c>
      <c r="E1735" t="inlineStr">
        <is>
          <t>HÄSSLEHOLM</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11708-2025</t>
        </is>
      </c>
      <c r="B1736" s="1" t="n">
        <v>45727</v>
      </c>
      <c r="C1736" s="1" t="n">
        <v>45744</v>
      </c>
      <c r="D1736" t="inlineStr">
        <is>
          <t>SKÅNE LÄN</t>
        </is>
      </c>
      <c r="E1736" t="inlineStr">
        <is>
          <t>HÄSSLEHOLM</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11603-2025</t>
        </is>
      </c>
      <c r="B1737" s="1" t="n">
        <v>45727</v>
      </c>
      <c r="C1737" s="1" t="n">
        <v>45744</v>
      </c>
      <c r="D1737" t="inlineStr">
        <is>
          <t>SKÅNE LÄN</t>
        </is>
      </c>
      <c r="E1737" t="inlineStr">
        <is>
          <t>HÄSSLEHOLM</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11607-2025</t>
        </is>
      </c>
      <c r="B1738" s="1" t="n">
        <v>45727</v>
      </c>
      <c r="C1738" s="1" t="n">
        <v>45744</v>
      </c>
      <c r="D1738" t="inlineStr">
        <is>
          <t>SKÅNE LÄN</t>
        </is>
      </c>
      <c r="E1738" t="inlineStr">
        <is>
          <t>HÄSSLEHOLM</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11753-2025</t>
        </is>
      </c>
      <c r="B1739" s="1" t="n">
        <v>45727</v>
      </c>
      <c r="C1739" s="1" t="n">
        <v>45744</v>
      </c>
      <c r="D1739" t="inlineStr">
        <is>
          <t>SKÅNE LÄN</t>
        </is>
      </c>
      <c r="E1739" t="inlineStr">
        <is>
          <t>HÄSSLEHOLM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45744</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12540-2025</t>
        </is>
      </c>
      <c r="B1741" s="1" t="n">
        <v>45730</v>
      </c>
      <c r="C1741" s="1" t="n">
        <v>45744</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12584-2025</t>
        </is>
      </c>
      <c r="B1742" s="1" t="n">
        <v>45732</v>
      </c>
      <c r="C1742" s="1" t="n">
        <v>45744</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12898-2025</t>
        </is>
      </c>
      <c r="B1743" s="1" t="n">
        <v>45733</v>
      </c>
      <c r="C1743" s="1" t="n">
        <v>45744</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12936-2025</t>
        </is>
      </c>
      <c r="B1744" s="1" t="n">
        <v>45734</v>
      </c>
      <c r="C1744" s="1" t="n">
        <v>45744</v>
      </c>
      <c r="D1744" t="inlineStr">
        <is>
          <t>SKÅNE LÄN</t>
        </is>
      </c>
      <c r="E1744" t="inlineStr">
        <is>
          <t>HÄSSLEHOLM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13084-2025</t>
        </is>
      </c>
      <c r="B1745" s="1" t="n">
        <v>45734</v>
      </c>
      <c r="C1745" s="1" t="n">
        <v>45744</v>
      </c>
      <c r="D1745" t="inlineStr">
        <is>
          <t>SKÅNE LÄN</t>
        </is>
      </c>
      <c r="E1745" t="inlineStr">
        <is>
          <t>HÄSSLEHOLM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13310-2025</t>
        </is>
      </c>
      <c r="B1746" s="1" t="n">
        <v>45735</v>
      </c>
      <c r="C1746" s="1" t="n">
        <v>45744</v>
      </c>
      <c r="D1746" t="inlineStr">
        <is>
          <t>SKÅNE LÄN</t>
        </is>
      </c>
      <c r="E1746" t="inlineStr">
        <is>
          <t>HÄSSLEHOLM</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13347-2025</t>
        </is>
      </c>
      <c r="B1747" s="1" t="n">
        <v>45735</v>
      </c>
      <c r="C1747" s="1" t="n">
        <v>45744</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45744</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45744</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13345-2025</t>
        </is>
      </c>
      <c r="B1750" s="1" t="n">
        <v>45735</v>
      </c>
      <c r="C1750" s="1" t="n">
        <v>45744</v>
      </c>
      <c r="D1750" t="inlineStr">
        <is>
          <t>SKÅNE LÄN</t>
        </is>
      </c>
      <c r="E1750" t="inlineStr">
        <is>
          <t>HÄSSLEHOLM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13309-2025</t>
        </is>
      </c>
      <c r="B1751" s="1" t="n">
        <v>45735</v>
      </c>
      <c r="C1751" s="1" t="n">
        <v>45744</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13544-2025</t>
        </is>
      </c>
      <c r="B1752" s="1" t="n">
        <v>45736</v>
      </c>
      <c r="C1752" s="1" t="n">
        <v>45744</v>
      </c>
      <c r="D1752" t="inlineStr">
        <is>
          <t>SKÅNE LÄN</t>
        </is>
      </c>
      <c r="E1752" t="inlineStr">
        <is>
          <t>HÄSSLEHOLM</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13549-2025</t>
        </is>
      </c>
      <c r="B1753" s="1" t="n">
        <v>45736</v>
      </c>
      <c r="C1753" s="1" t="n">
        <v>45744</v>
      </c>
      <c r="D1753" t="inlineStr">
        <is>
          <t>SKÅNE LÄN</t>
        </is>
      </c>
      <c r="E1753" t="inlineStr">
        <is>
          <t>HÄSSLEHOLM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13555-2025</t>
        </is>
      </c>
      <c r="B1754" s="1" t="n">
        <v>45736</v>
      </c>
      <c r="C1754" s="1" t="n">
        <v>45744</v>
      </c>
      <c r="D1754" t="inlineStr">
        <is>
          <t>SKÅNE LÄN</t>
        </is>
      </c>
      <c r="E1754" t="inlineStr">
        <is>
          <t>HÄSSLEHOLM</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13712-2025</t>
        </is>
      </c>
      <c r="B1755" s="1" t="n">
        <v>45737</v>
      </c>
      <c r="C1755" s="1" t="n">
        <v>45744</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13851-2025</t>
        </is>
      </c>
      <c r="B1756" s="1" t="n">
        <v>45737</v>
      </c>
      <c r="C1756" s="1" t="n">
        <v>45744</v>
      </c>
      <c r="D1756" t="inlineStr">
        <is>
          <t>SKÅNE LÄN</t>
        </is>
      </c>
      <c r="E1756" t="inlineStr">
        <is>
          <t>HÄSSLEHOLM</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45744</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14655-2025</t>
        </is>
      </c>
      <c r="B1758" s="1" t="n">
        <v>45742</v>
      </c>
      <c r="C1758" s="1" t="n">
        <v>45744</v>
      </c>
      <c r="D1758" t="inlineStr">
        <is>
          <t>SKÅNE LÄN</t>
        </is>
      </c>
      <c r="E1758" t="inlineStr">
        <is>
          <t>HÄSSLEHOLM</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14670-2025</t>
        </is>
      </c>
      <c r="B1759" s="1" t="n">
        <v>45742</v>
      </c>
      <c r="C1759" s="1" t="n">
        <v>45744</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14674-2025</t>
        </is>
      </c>
      <c r="B1760" s="1" t="n">
        <v>45742</v>
      </c>
      <c r="C1760" s="1" t="n">
        <v>45744</v>
      </c>
      <c r="D1760" t="inlineStr">
        <is>
          <t>SKÅNE LÄN</t>
        </is>
      </c>
      <c r="E1760" t="inlineStr">
        <is>
          <t>HÄSSLEHOLM</t>
        </is>
      </c>
      <c r="G1760" t="n">
        <v>0.5</v>
      </c>
      <c r="H1760" t="n">
        <v>0</v>
      </c>
      <c r="I1760" t="n">
        <v>0</v>
      </c>
      <c r="J1760" t="n">
        <v>0</v>
      </c>
      <c r="K1760" t="n">
        <v>0</v>
      </c>
      <c r="L1760" t="n">
        <v>0</v>
      </c>
      <c r="M1760" t="n">
        <v>0</v>
      </c>
      <c r="N1760" t="n">
        <v>0</v>
      </c>
      <c r="O1760" t="n">
        <v>0</v>
      </c>
      <c r="P1760" t="n">
        <v>0</v>
      </c>
      <c r="Q1760" t="n">
        <v>0</v>
      </c>
      <c r="R1760" s="2" t="inlineStr"/>
    </row>
    <row r="1761">
      <c r="A1761" t="inlineStr">
        <is>
          <t>A 14702-2025</t>
        </is>
      </c>
      <c r="B1761" s="1" t="n">
        <v>45742</v>
      </c>
      <c r="C1761" s="1" t="n">
        <v>45744</v>
      </c>
      <c r="D1761" t="inlineStr">
        <is>
          <t>SKÅNE LÄN</t>
        </is>
      </c>
      <c r="E1761" t="inlineStr">
        <is>
          <t>HÄSSLEHOLM</t>
        </is>
      </c>
      <c r="G1761" t="n">
        <v>1.8</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2025-03-28T18:25:43Z</dcterms:created>
  <dcterms:modified xmlns:dcterms="http://purl.org/dc/terms/" xmlns:xsi="http://www.w3.org/2001/XMLSchema-instance" xsi:type="dcterms:W3CDTF">2025-03-28T18:25:45Z</dcterms:modified>
</cp:coreProperties>
</file>