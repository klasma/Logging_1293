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45749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45749</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45749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45749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55656-2019</t>
        </is>
      </c>
      <c r="B13" s="1" t="n">
        <v>43760</v>
      </c>
      <c r="C13" s="1" t="n">
        <v>45749</v>
      </c>
      <c r="D13" t="inlineStr">
        <is>
          <t>SKÅNE LÄN</t>
        </is>
      </c>
      <c r="E13" t="inlineStr">
        <is>
          <t>HÄSSLEHOLM</t>
        </is>
      </c>
      <c r="G13" t="n">
        <v>1.8</v>
      </c>
      <c r="H13" t="n">
        <v>2</v>
      </c>
      <c r="I13" t="n">
        <v>0</v>
      </c>
      <c r="J13" t="n">
        <v>0</v>
      </c>
      <c r="K13" t="n">
        <v>2</v>
      </c>
      <c r="L13" t="n">
        <v>0</v>
      </c>
      <c r="M13" t="n">
        <v>0</v>
      </c>
      <c r="N13" t="n">
        <v>0</v>
      </c>
      <c r="O13" t="n">
        <v>2</v>
      </c>
      <c r="P13" t="n">
        <v>2</v>
      </c>
      <c r="Q13" t="n">
        <v>2</v>
      </c>
      <c r="R13" s="2" t="inlineStr">
        <is>
          <t>Hedblomster
Sandödla</t>
        </is>
      </c>
      <c r="S13">
        <f>HYPERLINK("https://klasma.github.io/Logging_1293/artfynd/A 55656-2019 artfynd.xlsx", "A 55656-2019")</f>
        <v/>
      </c>
      <c r="T13">
        <f>HYPERLINK("https://klasma.github.io/Logging_1293/kartor/A 55656-2019 karta.png", "A 55656-2019")</f>
        <v/>
      </c>
      <c r="V13">
        <f>HYPERLINK("https://klasma.github.io/Logging_1293/klagomål/A 55656-2019 FSC-klagomål.docx", "A 55656-2019")</f>
        <v/>
      </c>
      <c r="W13">
        <f>HYPERLINK("https://klasma.github.io/Logging_1293/klagomålsmail/A 55656-2019 FSC-klagomål mail.docx", "A 55656-2019")</f>
        <v/>
      </c>
      <c r="X13">
        <f>HYPERLINK("https://klasma.github.io/Logging_1293/tillsyn/A 55656-2019 tillsynsbegäran.docx", "A 55656-2019")</f>
        <v/>
      </c>
      <c r="Y13">
        <f>HYPERLINK("https://klasma.github.io/Logging_1293/tillsynsmail/A 55656-2019 tillsynsbegäran mail.docx", "A 55656-2019")</f>
        <v/>
      </c>
    </row>
    <row r="14" ht="15" customHeight="1">
      <c r="A14" t="inlineStr">
        <is>
          <t>A 8861-2020</t>
        </is>
      </c>
      <c r="B14" s="1" t="n">
        <v>43878</v>
      </c>
      <c r="C14" s="1" t="n">
        <v>45749</v>
      </c>
      <c r="D14" t="inlineStr">
        <is>
          <t>SKÅNE LÄN</t>
        </is>
      </c>
      <c r="E14" t="inlineStr">
        <is>
          <t>HÄSSLEHOLM</t>
        </is>
      </c>
      <c r="G14" t="n">
        <v>10.5</v>
      </c>
      <c r="H14" t="n">
        <v>0</v>
      </c>
      <c r="I14" t="n">
        <v>2</v>
      </c>
      <c r="J14" t="n">
        <v>0</v>
      </c>
      <c r="K14" t="n">
        <v>0</v>
      </c>
      <c r="L14" t="n">
        <v>0</v>
      </c>
      <c r="M14" t="n">
        <v>0</v>
      </c>
      <c r="N14" t="n">
        <v>0</v>
      </c>
      <c r="O14" t="n">
        <v>0</v>
      </c>
      <c r="P14" t="n">
        <v>0</v>
      </c>
      <c r="Q14" t="n">
        <v>2</v>
      </c>
      <c r="R14" s="2" t="inlineStr">
        <is>
          <t>Bågpraktmossa
Västlig hakmossa</t>
        </is>
      </c>
      <c r="S14">
        <f>HYPERLINK("https://klasma.github.io/Logging_1293/artfynd/A 8861-2020 artfynd.xlsx", "A 8861-2020")</f>
        <v/>
      </c>
      <c r="T14">
        <f>HYPERLINK("https://klasma.github.io/Logging_1293/kartor/A 8861-2020 karta.png", "A 8861-2020")</f>
        <v/>
      </c>
      <c r="V14">
        <f>HYPERLINK("https://klasma.github.io/Logging_1293/klagomål/A 8861-2020 FSC-klagomål.docx", "A 8861-2020")</f>
        <v/>
      </c>
      <c r="W14">
        <f>HYPERLINK("https://klasma.github.io/Logging_1293/klagomålsmail/A 8861-2020 FSC-klagomål mail.docx", "A 8861-2020")</f>
        <v/>
      </c>
      <c r="X14">
        <f>HYPERLINK("https://klasma.github.io/Logging_1293/tillsyn/A 8861-2020 tillsynsbegäran.docx", "A 8861-2020")</f>
        <v/>
      </c>
      <c r="Y14">
        <f>HYPERLINK("https://klasma.github.io/Logging_1293/tillsynsmail/A 8861-2020 tillsynsbegäran mail.docx", "A 8861-2020")</f>
        <v/>
      </c>
    </row>
    <row r="15" ht="15" customHeight="1">
      <c r="A15" t="inlineStr">
        <is>
          <t>A 44167-2021</t>
        </is>
      </c>
      <c r="B15" s="1" t="n">
        <v>44434</v>
      </c>
      <c r="C15" s="1" t="n">
        <v>45749</v>
      </c>
      <c r="D15" t="inlineStr">
        <is>
          <t>SKÅNE LÄN</t>
        </is>
      </c>
      <c r="E15" t="inlineStr">
        <is>
          <t>HÄSSLEHOLM</t>
        </is>
      </c>
      <c r="G15" t="n">
        <v>0.7</v>
      </c>
      <c r="H15" t="n">
        <v>0</v>
      </c>
      <c r="I15" t="n">
        <v>1</v>
      </c>
      <c r="J15" t="n">
        <v>0</v>
      </c>
      <c r="K15" t="n">
        <v>0</v>
      </c>
      <c r="L15" t="n">
        <v>0</v>
      </c>
      <c r="M15" t="n">
        <v>1</v>
      </c>
      <c r="N15" t="n">
        <v>0</v>
      </c>
      <c r="O15" t="n">
        <v>1</v>
      </c>
      <c r="P15" t="n">
        <v>1</v>
      </c>
      <c r="Q15" t="n">
        <v>2</v>
      </c>
      <c r="R15" s="2" t="inlineStr">
        <is>
          <t>Naverlönn
Platt fjädermossa</t>
        </is>
      </c>
      <c r="S15">
        <f>HYPERLINK("https://klasma.github.io/Logging_1293/artfynd/A 44167-2021 artfynd.xlsx", "A 44167-2021")</f>
        <v/>
      </c>
      <c r="T15">
        <f>HYPERLINK("https://klasma.github.io/Logging_1293/kartor/A 44167-2021 karta.png", "A 44167-2021")</f>
        <v/>
      </c>
      <c r="V15">
        <f>HYPERLINK("https://klasma.github.io/Logging_1293/klagomål/A 44167-2021 FSC-klagomål.docx", "A 44167-2021")</f>
        <v/>
      </c>
      <c r="W15">
        <f>HYPERLINK("https://klasma.github.io/Logging_1293/klagomålsmail/A 44167-2021 FSC-klagomål mail.docx", "A 44167-2021")</f>
        <v/>
      </c>
      <c r="X15">
        <f>HYPERLINK("https://klasma.github.io/Logging_1293/tillsyn/A 44167-2021 tillsynsbegäran.docx", "A 44167-2021")</f>
        <v/>
      </c>
      <c r="Y15">
        <f>HYPERLINK("https://klasma.github.io/Logging_1293/tillsynsmail/A 44167-2021 tillsynsbegäran mail.docx", "A 44167-2021")</f>
        <v/>
      </c>
    </row>
    <row r="16" ht="15" customHeight="1">
      <c r="A16" t="inlineStr">
        <is>
          <t>A 2194-2025</t>
        </is>
      </c>
      <c r="B16" s="1" t="n">
        <v>45673</v>
      </c>
      <c r="C16" s="1" t="n">
        <v>45749</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45749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28988-2019</t>
        </is>
      </c>
      <c r="B18" s="1" t="n">
        <v>43620</v>
      </c>
      <c r="C18" s="1" t="n">
        <v>45749</v>
      </c>
      <c r="D18" t="inlineStr">
        <is>
          <t>SKÅNE LÄN</t>
        </is>
      </c>
      <c r="E18" t="inlineStr">
        <is>
          <t>HÄSSLEHOLM</t>
        </is>
      </c>
      <c r="G18" t="n">
        <v>1</v>
      </c>
      <c r="H18" t="n">
        <v>0</v>
      </c>
      <c r="I18" t="n">
        <v>0</v>
      </c>
      <c r="J18" t="n">
        <v>0</v>
      </c>
      <c r="K18" t="n">
        <v>1</v>
      </c>
      <c r="L18" t="n">
        <v>0</v>
      </c>
      <c r="M18" t="n">
        <v>0</v>
      </c>
      <c r="N18" t="n">
        <v>0</v>
      </c>
      <c r="O18" t="n">
        <v>1</v>
      </c>
      <c r="P18" t="n">
        <v>1</v>
      </c>
      <c r="Q18" t="n">
        <v>1</v>
      </c>
      <c r="R18" s="2" t="inlineStr">
        <is>
          <t>Slåttergubbe</t>
        </is>
      </c>
      <c r="S18">
        <f>HYPERLINK("https://klasma.github.io/Logging_1293/artfynd/A 28988-2019 artfynd.xlsx", "A 28988-2019")</f>
        <v/>
      </c>
      <c r="T18">
        <f>HYPERLINK("https://klasma.github.io/Logging_1293/kartor/A 28988-2019 karta.png", "A 28988-2019")</f>
        <v/>
      </c>
      <c r="V18">
        <f>HYPERLINK("https://klasma.github.io/Logging_1293/klagomål/A 28988-2019 FSC-klagomål.docx", "A 28988-2019")</f>
        <v/>
      </c>
      <c r="W18">
        <f>HYPERLINK("https://klasma.github.io/Logging_1293/klagomålsmail/A 28988-2019 FSC-klagomål mail.docx", "A 28988-2019")</f>
        <v/>
      </c>
      <c r="X18">
        <f>HYPERLINK("https://klasma.github.io/Logging_1293/tillsyn/A 28988-2019 tillsynsbegäran.docx", "A 28988-2019")</f>
        <v/>
      </c>
      <c r="Y18">
        <f>HYPERLINK("https://klasma.github.io/Logging_1293/tillsynsmail/A 28988-2019 tillsynsbegäran mail.docx", "A 28988-2019")</f>
        <v/>
      </c>
    </row>
    <row r="19" ht="15" customHeight="1">
      <c r="A19" t="inlineStr">
        <is>
          <t>A 29223-2019</t>
        </is>
      </c>
      <c r="B19" s="1" t="n">
        <v>43629</v>
      </c>
      <c r="C19" s="1" t="n">
        <v>45749</v>
      </c>
      <c r="D19" t="inlineStr">
        <is>
          <t>SKÅNE LÄN</t>
        </is>
      </c>
      <c r="E19" t="inlineStr">
        <is>
          <t>HÄSSLEHOLM</t>
        </is>
      </c>
      <c r="G19" t="n">
        <v>1.6</v>
      </c>
      <c r="H19" t="n">
        <v>0</v>
      </c>
      <c r="I19" t="n">
        <v>0</v>
      </c>
      <c r="J19" t="n">
        <v>1</v>
      </c>
      <c r="K19" t="n">
        <v>0</v>
      </c>
      <c r="L19" t="n">
        <v>0</v>
      </c>
      <c r="M19" t="n">
        <v>0</v>
      </c>
      <c r="N19" t="n">
        <v>0</v>
      </c>
      <c r="O19" t="n">
        <v>1</v>
      </c>
      <c r="P19" t="n">
        <v>0</v>
      </c>
      <c r="Q19" t="n">
        <v>1</v>
      </c>
      <c r="R19" s="2" t="inlineStr">
        <is>
          <t>Brandbitterskivling</t>
        </is>
      </c>
      <c r="S19">
        <f>HYPERLINK("https://klasma.github.io/Logging_1293/artfynd/A 29223-2019 artfynd.xlsx", "A 29223-2019")</f>
        <v/>
      </c>
      <c r="T19">
        <f>HYPERLINK("https://klasma.github.io/Logging_1293/kartor/A 29223-2019 karta.png", "A 29223-2019")</f>
        <v/>
      </c>
      <c r="V19">
        <f>HYPERLINK("https://klasma.github.io/Logging_1293/klagomål/A 29223-2019 FSC-klagomål.docx", "A 29223-2019")</f>
        <v/>
      </c>
      <c r="W19">
        <f>HYPERLINK("https://klasma.github.io/Logging_1293/klagomålsmail/A 29223-2019 FSC-klagomål mail.docx", "A 29223-2019")</f>
        <v/>
      </c>
      <c r="X19">
        <f>HYPERLINK("https://klasma.github.io/Logging_1293/tillsyn/A 29223-2019 tillsynsbegäran.docx", "A 29223-2019")</f>
        <v/>
      </c>
      <c r="Y19">
        <f>HYPERLINK("https://klasma.github.io/Logging_1293/tillsynsmail/A 29223-2019 tillsynsbegäran mail.docx", "A 29223-2019")</f>
        <v/>
      </c>
    </row>
    <row r="20" ht="15" customHeight="1">
      <c r="A20" t="inlineStr">
        <is>
          <t>A 29765-2019</t>
        </is>
      </c>
      <c r="B20" s="1" t="n">
        <v>43632</v>
      </c>
      <c r="C20" s="1" t="n">
        <v>45749</v>
      </c>
      <c r="D20" t="inlineStr">
        <is>
          <t>SKÅNE LÄN</t>
        </is>
      </c>
      <c r="E20" t="inlineStr">
        <is>
          <t>HÄSSLEHOLM</t>
        </is>
      </c>
      <c r="G20" t="n">
        <v>13.9</v>
      </c>
      <c r="H20" t="n">
        <v>0</v>
      </c>
      <c r="I20" t="n">
        <v>0</v>
      </c>
      <c r="J20" t="n">
        <v>0</v>
      </c>
      <c r="K20" t="n">
        <v>0</v>
      </c>
      <c r="L20" t="n">
        <v>0</v>
      </c>
      <c r="M20" t="n">
        <v>1</v>
      </c>
      <c r="N20" t="n">
        <v>0</v>
      </c>
      <c r="O20" t="n">
        <v>1</v>
      </c>
      <c r="P20" t="n">
        <v>1</v>
      </c>
      <c r="Q20" t="n">
        <v>1</v>
      </c>
      <c r="R20" s="2" t="inlineStr">
        <is>
          <t>Flodkräfta</t>
        </is>
      </c>
      <c r="S20">
        <f>HYPERLINK("https://klasma.github.io/Logging_1293/artfynd/A 29765-2019 artfynd.xlsx", "A 29765-2019")</f>
        <v/>
      </c>
      <c r="T20">
        <f>HYPERLINK("https://klasma.github.io/Logging_1293/kartor/A 29765-2019 karta.png", "A 29765-2019")</f>
        <v/>
      </c>
      <c r="V20">
        <f>HYPERLINK("https://klasma.github.io/Logging_1293/klagomål/A 29765-2019 FSC-klagomål.docx", "A 29765-2019")</f>
        <v/>
      </c>
      <c r="W20">
        <f>HYPERLINK("https://klasma.github.io/Logging_1293/klagomålsmail/A 29765-2019 FSC-klagomål mail.docx", "A 29765-2019")</f>
        <v/>
      </c>
      <c r="X20">
        <f>HYPERLINK("https://klasma.github.io/Logging_1293/tillsyn/A 29765-2019 tillsynsbegäran.docx", "A 29765-2019")</f>
        <v/>
      </c>
      <c r="Y20">
        <f>HYPERLINK("https://klasma.github.io/Logging_1293/tillsynsmail/A 29765-2019 tillsynsbegäran mail.docx", "A 29765-2019")</f>
        <v/>
      </c>
    </row>
    <row r="21" ht="15" customHeight="1">
      <c r="A21" t="inlineStr">
        <is>
          <t>A 32997-2019</t>
        </is>
      </c>
      <c r="B21" s="1" t="n">
        <v>43649</v>
      </c>
      <c r="C21" s="1" t="n">
        <v>45749</v>
      </c>
      <c r="D21" t="inlineStr">
        <is>
          <t>SKÅNE LÄN</t>
        </is>
      </c>
      <c r="E21" t="inlineStr">
        <is>
          <t>HÄSSLEHOLM</t>
        </is>
      </c>
      <c r="G21" t="n">
        <v>3.9</v>
      </c>
      <c r="H21" t="n">
        <v>1</v>
      </c>
      <c r="I21" t="n">
        <v>0</v>
      </c>
      <c r="J21" t="n">
        <v>0</v>
      </c>
      <c r="K21" t="n">
        <v>1</v>
      </c>
      <c r="L21" t="n">
        <v>0</v>
      </c>
      <c r="M21" t="n">
        <v>0</v>
      </c>
      <c r="N21" t="n">
        <v>0</v>
      </c>
      <c r="O21" t="n">
        <v>1</v>
      </c>
      <c r="P21" t="n">
        <v>1</v>
      </c>
      <c r="Q21" t="n">
        <v>1</v>
      </c>
      <c r="R21" s="2" t="inlineStr">
        <is>
          <t>Knärot</t>
        </is>
      </c>
      <c r="S21">
        <f>HYPERLINK("https://klasma.github.io/Logging_1293/artfynd/A 32997-2019 artfynd.xlsx", "A 32997-2019")</f>
        <v/>
      </c>
      <c r="T21">
        <f>HYPERLINK("https://klasma.github.io/Logging_1293/kartor/A 32997-2019 karta.png", "A 32997-2019")</f>
        <v/>
      </c>
      <c r="U21">
        <f>HYPERLINK("https://klasma.github.io/Logging_1293/knärot/A 32997-2019 karta knärot.png", "A 32997-2019")</f>
        <v/>
      </c>
      <c r="V21">
        <f>HYPERLINK("https://klasma.github.io/Logging_1293/klagomål/A 32997-2019 FSC-klagomål.docx", "A 32997-2019")</f>
        <v/>
      </c>
      <c r="W21">
        <f>HYPERLINK("https://klasma.github.io/Logging_1293/klagomålsmail/A 32997-2019 FSC-klagomål mail.docx", "A 32997-2019")</f>
        <v/>
      </c>
      <c r="X21">
        <f>HYPERLINK("https://klasma.github.io/Logging_1293/tillsyn/A 32997-2019 tillsynsbegäran.docx", "A 32997-2019")</f>
        <v/>
      </c>
      <c r="Y21">
        <f>HYPERLINK("https://klasma.github.io/Logging_1293/tillsynsmail/A 32997-2019 tillsynsbegäran mail.docx", "A 32997-2019")</f>
        <v/>
      </c>
    </row>
    <row r="22" ht="15" customHeight="1">
      <c r="A22" t="inlineStr">
        <is>
          <t>A 41120-2019</t>
        </is>
      </c>
      <c r="B22" s="1" t="n">
        <v>43698</v>
      </c>
      <c r="C22" s="1" t="n">
        <v>45749</v>
      </c>
      <c r="D22" t="inlineStr">
        <is>
          <t>SKÅNE LÄN</t>
        </is>
      </c>
      <c r="E22" t="inlineStr">
        <is>
          <t>HÄSSLEHOLM</t>
        </is>
      </c>
      <c r="G22" t="n">
        <v>7.9</v>
      </c>
      <c r="H22" t="n">
        <v>0</v>
      </c>
      <c r="I22" t="n">
        <v>0</v>
      </c>
      <c r="J22" t="n">
        <v>0</v>
      </c>
      <c r="K22" t="n">
        <v>1</v>
      </c>
      <c r="L22" t="n">
        <v>0</v>
      </c>
      <c r="M22" t="n">
        <v>0</v>
      </c>
      <c r="N22" t="n">
        <v>0</v>
      </c>
      <c r="O22" t="n">
        <v>1</v>
      </c>
      <c r="P22" t="n">
        <v>1</v>
      </c>
      <c r="Q22" t="n">
        <v>1</v>
      </c>
      <c r="R22" s="2" t="inlineStr">
        <is>
          <t>Småvänderot</t>
        </is>
      </c>
      <c r="S22">
        <f>HYPERLINK("https://klasma.github.io/Logging_1293/artfynd/A 41120-2019 artfynd.xlsx", "A 41120-2019")</f>
        <v/>
      </c>
      <c r="T22">
        <f>HYPERLINK("https://klasma.github.io/Logging_1293/kartor/A 41120-2019 karta.png", "A 41120-2019")</f>
        <v/>
      </c>
      <c r="V22">
        <f>HYPERLINK("https://klasma.github.io/Logging_1293/klagomål/A 41120-2019 FSC-klagomål.docx", "A 41120-2019")</f>
        <v/>
      </c>
      <c r="W22">
        <f>HYPERLINK("https://klasma.github.io/Logging_1293/klagomålsmail/A 41120-2019 FSC-klagomål mail.docx", "A 41120-2019")</f>
        <v/>
      </c>
      <c r="X22">
        <f>HYPERLINK("https://klasma.github.io/Logging_1293/tillsyn/A 41120-2019 tillsynsbegäran.docx", "A 41120-2019")</f>
        <v/>
      </c>
      <c r="Y22">
        <f>HYPERLINK("https://klasma.github.io/Logging_1293/tillsynsmail/A 41120-2019 tillsynsbegäran mail.docx", "A 41120-2019")</f>
        <v/>
      </c>
    </row>
    <row r="23" ht="15" customHeight="1">
      <c r="A23" t="inlineStr">
        <is>
          <t>A 47468-2019</t>
        </is>
      </c>
      <c r="B23" s="1" t="n">
        <v>43724</v>
      </c>
      <c r="C23" s="1" t="n">
        <v>45749</v>
      </c>
      <c r="D23" t="inlineStr">
        <is>
          <t>SKÅNE LÄN</t>
        </is>
      </c>
      <c r="E23" t="inlineStr">
        <is>
          <t>HÄSSLEHOLM</t>
        </is>
      </c>
      <c r="G23" t="n">
        <v>3.3</v>
      </c>
      <c r="H23" t="n">
        <v>1</v>
      </c>
      <c r="I23" t="n">
        <v>0</v>
      </c>
      <c r="J23" t="n">
        <v>0</v>
      </c>
      <c r="K23" t="n">
        <v>0</v>
      </c>
      <c r="L23" t="n">
        <v>0</v>
      </c>
      <c r="M23" t="n">
        <v>0</v>
      </c>
      <c r="N23" t="n">
        <v>0</v>
      </c>
      <c r="O23" t="n">
        <v>0</v>
      </c>
      <c r="P23" t="n">
        <v>0</v>
      </c>
      <c r="Q23" t="n">
        <v>1</v>
      </c>
      <c r="R23" s="2" t="inlineStr">
        <is>
          <t>Gullviva</t>
        </is>
      </c>
      <c r="S23">
        <f>HYPERLINK("https://klasma.github.io/Logging_1293/artfynd/A 47468-2019 artfynd.xlsx", "A 47468-2019")</f>
        <v/>
      </c>
      <c r="T23">
        <f>HYPERLINK("https://klasma.github.io/Logging_1293/kartor/A 47468-2019 karta.png", "A 47468-2019")</f>
        <v/>
      </c>
      <c r="V23">
        <f>HYPERLINK("https://klasma.github.io/Logging_1293/klagomål/A 47468-2019 FSC-klagomål.docx", "A 47468-2019")</f>
        <v/>
      </c>
      <c r="W23">
        <f>HYPERLINK("https://klasma.github.io/Logging_1293/klagomålsmail/A 47468-2019 FSC-klagomål mail.docx", "A 47468-2019")</f>
        <v/>
      </c>
      <c r="X23">
        <f>HYPERLINK("https://klasma.github.io/Logging_1293/tillsyn/A 47468-2019 tillsynsbegäran.docx", "A 47468-2019")</f>
        <v/>
      </c>
      <c r="Y23">
        <f>HYPERLINK("https://klasma.github.io/Logging_1293/tillsynsmail/A 47468-2019 tillsynsbegäran mail.docx", "A 47468-2019")</f>
        <v/>
      </c>
    </row>
    <row r="24" ht="15" customHeight="1">
      <c r="A24" t="inlineStr">
        <is>
          <t>A 47678-2019</t>
        </is>
      </c>
      <c r="B24" s="1" t="n">
        <v>43724</v>
      </c>
      <c r="C24" s="1" t="n">
        <v>45749</v>
      </c>
      <c r="D24" t="inlineStr">
        <is>
          <t>SKÅNE LÄN</t>
        </is>
      </c>
      <c r="E24" t="inlineStr">
        <is>
          <t>HÄSSLEHOLM</t>
        </is>
      </c>
      <c r="G24" t="n">
        <v>3.7</v>
      </c>
      <c r="H24" t="n">
        <v>0</v>
      </c>
      <c r="I24" t="n">
        <v>0</v>
      </c>
      <c r="J24" t="n">
        <v>1</v>
      </c>
      <c r="K24" t="n">
        <v>0</v>
      </c>
      <c r="L24" t="n">
        <v>0</v>
      </c>
      <c r="M24" t="n">
        <v>0</v>
      </c>
      <c r="N24" t="n">
        <v>0</v>
      </c>
      <c r="O24" t="n">
        <v>1</v>
      </c>
      <c r="P24" t="n">
        <v>0</v>
      </c>
      <c r="Q24" t="n">
        <v>1</v>
      </c>
      <c r="R24" s="2" t="inlineStr">
        <is>
          <t>Nålbjörnbär</t>
        </is>
      </c>
      <c r="S24">
        <f>HYPERLINK("https://klasma.github.io/Logging_1293/artfynd/A 47678-2019 artfynd.xlsx", "A 47678-2019")</f>
        <v/>
      </c>
      <c r="T24">
        <f>HYPERLINK("https://klasma.github.io/Logging_1293/kartor/A 47678-2019 karta.png", "A 47678-2019")</f>
        <v/>
      </c>
      <c r="V24">
        <f>HYPERLINK("https://klasma.github.io/Logging_1293/klagomål/A 47678-2019 FSC-klagomål.docx", "A 47678-2019")</f>
        <v/>
      </c>
      <c r="W24">
        <f>HYPERLINK("https://klasma.github.io/Logging_1293/klagomålsmail/A 47678-2019 FSC-klagomål mail.docx", "A 47678-2019")</f>
        <v/>
      </c>
      <c r="X24">
        <f>HYPERLINK("https://klasma.github.io/Logging_1293/tillsyn/A 47678-2019 tillsynsbegäran.docx", "A 47678-2019")</f>
        <v/>
      </c>
      <c r="Y24">
        <f>HYPERLINK("https://klasma.github.io/Logging_1293/tillsynsmail/A 47678-2019 tillsynsbegäran mail.docx", "A 47678-2019")</f>
        <v/>
      </c>
    </row>
    <row r="25" ht="15" customHeight="1">
      <c r="A25" t="inlineStr">
        <is>
          <t>A 57275-2019</t>
        </is>
      </c>
      <c r="B25" s="1" t="n">
        <v>43760</v>
      </c>
      <c r="C25" s="1" t="n">
        <v>45749</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45749</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45749</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45749</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45749</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45749</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45749</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45749</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45749</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45749</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45749</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45749</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45749</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45749</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45749</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45749</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45749</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45749</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45749</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45749</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45749</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45749</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45749</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45749</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45749</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45749</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45749</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45749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45749</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45749</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45749</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45749</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45749</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45749</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45749</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45749</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45749</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45749</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45749</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45749</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45749</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45749</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45749</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45749</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45749</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45749</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45749</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45749</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45749</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45749</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45749</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45749</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45749</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45749</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45749</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45749</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45749</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45749</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45749</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45749</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45749</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45749</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45749</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45749</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45749</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45749</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45749</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45749</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45749</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45749</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45749</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45749</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45749</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45749</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45749</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45749</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45749</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45749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45749</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45749</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45749</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45749</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45749</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45749</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45749</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45749</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45749</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45749</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45749</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45749</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45749</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45749</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45749</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45749</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45749</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45749</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45749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45749</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45749</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45749</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45749</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45749</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45749</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45749</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45749</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45749</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45749</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45749</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45749</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45749</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45749</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45749</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45749</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45749</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45749</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45749</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45749</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45749</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45749</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45749</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45749</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45749</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45749</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45749</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45749</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45749</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45749</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45749</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45749</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45749</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45749</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45749</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45749</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45749</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45749</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45749</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45749</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45749</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45749</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45749</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45749</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45749</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45749</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45749</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45749</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45749</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45749</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45749</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45749</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45749</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45749</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45749</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45749</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45749</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45749</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45749</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45749</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45749</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45749</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45749</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45749</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45749</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45749</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45749</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45749</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45749</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45749</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45749</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45749</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45749</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45749</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45749</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45749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45749</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45749</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45749</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45749</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45749</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45749</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45749</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45749</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45749</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45749</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45749</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45749</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45749</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45749</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45749</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45749</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45749</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45749</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45749</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45749</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45749</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45749</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45749</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45749</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45749</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45749</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45749</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45749</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45749</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45749</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45749</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45749</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45749</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45749</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45749</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45749</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45749</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45749</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45749</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45749</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45749</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45749</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45749</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45749</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45749</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45749</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45749</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45749</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45749</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45749</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45749</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45749</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45749</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45749</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45749</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45749</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45749</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45749</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45749</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45749</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45749</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45749</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45749</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45749</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45749</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45749</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45749</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45749</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45749</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45749</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45749</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45749</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45749</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45749</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45749</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45749</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45749</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45749</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45749</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45749</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45749</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45749</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45749</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45749</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45749</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45749</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45749</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45749</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45749</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45749</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45749</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45749</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45749</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45749</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45749</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45749</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45749</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45749</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45749</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45749</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45749</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45749</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45749</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45749</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45749</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45749</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45749</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45749</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45749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45749</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45749</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45749</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45749</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45749</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45749</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45749</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45749</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45749</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45749</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45749</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45749</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45749</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45749</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45749</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45749</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45749</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45749</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45749</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45749</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45749</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45749</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45749</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45749</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45749</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45749</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45749</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45749</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45749</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45749</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45749</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45749</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45749</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45749</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45749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45749</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45749</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45749</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45749</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45749</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45749</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45749</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45749</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45749</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45749</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45749</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45749</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45749</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45749</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45749</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45749</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45749</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45749</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45749</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45749</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45749</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45749</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45749</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45749</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45749</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45749</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45749</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45749</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45749</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45749</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45749</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45749</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45749</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45749</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45749</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45749</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45749</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45749</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45749</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45749</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45749</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45749</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45749</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45749</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45749</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45749</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45749</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45749</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45749</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45749</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45749</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45749</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45749</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45749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45749</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45749</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45749</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45749</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45749</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45749</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45749</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45749</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45749</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45749</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45749</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45749</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45749</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45749</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45749</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45749</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45749</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45749</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45749</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45749</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45749</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45749</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45749</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45749</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45749</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45749</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45749</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45749</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45749</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45749</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45749</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45749</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45749</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45749</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45749</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45749</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45749</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45749</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45749</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45749</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45749</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45749</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45749</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45749</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45749</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45749</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45749</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45749</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45749</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45749</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45749</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45749</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45749</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45749</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45749</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45749</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45749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45749</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45749</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45749</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45749</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45749</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45749</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45749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45749</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45749</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45749</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45749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45749</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45749</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45749</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45749</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45749</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45749</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45749</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45749</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45749</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45749</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45749</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45749</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45749</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45749</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45749</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45749</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45749</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45749</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45749</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45749</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45749</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45749</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45749</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45749</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45749</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45749</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45749</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45749</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45749</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45749</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45749</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45749</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45749</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45749</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45749</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45749</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45749</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45749</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45749</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45749</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45749</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45749</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45749</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45749</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45749</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45749</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45749</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45749</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45749</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45749</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45749</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45749</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45749</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45749</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45749</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45749</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45749</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45749</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45749</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45749</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45749</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45749</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45749</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45749</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45749</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45749</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45749</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45749</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45749</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45749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45749</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45749</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45749</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45749</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45749</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45749</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45749</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45749</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45749</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45749</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45749</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45749</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45749</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45749</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45749</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45749</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45749</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45749</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45749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45749</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45749</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45749</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45749</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45749</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45749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45749</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45749</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45749</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45749</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45749</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45749</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45749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45749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45749</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45749</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45749</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45749</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45749</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45749</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45749</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45749</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45749</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45749</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45749</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45749</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45749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45749</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45749</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45749</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45749</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45749</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45749</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45749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45749</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45749</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45749</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45749</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45749</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45749</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45749</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45749</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45749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45749</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45749</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45749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45749</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45749</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45749</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45749</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45749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45749</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45749</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45749</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45749</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45749</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45749</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45749</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45749</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45749</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45749</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45749</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45749</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45749</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45749</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45749</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45749</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45749</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45749</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45749</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45749</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45749</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45749</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45749</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45749</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45749</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45749</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45749</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45749</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45749</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45749</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45749</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45749</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45749</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45749</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45749</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45749</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45749</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45749</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45749</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45749</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45749</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45749</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45749</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45749</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45749</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45749</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45749</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45749</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45749</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45749</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45749</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45749</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45749</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45749</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45749</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45749</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45749</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45749</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45749</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45749</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45749</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45749</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45749</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45749</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45749</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45749</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45749</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45749</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45749</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45749</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45749</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45749</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45749</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45749</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45749</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45749</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45749</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45749</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45749</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45749</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45749</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45749</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45749</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45749</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45749</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45749</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45749</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45749</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45749</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45749</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45749</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45749</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45749</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45749</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45749</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45749</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45749</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45749</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45749</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45749</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45749</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45749</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45749</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45749</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45749</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45749</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45749</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45749</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45749</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45749</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45749</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45749</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45749</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45749</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45749</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45749</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45749</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45749</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45749</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45749</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45749</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45749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45749</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45749</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45749</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45749</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45749</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45749</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45749</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45749</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45749</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45749</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45749</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45749</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45749</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45749</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45749</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45749</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45749</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45749</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45749</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45749</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45749</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45749</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45749</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45749</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45749</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45749</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45749</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45749</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45749</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45749</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45749</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45749</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45749</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45749</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45749</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45749</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45749</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45749</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45749</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45749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45749</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45749</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45749</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45749</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45749</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45749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45749</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45749</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45749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45749</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45749</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45749</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45749</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45749</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45749</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45749</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45749</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45749</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45749</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45749</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45749</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45749</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45749</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45749</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45749</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45749</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45749</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45749</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45749</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45749</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45749</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45749</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45749</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45749</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45749</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45749</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45749</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45749</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45749</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45749</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45749</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45749</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45749</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45749</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45749</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45749</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45749</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45749</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45749</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45749</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45749</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45749</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45749</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45749</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45749</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45749</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45749</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45749</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45749</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45749</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45749</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45749</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45749</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45749</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45749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45749</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45749</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45749</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45749</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45749</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45749</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45749</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45749</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45749</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45749</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45749</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45749</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45749</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45749</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45749</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45749</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45749</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45749</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45749</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45749</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45749</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45749</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45749</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45749</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45749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45749</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45749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45749</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45749</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45749</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45749</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45749</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45749</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45749</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45749</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45749</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45749</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45749</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45749</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45749</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45749</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45749</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45749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45749</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45749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45749</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45749</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45749</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45749</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45749</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45749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45749</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45749</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45749</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45749</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45749</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45749</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45749</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45749</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45749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45749</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45749</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45749</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45749</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45749</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45749</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45749</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45749</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45749</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45749</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45749</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45749</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45749</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45749</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45749</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45749</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45749</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45749</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45749</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45749</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45749</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45749</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45749</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45749</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45749</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45749</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45749</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45749</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45749</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45749</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45749</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45749</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45749</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45749</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45749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45749</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45749</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45749</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45749</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45749</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45749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45749</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45749</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45749</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45749</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45749</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45749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45749</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45749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45749</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45749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45749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45749</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45749</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45749</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45749</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45749</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45749</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45749</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45749</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45749</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45749</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45749</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45749</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45749</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45749</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45749</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45749</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45749</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45749</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45749</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45749</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45749</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45749</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45749</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45749</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45749</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45749</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45749</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45749</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45749</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45749</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45749</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45749</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45749</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45749</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45749</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45749</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45749</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45749</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45749</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45749</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45749</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45749</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45749</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45749</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45749</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45749</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45749</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45749</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45749</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45749</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45749</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45749</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45749</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45749</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45749</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45749</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45749</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45749</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45749</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45749</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45749</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45749</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45749</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45749</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45749</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45749</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45749</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45749</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45749</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45749</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45749</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45749</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45749</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45749</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45749</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45749</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45749</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45749</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45749</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45749</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45749</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45749</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45749</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45749</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45749</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45749</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45749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45749</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45749</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45749</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45749</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45749</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45749</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45749</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45749</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45749</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45749</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45749</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45749</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45749</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45749</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45749</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45749</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45749</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45749</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45749</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45749</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45749</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45749</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45749</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45749</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45749</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45749</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45749</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45749</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45749</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45749</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45749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45749</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45749</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45749</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45749</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45749</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45749</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45749</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45749</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45749</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45749</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45749</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45749</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45749</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45749</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45749</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45749</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45749</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45749</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45749</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45749</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45749</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45749</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45749</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45749</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45749</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45749</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45749</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45749</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45749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45749</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45749</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45749</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45749</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45749</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45749</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45749</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45749</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45749</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45749</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45749</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45749</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45749</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45749</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45749</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45749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45749</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45749</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45749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45749</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45749</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45749</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45749</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45749</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45749</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45749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45749</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45749</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45749</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45749</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45749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45749</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45749</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45749</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45749</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45749</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45749</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45749</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45749</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45749</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45749</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45749</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45749</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45749</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45749</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45749</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45749</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45749</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45749</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45749</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45749</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45749</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45749</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45749</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45749</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45749</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45749</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45749</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45749</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45749</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45749</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45749</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45749</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45749</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45749</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45749</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45749</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45749</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45749</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45749</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45749</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45749</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45749</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45749</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45749</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45749</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45749</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45749</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45749</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45749</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45749</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45749</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45749</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45749</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45749</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45749</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45749</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45749</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45749</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45749</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45749</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45749</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45749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45749</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45749</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45749</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45749</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45749</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45749</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45749</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45749</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45749</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45749</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45749</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45749</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45749</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45749</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45749</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45749</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45749</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45749</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45749</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45749</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45749</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45749</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45749</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45749</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45749</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45749</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45749</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45749</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45749</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45749</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45749</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45749</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45749</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45749</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45749</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45749</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45749</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45749</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45749</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45749</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45749</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45749</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45749</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45749</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45749</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45749</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45749</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45749</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45749</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45749</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45749</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45749</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45749</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45749</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45749</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45749</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45749</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45749</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45749</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45749</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45749</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45749</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45749</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45749</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45749</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45749</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45749</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45749</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45749</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45749</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45749</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45749</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45749</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45749</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45749</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45749</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45749</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45749</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45749</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45749</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45749</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45749</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45749</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45749</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45749</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45749</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45749</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45749</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45749</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45749</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45749</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45749</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45749</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45749</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45749</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45749</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45749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45749</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45749</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45749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45749</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45749</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45749</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45749</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45749</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45749</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45749</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45749</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45749</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45749</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45749</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45749</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45749</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45749</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45749</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45749</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45749</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45749</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45749</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45749</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45749</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45749</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45749</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45749</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45749</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45749</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45749</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45749</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45749</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45749</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45749</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45749</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45749</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45749</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45749</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45749</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45749</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45749</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45749</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45749</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45749</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45749</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45749</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45749</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45749</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45749</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45749</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45749</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45749</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45749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45749</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45749</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45749</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45749</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45749</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45749</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45749</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45749</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45749</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45749</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45749</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45749</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45749</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45749</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45749</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45749</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45749</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45749</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45749</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45749</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45749</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45749</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45749</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45749</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45749</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45749</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45749</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45749</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45749</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45749</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45749</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45749</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45749</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45749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45749</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45749</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45749</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45749</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45749</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45749</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45749</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45749</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45749</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45749</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45749</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45749</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45749</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45749</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45749</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45749</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45749</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45749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45749</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45749</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45749</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45749</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45749</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45749</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45749</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45749</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45749</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45749</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45749</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45749</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45749</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45749</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45749</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45749</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45749</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45749</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45749</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45749</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45749</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45749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45749</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45749</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45749</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45749</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45749</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45749</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45749</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45749</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45749</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45749</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45749</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45749</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45749</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45749</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45749</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45749</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45749</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45749</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45749</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45749</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45749</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45749</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45749</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45749</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45749</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45749</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45749</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45749</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45749</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45749</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45749</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45749</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45749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45749</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45749</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45749</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45749</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45749</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45749</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45749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45749</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45749</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45749</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45749</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45749</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45749</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45749</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45749</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45749</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45749</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45749</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45749</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45749</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45749</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45749</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45749</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45749</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45749</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45749</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45749</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45749</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45749</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45749</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45749</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45749</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45749</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45749</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45749</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45749</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45749</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45749</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45749</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45749</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45749</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45749</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45749</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45749</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45749</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45749</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45749</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45749</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45749</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45749</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45749</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45749</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45749</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45749</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45749</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45749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45749</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45749</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45749</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45749</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45749</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45749</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45749</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45749</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45749</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45749</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45749</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45749</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45749</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45749</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45749</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45749</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45749</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45749</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45749</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45749</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45749</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45749</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45749</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45749</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45749</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45749</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45749</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45749</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45749</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45749</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45749</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45749</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45749</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45749</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45749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45749</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45749</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45749</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45749</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45749</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45749</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45749</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45749</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45749</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45749</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45749</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45749</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45749</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45749</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45749</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45749</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45749</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45749</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45749</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45749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45749</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45749</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45749</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45749</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45749</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45749</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45749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45749</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45749</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45749</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45749</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45749</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45749</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45749</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45749</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45749</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45749</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45749</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45749</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45749</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45749</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45749</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45749</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45749</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45749</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45749</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45749</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45749</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45749</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45749</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45749</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45749</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45749</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45749</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45749</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45749</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45749</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45749</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45749</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45749</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45749</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45749</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45749</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45749</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45749</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45749</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45749</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45749</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45749</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45749</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45749</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45749</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45749</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45749</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45749</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45749</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45749</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45749</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45749</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45749</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45749</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45749</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45749</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45749</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45749</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45749</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45749</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45749</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45749</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45749</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45749</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45749</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45749</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45749</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45749</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45749</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45749</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45749</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45749</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45749</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45749</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45749</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45749</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45749</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45749</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45749</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45749</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45749</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45749</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45749</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45749</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45749</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45749</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45749</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45749</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45749</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45749</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45749</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45749</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45749</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45749</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45749</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45749</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45749</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45749</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45749</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45749</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45749</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45749</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45749</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45749</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45749</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45749</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45749</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45749</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45749</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45749</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45749</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45749</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45749</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45749</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45749</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45749</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45749</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45749</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45749</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45749</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45749</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45749</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45749</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45749</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45749</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45749</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45749</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45749</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45749</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45749</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45749</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45749</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45749</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45749</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45749</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45749</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45749</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45749</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45749</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45749</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45749</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9397-2025</t>
        </is>
      </c>
      <c r="B1705" s="1" t="n">
        <v>45715</v>
      </c>
      <c r="C1705" s="1" t="n">
        <v>45749</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45749</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9543-2025</t>
        </is>
      </c>
      <c r="B1707" s="1" t="n">
        <v>45715</v>
      </c>
      <c r="C1707" s="1" t="n">
        <v>45749</v>
      </c>
      <c r="D1707" t="inlineStr">
        <is>
          <t>SKÅNE LÄN</t>
        </is>
      </c>
      <c r="E1707" t="inlineStr">
        <is>
          <t>HÄSSLEHOLM</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9615-2025</t>
        </is>
      </c>
      <c r="B1708" s="1" t="n">
        <v>45715</v>
      </c>
      <c r="C1708" s="1" t="n">
        <v>45749</v>
      </c>
      <c r="D1708" t="inlineStr">
        <is>
          <t>SKÅNE LÄN</t>
        </is>
      </c>
      <c r="E1708" t="inlineStr">
        <is>
          <t>HÄSSLEHOLM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9611-2025</t>
        </is>
      </c>
      <c r="B1709" s="1" t="n">
        <v>45715</v>
      </c>
      <c r="C1709" s="1" t="n">
        <v>45749</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9394-2025</t>
        </is>
      </c>
      <c r="B1710" s="1" t="n">
        <v>45715</v>
      </c>
      <c r="C1710" s="1" t="n">
        <v>45749</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9396-2025</t>
        </is>
      </c>
      <c r="B1711" s="1" t="n">
        <v>45715</v>
      </c>
      <c r="C1711" s="1" t="n">
        <v>45749</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9393-2025</t>
        </is>
      </c>
      <c r="B1712" s="1" t="n">
        <v>45715</v>
      </c>
      <c r="C1712" s="1" t="n">
        <v>45749</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45749</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45749</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45749</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9673-2025</t>
        </is>
      </c>
      <c r="B1716" s="1" t="n">
        <v>45716</v>
      </c>
      <c r="C1716" s="1" t="n">
        <v>45749</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45749</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45749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45749</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10383-2025</t>
        </is>
      </c>
      <c r="B1720" s="1" t="n">
        <v>45720</v>
      </c>
      <c r="C1720" s="1" t="n">
        <v>45749</v>
      </c>
      <c r="D1720" t="inlineStr">
        <is>
          <t>SKÅNE LÄN</t>
        </is>
      </c>
      <c r="E1720" t="inlineStr">
        <is>
          <t>HÄSSLEHOLM</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45749</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10230-2025</t>
        </is>
      </c>
      <c r="B1722" s="1" t="n">
        <v>45720</v>
      </c>
      <c r="C1722" s="1" t="n">
        <v>45749</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45749</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45749</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45749</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45749</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11412-2025</t>
        </is>
      </c>
      <c r="B1727" s="1" t="n">
        <v>45726</v>
      </c>
      <c r="C1727" s="1" t="n">
        <v>45749</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45749</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45749</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11266-2025</t>
        </is>
      </c>
      <c r="B1730" s="1" t="n">
        <v>45726</v>
      </c>
      <c r="C1730" s="1" t="n">
        <v>45749</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45749</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11470-2025</t>
        </is>
      </c>
      <c r="B1732" s="1" t="n">
        <v>45726</v>
      </c>
      <c r="C1732" s="1" t="n">
        <v>45749</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45749</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11211-2025</t>
        </is>
      </c>
      <c r="B1734" s="1" t="n">
        <v>45726</v>
      </c>
      <c r="C1734" s="1" t="n">
        <v>45749</v>
      </c>
      <c r="D1734" t="inlineStr">
        <is>
          <t>SKÅNE LÄN</t>
        </is>
      </c>
      <c r="E1734" t="inlineStr">
        <is>
          <t>HÄSSLEHOLM</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11347-2025</t>
        </is>
      </c>
      <c r="B1735" s="1" t="n">
        <v>45726</v>
      </c>
      <c r="C1735" s="1" t="n">
        <v>45749</v>
      </c>
      <c r="D1735" t="inlineStr">
        <is>
          <t>SKÅNE LÄN</t>
        </is>
      </c>
      <c r="E1735" t="inlineStr">
        <is>
          <t>HÄSSLEHOLM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11753-2025</t>
        </is>
      </c>
      <c r="B1736" s="1" t="n">
        <v>45727</v>
      </c>
      <c r="C1736" s="1" t="n">
        <v>45749</v>
      </c>
      <c r="D1736" t="inlineStr">
        <is>
          <t>SKÅNE LÄN</t>
        </is>
      </c>
      <c r="E1736" t="inlineStr">
        <is>
          <t>HÄSSLEHOLM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45749</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11609-2025</t>
        </is>
      </c>
      <c r="B1738" s="1" t="n">
        <v>45727</v>
      </c>
      <c r="C1738" s="1" t="n">
        <v>45749</v>
      </c>
      <c r="D1738" t="inlineStr">
        <is>
          <t>SKÅNE LÄN</t>
        </is>
      </c>
      <c r="E1738" t="inlineStr">
        <is>
          <t>HÄSSLEHOLM</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45749</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11607-2025</t>
        </is>
      </c>
      <c r="B1740" s="1" t="n">
        <v>45727</v>
      </c>
      <c r="C1740" s="1" t="n">
        <v>45749</v>
      </c>
      <c r="D1740" t="inlineStr">
        <is>
          <t>SKÅNE LÄN</t>
        </is>
      </c>
      <c r="E1740" t="inlineStr">
        <is>
          <t>HÄSSLEHOLM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45749</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45749</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45749</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45749</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12936-2025</t>
        </is>
      </c>
      <c r="B1745" s="1" t="n">
        <v>45734</v>
      </c>
      <c r="C1745" s="1" t="n">
        <v>45749</v>
      </c>
      <c r="D1745" t="inlineStr">
        <is>
          <t>SKÅNE LÄN</t>
        </is>
      </c>
      <c r="E1745" t="inlineStr">
        <is>
          <t>HÄSSLEHOLM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45749</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45749</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13303-2025</t>
        </is>
      </c>
      <c r="B1748" s="1" t="n">
        <v>45735</v>
      </c>
      <c r="C1748" s="1" t="n">
        <v>45749</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13309-2025</t>
        </is>
      </c>
      <c r="B1749" s="1" t="n">
        <v>45735</v>
      </c>
      <c r="C1749" s="1" t="n">
        <v>45749</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13310-2025</t>
        </is>
      </c>
      <c r="B1750" s="1" t="n">
        <v>45735</v>
      </c>
      <c r="C1750" s="1" t="n">
        <v>45749</v>
      </c>
      <c r="D1750" t="inlineStr">
        <is>
          <t>SKÅNE LÄN</t>
        </is>
      </c>
      <c r="E1750" t="inlineStr">
        <is>
          <t>HÄSSLEHOLM</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45749</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45749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13544-2025</t>
        </is>
      </c>
      <c r="B1753" s="1" t="n">
        <v>45736</v>
      </c>
      <c r="C1753" s="1" t="n">
        <v>45749</v>
      </c>
      <c r="D1753" t="inlineStr">
        <is>
          <t>SKÅNE LÄN</t>
        </is>
      </c>
      <c r="E1753" t="inlineStr">
        <is>
          <t>HÄSSLEHOLM</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13549-2025</t>
        </is>
      </c>
      <c r="B1754" s="1" t="n">
        <v>45736</v>
      </c>
      <c r="C1754" s="1" t="n">
        <v>45749</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13555-2025</t>
        </is>
      </c>
      <c r="B1755" s="1" t="n">
        <v>45736</v>
      </c>
      <c r="C1755" s="1" t="n">
        <v>45749</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13856-2025</t>
        </is>
      </c>
      <c r="B1756" s="1" t="n">
        <v>45737</v>
      </c>
      <c r="C1756" s="1" t="n">
        <v>45749</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45749</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45749</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14670-2025</t>
        </is>
      </c>
      <c r="B1759" s="1" t="n">
        <v>45742</v>
      </c>
      <c r="C1759" s="1" t="n">
        <v>45749</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14655-2025</t>
        </is>
      </c>
      <c r="B1760" s="1" t="n">
        <v>45742</v>
      </c>
      <c r="C1760" s="1" t="n">
        <v>45749</v>
      </c>
      <c r="D1760" t="inlineStr">
        <is>
          <t>SKÅNE LÄN</t>
        </is>
      </c>
      <c r="E1760" t="inlineStr">
        <is>
          <t>HÄSSLEHOLM</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14702-2025</t>
        </is>
      </c>
      <c r="B1761" s="1" t="n">
        <v>45742</v>
      </c>
      <c r="C1761" s="1" t="n">
        <v>45749</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14674-2025</t>
        </is>
      </c>
      <c r="B1762" s="1" t="n">
        <v>45742</v>
      </c>
      <c r="C1762" s="1" t="n">
        <v>45749</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15297-2025</t>
        </is>
      </c>
      <c r="B1763" s="1" t="n">
        <v>45746</v>
      </c>
      <c r="C1763" s="1" t="n">
        <v>45749</v>
      </c>
      <c r="D1763" t="inlineStr">
        <is>
          <t>SKÅNE LÄN</t>
        </is>
      </c>
      <c r="E1763" t="inlineStr">
        <is>
          <t>HÄSSLEHOLM</t>
        </is>
      </c>
      <c r="G1763" t="n">
        <v>2</v>
      </c>
      <c r="H1763" t="n">
        <v>0</v>
      </c>
      <c r="I1763" t="n">
        <v>0</v>
      </c>
      <c r="J1763" t="n">
        <v>0</v>
      </c>
      <c r="K1763" t="n">
        <v>0</v>
      </c>
      <c r="L1763" t="n">
        <v>0</v>
      </c>
      <c r="M1763" t="n">
        <v>0</v>
      </c>
      <c r="N1763" t="n">
        <v>0</v>
      </c>
      <c r="O1763" t="n">
        <v>0</v>
      </c>
      <c r="P1763" t="n">
        <v>0</v>
      </c>
      <c r="Q1763" t="n">
        <v>0</v>
      </c>
      <c r="R1763" s="2" t="inlineStr"/>
    </row>
    <row r="1764">
      <c r="A1764" t="inlineStr">
        <is>
          <t>A 15800-2025</t>
        </is>
      </c>
      <c r="B1764" s="1" t="n">
        <v>45748</v>
      </c>
      <c r="C1764" s="1" t="n">
        <v>45749</v>
      </c>
      <c r="D1764" t="inlineStr">
        <is>
          <t>SKÅNE LÄN</t>
        </is>
      </c>
      <c r="E1764" t="inlineStr">
        <is>
          <t>HÄSSLEHOLM</t>
        </is>
      </c>
      <c r="G1764" t="n">
        <v>0.7</v>
      </c>
      <c r="H1764" t="n">
        <v>0</v>
      </c>
      <c r="I1764" t="n">
        <v>0</v>
      </c>
      <c r="J1764" t="n">
        <v>0</v>
      </c>
      <c r="K1764" t="n">
        <v>0</v>
      </c>
      <c r="L1764" t="n">
        <v>0</v>
      </c>
      <c r="M1764" t="n">
        <v>0</v>
      </c>
      <c r="N1764" t="n">
        <v>0</v>
      </c>
      <c r="O1764" t="n">
        <v>0</v>
      </c>
      <c r="P1764" t="n">
        <v>0</v>
      </c>
      <c r="Q1764" t="n">
        <v>0</v>
      </c>
      <c r="R1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2025-04-02T16:58:37Z</dcterms:created>
  <dcterms:modified xmlns:dcterms="http://purl.org/dc/terms/" xmlns:xsi="http://www.w3.org/2001/XMLSchema-instance" xsi:type="dcterms:W3CDTF">2025-04-02T16:58:39Z</dcterms:modified>
</cp:coreProperties>
</file>