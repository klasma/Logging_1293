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45672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45672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45672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45672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45672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45672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45672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45672</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45672</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45672</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45672</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45672</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45672</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45672</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45672</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41120-2019</t>
        </is>
      </c>
      <c r="B17" s="1" t="n">
        <v>43698</v>
      </c>
      <c r="C17" s="1" t="n">
        <v>45672</v>
      </c>
      <c r="D17" t="inlineStr">
        <is>
          <t>SKÅNE LÄN</t>
        </is>
      </c>
      <c r="E17" t="inlineStr">
        <is>
          <t>HÄSSLEHOLM</t>
        </is>
      </c>
      <c r="G17" t="n">
        <v>7.9</v>
      </c>
      <c r="H17" t="n">
        <v>0</v>
      </c>
      <c r="I17" t="n">
        <v>0</v>
      </c>
      <c r="J17" t="n">
        <v>0</v>
      </c>
      <c r="K17" t="n">
        <v>1</v>
      </c>
      <c r="L17" t="n">
        <v>0</v>
      </c>
      <c r="M17" t="n">
        <v>0</v>
      </c>
      <c r="N17" t="n">
        <v>0</v>
      </c>
      <c r="O17" t="n">
        <v>1</v>
      </c>
      <c r="P17" t="n">
        <v>1</v>
      </c>
      <c r="Q17" t="n">
        <v>1</v>
      </c>
      <c r="R17" s="2" t="inlineStr">
        <is>
          <t>Småvänderot</t>
        </is>
      </c>
      <c r="S17">
        <f>HYPERLINK("https://klasma.github.io/Logging_1293/artfynd/A 41120-2019 artfynd.xlsx", "A 41120-2019")</f>
        <v/>
      </c>
      <c r="T17">
        <f>HYPERLINK("https://klasma.github.io/Logging_1293/kartor/A 41120-2019 karta.png", "A 41120-2019")</f>
        <v/>
      </c>
      <c r="V17">
        <f>HYPERLINK("https://klasma.github.io/Logging_1293/klagomål/A 41120-2019 FSC-klagomål.docx", "A 41120-2019")</f>
        <v/>
      </c>
      <c r="W17">
        <f>HYPERLINK("https://klasma.github.io/Logging_1293/klagomålsmail/A 41120-2019 FSC-klagomål mail.docx", "A 41120-2019")</f>
        <v/>
      </c>
      <c r="X17">
        <f>HYPERLINK("https://klasma.github.io/Logging_1293/tillsyn/A 41120-2019 tillsynsbegäran.docx", "A 41120-2019")</f>
        <v/>
      </c>
      <c r="Y17">
        <f>HYPERLINK("https://klasma.github.io/Logging_1293/tillsynsmail/A 41120-2019 tillsynsbegäran mail.docx", "A 41120-2019")</f>
        <v/>
      </c>
    </row>
    <row r="18" ht="15" customHeight="1">
      <c r="A18" t="inlineStr">
        <is>
          <t>A 47468-2019</t>
        </is>
      </c>
      <c r="B18" s="1" t="n">
        <v>43724</v>
      </c>
      <c r="C18" s="1" t="n">
        <v>45672</v>
      </c>
      <c r="D18" t="inlineStr">
        <is>
          <t>SKÅNE LÄN</t>
        </is>
      </c>
      <c r="E18" t="inlineStr">
        <is>
          <t>HÄSSLEHOLM</t>
        </is>
      </c>
      <c r="G18" t="n">
        <v>3.3</v>
      </c>
      <c r="H18" t="n">
        <v>1</v>
      </c>
      <c r="I18" t="n">
        <v>0</v>
      </c>
      <c r="J18" t="n">
        <v>0</v>
      </c>
      <c r="K18" t="n">
        <v>0</v>
      </c>
      <c r="L18" t="n">
        <v>0</v>
      </c>
      <c r="M18" t="n">
        <v>0</v>
      </c>
      <c r="N18" t="n">
        <v>0</v>
      </c>
      <c r="O18" t="n">
        <v>0</v>
      </c>
      <c r="P18" t="n">
        <v>0</v>
      </c>
      <c r="Q18" t="n">
        <v>1</v>
      </c>
      <c r="R18" s="2" t="inlineStr">
        <is>
          <t>Gullviva</t>
        </is>
      </c>
      <c r="S18">
        <f>HYPERLINK("https://klasma.github.io/Logging_1293/artfynd/A 47468-2019 artfynd.xlsx", "A 47468-2019")</f>
        <v/>
      </c>
      <c r="T18">
        <f>HYPERLINK("https://klasma.github.io/Logging_1293/kartor/A 47468-2019 karta.png", "A 47468-2019")</f>
        <v/>
      </c>
      <c r="V18">
        <f>HYPERLINK("https://klasma.github.io/Logging_1293/klagomål/A 47468-2019 FSC-klagomål.docx", "A 47468-2019")</f>
        <v/>
      </c>
      <c r="W18">
        <f>HYPERLINK("https://klasma.github.io/Logging_1293/klagomålsmail/A 47468-2019 FSC-klagomål mail.docx", "A 47468-2019")</f>
        <v/>
      </c>
      <c r="X18">
        <f>HYPERLINK("https://klasma.github.io/Logging_1293/tillsyn/A 47468-2019 tillsynsbegäran.docx", "A 47468-2019")</f>
        <v/>
      </c>
      <c r="Y18">
        <f>HYPERLINK("https://klasma.github.io/Logging_1293/tillsynsmail/A 47468-2019 tillsynsbegäran mail.docx", "A 47468-2019")</f>
        <v/>
      </c>
    </row>
    <row r="19" ht="15" customHeight="1">
      <c r="A19" t="inlineStr">
        <is>
          <t>A 47678-2019</t>
        </is>
      </c>
      <c r="B19" s="1" t="n">
        <v>43724</v>
      </c>
      <c r="C19" s="1" t="n">
        <v>45672</v>
      </c>
      <c r="D19" t="inlineStr">
        <is>
          <t>SKÅNE LÄN</t>
        </is>
      </c>
      <c r="E19" t="inlineStr">
        <is>
          <t>HÄSSLEHOLM</t>
        </is>
      </c>
      <c r="G19" t="n">
        <v>3.7</v>
      </c>
      <c r="H19" t="n">
        <v>0</v>
      </c>
      <c r="I19" t="n">
        <v>0</v>
      </c>
      <c r="J19" t="n">
        <v>1</v>
      </c>
      <c r="K19" t="n">
        <v>0</v>
      </c>
      <c r="L19" t="n">
        <v>0</v>
      </c>
      <c r="M19" t="n">
        <v>0</v>
      </c>
      <c r="N19" t="n">
        <v>0</v>
      </c>
      <c r="O19" t="n">
        <v>1</v>
      </c>
      <c r="P19" t="n">
        <v>0</v>
      </c>
      <c r="Q19" t="n">
        <v>1</v>
      </c>
      <c r="R19" s="2" t="inlineStr">
        <is>
          <t>Nålbjörnbär</t>
        </is>
      </c>
      <c r="S19">
        <f>HYPERLINK("https://klasma.github.io/Logging_1293/artfynd/A 47678-2019 artfynd.xlsx", "A 47678-2019")</f>
        <v/>
      </c>
      <c r="T19">
        <f>HYPERLINK("https://klasma.github.io/Logging_1293/kartor/A 47678-2019 karta.png", "A 47678-2019")</f>
        <v/>
      </c>
      <c r="V19">
        <f>HYPERLINK("https://klasma.github.io/Logging_1293/klagomål/A 47678-2019 FSC-klagomål.docx", "A 47678-2019")</f>
        <v/>
      </c>
      <c r="W19">
        <f>HYPERLINK("https://klasma.github.io/Logging_1293/klagomålsmail/A 47678-2019 FSC-klagomål mail.docx", "A 47678-2019")</f>
        <v/>
      </c>
      <c r="X19">
        <f>HYPERLINK("https://klasma.github.io/Logging_1293/tillsyn/A 47678-2019 tillsynsbegäran.docx", "A 47678-2019")</f>
        <v/>
      </c>
      <c r="Y19">
        <f>HYPERLINK("https://klasma.github.io/Logging_1293/tillsynsmail/A 47678-2019 tillsynsbegäran mail.docx", "A 47678-2019")</f>
        <v/>
      </c>
    </row>
    <row r="20" ht="15" customHeight="1">
      <c r="A20" t="inlineStr">
        <is>
          <t>A 55656-2019</t>
        </is>
      </c>
      <c r="B20" s="1" t="n">
        <v>43760</v>
      </c>
      <c r="C20" s="1" t="n">
        <v>45672</v>
      </c>
      <c r="D20" t="inlineStr">
        <is>
          <t>SKÅNE LÄN</t>
        </is>
      </c>
      <c r="E20" t="inlineStr">
        <is>
          <t>HÄSSLEHOLM</t>
        </is>
      </c>
      <c r="G20" t="n">
        <v>1.8</v>
      </c>
      <c r="H20" t="n">
        <v>1</v>
      </c>
      <c r="I20" t="n">
        <v>0</v>
      </c>
      <c r="J20" t="n">
        <v>0</v>
      </c>
      <c r="K20" t="n">
        <v>1</v>
      </c>
      <c r="L20" t="n">
        <v>0</v>
      </c>
      <c r="M20" t="n">
        <v>0</v>
      </c>
      <c r="N20" t="n">
        <v>0</v>
      </c>
      <c r="O20" t="n">
        <v>1</v>
      </c>
      <c r="P20" t="n">
        <v>1</v>
      </c>
      <c r="Q20" t="n">
        <v>1</v>
      </c>
      <c r="R20" s="2" t="inlineStr">
        <is>
          <t>Hedblomster</t>
        </is>
      </c>
      <c r="S20">
        <f>HYPERLINK("https://klasma.github.io/Logging_1293/artfynd/A 55656-2019 artfynd.xlsx", "A 55656-2019")</f>
        <v/>
      </c>
      <c r="T20">
        <f>HYPERLINK("https://klasma.github.io/Logging_1293/kartor/A 55656-2019 karta.png", "A 55656-2019")</f>
        <v/>
      </c>
      <c r="V20">
        <f>HYPERLINK("https://klasma.github.io/Logging_1293/klagomål/A 55656-2019 FSC-klagomål.docx", "A 55656-2019")</f>
        <v/>
      </c>
      <c r="W20">
        <f>HYPERLINK("https://klasma.github.io/Logging_1293/klagomålsmail/A 55656-2019 FSC-klagomål mail.docx", "A 55656-2019")</f>
        <v/>
      </c>
      <c r="X20">
        <f>HYPERLINK("https://klasma.github.io/Logging_1293/tillsyn/A 55656-2019 tillsynsbegäran.docx", "A 55656-2019")</f>
        <v/>
      </c>
      <c r="Y20">
        <f>HYPERLINK("https://klasma.github.io/Logging_1293/tillsynsmail/A 55656-2019 tillsynsbegäran mail.docx", "A 55656-2019")</f>
        <v/>
      </c>
    </row>
    <row r="21" ht="15" customHeight="1">
      <c r="A21" t="inlineStr">
        <is>
          <t>A 57275-2019</t>
        </is>
      </c>
      <c r="B21" s="1" t="n">
        <v>43760</v>
      </c>
      <c r="C21" s="1" t="n">
        <v>45672</v>
      </c>
      <c r="D21" t="inlineStr">
        <is>
          <t>SKÅNE LÄN</t>
        </is>
      </c>
      <c r="E21" t="inlineStr">
        <is>
          <t>HÄSSLEHOLM</t>
        </is>
      </c>
      <c r="G21" t="n">
        <v>0.6</v>
      </c>
      <c r="H21" t="n">
        <v>0</v>
      </c>
      <c r="I21" t="n">
        <v>0</v>
      </c>
      <c r="J21" t="n">
        <v>0</v>
      </c>
      <c r="K21" t="n">
        <v>1</v>
      </c>
      <c r="L21" t="n">
        <v>0</v>
      </c>
      <c r="M21" t="n">
        <v>0</v>
      </c>
      <c r="N21" t="n">
        <v>0</v>
      </c>
      <c r="O21" t="n">
        <v>1</v>
      </c>
      <c r="P21" t="n">
        <v>1</v>
      </c>
      <c r="Q21" t="n">
        <v>1</v>
      </c>
      <c r="R21" s="2" t="inlineStr">
        <is>
          <t>Småvänderot</t>
        </is>
      </c>
      <c r="S21">
        <f>HYPERLINK("https://klasma.github.io/Logging_1293/artfynd/A 57275-2019 artfynd.xlsx", "A 57275-2019")</f>
        <v/>
      </c>
      <c r="T21">
        <f>HYPERLINK("https://klasma.github.io/Logging_1293/kartor/A 57275-2019 karta.png", "A 57275-2019")</f>
        <v/>
      </c>
      <c r="V21">
        <f>HYPERLINK("https://klasma.github.io/Logging_1293/klagomål/A 57275-2019 FSC-klagomål.docx", "A 57275-2019")</f>
        <v/>
      </c>
      <c r="W21">
        <f>HYPERLINK("https://klasma.github.io/Logging_1293/klagomålsmail/A 57275-2019 FSC-klagomål mail.docx", "A 57275-2019")</f>
        <v/>
      </c>
      <c r="X21">
        <f>HYPERLINK("https://klasma.github.io/Logging_1293/tillsyn/A 57275-2019 tillsynsbegäran.docx", "A 57275-2019")</f>
        <v/>
      </c>
      <c r="Y21">
        <f>HYPERLINK("https://klasma.github.io/Logging_1293/tillsynsmail/A 57275-2019 tillsynsbegäran mail.docx", "A 57275-2019")</f>
        <v/>
      </c>
    </row>
    <row r="22" ht="15" customHeight="1">
      <c r="A22" t="inlineStr">
        <is>
          <t>A 2738-2020</t>
        </is>
      </c>
      <c r="B22" s="1" t="n">
        <v>43843</v>
      </c>
      <c r="C22" s="1" t="n">
        <v>45672</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2738-2020 artfynd.xlsx", "A 2738-2020")</f>
        <v/>
      </c>
      <c r="T22">
        <f>HYPERLINK("https://klasma.github.io/Logging_1293/kartor/A 2738-2020 karta.png", "A 2738-2020")</f>
        <v/>
      </c>
      <c r="V22">
        <f>HYPERLINK("https://klasma.github.io/Logging_1293/klagomål/A 2738-2020 FSC-klagomål.docx", "A 2738-2020")</f>
        <v/>
      </c>
      <c r="W22">
        <f>HYPERLINK("https://klasma.github.io/Logging_1293/klagomålsmail/A 2738-2020 FSC-klagomål mail.docx", "A 2738-2020")</f>
        <v/>
      </c>
      <c r="X22">
        <f>HYPERLINK("https://klasma.github.io/Logging_1293/tillsyn/A 2738-2020 tillsynsbegäran.docx", "A 2738-2020")</f>
        <v/>
      </c>
      <c r="Y22">
        <f>HYPERLINK("https://klasma.github.io/Logging_1293/tillsynsmail/A 2738-2020 tillsynsbegäran mail.docx", "A 2738-2020")</f>
        <v/>
      </c>
    </row>
    <row r="23" ht="15" customHeight="1">
      <c r="A23" t="inlineStr">
        <is>
          <t>A 15862-2020</t>
        </is>
      </c>
      <c r="B23" s="1" t="n">
        <v>43910</v>
      </c>
      <c r="C23" s="1" t="n">
        <v>45672</v>
      </c>
      <c r="D23" t="inlineStr">
        <is>
          <t>SKÅNE LÄN</t>
        </is>
      </c>
      <c r="E23" t="inlineStr">
        <is>
          <t>HÄSSLEHOLM</t>
        </is>
      </c>
      <c r="G23" t="n">
        <v>10.3</v>
      </c>
      <c r="H23" t="n">
        <v>0</v>
      </c>
      <c r="I23" t="n">
        <v>0</v>
      </c>
      <c r="J23" t="n">
        <v>1</v>
      </c>
      <c r="K23" t="n">
        <v>0</v>
      </c>
      <c r="L23" t="n">
        <v>0</v>
      </c>
      <c r="M23" t="n">
        <v>0</v>
      </c>
      <c r="N23" t="n">
        <v>0</v>
      </c>
      <c r="O23" t="n">
        <v>1</v>
      </c>
      <c r="P23" t="n">
        <v>0</v>
      </c>
      <c r="Q23" t="n">
        <v>1</v>
      </c>
      <c r="R23" s="2" t="inlineStr">
        <is>
          <t>Sydlig sotticka</t>
        </is>
      </c>
      <c r="S23">
        <f>HYPERLINK("https://klasma.github.io/Logging_1293/artfynd/A 15862-2020 artfynd.xlsx", "A 15862-2020")</f>
        <v/>
      </c>
      <c r="T23">
        <f>HYPERLINK("https://klasma.github.io/Logging_1293/kartor/A 15862-2020 karta.png", "A 15862-2020")</f>
        <v/>
      </c>
      <c r="V23">
        <f>HYPERLINK("https://klasma.github.io/Logging_1293/klagomål/A 15862-2020 FSC-klagomål.docx", "A 15862-2020")</f>
        <v/>
      </c>
      <c r="W23">
        <f>HYPERLINK("https://klasma.github.io/Logging_1293/klagomålsmail/A 15862-2020 FSC-klagomål mail.docx", "A 15862-2020")</f>
        <v/>
      </c>
      <c r="X23">
        <f>HYPERLINK("https://klasma.github.io/Logging_1293/tillsyn/A 15862-2020 tillsynsbegäran.docx", "A 15862-2020")</f>
        <v/>
      </c>
      <c r="Y23">
        <f>HYPERLINK("https://klasma.github.io/Logging_1293/tillsynsmail/A 15862-2020 tillsynsbegäran mail.docx", "A 15862-2020")</f>
        <v/>
      </c>
    </row>
    <row r="24" ht="15" customHeight="1">
      <c r="A24" t="inlineStr">
        <is>
          <t>A 62434-2020</t>
        </is>
      </c>
      <c r="B24" s="1" t="n">
        <v>44159</v>
      </c>
      <c r="C24" s="1" t="n">
        <v>45672</v>
      </c>
      <c r="D24" t="inlineStr">
        <is>
          <t>SKÅNE LÄN</t>
        </is>
      </c>
      <c r="E24" t="inlineStr">
        <is>
          <t>HÄSSLEHOLM</t>
        </is>
      </c>
      <c r="G24" t="n">
        <v>2</v>
      </c>
      <c r="H24" t="n">
        <v>0</v>
      </c>
      <c r="I24" t="n">
        <v>0</v>
      </c>
      <c r="J24" t="n">
        <v>1</v>
      </c>
      <c r="K24" t="n">
        <v>0</v>
      </c>
      <c r="L24" t="n">
        <v>0</v>
      </c>
      <c r="M24" t="n">
        <v>0</v>
      </c>
      <c r="N24" t="n">
        <v>0</v>
      </c>
      <c r="O24" t="n">
        <v>1</v>
      </c>
      <c r="P24" t="n">
        <v>0</v>
      </c>
      <c r="Q24" t="n">
        <v>1</v>
      </c>
      <c r="R24" s="2" t="inlineStr">
        <is>
          <t>Borsttåg</t>
        </is>
      </c>
      <c r="S24">
        <f>HYPERLINK("https://klasma.github.io/Logging_1293/artfynd/A 62434-2020 artfynd.xlsx", "A 62434-2020")</f>
        <v/>
      </c>
      <c r="T24">
        <f>HYPERLINK("https://klasma.github.io/Logging_1293/kartor/A 62434-2020 karta.png", "A 62434-2020")</f>
        <v/>
      </c>
      <c r="V24">
        <f>HYPERLINK("https://klasma.github.io/Logging_1293/klagomål/A 62434-2020 FSC-klagomål.docx", "A 62434-2020")</f>
        <v/>
      </c>
      <c r="W24">
        <f>HYPERLINK("https://klasma.github.io/Logging_1293/klagomålsmail/A 62434-2020 FSC-klagomål mail.docx", "A 62434-2020")</f>
        <v/>
      </c>
      <c r="X24">
        <f>HYPERLINK("https://klasma.github.io/Logging_1293/tillsyn/A 62434-2020 tillsynsbegäran.docx", "A 62434-2020")</f>
        <v/>
      </c>
      <c r="Y24">
        <f>HYPERLINK("https://klasma.github.io/Logging_1293/tillsynsmail/A 62434-2020 tillsynsbegäran mail.docx", "A 62434-2020")</f>
        <v/>
      </c>
    </row>
    <row r="25" ht="15" customHeight="1">
      <c r="A25" t="inlineStr">
        <is>
          <t>A 44705-2021</t>
        </is>
      </c>
      <c r="B25" s="1" t="n">
        <v>44438</v>
      </c>
      <c r="C25" s="1" t="n">
        <v>45672</v>
      </c>
      <c r="D25" t="inlineStr">
        <is>
          <t>SKÅNE LÄN</t>
        </is>
      </c>
      <c r="E25" t="inlineStr">
        <is>
          <t>HÄSSLEHOLM</t>
        </is>
      </c>
      <c r="G25" t="n">
        <v>1.7</v>
      </c>
      <c r="H25" t="n">
        <v>0</v>
      </c>
      <c r="I25" t="n">
        <v>1</v>
      </c>
      <c r="J25" t="n">
        <v>0</v>
      </c>
      <c r="K25" t="n">
        <v>0</v>
      </c>
      <c r="L25" t="n">
        <v>0</v>
      </c>
      <c r="M25" t="n">
        <v>0</v>
      </c>
      <c r="N25" t="n">
        <v>0</v>
      </c>
      <c r="O25" t="n">
        <v>0</v>
      </c>
      <c r="P25" t="n">
        <v>0</v>
      </c>
      <c r="Q25" t="n">
        <v>1</v>
      </c>
      <c r="R25" s="2" t="inlineStr">
        <is>
          <t>Blåmossa</t>
        </is>
      </c>
      <c r="S25">
        <f>HYPERLINK("https://klasma.github.io/Logging_1293/artfynd/A 44705-2021 artfynd.xlsx", "A 44705-2021")</f>
        <v/>
      </c>
      <c r="T25">
        <f>HYPERLINK("https://klasma.github.io/Logging_1293/kartor/A 44705-2021 karta.png", "A 44705-2021")</f>
        <v/>
      </c>
      <c r="V25">
        <f>HYPERLINK("https://klasma.github.io/Logging_1293/klagomål/A 44705-2021 FSC-klagomål.docx", "A 44705-2021")</f>
        <v/>
      </c>
      <c r="W25">
        <f>HYPERLINK("https://klasma.github.io/Logging_1293/klagomålsmail/A 44705-2021 FSC-klagomål mail.docx", "A 44705-2021")</f>
        <v/>
      </c>
      <c r="X25">
        <f>HYPERLINK("https://klasma.github.io/Logging_1293/tillsyn/A 44705-2021 tillsynsbegäran.docx", "A 44705-2021")</f>
        <v/>
      </c>
      <c r="Y25">
        <f>HYPERLINK("https://klasma.github.io/Logging_1293/tillsynsmail/A 44705-2021 tillsynsbegäran mail.docx", "A 44705-2021")</f>
        <v/>
      </c>
    </row>
    <row r="26" ht="15" customHeight="1">
      <c r="A26" t="inlineStr">
        <is>
          <t>A 6350-2022</t>
        </is>
      </c>
      <c r="B26" s="1" t="n">
        <v>44600</v>
      </c>
      <c r="C26" s="1" t="n">
        <v>45672</v>
      </c>
      <c r="D26" t="inlineStr">
        <is>
          <t>SKÅNE LÄN</t>
        </is>
      </c>
      <c r="E26" t="inlineStr">
        <is>
          <t>HÄSSLEHOLM</t>
        </is>
      </c>
      <c r="G26" t="n">
        <v>6.1</v>
      </c>
      <c r="H26" t="n">
        <v>1</v>
      </c>
      <c r="I26" t="n">
        <v>1</v>
      </c>
      <c r="J26" t="n">
        <v>0</v>
      </c>
      <c r="K26" t="n">
        <v>0</v>
      </c>
      <c r="L26" t="n">
        <v>0</v>
      </c>
      <c r="M26" t="n">
        <v>0</v>
      </c>
      <c r="N26" t="n">
        <v>0</v>
      </c>
      <c r="O26" t="n">
        <v>0</v>
      </c>
      <c r="P26" t="n">
        <v>0</v>
      </c>
      <c r="Q26" t="n">
        <v>1</v>
      </c>
      <c r="R26" s="2" t="inlineStr">
        <is>
          <t>Skogsknipprot</t>
        </is>
      </c>
      <c r="S26">
        <f>HYPERLINK("https://klasma.github.io/Logging_1293/artfynd/A 6350-2022 artfynd.xlsx", "A 6350-2022")</f>
        <v/>
      </c>
      <c r="T26">
        <f>HYPERLINK("https://klasma.github.io/Logging_1293/kartor/A 6350-2022 karta.png", "A 6350-2022")</f>
        <v/>
      </c>
      <c r="V26">
        <f>HYPERLINK("https://klasma.github.io/Logging_1293/klagomål/A 6350-2022 FSC-klagomål.docx", "A 6350-2022")</f>
        <v/>
      </c>
      <c r="W26">
        <f>HYPERLINK("https://klasma.github.io/Logging_1293/klagomålsmail/A 6350-2022 FSC-klagomål mail.docx", "A 6350-2022")</f>
        <v/>
      </c>
      <c r="X26">
        <f>HYPERLINK("https://klasma.github.io/Logging_1293/tillsyn/A 6350-2022 tillsynsbegäran.docx", "A 6350-2022")</f>
        <v/>
      </c>
      <c r="Y26">
        <f>HYPERLINK("https://klasma.github.io/Logging_1293/tillsynsmail/A 6350-2022 tillsynsbegäran mail.docx", "A 6350-2022")</f>
        <v/>
      </c>
    </row>
    <row r="27" ht="15" customHeight="1">
      <c r="A27" t="inlineStr">
        <is>
          <t>A 13705-2022</t>
        </is>
      </c>
      <c r="B27" s="1" t="n">
        <v>44648</v>
      </c>
      <c r="C27" s="1" t="n">
        <v>45672</v>
      </c>
      <c r="D27" t="inlineStr">
        <is>
          <t>SKÅNE LÄN</t>
        </is>
      </c>
      <c r="E27" t="inlineStr">
        <is>
          <t>HÄSSLEHOLM</t>
        </is>
      </c>
      <c r="G27" t="n">
        <v>1.5</v>
      </c>
      <c r="H27" t="n">
        <v>1</v>
      </c>
      <c r="I27" t="n">
        <v>0</v>
      </c>
      <c r="J27" t="n">
        <v>0</v>
      </c>
      <c r="K27" t="n">
        <v>0</v>
      </c>
      <c r="L27" t="n">
        <v>0</v>
      </c>
      <c r="M27" t="n">
        <v>0</v>
      </c>
      <c r="N27" t="n">
        <v>0</v>
      </c>
      <c r="O27" t="n">
        <v>0</v>
      </c>
      <c r="P27" t="n">
        <v>0</v>
      </c>
      <c r="Q27" t="n">
        <v>1</v>
      </c>
      <c r="R27" s="2" t="inlineStr">
        <is>
          <t>Grönvit nattviol</t>
        </is>
      </c>
      <c r="S27">
        <f>HYPERLINK("https://klasma.github.io/Logging_1293/artfynd/A 13705-2022 artfynd.xlsx", "A 13705-2022")</f>
        <v/>
      </c>
      <c r="T27">
        <f>HYPERLINK("https://klasma.github.io/Logging_1293/kartor/A 13705-2022 karta.png", "A 13705-2022")</f>
        <v/>
      </c>
      <c r="V27">
        <f>HYPERLINK("https://klasma.github.io/Logging_1293/klagomål/A 13705-2022 FSC-klagomål.docx", "A 13705-2022")</f>
        <v/>
      </c>
      <c r="W27">
        <f>HYPERLINK("https://klasma.github.io/Logging_1293/klagomålsmail/A 13705-2022 FSC-klagomål mail.docx", "A 13705-2022")</f>
        <v/>
      </c>
      <c r="X27">
        <f>HYPERLINK("https://klasma.github.io/Logging_1293/tillsyn/A 13705-2022 tillsynsbegäran.docx", "A 13705-2022")</f>
        <v/>
      </c>
      <c r="Y27">
        <f>HYPERLINK("https://klasma.github.io/Logging_1293/tillsynsmail/A 13705-2022 tillsynsbegäran mail.docx", "A 13705-2022")</f>
        <v/>
      </c>
    </row>
    <row r="28" ht="15" customHeight="1">
      <c r="A28" t="inlineStr">
        <is>
          <t>A 27958-2022</t>
        </is>
      </c>
      <c r="B28" s="1" t="n">
        <v>44744</v>
      </c>
      <c r="C28" s="1" t="n">
        <v>45672</v>
      </c>
      <c r="D28" t="inlineStr">
        <is>
          <t>SKÅNE LÄN</t>
        </is>
      </c>
      <c r="E28" t="inlineStr">
        <is>
          <t>HÄSSLEHOLM</t>
        </is>
      </c>
      <c r="G28" t="n">
        <v>3.9</v>
      </c>
      <c r="H28" t="n">
        <v>0</v>
      </c>
      <c r="I28" t="n">
        <v>1</v>
      </c>
      <c r="J28" t="n">
        <v>0</v>
      </c>
      <c r="K28" t="n">
        <v>0</v>
      </c>
      <c r="L28" t="n">
        <v>0</v>
      </c>
      <c r="M28" t="n">
        <v>0</v>
      </c>
      <c r="N28" t="n">
        <v>0</v>
      </c>
      <c r="O28" t="n">
        <v>0</v>
      </c>
      <c r="P28" t="n">
        <v>0</v>
      </c>
      <c r="Q28" t="n">
        <v>1</v>
      </c>
      <c r="R28" s="2" t="inlineStr">
        <is>
          <t>Myskmadra</t>
        </is>
      </c>
      <c r="S28">
        <f>HYPERLINK("https://klasma.github.io/Logging_1293/artfynd/A 27958-2022 artfynd.xlsx", "A 27958-2022")</f>
        <v/>
      </c>
      <c r="T28">
        <f>HYPERLINK("https://klasma.github.io/Logging_1293/kartor/A 27958-2022 karta.png", "A 27958-2022")</f>
        <v/>
      </c>
      <c r="V28">
        <f>HYPERLINK("https://klasma.github.io/Logging_1293/klagomål/A 27958-2022 FSC-klagomål.docx", "A 27958-2022")</f>
        <v/>
      </c>
      <c r="W28">
        <f>HYPERLINK("https://klasma.github.io/Logging_1293/klagomålsmail/A 27958-2022 FSC-klagomål mail.docx", "A 27958-2022")</f>
        <v/>
      </c>
      <c r="X28">
        <f>HYPERLINK("https://klasma.github.io/Logging_1293/tillsyn/A 27958-2022 tillsynsbegäran.docx", "A 27958-2022")</f>
        <v/>
      </c>
      <c r="Y28">
        <f>HYPERLINK("https://klasma.github.io/Logging_1293/tillsynsmail/A 27958-2022 tillsynsbegäran mail.docx", "A 27958-2022")</f>
        <v/>
      </c>
    </row>
    <row r="29" ht="15" customHeight="1">
      <c r="A29" t="inlineStr">
        <is>
          <t>A 39733-2022</t>
        </is>
      </c>
      <c r="B29" s="1" t="n">
        <v>44819</v>
      </c>
      <c r="C29" s="1" t="n">
        <v>45672</v>
      </c>
      <c r="D29" t="inlineStr">
        <is>
          <t>SKÅNE LÄN</t>
        </is>
      </c>
      <c r="E29" t="inlineStr">
        <is>
          <t>HÄSSLEHOLM</t>
        </is>
      </c>
      <c r="G29" t="n">
        <v>1.9</v>
      </c>
      <c r="H29" t="n">
        <v>1</v>
      </c>
      <c r="I29" t="n">
        <v>0</v>
      </c>
      <c r="J29" t="n">
        <v>1</v>
      </c>
      <c r="K29" t="n">
        <v>0</v>
      </c>
      <c r="L29" t="n">
        <v>0</v>
      </c>
      <c r="M29" t="n">
        <v>0</v>
      </c>
      <c r="N29" t="n">
        <v>0</v>
      </c>
      <c r="O29" t="n">
        <v>1</v>
      </c>
      <c r="P29" t="n">
        <v>0</v>
      </c>
      <c r="Q29" t="n">
        <v>1</v>
      </c>
      <c r="R29" s="2" t="inlineStr">
        <is>
          <t>Spillkråka</t>
        </is>
      </c>
      <c r="S29">
        <f>HYPERLINK("https://klasma.github.io/Logging_1293/artfynd/A 39733-2022 artfynd.xlsx", "A 39733-2022")</f>
        <v/>
      </c>
      <c r="T29">
        <f>HYPERLINK("https://klasma.github.io/Logging_1293/kartor/A 39733-2022 karta.png", "A 39733-2022")</f>
        <v/>
      </c>
      <c r="V29">
        <f>HYPERLINK("https://klasma.github.io/Logging_1293/klagomål/A 39733-2022 FSC-klagomål.docx", "A 39733-2022")</f>
        <v/>
      </c>
      <c r="W29">
        <f>HYPERLINK("https://klasma.github.io/Logging_1293/klagomålsmail/A 39733-2022 FSC-klagomål mail.docx", "A 39733-2022")</f>
        <v/>
      </c>
      <c r="X29">
        <f>HYPERLINK("https://klasma.github.io/Logging_1293/tillsyn/A 39733-2022 tillsynsbegäran.docx", "A 39733-2022")</f>
        <v/>
      </c>
      <c r="Y29">
        <f>HYPERLINK("https://klasma.github.io/Logging_1293/tillsynsmail/A 39733-2022 tillsynsbegäran mail.docx", "A 39733-2022")</f>
        <v/>
      </c>
      <c r="Z29">
        <f>HYPERLINK("https://klasma.github.io/Logging_1293/fåglar/A 39733-2022 prioriterade fågelarter.docx", "A 39733-2022")</f>
        <v/>
      </c>
    </row>
    <row r="30" ht="15" customHeight="1">
      <c r="A30" t="inlineStr">
        <is>
          <t>A 49572-2022</t>
        </is>
      </c>
      <c r="B30" s="1" t="n">
        <v>44862</v>
      </c>
      <c r="C30" s="1" t="n">
        <v>45672</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45672</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29272-2023</t>
        </is>
      </c>
      <c r="B32" s="1" t="n">
        <v>45105</v>
      </c>
      <c r="C32" s="1" t="n">
        <v>45672</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46602-2023</t>
        </is>
      </c>
      <c r="B33" s="1" t="n">
        <v>45194</v>
      </c>
      <c r="C33" s="1" t="n">
        <v>45672</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6634-2024</t>
        </is>
      </c>
      <c r="B34" s="1" t="n">
        <v>45341</v>
      </c>
      <c r="C34" s="1" t="n">
        <v>45672</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7862-2024</t>
        </is>
      </c>
      <c r="B35" s="1" t="n">
        <v>45348</v>
      </c>
      <c r="C35" s="1" t="n">
        <v>45672</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11226-2024</t>
        </is>
      </c>
      <c r="B36" s="1" t="n">
        <v>45371</v>
      </c>
      <c r="C36" s="1" t="n">
        <v>45672</v>
      </c>
      <c r="D36" t="inlineStr">
        <is>
          <t>SKÅNE LÄN</t>
        </is>
      </c>
      <c r="E36" t="inlineStr">
        <is>
          <t>HÄSSLEHOLM</t>
        </is>
      </c>
      <c r="G36" t="n">
        <v>1.5</v>
      </c>
      <c r="H36" t="n">
        <v>0</v>
      </c>
      <c r="I36" t="n">
        <v>0</v>
      </c>
      <c r="J36" t="n">
        <v>0</v>
      </c>
      <c r="K36" t="n">
        <v>1</v>
      </c>
      <c r="L36" t="n">
        <v>0</v>
      </c>
      <c r="M36" t="n">
        <v>0</v>
      </c>
      <c r="N36" t="n">
        <v>0</v>
      </c>
      <c r="O36" t="n">
        <v>1</v>
      </c>
      <c r="P36" t="n">
        <v>1</v>
      </c>
      <c r="Q36" t="n">
        <v>1</v>
      </c>
      <c r="R36" s="2" t="inlineStr">
        <is>
          <t>Småvänderot</t>
        </is>
      </c>
      <c r="S36">
        <f>HYPERLINK("https://klasma.github.io/Logging_1293/artfynd/A 11226-2024 artfynd.xlsx", "A 11226-2024")</f>
        <v/>
      </c>
      <c r="T36">
        <f>HYPERLINK("https://klasma.github.io/Logging_1293/kartor/A 11226-2024 karta.png", "A 11226-2024")</f>
        <v/>
      </c>
      <c r="V36">
        <f>HYPERLINK("https://klasma.github.io/Logging_1293/klagomål/A 11226-2024 FSC-klagomål.docx", "A 11226-2024")</f>
        <v/>
      </c>
      <c r="W36">
        <f>HYPERLINK("https://klasma.github.io/Logging_1293/klagomålsmail/A 11226-2024 FSC-klagomål mail.docx", "A 11226-2024")</f>
        <v/>
      </c>
      <c r="X36">
        <f>HYPERLINK("https://klasma.github.io/Logging_1293/tillsyn/A 11226-2024 tillsynsbegäran.docx", "A 11226-2024")</f>
        <v/>
      </c>
      <c r="Y36">
        <f>HYPERLINK("https://klasma.github.io/Logging_1293/tillsynsmail/A 11226-2024 tillsynsbegäran mail.docx", "A 11226-2024")</f>
        <v/>
      </c>
    </row>
    <row r="37" ht="15" customHeight="1">
      <c r="A37" t="inlineStr">
        <is>
          <t>A 20679-2024</t>
        </is>
      </c>
      <c r="B37" s="1" t="n">
        <v>45436</v>
      </c>
      <c r="C37" s="1" t="n">
        <v>45672</v>
      </c>
      <c r="D37" t="inlineStr">
        <is>
          <t>SKÅNE LÄN</t>
        </is>
      </c>
      <c r="E37" t="inlineStr">
        <is>
          <t>HÄSSLEHOLM</t>
        </is>
      </c>
      <c r="G37" t="n">
        <v>1.1</v>
      </c>
      <c r="H37" t="n">
        <v>0</v>
      </c>
      <c r="I37" t="n">
        <v>1</v>
      </c>
      <c r="J37" t="n">
        <v>0</v>
      </c>
      <c r="K37" t="n">
        <v>0</v>
      </c>
      <c r="L37" t="n">
        <v>0</v>
      </c>
      <c r="M37" t="n">
        <v>0</v>
      </c>
      <c r="N37" t="n">
        <v>0</v>
      </c>
      <c r="O37" t="n">
        <v>0</v>
      </c>
      <c r="P37" t="n">
        <v>0</v>
      </c>
      <c r="Q37" t="n">
        <v>1</v>
      </c>
      <c r="R37" s="2" t="inlineStr">
        <is>
          <t>Blodticka</t>
        </is>
      </c>
      <c r="S37">
        <f>HYPERLINK("https://klasma.github.io/Logging_1293/artfynd/A 20679-2024 artfynd.xlsx", "A 20679-2024")</f>
        <v/>
      </c>
      <c r="T37">
        <f>HYPERLINK("https://klasma.github.io/Logging_1293/kartor/A 20679-2024 karta.png", "A 20679-2024")</f>
        <v/>
      </c>
      <c r="V37">
        <f>HYPERLINK("https://klasma.github.io/Logging_1293/klagomål/A 20679-2024 FSC-klagomål.docx", "A 20679-2024")</f>
        <v/>
      </c>
      <c r="W37">
        <f>HYPERLINK("https://klasma.github.io/Logging_1293/klagomålsmail/A 20679-2024 FSC-klagomål mail.docx", "A 20679-2024")</f>
        <v/>
      </c>
      <c r="X37">
        <f>HYPERLINK("https://klasma.github.io/Logging_1293/tillsyn/A 20679-2024 tillsynsbegäran.docx", "A 20679-2024")</f>
        <v/>
      </c>
      <c r="Y37">
        <f>HYPERLINK("https://klasma.github.io/Logging_1293/tillsynsmail/A 20679-2024 tillsynsbegäran mail.docx", "A 20679-2024")</f>
        <v/>
      </c>
    </row>
    <row r="38" ht="15" customHeight="1">
      <c r="A38" t="inlineStr">
        <is>
          <t>A 54523-2024</t>
        </is>
      </c>
      <c r="B38" s="1" t="n">
        <v>45617</v>
      </c>
      <c r="C38" s="1" t="n">
        <v>45672</v>
      </c>
      <c r="D38" t="inlineStr">
        <is>
          <t>SKÅNE LÄN</t>
        </is>
      </c>
      <c r="E38" t="inlineStr">
        <is>
          <t>HÄSSLEHOLM</t>
        </is>
      </c>
      <c r="G38" t="n">
        <v>4.5</v>
      </c>
      <c r="H38" t="n">
        <v>1</v>
      </c>
      <c r="I38" t="n">
        <v>0</v>
      </c>
      <c r="J38" t="n">
        <v>0</v>
      </c>
      <c r="K38" t="n">
        <v>0</v>
      </c>
      <c r="L38" t="n">
        <v>0</v>
      </c>
      <c r="M38" t="n">
        <v>0</v>
      </c>
      <c r="N38" t="n">
        <v>0</v>
      </c>
      <c r="O38" t="n">
        <v>0</v>
      </c>
      <c r="P38" t="n">
        <v>0</v>
      </c>
      <c r="Q38" t="n">
        <v>1</v>
      </c>
      <c r="R38" s="2" t="inlineStr">
        <is>
          <t>Grönvit nattviol</t>
        </is>
      </c>
      <c r="S38">
        <f>HYPERLINK("https://klasma.github.io/Logging_1293/artfynd/A 54523-2024 artfynd.xlsx", "A 54523-2024")</f>
        <v/>
      </c>
      <c r="T38">
        <f>HYPERLINK("https://klasma.github.io/Logging_1293/kartor/A 54523-2024 karta.png", "A 54523-2024")</f>
        <v/>
      </c>
      <c r="V38">
        <f>HYPERLINK("https://klasma.github.io/Logging_1293/klagomål/A 54523-2024 FSC-klagomål.docx", "A 54523-2024")</f>
        <v/>
      </c>
      <c r="W38">
        <f>HYPERLINK("https://klasma.github.io/Logging_1293/klagomålsmail/A 54523-2024 FSC-klagomål mail.docx", "A 54523-2024")</f>
        <v/>
      </c>
      <c r="X38">
        <f>HYPERLINK("https://klasma.github.io/Logging_1293/tillsyn/A 54523-2024 tillsynsbegäran.docx", "A 54523-2024")</f>
        <v/>
      </c>
      <c r="Y38">
        <f>HYPERLINK("https://klasma.github.io/Logging_1293/tillsynsmail/A 54523-2024 tillsynsbegäran mail.docx", "A 54523-2024")</f>
        <v/>
      </c>
    </row>
    <row r="39" ht="15" customHeight="1">
      <c r="A39" t="inlineStr">
        <is>
          <t>A 60925-2024</t>
        </is>
      </c>
      <c r="B39" s="1" t="n">
        <v>45645</v>
      </c>
      <c r="C39" s="1" t="n">
        <v>45672</v>
      </c>
      <c r="D39" t="inlineStr">
        <is>
          <t>SKÅNE LÄN</t>
        </is>
      </c>
      <c r="E39" t="inlineStr">
        <is>
          <t>HÄSSLEHOLM</t>
        </is>
      </c>
      <c r="G39" t="n">
        <v>1.8</v>
      </c>
      <c r="H39" t="n">
        <v>0</v>
      </c>
      <c r="I39" t="n">
        <v>0</v>
      </c>
      <c r="J39" t="n">
        <v>0</v>
      </c>
      <c r="K39" t="n">
        <v>0</v>
      </c>
      <c r="L39" t="n">
        <v>1</v>
      </c>
      <c r="M39" t="n">
        <v>0</v>
      </c>
      <c r="N39" t="n">
        <v>0</v>
      </c>
      <c r="O39" t="n">
        <v>1</v>
      </c>
      <c r="P39" t="n">
        <v>1</v>
      </c>
      <c r="Q39" t="n">
        <v>1</v>
      </c>
      <c r="R39" s="2" t="inlineStr">
        <is>
          <t>Ask</t>
        </is>
      </c>
      <c r="S39">
        <f>HYPERLINK("https://klasma.github.io/Logging_1293/artfynd/A 60925-2024 artfynd.xlsx", "A 60925-2024")</f>
        <v/>
      </c>
      <c r="T39">
        <f>HYPERLINK("https://klasma.github.io/Logging_1293/kartor/A 60925-2024 karta.png", "A 60925-2024")</f>
        <v/>
      </c>
      <c r="V39">
        <f>HYPERLINK("https://klasma.github.io/Logging_1293/klagomål/A 60925-2024 FSC-klagomål.docx", "A 60925-2024")</f>
        <v/>
      </c>
      <c r="W39">
        <f>HYPERLINK("https://klasma.github.io/Logging_1293/klagomålsmail/A 60925-2024 FSC-klagomål mail.docx", "A 60925-2024")</f>
        <v/>
      </c>
      <c r="X39">
        <f>HYPERLINK("https://klasma.github.io/Logging_1293/tillsyn/A 60925-2024 tillsynsbegäran.docx", "A 60925-2024")</f>
        <v/>
      </c>
      <c r="Y39">
        <f>HYPERLINK("https://klasma.github.io/Logging_1293/tillsynsmail/A 60925-2024 tillsynsbegäran mail.docx", "A 60925-2024")</f>
        <v/>
      </c>
    </row>
    <row r="40" ht="15" customHeight="1">
      <c r="A40" t="inlineStr">
        <is>
          <t>A 61707-2024</t>
        </is>
      </c>
      <c r="B40" s="1" t="n">
        <v>45648</v>
      </c>
      <c r="C40" s="1" t="n">
        <v>45672</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18039-2019</t>
        </is>
      </c>
      <c r="B41" s="1" t="n">
        <v>43557</v>
      </c>
      <c r="C41" s="1" t="n">
        <v>45672</v>
      </c>
      <c r="D41" t="inlineStr">
        <is>
          <t>SKÅNE LÄN</t>
        </is>
      </c>
      <c r="E41" t="inlineStr">
        <is>
          <t>HÄSSLEHOLM</t>
        </is>
      </c>
      <c r="F41" t="inlineStr">
        <is>
          <t>Kommuner</t>
        </is>
      </c>
      <c r="G41" t="n">
        <v>4.5</v>
      </c>
      <c r="H41" t="n">
        <v>0</v>
      </c>
      <c r="I41" t="n">
        <v>0</v>
      </c>
      <c r="J41" t="n">
        <v>0</v>
      </c>
      <c r="K41" t="n">
        <v>0</v>
      </c>
      <c r="L41" t="n">
        <v>0</v>
      </c>
      <c r="M41" t="n">
        <v>0</v>
      </c>
      <c r="N41" t="n">
        <v>0</v>
      </c>
      <c r="O41" t="n">
        <v>0</v>
      </c>
      <c r="P41" t="n">
        <v>0</v>
      </c>
      <c r="Q41" t="n">
        <v>0</v>
      </c>
      <c r="R41" s="2" t="inlineStr"/>
    </row>
    <row r="42" ht="15" customHeight="1">
      <c r="A42" t="inlineStr">
        <is>
          <t>A 18984-2019</t>
        </is>
      </c>
      <c r="B42" s="1" t="n">
        <v>43563</v>
      </c>
      <c r="C42" s="1" t="n">
        <v>45672</v>
      </c>
      <c r="D42" t="inlineStr">
        <is>
          <t>SKÅNE LÄN</t>
        </is>
      </c>
      <c r="E42" t="inlineStr">
        <is>
          <t>HÄSSLEHOLM</t>
        </is>
      </c>
      <c r="F42" t="inlineStr">
        <is>
          <t>Kommuner</t>
        </is>
      </c>
      <c r="G42" t="n">
        <v>1</v>
      </c>
      <c r="H42" t="n">
        <v>0</v>
      </c>
      <c r="I42" t="n">
        <v>0</v>
      </c>
      <c r="J42" t="n">
        <v>0</v>
      </c>
      <c r="K42" t="n">
        <v>0</v>
      </c>
      <c r="L42" t="n">
        <v>0</v>
      </c>
      <c r="M42" t="n">
        <v>0</v>
      </c>
      <c r="N42" t="n">
        <v>0</v>
      </c>
      <c r="O42" t="n">
        <v>0</v>
      </c>
      <c r="P42" t="n">
        <v>0</v>
      </c>
      <c r="Q42" t="n">
        <v>0</v>
      </c>
      <c r="R42" s="2" t="inlineStr"/>
    </row>
    <row r="43" ht="15" customHeight="1">
      <c r="A43" t="inlineStr">
        <is>
          <t>A 18982-2019</t>
        </is>
      </c>
      <c r="B43" s="1" t="n">
        <v>43563</v>
      </c>
      <c r="C43" s="1" t="n">
        <v>45672</v>
      </c>
      <c r="D43" t="inlineStr">
        <is>
          <t>SKÅNE LÄN</t>
        </is>
      </c>
      <c r="E43" t="inlineStr">
        <is>
          <t>HÄSSLEHOLM</t>
        </is>
      </c>
      <c r="F43" t="inlineStr">
        <is>
          <t>Kommuner</t>
        </is>
      </c>
      <c r="G43" t="n">
        <v>1.8</v>
      </c>
      <c r="H43" t="n">
        <v>0</v>
      </c>
      <c r="I43" t="n">
        <v>0</v>
      </c>
      <c r="J43" t="n">
        <v>0</v>
      </c>
      <c r="K43" t="n">
        <v>0</v>
      </c>
      <c r="L43" t="n">
        <v>0</v>
      </c>
      <c r="M43" t="n">
        <v>0</v>
      </c>
      <c r="N43" t="n">
        <v>0</v>
      </c>
      <c r="O43" t="n">
        <v>0</v>
      </c>
      <c r="P43" t="n">
        <v>0</v>
      </c>
      <c r="Q43" t="n">
        <v>0</v>
      </c>
      <c r="R43" s="2" t="inlineStr"/>
    </row>
    <row r="44" ht="15" customHeight="1">
      <c r="A44" t="inlineStr">
        <is>
          <t>A 18911-2019</t>
        </is>
      </c>
      <c r="B44" s="1" t="n">
        <v>43563</v>
      </c>
      <c r="C44" s="1" t="n">
        <v>45672</v>
      </c>
      <c r="D44" t="inlineStr">
        <is>
          <t>SKÅNE LÄN</t>
        </is>
      </c>
      <c r="E44" t="inlineStr">
        <is>
          <t>HÄSSLEHOLM</t>
        </is>
      </c>
      <c r="G44" t="n">
        <v>2.1</v>
      </c>
      <c r="H44" t="n">
        <v>0</v>
      </c>
      <c r="I44" t="n">
        <v>0</v>
      </c>
      <c r="J44" t="n">
        <v>0</v>
      </c>
      <c r="K44" t="n">
        <v>0</v>
      </c>
      <c r="L44" t="n">
        <v>0</v>
      </c>
      <c r="M44" t="n">
        <v>0</v>
      </c>
      <c r="N44" t="n">
        <v>0</v>
      </c>
      <c r="O44" t="n">
        <v>0</v>
      </c>
      <c r="P44" t="n">
        <v>0</v>
      </c>
      <c r="Q44" t="n">
        <v>0</v>
      </c>
      <c r="R44" s="2" t="inlineStr"/>
    </row>
    <row r="45" ht="15" customHeight="1">
      <c r="A45" t="inlineStr">
        <is>
          <t>A 19473-2019</t>
        </is>
      </c>
      <c r="B45" s="1" t="n">
        <v>43565</v>
      </c>
      <c r="C45" s="1" t="n">
        <v>45672</v>
      </c>
      <c r="D45" t="inlineStr">
        <is>
          <t>SKÅNE LÄN</t>
        </is>
      </c>
      <c r="E45" t="inlineStr">
        <is>
          <t>HÄSSLEHOLM</t>
        </is>
      </c>
      <c r="G45" t="n">
        <v>1.5</v>
      </c>
      <c r="H45" t="n">
        <v>0</v>
      </c>
      <c r="I45" t="n">
        <v>0</v>
      </c>
      <c r="J45" t="n">
        <v>0</v>
      </c>
      <c r="K45" t="n">
        <v>0</v>
      </c>
      <c r="L45" t="n">
        <v>0</v>
      </c>
      <c r="M45" t="n">
        <v>0</v>
      </c>
      <c r="N45" t="n">
        <v>0</v>
      </c>
      <c r="O45" t="n">
        <v>0</v>
      </c>
      <c r="P45" t="n">
        <v>0</v>
      </c>
      <c r="Q45" t="n">
        <v>0</v>
      </c>
      <c r="R45" s="2" t="inlineStr"/>
    </row>
    <row r="46" ht="15" customHeight="1">
      <c r="A46" t="inlineStr">
        <is>
          <t>A 20765-2019</t>
        </is>
      </c>
      <c r="B46" s="1" t="n">
        <v>43573</v>
      </c>
      <c r="C46" s="1" t="n">
        <v>45672</v>
      </c>
      <c r="D46" t="inlineStr">
        <is>
          <t>SKÅNE LÄN</t>
        </is>
      </c>
      <c r="E46" t="inlineStr">
        <is>
          <t>HÄSSLEHOLM</t>
        </is>
      </c>
      <c r="G46" t="n">
        <v>0.7</v>
      </c>
      <c r="H46" t="n">
        <v>0</v>
      </c>
      <c r="I46" t="n">
        <v>0</v>
      </c>
      <c r="J46" t="n">
        <v>0</v>
      </c>
      <c r="K46" t="n">
        <v>0</v>
      </c>
      <c r="L46" t="n">
        <v>0</v>
      </c>
      <c r="M46" t="n">
        <v>0</v>
      </c>
      <c r="N46" t="n">
        <v>0</v>
      </c>
      <c r="O46" t="n">
        <v>0</v>
      </c>
      <c r="P46" t="n">
        <v>0</v>
      </c>
      <c r="Q46" t="n">
        <v>0</v>
      </c>
      <c r="R46" s="2" t="inlineStr"/>
    </row>
    <row r="47" ht="15" customHeight="1">
      <c r="A47" t="inlineStr">
        <is>
          <t>A 21534-2019</t>
        </is>
      </c>
      <c r="B47" s="1" t="n">
        <v>43580</v>
      </c>
      <c r="C47" s="1" t="n">
        <v>45672</v>
      </c>
      <c r="D47" t="inlineStr">
        <is>
          <t>SKÅNE LÄN</t>
        </is>
      </c>
      <c r="E47" t="inlineStr">
        <is>
          <t>HÄSSLEHOLM</t>
        </is>
      </c>
      <c r="G47" t="n">
        <v>1.6</v>
      </c>
      <c r="H47" t="n">
        <v>0</v>
      </c>
      <c r="I47" t="n">
        <v>0</v>
      </c>
      <c r="J47" t="n">
        <v>0</v>
      </c>
      <c r="K47" t="n">
        <v>0</v>
      </c>
      <c r="L47" t="n">
        <v>0</v>
      </c>
      <c r="M47" t="n">
        <v>0</v>
      </c>
      <c r="N47" t="n">
        <v>0</v>
      </c>
      <c r="O47" t="n">
        <v>0</v>
      </c>
      <c r="P47" t="n">
        <v>0</v>
      </c>
      <c r="Q47" t="n">
        <v>0</v>
      </c>
      <c r="R47" s="2" t="inlineStr"/>
    </row>
    <row r="48" ht="15" customHeight="1">
      <c r="A48" t="inlineStr">
        <is>
          <t>A 21535-2019</t>
        </is>
      </c>
      <c r="B48" s="1" t="n">
        <v>43580</v>
      </c>
      <c r="C48" s="1" t="n">
        <v>45672</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21976-2019</t>
        </is>
      </c>
      <c r="B49" s="1" t="n">
        <v>43584</v>
      </c>
      <c r="C49" s="1" t="n">
        <v>45672</v>
      </c>
      <c r="D49" t="inlineStr">
        <is>
          <t>SKÅNE LÄN</t>
        </is>
      </c>
      <c r="E49" t="inlineStr">
        <is>
          <t>HÄSSLEHOLM</t>
        </is>
      </c>
      <c r="F49" t="inlineStr">
        <is>
          <t>Övriga Aktiebolag</t>
        </is>
      </c>
      <c r="G49" t="n">
        <v>1.9</v>
      </c>
      <c r="H49" t="n">
        <v>0</v>
      </c>
      <c r="I49" t="n">
        <v>0</v>
      </c>
      <c r="J49" t="n">
        <v>0</v>
      </c>
      <c r="K49" t="n">
        <v>0</v>
      </c>
      <c r="L49" t="n">
        <v>0</v>
      </c>
      <c r="M49" t="n">
        <v>0</v>
      </c>
      <c r="N49" t="n">
        <v>0</v>
      </c>
      <c r="O49" t="n">
        <v>0</v>
      </c>
      <c r="P49" t="n">
        <v>0</v>
      </c>
      <c r="Q49" t="n">
        <v>0</v>
      </c>
      <c r="R49" s="2" t="inlineStr"/>
    </row>
    <row r="50" ht="15" customHeight="1">
      <c r="A50" t="inlineStr">
        <is>
          <t>A 23006-2019</t>
        </is>
      </c>
      <c r="B50" s="1" t="n">
        <v>43591</v>
      </c>
      <c r="C50" s="1" t="n">
        <v>45672</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23505-2019</t>
        </is>
      </c>
      <c r="B51" s="1" t="n">
        <v>43593</v>
      </c>
      <c r="C51" s="1" t="n">
        <v>45672</v>
      </c>
      <c r="D51" t="inlineStr">
        <is>
          <t>SKÅNE LÄN</t>
        </is>
      </c>
      <c r="E51" t="inlineStr">
        <is>
          <t>HÄSSLEHOLM</t>
        </is>
      </c>
      <c r="F51" t="inlineStr">
        <is>
          <t>Kyrkan</t>
        </is>
      </c>
      <c r="G51" t="n">
        <v>1.2</v>
      </c>
      <c r="H51" t="n">
        <v>0</v>
      </c>
      <c r="I51" t="n">
        <v>0</v>
      </c>
      <c r="J51" t="n">
        <v>0</v>
      </c>
      <c r="K51" t="n">
        <v>0</v>
      </c>
      <c r="L51" t="n">
        <v>0</v>
      </c>
      <c r="M51" t="n">
        <v>0</v>
      </c>
      <c r="N51" t="n">
        <v>0</v>
      </c>
      <c r="O51" t="n">
        <v>0</v>
      </c>
      <c r="P51" t="n">
        <v>0</v>
      </c>
      <c r="Q51" t="n">
        <v>0</v>
      </c>
      <c r="R51" s="2" t="inlineStr"/>
    </row>
    <row r="52" ht="15" customHeight="1">
      <c r="A52" t="inlineStr">
        <is>
          <t>A 24187-2019</t>
        </is>
      </c>
      <c r="B52" s="1" t="n">
        <v>43599</v>
      </c>
      <c r="C52" s="1" t="n">
        <v>45672</v>
      </c>
      <c r="D52" t="inlineStr">
        <is>
          <t>SKÅNE LÄN</t>
        </is>
      </c>
      <c r="E52" t="inlineStr">
        <is>
          <t>HÄSSLEHOLM</t>
        </is>
      </c>
      <c r="G52" t="n">
        <v>2.3</v>
      </c>
      <c r="H52" t="n">
        <v>0</v>
      </c>
      <c r="I52" t="n">
        <v>0</v>
      </c>
      <c r="J52" t="n">
        <v>0</v>
      </c>
      <c r="K52" t="n">
        <v>0</v>
      </c>
      <c r="L52" t="n">
        <v>0</v>
      </c>
      <c r="M52" t="n">
        <v>0</v>
      </c>
      <c r="N52" t="n">
        <v>0</v>
      </c>
      <c r="O52" t="n">
        <v>0</v>
      </c>
      <c r="P52" t="n">
        <v>0</v>
      </c>
      <c r="Q52" t="n">
        <v>0</v>
      </c>
      <c r="R52" s="2" t="inlineStr"/>
    </row>
    <row r="53" ht="15" customHeight="1">
      <c r="A53" t="inlineStr">
        <is>
          <t>A 24686-2019</t>
        </is>
      </c>
      <c r="B53" s="1" t="n">
        <v>43601</v>
      </c>
      <c r="C53" s="1" t="n">
        <v>45672</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25286-2019</t>
        </is>
      </c>
      <c r="B54" s="1" t="n">
        <v>43605</v>
      </c>
      <c r="C54" s="1" t="n">
        <v>45672</v>
      </c>
      <c r="D54" t="inlineStr">
        <is>
          <t>SKÅNE LÄN</t>
        </is>
      </c>
      <c r="E54" t="inlineStr">
        <is>
          <t>HÄSSLEHOLM</t>
        </is>
      </c>
      <c r="G54" t="n">
        <v>1.3</v>
      </c>
      <c r="H54" t="n">
        <v>0</v>
      </c>
      <c r="I54" t="n">
        <v>0</v>
      </c>
      <c r="J54" t="n">
        <v>0</v>
      </c>
      <c r="K54" t="n">
        <v>0</v>
      </c>
      <c r="L54" t="n">
        <v>0</v>
      </c>
      <c r="M54" t="n">
        <v>0</v>
      </c>
      <c r="N54" t="n">
        <v>0</v>
      </c>
      <c r="O54" t="n">
        <v>0</v>
      </c>
      <c r="P54" t="n">
        <v>0</v>
      </c>
      <c r="Q54" t="n">
        <v>0</v>
      </c>
      <c r="R54" s="2" t="inlineStr"/>
    </row>
    <row r="55" ht="15" customHeight="1">
      <c r="A55" t="inlineStr">
        <is>
          <t>A 25285-2019</t>
        </is>
      </c>
      <c r="B55" s="1" t="n">
        <v>43605</v>
      </c>
      <c r="C55" s="1" t="n">
        <v>45672</v>
      </c>
      <c r="D55" t="inlineStr">
        <is>
          <t>SKÅNE LÄN</t>
        </is>
      </c>
      <c r="E55" t="inlineStr">
        <is>
          <t>HÄSSLEHOLM</t>
        </is>
      </c>
      <c r="G55" t="n">
        <v>25.8</v>
      </c>
      <c r="H55" t="n">
        <v>0</v>
      </c>
      <c r="I55" t="n">
        <v>0</v>
      </c>
      <c r="J55" t="n">
        <v>0</v>
      </c>
      <c r="K55" t="n">
        <v>0</v>
      </c>
      <c r="L55" t="n">
        <v>0</v>
      </c>
      <c r="M55" t="n">
        <v>0</v>
      </c>
      <c r="N55" t="n">
        <v>0</v>
      </c>
      <c r="O55" t="n">
        <v>0</v>
      </c>
      <c r="P55" t="n">
        <v>0</v>
      </c>
      <c r="Q55" t="n">
        <v>0</v>
      </c>
      <c r="R55" s="2" t="inlineStr"/>
    </row>
    <row r="56" ht="15" customHeight="1">
      <c r="A56" t="inlineStr">
        <is>
          <t>A 25690-2019</t>
        </is>
      </c>
      <c r="B56" s="1" t="n">
        <v>43607</v>
      </c>
      <c r="C56" s="1" t="n">
        <v>45672</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26036-2019</t>
        </is>
      </c>
      <c r="B57" s="1" t="n">
        <v>43609</v>
      </c>
      <c r="C57" s="1" t="n">
        <v>45672</v>
      </c>
      <c r="D57" t="inlineStr">
        <is>
          <t>SKÅNE LÄN</t>
        </is>
      </c>
      <c r="E57" t="inlineStr">
        <is>
          <t>HÄSSLEHOLM</t>
        </is>
      </c>
      <c r="G57" t="n">
        <v>3.6</v>
      </c>
      <c r="H57" t="n">
        <v>0</v>
      </c>
      <c r="I57" t="n">
        <v>0</v>
      </c>
      <c r="J57" t="n">
        <v>0</v>
      </c>
      <c r="K57" t="n">
        <v>0</v>
      </c>
      <c r="L57" t="n">
        <v>0</v>
      </c>
      <c r="M57" t="n">
        <v>0</v>
      </c>
      <c r="N57" t="n">
        <v>0</v>
      </c>
      <c r="O57" t="n">
        <v>0</v>
      </c>
      <c r="P57" t="n">
        <v>0</v>
      </c>
      <c r="Q57" t="n">
        <v>0</v>
      </c>
      <c r="R57" s="2" t="inlineStr"/>
    </row>
    <row r="58" ht="15" customHeight="1">
      <c r="A58" t="inlineStr">
        <is>
          <t>A 26037-2019</t>
        </is>
      </c>
      <c r="B58" s="1" t="n">
        <v>43609</v>
      </c>
      <c r="C58" s="1" t="n">
        <v>45672</v>
      </c>
      <c r="D58" t="inlineStr">
        <is>
          <t>SKÅNE LÄN</t>
        </is>
      </c>
      <c r="E58" t="inlineStr">
        <is>
          <t>HÄSSLEHOLM</t>
        </is>
      </c>
      <c r="G58" t="n">
        <v>4.4</v>
      </c>
      <c r="H58" t="n">
        <v>0</v>
      </c>
      <c r="I58" t="n">
        <v>0</v>
      </c>
      <c r="J58" t="n">
        <v>0</v>
      </c>
      <c r="K58" t="n">
        <v>0</v>
      </c>
      <c r="L58" t="n">
        <v>0</v>
      </c>
      <c r="M58" t="n">
        <v>0</v>
      </c>
      <c r="N58" t="n">
        <v>0</v>
      </c>
      <c r="O58" t="n">
        <v>0</v>
      </c>
      <c r="P58" t="n">
        <v>0</v>
      </c>
      <c r="Q58" t="n">
        <v>0</v>
      </c>
      <c r="R58" s="2" t="inlineStr"/>
    </row>
    <row r="59" ht="15" customHeight="1">
      <c r="A59" t="inlineStr">
        <is>
          <t>A 26268-2019</t>
        </is>
      </c>
      <c r="B59" s="1" t="n">
        <v>43611</v>
      </c>
      <c r="C59" s="1" t="n">
        <v>45672</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26325-2019</t>
        </is>
      </c>
      <c r="B60" s="1" t="n">
        <v>43612</v>
      </c>
      <c r="C60" s="1" t="n">
        <v>45672</v>
      </c>
      <c r="D60" t="inlineStr">
        <is>
          <t>SKÅNE LÄN</t>
        </is>
      </c>
      <c r="E60" t="inlineStr">
        <is>
          <t>HÄSSLEHOLM</t>
        </is>
      </c>
      <c r="G60" t="n">
        <v>1.3</v>
      </c>
      <c r="H60" t="n">
        <v>0</v>
      </c>
      <c r="I60" t="n">
        <v>0</v>
      </c>
      <c r="J60" t="n">
        <v>0</v>
      </c>
      <c r="K60" t="n">
        <v>0</v>
      </c>
      <c r="L60" t="n">
        <v>0</v>
      </c>
      <c r="M60" t="n">
        <v>0</v>
      </c>
      <c r="N60" t="n">
        <v>0</v>
      </c>
      <c r="O60" t="n">
        <v>0</v>
      </c>
      <c r="P60" t="n">
        <v>0</v>
      </c>
      <c r="Q60" t="n">
        <v>0</v>
      </c>
      <c r="R60" s="2" t="inlineStr"/>
    </row>
    <row r="61" ht="15" customHeight="1">
      <c r="A61" t="inlineStr">
        <is>
          <t>A 26701-2019</t>
        </is>
      </c>
      <c r="B61" s="1" t="n">
        <v>43613</v>
      </c>
      <c r="C61" s="1" t="n">
        <v>45672</v>
      </c>
      <c r="D61" t="inlineStr">
        <is>
          <t>SKÅNE LÄN</t>
        </is>
      </c>
      <c r="E61" t="inlineStr">
        <is>
          <t>HÄSSLEHOLM</t>
        </is>
      </c>
      <c r="G61" t="n">
        <v>0.7</v>
      </c>
      <c r="H61" t="n">
        <v>0</v>
      </c>
      <c r="I61" t="n">
        <v>0</v>
      </c>
      <c r="J61" t="n">
        <v>0</v>
      </c>
      <c r="K61" t="n">
        <v>0</v>
      </c>
      <c r="L61" t="n">
        <v>0</v>
      </c>
      <c r="M61" t="n">
        <v>0</v>
      </c>
      <c r="N61" t="n">
        <v>0</v>
      </c>
      <c r="O61" t="n">
        <v>0</v>
      </c>
      <c r="P61" t="n">
        <v>0</v>
      </c>
      <c r="Q61" t="n">
        <v>0</v>
      </c>
      <c r="R61" s="2" t="inlineStr"/>
    </row>
    <row r="62" ht="15" customHeight="1">
      <c r="A62" t="inlineStr">
        <is>
          <t>A 26938-2019</t>
        </is>
      </c>
      <c r="B62" s="1" t="n">
        <v>43613</v>
      </c>
      <c r="C62" s="1" t="n">
        <v>45672</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26940-2019</t>
        </is>
      </c>
      <c r="B63" s="1" t="n">
        <v>43613</v>
      </c>
      <c r="C63" s="1" t="n">
        <v>45672</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26939-2019</t>
        </is>
      </c>
      <c r="B64" s="1" t="n">
        <v>43613</v>
      </c>
      <c r="C64" s="1" t="n">
        <v>45672</v>
      </c>
      <c r="D64" t="inlineStr">
        <is>
          <t>SKÅNE LÄN</t>
        </is>
      </c>
      <c r="E64" t="inlineStr">
        <is>
          <t>HÄSSLEHOLM</t>
        </is>
      </c>
      <c r="G64" t="n">
        <v>1.7</v>
      </c>
      <c r="H64" t="n">
        <v>0</v>
      </c>
      <c r="I64" t="n">
        <v>0</v>
      </c>
      <c r="J64" t="n">
        <v>0</v>
      </c>
      <c r="K64" t="n">
        <v>0</v>
      </c>
      <c r="L64" t="n">
        <v>0</v>
      </c>
      <c r="M64" t="n">
        <v>0</v>
      </c>
      <c r="N64" t="n">
        <v>0</v>
      </c>
      <c r="O64" t="n">
        <v>0</v>
      </c>
      <c r="P64" t="n">
        <v>0</v>
      </c>
      <c r="Q64" t="n">
        <v>0</v>
      </c>
      <c r="R64" s="2" t="inlineStr"/>
    </row>
    <row r="65" ht="15" customHeight="1">
      <c r="A65" t="inlineStr">
        <is>
          <t>A 28620-2019</t>
        </is>
      </c>
      <c r="B65" s="1" t="n">
        <v>43613</v>
      </c>
      <c r="C65" s="1" t="n">
        <v>45672</v>
      </c>
      <c r="D65" t="inlineStr">
        <is>
          <t>SKÅNE LÄN</t>
        </is>
      </c>
      <c r="E65" t="inlineStr">
        <is>
          <t>HÄSSLEHOLM</t>
        </is>
      </c>
      <c r="G65" t="n">
        <v>2.8</v>
      </c>
      <c r="H65" t="n">
        <v>0</v>
      </c>
      <c r="I65" t="n">
        <v>0</v>
      </c>
      <c r="J65" t="n">
        <v>0</v>
      </c>
      <c r="K65" t="n">
        <v>0</v>
      </c>
      <c r="L65" t="n">
        <v>0</v>
      </c>
      <c r="M65" t="n">
        <v>0</v>
      </c>
      <c r="N65" t="n">
        <v>0</v>
      </c>
      <c r="O65" t="n">
        <v>0</v>
      </c>
      <c r="P65" t="n">
        <v>0</v>
      </c>
      <c r="Q65" t="n">
        <v>0</v>
      </c>
      <c r="R65" s="2" t="inlineStr"/>
    </row>
    <row r="66" ht="15" customHeight="1">
      <c r="A66" t="inlineStr">
        <is>
          <t>A 27624-2019</t>
        </is>
      </c>
      <c r="B66" s="1" t="n">
        <v>43619</v>
      </c>
      <c r="C66" s="1" t="n">
        <v>45672</v>
      </c>
      <c r="D66" t="inlineStr">
        <is>
          <t>SKÅNE LÄN</t>
        </is>
      </c>
      <c r="E66" t="inlineStr">
        <is>
          <t>HÄSSLEHOLM</t>
        </is>
      </c>
      <c r="F66" t="inlineStr">
        <is>
          <t>Kyrkan</t>
        </is>
      </c>
      <c r="G66" t="n">
        <v>5.3</v>
      </c>
      <c r="H66" t="n">
        <v>0</v>
      </c>
      <c r="I66" t="n">
        <v>0</v>
      </c>
      <c r="J66" t="n">
        <v>0</v>
      </c>
      <c r="K66" t="n">
        <v>0</v>
      </c>
      <c r="L66" t="n">
        <v>0</v>
      </c>
      <c r="M66" t="n">
        <v>0</v>
      </c>
      <c r="N66" t="n">
        <v>0</v>
      </c>
      <c r="O66" t="n">
        <v>0</v>
      </c>
      <c r="P66" t="n">
        <v>0</v>
      </c>
      <c r="Q66" t="n">
        <v>0</v>
      </c>
      <c r="R66" s="2" t="inlineStr"/>
    </row>
    <row r="67" ht="15" customHeight="1">
      <c r="A67" t="inlineStr">
        <is>
          <t>A 27824-2019</t>
        </is>
      </c>
      <c r="B67" s="1" t="n">
        <v>43620</v>
      </c>
      <c r="C67" s="1" t="n">
        <v>45672</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28105-2019</t>
        </is>
      </c>
      <c r="B68" s="1" t="n">
        <v>43621</v>
      </c>
      <c r="C68" s="1" t="n">
        <v>45672</v>
      </c>
      <c r="D68" t="inlineStr">
        <is>
          <t>SKÅNE LÄN</t>
        </is>
      </c>
      <c r="E68" t="inlineStr">
        <is>
          <t>HÄSSLEHOLM</t>
        </is>
      </c>
      <c r="G68" t="n">
        <v>3.3</v>
      </c>
      <c r="H68" t="n">
        <v>0</v>
      </c>
      <c r="I68" t="n">
        <v>0</v>
      </c>
      <c r="J68" t="n">
        <v>0</v>
      </c>
      <c r="K68" t="n">
        <v>0</v>
      </c>
      <c r="L68" t="n">
        <v>0</v>
      </c>
      <c r="M68" t="n">
        <v>0</v>
      </c>
      <c r="N68" t="n">
        <v>0</v>
      </c>
      <c r="O68" t="n">
        <v>0</v>
      </c>
      <c r="P68" t="n">
        <v>0</v>
      </c>
      <c r="Q68" t="n">
        <v>0</v>
      </c>
      <c r="R68" s="2" t="inlineStr"/>
    </row>
    <row r="69" ht="15" customHeight="1">
      <c r="A69" t="inlineStr">
        <is>
          <t>A 28111-2019</t>
        </is>
      </c>
      <c r="B69" s="1" t="n">
        <v>43621</v>
      </c>
      <c r="C69" s="1" t="n">
        <v>45672</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28410-2019</t>
        </is>
      </c>
      <c r="B70" s="1" t="n">
        <v>43626</v>
      </c>
      <c r="C70" s="1" t="n">
        <v>45672</v>
      </c>
      <c r="D70" t="inlineStr">
        <is>
          <t>SKÅNE LÄN</t>
        </is>
      </c>
      <c r="E70" t="inlineStr">
        <is>
          <t>HÄSSLEHOLM</t>
        </is>
      </c>
      <c r="G70" t="n">
        <v>2.5</v>
      </c>
      <c r="H70" t="n">
        <v>0</v>
      </c>
      <c r="I70" t="n">
        <v>0</v>
      </c>
      <c r="J70" t="n">
        <v>0</v>
      </c>
      <c r="K70" t="n">
        <v>0</v>
      </c>
      <c r="L70" t="n">
        <v>0</v>
      </c>
      <c r="M70" t="n">
        <v>0</v>
      </c>
      <c r="N70" t="n">
        <v>0</v>
      </c>
      <c r="O70" t="n">
        <v>0</v>
      </c>
      <c r="P70" t="n">
        <v>0</v>
      </c>
      <c r="Q70" t="n">
        <v>0</v>
      </c>
      <c r="R70" s="2" t="inlineStr"/>
    </row>
    <row r="71" ht="15" customHeight="1">
      <c r="A71" t="inlineStr">
        <is>
          <t>A 28413-2019</t>
        </is>
      </c>
      <c r="B71" s="1" t="n">
        <v>43626</v>
      </c>
      <c r="C71" s="1" t="n">
        <v>45672</v>
      </c>
      <c r="D71" t="inlineStr">
        <is>
          <t>SKÅNE LÄN</t>
        </is>
      </c>
      <c r="E71" t="inlineStr">
        <is>
          <t>HÄSSLEHOLM</t>
        </is>
      </c>
      <c r="G71" t="n">
        <v>2.4</v>
      </c>
      <c r="H71" t="n">
        <v>0</v>
      </c>
      <c r="I71" t="n">
        <v>0</v>
      </c>
      <c r="J71" t="n">
        <v>0</v>
      </c>
      <c r="K71" t="n">
        <v>0</v>
      </c>
      <c r="L71" t="n">
        <v>0</v>
      </c>
      <c r="M71" t="n">
        <v>0</v>
      </c>
      <c r="N71" t="n">
        <v>0</v>
      </c>
      <c r="O71" t="n">
        <v>0</v>
      </c>
      <c r="P71" t="n">
        <v>0</v>
      </c>
      <c r="Q71" t="n">
        <v>0</v>
      </c>
      <c r="R71" s="2" t="inlineStr"/>
    </row>
    <row r="72" ht="15" customHeight="1">
      <c r="A72" t="inlineStr">
        <is>
          <t>A 29042-2019</t>
        </is>
      </c>
      <c r="B72" s="1" t="n">
        <v>43628</v>
      </c>
      <c r="C72" s="1" t="n">
        <v>45672</v>
      </c>
      <c r="D72" t="inlineStr">
        <is>
          <t>SKÅNE LÄN</t>
        </is>
      </c>
      <c r="E72" t="inlineStr">
        <is>
          <t>HÄSSLEHOLM</t>
        </is>
      </c>
      <c r="G72" t="n">
        <v>2.6</v>
      </c>
      <c r="H72" t="n">
        <v>0</v>
      </c>
      <c r="I72" t="n">
        <v>0</v>
      </c>
      <c r="J72" t="n">
        <v>0</v>
      </c>
      <c r="K72" t="n">
        <v>0</v>
      </c>
      <c r="L72" t="n">
        <v>0</v>
      </c>
      <c r="M72" t="n">
        <v>0</v>
      </c>
      <c r="N72" t="n">
        <v>0</v>
      </c>
      <c r="O72" t="n">
        <v>0</v>
      </c>
      <c r="P72" t="n">
        <v>0</v>
      </c>
      <c r="Q72" t="n">
        <v>0</v>
      </c>
      <c r="R72" s="2" t="inlineStr"/>
    </row>
    <row r="73" ht="15" customHeight="1">
      <c r="A73" t="inlineStr">
        <is>
          <t>A 29766-2019</t>
        </is>
      </c>
      <c r="B73" s="1" t="n">
        <v>43632</v>
      </c>
      <c r="C73" s="1" t="n">
        <v>45672</v>
      </c>
      <c r="D73" t="inlineStr">
        <is>
          <t>SKÅNE LÄN</t>
        </is>
      </c>
      <c r="E73" t="inlineStr">
        <is>
          <t>HÄSSLEHOLM</t>
        </is>
      </c>
      <c r="G73" t="n">
        <v>4.9</v>
      </c>
      <c r="H73" t="n">
        <v>0</v>
      </c>
      <c r="I73" t="n">
        <v>0</v>
      </c>
      <c r="J73" t="n">
        <v>0</v>
      </c>
      <c r="K73" t="n">
        <v>0</v>
      </c>
      <c r="L73" t="n">
        <v>0</v>
      </c>
      <c r="M73" t="n">
        <v>0</v>
      </c>
      <c r="N73" t="n">
        <v>0</v>
      </c>
      <c r="O73" t="n">
        <v>0</v>
      </c>
      <c r="P73" t="n">
        <v>0</v>
      </c>
      <c r="Q73" t="n">
        <v>0</v>
      </c>
      <c r="R73" s="2" t="inlineStr"/>
    </row>
    <row r="74" ht="15" customHeight="1">
      <c r="A74" t="inlineStr">
        <is>
          <t>A 30059-2019</t>
        </is>
      </c>
      <c r="B74" s="1" t="n">
        <v>43633</v>
      </c>
      <c r="C74" s="1" t="n">
        <v>45672</v>
      </c>
      <c r="D74" t="inlineStr">
        <is>
          <t>SKÅNE LÄN</t>
        </is>
      </c>
      <c r="E74" t="inlineStr">
        <is>
          <t>HÄSSLEHOLM</t>
        </is>
      </c>
      <c r="G74" t="n">
        <v>3.5</v>
      </c>
      <c r="H74" t="n">
        <v>0</v>
      </c>
      <c r="I74" t="n">
        <v>0</v>
      </c>
      <c r="J74" t="n">
        <v>0</v>
      </c>
      <c r="K74" t="n">
        <v>0</v>
      </c>
      <c r="L74" t="n">
        <v>0</v>
      </c>
      <c r="M74" t="n">
        <v>0</v>
      </c>
      <c r="N74" t="n">
        <v>0</v>
      </c>
      <c r="O74" t="n">
        <v>0</v>
      </c>
      <c r="P74" t="n">
        <v>0</v>
      </c>
      <c r="Q74" t="n">
        <v>0</v>
      </c>
      <c r="R74" s="2" t="inlineStr"/>
    </row>
    <row r="75" ht="15" customHeight="1">
      <c r="A75" t="inlineStr">
        <is>
          <t>A 31760-2019</t>
        </is>
      </c>
      <c r="B75" s="1" t="n">
        <v>43642</v>
      </c>
      <c r="C75" s="1" t="n">
        <v>45672</v>
      </c>
      <c r="D75" t="inlineStr">
        <is>
          <t>SKÅNE LÄN</t>
        </is>
      </c>
      <c r="E75" t="inlineStr">
        <is>
          <t>HÄSSLEHOLM</t>
        </is>
      </c>
      <c r="G75" t="n">
        <v>3.3</v>
      </c>
      <c r="H75" t="n">
        <v>0</v>
      </c>
      <c r="I75" t="n">
        <v>0</v>
      </c>
      <c r="J75" t="n">
        <v>0</v>
      </c>
      <c r="K75" t="n">
        <v>0</v>
      </c>
      <c r="L75" t="n">
        <v>0</v>
      </c>
      <c r="M75" t="n">
        <v>0</v>
      </c>
      <c r="N75" t="n">
        <v>0</v>
      </c>
      <c r="O75" t="n">
        <v>0</v>
      </c>
      <c r="P75" t="n">
        <v>0</v>
      </c>
      <c r="Q75" t="n">
        <v>0</v>
      </c>
      <c r="R75" s="2" t="inlineStr"/>
    </row>
    <row r="76" ht="15" customHeight="1">
      <c r="A76" t="inlineStr">
        <is>
          <t>A 31936-2019</t>
        </is>
      </c>
      <c r="B76" s="1" t="n">
        <v>43642</v>
      </c>
      <c r="C76" s="1" t="n">
        <v>45672</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32714-2019</t>
        </is>
      </c>
      <c r="B77" s="1" t="n">
        <v>43647</v>
      </c>
      <c r="C77" s="1" t="n">
        <v>45672</v>
      </c>
      <c r="D77" t="inlineStr">
        <is>
          <t>SKÅNE LÄN</t>
        </is>
      </c>
      <c r="E77" t="inlineStr">
        <is>
          <t>HÄSSLEHOLM</t>
        </is>
      </c>
      <c r="G77" t="n">
        <v>8.4</v>
      </c>
      <c r="H77" t="n">
        <v>0</v>
      </c>
      <c r="I77" t="n">
        <v>0</v>
      </c>
      <c r="J77" t="n">
        <v>0</v>
      </c>
      <c r="K77" t="n">
        <v>0</v>
      </c>
      <c r="L77" t="n">
        <v>0</v>
      </c>
      <c r="M77" t="n">
        <v>0</v>
      </c>
      <c r="N77" t="n">
        <v>0</v>
      </c>
      <c r="O77" t="n">
        <v>0</v>
      </c>
      <c r="P77" t="n">
        <v>0</v>
      </c>
      <c r="Q77" t="n">
        <v>0</v>
      </c>
      <c r="R77" s="2" t="inlineStr"/>
    </row>
    <row r="78" ht="15" customHeight="1">
      <c r="A78" t="inlineStr">
        <is>
          <t>A 34714-2019</t>
        </is>
      </c>
      <c r="B78" s="1" t="n">
        <v>43648</v>
      </c>
      <c r="C78" s="1" t="n">
        <v>45672</v>
      </c>
      <c r="D78" t="inlineStr">
        <is>
          <t>SKÅNE LÄN</t>
        </is>
      </c>
      <c r="E78" t="inlineStr">
        <is>
          <t>HÄSSLEHOLM</t>
        </is>
      </c>
      <c r="F78" t="inlineStr">
        <is>
          <t>Övriga Aktiebolag</t>
        </is>
      </c>
      <c r="G78" t="n">
        <v>1.5</v>
      </c>
      <c r="H78" t="n">
        <v>0</v>
      </c>
      <c r="I78" t="n">
        <v>0</v>
      </c>
      <c r="J78" t="n">
        <v>0</v>
      </c>
      <c r="K78" t="n">
        <v>0</v>
      </c>
      <c r="L78" t="n">
        <v>0</v>
      </c>
      <c r="M78" t="n">
        <v>0</v>
      </c>
      <c r="N78" t="n">
        <v>0</v>
      </c>
      <c r="O78" t="n">
        <v>0</v>
      </c>
      <c r="P78" t="n">
        <v>0</v>
      </c>
      <c r="Q78" t="n">
        <v>0</v>
      </c>
      <c r="R78" s="2" t="inlineStr"/>
    </row>
    <row r="79" ht="15" customHeight="1">
      <c r="A79" t="inlineStr">
        <is>
          <t>A 34711-2019</t>
        </is>
      </c>
      <c r="B79" s="1" t="n">
        <v>43648</v>
      </c>
      <c r="C79" s="1" t="n">
        <v>45672</v>
      </c>
      <c r="D79" t="inlineStr">
        <is>
          <t>SKÅNE LÄN</t>
        </is>
      </c>
      <c r="E79" t="inlineStr">
        <is>
          <t>HÄSSLEHOLM</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32999-2019</t>
        </is>
      </c>
      <c r="B80" s="1" t="n">
        <v>43649</v>
      </c>
      <c r="C80" s="1" t="n">
        <v>45672</v>
      </c>
      <c r="D80" t="inlineStr">
        <is>
          <t>SKÅNE LÄN</t>
        </is>
      </c>
      <c r="E80" t="inlineStr">
        <is>
          <t>HÄSSLEHOLM</t>
        </is>
      </c>
      <c r="G80" t="n">
        <v>0.7</v>
      </c>
      <c r="H80" t="n">
        <v>0</v>
      </c>
      <c r="I80" t="n">
        <v>0</v>
      </c>
      <c r="J80" t="n">
        <v>0</v>
      </c>
      <c r="K80" t="n">
        <v>0</v>
      </c>
      <c r="L80" t="n">
        <v>0</v>
      </c>
      <c r="M80" t="n">
        <v>0</v>
      </c>
      <c r="N80" t="n">
        <v>0</v>
      </c>
      <c r="O80" t="n">
        <v>0</v>
      </c>
      <c r="P80" t="n">
        <v>0</v>
      </c>
      <c r="Q80" t="n">
        <v>0</v>
      </c>
      <c r="R80" s="2" t="inlineStr"/>
    </row>
    <row r="81" ht="15" customHeight="1">
      <c r="A81" t="inlineStr">
        <is>
          <t>A 32998-2019</t>
        </is>
      </c>
      <c r="B81" s="1" t="n">
        <v>43649</v>
      </c>
      <c r="C81" s="1" t="n">
        <v>45672</v>
      </c>
      <c r="D81" t="inlineStr">
        <is>
          <t>SKÅNE LÄN</t>
        </is>
      </c>
      <c r="E81" t="inlineStr">
        <is>
          <t>HÄSSLEHOLM</t>
        </is>
      </c>
      <c r="G81" t="n">
        <v>3.7</v>
      </c>
      <c r="H81" t="n">
        <v>0</v>
      </c>
      <c r="I81" t="n">
        <v>0</v>
      </c>
      <c r="J81" t="n">
        <v>0</v>
      </c>
      <c r="K81" t="n">
        <v>0</v>
      </c>
      <c r="L81" t="n">
        <v>0</v>
      </c>
      <c r="M81" t="n">
        <v>0</v>
      </c>
      <c r="N81" t="n">
        <v>0</v>
      </c>
      <c r="O81" t="n">
        <v>0</v>
      </c>
      <c r="P81" t="n">
        <v>0</v>
      </c>
      <c r="Q81" t="n">
        <v>0</v>
      </c>
      <c r="R81" s="2" t="inlineStr"/>
    </row>
    <row r="82" ht="15" customHeight="1">
      <c r="A82" t="inlineStr">
        <is>
          <t>A 33258-2019</t>
        </is>
      </c>
      <c r="B82" s="1" t="n">
        <v>43650</v>
      </c>
      <c r="C82" s="1" t="n">
        <v>45672</v>
      </c>
      <c r="D82" t="inlineStr">
        <is>
          <t>SKÅNE LÄN</t>
        </is>
      </c>
      <c r="E82" t="inlineStr">
        <is>
          <t>HÄSSLEHOLM</t>
        </is>
      </c>
      <c r="G82" t="n">
        <v>2</v>
      </c>
      <c r="H82" t="n">
        <v>0</v>
      </c>
      <c r="I82" t="n">
        <v>0</v>
      </c>
      <c r="J82" t="n">
        <v>0</v>
      </c>
      <c r="K82" t="n">
        <v>0</v>
      </c>
      <c r="L82" t="n">
        <v>0</v>
      </c>
      <c r="M82" t="n">
        <v>0</v>
      </c>
      <c r="N82" t="n">
        <v>0</v>
      </c>
      <c r="O82" t="n">
        <v>0</v>
      </c>
      <c r="P82" t="n">
        <v>0</v>
      </c>
      <c r="Q82" t="n">
        <v>0</v>
      </c>
      <c r="R82" s="2" t="inlineStr"/>
    </row>
    <row r="83" ht="15" customHeight="1">
      <c r="A83" t="inlineStr">
        <is>
          <t>A 33344-2019</t>
        </is>
      </c>
      <c r="B83" s="1" t="n">
        <v>43650</v>
      </c>
      <c r="C83" s="1" t="n">
        <v>45672</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33693-2019</t>
        </is>
      </c>
      <c r="B84" s="1" t="n">
        <v>43651</v>
      </c>
      <c r="C84" s="1" t="n">
        <v>45672</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33522-2019</t>
        </is>
      </c>
      <c r="B85" s="1" t="n">
        <v>43651</v>
      </c>
      <c r="C85" s="1" t="n">
        <v>45672</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33691-2019</t>
        </is>
      </c>
      <c r="B86" s="1" t="n">
        <v>43651</v>
      </c>
      <c r="C86" s="1" t="n">
        <v>45672</v>
      </c>
      <c r="D86" t="inlineStr">
        <is>
          <t>SKÅNE LÄN</t>
        </is>
      </c>
      <c r="E86" t="inlineStr">
        <is>
          <t>HÄSSLEHOLM</t>
        </is>
      </c>
      <c r="G86" t="n">
        <v>8</v>
      </c>
      <c r="H86" t="n">
        <v>0</v>
      </c>
      <c r="I86" t="n">
        <v>0</v>
      </c>
      <c r="J86" t="n">
        <v>0</v>
      </c>
      <c r="K86" t="n">
        <v>0</v>
      </c>
      <c r="L86" t="n">
        <v>0</v>
      </c>
      <c r="M86" t="n">
        <v>0</v>
      </c>
      <c r="N86" t="n">
        <v>0</v>
      </c>
      <c r="O86" t="n">
        <v>0</v>
      </c>
      <c r="P86" t="n">
        <v>0</v>
      </c>
      <c r="Q86" t="n">
        <v>0</v>
      </c>
      <c r="R86" s="2" t="inlineStr"/>
    </row>
    <row r="87" ht="15" customHeight="1">
      <c r="A87" t="inlineStr">
        <is>
          <t>A 33526-2019</t>
        </is>
      </c>
      <c r="B87" s="1" t="n">
        <v>43651</v>
      </c>
      <c r="C87" s="1" t="n">
        <v>45672</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34073-2019</t>
        </is>
      </c>
      <c r="B88" s="1" t="n">
        <v>43654</v>
      </c>
      <c r="C88" s="1" t="n">
        <v>45672</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34140-2019</t>
        </is>
      </c>
      <c r="B89" s="1" t="n">
        <v>43654</v>
      </c>
      <c r="C89" s="1" t="n">
        <v>45672</v>
      </c>
      <c r="D89" t="inlineStr">
        <is>
          <t>SKÅNE LÄN</t>
        </is>
      </c>
      <c r="E89" t="inlineStr">
        <is>
          <t>HÄSSLEHOLM</t>
        </is>
      </c>
      <c r="G89" t="n">
        <v>2.8</v>
      </c>
      <c r="H89" t="n">
        <v>0</v>
      </c>
      <c r="I89" t="n">
        <v>0</v>
      </c>
      <c r="J89" t="n">
        <v>0</v>
      </c>
      <c r="K89" t="n">
        <v>0</v>
      </c>
      <c r="L89" t="n">
        <v>0</v>
      </c>
      <c r="M89" t="n">
        <v>0</v>
      </c>
      <c r="N89" t="n">
        <v>0</v>
      </c>
      <c r="O89" t="n">
        <v>0</v>
      </c>
      <c r="P89" t="n">
        <v>0</v>
      </c>
      <c r="Q89" t="n">
        <v>0</v>
      </c>
      <c r="R89" s="2" t="inlineStr"/>
    </row>
    <row r="90" ht="15" customHeight="1">
      <c r="A90" t="inlineStr">
        <is>
          <t>A 34069-2019</t>
        </is>
      </c>
      <c r="B90" s="1" t="n">
        <v>43654</v>
      </c>
      <c r="C90" s="1" t="n">
        <v>45672</v>
      </c>
      <c r="D90" t="inlineStr">
        <is>
          <t>SKÅNE LÄN</t>
        </is>
      </c>
      <c r="E90" t="inlineStr">
        <is>
          <t>HÄSSLEHOLM</t>
        </is>
      </c>
      <c r="G90" t="n">
        <v>3.3</v>
      </c>
      <c r="H90" t="n">
        <v>0</v>
      </c>
      <c r="I90" t="n">
        <v>0</v>
      </c>
      <c r="J90" t="n">
        <v>0</v>
      </c>
      <c r="K90" t="n">
        <v>0</v>
      </c>
      <c r="L90" t="n">
        <v>0</v>
      </c>
      <c r="M90" t="n">
        <v>0</v>
      </c>
      <c r="N90" t="n">
        <v>0</v>
      </c>
      <c r="O90" t="n">
        <v>0</v>
      </c>
      <c r="P90" t="n">
        <v>0</v>
      </c>
      <c r="Q90" t="n">
        <v>0</v>
      </c>
      <c r="R90" s="2" t="inlineStr"/>
    </row>
    <row r="91" ht="15" customHeight="1">
      <c r="A91" t="inlineStr">
        <is>
          <t>A 34072-2019</t>
        </is>
      </c>
      <c r="B91" s="1" t="n">
        <v>43654</v>
      </c>
      <c r="C91" s="1" t="n">
        <v>45672</v>
      </c>
      <c r="D91" t="inlineStr">
        <is>
          <t>SKÅNE LÄN</t>
        </is>
      </c>
      <c r="E91" t="inlineStr">
        <is>
          <t>HÄSSLEHOLM</t>
        </is>
      </c>
      <c r="G91" t="n">
        <v>4</v>
      </c>
      <c r="H91" t="n">
        <v>0</v>
      </c>
      <c r="I91" t="n">
        <v>0</v>
      </c>
      <c r="J91" t="n">
        <v>0</v>
      </c>
      <c r="K91" t="n">
        <v>0</v>
      </c>
      <c r="L91" t="n">
        <v>0</v>
      </c>
      <c r="M91" t="n">
        <v>0</v>
      </c>
      <c r="N91" t="n">
        <v>0</v>
      </c>
      <c r="O91" t="n">
        <v>0</v>
      </c>
      <c r="P91" t="n">
        <v>0</v>
      </c>
      <c r="Q91" t="n">
        <v>0</v>
      </c>
      <c r="R91" s="2" t="inlineStr"/>
    </row>
    <row r="92" ht="15" customHeight="1">
      <c r="A92" t="inlineStr">
        <is>
          <t>A 36240-2019</t>
        </is>
      </c>
      <c r="B92" s="1" t="n">
        <v>43659</v>
      </c>
      <c r="C92" s="1" t="n">
        <v>45672</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36238-2019</t>
        </is>
      </c>
      <c r="B93" s="1" t="n">
        <v>43659</v>
      </c>
      <c r="C93" s="1" t="n">
        <v>45672</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36553-2019</t>
        </is>
      </c>
      <c r="B94" s="1" t="n">
        <v>43668</v>
      </c>
      <c r="C94" s="1" t="n">
        <v>45672</v>
      </c>
      <c r="D94" t="inlineStr">
        <is>
          <t>SKÅNE LÄN</t>
        </is>
      </c>
      <c r="E94" t="inlineStr">
        <is>
          <t>HÄSSLEHOLM</t>
        </is>
      </c>
      <c r="G94" t="n">
        <v>2.6</v>
      </c>
      <c r="H94" t="n">
        <v>0</v>
      </c>
      <c r="I94" t="n">
        <v>0</v>
      </c>
      <c r="J94" t="n">
        <v>0</v>
      </c>
      <c r="K94" t="n">
        <v>0</v>
      </c>
      <c r="L94" t="n">
        <v>0</v>
      </c>
      <c r="M94" t="n">
        <v>0</v>
      </c>
      <c r="N94" t="n">
        <v>0</v>
      </c>
      <c r="O94" t="n">
        <v>0</v>
      </c>
      <c r="P94" t="n">
        <v>0</v>
      </c>
      <c r="Q94" t="n">
        <v>0</v>
      </c>
      <c r="R94" s="2" t="inlineStr"/>
    </row>
    <row r="95" ht="15" customHeight="1">
      <c r="A95" t="inlineStr">
        <is>
          <t>A 36550-2019</t>
        </is>
      </c>
      <c r="B95" s="1" t="n">
        <v>43668</v>
      </c>
      <c r="C95" s="1" t="n">
        <v>45672</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37540-2019</t>
        </is>
      </c>
      <c r="B96" s="1" t="n">
        <v>43678</v>
      </c>
      <c r="C96" s="1" t="n">
        <v>45672</v>
      </c>
      <c r="D96" t="inlineStr">
        <is>
          <t>SKÅNE LÄN</t>
        </is>
      </c>
      <c r="E96" t="inlineStr">
        <is>
          <t>HÄSSLEHOLM</t>
        </is>
      </c>
      <c r="G96" t="n">
        <v>7.9</v>
      </c>
      <c r="H96" t="n">
        <v>0</v>
      </c>
      <c r="I96" t="n">
        <v>0</v>
      </c>
      <c r="J96" t="n">
        <v>0</v>
      </c>
      <c r="K96" t="n">
        <v>0</v>
      </c>
      <c r="L96" t="n">
        <v>0</v>
      </c>
      <c r="M96" t="n">
        <v>0</v>
      </c>
      <c r="N96" t="n">
        <v>0</v>
      </c>
      <c r="O96" t="n">
        <v>0</v>
      </c>
      <c r="P96" t="n">
        <v>0</v>
      </c>
      <c r="Q96" t="n">
        <v>0</v>
      </c>
      <c r="R96" s="2" t="inlineStr"/>
    </row>
    <row r="97" ht="15" customHeight="1">
      <c r="A97" t="inlineStr">
        <is>
          <t>A 37761-2019</t>
        </is>
      </c>
      <c r="B97" s="1" t="n">
        <v>43682</v>
      </c>
      <c r="C97" s="1" t="n">
        <v>45672</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37765-2019</t>
        </is>
      </c>
      <c r="B98" s="1" t="n">
        <v>43682</v>
      </c>
      <c r="C98" s="1" t="n">
        <v>45672</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38673-2019</t>
        </is>
      </c>
      <c r="B99" s="1" t="n">
        <v>43686</v>
      </c>
      <c r="C99" s="1" t="n">
        <v>45672</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38805-2019</t>
        </is>
      </c>
      <c r="B100" s="1" t="n">
        <v>43688</v>
      </c>
      <c r="C100" s="1" t="n">
        <v>45672</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38806-2019</t>
        </is>
      </c>
      <c r="B101" s="1" t="n">
        <v>43688</v>
      </c>
      <c r="C101" s="1" t="n">
        <v>45672</v>
      </c>
      <c r="D101" t="inlineStr">
        <is>
          <t>SKÅNE LÄN</t>
        </is>
      </c>
      <c r="E101" t="inlineStr">
        <is>
          <t>HÄSSLEHOLM</t>
        </is>
      </c>
      <c r="G101" t="n">
        <v>1.8</v>
      </c>
      <c r="H101" t="n">
        <v>0</v>
      </c>
      <c r="I101" t="n">
        <v>0</v>
      </c>
      <c r="J101" t="n">
        <v>0</v>
      </c>
      <c r="K101" t="n">
        <v>0</v>
      </c>
      <c r="L101" t="n">
        <v>0</v>
      </c>
      <c r="M101" t="n">
        <v>0</v>
      </c>
      <c r="N101" t="n">
        <v>0</v>
      </c>
      <c r="O101" t="n">
        <v>0</v>
      </c>
      <c r="P101" t="n">
        <v>0</v>
      </c>
      <c r="Q101" t="n">
        <v>0</v>
      </c>
      <c r="R101" s="2" t="inlineStr"/>
    </row>
    <row r="102" ht="15" customHeight="1">
      <c r="A102" t="inlineStr">
        <is>
          <t>A 38808-2019</t>
        </is>
      </c>
      <c r="B102" s="1" t="n">
        <v>43688</v>
      </c>
      <c r="C102" s="1" t="n">
        <v>45672</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39502-2019</t>
        </is>
      </c>
      <c r="B103" s="1" t="n">
        <v>43691</v>
      </c>
      <c r="C103" s="1" t="n">
        <v>45672</v>
      </c>
      <c r="D103" t="inlineStr">
        <is>
          <t>SKÅNE LÄN</t>
        </is>
      </c>
      <c r="E103" t="inlineStr">
        <is>
          <t>HÄSSLEHOLM</t>
        </is>
      </c>
      <c r="G103" t="n">
        <v>3.8</v>
      </c>
      <c r="H103" t="n">
        <v>0</v>
      </c>
      <c r="I103" t="n">
        <v>0</v>
      </c>
      <c r="J103" t="n">
        <v>0</v>
      </c>
      <c r="K103" t="n">
        <v>0</v>
      </c>
      <c r="L103" t="n">
        <v>0</v>
      </c>
      <c r="M103" t="n">
        <v>0</v>
      </c>
      <c r="N103" t="n">
        <v>0</v>
      </c>
      <c r="O103" t="n">
        <v>0</v>
      </c>
      <c r="P103" t="n">
        <v>0</v>
      </c>
      <c r="Q103" t="n">
        <v>0</v>
      </c>
      <c r="R103" s="2" t="inlineStr"/>
    </row>
    <row r="104" ht="15" customHeight="1">
      <c r="A104" t="inlineStr">
        <is>
          <t>A 39507-2019</t>
        </is>
      </c>
      <c r="B104" s="1" t="n">
        <v>43691</v>
      </c>
      <c r="C104" s="1" t="n">
        <v>45672</v>
      </c>
      <c r="D104" t="inlineStr">
        <is>
          <t>SKÅNE LÄN</t>
        </is>
      </c>
      <c r="E104" t="inlineStr">
        <is>
          <t>HÄSSLEHOLM</t>
        </is>
      </c>
      <c r="G104" t="n">
        <v>5.7</v>
      </c>
      <c r="H104" t="n">
        <v>0</v>
      </c>
      <c r="I104" t="n">
        <v>0</v>
      </c>
      <c r="J104" t="n">
        <v>0</v>
      </c>
      <c r="K104" t="n">
        <v>0</v>
      </c>
      <c r="L104" t="n">
        <v>0</v>
      </c>
      <c r="M104" t="n">
        <v>0</v>
      </c>
      <c r="N104" t="n">
        <v>0</v>
      </c>
      <c r="O104" t="n">
        <v>0</v>
      </c>
      <c r="P104" t="n">
        <v>0</v>
      </c>
      <c r="Q104" t="n">
        <v>0</v>
      </c>
      <c r="R104" s="2" t="inlineStr"/>
    </row>
    <row r="105" ht="15" customHeight="1">
      <c r="A105" t="inlineStr">
        <is>
          <t>A 40262-2019</t>
        </is>
      </c>
      <c r="B105" s="1" t="n">
        <v>43695</v>
      </c>
      <c r="C105" s="1" t="n">
        <v>45672</v>
      </c>
      <c r="D105" t="inlineStr">
        <is>
          <t>SKÅNE LÄN</t>
        </is>
      </c>
      <c r="E105" t="inlineStr">
        <is>
          <t>HÄSSLEHOLM</t>
        </is>
      </c>
      <c r="G105" t="n">
        <v>1.3</v>
      </c>
      <c r="H105" t="n">
        <v>0</v>
      </c>
      <c r="I105" t="n">
        <v>0</v>
      </c>
      <c r="J105" t="n">
        <v>0</v>
      </c>
      <c r="K105" t="n">
        <v>0</v>
      </c>
      <c r="L105" t="n">
        <v>0</v>
      </c>
      <c r="M105" t="n">
        <v>0</v>
      </c>
      <c r="N105" t="n">
        <v>0</v>
      </c>
      <c r="O105" t="n">
        <v>0</v>
      </c>
      <c r="P105" t="n">
        <v>0</v>
      </c>
      <c r="Q105" t="n">
        <v>0</v>
      </c>
      <c r="R105" s="2" t="inlineStr"/>
    </row>
    <row r="106" ht="15" customHeight="1">
      <c r="A106" t="inlineStr">
        <is>
          <t>A 41485-2019</t>
        </is>
      </c>
      <c r="B106" s="1" t="n">
        <v>43696</v>
      </c>
      <c r="C106" s="1" t="n">
        <v>45672</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41068-2019</t>
        </is>
      </c>
      <c r="B107" s="1" t="n">
        <v>43698</v>
      </c>
      <c r="C107" s="1" t="n">
        <v>45672</v>
      </c>
      <c r="D107" t="inlineStr">
        <is>
          <t>SKÅNE LÄN</t>
        </is>
      </c>
      <c r="E107" t="inlineStr">
        <is>
          <t>HÄSSLEHOLM</t>
        </is>
      </c>
      <c r="G107" t="n">
        <v>3.7</v>
      </c>
      <c r="H107" t="n">
        <v>0</v>
      </c>
      <c r="I107" t="n">
        <v>0</v>
      </c>
      <c r="J107" t="n">
        <v>0</v>
      </c>
      <c r="K107" t="n">
        <v>0</v>
      </c>
      <c r="L107" t="n">
        <v>0</v>
      </c>
      <c r="M107" t="n">
        <v>0</v>
      </c>
      <c r="N107" t="n">
        <v>0</v>
      </c>
      <c r="O107" t="n">
        <v>0</v>
      </c>
      <c r="P107" t="n">
        <v>0</v>
      </c>
      <c r="Q107" t="n">
        <v>0</v>
      </c>
      <c r="R107" s="2" t="inlineStr"/>
    </row>
    <row r="108" ht="15" customHeight="1">
      <c r="A108" t="inlineStr">
        <is>
          <t>A 41439-2019</t>
        </is>
      </c>
      <c r="B108" s="1" t="n">
        <v>43698</v>
      </c>
      <c r="C108" s="1" t="n">
        <v>45672</v>
      </c>
      <c r="D108" t="inlineStr">
        <is>
          <t>SKÅNE LÄN</t>
        </is>
      </c>
      <c r="E108" t="inlineStr">
        <is>
          <t>HÄSSLEHOLM</t>
        </is>
      </c>
      <c r="G108" t="n">
        <v>0.8</v>
      </c>
      <c r="H108" t="n">
        <v>0</v>
      </c>
      <c r="I108" t="n">
        <v>0</v>
      </c>
      <c r="J108" t="n">
        <v>0</v>
      </c>
      <c r="K108" t="n">
        <v>0</v>
      </c>
      <c r="L108" t="n">
        <v>0</v>
      </c>
      <c r="M108" t="n">
        <v>0</v>
      </c>
      <c r="N108" t="n">
        <v>0</v>
      </c>
      <c r="O108" t="n">
        <v>0</v>
      </c>
      <c r="P108" t="n">
        <v>0</v>
      </c>
      <c r="Q108" t="n">
        <v>0</v>
      </c>
      <c r="R108" s="2" t="inlineStr"/>
    </row>
    <row r="109" ht="15" customHeight="1">
      <c r="A109" t="inlineStr">
        <is>
          <t>A 43674-2019</t>
        </is>
      </c>
      <c r="B109" s="1" t="n">
        <v>43704</v>
      </c>
      <c r="C109" s="1" t="n">
        <v>45672</v>
      </c>
      <c r="D109" t="inlineStr">
        <is>
          <t>SKÅNE LÄN</t>
        </is>
      </c>
      <c r="E109" t="inlineStr">
        <is>
          <t>HÄSSLEHOLM</t>
        </is>
      </c>
      <c r="G109" t="n">
        <v>5.3</v>
      </c>
      <c r="H109" t="n">
        <v>0</v>
      </c>
      <c r="I109" t="n">
        <v>0</v>
      </c>
      <c r="J109" t="n">
        <v>0</v>
      </c>
      <c r="K109" t="n">
        <v>0</v>
      </c>
      <c r="L109" t="n">
        <v>0</v>
      </c>
      <c r="M109" t="n">
        <v>0</v>
      </c>
      <c r="N109" t="n">
        <v>0</v>
      </c>
      <c r="O109" t="n">
        <v>0</v>
      </c>
      <c r="P109" t="n">
        <v>0</v>
      </c>
      <c r="Q109" t="n">
        <v>0</v>
      </c>
      <c r="R109" s="2" t="inlineStr"/>
    </row>
    <row r="110" ht="15" customHeight="1">
      <c r="A110" t="inlineStr">
        <is>
          <t>A 43547-2019</t>
        </is>
      </c>
      <c r="B110" s="1" t="n">
        <v>43706</v>
      </c>
      <c r="C110" s="1" t="n">
        <v>45672</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44032-2019</t>
        </is>
      </c>
      <c r="B111" s="1" t="n">
        <v>43710</v>
      </c>
      <c r="C111" s="1" t="n">
        <v>45672</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44255-2019</t>
        </is>
      </c>
      <c r="B112" s="1" t="n">
        <v>43710</v>
      </c>
      <c r="C112" s="1" t="n">
        <v>45672</v>
      </c>
      <c r="D112" t="inlineStr">
        <is>
          <t>SKÅNE LÄN</t>
        </is>
      </c>
      <c r="E112" t="inlineStr">
        <is>
          <t>HÄSSLEHOLM</t>
        </is>
      </c>
      <c r="G112" t="n">
        <v>4.3</v>
      </c>
      <c r="H112" t="n">
        <v>0</v>
      </c>
      <c r="I112" t="n">
        <v>0</v>
      </c>
      <c r="J112" t="n">
        <v>0</v>
      </c>
      <c r="K112" t="n">
        <v>0</v>
      </c>
      <c r="L112" t="n">
        <v>0</v>
      </c>
      <c r="M112" t="n">
        <v>0</v>
      </c>
      <c r="N112" t="n">
        <v>0</v>
      </c>
      <c r="O112" t="n">
        <v>0</v>
      </c>
      <c r="P112" t="n">
        <v>0</v>
      </c>
      <c r="Q112" t="n">
        <v>0</v>
      </c>
      <c r="R112" s="2" t="inlineStr"/>
    </row>
    <row r="113" ht="15" customHeight="1">
      <c r="A113" t="inlineStr">
        <is>
          <t>A 44256-2019</t>
        </is>
      </c>
      <c r="B113" s="1" t="n">
        <v>43710</v>
      </c>
      <c r="C113" s="1" t="n">
        <v>45672</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44546-2019</t>
        </is>
      </c>
      <c r="B114" s="1" t="n">
        <v>43711</v>
      </c>
      <c r="C114" s="1" t="n">
        <v>45672</v>
      </c>
      <c r="D114" t="inlineStr">
        <is>
          <t>SKÅNE LÄN</t>
        </is>
      </c>
      <c r="E114" t="inlineStr">
        <is>
          <t>HÄSSLEHOLM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44543-2019</t>
        </is>
      </c>
      <c r="B115" s="1" t="n">
        <v>43711</v>
      </c>
      <c r="C115" s="1" t="n">
        <v>45672</v>
      </c>
      <c r="D115" t="inlineStr">
        <is>
          <t>SKÅNE LÄN</t>
        </is>
      </c>
      <c r="E115" t="inlineStr">
        <is>
          <t>HÄSSLEHOLM</t>
        </is>
      </c>
      <c r="G115" t="n">
        <v>2.1</v>
      </c>
      <c r="H115" t="n">
        <v>0</v>
      </c>
      <c r="I115" t="n">
        <v>0</v>
      </c>
      <c r="J115" t="n">
        <v>0</v>
      </c>
      <c r="K115" t="n">
        <v>0</v>
      </c>
      <c r="L115" t="n">
        <v>0</v>
      </c>
      <c r="M115" t="n">
        <v>0</v>
      </c>
      <c r="N115" t="n">
        <v>0</v>
      </c>
      <c r="O115" t="n">
        <v>0</v>
      </c>
      <c r="P115" t="n">
        <v>0</v>
      </c>
      <c r="Q115" t="n">
        <v>0</v>
      </c>
      <c r="R115" s="2" t="inlineStr"/>
    </row>
    <row r="116" ht="15" customHeight="1">
      <c r="A116" t="inlineStr">
        <is>
          <t>A 45811-2019</t>
        </is>
      </c>
      <c r="B116" s="1" t="n">
        <v>43711</v>
      </c>
      <c r="C116" s="1" t="n">
        <v>45672</v>
      </c>
      <c r="D116" t="inlineStr">
        <is>
          <t>SKÅNE LÄN</t>
        </is>
      </c>
      <c r="E116" t="inlineStr">
        <is>
          <t>HÄSSLEHOLM</t>
        </is>
      </c>
      <c r="G116" t="n">
        <v>2.4</v>
      </c>
      <c r="H116" t="n">
        <v>0</v>
      </c>
      <c r="I116" t="n">
        <v>0</v>
      </c>
      <c r="J116" t="n">
        <v>0</v>
      </c>
      <c r="K116" t="n">
        <v>0</v>
      </c>
      <c r="L116" t="n">
        <v>0</v>
      </c>
      <c r="M116" t="n">
        <v>0</v>
      </c>
      <c r="N116" t="n">
        <v>0</v>
      </c>
      <c r="O116" t="n">
        <v>0</v>
      </c>
      <c r="P116" t="n">
        <v>0</v>
      </c>
      <c r="Q116" t="n">
        <v>0</v>
      </c>
      <c r="R116" s="2" t="inlineStr"/>
    </row>
    <row r="117" ht="15" customHeight="1">
      <c r="A117" t="inlineStr">
        <is>
          <t>A 45843-2019</t>
        </is>
      </c>
      <c r="B117" s="1" t="n">
        <v>43711</v>
      </c>
      <c r="C117" s="1" t="n">
        <v>45672</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45238-2019</t>
        </is>
      </c>
      <c r="B118" s="1" t="n">
        <v>43713</v>
      </c>
      <c r="C118" s="1" t="n">
        <v>45672</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45836-2019</t>
        </is>
      </c>
      <c r="B119" s="1" t="n">
        <v>43717</v>
      </c>
      <c r="C119" s="1" t="n">
        <v>45672</v>
      </c>
      <c r="D119" t="inlineStr">
        <is>
          <t>SKÅNE LÄN</t>
        </is>
      </c>
      <c r="E119" t="inlineStr">
        <is>
          <t>HÄSSLEHOLM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45831-2019</t>
        </is>
      </c>
      <c r="B120" s="1" t="n">
        <v>43717</v>
      </c>
      <c r="C120" s="1" t="n">
        <v>45672</v>
      </c>
      <c r="D120" t="inlineStr">
        <is>
          <t>SKÅNE LÄN</t>
        </is>
      </c>
      <c r="E120" t="inlineStr">
        <is>
          <t>HÄSSLEHOLM</t>
        </is>
      </c>
      <c r="G120" t="n">
        <v>1.8</v>
      </c>
      <c r="H120" t="n">
        <v>0</v>
      </c>
      <c r="I120" t="n">
        <v>0</v>
      </c>
      <c r="J120" t="n">
        <v>0</v>
      </c>
      <c r="K120" t="n">
        <v>0</v>
      </c>
      <c r="L120" t="n">
        <v>0</v>
      </c>
      <c r="M120" t="n">
        <v>0</v>
      </c>
      <c r="N120" t="n">
        <v>0</v>
      </c>
      <c r="O120" t="n">
        <v>0</v>
      </c>
      <c r="P120" t="n">
        <v>0</v>
      </c>
      <c r="Q120" t="n">
        <v>0</v>
      </c>
      <c r="R120" s="2" t="inlineStr"/>
    </row>
    <row r="121" ht="15" customHeight="1">
      <c r="A121" t="inlineStr">
        <is>
          <t>A 46520-2019</t>
        </is>
      </c>
      <c r="B121" s="1" t="n">
        <v>43717</v>
      </c>
      <c r="C121" s="1" t="n">
        <v>45672</v>
      </c>
      <c r="D121" t="inlineStr">
        <is>
          <t>SKÅNE LÄN</t>
        </is>
      </c>
      <c r="E121" t="inlineStr">
        <is>
          <t>HÄSSLEHOLM</t>
        </is>
      </c>
      <c r="G121" t="n">
        <v>9.300000000000001</v>
      </c>
      <c r="H121" t="n">
        <v>0</v>
      </c>
      <c r="I121" t="n">
        <v>0</v>
      </c>
      <c r="J121" t="n">
        <v>0</v>
      </c>
      <c r="K121" t="n">
        <v>0</v>
      </c>
      <c r="L121" t="n">
        <v>0</v>
      </c>
      <c r="M121" t="n">
        <v>0</v>
      </c>
      <c r="N121" t="n">
        <v>0</v>
      </c>
      <c r="O121" t="n">
        <v>0</v>
      </c>
      <c r="P121" t="n">
        <v>0</v>
      </c>
      <c r="Q121" t="n">
        <v>0</v>
      </c>
      <c r="R121" s="2" t="inlineStr"/>
    </row>
    <row r="122" ht="15" customHeight="1">
      <c r="A122" t="inlineStr">
        <is>
          <t>A 48097-2019</t>
        </is>
      </c>
      <c r="B122" s="1" t="n">
        <v>43725</v>
      </c>
      <c r="C122" s="1" t="n">
        <v>45672</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48309-2019</t>
        </is>
      </c>
      <c r="B123" s="1" t="n">
        <v>43726</v>
      </c>
      <c r="C123" s="1" t="n">
        <v>45672</v>
      </c>
      <c r="D123" t="inlineStr">
        <is>
          <t>SKÅNE LÄN</t>
        </is>
      </c>
      <c r="E123" t="inlineStr">
        <is>
          <t>HÄSSLEHOLM</t>
        </is>
      </c>
      <c r="G123" t="n">
        <v>4.5</v>
      </c>
      <c r="H123" t="n">
        <v>0</v>
      </c>
      <c r="I123" t="n">
        <v>0</v>
      </c>
      <c r="J123" t="n">
        <v>0</v>
      </c>
      <c r="K123" t="n">
        <v>0</v>
      </c>
      <c r="L123" t="n">
        <v>0</v>
      </c>
      <c r="M123" t="n">
        <v>0</v>
      </c>
      <c r="N123" t="n">
        <v>0</v>
      </c>
      <c r="O123" t="n">
        <v>0</v>
      </c>
      <c r="P123" t="n">
        <v>0</v>
      </c>
      <c r="Q123" t="n">
        <v>0</v>
      </c>
      <c r="R123" s="2" t="inlineStr"/>
    </row>
    <row r="124" ht="15" customHeight="1">
      <c r="A124" t="inlineStr">
        <is>
          <t>A 48363-2019</t>
        </is>
      </c>
      <c r="B124" s="1" t="n">
        <v>43726</v>
      </c>
      <c r="C124" s="1" t="n">
        <v>45672</v>
      </c>
      <c r="D124" t="inlineStr">
        <is>
          <t>SKÅNE LÄN</t>
        </is>
      </c>
      <c r="E124" t="inlineStr">
        <is>
          <t>HÄSSLEHOLM</t>
        </is>
      </c>
      <c r="G124" t="n">
        <v>4.7</v>
      </c>
      <c r="H124" t="n">
        <v>0</v>
      </c>
      <c r="I124" t="n">
        <v>0</v>
      </c>
      <c r="J124" t="n">
        <v>0</v>
      </c>
      <c r="K124" t="n">
        <v>0</v>
      </c>
      <c r="L124" t="n">
        <v>0</v>
      </c>
      <c r="M124" t="n">
        <v>0</v>
      </c>
      <c r="N124" t="n">
        <v>0</v>
      </c>
      <c r="O124" t="n">
        <v>0</v>
      </c>
      <c r="P124" t="n">
        <v>0</v>
      </c>
      <c r="Q124" t="n">
        <v>0</v>
      </c>
      <c r="R124" s="2" t="inlineStr"/>
    </row>
    <row r="125" ht="15" customHeight="1">
      <c r="A125" t="inlineStr">
        <is>
          <t>A 48602-2019</t>
        </is>
      </c>
      <c r="B125" s="1" t="n">
        <v>43727</v>
      </c>
      <c r="C125" s="1" t="n">
        <v>45672</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48601-2019</t>
        </is>
      </c>
      <c r="B126" s="1" t="n">
        <v>43727</v>
      </c>
      <c r="C126" s="1" t="n">
        <v>45672</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49028-2019</t>
        </is>
      </c>
      <c r="B127" s="1" t="n">
        <v>43731</v>
      </c>
      <c r="C127" s="1" t="n">
        <v>45672</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51573-2019</t>
        </is>
      </c>
      <c r="B128" s="1" t="n">
        <v>43740</v>
      </c>
      <c r="C128" s="1" t="n">
        <v>45672</v>
      </c>
      <c r="D128" t="inlineStr">
        <is>
          <t>SKÅNE LÄN</t>
        </is>
      </c>
      <c r="E128" t="inlineStr">
        <is>
          <t>HÄSSLEHOLM</t>
        </is>
      </c>
      <c r="G128" t="n">
        <v>1.3</v>
      </c>
      <c r="H128" t="n">
        <v>0</v>
      </c>
      <c r="I128" t="n">
        <v>0</v>
      </c>
      <c r="J128" t="n">
        <v>0</v>
      </c>
      <c r="K128" t="n">
        <v>0</v>
      </c>
      <c r="L128" t="n">
        <v>0</v>
      </c>
      <c r="M128" t="n">
        <v>0</v>
      </c>
      <c r="N128" t="n">
        <v>0</v>
      </c>
      <c r="O128" t="n">
        <v>0</v>
      </c>
      <c r="P128" t="n">
        <v>0</v>
      </c>
      <c r="Q128" t="n">
        <v>0</v>
      </c>
      <c r="R128" s="2" t="inlineStr"/>
    </row>
    <row r="129" ht="15" customHeight="1">
      <c r="A129" t="inlineStr">
        <is>
          <t>A 52964-2019</t>
        </is>
      </c>
      <c r="B129" s="1" t="n">
        <v>43740</v>
      </c>
      <c r="C129" s="1" t="n">
        <v>45672</v>
      </c>
      <c r="D129" t="inlineStr">
        <is>
          <t>SKÅNE LÄN</t>
        </is>
      </c>
      <c r="E129" t="inlineStr">
        <is>
          <t>HÄSSLEHOLM</t>
        </is>
      </c>
      <c r="G129" t="n">
        <v>7.5</v>
      </c>
      <c r="H129" t="n">
        <v>0</v>
      </c>
      <c r="I129" t="n">
        <v>0</v>
      </c>
      <c r="J129" t="n">
        <v>0</v>
      </c>
      <c r="K129" t="n">
        <v>0</v>
      </c>
      <c r="L129" t="n">
        <v>0</v>
      </c>
      <c r="M129" t="n">
        <v>0</v>
      </c>
      <c r="N129" t="n">
        <v>0</v>
      </c>
      <c r="O129" t="n">
        <v>0</v>
      </c>
      <c r="P129" t="n">
        <v>0</v>
      </c>
      <c r="Q129" t="n">
        <v>0</v>
      </c>
      <c r="R129" s="2" t="inlineStr"/>
    </row>
    <row r="130" ht="15" customHeight="1">
      <c r="A130" t="inlineStr">
        <is>
          <t>A 51476-2019</t>
        </is>
      </c>
      <c r="B130" s="1" t="n">
        <v>43740</v>
      </c>
      <c r="C130" s="1" t="n">
        <v>45672</v>
      </c>
      <c r="D130" t="inlineStr">
        <is>
          <t>SKÅNE LÄN</t>
        </is>
      </c>
      <c r="E130" t="inlineStr">
        <is>
          <t>HÄSSLEHOLM</t>
        </is>
      </c>
      <c r="G130" t="n">
        <v>3.8</v>
      </c>
      <c r="H130" t="n">
        <v>0</v>
      </c>
      <c r="I130" t="n">
        <v>0</v>
      </c>
      <c r="J130" t="n">
        <v>0</v>
      </c>
      <c r="K130" t="n">
        <v>0</v>
      </c>
      <c r="L130" t="n">
        <v>0</v>
      </c>
      <c r="M130" t="n">
        <v>0</v>
      </c>
      <c r="N130" t="n">
        <v>0</v>
      </c>
      <c r="O130" t="n">
        <v>0</v>
      </c>
      <c r="P130" t="n">
        <v>0</v>
      </c>
      <c r="Q130" t="n">
        <v>0</v>
      </c>
      <c r="R130" s="2" t="inlineStr"/>
    </row>
    <row r="131" ht="15" customHeight="1">
      <c r="A131" t="inlineStr">
        <is>
          <t>A 51579-2019</t>
        </is>
      </c>
      <c r="B131" s="1" t="n">
        <v>43740</v>
      </c>
      <c r="C131" s="1" t="n">
        <v>45672</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51543-2019</t>
        </is>
      </c>
      <c r="B132" s="1" t="n">
        <v>43740</v>
      </c>
      <c r="C132" s="1" t="n">
        <v>45672</v>
      </c>
      <c r="D132" t="inlineStr">
        <is>
          <t>SKÅNE LÄN</t>
        </is>
      </c>
      <c r="E132" t="inlineStr">
        <is>
          <t>HÄSSLEHOLM</t>
        </is>
      </c>
      <c r="G132" t="n">
        <v>4</v>
      </c>
      <c r="H132" t="n">
        <v>0</v>
      </c>
      <c r="I132" t="n">
        <v>0</v>
      </c>
      <c r="J132" t="n">
        <v>0</v>
      </c>
      <c r="K132" t="n">
        <v>0</v>
      </c>
      <c r="L132" t="n">
        <v>0</v>
      </c>
      <c r="M132" t="n">
        <v>0</v>
      </c>
      <c r="N132" t="n">
        <v>0</v>
      </c>
      <c r="O132" t="n">
        <v>0</v>
      </c>
      <c r="P132" t="n">
        <v>0</v>
      </c>
      <c r="Q132" t="n">
        <v>0</v>
      </c>
      <c r="R132" s="2" t="inlineStr"/>
    </row>
    <row r="133" ht="15" customHeight="1">
      <c r="A133" t="inlineStr">
        <is>
          <t>A 51581-2019</t>
        </is>
      </c>
      <c r="B133" s="1" t="n">
        <v>43740</v>
      </c>
      <c r="C133" s="1" t="n">
        <v>45672</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51936-2019</t>
        </is>
      </c>
      <c r="B134" s="1" t="n">
        <v>43741</v>
      </c>
      <c r="C134" s="1" t="n">
        <v>45672</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51795-2019</t>
        </is>
      </c>
      <c r="B135" s="1" t="n">
        <v>43741</v>
      </c>
      <c r="C135" s="1" t="n">
        <v>45672</v>
      </c>
      <c r="D135" t="inlineStr">
        <is>
          <t>SKÅNE LÄN</t>
        </is>
      </c>
      <c r="E135" t="inlineStr">
        <is>
          <t>HÄSSLEHOLM</t>
        </is>
      </c>
      <c r="G135" t="n">
        <v>2</v>
      </c>
      <c r="H135" t="n">
        <v>0</v>
      </c>
      <c r="I135" t="n">
        <v>0</v>
      </c>
      <c r="J135" t="n">
        <v>0</v>
      </c>
      <c r="K135" t="n">
        <v>0</v>
      </c>
      <c r="L135" t="n">
        <v>0</v>
      </c>
      <c r="M135" t="n">
        <v>0</v>
      </c>
      <c r="N135" t="n">
        <v>0</v>
      </c>
      <c r="O135" t="n">
        <v>0</v>
      </c>
      <c r="P135" t="n">
        <v>0</v>
      </c>
      <c r="Q135" t="n">
        <v>0</v>
      </c>
      <c r="R135" s="2" t="inlineStr"/>
    </row>
    <row r="136" ht="15" customHeight="1">
      <c r="A136" t="inlineStr">
        <is>
          <t>A 52896-2019</t>
        </is>
      </c>
      <c r="B136" s="1" t="n">
        <v>43746</v>
      </c>
      <c r="C136" s="1" t="n">
        <v>45672</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54745-2019</t>
        </is>
      </c>
      <c r="B137" s="1" t="n">
        <v>43749</v>
      </c>
      <c r="C137" s="1" t="n">
        <v>45672</v>
      </c>
      <c r="D137" t="inlineStr">
        <is>
          <t>SKÅNE LÄN</t>
        </is>
      </c>
      <c r="E137" t="inlineStr">
        <is>
          <t>HÄSSLEHOLM</t>
        </is>
      </c>
      <c r="G137" t="n">
        <v>2.5</v>
      </c>
      <c r="H137" t="n">
        <v>0</v>
      </c>
      <c r="I137" t="n">
        <v>0</v>
      </c>
      <c r="J137" t="n">
        <v>0</v>
      </c>
      <c r="K137" t="n">
        <v>0</v>
      </c>
      <c r="L137" t="n">
        <v>0</v>
      </c>
      <c r="M137" t="n">
        <v>0</v>
      </c>
      <c r="N137" t="n">
        <v>0</v>
      </c>
      <c r="O137" t="n">
        <v>0</v>
      </c>
      <c r="P137" t="n">
        <v>0</v>
      </c>
      <c r="Q137" t="n">
        <v>0</v>
      </c>
      <c r="R137" s="2" t="inlineStr"/>
    </row>
    <row r="138" ht="15" customHeight="1">
      <c r="A138" t="inlineStr">
        <is>
          <t>A 55155-2019</t>
        </is>
      </c>
      <c r="B138" s="1" t="n">
        <v>43752</v>
      </c>
      <c r="C138" s="1" t="n">
        <v>45672</v>
      </c>
      <c r="D138" t="inlineStr">
        <is>
          <t>SKÅNE LÄN</t>
        </is>
      </c>
      <c r="E138" t="inlineStr">
        <is>
          <t>HÄSSLEHOLM</t>
        </is>
      </c>
      <c r="F138" t="inlineStr">
        <is>
          <t>Övriga Aktiebolag</t>
        </is>
      </c>
      <c r="G138" t="n">
        <v>2</v>
      </c>
      <c r="H138" t="n">
        <v>0</v>
      </c>
      <c r="I138" t="n">
        <v>0</v>
      </c>
      <c r="J138" t="n">
        <v>0</v>
      </c>
      <c r="K138" t="n">
        <v>0</v>
      </c>
      <c r="L138" t="n">
        <v>0</v>
      </c>
      <c r="M138" t="n">
        <v>0</v>
      </c>
      <c r="N138" t="n">
        <v>0</v>
      </c>
      <c r="O138" t="n">
        <v>0</v>
      </c>
      <c r="P138" t="n">
        <v>0</v>
      </c>
      <c r="Q138" t="n">
        <v>0</v>
      </c>
      <c r="R138" s="2" t="inlineStr"/>
    </row>
    <row r="139" ht="15" customHeight="1">
      <c r="A139" t="inlineStr">
        <is>
          <t>A 55167-2019</t>
        </is>
      </c>
      <c r="B139" s="1" t="n">
        <v>43756</v>
      </c>
      <c r="C139" s="1" t="n">
        <v>45672</v>
      </c>
      <c r="D139" t="inlineStr">
        <is>
          <t>SKÅNE LÄN</t>
        </is>
      </c>
      <c r="E139" t="inlineStr">
        <is>
          <t>HÄSSLEHOLM</t>
        </is>
      </c>
      <c r="G139" t="n">
        <v>2.4</v>
      </c>
      <c r="H139" t="n">
        <v>0</v>
      </c>
      <c r="I139" t="n">
        <v>0</v>
      </c>
      <c r="J139" t="n">
        <v>0</v>
      </c>
      <c r="K139" t="n">
        <v>0</v>
      </c>
      <c r="L139" t="n">
        <v>0</v>
      </c>
      <c r="M139" t="n">
        <v>0</v>
      </c>
      <c r="N139" t="n">
        <v>0</v>
      </c>
      <c r="O139" t="n">
        <v>0</v>
      </c>
      <c r="P139" t="n">
        <v>0</v>
      </c>
      <c r="Q139" t="n">
        <v>0</v>
      </c>
      <c r="R139" s="2" t="inlineStr"/>
    </row>
    <row r="140" ht="15" customHeight="1">
      <c r="A140" t="inlineStr">
        <is>
          <t>A 55087-2019</t>
        </is>
      </c>
      <c r="B140" s="1" t="n">
        <v>43756</v>
      </c>
      <c r="C140" s="1" t="n">
        <v>45672</v>
      </c>
      <c r="D140" t="inlineStr">
        <is>
          <t>SKÅNE LÄN</t>
        </is>
      </c>
      <c r="E140" t="inlineStr">
        <is>
          <t>HÄSSLEHOLM</t>
        </is>
      </c>
      <c r="F140" t="inlineStr">
        <is>
          <t>Kommuner</t>
        </is>
      </c>
      <c r="G140" t="n">
        <v>2</v>
      </c>
      <c r="H140" t="n">
        <v>0</v>
      </c>
      <c r="I140" t="n">
        <v>0</v>
      </c>
      <c r="J140" t="n">
        <v>0</v>
      </c>
      <c r="K140" t="n">
        <v>0</v>
      </c>
      <c r="L140" t="n">
        <v>0</v>
      </c>
      <c r="M140" t="n">
        <v>0</v>
      </c>
      <c r="N140" t="n">
        <v>0</v>
      </c>
      <c r="O140" t="n">
        <v>0</v>
      </c>
      <c r="P140" t="n">
        <v>0</v>
      </c>
      <c r="Q140" t="n">
        <v>0</v>
      </c>
      <c r="R140" s="2" t="inlineStr"/>
    </row>
    <row r="141" ht="15" customHeight="1">
      <c r="A141" t="inlineStr">
        <is>
          <t>A 55410-2019</t>
        </is>
      </c>
      <c r="B141" s="1" t="n">
        <v>43758</v>
      </c>
      <c r="C141" s="1" t="n">
        <v>45672</v>
      </c>
      <c r="D141" t="inlineStr">
        <is>
          <t>SKÅNE LÄN</t>
        </is>
      </c>
      <c r="E141" t="inlineStr">
        <is>
          <t>HÄSSLEHOLM</t>
        </is>
      </c>
      <c r="G141" t="n">
        <v>4.8</v>
      </c>
      <c r="H141" t="n">
        <v>0</v>
      </c>
      <c r="I141" t="n">
        <v>0</v>
      </c>
      <c r="J141" t="n">
        <v>0</v>
      </c>
      <c r="K141" t="n">
        <v>0</v>
      </c>
      <c r="L141" t="n">
        <v>0</v>
      </c>
      <c r="M141" t="n">
        <v>0</v>
      </c>
      <c r="N141" t="n">
        <v>0</v>
      </c>
      <c r="O141" t="n">
        <v>0</v>
      </c>
      <c r="P141" t="n">
        <v>0</v>
      </c>
      <c r="Q141" t="n">
        <v>0</v>
      </c>
      <c r="R141" s="2" t="inlineStr"/>
    </row>
    <row r="142" ht="15" customHeight="1">
      <c r="A142" t="inlineStr">
        <is>
          <t>A 55761-2019</t>
        </is>
      </c>
      <c r="B142" s="1" t="n">
        <v>43759</v>
      </c>
      <c r="C142" s="1" t="n">
        <v>45672</v>
      </c>
      <c r="D142" t="inlineStr">
        <is>
          <t>SKÅNE LÄN</t>
        </is>
      </c>
      <c r="E142" t="inlineStr">
        <is>
          <t>HÄSSLEHOLM</t>
        </is>
      </c>
      <c r="F142" t="inlineStr">
        <is>
          <t>Kommuner</t>
        </is>
      </c>
      <c r="G142" t="n">
        <v>7.7</v>
      </c>
      <c r="H142" t="n">
        <v>0</v>
      </c>
      <c r="I142" t="n">
        <v>0</v>
      </c>
      <c r="J142" t="n">
        <v>0</v>
      </c>
      <c r="K142" t="n">
        <v>0</v>
      </c>
      <c r="L142" t="n">
        <v>0</v>
      </c>
      <c r="M142" t="n">
        <v>0</v>
      </c>
      <c r="N142" t="n">
        <v>0</v>
      </c>
      <c r="O142" t="n">
        <v>0</v>
      </c>
      <c r="P142" t="n">
        <v>0</v>
      </c>
      <c r="Q142" t="n">
        <v>0</v>
      </c>
      <c r="R142" s="2" t="inlineStr"/>
    </row>
    <row r="143" ht="15" customHeight="1">
      <c r="A143" t="inlineStr">
        <is>
          <t>A 55984-2019</t>
        </is>
      </c>
      <c r="B143" s="1" t="n">
        <v>43759</v>
      </c>
      <c r="C143" s="1" t="n">
        <v>45672</v>
      </c>
      <c r="D143" t="inlineStr">
        <is>
          <t>SKÅNE LÄN</t>
        </is>
      </c>
      <c r="E143" t="inlineStr">
        <is>
          <t>HÄSSLEHOLM</t>
        </is>
      </c>
      <c r="F143" t="inlineStr">
        <is>
          <t>Kommuner</t>
        </is>
      </c>
      <c r="G143" t="n">
        <v>21.9</v>
      </c>
      <c r="H143" t="n">
        <v>0</v>
      </c>
      <c r="I143" t="n">
        <v>0</v>
      </c>
      <c r="J143" t="n">
        <v>0</v>
      </c>
      <c r="K143" t="n">
        <v>0</v>
      </c>
      <c r="L143" t="n">
        <v>0</v>
      </c>
      <c r="M143" t="n">
        <v>0</v>
      </c>
      <c r="N143" t="n">
        <v>0</v>
      </c>
      <c r="O143" t="n">
        <v>0</v>
      </c>
      <c r="P143" t="n">
        <v>0</v>
      </c>
      <c r="Q143" t="n">
        <v>0</v>
      </c>
      <c r="R143" s="2" t="inlineStr"/>
    </row>
    <row r="144" ht="15" customHeight="1">
      <c r="A144" t="inlineStr">
        <is>
          <t>A 55631-2019</t>
        </is>
      </c>
      <c r="B144" s="1" t="n">
        <v>43760</v>
      </c>
      <c r="C144" s="1" t="n">
        <v>45672</v>
      </c>
      <c r="D144" t="inlineStr">
        <is>
          <t>SKÅNE LÄN</t>
        </is>
      </c>
      <c r="E144" t="inlineStr">
        <is>
          <t>HÄSSLEHOLM</t>
        </is>
      </c>
      <c r="G144" t="n">
        <v>2.1</v>
      </c>
      <c r="H144" t="n">
        <v>0</v>
      </c>
      <c r="I144" t="n">
        <v>0</v>
      </c>
      <c r="J144" t="n">
        <v>0</v>
      </c>
      <c r="K144" t="n">
        <v>0</v>
      </c>
      <c r="L144" t="n">
        <v>0</v>
      </c>
      <c r="M144" t="n">
        <v>0</v>
      </c>
      <c r="N144" t="n">
        <v>0</v>
      </c>
      <c r="O144" t="n">
        <v>0</v>
      </c>
      <c r="P144" t="n">
        <v>0</v>
      </c>
      <c r="Q144" t="n">
        <v>0</v>
      </c>
      <c r="R144" s="2" t="inlineStr"/>
    </row>
    <row r="145" ht="15" customHeight="1">
      <c r="A145" t="inlineStr">
        <is>
          <t>A 55654-2019</t>
        </is>
      </c>
      <c r="B145" s="1" t="n">
        <v>43760</v>
      </c>
      <c r="C145" s="1" t="n">
        <v>45672</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45672</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45672</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45672</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45672</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45672</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45672</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45672</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45672</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45672</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45672</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45672</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45672</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45672</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45672</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45672</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45672</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45672</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45672</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45672</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45672</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45672</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45672</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45672</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45672</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45672</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45672</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45672</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45672</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45672</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45672</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45672</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45672</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45672</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45672</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45672</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45672</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45672</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45672</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45672</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45672</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45672</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45672</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45672</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45672</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45672</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45672</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45672</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45672</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45672</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45672</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45672</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45672</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45672</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45672</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45672</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45672</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45672</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45672</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45672</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45672</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45672</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45672</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45672</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45672</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45672</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45672</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45672</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45672</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45672</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45672</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45672</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45672</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45672</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45672</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45672</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45672</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45672</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45672</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45672</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45672</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45672</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45672</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45672</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45672</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45672</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45672</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45672</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45672</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45672</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45672</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45672</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45672</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45672</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45672</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45672</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45672</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45672</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45672</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45672</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45672</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45672</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45672</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45672</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45672</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45672</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45672</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45672</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45672</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45672</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45672</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45672</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45672</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45672</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45672</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45672</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45672</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45672</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45672</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45672</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45672</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45672</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45672</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45672</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45672</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45672</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45672</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45672</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45672</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45672</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45672</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45672</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45672</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45672</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45672</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45672</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45672</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45672</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45672</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45672</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45672</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45672</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45672</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45672</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45672</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45672</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45672</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45672</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45672</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45672</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45672</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45672</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45672</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45672</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45672</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45672</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45672</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45672</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45672</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45672</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45672</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45672</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45672</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45672</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45672</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45672</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45672</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45672</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45672</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45672</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45672</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45672</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45672</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45672</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45672</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45672</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45672</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45672</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45672</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45672</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45672</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45672</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45672</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45672</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45672</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45672</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45672</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45672</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45672</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45672</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45672</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45672</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45672</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45672</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45672</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45672</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45672</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45672</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45672</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45672</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45672</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45672</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45672</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45672</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45672</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45672</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45672</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45672</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45672</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45672</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45672</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45672</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45672</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45672</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45672</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45672</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45672</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45672</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45672</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45672</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45672</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45672</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45672</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45672</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45672</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45672</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45672</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45672</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45672</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45672</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45672</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45672</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45672</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45672</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45672</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45672</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45672</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45672</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45672</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45672</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45672</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45672</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45672</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45672</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45672</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45672</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45672</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45672</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45672</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45672</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45672</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45672</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45672</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45672</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45672</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45672</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45672</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45672</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45672</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45672</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45672</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45672</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45672</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45672</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45672</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45672</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45672</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45672</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45672</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45672</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45672</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45672</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45672</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45672</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45672</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45672</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45672</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45672</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45672</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45672</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45672</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45672</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45672</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45672</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45672</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45672</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45672</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45672</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45672</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45672</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45672</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45672</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45672</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45672</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45672</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45672</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45672</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45672</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45672</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45672</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45672</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45672</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45672</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45672</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45672</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45672</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45672</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45672</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45672</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45672</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45672</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45672</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45672</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45672</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45672</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45672</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45672</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45672</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45672</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45672</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45672</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45672</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45672</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45672</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45672</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45672</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45672</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45672</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45672</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45672</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45672</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45672</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45672</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45672</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45672</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45672</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45672</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45672</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45672</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45672</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45672</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45672</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45672</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45672</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45672</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45672</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45672</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45672</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45672</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45672</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45672</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45672</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45672</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45672</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45672</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45672</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45672</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45672</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45672</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45672</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45672</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45672</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45672</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45672</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45672</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45672</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45672</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45672</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45672</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45672</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45672</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45672</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45672</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45672</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45672</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45672</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45672</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45672</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45672</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45672</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45672</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45672</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45672</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45672</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45672</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45672</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45672</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45672</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45672</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45672</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45672</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45672</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45672</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45672</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45672</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45672</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45672</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45672</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45672</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45672</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45672</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45672</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45672</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45672</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45672</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45672</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45672</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45672</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45672</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45672</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45672</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45672</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45672</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45672</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45672</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45672</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45672</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45672</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45672</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45672</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45672</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45672</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45672</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45672</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45672</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45672</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45672</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45672</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45672</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45672</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45672</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45672</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45672</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45672</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45672</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45672</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45672</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45672</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45672</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45672</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45672</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45672</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45672</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45672</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45672</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45672</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45672</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45672</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45672</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45672</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45672</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45672</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45672</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45672</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45672</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45672</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45672</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45672</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45672</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45672</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45672</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45672</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45672</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45672</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45672</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45672</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45672</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45672</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45672</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45672</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45672</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45672</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45672</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45672</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45672</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45672</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45672</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45672</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45672</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45672</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45672</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45672</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45672</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45672</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45672</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45672</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45672</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45672</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45672</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45672</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45672</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45672</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45672</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45672</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45672</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45672</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45672</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45672</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45672</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45672</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45672</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45672</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45672</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45672</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45672</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45672</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45672</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45672</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45672</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45672</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45672</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45672</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45672</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45672</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45672</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45672</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45672</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45672</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45672</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45672</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45672</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45672</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45672</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45672</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45672</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45672</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45672</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45672</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45672</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45672</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45672</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45672</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45672</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45672</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45672</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45672</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45672</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45672</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45672</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45672</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45672</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45672</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45672</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45672</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45672</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45672</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45672</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45672</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45672</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45672</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45672</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45672</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45672</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45672</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45672</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45672</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45672</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45672</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45672</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45672</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45672</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45672</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45672</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45672</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45672</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45672</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45672</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45672</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45672</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45672</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45672</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45672</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45672</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45672</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45672</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45672</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45672</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45672</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45672</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45672</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45672</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45672</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45672</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45672</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45672</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45672</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45672</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45672</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45672</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45672</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45672</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45672</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45672</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45672</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45672</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45672</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45672</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45672</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45672</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45672</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45672</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45672</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45672</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45672</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45672</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45672</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45672</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45672</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45672</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45672</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45672</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45672</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45672</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45672</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45672</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45672</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45672</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45672</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45672</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45672</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45672</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45672</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45672</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45672</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45672</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45672</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45672</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45672</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45672</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45672</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45672</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45672</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45672</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45672</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45672</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45672</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45672</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45672</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45672</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45672</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45672</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45672</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45672</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45672</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45672</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45672</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45672</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45672</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45672</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45672</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45672</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45672</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45672</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45672</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45672</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45672</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45672</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45672</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45672</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45672</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45672</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45672</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45672</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45672</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45672</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45672</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45672</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45672</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45672</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45672</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45672</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45672</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45672</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45672</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45672</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45672</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45672</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45672</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45672</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45672</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45672</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45672</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45672</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45672</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45672</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45672</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45672</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45672</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45672</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45672</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45672</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45672</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45672</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45672</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45672</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45672</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45672</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45672</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45672</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45672</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45672</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45672</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45672</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45672</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45672</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45672</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45672</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45672</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45672</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45672</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45672</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45672</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45672</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45672</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45672</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45672</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45672</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45672</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45672</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45672</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45672</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45672</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45672</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45672</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45672</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45672</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45672</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45672</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45672</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45672</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45672</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45672</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45672</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45672</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45672</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45672</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45672</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45672</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45672</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45672</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45672</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45672</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45672</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45672</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45672</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45672</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45672</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45672</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45672</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45672</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45672</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45672</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45672</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45672</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45672</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45672</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45672</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45672</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45672</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45672</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45672</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45672</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45672</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45672</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45672</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45672</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45672</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45672</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45672</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45672</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45672</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45672</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45672</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45672</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45672</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45672</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45672</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45672</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45672</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45672</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45672</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45672</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45672</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45672</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45672</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45672</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45672</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45672</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45672</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45672</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45672</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45672</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45672</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45672</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45672</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45672</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45672</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45672</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45672</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45672</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45672</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45672</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45672</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45672</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45672</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45672</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45672</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45672</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45672</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45672</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45672</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45672</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45672</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45672</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45672</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45672</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45672</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45672</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45672</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45672</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45672</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45672</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45672</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45672</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45672</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45672</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45672</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45672</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45672</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45672</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45672</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45672</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45672</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45672</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45672</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45672</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45672</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45672</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45672</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45672</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45672</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45672</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45672</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45672</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45672</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45672</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45672</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45672</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45672</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45672</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45672</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45672</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45672</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45672</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45672</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45672</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45672</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45672</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45672</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45672</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45672</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45672</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45672</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45672</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45672</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45672</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45672</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45672</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45672</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45672</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45672</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45672</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45672</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45672</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45672</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45672</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45672</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45672</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45672</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45672</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45672</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45672</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45672</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45672</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45672</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45672</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45672</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45672</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45672</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45672</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45672</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45672</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45672</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45672</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45672</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45672</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45672</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45672</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45672</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45672</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45672</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45672</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45672</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45672</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45672</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45672</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45672</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45672</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45672</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45672</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45672</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45672</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45672</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45672</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45672</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45672</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45672</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45672</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45672</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45672</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45672</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45672</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45672</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45672</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45672</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45672</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45672</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45672</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45672</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45672</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45672</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45672</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45672</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45672</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45672</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45672</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45672</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45672</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45672</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45672</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45672</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45672</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45672</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45672</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45672</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45672</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45672</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45672</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45672</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45672</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45672</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45672</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45672</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45672</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45672</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45672</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45672</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45672</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45672</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45672</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45672</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45672</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45672</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45672</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45672</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45672</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45672</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45672</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45672</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45672</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45672</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45672</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45672</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45672</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45672</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45672</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45672</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45672</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45672</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45672</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45672</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45672</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45672</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45672</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45672</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45672</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45672</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45672</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45672</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45672</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45672</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45672</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45672</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45672</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45672</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45672</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45672</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45672</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45672</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45672</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45672</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45672</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45672</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45672</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45672</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45672</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45672</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45672</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45672</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45672</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45672</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45672</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45672</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45672</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45672</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45672</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45672</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45672</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45672</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45672</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45672</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45672</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45672</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45672</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45672</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45672</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45672</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45672</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45672</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45672</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45672</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45672</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45672</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45672</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45672</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45672</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45672</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45672</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45672</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45672</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45672</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45672</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45672</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45672</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45672</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45672</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45672</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45672</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45672</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45672</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45672</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45672</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45672</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45672</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45672</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45672</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45672</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45672</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45672</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45672</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45672</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45672</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45672</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45672</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45672</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45672</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45672</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45672</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45672</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45672</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45672</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45672</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45672</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45672</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45672</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45672</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45672</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45672</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45672</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45672</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45672</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45672</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45672</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45672</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45672</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45672</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45672</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45672</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45672</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45672</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45672</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45672</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45672</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45672</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45672</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45672</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45672</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45672</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45672</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45672</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45672</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45672</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45672</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45672</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45672</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45672</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45672</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45672</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45672</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45672</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45672</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45672</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45672</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45672</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45672</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45672</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45672</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45672</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45672</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45672</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45672</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45672</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45672</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45672</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45672</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45672</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45672</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45672</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45672</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45672</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45672</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45672</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45672</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45672</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45672</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45672</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45672</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45672</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45672</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45672</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45672</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45672</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45672</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45672</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45672</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45672</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45672</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45672</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45672</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45672</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45672</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45672</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45672</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45672</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45672</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45672</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45672</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45672</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45672</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45672</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45672</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45672</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45672</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45672</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45672</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45672</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45672</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45672</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45672</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45672</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45672</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45672</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45672</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45672</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45672</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11907-2024</t>
        </is>
      </c>
      <c r="B1320" s="1" t="n">
        <v>45376</v>
      </c>
      <c r="C1320" s="1" t="n">
        <v>45672</v>
      </c>
      <c r="D1320" t="inlineStr">
        <is>
          <t>SKÅNE LÄN</t>
        </is>
      </c>
      <c r="E1320" t="inlineStr">
        <is>
          <t>HÄSSLEHOLM</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12172-2024</t>
        </is>
      </c>
      <c r="B1321" s="1" t="n">
        <v>45377</v>
      </c>
      <c r="C1321" s="1" t="n">
        <v>45672</v>
      </c>
      <c r="D1321" t="inlineStr">
        <is>
          <t>SKÅNE LÄN</t>
        </is>
      </c>
      <c r="E1321" t="inlineStr">
        <is>
          <t>HÄSSLEHOLM</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12114-2024</t>
        </is>
      </c>
      <c r="B1322" s="1" t="n">
        <v>45377</v>
      </c>
      <c r="C1322" s="1" t="n">
        <v>45672</v>
      </c>
      <c r="D1322" t="inlineStr">
        <is>
          <t>SKÅNE LÄN</t>
        </is>
      </c>
      <c r="E1322" t="inlineStr">
        <is>
          <t>HÄSSLEHOLM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12314-2024</t>
        </is>
      </c>
      <c r="B1323" s="1" t="n">
        <v>45378</v>
      </c>
      <c r="C1323" s="1" t="n">
        <v>45672</v>
      </c>
      <c r="D1323" t="inlineStr">
        <is>
          <t>SKÅNE LÄN</t>
        </is>
      </c>
      <c r="E1323" t="inlineStr">
        <is>
          <t>HÄSSLEHOLM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12338-2024</t>
        </is>
      </c>
      <c r="B1324" s="1" t="n">
        <v>45378</v>
      </c>
      <c r="C1324" s="1" t="n">
        <v>45672</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12491-2024</t>
        </is>
      </c>
      <c r="B1325" s="1" t="n">
        <v>45379</v>
      </c>
      <c r="C1325" s="1" t="n">
        <v>45672</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12468-2024</t>
        </is>
      </c>
      <c r="B1326" s="1" t="n">
        <v>45379</v>
      </c>
      <c r="C1326" s="1" t="n">
        <v>45672</v>
      </c>
      <c r="D1326" t="inlineStr">
        <is>
          <t>SKÅNE LÄN</t>
        </is>
      </c>
      <c r="E1326" t="inlineStr">
        <is>
          <t>HÄSSLEHOLM</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12492-2024</t>
        </is>
      </c>
      <c r="B1327" s="1" t="n">
        <v>45379</v>
      </c>
      <c r="C1327" s="1" t="n">
        <v>45672</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12780-2024</t>
        </is>
      </c>
      <c r="B1328" s="1" t="n">
        <v>45384</v>
      </c>
      <c r="C1328" s="1" t="n">
        <v>45672</v>
      </c>
      <c r="D1328" t="inlineStr">
        <is>
          <t>SKÅNE LÄN</t>
        </is>
      </c>
      <c r="E1328" t="inlineStr">
        <is>
          <t>HÄSSLEHOLM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12908-2024</t>
        </is>
      </c>
      <c r="B1329" s="1" t="n">
        <v>45385</v>
      </c>
      <c r="C1329" s="1" t="n">
        <v>45672</v>
      </c>
      <c r="D1329" t="inlineStr">
        <is>
          <t>SKÅNE LÄN</t>
        </is>
      </c>
      <c r="E1329" t="inlineStr">
        <is>
          <t>HÄSSLEHOLM</t>
        </is>
      </c>
      <c r="F1329" t="inlineStr">
        <is>
          <t>Kommuner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13018-2024</t>
        </is>
      </c>
      <c r="B1330" s="1" t="n">
        <v>45385</v>
      </c>
      <c r="C1330" s="1" t="n">
        <v>45672</v>
      </c>
      <c r="D1330" t="inlineStr">
        <is>
          <t>SKÅNE LÄN</t>
        </is>
      </c>
      <c r="E1330" t="inlineStr">
        <is>
          <t>HÄSSLEHOLM</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13007-2024</t>
        </is>
      </c>
      <c r="B1331" s="1" t="n">
        <v>45385</v>
      </c>
      <c r="C1331" s="1" t="n">
        <v>45672</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13149-2024</t>
        </is>
      </c>
      <c r="B1332" s="1" t="n">
        <v>45386</v>
      </c>
      <c r="C1332" s="1" t="n">
        <v>45672</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13646-2024</t>
        </is>
      </c>
      <c r="B1333" s="1" t="n">
        <v>45387</v>
      </c>
      <c r="C1333" s="1" t="n">
        <v>45672</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13424-2024</t>
        </is>
      </c>
      <c r="B1334" s="1" t="n">
        <v>45387</v>
      </c>
      <c r="C1334" s="1" t="n">
        <v>45672</v>
      </c>
      <c r="D1334" t="inlineStr">
        <is>
          <t>SKÅNE LÄN</t>
        </is>
      </c>
      <c r="E1334" t="inlineStr">
        <is>
          <t>HÄSSLEHOLM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13719-2024</t>
        </is>
      </c>
      <c r="B1335" s="1" t="n">
        <v>45390</v>
      </c>
      <c r="C1335" s="1" t="n">
        <v>45672</v>
      </c>
      <c r="D1335" t="inlineStr">
        <is>
          <t>SKÅNE LÄN</t>
        </is>
      </c>
      <c r="E1335" t="inlineStr">
        <is>
          <t>HÄSSLEHOLM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13897-2024</t>
        </is>
      </c>
      <c r="B1336" s="1" t="n">
        <v>45391</v>
      </c>
      <c r="C1336" s="1" t="n">
        <v>45672</v>
      </c>
      <c r="D1336" t="inlineStr">
        <is>
          <t>SKÅNE LÄN</t>
        </is>
      </c>
      <c r="E1336" t="inlineStr">
        <is>
          <t>HÄSSLEHOLM</t>
        </is>
      </c>
      <c r="F1336" t="inlineStr">
        <is>
          <t>Kommuner</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13890-2024</t>
        </is>
      </c>
      <c r="B1337" s="1" t="n">
        <v>45391</v>
      </c>
      <c r="C1337" s="1" t="n">
        <v>45672</v>
      </c>
      <c r="D1337" t="inlineStr">
        <is>
          <t>SKÅNE LÄN</t>
        </is>
      </c>
      <c r="E1337" t="inlineStr">
        <is>
          <t>HÄSSLEHOLM</t>
        </is>
      </c>
      <c r="F1337" t="inlineStr">
        <is>
          <t>Kommuner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14105-2024</t>
        </is>
      </c>
      <c r="B1338" s="1" t="n">
        <v>45392</v>
      </c>
      <c r="C1338" s="1" t="n">
        <v>45672</v>
      </c>
      <c r="D1338" t="inlineStr">
        <is>
          <t>SKÅNE LÄN</t>
        </is>
      </c>
      <c r="E1338" t="inlineStr">
        <is>
          <t>HÄSSLEHOLM</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14255-2024</t>
        </is>
      </c>
      <c r="B1339" s="1" t="n">
        <v>45393</v>
      </c>
      <c r="C1339" s="1" t="n">
        <v>45672</v>
      </c>
      <c r="D1339" t="inlineStr">
        <is>
          <t>SKÅNE LÄN</t>
        </is>
      </c>
      <c r="E1339" t="inlineStr">
        <is>
          <t>HÄSSLEHOLM</t>
        </is>
      </c>
      <c r="G1339" t="n">
        <v>11.9</v>
      </c>
      <c r="H1339" t="n">
        <v>0</v>
      </c>
      <c r="I1339" t="n">
        <v>0</v>
      </c>
      <c r="J1339" t="n">
        <v>0</v>
      </c>
      <c r="K1339" t="n">
        <v>0</v>
      </c>
      <c r="L1339" t="n">
        <v>0</v>
      </c>
      <c r="M1339" t="n">
        <v>0</v>
      </c>
      <c r="N1339" t="n">
        <v>0</v>
      </c>
      <c r="O1339" t="n">
        <v>0</v>
      </c>
      <c r="P1339" t="n">
        <v>0</v>
      </c>
      <c r="Q1339" t="n">
        <v>0</v>
      </c>
      <c r="R1339" s="2" t="inlineStr"/>
    </row>
    <row r="1340" ht="15" customHeight="1">
      <c r="A1340" t="inlineStr">
        <is>
          <t>A 14705-2024</t>
        </is>
      </c>
      <c r="B1340" s="1" t="n">
        <v>45397</v>
      </c>
      <c r="C1340" s="1" t="n">
        <v>45672</v>
      </c>
      <c r="D1340" t="inlineStr">
        <is>
          <t>SKÅNE LÄN</t>
        </is>
      </c>
      <c r="E1340" t="inlineStr">
        <is>
          <t>HÄSSLEHOLM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14926-2024</t>
        </is>
      </c>
      <c r="B1341" s="1" t="n">
        <v>45398</v>
      </c>
      <c r="C1341" s="1" t="n">
        <v>45672</v>
      </c>
      <c r="D1341" t="inlineStr">
        <is>
          <t>SKÅNE LÄN</t>
        </is>
      </c>
      <c r="E1341" t="inlineStr">
        <is>
          <t>HÄSSLEHOLM</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15072-2024</t>
        </is>
      </c>
      <c r="B1342" s="1" t="n">
        <v>45399</v>
      </c>
      <c r="C1342" s="1" t="n">
        <v>45672</v>
      </c>
      <c r="D1342" t="inlineStr">
        <is>
          <t>SKÅNE LÄN</t>
        </is>
      </c>
      <c r="E1342" t="inlineStr">
        <is>
          <t>HÄSSLEHOLM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15036-2024</t>
        </is>
      </c>
      <c r="B1343" s="1" t="n">
        <v>45399</v>
      </c>
      <c r="C1343" s="1" t="n">
        <v>45672</v>
      </c>
      <c r="D1343" t="inlineStr">
        <is>
          <t>SKÅNE LÄN</t>
        </is>
      </c>
      <c r="E1343" t="inlineStr">
        <is>
          <t>HÄSSLEHOLM</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15160-2024</t>
        </is>
      </c>
      <c r="B1344" s="1" t="n">
        <v>45400</v>
      </c>
      <c r="C1344" s="1" t="n">
        <v>45672</v>
      </c>
      <c r="D1344" t="inlineStr">
        <is>
          <t>SKÅNE LÄN</t>
        </is>
      </c>
      <c r="E1344" t="inlineStr">
        <is>
          <t>HÄSSLEHOLM</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15562-2024</t>
        </is>
      </c>
      <c r="B1345" s="1" t="n">
        <v>45401</v>
      </c>
      <c r="C1345" s="1" t="n">
        <v>45672</v>
      </c>
      <c r="D1345" t="inlineStr">
        <is>
          <t>SKÅNE LÄN</t>
        </is>
      </c>
      <c r="E1345" t="inlineStr">
        <is>
          <t>HÄSSLEHOLM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15665-2024</t>
        </is>
      </c>
      <c r="B1346" s="1" t="n">
        <v>45404</v>
      </c>
      <c r="C1346" s="1" t="n">
        <v>45672</v>
      </c>
      <c r="D1346" t="inlineStr">
        <is>
          <t>SKÅNE LÄN</t>
        </is>
      </c>
      <c r="E1346" t="inlineStr">
        <is>
          <t>HÄSSLEHOLM</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15669-2024</t>
        </is>
      </c>
      <c r="B1347" s="1" t="n">
        <v>45404</v>
      </c>
      <c r="C1347" s="1" t="n">
        <v>45672</v>
      </c>
      <c r="D1347" t="inlineStr">
        <is>
          <t>SKÅNE LÄN</t>
        </is>
      </c>
      <c r="E1347" t="inlineStr">
        <is>
          <t>HÄSSLEHOLM</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16334-2024</t>
        </is>
      </c>
      <c r="B1348" s="1" t="n">
        <v>45407</v>
      </c>
      <c r="C1348" s="1" t="n">
        <v>45672</v>
      </c>
      <c r="D1348" t="inlineStr">
        <is>
          <t>SKÅNE LÄN</t>
        </is>
      </c>
      <c r="E1348" t="inlineStr">
        <is>
          <t>HÄSSLEHOLM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16561-2024</t>
        </is>
      </c>
      <c r="B1349" s="1" t="n">
        <v>45408</v>
      </c>
      <c r="C1349" s="1" t="n">
        <v>45672</v>
      </c>
      <c r="D1349" t="inlineStr">
        <is>
          <t>SKÅNE LÄN</t>
        </is>
      </c>
      <c r="E1349" t="inlineStr">
        <is>
          <t>HÄSSLEHOLM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17064-2024</t>
        </is>
      </c>
      <c r="B1350" s="1" t="n">
        <v>45411</v>
      </c>
      <c r="C1350" s="1" t="n">
        <v>45672</v>
      </c>
      <c r="D1350" t="inlineStr">
        <is>
          <t>SKÅNE LÄN</t>
        </is>
      </c>
      <c r="E1350" t="inlineStr">
        <is>
          <t>HÄSSLEHOLM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16930-2024</t>
        </is>
      </c>
      <c r="B1351" s="1" t="n">
        <v>45411</v>
      </c>
      <c r="C1351" s="1" t="n">
        <v>45672</v>
      </c>
      <c r="D1351" t="inlineStr">
        <is>
          <t>SKÅNE LÄN</t>
        </is>
      </c>
      <c r="E1351" t="inlineStr">
        <is>
          <t>HÄSSLEHOLM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16932-2024</t>
        </is>
      </c>
      <c r="B1352" s="1" t="n">
        <v>45411</v>
      </c>
      <c r="C1352" s="1" t="n">
        <v>45672</v>
      </c>
      <c r="D1352" t="inlineStr">
        <is>
          <t>SKÅNE LÄN</t>
        </is>
      </c>
      <c r="E1352" t="inlineStr">
        <is>
          <t>HÄSSLEHOLM</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17335-2024</t>
        </is>
      </c>
      <c r="B1353" s="1" t="n">
        <v>45414</v>
      </c>
      <c r="C1353" s="1" t="n">
        <v>45672</v>
      </c>
      <c r="D1353" t="inlineStr">
        <is>
          <t>SKÅNE LÄN</t>
        </is>
      </c>
      <c r="E1353" t="inlineStr">
        <is>
          <t>HÄSSLEHOLM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17320-2024</t>
        </is>
      </c>
      <c r="B1354" s="1" t="n">
        <v>45414</v>
      </c>
      <c r="C1354" s="1" t="n">
        <v>45672</v>
      </c>
      <c r="D1354" t="inlineStr">
        <is>
          <t>SKÅNE LÄN</t>
        </is>
      </c>
      <c r="E1354" t="inlineStr">
        <is>
          <t>HÄSSLEHOLM</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17699-2024</t>
        </is>
      </c>
      <c r="B1355" s="1" t="n">
        <v>45418</v>
      </c>
      <c r="C1355" s="1" t="n">
        <v>45672</v>
      </c>
      <c r="D1355" t="inlineStr">
        <is>
          <t>SKÅNE LÄN</t>
        </is>
      </c>
      <c r="E1355" t="inlineStr">
        <is>
          <t>HÄSSLEHOLM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17703-2024</t>
        </is>
      </c>
      <c r="B1356" s="1" t="n">
        <v>45418</v>
      </c>
      <c r="C1356" s="1" t="n">
        <v>45672</v>
      </c>
      <c r="D1356" t="inlineStr">
        <is>
          <t>SKÅNE LÄN</t>
        </is>
      </c>
      <c r="E1356" t="inlineStr">
        <is>
          <t>HÄSSLEHOLM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17702-2024</t>
        </is>
      </c>
      <c r="B1357" s="1" t="n">
        <v>45418</v>
      </c>
      <c r="C1357" s="1" t="n">
        <v>45672</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17917-2024</t>
        </is>
      </c>
      <c r="B1358" s="1" t="n">
        <v>45419</v>
      </c>
      <c r="C1358" s="1" t="n">
        <v>45672</v>
      </c>
      <c r="D1358" t="inlineStr">
        <is>
          <t>SKÅNE LÄN</t>
        </is>
      </c>
      <c r="E1358" t="inlineStr">
        <is>
          <t>HÄSSLEHOLM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19022-2024</t>
        </is>
      </c>
      <c r="B1359" s="1" t="n">
        <v>45427</v>
      </c>
      <c r="C1359" s="1" t="n">
        <v>45672</v>
      </c>
      <c r="D1359" t="inlineStr">
        <is>
          <t>SKÅNE LÄN</t>
        </is>
      </c>
      <c r="E1359" t="inlineStr">
        <is>
          <t>HÄSSLEHOLM</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19020-2024</t>
        </is>
      </c>
      <c r="B1360" s="1" t="n">
        <v>45427</v>
      </c>
      <c r="C1360" s="1" t="n">
        <v>45672</v>
      </c>
      <c r="D1360" t="inlineStr">
        <is>
          <t>SKÅNE LÄN</t>
        </is>
      </c>
      <c r="E1360" t="inlineStr">
        <is>
          <t>HÄSSLEHOLM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20494-2024</t>
        </is>
      </c>
      <c r="B1361" s="1" t="n">
        <v>45435</v>
      </c>
      <c r="C1361" s="1" t="n">
        <v>45672</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20493-2024</t>
        </is>
      </c>
      <c r="B1362" s="1" t="n">
        <v>45435</v>
      </c>
      <c r="C1362" s="1" t="n">
        <v>45672</v>
      </c>
      <c r="D1362" t="inlineStr">
        <is>
          <t>SKÅNE LÄN</t>
        </is>
      </c>
      <c r="E1362" t="inlineStr">
        <is>
          <t>HÄSSLEHOLM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20639-2024</t>
        </is>
      </c>
      <c r="B1363" s="1" t="n">
        <v>45436</v>
      </c>
      <c r="C1363" s="1" t="n">
        <v>45672</v>
      </c>
      <c r="D1363" t="inlineStr">
        <is>
          <t>SKÅNE LÄN</t>
        </is>
      </c>
      <c r="E1363" t="inlineStr">
        <is>
          <t>HÄSSLEHOLM</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20668-2024</t>
        </is>
      </c>
      <c r="B1364" s="1" t="n">
        <v>45436</v>
      </c>
      <c r="C1364" s="1" t="n">
        <v>45672</v>
      </c>
      <c r="D1364" t="inlineStr">
        <is>
          <t>SKÅNE LÄN</t>
        </is>
      </c>
      <c r="E1364" t="inlineStr">
        <is>
          <t>HÄSSLEHOLM</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21141-2024</t>
        </is>
      </c>
      <c r="B1365" s="1" t="n">
        <v>45440</v>
      </c>
      <c r="C1365" s="1" t="n">
        <v>45672</v>
      </c>
      <c r="D1365" t="inlineStr">
        <is>
          <t>SKÅNE LÄN</t>
        </is>
      </c>
      <c r="E1365" t="inlineStr">
        <is>
          <t>HÄSSLEHOLM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21497-2024</t>
        </is>
      </c>
      <c r="B1366" s="1" t="n">
        <v>45441</v>
      </c>
      <c r="C1366" s="1" t="n">
        <v>45672</v>
      </c>
      <c r="D1366" t="inlineStr">
        <is>
          <t>SKÅNE LÄN</t>
        </is>
      </c>
      <c r="E1366" t="inlineStr">
        <is>
          <t>HÄSSLEHOLM</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22134-2024</t>
        </is>
      </c>
      <c r="B1367" s="1" t="n">
        <v>45444</v>
      </c>
      <c r="C1367" s="1" t="n">
        <v>45672</v>
      </c>
      <c r="D1367" t="inlineStr">
        <is>
          <t>SKÅNE LÄN</t>
        </is>
      </c>
      <c r="E1367" t="inlineStr">
        <is>
          <t>HÄSSLEHOLM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22132-2024</t>
        </is>
      </c>
      <c r="B1368" s="1" t="n">
        <v>45444</v>
      </c>
      <c r="C1368" s="1" t="n">
        <v>45672</v>
      </c>
      <c r="D1368" t="inlineStr">
        <is>
          <t>SKÅNE LÄN</t>
        </is>
      </c>
      <c r="E1368" t="inlineStr">
        <is>
          <t>HÄSSLEHOLM</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22157-2024</t>
        </is>
      </c>
      <c r="B1369" s="1" t="n">
        <v>45445</v>
      </c>
      <c r="C1369" s="1" t="n">
        <v>45672</v>
      </c>
      <c r="D1369" t="inlineStr">
        <is>
          <t>SKÅNE LÄN</t>
        </is>
      </c>
      <c r="E1369" t="inlineStr">
        <is>
          <t>HÄSSLEHOLM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22384-2024</t>
        </is>
      </c>
      <c r="B1370" s="1" t="n">
        <v>45446</v>
      </c>
      <c r="C1370" s="1" t="n">
        <v>45672</v>
      </c>
      <c r="D1370" t="inlineStr">
        <is>
          <t>SKÅNE LÄN</t>
        </is>
      </c>
      <c r="E1370" t="inlineStr">
        <is>
          <t>HÄSSLEHOLM</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22305-2024</t>
        </is>
      </c>
      <c r="B1371" s="1" t="n">
        <v>45446</v>
      </c>
      <c r="C1371" s="1" t="n">
        <v>45672</v>
      </c>
      <c r="D1371" t="inlineStr">
        <is>
          <t>SKÅNE LÄN</t>
        </is>
      </c>
      <c r="E1371" t="inlineStr">
        <is>
          <t>HÄSSLEHOLM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22310-2024</t>
        </is>
      </c>
      <c r="B1372" s="1" t="n">
        <v>45446</v>
      </c>
      <c r="C1372" s="1" t="n">
        <v>45672</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22204-2024</t>
        </is>
      </c>
      <c r="B1373" s="1" t="n">
        <v>45446</v>
      </c>
      <c r="C1373" s="1" t="n">
        <v>45672</v>
      </c>
      <c r="D1373" t="inlineStr">
        <is>
          <t>SKÅNE LÄN</t>
        </is>
      </c>
      <c r="E1373" t="inlineStr">
        <is>
          <t>HÄSSLEHOLM</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22595-2024</t>
        </is>
      </c>
      <c r="B1374" s="1" t="n">
        <v>45447</v>
      </c>
      <c r="C1374" s="1" t="n">
        <v>45672</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22535-2024</t>
        </is>
      </c>
      <c r="B1375" s="1" t="n">
        <v>45447</v>
      </c>
      <c r="C1375" s="1" t="n">
        <v>45672</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22594-2024</t>
        </is>
      </c>
      <c r="B1376" s="1" t="n">
        <v>45447</v>
      </c>
      <c r="C1376" s="1" t="n">
        <v>45672</v>
      </c>
      <c r="D1376" t="inlineStr">
        <is>
          <t>SKÅNE LÄN</t>
        </is>
      </c>
      <c r="E1376" t="inlineStr">
        <is>
          <t>HÄSSLEHOLM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22886-2024</t>
        </is>
      </c>
      <c r="B1377" s="1" t="n">
        <v>45448</v>
      </c>
      <c r="C1377" s="1" t="n">
        <v>45672</v>
      </c>
      <c r="D1377" t="inlineStr">
        <is>
          <t>SKÅNE LÄN</t>
        </is>
      </c>
      <c r="E1377" t="inlineStr">
        <is>
          <t>HÄSSLEHOLM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23010-2024</t>
        </is>
      </c>
      <c r="B1378" s="1" t="n">
        <v>45450</v>
      </c>
      <c r="C1378" s="1" t="n">
        <v>45672</v>
      </c>
      <c r="D1378" t="inlineStr">
        <is>
          <t>SKÅNE LÄN</t>
        </is>
      </c>
      <c r="E1378" t="inlineStr">
        <is>
          <t>HÄSSLEHOLM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23361-2024</t>
        </is>
      </c>
      <c r="B1379" s="1" t="n">
        <v>45453</v>
      </c>
      <c r="C1379" s="1" t="n">
        <v>45672</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23857-2024</t>
        </is>
      </c>
      <c r="B1380" s="1" t="n">
        <v>45455</v>
      </c>
      <c r="C1380" s="1" t="n">
        <v>45672</v>
      </c>
      <c r="D1380" t="inlineStr">
        <is>
          <t>SKÅNE LÄN</t>
        </is>
      </c>
      <c r="E1380" t="inlineStr">
        <is>
          <t>HÄSSLEHOLM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23864-2024</t>
        </is>
      </c>
      <c r="B1381" s="1" t="n">
        <v>45455</v>
      </c>
      <c r="C1381" s="1" t="n">
        <v>45672</v>
      </c>
      <c r="D1381" t="inlineStr">
        <is>
          <t>SKÅNE LÄN</t>
        </is>
      </c>
      <c r="E1381" t="inlineStr">
        <is>
          <t>HÄSSLEHOLM</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23860-2024</t>
        </is>
      </c>
      <c r="B1382" s="1" t="n">
        <v>45455</v>
      </c>
      <c r="C1382" s="1" t="n">
        <v>45672</v>
      </c>
      <c r="D1382" t="inlineStr">
        <is>
          <t>SKÅNE LÄN</t>
        </is>
      </c>
      <c r="E1382" t="inlineStr">
        <is>
          <t>HÄSSLEHOLM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23987-2024</t>
        </is>
      </c>
      <c r="B1383" s="1" t="n">
        <v>45456</v>
      </c>
      <c r="C1383" s="1" t="n">
        <v>45672</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24865-2024</t>
        </is>
      </c>
      <c r="B1384" s="1" t="n">
        <v>45461</v>
      </c>
      <c r="C1384" s="1" t="n">
        <v>45672</v>
      </c>
      <c r="D1384" t="inlineStr">
        <is>
          <t>SKÅNE LÄN</t>
        </is>
      </c>
      <c r="E1384" t="inlineStr">
        <is>
          <t>HÄSSLEHOLM</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24969-2024</t>
        </is>
      </c>
      <c r="B1385" s="1" t="n">
        <v>45461</v>
      </c>
      <c r="C1385" s="1" t="n">
        <v>45672</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25326-2024</t>
        </is>
      </c>
      <c r="B1386" s="1" t="n">
        <v>45462</v>
      </c>
      <c r="C1386" s="1" t="n">
        <v>45672</v>
      </c>
      <c r="D1386" t="inlineStr">
        <is>
          <t>SKÅNE LÄN</t>
        </is>
      </c>
      <c r="E1386" t="inlineStr">
        <is>
          <t>HÄSSLEHOLM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25323-2024</t>
        </is>
      </c>
      <c r="B1387" s="1" t="n">
        <v>45462</v>
      </c>
      <c r="C1387" s="1" t="n">
        <v>45672</v>
      </c>
      <c r="D1387" t="inlineStr">
        <is>
          <t>SKÅNE LÄN</t>
        </is>
      </c>
      <c r="E1387" t="inlineStr">
        <is>
          <t>HÄSSLEHOLM</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25325-2024</t>
        </is>
      </c>
      <c r="B1388" s="1" t="n">
        <v>45462</v>
      </c>
      <c r="C1388" s="1" t="n">
        <v>45672</v>
      </c>
      <c r="D1388" t="inlineStr">
        <is>
          <t>SKÅNE LÄN</t>
        </is>
      </c>
      <c r="E1388" t="inlineStr">
        <is>
          <t>HÄSSLEHOLM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25176-2024</t>
        </is>
      </c>
      <c r="B1389" s="1" t="n">
        <v>45462</v>
      </c>
      <c r="C1389" s="1" t="n">
        <v>45672</v>
      </c>
      <c r="D1389" t="inlineStr">
        <is>
          <t>SKÅNE LÄN</t>
        </is>
      </c>
      <c r="E1389" t="inlineStr">
        <is>
          <t>HÄSSLEHOLM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25077-2024</t>
        </is>
      </c>
      <c r="B1390" s="1" t="n">
        <v>45462</v>
      </c>
      <c r="C1390" s="1" t="n">
        <v>45672</v>
      </c>
      <c r="D1390" t="inlineStr">
        <is>
          <t>SKÅNE LÄN</t>
        </is>
      </c>
      <c r="E1390" t="inlineStr">
        <is>
          <t>HÄSSLEHOLM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25057-2024</t>
        </is>
      </c>
      <c r="B1391" s="1" t="n">
        <v>45462</v>
      </c>
      <c r="C1391" s="1" t="n">
        <v>45672</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25324-2024</t>
        </is>
      </c>
      <c r="B1392" s="1" t="n">
        <v>45462</v>
      </c>
      <c r="C1392" s="1" t="n">
        <v>45672</v>
      </c>
      <c r="D1392" t="inlineStr">
        <is>
          <t>SKÅNE LÄN</t>
        </is>
      </c>
      <c r="E1392" t="inlineStr">
        <is>
          <t>HÄSSLEHOLM</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25203-2024</t>
        </is>
      </c>
      <c r="B1393" s="1" t="n">
        <v>45462</v>
      </c>
      <c r="C1393" s="1" t="n">
        <v>45672</v>
      </c>
      <c r="D1393" t="inlineStr">
        <is>
          <t>SKÅNE LÄN</t>
        </is>
      </c>
      <c r="E1393" t="inlineStr">
        <is>
          <t>HÄSSLEHOLM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25604-2024</t>
        </is>
      </c>
      <c r="B1394" s="1" t="n">
        <v>45463</v>
      </c>
      <c r="C1394" s="1" t="n">
        <v>45672</v>
      </c>
      <c r="D1394" t="inlineStr">
        <is>
          <t>SKÅNE LÄN</t>
        </is>
      </c>
      <c r="E1394" t="inlineStr">
        <is>
          <t>HÄSSLEHOLM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25606-2024</t>
        </is>
      </c>
      <c r="B1395" s="1" t="n">
        <v>45463</v>
      </c>
      <c r="C1395" s="1" t="n">
        <v>45672</v>
      </c>
      <c r="D1395" t="inlineStr">
        <is>
          <t>SKÅNE LÄN</t>
        </is>
      </c>
      <c r="E1395" t="inlineStr">
        <is>
          <t>HÄSSLEHOLM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25542-2024</t>
        </is>
      </c>
      <c r="B1396" s="1" t="n">
        <v>45463</v>
      </c>
      <c r="C1396" s="1" t="n">
        <v>45672</v>
      </c>
      <c r="D1396" t="inlineStr">
        <is>
          <t>SKÅNE LÄN</t>
        </is>
      </c>
      <c r="E1396" t="inlineStr">
        <is>
          <t>HÄSSLEHOLM</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25538-2024</t>
        </is>
      </c>
      <c r="B1397" s="1" t="n">
        <v>45463</v>
      </c>
      <c r="C1397" s="1" t="n">
        <v>45672</v>
      </c>
      <c r="D1397" t="inlineStr">
        <is>
          <t>SKÅNE LÄN</t>
        </is>
      </c>
      <c r="E1397" t="inlineStr">
        <is>
          <t>HÄSSLEHOLM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25611-2024</t>
        </is>
      </c>
      <c r="B1398" s="1" t="n">
        <v>45463</v>
      </c>
      <c r="C1398" s="1" t="n">
        <v>45672</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25533-2024</t>
        </is>
      </c>
      <c r="B1399" s="1" t="n">
        <v>45463</v>
      </c>
      <c r="C1399" s="1" t="n">
        <v>45672</v>
      </c>
      <c r="D1399" t="inlineStr">
        <is>
          <t>SKÅNE LÄN</t>
        </is>
      </c>
      <c r="E1399" t="inlineStr">
        <is>
          <t>HÄSSLEHOLM</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25422-2024</t>
        </is>
      </c>
      <c r="B1400" s="1" t="n">
        <v>45463</v>
      </c>
      <c r="C1400" s="1" t="n">
        <v>45672</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26147-2024</t>
        </is>
      </c>
      <c r="B1401" s="1" t="n">
        <v>45468</v>
      </c>
      <c r="C1401" s="1" t="n">
        <v>45672</v>
      </c>
      <c r="D1401" t="inlineStr">
        <is>
          <t>SKÅNE LÄN</t>
        </is>
      </c>
      <c r="E1401" t="inlineStr">
        <is>
          <t>HÄSSLEHOLM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26403-2024</t>
        </is>
      </c>
      <c r="B1402" s="1" t="n">
        <v>45469</v>
      </c>
      <c r="C1402" s="1" t="n">
        <v>45672</v>
      </c>
      <c r="D1402" t="inlineStr">
        <is>
          <t>SKÅNE LÄN</t>
        </is>
      </c>
      <c r="E1402" t="inlineStr">
        <is>
          <t>HÄSSLEHOLM</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26879-2024</t>
        </is>
      </c>
      <c r="B1403" s="1" t="n">
        <v>45470</v>
      </c>
      <c r="C1403" s="1" t="n">
        <v>45672</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27175-2024</t>
        </is>
      </c>
      <c r="B1404" s="1" t="n">
        <v>45471</v>
      </c>
      <c r="C1404" s="1" t="n">
        <v>45672</v>
      </c>
      <c r="D1404" t="inlineStr">
        <is>
          <t>SKÅNE LÄN</t>
        </is>
      </c>
      <c r="E1404" t="inlineStr">
        <is>
          <t>HÄSSLEHOLM</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27173-2024</t>
        </is>
      </c>
      <c r="B1405" s="1" t="n">
        <v>45471</v>
      </c>
      <c r="C1405" s="1" t="n">
        <v>45672</v>
      </c>
      <c r="D1405" t="inlineStr">
        <is>
          <t>SKÅNE LÄN</t>
        </is>
      </c>
      <c r="E1405" t="inlineStr">
        <is>
          <t>HÄSSLEHOLM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27177-2024</t>
        </is>
      </c>
      <c r="B1406" s="1" t="n">
        <v>45471</v>
      </c>
      <c r="C1406" s="1" t="n">
        <v>45672</v>
      </c>
      <c r="D1406" t="inlineStr">
        <is>
          <t>SKÅNE LÄN</t>
        </is>
      </c>
      <c r="E1406" t="inlineStr">
        <is>
          <t>HÄSSLEHOLM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27606-2024</t>
        </is>
      </c>
      <c r="B1407" s="1" t="n">
        <v>45474</v>
      </c>
      <c r="C1407" s="1" t="n">
        <v>45672</v>
      </c>
      <c r="D1407" t="inlineStr">
        <is>
          <t>SKÅNE LÄN</t>
        </is>
      </c>
      <c r="E1407" t="inlineStr">
        <is>
          <t>HÄSSLEHOLM</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27581-2024</t>
        </is>
      </c>
      <c r="B1408" s="1" t="n">
        <v>45474</v>
      </c>
      <c r="C1408" s="1" t="n">
        <v>45672</v>
      </c>
      <c r="D1408" t="inlineStr">
        <is>
          <t>SKÅNE LÄN</t>
        </is>
      </c>
      <c r="E1408" t="inlineStr">
        <is>
          <t>HÄSSLEHOLM</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27820-2024</t>
        </is>
      </c>
      <c r="B1409" s="1" t="n">
        <v>45475</v>
      </c>
      <c r="C1409" s="1" t="n">
        <v>45672</v>
      </c>
      <c r="D1409" t="inlineStr">
        <is>
          <t>SKÅNE LÄN</t>
        </is>
      </c>
      <c r="E1409" t="inlineStr">
        <is>
          <t>HÄSSLEHOLM</t>
        </is>
      </c>
      <c r="F1409" t="inlineStr">
        <is>
          <t>Kommuner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27832-2024</t>
        </is>
      </c>
      <c r="B1410" s="1" t="n">
        <v>45475</v>
      </c>
      <c r="C1410" s="1" t="n">
        <v>45672</v>
      </c>
      <c r="D1410" t="inlineStr">
        <is>
          <t>SKÅNE LÄN</t>
        </is>
      </c>
      <c r="E1410" t="inlineStr">
        <is>
          <t>HÄSSLEHOLM</t>
        </is>
      </c>
      <c r="F1410" t="inlineStr">
        <is>
          <t>Kommuner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27837-2024</t>
        </is>
      </c>
      <c r="B1411" s="1" t="n">
        <v>45475</v>
      </c>
      <c r="C1411" s="1" t="n">
        <v>45672</v>
      </c>
      <c r="D1411" t="inlineStr">
        <is>
          <t>SKÅNE LÄN</t>
        </is>
      </c>
      <c r="E1411" t="inlineStr">
        <is>
          <t>HÄSSLEHOLM</t>
        </is>
      </c>
      <c r="F1411" t="inlineStr">
        <is>
          <t>Kommuner</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27825-2024</t>
        </is>
      </c>
      <c r="B1412" s="1" t="n">
        <v>45475</v>
      </c>
      <c r="C1412" s="1" t="n">
        <v>45672</v>
      </c>
      <c r="D1412" t="inlineStr">
        <is>
          <t>SKÅNE LÄN</t>
        </is>
      </c>
      <c r="E1412" t="inlineStr">
        <is>
          <t>HÄSSLEHOLM</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27991-2024</t>
        </is>
      </c>
      <c r="B1413" s="1" t="n">
        <v>45476</v>
      </c>
      <c r="C1413" s="1" t="n">
        <v>45672</v>
      </c>
      <c r="D1413" t="inlineStr">
        <is>
          <t>SKÅNE LÄN</t>
        </is>
      </c>
      <c r="E1413" t="inlineStr">
        <is>
          <t>HÄSSLEHOLM</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28456-2024</t>
        </is>
      </c>
      <c r="B1414" s="1" t="n">
        <v>45477</v>
      </c>
      <c r="C1414" s="1" t="n">
        <v>45672</v>
      </c>
      <c r="D1414" t="inlineStr">
        <is>
          <t>SKÅNE LÄN</t>
        </is>
      </c>
      <c r="E1414" t="inlineStr">
        <is>
          <t>HÄSSLEHOLM</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28457-2024</t>
        </is>
      </c>
      <c r="B1415" s="1" t="n">
        <v>45477</v>
      </c>
      <c r="C1415" s="1" t="n">
        <v>45672</v>
      </c>
      <c r="D1415" t="inlineStr">
        <is>
          <t>SKÅNE LÄN</t>
        </is>
      </c>
      <c r="E1415" t="inlineStr">
        <is>
          <t>HÄSSLEHOLM</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28599-2024</t>
        </is>
      </c>
      <c r="B1416" s="1" t="n">
        <v>45478</v>
      </c>
      <c r="C1416" s="1" t="n">
        <v>45672</v>
      </c>
      <c r="D1416" t="inlineStr">
        <is>
          <t>SKÅNE LÄN</t>
        </is>
      </c>
      <c r="E1416" t="inlineStr">
        <is>
          <t>HÄSSLEHOLM</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28749-2024</t>
        </is>
      </c>
      <c r="B1417" s="1" t="n">
        <v>45478</v>
      </c>
      <c r="C1417" s="1" t="n">
        <v>45672</v>
      </c>
      <c r="D1417" t="inlineStr">
        <is>
          <t>SKÅNE LÄN</t>
        </is>
      </c>
      <c r="E1417" t="inlineStr">
        <is>
          <t>HÄSSLEHOLM</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28632-2024</t>
        </is>
      </c>
      <c r="B1418" s="1" t="n">
        <v>45478</v>
      </c>
      <c r="C1418" s="1" t="n">
        <v>45672</v>
      </c>
      <c r="D1418" t="inlineStr">
        <is>
          <t>SKÅNE LÄN</t>
        </is>
      </c>
      <c r="E1418" t="inlineStr">
        <is>
          <t>HÄSSLEHOLM</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29629-2024</t>
        </is>
      </c>
      <c r="B1419" s="1" t="n">
        <v>45484</v>
      </c>
      <c r="C1419" s="1" t="n">
        <v>45672</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29659-2024</t>
        </is>
      </c>
      <c r="B1420" s="1" t="n">
        <v>45485</v>
      </c>
      <c r="C1420" s="1" t="n">
        <v>45672</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29627-2024</t>
        </is>
      </c>
      <c r="B1421" s="1" t="n">
        <v>45484</v>
      </c>
      <c r="C1421" s="1" t="n">
        <v>45672</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29847-2024</t>
        </is>
      </c>
      <c r="B1422" s="1" t="n">
        <v>45485</v>
      </c>
      <c r="C1422" s="1" t="n">
        <v>45672</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29844-2024</t>
        </is>
      </c>
      <c r="B1423" s="1" t="n">
        <v>45485</v>
      </c>
      <c r="C1423" s="1" t="n">
        <v>45672</v>
      </c>
      <c r="D1423" t="inlineStr">
        <is>
          <t>SKÅNE LÄN</t>
        </is>
      </c>
      <c r="E1423" t="inlineStr">
        <is>
          <t>HÄSSLEHOLM</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29845-2024</t>
        </is>
      </c>
      <c r="B1424" s="1" t="n">
        <v>45485</v>
      </c>
      <c r="C1424" s="1" t="n">
        <v>45672</v>
      </c>
      <c r="D1424" t="inlineStr">
        <is>
          <t>SKÅNE LÄN</t>
        </is>
      </c>
      <c r="E1424" t="inlineStr">
        <is>
          <t>HÄSSLEHOLM</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29838-2024</t>
        </is>
      </c>
      <c r="B1425" s="1" t="n">
        <v>45485</v>
      </c>
      <c r="C1425" s="1" t="n">
        <v>45672</v>
      </c>
      <c r="D1425" t="inlineStr">
        <is>
          <t>SKÅNE LÄN</t>
        </is>
      </c>
      <c r="E1425" t="inlineStr">
        <is>
          <t>HÄSSLEHOLM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29842-2024</t>
        </is>
      </c>
      <c r="B1426" s="1" t="n">
        <v>45485</v>
      </c>
      <c r="C1426" s="1" t="n">
        <v>45672</v>
      </c>
      <c r="D1426" t="inlineStr">
        <is>
          <t>SKÅNE LÄN</t>
        </is>
      </c>
      <c r="E1426" t="inlineStr">
        <is>
          <t>HÄSSLEHOLM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29850-2024</t>
        </is>
      </c>
      <c r="B1427" s="1" t="n">
        <v>45485</v>
      </c>
      <c r="C1427" s="1" t="n">
        <v>45672</v>
      </c>
      <c r="D1427" t="inlineStr">
        <is>
          <t>SKÅNE LÄN</t>
        </is>
      </c>
      <c r="E1427" t="inlineStr">
        <is>
          <t>HÄSSLEHOLM</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29853-2024</t>
        </is>
      </c>
      <c r="B1428" s="1" t="n">
        <v>45485</v>
      </c>
      <c r="C1428" s="1" t="n">
        <v>45672</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30151-2024</t>
        </is>
      </c>
      <c r="B1429" s="1" t="n">
        <v>45488</v>
      </c>
      <c r="C1429" s="1" t="n">
        <v>45672</v>
      </c>
      <c r="D1429" t="inlineStr">
        <is>
          <t>SKÅNE LÄN</t>
        </is>
      </c>
      <c r="E1429" t="inlineStr">
        <is>
          <t>HÄSSLEHOLM</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30155-2024</t>
        </is>
      </c>
      <c r="B1430" s="1" t="n">
        <v>45488</v>
      </c>
      <c r="C1430" s="1" t="n">
        <v>45672</v>
      </c>
      <c r="D1430" t="inlineStr">
        <is>
          <t>SKÅNE LÄN</t>
        </is>
      </c>
      <c r="E1430" t="inlineStr">
        <is>
          <t>HÄSSLEHOLM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30227-2024</t>
        </is>
      </c>
      <c r="B1431" s="1" t="n">
        <v>45490</v>
      </c>
      <c r="C1431" s="1" t="n">
        <v>45672</v>
      </c>
      <c r="D1431" t="inlineStr">
        <is>
          <t>SKÅNE LÄN</t>
        </is>
      </c>
      <c r="E1431" t="inlineStr">
        <is>
          <t>HÄSSLEHOLM</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30391-2024</t>
        </is>
      </c>
      <c r="B1432" s="1" t="n">
        <v>45491</v>
      </c>
      <c r="C1432" s="1" t="n">
        <v>45672</v>
      </c>
      <c r="D1432" t="inlineStr">
        <is>
          <t>SKÅNE LÄN</t>
        </is>
      </c>
      <c r="E1432" t="inlineStr">
        <is>
          <t>HÄSSLEHOLM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31161-2024</t>
        </is>
      </c>
      <c r="B1433" s="1" t="n">
        <v>45503</v>
      </c>
      <c r="C1433" s="1" t="n">
        <v>45672</v>
      </c>
      <c r="D1433" t="inlineStr">
        <is>
          <t>SKÅNE LÄN</t>
        </is>
      </c>
      <c r="E1433" t="inlineStr">
        <is>
          <t>HÄSSLEHOLM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31162-2024</t>
        </is>
      </c>
      <c r="B1434" s="1" t="n">
        <v>45503</v>
      </c>
      <c r="C1434" s="1" t="n">
        <v>45672</v>
      </c>
      <c r="D1434" t="inlineStr">
        <is>
          <t>SKÅNE LÄN</t>
        </is>
      </c>
      <c r="E1434" t="inlineStr">
        <is>
          <t>HÄSSLEHOLM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31160-2024</t>
        </is>
      </c>
      <c r="B1435" s="1" t="n">
        <v>45503</v>
      </c>
      <c r="C1435" s="1" t="n">
        <v>45672</v>
      </c>
      <c r="D1435" t="inlineStr">
        <is>
          <t>SKÅNE LÄN</t>
        </is>
      </c>
      <c r="E1435" t="inlineStr">
        <is>
          <t>HÄSSLEHOLM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31254-2024</t>
        </is>
      </c>
      <c r="B1436" s="1" t="n">
        <v>45503</v>
      </c>
      <c r="C1436" s="1" t="n">
        <v>45672</v>
      </c>
      <c r="D1436" t="inlineStr">
        <is>
          <t>SKÅNE LÄN</t>
        </is>
      </c>
      <c r="E1436" t="inlineStr">
        <is>
          <t>HÄSSLEHOLM</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31255-2024</t>
        </is>
      </c>
      <c r="B1437" s="1" t="n">
        <v>45503</v>
      </c>
      <c r="C1437" s="1" t="n">
        <v>45672</v>
      </c>
      <c r="D1437" t="inlineStr">
        <is>
          <t>SKÅNE LÄN</t>
        </is>
      </c>
      <c r="E1437" t="inlineStr">
        <is>
          <t>HÄSSLEHOLM</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31335-2024</t>
        </is>
      </c>
      <c r="B1438" s="1" t="n">
        <v>45504</v>
      </c>
      <c r="C1438" s="1" t="n">
        <v>45672</v>
      </c>
      <c r="D1438" t="inlineStr">
        <is>
          <t>SKÅNE LÄN</t>
        </is>
      </c>
      <c r="E1438" t="inlineStr">
        <is>
          <t>HÄSSLEHOLM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31268-2024</t>
        </is>
      </c>
      <c r="B1439" s="1" t="n">
        <v>45504</v>
      </c>
      <c r="C1439" s="1" t="n">
        <v>45672</v>
      </c>
      <c r="D1439" t="inlineStr">
        <is>
          <t>SKÅNE LÄN</t>
        </is>
      </c>
      <c r="E1439" t="inlineStr">
        <is>
          <t>HÄSSLEHOLM</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31336-2024</t>
        </is>
      </c>
      <c r="B1440" s="1" t="n">
        <v>45504</v>
      </c>
      <c r="C1440" s="1" t="n">
        <v>45672</v>
      </c>
      <c r="D1440" t="inlineStr">
        <is>
          <t>SKÅNE LÄN</t>
        </is>
      </c>
      <c r="E1440" t="inlineStr">
        <is>
          <t>HÄSSLEHOLM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31379-2024</t>
        </is>
      </c>
      <c r="B1441" s="1" t="n">
        <v>45505</v>
      </c>
      <c r="C1441" s="1" t="n">
        <v>45672</v>
      </c>
      <c r="D1441" t="inlineStr">
        <is>
          <t>SKÅNE LÄN</t>
        </is>
      </c>
      <c r="E1441" t="inlineStr">
        <is>
          <t>HÄSSLEHOLM</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32008-2024</t>
        </is>
      </c>
      <c r="B1442" s="1" t="n">
        <v>45510</v>
      </c>
      <c r="C1442" s="1" t="n">
        <v>45672</v>
      </c>
      <c r="D1442" t="inlineStr">
        <is>
          <t>SKÅNE LÄN</t>
        </is>
      </c>
      <c r="E1442" t="inlineStr">
        <is>
          <t>HÄSSLEHOLM</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31934-2024</t>
        </is>
      </c>
      <c r="B1443" s="1" t="n">
        <v>45510</v>
      </c>
      <c r="C1443" s="1" t="n">
        <v>45672</v>
      </c>
      <c r="D1443" t="inlineStr">
        <is>
          <t>SKÅNE LÄN</t>
        </is>
      </c>
      <c r="E1443" t="inlineStr">
        <is>
          <t>HÄSSLEHOLM</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31989-2024</t>
        </is>
      </c>
      <c r="B1444" s="1" t="n">
        <v>45510</v>
      </c>
      <c r="C1444" s="1" t="n">
        <v>45672</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31931-2024</t>
        </is>
      </c>
      <c r="B1445" s="1" t="n">
        <v>45510</v>
      </c>
      <c r="C1445" s="1" t="n">
        <v>45672</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31933-2024</t>
        </is>
      </c>
      <c r="B1446" s="1" t="n">
        <v>45510</v>
      </c>
      <c r="C1446" s="1" t="n">
        <v>45672</v>
      </c>
      <c r="D1446" t="inlineStr">
        <is>
          <t>SKÅNE LÄN</t>
        </is>
      </c>
      <c r="E1446" t="inlineStr">
        <is>
          <t>HÄSSLEHOLM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32154-2024</t>
        </is>
      </c>
      <c r="B1447" s="1" t="n">
        <v>45511</v>
      </c>
      <c r="C1447" s="1" t="n">
        <v>45672</v>
      </c>
      <c r="D1447" t="inlineStr">
        <is>
          <t>SKÅNE LÄN</t>
        </is>
      </c>
      <c r="E1447" t="inlineStr">
        <is>
          <t>HÄSSLEHOLM</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32211-2024</t>
        </is>
      </c>
      <c r="B1448" s="1" t="n">
        <v>45511</v>
      </c>
      <c r="C1448" s="1" t="n">
        <v>45672</v>
      </c>
      <c r="D1448" t="inlineStr">
        <is>
          <t>SKÅNE LÄN</t>
        </is>
      </c>
      <c r="E1448" t="inlineStr">
        <is>
          <t>HÄSSLEHOLM</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45672</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45672</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45672</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45672</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45672</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45672</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45672</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45672</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45672</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45672</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45672</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45672</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45672</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45672</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45672</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45672</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45672</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45672</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45672</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45672</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45672</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45672</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45672</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45672</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45672</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45672</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45672</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45672</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45672</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45672</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45672</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45672</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45672</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45672</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45672</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45672</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45672</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45672</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45672</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45672</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45672</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45672</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45672</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45672</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45672</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45672</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45672</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45672</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45672</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45672</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45672</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45672</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45672</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45672</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45672</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45672</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45672</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45672</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45672</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45672</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45672</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45672</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45672</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45672</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45672</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45672</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45672</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45672</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45672</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45672</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45672</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45672</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45672</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45672</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45672</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45672</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45672</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45672</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45672</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45672</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45672</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45672</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45672</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45672</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45672</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45672</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45672</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45672</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45672</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45672</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45672</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45672</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45672</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45672</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45672</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45672</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45672</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45672</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45672</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45672</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45672</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45672</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45672</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45672</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45672</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45672</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45672</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45672</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45672</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45672</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45672</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45672</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45672</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45672</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45672</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45672</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45672</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45672</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45672</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45672</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45672</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45672</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45672</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45672</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45672</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45672</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45672</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45672</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45672</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45672</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45672</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45672</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45672</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45672</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45672</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45672</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45672</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45672</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45672</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45672</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45672</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45672</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45672</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45672</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45672</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45672</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45672</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45672</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45672</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45672</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45672</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45672</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45672</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58888-2024</t>
        </is>
      </c>
      <c r="B1602" s="1" t="n">
        <v>45636</v>
      </c>
      <c r="C1602" s="1" t="n">
        <v>45672</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45672</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60795-2024</t>
        </is>
      </c>
      <c r="B1604" s="1" t="n">
        <v>45644</v>
      </c>
      <c r="C1604" s="1" t="n">
        <v>45672</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60789-2024</t>
        </is>
      </c>
      <c r="B1605" s="1" t="n">
        <v>45644</v>
      </c>
      <c r="C1605" s="1" t="n">
        <v>45672</v>
      </c>
      <c r="D1605" t="inlineStr">
        <is>
          <t>SKÅNE LÄN</t>
        </is>
      </c>
      <c r="E1605" t="inlineStr">
        <is>
          <t>HÄSSLEHOLM</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60798-2024</t>
        </is>
      </c>
      <c r="B1606" s="1" t="n">
        <v>45644</v>
      </c>
      <c r="C1606" s="1" t="n">
        <v>45672</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60797-2024</t>
        </is>
      </c>
      <c r="B1607" s="1" t="n">
        <v>45644</v>
      </c>
      <c r="C1607" s="1" t="n">
        <v>45672</v>
      </c>
      <c r="D1607" t="inlineStr">
        <is>
          <t>SKÅNE LÄN</t>
        </is>
      </c>
      <c r="E1607" t="inlineStr">
        <is>
          <t>HÄSSLEHOLM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45672</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45672</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45672</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61182-2024</t>
        </is>
      </c>
      <c r="B1611" s="1" t="n">
        <v>45645</v>
      </c>
      <c r="C1611" s="1" t="n">
        <v>45672</v>
      </c>
      <c r="D1611" t="inlineStr">
        <is>
          <t>SKÅNE LÄN</t>
        </is>
      </c>
      <c r="E1611" t="inlineStr">
        <is>
          <t>HÄSSLEHOLM</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60920-2024</t>
        </is>
      </c>
      <c r="B1612" s="1" t="n">
        <v>45645</v>
      </c>
      <c r="C1612" s="1" t="n">
        <v>45672</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45672</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45672</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61533-2024</t>
        </is>
      </c>
      <c r="B1615" s="1" t="n">
        <v>45646</v>
      </c>
      <c r="C1615" s="1" t="n">
        <v>45672</v>
      </c>
      <c r="D1615" t="inlineStr">
        <is>
          <t>SKÅNE LÄN</t>
        </is>
      </c>
      <c r="E1615" t="inlineStr">
        <is>
          <t>HÄSSLEHOLM</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61436-2024</t>
        </is>
      </c>
      <c r="B1616" s="1" t="n">
        <v>45646</v>
      </c>
      <c r="C1616" s="1" t="n">
        <v>45672</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45672</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45672</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45672</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45672</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45672</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317-2025</t>
        </is>
      </c>
      <c r="B1622" s="1" t="n">
        <v>45660</v>
      </c>
      <c r="C1622" s="1" t="n">
        <v>45672</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653-2025</t>
        </is>
      </c>
      <c r="B1623" s="1" t="n">
        <v>45664</v>
      </c>
      <c r="C1623" s="1" t="n">
        <v>45672</v>
      </c>
      <c r="D1623" t="inlineStr">
        <is>
          <t>SKÅNE LÄN</t>
        </is>
      </c>
      <c r="E1623" t="inlineStr">
        <is>
          <t>HÄSSLEHOLM</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45672</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720-2025</t>
        </is>
      </c>
      <c r="B1625" s="1" t="n">
        <v>45665</v>
      </c>
      <c r="C1625" s="1" t="n">
        <v>45672</v>
      </c>
      <c r="D1625" t="inlineStr">
        <is>
          <t>SKÅNE LÄN</t>
        </is>
      </c>
      <c r="E1625" t="inlineStr">
        <is>
          <t>HÄSSLEHOLM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829-2025</t>
        </is>
      </c>
      <c r="B1626" s="1" t="n">
        <v>45665</v>
      </c>
      <c r="C1626" s="1" t="n">
        <v>45672</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1170-2025</t>
        </is>
      </c>
      <c r="B1627" s="1" t="n">
        <v>45667</v>
      </c>
      <c r="C1627" s="1" t="n">
        <v>45672</v>
      </c>
      <c r="D1627" t="inlineStr">
        <is>
          <t>SKÅNE LÄN</t>
        </is>
      </c>
      <c r="E1627" t="inlineStr">
        <is>
          <t>HÄSSLEHOLM</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1434-2025</t>
        </is>
      </c>
      <c r="B1628" s="1" t="n">
        <v>45669</v>
      </c>
      <c r="C1628" s="1" t="n">
        <v>45672</v>
      </c>
      <c r="D1628" t="inlineStr">
        <is>
          <t>SKÅNE LÄN</t>
        </is>
      </c>
      <c r="E1628" t="inlineStr">
        <is>
          <t>HÄSSLEHOLM</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1616-2025</t>
        </is>
      </c>
      <c r="B1629" s="1" t="n">
        <v>45670</v>
      </c>
      <c r="C1629" s="1" t="n">
        <v>45672</v>
      </c>
      <c r="D1629" t="inlineStr">
        <is>
          <t>SKÅNE LÄN</t>
        </is>
      </c>
      <c r="E1629" t="inlineStr">
        <is>
          <t>HÄSSLEHOLM</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1703-2025</t>
        </is>
      </c>
      <c r="B1630" s="1" t="n">
        <v>45670</v>
      </c>
      <c r="C1630" s="1" t="n">
        <v>45672</v>
      </c>
      <c r="D1630" t="inlineStr">
        <is>
          <t>SKÅNE LÄN</t>
        </is>
      </c>
      <c r="E1630" t="inlineStr">
        <is>
          <t>HÄSSLEHOLM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1706-2025</t>
        </is>
      </c>
      <c r="B1631" s="1" t="n">
        <v>45670</v>
      </c>
      <c r="C1631" s="1" t="n">
        <v>45672</v>
      </c>
      <c r="D1631" t="inlineStr">
        <is>
          <t>SKÅNE LÄN</t>
        </is>
      </c>
      <c r="E1631" t="inlineStr">
        <is>
          <t>HÄSSLEHOLM</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1692-2025</t>
        </is>
      </c>
      <c r="B1632" s="1" t="n">
        <v>45670</v>
      </c>
      <c r="C1632" s="1" t="n">
        <v>45672</v>
      </c>
      <c r="D1632" t="inlineStr">
        <is>
          <t>SKÅNE LÄN</t>
        </is>
      </c>
      <c r="E1632" t="inlineStr">
        <is>
          <t>HÄSSLEHOLM</t>
        </is>
      </c>
      <c r="F1632" t="inlineStr">
        <is>
          <t>Övriga Aktiebolag</t>
        </is>
      </c>
      <c r="G1632" t="n">
        <v>3.3</v>
      </c>
      <c r="H1632" t="n">
        <v>0</v>
      </c>
      <c r="I1632" t="n">
        <v>0</v>
      </c>
      <c r="J1632" t="n">
        <v>0</v>
      </c>
      <c r="K1632" t="n">
        <v>0</v>
      </c>
      <c r="L1632" t="n">
        <v>0</v>
      </c>
      <c r="M1632" t="n">
        <v>0</v>
      </c>
      <c r="N1632" t="n">
        <v>0</v>
      </c>
      <c r="O1632" t="n">
        <v>0</v>
      </c>
      <c r="P1632" t="n">
        <v>0</v>
      </c>
      <c r="Q1632" t="n">
        <v>0</v>
      </c>
      <c r="R1632" s="2" t="inlineStr"/>
    </row>
    <row r="1633">
      <c r="A1633" t="inlineStr">
        <is>
          <t>A 1886-2025</t>
        </is>
      </c>
      <c r="B1633" s="1" t="n">
        <v>45671</v>
      </c>
      <c r="C1633" s="1" t="n">
        <v>45672</v>
      </c>
      <c r="D1633" t="inlineStr">
        <is>
          <t>SKÅNE LÄN</t>
        </is>
      </c>
      <c r="E1633" t="inlineStr">
        <is>
          <t>HÄSSLEHOLM</t>
        </is>
      </c>
      <c r="G1633" t="n">
        <v>1.1</v>
      </c>
      <c r="H1633" t="n">
        <v>0</v>
      </c>
      <c r="I1633" t="n">
        <v>0</v>
      </c>
      <c r="J1633" t="n">
        <v>0</v>
      </c>
      <c r="K1633" t="n">
        <v>0</v>
      </c>
      <c r="L1633" t="n">
        <v>0</v>
      </c>
      <c r="M1633" t="n">
        <v>0</v>
      </c>
      <c r="N1633" t="n">
        <v>0</v>
      </c>
      <c r="O1633" t="n">
        <v>0</v>
      </c>
      <c r="P1633" t="n">
        <v>0</v>
      </c>
      <c r="Q1633" t="n">
        <v>0</v>
      </c>
      <c r="R1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2025-01-15T15:53:11Z</dcterms:created>
  <dcterms:modified xmlns:dcterms="http://purl.org/dc/terms/" xmlns:xsi="http://www.w3.org/2001/XMLSchema-instance" xsi:type="dcterms:W3CDTF">2025-01-15T15:53:12Z</dcterms:modified>
</cp:coreProperties>
</file>