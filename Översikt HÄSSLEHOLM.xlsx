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45915</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45915</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45915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45915</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45915</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45915</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45915</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45915</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45915</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45915</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45915</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4725-2025</t>
        </is>
      </c>
      <c r="B30" s="1" t="n">
        <v>45688.42583333333</v>
      </c>
      <c r="C30" s="1" t="n">
        <v>45915</v>
      </c>
      <c r="D30" t="inlineStr">
        <is>
          <t>SKÅNE LÄN</t>
        </is>
      </c>
      <c r="E30" t="inlineStr">
        <is>
          <t>HÄSSLEHOLM</t>
        </is>
      </c>
      <c r="G30" t="n">
        <v>5.5</v>
      </c>
      <c r="H30" t="n">
        <v>1</v>
      </c>
      <c r="I30" t="n">
        <v>0</v>
      </c>
      <c r="J30" t="n">
        <v>0</v>
      </c>
      <c r="K30" t="n">
        <v>0</v>
      </c>
      <c r="L30" t="n">
        <v>0</v>
      </c>
      <c r="M30" t="n">
        <v>0</v>
      </c>
      <c r="N30" t="n">
        <v>0</v>
      </c>
      <c r="O30" t="n">
        <v>0</v>
      </c>
      <c r="P30" t="n">
        <v>0</v>
      </c>
      <c r="Q30" t="n">
        <v>1</v>
      </c>
      <c r="R30" s="2" t="inlineStr">
        <is>
          <t>Grönvit nattviol</t>
        </is>
      </c>
      <c r="S30">
        <f>HYPERLINK("https://klasma.github.io/Logging_1293/artfynd/A 4725-2025 artfynd.xlsx", "A 4725-2025")</f>
        <v/>
      </c>
      <c r="T30">
        <f>HYPERLINK("https://klasma.github.io/Logging_1293/kartor/A 4725-2025 karta.png", "A 4725-2025")</f>
        <v/>
      </c>
      <c r="V30">
        <f>HYPERLINK("https://klasma.github.io/Logging_1293/klagomål/A 4725-2025 FSC-klagomål.docx", "A 4725-2025")</f>
        <v/>
      </c>
      <c r="W30">
        <f>HYPERLINK("https://klasma.github.io/Logging_1293/klagomålsmail/A 4725-2025 FSC-klagomål mail.docx", "A 4725-2025")</f>
        <v/>
      </c>
      <c r="X30">
        <f>HYPERLINK("https://klasma.github.io/Logging_1293/tillsyn/A 4725-2025 tillsynsbegäran.docx", "A 4725-2025")</f>
        <v/>
      </c>
      <c r="Y30">
        <f>HYPERLINK("https://klasma.github.io/Logging_1293/tillsynsmail/A 4725-2025 tillsynsbegäran mail.docx", "A 4725-2025")</f>
        <v/>
      </c>
    </row>
    <row r="31" ht="15" customHeight="1">
      <c r="A31" t="inlineStr">
        <is>
          <t>A 16107-2025</t>
        </is>
      </c>
      <c r="B31" s="1" t="n">
        <v>45750.34537037037</v>
      </c>
      <c r="C31" s="1" t="n">
        <v>45915</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36690-2025</t>
        </is>
      </c>
      <c r="B32" s="1" t="n">
        <v>45873.42915509259</v>
      </c>
      <c r="C32" s="1" t="n">
        <v>45915</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9289-2025</t>
        </is>
      </c>
      <c r="B33" s="1" t="n">
        <v>45714</v>
      </c>
      <c r="C33" s="1" t="n">
        <v>45915</v>
      </c>
      <c r="D33" t="inlineStr">
        <is>
          <t>SKÅNE LÄN</t>
        </is>
      </c>
      <c r="E33" t="inlineStr">
        <is>
          <t>HÄSSLEHOLM</t>
        </is>
      </c>
      <c r="G33" t="n">
        <v>18</v>
      </c>
      <c r="H33" t="n">
        <v>0</v>
      </c>
      <c r="I33" t="n">
        <v>1</v>
      </c>
      <c r="J33" t="n">
        <v>0</v>
      </c>
      <c r="K33" t="n">
        <v>0</v>
      </c>
      <c r="L33" t="n">
        <v>0</v>
      </c>
      <c r="M33" t="n">
        <v>0</v>
      </c>
      <c r="N33" t="n">
        <v>0</v>
      </c>
      <c r="O33" t="n">
        <v>0</v>
      </c>
      <c r="P33" t="n">
        <v>0</v>
      </c>
      <c r="Q33" t="n">
        <v>1</v>
      </c>
      <c r="R33" s="2" t="inlineStr">
        <is>
          <t>Tibast</t>
        </is>
      </c>
      <c r="S33">
        <f>HYPERLINK("https://klasma.github.io/Logging_1293/artfynd/A 9289-2025 artfynd.xlsx", "A 9289-2025")</f>
        <v/>
      </c>
      <c r="T33">
        <f>HYPERLINK("https://klasma.github.io/Logging_1293/kartor/A 9289-2025 karta.png", "A 9289-2025")</f>
        <v/>
      </c>
      <c r="V33">
        <f>HYPERLINK("https://klasma.github.io/Logging_1293/klagomål/A 9289-2025 FSC-klagomål.docx", "A 9289-2025")</f>
        <v/>
      </c>
      <c r="W33">
        <f>HYPERLINK("https://klasma.github.io/Logging_1293/klagomålsmail/A 9289-2025 FSC-klagomål mail.docx", "A 9289-2025")</f>
        <v/>
      </c>
      <c r="X33">
        <f>HYPERLINK("https://klasma.github.io/Logging_1293/tillsyn/A 9289-2025 tillsynsbegäran.docx", "A 9289-2025")</f>
        <v/>
      </c>
      <c r="Y33">
        <f>HYPERLINK("https://klasma.github.io/Logging_1293/tillsynsmail/A 9289-2025 tillsynsbegäran mail.docx", "A 9289-2025")</f>
        <v/>
      </c>
    </row>
    <row r="34" ht="15" customHeight="1">
      <c r="A34" t="inlineStr">
        <is>
          <t>A 14933-2023</t>
        </is>
      </c>
      <c r="B34" s="1" t="n">
        <v>45014</v>
      </c>
      <c r="C34" s="1" t="n">
        <v>45915</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45915</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45915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45915</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45915</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45915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45915</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45915</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45915</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45915</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45915</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45915</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45915</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45915</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45915</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3044-2021</t>
        </is>
      </c>
      <c r="B49" s="1" t="n">
        <v>44216</v>
      </c>
      <c r="C49" s="1" t="n">
        <v>45915</v>
      </c>
      <c r="D49" t="inlineStr">
        <is>
          <t>SKÅNE LÄN</t>
        </is>
      </c>
      <c r="E49" t="inlineStr">
        <is>
          <t>HÄSSLEHOLM</t>
        </is>
      </c>
      <c r="G49" t="n">
        <v>3.7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45915</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45915</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45915</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45915</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45915</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45915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44794-2021</t>
        </is>
      </c>
      <c r="B56" s="1" t="n">
        <v>44438</v>
      </c>
      <c r="C56" s="1" t="n">
        <v>45915</v>
      </c>
      <c r="D56" t="inlineStr">
        <is>
          <t>SKÅNE LÄN</t>
        </is>
      </c>
      <c r="E56" t="inlineStr">
        <is>
          <t>HÄSSLEHOLM</t>
        </is>
      </c>
      <c r="G56" t="n">
        <v>0.3</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45915</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45915</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45915</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45915</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45915</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45915</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45915</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45915</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45915</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45915</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45915</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45915</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45915</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45915</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45915</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45915</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45915</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45915</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45915</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45915</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45915</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45915</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45915</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45915</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45915</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45915</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45915</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45915</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45915</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45915</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45915</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50618-2021</t>
        </is>
      </c>
      <c r="B90" s="1" t="n">
        <v>44459</v>
      </c>
      <c r="C90" s="1" t="n">
        <v>45915</v>
      </c>
      <c r="D90" t="inlineStr">
        <is>
          <t>SKÅNE LÄN</t>
        </is>
      </c>
      <c r="E90" t="inlineStr">
        <is>
          <t>HÄSSLEHOLM</t>
        </is>
      </c>
      <c r="F90" t="inlineStr">
        <is>
          <t>Kyrkan</t>
        </is>
      </c>
      <c r="G90" t="n">
        <v>15.1</v>
      </c>
      <c r="H90" t="n">
        <v>0</v>
      </c>
      <c r="I90" t="n">
        <v>0</v>
      </c>
      <c r="J90" t="n">
        <v>0</v>
      </c>
      <c r="K90" t="n">
        <v>0</v>
      </c>
      <c r="L90" t="n">
        <v>0</v>
      </c>
      <c r="M90" t="n">
        <v>0</v>
      </c>
      <c r="N90" t="n">
        <v>0</v>
      </c>
      <c r="O90" t="n">
        <v>0</v>
      </c>
      <c r="P90" t="n">
        <v>0</v>
      </c>
      <c r="Q90" t="n">
        <v>0</v>
      </c>
      <c r="R90" s="2" t="inlineStr"/>
    </row>
    <row r="91" ht="15" customHeight="1">
      <c r="A91" t="inlineStr">
        <is>
          <t>A 69419-2021</t>
        </is>
      </c>
      <c r="B91" s="1" t="n">
        <v>44531</v>
      </c>
      <c r="C91" s="1" t="n">
        <v>45915</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55364-2022</t>
        </is>
      </c>
      <c r="B92" s="1" t="n">
        <v>44887.50657407408</v>
      </c>
      <c r="C92" s="1" t="n">
        <v>45915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45915</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45915</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45915</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45915</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45915</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45915</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45915</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45915</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45915</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45915</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45915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45915</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45915</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45915</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45915</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45915</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45915</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45915</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45915</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45915</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45915</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45915</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45915</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6962-2021</t>
        </is>
      </c>
      <c r="B117" s="1" t="n">
        <v>44237</v>
      </c>
      <c r="C117" s="1" t="n">
        <v>45915</v>
      </c>
      <c r="D117" t="inlineStr">
        <is>
          <t>SKÅNE LÄN</t>
        </is>
      </c>
      <c r="E117" t="inlineStr">
        <is>
          <t>HÄSSLEHOLM</t>
        </is>
      </c>
      <c r="G117" t="n">
        <v>4.2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45915</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45915</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45915</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45915</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45915</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55425-2022</t>
        </is>
      </c>
      <c r="B123" s="1" t="n">
        <v>44887.60577546297</v>
      </c>
      <c r="C123" s="1" t="n">
        <v>45915</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45915</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45915</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45915</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45915</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45915</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45915</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45915</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45915</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41581-2021</t>
        </is>
      </c>
      <c r="B132" s="1" t="n">
        <v>44425.40167824074</v>
      </c>
      <c r="C132" s="1" t="n">
        <v>45915</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45915</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45915</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45915</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45915</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45915</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45915</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45915</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63972-2021</t>
        </is>
      </c>
      <c r="B140" s="1" t="n">
        <v>44509.89649305555</v>
      </c>
      <c r="C140" s="1" t="n">
        <v>45915</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49786-2020</t>
        </is>
      </c>
      <c r="B141" s="1" t="n">
        <v>44103</v>
      </c>
      <c r="C141" s="1" t="n">
        <v>45915</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45915</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2952-2021</t>
        </is>
      </c>
      <c r="B143" s="1" t="n">
        <v>44216</v>
      </c>
      <c r="C143" s="1" t="n">
        <v>45915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52852-2020</t>
        </is>
      </c>
      <c r="B144" s="1" t="n">
        <v>44119</v>
      </c>
      <c r="C144" s="1" t="n">
        <v>45915</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45915</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20659-2021</t>
        </is>
      </c>
      <c r="B146" s="1" t="n">
        <v>44316</v>
      </c>
      <c r="C146" s="1" t="n">
        <v>45915</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37334-2021</t>
        </is>
      </c>
      <c r="B147" s="1" t="n">
        <v>44397.57800925926</v>
      </c>
      <c r="C147" s="1" t="n">
        <v>45915</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45915</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34027-2021</t>
        </is>
      </c>
      <c r="B149" s="1" t="n">
        <v>44379</v>
      </c>
      <c r="C149" s="1" t="n">
        <v>45915</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45915</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45915</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45915</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45915</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45915</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4161-2022</t>
        </is>
      </c>
      <c r="B155" s="1" t="n">
        <v>44588</v>
      </c>
      <c r="C155" s="1" t="n">
        <v>45915</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45915</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1535-2022</t>
        </is>
      </c>
      <c r="B157" s="1" t="n">
        <v>44573</v>
      </c>
      <c r="C157" s="1" t="n">
        <v>45915</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21029-2021</t>
        </is>
      </c>
      <c r="B158" s="1" t="n">
        <v>44319.63366898148</v>
      </c>
      <c r="C158" s="1" t="n">
        <v>45915</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13982-2021</t>
        </is>
      </c>
      <c r="B159" s="1" t="n">
        <v>44277.57800925926</v>
      </c>
      <c r="C159" s="1" t="n">
        <v>45915</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64607-2021</t>
        </is>
      </c>
      <c r="B160" s="1" t="n">
        <v>44511</v>
      </c>
      <c r="C160" s="1" t="n">
        <v>45915</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45915</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66474-2020</t>
        </is>
      </c>
      <c r="B162" s="1" t="n">
        <v>44177</v>
      </c>
      <c r="C162" s="1" t="n">
        <v>45915</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18523-2021</t>
        </is>
      </c>
      <c r="B163" s="1" t="n">
        <v>44305</v>
      </c>
      <c r="C163" s="1" t="n">
        <v>45915</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12617-2021</t>
        </is>
      </c>
      <c r="B164" s="1" t="n">
        <v>44270.45030092593</v>
      </c>
      <c r="C164" s="1" t="n">
        <v>45915</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45915</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45915</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45915</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45915</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45915</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5091-2022</t>
        </is>
      </c>
      <c r="B170" s="1" t="n">
        <v>44593.85114583333</v>
      </c>
      <c r="C170" s="1" t="n">
        <v>45915</v>
      </c>
      <c r="D170" t="inlineStr">
        <is>
          <t>SKÅNE LÄN</t>
        </is>
      </c>
      <c r="E170" t="inlineStr">
        <is>
          <t>HÄSSLEHOLM</t>
        </is>
      </c>
      <c r="G170" t="n">
        <v>2.5</v>
      </c>
      <c r="H170" t="n">
        <v>0</v>
      </c>
      <c r="I170" t="n">
        <v>0</v>
      </c>
      <c r="J170" t="n">
        <v>0</v>
      </c>
      <c r="K170" t="n">
        <v>0</v>
      </c>
      <c r="L170" t="n">
        <v>0</v>
      </c>
      <c r="M170" t="n">
        <v>0</v>
      </c>
      <c r="N170" t="n">
        <v>0</v>
      </c>
      <c r="O170" t="n">
        <v>0</v>
      </c>
      <c r="P170" t="n">
        <v>0</v>
      </c>
      <c r="Q170" t="n">
        <v>0</v>
      </c>
      <c r="R170" s="2" t="inlineStr"/>
    </row>
    <row r="171" ht="15" customHeight="1">
      <c r="A171" t="inlineStr">
        <is>
          <t>A 58509-2020</t>
        </is>
      </c>
      <c r="B171" s="1" t="n">
        <v>44144</v>
      </c>
      <c r="C171" s="1" t="n">
        <v>45915</v>
      </c>
      <c r="D171" t="inlineStr">
        <is>
          <t>SKÅNE LÄN</t>
        </is>
      </c>
      <c r="E171" t="inlineStr">
        <is>
          <t>HÄSSLEHOLM</t>
        </is>
      </c>
      <c r="G171" t="n">
        <v>8.5</v>
      </c>
      <c r="H171" t="n">
        <v>0</v>
      </c>
      <c r="I171" t="n">
        <v>0</v>
      </c>
      <c r="J171" t="n">
        <v>0</v>
      </c>
      <c r="K171" t="n">
        <v>0</v>
      </c>
      <c r="L171" t="n">
        <v>0</v>
      </c>
      <c r="M171" t="n">
        <v>0</v>
      </c>
      <c r="N171" t="n">
        <v>0</v>
      </c>
      <c r="O171" t="n">
        <v>0</v>
      </c>
      <c r="P171" t="n">
        <v>0</v>
      </c>
      <c r="Q171" t="n">
        <v>0</v>
      </c>
      <c r="R171" s="2" t="inlineStr"/>
    </row>
    <row r="172" ht="15" customHeight="1">
      <c r="A172" t="inlineStr">
        <is>
          <t>A 56989-2021</t>
        </is>
      </c>
      <c r="B172" s="1" t="n">
        <v>44482</v>
      </c>
      <c r="C172" s="1" t="n">
        <v>45915</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51159-2021</t>
        </is>
      </c>
      <c r="B173" s="1" t="n">
        <v>44461</v>
      </c>
      <c r="C173" s="1" t="n">
        <v>45915</v>
      </c>
      <c r="D173" t="inlineStr">
        <is>
          <t>SKÅNE LÄN</t>
        </is>
      </c>
      <c r="E173" t="inlineStr">
        <is>
          <t>HÄSSLEHOLM</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25383-2021</t>
        </is>
      </c>
      <c r="B174" s="1" t="n">
        <v>44342</v>
      </c>
      <c r="C174" s="1" t="n">
        <v>45915</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45915</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27330-2021</t>
        </is>
      </c>
      <c r="B176" s="1" t="n">
        <v>44351</v>
      </c>
      <c r="C176" s="1" t="n">
        <v>45915</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45915</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51888-2021</t>
        </is>
      </c>
      <c r="B178" s="1" t="n">
        <v>44462</v>
      </c>
      <c r="C178" s="1" t="n">
        <v>45915</v>
      </c>
      <c r="D178" t="inlineStr">
        <is>
          <t>SKÅNE LÄN</t>
        </is>
      </c>
      <c r="E178" t="inlineStr">
        <is>
          <t>HÄSSLEHOLM</t>
        </is>
      </c>
      <c r="G178" t="n">
        <v>5.6</v>
      </c>
      <c r="H178" t="n">
        <v>0</v>
      </c>
      <c r="I178" t="n">
        <v>0</v>
      </c>
      <c r="J178" t="n">
        <v>0</v>
      </c>
      <c r="K178" t="n">
        <v>0</v>
      </c>
      <c r="L178" t="n">
        <v>0</v>
      </c>
      <c r="M178" t="n">
        <v>0</v>
      </c>
      <c r="N178" t="n">
        <v>0</v>
      </c>
      <c r="O178" t="n">
        <v>0</v>
      </c>
      <c r="P178" t="n">
        <v>0</v>
      </c>
      <c r="Q178" t="n">
        <v>0</v>
      </c>
      <c r="R178" s="2" t="inlineStr"/>
    </row>
    <row r="179" ht="15" customHeight="1">
      <c r="A179" t="inlineStr">
        <is>
          <t>A 52786-2021</t>
        </is>
      </c>
      <c r="B179" s="1" t="n">
        <v>44467.36061342592</v>
      </c>
      <c r="C179" s="1" t="n">
        <v>45915</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45915</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62347-2020</t>
        </is>
      </c>
      <c r="B181" s="1" t="n">
        <v>44159</v>
      </c>
      <c r="C181" s="1" t="n">
        <v>45915</v>
      </c>
      <c r="D181" t="inlineStr">
        <is>
          <t>SKÅNE LÄN</t>
        </is>
      </c>
      <c r="E181" t="inlineStr">
        <is>
          <t>HÄSSLEHOLM</t>
        </is>
      </c>
      <c r="G181" t="n">
        <v>4</v>
      </c>
      <c r="H181" t="n">
        <v>0</v>
      </c>
      <c r="I181" t="n">
        <v>0</v>
      </c>
      <c r="J181" t="n">
        <v>0</v>
      </c>
      <c r="K181" t="n">
        <v>0</v>
      </c>
      <c r="L181" t="n">
        <v>0</v>
      </c>
      <c r="M181" t="n">
        <v>0</v>
      </c>
      <c r="N181" t="n">
        <v>0</v>
      </c>
      <c r="O181" t="n">
        <v>0</v>
      </c>
      <c r="P181" t="n">
        <v>0</v>
      </c>
      <c r="Q181" t="n">
        <v>0</v>
      </c>
      <c r="R181" s="2" t="inlineStr"/>
    </row>
    <row r="182" ht="15" customHeight="1">
      <c r="A182" t="inlineStr">
        <is>
          <t>A 29143-2021</t>
        </is>
      </c>
      <c r="B182" s="1" t="n">
        <v>44358.6319212963</v>
      </c>
      <c r="C182" s="1" t="n">
        <v>45915</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44669-2022</t>
        </is>
      </c>
      <c r="B183" s="1" t="n">
        <v>44840</v>
      </c>
      <c r="C183" s="1" t="n">
        <v>45915</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45915</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26386-2022</t>
        </is>
      </c>
      <c r="B185" s="1" t="n">
        <v>44735.6803125</v>
      </c>
      <c r="C185" s="1" t="n">
        <v>45915</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7262-2022</t>
        </is>
      </c>
      <c r="B186" s="1" t="n">
        <v>44606</v>
      </c>
      <c r="C186" s="1" t="n">
        <v>45915</v>
      </c>
      <c r="D186" t="inlineStr">
        <is>
          <t>SKÅNE LÄN</t>
        </is>
      </c>
      <c r="E186" t="inlineStr">
        <is>
          <t>HÄSSLEHOLM</t>
        </is>
      </c>
      <c r="F186" t="inlineStr">
        <is>
          <t>Övriga Aktiebolag</t>
        </is>
      </c>
      <c r="G186" t="n">
        <v>1</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45915</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23830-2021</t>
        </is>
      </c>
      <c r="B188" s="1" t="n">
        <v>44335</v>
      </c>
      <c r="C188" s="1" t="n">
        <v>45915</v>
      </c>
      <c r="D188" t="inlineStr">
        <is>
          <t>SKÅNE LÄN</t>
        </is>
      </c>
      <c r="E188" t="inlineStr">
        <is>
          <t>HÄSSLEHOLM</t>
        </is>
      </c>
      <c r="G188" t="n">
        <v>18.7</v>
      </c>
      <c r="H188" t="n">
        <v>0</v>
      </c>
      <c r="I188" t="n">
        <v>0</v>
      </c>
      <c r="J188" t="n">
        <v>0</v>
      </c>
      <c r="K188" t="n">
        <v>0</v>
      </c>
      <c r="L188" t="n">
        <v>0</v>
      </c>
      <c r="M188" t="n">
        <v>0</v>
      </c>
      <c r="N188" t="n">
        <v>0</v>
      </c>
      <c r="O188" t="n">
        <v>0</v>
      </c>
      <c r="P188" t="n">
        <v>0</v>
      </c>
      <c r="Q188" t="n">
        <v>0</v>
      </c>
      <c r="R188" s="2" t="inlineStr"/>
    </row>
    <row r="189" ht="15" customHeight="1">
      <c r="A189" t="inlineStr">
        <is>
          <t>A 25469-2022</t>
        </is>
      </c>
      <c r="B189" s="1" t="n">
        <v>44732</v>
      </c>
      <c r="C189" s="1" t="n">
        <v>45915</v>
      </c>
      <c r="D189" t="inlineStr">
        <is>
          <t>SKÅNE LÄN</t>
        </is>
      </c>
      <c r="E189" t="inlineStr">
        <is>
          <t>HÄSSLEHOLM</t>
        </is>
      </c>
      <c r="G189" t="n">
        <v>4.2</v>
      </c>
      <c r="H189" t="n">
        <v>0</v>
      </c>
      <c r="I189" t="n">
        <v>0</v>
      </c>
      <c r="J189" t="n">
        <v>0</v>
      </c>
      <c r="K189" t="n">
        <v>0</v>
      </c>
      <c r="L189" t="n">
        <v>0</v>
      </c>
      <c r="M189" t="n">
        <v>0</v>
      </c>
      <c r="N189" t="n">
        <v>0</v>
      </c>
      <c r="O189" t="n">
        <v>0</v>
      </c>
      <c r="P189" t="n">
        <v>0</v>
      </c>
      <c r="Q189" t="n">
        <v>0</v>
      </c>
      <c r="R189" s="2" t="inlineStr"/>
    </row>
    <row r="190" ht="15" customHeight="1">
      <c r="A190" t="inlineStr">
        <is>
          <t>A 7729-2021</t>
        </is>
      </c>
      <c r="B190" s="1" t="n">
        <v>44242</v>
      </c>
      <c r="C190" s="1" t="n">
        <v>45915</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73513-2021</t>
        </is>
      </c>
      <c r="B191" s="1" t="n">
        <v>44551.69012731482</v>
      </c>
      <c r="C191" s="1" t="n">
        <v>45915</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45915</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45915</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11616-2021</t>
        </is>
      </c>
      <c r="B194" s="1" t="n">
        <v>44264.63064814815</v>
      </c>
      <c r="C194" s="1" t="n">
        <v>45915</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69198-2020</t>
        </is>
      </c>
      <c r="B195" s="1" t="n">
        <v>44191</v>
      </c>
      <c r="C195" s="1" t="n">
        <v>45915</v>
      </c>
      <c r="D195" t="inlineStr">
        <is>
          <t>SKÅNE LÄN</t>
        </is>
      </c>
      <c r="E195" t="inlineStr">
        <is>
          <t>HÄSSLEHOLM</t>
        </is>
      </c>
      <c r="G195" t="n">
        <v>6.6</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45915</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1461-2021</t>
        </is>
      </c>
      <c r="B197" s="1" t="n">
        <v>44208</v>
      </c>
      <c r="C197" s="1" t="n">
        <v>45915</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51893-2021</t>
        </is>
      </c>
      <c r="B198" s="1" t="n">
        <v>44462</v>
      </c>
      <c r="C198" s="1" t="n">
        <v>45915</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44887.57112268519</v>
      </c>
      <c r="C199" s="1" t="n">
        <v>45915</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20510-2021</t>
        </is>
      </c>
      <c r="B200" s="1" t="n">
        <v>44315</v>
      </c>
      <c r="C200" s="1" t="n">
        <v>45915</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54362-2020</t>
        </is>
      </c>
      <c r="B201" s="1" t="n">
        <v>44126</v>
      </c>
      <c r="C201" s="1" t="n">
        <v>45915</v>
      </c>
      <c r="D201" t="inlineStr">
        <is>
          <t>SKÅNE LÄN</t>
        </is>
      </c>
      <c r="E201" t="inlineStr">
        <is>
          <t>HÄSSLEHOLM</t>
        </is>
      </c>
      <c r="G201" t="n">
        <v>4.5</v>
      </c>
      <c r="H201" t="n">
        <v>0</v>
      </c>
      <c r="I201" t="n">
        <v>0</v>
      </c>
      <c r="J201" t="n">
        <v>0</v>
      </c>
      <c r="K201" t="n">
        <v>0</v>
      </c>
      <c r="L201" t="n">
        <v>0</v>
      </c>
      <c r="M201" t="n">
        <v>0</v>
      </c>
      <c r="N201" t="n">
        <v>0</v>
      </c>
      <c r="O201" t="n">
        <v>0</v>
      </c>
      <c r="P201" t="n">
        <v>0</v>
      </c>
      <c r="Q201" t="n">
        <v>0</v>
      </c>
      <c r="R201" s="2" t="inlineStr"/>
    </row>
    <row r="202" ht="15" customHeight="1">
      <c r="A202" t="inlineStr">
        <is>
          <t>A 64826-2021</t>
        </is>
      </c>
      <c r="B202" s="1" t="n">
        <v>44512.55935185185</v>
      </c>
      <c r="C202" s="1" t="n">
        <v>45915</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39102-2022</t>
        </is>
      </c>
      <c r="B203" s="1" t="n">
        <v>44817.43260416666</v>
      </c>
      <c r="C203" s="1" t="n">
        <v>45915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50372-2020</t>
        </is>
      </c>
      <c r="B204" s="1" t="n">
        <v>44110</v>
      </c>
      <c r="C204" s="1" t="n">
        <v>45915</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47112-2021</t>
        </is>
      </c>
      <c r="B205" s="1" t="n">
        <v>44446</v>
      </c>
      <c r="C205" s="1" t="n">
        <v>45915</v>
      </c>
      <c r="D205" t="inlineStr">
        <is>
          <t>SKÅNE LÄN</t>
        </is>
      </c>
      <c r="E205" t="inlineStr">
        <is>
          <t>HÄSSLEHOLM</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48792-2020</t>
        </is>
      </c>
      <c r="B206" s="1" t="n">
        <v>44103</v>
      </c>
      <c r="C206" s="1" t="n">
        <v>45915</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23967-2022</t>
        </is>
      </c>
      <c r="B207" s="1" t="n">
        <v>44722.74079861111</v>
      </c>
      <c r="C207" s="1" t="n">
        <v>45915</v>
      </c>
      <c r="D207" t="inlineStr">
        <is>
          <t>SKÅNE LÄN</t>
        </is>
      </c>
      <c r="E207" t="inlineStr">
        <is>
          <t>HÄSSLEHOLM</t>
        </is>
      </c>
      <c r="F207" t="inlineStr">
        <is>
          <t>Kyrkan</t>
        </is>
      </c>
      <c r="G207" t="n">
        <v>12.4</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45915</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6414-2022</t>
        </is>
      </c>
      <c r="B209" s="1" t="n">
        <v>44600</v>
      </c>
      <c r="C209" s="1" t="n">
        <v>45915</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54079-2020</t>
        </is>
      </c>
      <c r="B210" s="1" t="n">
        <v>44125.61570601852</v>
      </c>
      <c r="C210" s="1" t="n">
        <v>45915</v>
      </c>
      <c r="D210" t="inlineStr">
        <is>
          <t>SKÅNE LÄN</t>
        </is>
      </c>
      <c r="E210" t="inlineStr">
        <is>
          <t>HÄSSLEHOLM</t>
        </is>
      </c>
      <c r="G210" t="n">
        <v>0.3</v>
      </c>
      <c r="H210" t="n">
        <v>0</v>
      </c>
      <c r="I210" t="n">
        <v>0</v>
      </c>
      <c r="J210" t="n">
        <v>0</v>
      </c>
      <c r="K210" t="n">
        <v>0</v>
      </c>
      <c r="L210" t="n">
        <v>0</v>
      </c>
      <c r="M210" t="n">
        <v>0</v>
      </c>
      <c r="N210" t="n">
        <v>0</v>
      </c>
      <c r="O210" t="n">
        <v>0</v>
      </c>
      <c r="P210" t="n">
        <v>0</v>
      </c>
      <c r="Q210" t="n">
        <v>0</v>
      </c>
      <c r="R210" s="2" t="inlineStr"/>
    </row>
    <row r="211" ht="15" customHeight="1">
      <c r="A211" t="inlineStr">
        <is>
          <t>A 27959-2022</t>
        </is>
      </c>
      <c r="B211" s="1" t="n">
        <v>44744</v>
      </c>
      <c r="C211" s="1" t="n">
        <v>45915</v>
      </c>
      <c r="D211" t="inlineStr">
        <is>
          <t>SKÅNE LÄN</t>
        </is>
      </c>
      <c r="E211" t="inlineStr">
        <is>
          <t>HÄSSLEHOLM</t>
        </is>
      </c>
      <c r="G211" t="n">
        <v>3</v>
      </c>
      <c r="H211" t="n">
        <v>0</v>
      </c>
      <c r="I211" t="n">
        <v>0</v>
      </c>
      <c r="J211" t="n">
        <v>0</v>
      </c>
      <c r="K211" t="n">
        <v>0</v>
      </c>
      <c r="L211" t="n">
        <v>0</v>
      </c>
      <c r="M211" t="n">
        <v>0</v>
      </c>
      <c r="N211" t="n">
        <v>0</v>
      </c>
      <c r="O211" t="n">
        <v>0</v>
      </c>
      <c r="P211" t="n">
        <v>0</v>
      </c>
      <c r="Q211" t="n">
        <v>0</v>
      </c>
      <c r="R211" s="2" t="inlineStr"/>
    </row>
    <row r="212" ht="15" customHeight="1">
      <c r="A212" t="inlineStr">
        <is>
          <t>A 60597-2020</t>
        </is>
      </c>
      <c r="B212" s="1" t="n">
        <v>44152</v>
      </c>
      <c r="C212" s="1" t="n">
        <v>45915</v>
      </c>
      <c r="D212" t="inlineStr">
        <is>
          <t>SKÅNE LÄN</t>
        </is>
      </c>
      <c r="E212" t="inlineStr">
        <is>
          <t>HÄSSLEHOLM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45915</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66520-2020</t>
        </is>
      </c>
      <c r="B214" s="1" t="n">
        <v>44179</v>
      </c>
      <c r="C214" s="1" t="n">
        <v>45915</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45357-2022</t>
        </is>
      </c>
      <c r="B215" s="1" t="n">
        <v>44844.61952546296</v>
      </c>
      <c r="C215" s="1" t="n">
        <v>45915</v>
      </c>
      <c r="D215" t="inlineStr">
        <is>
          <t>SKÅNE LÄN</t>
        </is>
      </c>
      <c r="E215" t="inlineStr">
        <is>
          <t>HÄSSLEHOLM</t>
        </is>
      </c>
      <c r="G215" t="n">
        <v>5.8</v>
      </c>
      <c r="H215" t="n">
        <v>0</v>
      </c>
      <c r="I215" t="n">
        <v>0</v>
      </c>
      <c r="J215" t="n">
        <v>0</v>
      </c>
      <c r="K215" t="n">
        <v>0</v>
      </c>
      <c r="L215" t="n">
        <v>0</v>
      </c>
      <c r="M215" t="n">
        <v>0</v>
      </c>
      <c r="N215" t="n">
        <v>0</v>
      </c>
      <c r="O215" t="n">
        <v>0</v>
      </c>
      <c r="P215" t="n">
        <v>0</v>
      </c>
      <c r="Q215" t="n">
        <v>0</v>
      </c>
      <c r="R215" s="2" t="inlineStr"/>
    </row>
    <row r="216" ht="15" customHeight="1">
      <c r="A216" t="inlineStr">
        <is>
          <t>A 62802-2020</t>
        </is>
      </c>
      <c r="B216" s="1" t="n">
        <v>44161</v>
      </c>
      <c r="C216" s="1" t="n">
        <v>45915</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8177-2022</t>
        </is>
      </c>
      <c r="B217" s="1" t="n">
        <v>44607</v>
      </c>
      <c r="C217" s="1" t="n">
        <v>45915</v>
      </c>
      <c r="D217" t="inlineStr">
        <is>
          <t>SKÅNE LÄN</t>
        </is>
      </c>
      <c r="E217" t="inlineStr">
        <is>
          <t>HÄSSLEHOLM</t>
        </is>
      </c>
      <c r="F217" t="inlineStr">
        <is>
          <t>Kyrkan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25464-2022</t>
        </is>
      </c>
      <c r="B218" s="1" t="n">
        <v>44729</v>
      </c>
      <c r="C218" s="1" t="n">
        <v>45915</v>
      </c>
      <c r="D218" t="inlineStr">
        <is>
          <t>SKÅNE LÄN</t>
        </is>
      </c>
      <c r="E218" t="inlineStr">
        <is>
          <t>HÄSSLEHOLM</t>
        </is>
      </c>
      <c r="G218" t="n">
        <v>21</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45915</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46479-2020</t>
        </is>
      </c>
      <c r="B220" s="1" t="n">
        <v>44095</v>
      </c>
      <c r="C220" s="1" t="n">
        <v>45915</v>
      </c>
      <c r="D220" t="inlineStr">
        <is>
          <t>SKÅNE LÄN</t>
        </is>
      </c>
      <c r="E220" t="inlineStr">
        <is>
          <t>HÄSSLEHOLM</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45915</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52567-2021</t>
        </is>
      </c>
      <c r="B222" s="1" t="n">
        <v>44466</v>
      </c>
      <c r="C222" s="1" t="n">
        <v>45915</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30344-2022</t>
        </is>
      </c>
      <c r="B223" s="1" t="n">
        <v>44760.50783564815</v>
      </c>
      <c r="C223" s="1" t="n">
        <v>45915</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62782-2020</t>
        </is>
      </c>
      <c r="B224" s="1" t="n">
        <v>44161</v>
      </c>
      <c r="C224" s="1" t="n">
        <v>45915</v>
      </c>
      <c r="D224" t="inlineStr">
        <is>
          <t>SKÅNE LÄN</t>
        </is>
      </c>
      <c r="E224" t="inlineStr">
        <is>
          <t>HÄSSLEHOLM</t>
        </is>
      </c>
      <c r="F224" t="inlineStr">
        <is>
          <t>Kyrkan</t>
        </is>
      </c>
      <c r="G224" t="n">
        <v>1.6</v>
      </c>
      <c r="H224" t="n">
        <v>0</v>
      </c>
      <c r="I224" t="n">
        <v>0</v>
      </c>
      <c r="J224" t="n">
        <v>0</v>
      </c>
      <c r="K224" t="n">
        <v>0</v>
      </c>
      <c r="L224" t="n">
        <v>0</v>
      </c>
      <c r="M224" t="n">
        <v>0</v>
      </c>
      <c r="N224" t="n">
        <v>0</v>
      </c>
      <c r="O224" t="n">
        <v>0</v>
      </c>
      <c r="P224" t="n">
        <v>0</v>
      </c>
      <c r="Q224" t="n">
        <v>0</v>
      </c>
      <c r="R224" s="2" t="inlineStr"/>
    </row>
    <row r="225" ht="15" customHeight="1">
      <c r="A225" t="inlineStr">
        <is>
          <t>A 61216-2020</t>
        </is>
      </c>
      <c r="B225" s="1" t="n">
        <v>44155</v>
      </c>
      <c r="C225" s="1" t="n">
        <v>45915</v>
      </c>
      <c r="D225" t="inlineStr">
        <is>
          <t>SKÅNE LÄN</t>
        </is>
      </c>
      <c r="E225" t="inlineStr">
        <is>
          <t>HÄSSLEHOLM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45989-2021</t>
        </is>
      </c>
      <c r="B226" s="1" t="n">
        <v>44441.74627314815</v>
      </c>
      <c r="C226" s="1" t="n">
        <v>45915</v>
      </c>
      <c r="D226" t="inlineStr">
        <is>
          <t>SKÅNE LÄN</t>
        </is>
      </c>
      <c r="E226" t="inlineStr">
        <is>
          <t>HÄSSLEHOLM</t>
        </is>
      </c>
      <c r="G226" t="n">
        <v>1</v>
      </c>
      <c r="H226" t="n">
        <v>0</v>
      </c>
      <c r="I226" t="n">
        <v>0</v>
      </c>
      <c r="J226" t="n">
        <v>0</v>
      </c>
      <c r="K226" t="n">
        <v>0</v>
      </c>
      <c r="L226" t="n">
        <v>0</v>
      </c>
      <c r="M226" t="n">
        <v>0</v>
      </c>
      <c r="N226" t="n">
        <v>0</v>
      </c>
      <c r="O226" t="n">
        <v>0</v>
      </c>
      <c r="P226" t="n">
        <v>0</v>
      </c>
      <c r="Q226" t="n">
        <v>0</v>
      </c>
      <c r="R226" s="2" t="inlineStr"/>
    </row>
    <row r="227" ht="15" customHeight="1">
      <c r="A227" t="inlineStr">
        <is>
          <t>A 6967-2021</t>
        </is>
      </c>
      <c r="B227" s="1" t="n">
        <v>44237</v>
      </c>
      <c r="C227" s="1" t="n">
        <v>45915</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25788-2021</t>
        </is>
      </c>
      <c r="B228" s="1" t="n">
        <v>44343</v>
      </c>
      <c r="C228" s="1" t="n">
        <v>45915</v>
      </c>
      <c r="D228" t="inlineStr">
        <is>
          <t>SKÅNE LÄN</t>
        </is>
      </c>
      <c r="E228" t="inlineStr">
        <is>
          <t>HÄSSLEHOLM</t>
        </is>
      </c>
      <c r="G228" t="n">
        <v>4.8</v>
      </c>
      <c r="H228" t="n">
        <v>0</v>
      </c>
      <c r="I228" t="n">
        <v>0</v>
      </c>
      <c r="J228" t="n">
        <v>0</v>
      </c>
      <c r="K228" t="n">
        <v>0</v>
      </c>
      <c r="L228" t="n">
        <v>0</v>
      </c>
      <c r="M228" t="n">
        <v>0</v>
      </c>
      <c r="N228" t="n">
        <v>0</v>
      </c>
      <c r="O228" t="n">
        <v>0</v>
      </c>
      <c r="P228" t="n">
        <v>0</v>
      </c>
      <c r="Q228" t="n">
        <v>0</v>
      </c>
      <c r="R228" s="2" t="inlineStr"/>
    </row>
    <row r="229" ht="15" customHeight="1">
      <c r="A229" t="inlineStr">
        <is>
          <t>A 56527-2021</t>
        </is>
      </c>
      <c r="B229" s="1" t="n">
        <v>44480</v>
      </c>
      <c r="C229" s="1" t="n">
        <v>45915</v>
      </c>
      <c r="D229" t="inlineStr">
        <is>
          <t>SKÅNE LÄN</t>
        </is>
      </c>
      <c r="E229" t="inlineStr">
        <is>
          <t>HÄSSLEHOLM</t>
        </is>
      </c>
      <c r="F229" t="inlineStr">
        <is>
          <t>Kyrkan</t>
        </is>
      </c>
      <c r="G229" t="n">
        <v>2.7</v>
      </c>
      <c r="H229" t="n">
        <v>0</v>
      </c>
      <c r="I229" t="n">
        <v>0</v>
      </c>
      <c r="J229" t="n">
        <v>0</v>
      </c>
      <c r="K229" t="n">
        <v>0</v>
      </c>
      <c r="L229" t="n">
        <v>0</v>
      </c>
      <c r="M229" t="n">
        <v>0</v>
      </c>
      <c r="N229" t="n">
        <v>0</v>
      </c>
      <c r="O229" t="n">
        <v>0</v>
      </c>
      <c r="P229" t="n">
        <v>0</v>
      </c>
      <c r="Q229" t="n">
        <v>0</v>
      </c>
      <c r="R229" s="2" t="inlineStr"/>
    </row>
    <row r="230" ht="15" customHeight="1">
      <c r="A230" t="inlineStr">
        <is>
          <t>A 47121-2020</t>
        </is>
      </c>
      <c r="B230" s="1" t="n">
        <v>44096</v>
      </c>
      <c r="C230" s="1" t="n">
        <v>45915</v>
      </c>
      <c r="D230" t="inlineStr">
        <is>
          <t>SKÅNE LÄN</t>
        </is>
      </c>
      <c r="E230" t="inlineStr">
        <is>
          <t>HÄSSLEHOLM</t>
        </is>
      </c>
      <c r="G230" t="n">
        <v>3.6</v>
      </c>
      <c r="H230" t="n">
        <v>0</v>
      </c>
      <c r="I230" t="n">
        <v>0</v>
      </c>
      <c r="J230" t="n">
        <v>0</v>
      </c>
      <c r="K230" t="n">
        <v>0</v>
      </c>
      <c r="L230" t="n">
        <v>0</v>
      </c>
      <c r="M230" t="n">
        <v>0</v>
      </c>
      <c r="N230" t="n">
        <v>0</v>
      </c>
      <c r="O230" t="n">
        <v>0</v>
      </c>
      <c r="P230" t="n">
        <v>0</v>
      </c>
      <c r="Q230" t="n">
        <v>0</v>
      </c>
      <c r="R230" s="2" t="inlineStr"/>
    </row>
    <row r="231" ht="15" customHeight="1">
      <c r="A231" t="inlineStr">
        <is>
          <t>A 3992-2022</t>
        </is>
      </c>
      <c r="B231" s="1" t="n">
        <v>44587</v>
      </c>
      <c r="C231" s="1" t="n">
        <v>45915</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418-2022</t>
        </is>
      </c>
      <c r="B232" s="1" t="n">
        <v>44565.84958333334</v>
      </c>
      <c r="C232" s="1" t="n">
        <v>45915</v>
      </c>
      <c r="D232" t="inlineStr">
        <is>
          <t>SKÅNE LÄN</t>
        </is>
      </c>
      <c r="E232" t="inlineStr">
        <is>
          <t>HÄSSLEHOLM</t>
        </is>
      </c>
      <c r="G232" t="n">
        <v>0</v>
      </c>
      <c r="H232" t="n">
        <v>0</v>
      </c>
      <c r="I232" t="n">
        <v>0</v>
      </c>
      <c r="J232" t="n">
        <v>0</v>
      </c>
      <c r="K232" t="n">
        <v>0</v>
      </c>
      <c r="L232" t="n">
        <v>0</v>
      </c>
      <c r="M232" t="n">
        <v>0</v>
      </c>
      <c r="N232" t="n">
        <v>0</v>
      </c>
      <c r="O232" t="n">
        <v>0</v>
      </c>
      <c r="P232" t="n">
        <v>0</v>
      </c>
      <c r="Q232" t="n">
        <v>0</v>
      </c>
      <c r="R232" s="2" t="inlineStr"/>
    </row>
    <row r="233" ht="15" customHeight="1">
      <c r="A233" t="inlineStr">
        <is>
          <t>A 74297-2021</t>
        </is>
      </c>
      <c r="B233" s="1" t="n">
        <v>44558</v>
      </c>
      <c r="C233" s="1" t="n">
        <v>45915</v>
      </c>
      <c r="D233" t="inlineStr">
        <is>
          <t>SKÅNE LÄN</t>
        </is>
      </c>
      <c r="E233" t="inlineStr">
        <is>
          <t>HÄSSLEHOLM</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25955-2022</t>
        </is>
      </c>
      <c r="B234" s="1" t="n">
        <v>44734</v>
      </c>
      <c r="C234" s="1" t="n">
        <v>45915</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2514-2021</t>
        </is>
      </c>
      <c r="B235" s="1" t="n">
        <v>44214</v>
      </c>
      <c r="C235" s="1" t="n">
        <v>45915</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20657-2022</t>
        </is>
      </c>
      <c r="B236" s="1" t="n">
        <v>44700</v>
      </c>
      <c r="C236" s="1" t="n">
        <v>45915</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7248-2021</t>
        </is>
      </c>
      <c r="B237" s="1" t="n">
        <v>44236</v>
      </c>
      <c r="C237" s="1" t="n">
        <v>45915</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52295-2021</t>
        </is>
      </c>
      <c r="B238" s="1" t="n">
        <v>44463</v>
      </c>
      <c r="C238" s="1" t="n">
        <v>45915</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6973-2021</t>
        </is>
      </c>
      <c r="B239" s="1" t="n">
        <v>44237</v>
      </c>
      <c r="C239" s="1" t="n">
        <v>45915</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68909-2021</t>
        </is>
      </c>
      <c r="B240" s="1" t="n">
        <v>44530.46730324074</v>
      </c>
      <c r="C240" s="1" t="n">
        <v>45915</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28236-2022</t>
        </is>
      </c>
      <c r="B241" s="1" t="n">
        <v>44746</v>
      </c>
      <c r="C241" s="1" t="n">
        <v>45915</v>
      </c>
      <c r="D241" t="inlineStr">
        <is>
          <t>SKÅNE LÄN</t>
        </is>
      </c>
      <c r="E241" t="inlineStr">
        <is>
          <t>HÄSSLEHOLM</t>
        </is>
      </c>
      <c r="G241" t="n">
        <v>3.5</v>
      </c>
      <c r="H241" t="n">
        <v>0</v>
      </c>
      <c r="I241" t="n">
        <v>0</v>
      </c>
      <c r="J241" t="n">
        <v>0</v>
      </c>
      <c r="K241" t="n">
        <v>0</v>
      </c>
      <c r="L241" t="n">
        <v>0</v>
      </c>
      <c r="M241" t="n">
        <v>0</v>
      </c>
      <c r="N241" t="n">
        <v>0</v>
      </c>
      <c r="O241" t="n">
        <v>0</v>
      </c>
      <c r="P241" t="n">
        <v>0</v>
      </c>
      <c r="Q241" t="n">
        <v>0</v>
      </c>
      <c r="R241" s="2" t="inlineStr"/>
    </row>
    <row r="242" ht="15" customHeight="1">
      <c r="A242" t="inlineStr">
        <is>
          <t>A 20279-2025</t>
        </is>
      </c>
      <c r="B242" s="1" t="n">
        <v>45774.38643518519</v>
      </c>
      <c r="C242" s="1" t="n">
        <v>45915</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3930-2021</t>
        </is>
      </c>
      <c r="B243" s="1" t="n">
        <v>44222</v>
      </c>
      <c r="C243" s="1" t="n">
        <v>45915</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8695-2021</t>
        </is>
      </c>
      <c r="B244" s="1" t="n">
        <v>44246</v>
      </c>
      <c r="C244" s="1" t="n">
        <v>45915</v>
      </c>
      <c r="D244" t="inlineStr">
        <is>
          <t>SKÅNE LÄN</t>
        </is>
      </c>
      <c r="E244" t="inlineStr">
        <is>
          <t>HÄSSLEHOLM</t>
        </is>
      </c>
      <c r="G244" t="n">
        <v>1.4</v>
      </c>
      <c r="H244" t="n">
        <v>0</v>
      </c>
      <c r="I244" t="n">
        <v>0</v>
      </c>
      <c r="J244" t="n">
        <v>0</v>
      </c>
      <c r="K244" t="n">
        <v>0</v>
      </c>
      <c r="L244" t="n">
        <v>0</v>
      </c>
      <c r="M244" t="n">
        <v>0</v>
      </c>
      <c r="N244" t="n">
        <v>0</v>
      </c>
      <c r="O244" t="n">
        <v>0</v>
      </c>
      <c r="P244" t="n">
        <v>0</v>
      </c>
      <c r="Q244" t="n">
        <v>0</v>
      </c>
      <c r="R244" s="2" t="inlineStr"/>
    </row>
    <row r="245" ht="15" customHeight="1">
      <c r="A245" t="inlineStr">
        <is>
          <t>A 7306-2025</t>
        </is>
      </c>
      <c r="B245" s="1" t="n">
        <v>45702</v>
      </c>
      <c r="C245" s="1" t="n">
        <v>45915</v>
      </c>
      <c r="D245" t="inlineStr">
        <is>
          <t>SKÅNE LÄN</t>
        </is>
      </c>
      <c r="E245" t="inlineStr">
        <is>
          <t>HÄSSLEHOLM</t>
        </is>
      </c>
      <c r="F245" t="inlineStr">
        <is>
          <t>Övriga Aktiebolag</t>
        </is>
      </c>
      <c r="G245" t="n">
        <v>3.3</v>
      </c>
      <c r="H245" t="n">
        <v>0</v>
      </c>
      <c r="I245" t="n">
        <v>0</v>
      </c>
      <c r="J245" t="n">
        <v>0</v>
      </c>
      <c r="K245" t="n">
        <v>0</v>
      </c>
      <c r="L245" t="n">
        <v>0</v>
      </c>
      <c r="M245" t="n">
        <v>0</v>
      </c>
      <c r="N245" t="n">
        <v>0</v>
      </c>
      <c r="O245" t="n">
        <v>0</v>
      </c>
      <c r="P245" t="n">
        <v>0</v>
      </c>
      <c r="Q245" t="n">
        <v>0</v>
      </c>
      <c r="R245" s="2" t="inlineStr"/>
    </row>
    <row r="246" ht="15" customHeight="1">
      <c r="A246" t="inlineStr">
        <is>
          <t>A 7308-2025</t>
        </is>
      </c>
      <c r="B246" s="1" t="n">
        <v>45702</v>
      </c>
      <c r="C246" s="1" t="n">
        <v>45915</v>
      </c>
      <c r="D246" t="inlineStr">
        <is>
          <t>SKÅNE LÄN</t>
        </is>
      </c>
      <c r="E246" t="inlineStr">
        <is>
          <t>HÄSSLEHOLM</t>
        </is>
      </c>
      <c r="F246" t="inlineStr">
        <is>
          <t>Övriga Aktiebolag</t>
        </is>
      </c>
      <c r="G246" t="n">
        <v>4.8</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45915</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14157-2021</t>
        </is>
      </c>
      <c r="B248" s="1" t="n">
        <v>44278.43246527778</v>
      </c>
      <c r="C248" s="1" t="n">
        <v>45915</v>
      </c>
      <c r="D248" t="inlineStr">
        <is>
          <t>SKÅNE LÄN</t>
        </is>
      </c>
      <c r="E248" t="inlineStr">
        <is>
          <t>HÄSSLEHOLM</t>
        </is>
      </c>
      <c r="G248" t="n">
        <v>10.5</v>
      </c>
      <c r="H248" t="n">
        <v>0</v>
      </c>
      <c r="I248" t="n">
        <v>0</v>
      </c>
      <c r="J248" t="n">
        <v>0</v>
      </c>
      <c r="K248" t="n">
        <v>0</v>
      </c>
      <c r="L248" t="n">
        <v>0</v>
      </c>
      <c r="M248" t="n">
        <v>0</v>
      </c>
      <c r="N248" t="n">
        <v>0</v>
      </c>
      <c r="O248" t="n">
        <v>0</v>
      </c>
      <c r="P248" t="n">
        <v>0</v>
      </c>
      <c r="Q248" t="n">
        <v>0</v>
      </c>
      <c r="R248" s="2" t="inlineStr"/>
    </row>
    <row r="249" ht="15" customHeight="1">
      <c r="A249" t="inlineStr">
        <is>
          <t>A 677-2024</t>
        </is>
      </c>
      <c r="B249" s="1" t="n">
        <v>45300</v>
      </c>
      <c r="C249" s="1" t="n">
        <v>45915</v>
      </c>
      <c r="D249" t="inlineStr">
        <is>
          <t>SKÅNE LÄN</t>
        </is>
      </c>
      <c r="E249" t="inlineStr">
        <is>
          <t>HÄSSLEHOLM</t>
        </is>
      </c>
      <c r="G249" t="n">
        <v>6.8</v>
      </c>
      <c r="H249" t="n">
        <v>0</v>
      </c>
      <c r="I249" t="n">
        <v>0</v>
      </c>
      <c r="J249" t="n">
        <v>0</v>
      </c>
      <c r="K249" t="n">
        <v>0</v>
      </c>
      <c r="L249" t="n">
        <v>0</v>
      </c>
      <c r="M249" t="n">
        <v>0</v>
      </c>
      <c r="N249" t="n">
        <v>0</v>
      </c>
      <c r="O249" t="n">
        <v>0</v>
      </c>
      <c r="P249" t="n">
        <v>0</v>
      </c>
      <c r="Q249" t="n">
        <v>0</v>
      </c>
      <c r="R249" s="2" t="inlineStr"/>
    </row>
    <row r="250" ht="15" customHeight="1">
      <c r="A250" t="inlineStr">
        <is>
          <t>A 15562-2024</t>
        </is>
      </c>
      <c r="B250" s="1" t="n">
        <v>45401.64975694445</v>
      </c>
      <c r="C250" s="1" t="n">
        <v>45915</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9747-2024</t>
        </is>
      </c>
      <c r="B251" s="1" t="n">
        <v>45362</v>
      </c>
      <c r="C251" s="1" t="n">
        <v>45915</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18580-2023</t>
        </is>
      </c>
      <c r="B252" s="1" t="n">
        <v>45043.37037037037</v>
      </c>
      <c r="C252" s="1" t="n">
        <v>45915</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17335-2024</t>
        </is>
      </c>
      <c r="B253" s="1" t="n">
        <v>45414.5687962963</v>
      </c>
      <c r="C253" s="1" t="n">
        <v>45915</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50000-2023</t>
        </is>
      </c>
      <c r="B254" s="1" t="n">
        <v>45215.4434837963</v>
      </c>
      <c r="C254" s="1" t="n">
        <v>45915</v>
      </c>
      <c r="D254" t="inlineStr">
        <is>
          <t>SKÅNE LÄN</t>
        </is>
      </c>
      <c r="E254" t="inlineStr">
        <is>
          <t>HÄSSLEHOLM</t>
        </is>
      </c>
      <c r="G254" t="n">
        <v>1.6</v>
      </c>
      <c r="H254" t="n">
        <v>0</v>
      </c>
      <c r="I254" t="n">
        <v>0</v>
      </c>
      <c r="J254" t="n">
        <v>0</v>
      </c>
      <c r="K254" t="n">
        <v>0</v>
      </c>
      <c r="L254" t="n">
        <v>0</v>
      </c>
      <c r="M254" t="n">
        <v>0</v>
      </c>
      <c r="N254" t="n">
        <v>0</v>
      </c>
      <c r="O254" t="n">
        <v>0</v>
      </c>
      <c r="P254" t="n">
        <v>0</v>
      </c>
      <c r="Q254" t="n">
        <v>0</v>
      </c>
      <c r="R254" s="2" t="inlineStr"/>
    </row>
    <row r="255" ht="15" customHeight="1">
      <c r="A255" t="inlineStr">
        <is>
          <t>A 26642-2023</t>
        </is>
      </c>
      <c r="B255" s="1" t="n">
        <v>45092.8975</v>
      </c>
      <c r="C255" s="1" t="n">
        <v>45915</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50607-2023</t>
        </is>
      </c>
      <c r="B256" s="1" t="n">
        <v>45210</v>
      </c>
      <c r="C256" s="1" t="n">
        <v>45915</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50616-2023</t>
        </is>
      </c>
      <c r="B257" s="1" t="n">
        <v>45210</v>
      </c>
      <c r="C257" s="1" t="n">
        <v>45915</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9323-2025</t>
        </is>
      </c>
      <c r="B258" s="1" t="n">
        <v>45714.73532407408</v>
      </c>
      <c r="C258" s="1" t="n">
        <v>45915</v>
      </c>
      <c r="D258" t="inlineStr">
        <is>
          <t>SKÅNE LÄN</t>
        </is>
      </c>
      <c r="E258" t="inlineStr">
        <is>
          <t>HÄSSLEHOLM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23946-2023</t>
        </is>
      </c>
      <c r="B259" s="1" t="n">
        <v>45078.61601851852</v>
      </c>
      <c r="C259" s="1" t="n">
        <v>45915</v>
      </c>
      <c r="D259" t="inlineStr">
        <is>
          <t>SKÅNE LÄN</t>
        </is>
      </c>
      <c r="E259" t="inlineStr">
        <is>
          <t>HÄSSLEHOLM</t>
        </is>
      </c>
      <c r="G259" t="n">
        <v>0.2</v>
      </c>
      <c r="H259" t="n">
        <v>0</v>
      </c>
      <c r="I259" t="n">
        <v>0</v>
      </c>
      <c r="J259" t="n">
        <v>0</v>
      </c>
      <c r="K259" t="n">
        <v>0</v>
      </c>
      <c r="L259" t="n">
        <v>0</v>
      </c>
      <c r="M259" t="n">
        <v>0</v>
      </c>
      <c r="N259" t="n">
        <v>0</v>
      </c>
      <c r="O259" t="n">
        <v>0</v>
      </c>
      <c r="P259" t="n">
        <v>0</v>
      </c>
      <c r="Q259" t="n">
        <v>0</v>
      </c>
      <c r="R259" s="2" t="inlineStr"/>
    </row>
    <row r="260" ht="15" customHeight="1">
      <c r="A260" t="inlineStr">
        <is>
          <t>A 5016-2024</t>
        </is>
      </c>
      <c r="B260" s="1" t="n">
        <v>45329</v>
      </c>
      <c r="C260" s="1" t="n">
        <v>45915</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49250-2022</t>
        </is>
      </c>
      <c r="B261" s="1" t="n">
        <v>44858</v>
      </c>
      <c r="C261" s="1" t="n">
        <v>45915</v>
      </c>
      <c r="D261" t="inlineStr">
        <is>
          <t>SKÅNE LÄN</t>
        </is>
      </c>
      <c r="E261" t="inlineStr">
        <is>
          <t>HÄSSLEHOLM</t>
        </is>
      </c>
      <c r="F261" t="inlineStr">
        <is>
          <t>Kyrkan</t>
        </is>
      </c>
      <c r="G261" t="n">
        <v>1.5</v>
      </c>
      <c r="H261" t="n">
        <v>0</v>
      </c>
      <c r="I261" t="n">
        <v>0</v>
      </c>
      <c r="J261" t="n">
        <v>0</v>
      </c>
      <c r="K261" t="n">
        <v>0</v>
      </c>
      <c r="L261" t="n">
        <v>0</v>
      </c>
      <c r="M261" t="n">
        <v>0</v>
      </c>
      <c r="N261" t="n">
        <v>0</v>
      </c>
      <c r="O261" t="n">
        <v>0</v>
      </c>
      <c r="P261" t="n">
        <v>0</v>
      </c>
      <c r="Q261" t="n">
        <v>0</v>
      </c>
      <c r="R261" s="2" t="inlineStr"/>
    </row>
    <row r="262" ht="15" customHeight="1">
      <c r="A262" t="inlineStr">
        <is>
          <t>A 48397-2020</t>
        </is>
      </c>
      <c r="B262" s="1" t="n">
        <v>44097</v>
      </c>
      <c r="C262" s="1" t="n">
        <v>45915</v>
      </c>
      <c r="D262" t="inlineStr">
        <is>
          <t>SKÅNE LÄN</t>
        </is>
      </c>
      <c r="E262" t="inlineStr">
        <is>
          <t>HÄSSLEHOLM</t>
        </is>
      </c>
      <c r="G262" t="n">
        <v>8</v>
      </c>
      <c r="H262" t="n">
        <v>0</v>
      </c>
      <c r="I262" t="n">
        <v>0</v>
      </c>
      <c r="J262" t="n">
        <v>0</v>
      </c>
      <c r="K262" t="n">
        <v>0</v>
      </c>
      <c r="L262" t="n">
        <v>0</v>
      </c>
      <c r="M262" t="n">
        <v>0</v>
      </c>
      <c r="N262" t="n">
        <v>0</v>
      </c>
      <c r="O262" t="n">
        <v>0</v>
      </c>
      <c r="P262" t="n">
        <v>0</v>
      </c>
      <c r="Q262" t="n">
        <v>0</v>
      </c>
      <c r="R262" s="2" t="inlineStr"/>
    </row>
    <row r="263" ht="15" customHeight="1">
      <c r="A263" t="inlineStr">
        <is>
          <t>A 8759-2024</t>
        </is>
      </c>
      <c r="B263" s="1" t="n">
        <v>45356.52271990741</v>
      </c>
      <c r="C263" s="1" t="n">
        <v>45915</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10020-2024</t>
        </is>
      </c>
      <c r="B264" s="1" t="n">
        <v>45363.96944444445</v>
      </c>
      <c r="C264" s="1" t="n">
        <v>45915</v>
      </c>
      <c r="D264" t="inlineStr">
        <is>
          <t>SKÅNE LÄN</t>
        </is>
      </c>
      <c r="E264" t="inlineStr">
        <is>
          <t>HÄSSLEHOLM</t>
        </is>
      </c>
      <c r="G264" t="n">
        <v>5.3</v>
      </c>
      <c r="H264" t="n">
        <v>0</v>
      </c>
      <c r="I264" t="n">
        <v>0</v>
      </c>
      <c r="J264" t="n">
        <v>0</v>
      </c>
      <c r="K264" t="n">
        <v>0</v>
      </c>
      <c r="L264" t="n">
        <v>0</v>
      </c>
      <c r="M264" t="n">
        <v>0</v>
      </c>
      <c r="N264" t="n">
        <v>0</v>
      </c>
      <c r="O264" t="n">
        <v>0</v>
      </c>
      <c r="P264" t="n">
        <v>0</v>
      </c>
      <c r="Q264" t="n">
        <v>0</v>
      </c>
      <c r="R264" s="2" t="inlineStr"/>
    </row>
    <row r="265" ht="15" customHeight="1">
      <c r="A265" t="inlineStr">
        <is>
          <t>A 12936-2025</t>
        </is>
      </c>
      <c r="B265" s="1" t="n">
        <v>45734</v>
      </c>
      <c r="C265" s="1" t="n">
        <v>45915</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45915</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45915</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40739-2024</t>
        </is>
      </c>
      <c r="B268" s="1" t="n">
        <v>45558</v>
      </c>
      <c r="C268" s="1" t="n">
        <v>45915</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8749-2024</t>
        </is>
      </c>
      <c r="B269" s="1" t="n">
        <v>45356.50387731481</v>
      </c>
      <c r="C269" s="1" t="n">
        <v>45915</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8752-2024</t>
        </is>
      </c>
      <c r="B270" s="1" t="n">
        <v>45356</v>
      </c>
      <c r="C270" s="1" t="n">
        <v>45915</v>
      </c>
      <c r="D270" t="inlineStr">
        <is>
          <t>SKÅNE LÄN</t>
        </is>
      </c>
      <c r="E270" t="inlineStr">
        <is>
          <t>HÄSSLEHOLM</t>
        </is>
      </c>
      <c r="G270" t="n">
        <v>3.4</v>
      </c>
      <c r="H270" t="n">
        <v>0</v>
      </c>
      <c r="I270" t="n">
        <v>0</v>
      </c>
      <c r="J270" t="n">
        <v>0</v>
      </c>
      <c r="K270" t="n">
        <v>0</v>
      </c>
      <c r="L270" t="n">
        <v>0</v>
      </c>
      <c r="M270" t="n">
        <v>0</v>
      </c>
      <c r="N270" t="n">
        <v>0</v>
      </c>
      <c r="O270" t="n">
        <v>0</v>
      </c>
      <c r="P270" t="n">
        <v>0</v>
      </c>
      <c r="Q270" t="n">
        <v>0</v>
      </c>
      <c r="R270" s="2" t="inlineStr"/>
    </row>
    <row r="271" ht="15" customHeight="1">
      <c r="A271" t="inlineStr">
        <is>
          <t>A 42906-2022</t>
        </is>
      </c>
      <c r="B271" s="1" t="n">
        <v>44833</v>
      </c>
      <c r="C271" s="1" t="n">
        <v>45915</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15036-2024</t>
        </is>
      </c>
      <c r="B272" s="1" t="n">
        <v>45399.48100694444</v>
      </c>
      <c r="C272" s="1" t="n">
        <v>45915</v>
      </c>
      <c r="D272" t="inlineStr">
        <is>
          <t>SKÅNE LÄN</t>
        </is>
      </c>
      <c r="E272" t="inlineStr">
        <is>
          <t>HÄSSLEHOLM</t>
        </is>
      </c>
      <c r="G272" t="n">
        <v>1.6</v>
      </c>
      <c r="H272" t="n">
        <v>0</v>
      </c>
      <c r="I272" t="n">
        <v>0</v>
      </c>
      <c r="J272" t="n">
        <v>0</v>
      </c>
      <c r="K272" t="n">
        <v>0</v>
      </c>
      <c r="L272" t="n">
        <v>0</v>
      </c>
      <c r="M272" t="n">
        <v>0</v>
      </c>
      <c r="N272" t="n">
        <v>0</v>
      </c>
      <c r="O272" t="n">
        <v>0</v>
      </c>
      <c r="P272" t="n">
        <v>0</v>
      </c>
      <c r="Q272" t="n">
        <v>0</v>
      </c>
      <c r="R272" s="2" t="inlineStr"/>
    </row>
    <row r="273" ht="15" customHeight="1">
      <c r="A273" t="inlineStr">
        <is>
          <t>A 64884-2023</t>
        </is>
      </c>
      <c r="B273" s="1" t="n">
        <v>45282.57809027778</v>
      </c>
      <c r="C273" s="1" t="n">
        <v>45915</v>
      </c>
      <c r="D273" t="inlineStr">
        <is>
          <t>SKÅNE LÄN</t>
        </is>
      </c>
      <c r="E273" t="inlineStr">
        <is>
          <t>HÄSSLEHOLM</t>
        </is>
      </c>
      <c r="G273" t="n">
        <v>4.6</v>
      </c>
      <c r="H273" t="n">
        <v>0</v>
      </c>
      <c r="I273" t="n">
        <v>0</v>
      </c>
      <c r="J273" t="n">
        <v>0</v>
      </c>
      <c r="K273" t="n">
        <v>0</v>
      </c>
      <c r="L273" t="n">
        <v>0</v>
      </c>
      <c r="M273" t="n">
        <v>0</v>
      </c>
      <c r="N273" t="n">
        <v>0</v>
      </c>
      <c r="O273" t="n">
        <v>0</v>
      </c>
      <c r="P273" t="n">
        <v>0</v>
      </c>
      <c r="Q273" t="n">
        <v>0</v>
      </c>
      <c r="R273" s="2" t="inlineStr"/>
    </row>
    <row r="274" ht="15" customHeight="1">
      <c r="A274" t="inlineStr">
        <is>
          <t>A 22140-2023</t>
        </is>
      </c>
      <c r="B274" s="1" t="n">
        <v>45065</v>
      </c>
      <c r="C274" s="1" t="n">
        <v>45915</v>
      </c>
      <c r="D274" t="inlineStr">
        <is>
          <t>SKÅNE LÄN</t>
        </is>
      </c>
      <c r="E274" t="inlineStr">
        <is>
          <t>HÄSSLEHOLM</t>
        </is>
      </c>
      <c r="G274" t="n">
        <v>6.7</v>
      </c>
      <c r="H274" t="n">
        <v>0</v>
      </c>
      <c r="I274" t="n">
        <v>0</v>
      </c>
      <c r="J274" t="n">
        <v>0</v>
      </c>
      <c r="K274" t="n">
        <v>0</v>
      </c>
      <c r="L274" t="n">
        <v>0</v>
      </c>
      <c r="M274" t="n">
        <v>0</v>
      </c>
      <c r="N274" t="n">
        <v>0</v>
      </c>
      <c r="O274" t="n">
        <v>0</v>
      </c>
      <c r="P274" t="n">
        <v>0</v>
      </c>
      <c r="Q274" t="n">
        <v>0</v>
      </c>
      <c r="R274" s="2" t="inlineStr"/>
    </row>
    <row r="275" ht="15" customHeight="1">
      <c r="A275" t="inlineStr">
        <is>
          <t>A 31944-2023</t>
        </is>
      </c>
      <c r="B275" s="1" t="n">
        <v>45119.34895833334</v>
      </c>
      <c r="C275" s="1" t="n">
        <v>45915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7890-2024</t>
        </is>
      </c>
      <c r="B276" s="1" t="n">
        <v>45350.40780092592</v>
      </c>
      <c r="C276" s="1" t="n">
        <v>45915</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31946-2023</t>
        </is>
      </c>
      <c r="B277" s="1" t="n">
        <v>45119.35158564815</v>
      </c>
      <c r="C277" s="1" t="n">
        <v>45915</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8755-2024</t>
        </is>
      </c>
      <c r="B278" s="1" t="n">
        <v>45356</v>
      </c>
      <c r="C278" s="1" t="n">
        <v>45915</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13811-2021</t>
        </is>
      </c>
      <c r="B279" s="1" t="n">
        <v>44276</v>
      </c>
      <c r="C279" s="1" t="n">
        <v>45915</v>
      </c>
      <c r="D279" t="inlineStr">
        <is>
          <t>SKÅNE LÄN</t>
        </is>
      </c>
      <c r="E279" t="inlineStr">
        <is>
          <t>HÄSSLEHOLM</t>
        </is>
      </c>
      <c r="G279" t="n">
        <v>8</v>
      </c>
      <c r="H279" t="n">
        <v>0</v>
      </c>
      <c r="I279" t="n">
        <v>0</v>
      </c>
      <c r="J279" t="n">
        <v>0</v>
      </c>
      <c r="K279" t="n">
        <v>0</v>
      </c>
      <c r="L279" t="n">
        <v>0</v>
      </c>
      <c r="M279" t="n">
        <v>0</v>
      </c>
      <c r="N279" t="n">
        <v>0</v>
      </c>
      <c r="O279" t="n">
        <v>0</v>
      </c>
      <c r="P279" t="n">
        <v>0</v>
      </c>
      <c r="Q279" t="n">
        <v>0</v>
      </c>
      <c r="R279" s="2" t="inlineStr"/>
    </row>
    <row r="280" ht="15" customHeight="1">
      <c r="A280" t="inlineStr">
        <is>
          <t>A 27991-2024</t>
        </is>
      </c>
      <c r="B280" s="1" t="n">
        <v>45476</v>
      </c>
      <c r="C280" s="1" t="n">
        <v>45915</v>
      </c>
      <c r="D280" t="inlineStr">
        <is>
          <t>SKÅNE LÄN</t>
        </is>
      </c>
      <c r="E280" t="inlineStr">
        <is>
          <t>HÄSSLEHOLM</t>
        </is>
      </c>
      <c r="G280" t="n">
        <v>5.8</v>
      </c>
      <c r="H280" t="n">
        <v>0</v>
      </c>
      <c r="I280" t="n">
        <v>0</v>
      </c>
      <c r="J280" t="n">
        <v>0</v>
      </c>
      <c r="K280" t="n">
        <v>0</v>
      </c>
      <c r="L280" t="n">
        <v>0</v>
      </c>
      <c r="M280" t="n">
        <v>0</v>
      </c>
      <c r="N280" t="n">
        <v>0</v>
      </c>
      <c r="O280" t="n">
        <v>0</v>
      </c>
      <c r="P280" t="n">
        <v>0</v>
      </c>
      <c r="Q280" t="n">
        <v>0</v>
      </c>
      <c r="R280" s="2" t="inlineStr"/>
    </row>
    <row r="281" ht="15" customHeight="1">
      <c r="A281" t="inlineStr">
        <is>
          <t>A 6612-2024</t>
        </is>
      </c>
      <c r="B281" s="1" t="n">
        <v>45341.58859953703</v>
      </c>
      <c r="C281" s="1" t="n">
        <v>45915</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5887-2025</t>
        </is>
      </c>
      <c r="B282" s="1" t="n">
        <v>45695.37925925926</v>
      </c>
      <c r="C282" s="1" t="n">
        <v>45915</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61178-2022</t>
        </is>
      </c>
      <c r="B283" s="1" t="n">
        <v>44915</v>
      </c>
      <c r="C283" s="1" t="n">
        <v>45915</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61185-2022</t>
        </is>
      </c>
      <c r="B284" s="1" t="n">
        <v>44915</v>
      </c>
      <c r="C284" s="1" t="n">
        <v>45915</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61691-2021</t>
        </is>
      </c>
      <c r="B285" s="1" t="n">
        <v>44501</v>
      </c>
      <c r="C285" s="1" t="n">
        <v>45915</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25221-2023</t>
        </is>
      </c>
      <c r="B286" s="1" t="n">
        <v>45086.60842592592</v>
      </c>
      <c r="C286" s="1" t="n">
        <v>45915</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59390-2021</t>
        </is>
      </c>
      <c r="B287" s="1" t="n">
        <v>44490</v>
      </c>
      <c r="C287" s="1" t="n">
        <v>45915</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43874-2022</t>
        </is>
      </c>
      <c r="B288" s="1" t="n">
        <v>44838.44738425926</v>
      </c>
      <c r="C288" s="1" t="n">
        <v>45915</v>
      </c>
      <c r="D288" t="inlineStr">
        <is>
          <t>SKÅNE LÄN</t>
        </is>
      </c>
      <c r="E288" t="inlineStr">
        <is>
          <t>HÄSSLEHOLM</t>
        </is>
      </c>
      <c r="G288" t="n">
        <v>2.1</v>
      </c>
      <c r="H288" t="n">
        <v>0</v>
      </c>
      <c r="I288" t="n">
        <v>0</v>
      </c>
      <c r="J288" t="n">
        <v>0</v>
      </c>
      <c r="K288" t="n">
        <v>0</v>
      </c>
      <c r="L288" t="n">
        <v>0</v>
      </c>
      <c r="M288" t="n">
        <v>0</v>
      </c>
      <c r="N288" t="n">
        <v>0</v>
      </c>
      <c r="O288" t="n">
        <v>0</v>
      </c>
      <c r="P288" t="n">
        <v>0</v>
      </c>
      <c r="Q288" t="n">
        <v>0</v>
      </c>
      <c r="R288" s="2" t="inlineStr"/>
    </row>
    <row r="289" ht="15" customHeight="1">
      <c r="A289" t="inlineStr">
        <is>
          <t>A 58915-2023</t>
        </is>
      </c>
      <c r="B289" s="1" t="n">
        <v>45250</v>
      </c>
      <c r="C289" s="1" t="n">
        <v>45915</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18648-2021</t>
        </is>
      </c>
      <c r="B290" s="1" t="n">
        <v>44306.70583333333</v>
      </c>
      <c r="C290" s="1" t="n">
        <v>45915</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8760-2024</t>
        </is>
      </c>
      <c r="B291" s="1" t="n">
        <v>45356.53420138889</v>
      </c>
      <c r="C291" s="1" t="n">
        <v>45915</v>
      </c>
      <c r="D291" t="inlineStr">
        <is>
          <t>SKÅNE LÄN</t>
        </is>
      </c>
      <c r="E291" t="inlineStr">
        <is>
          <t>HÄSSLEHOLM</t>
        </is>
      </c>
      <c r="G291" t="n">
        <v>6.1</v>
      </c>
      <c r="H291" t="n">
        <v>0</v>
      </c>
      <c r="I291" t="n">
        <v>0</v>
      </c>
      <c r="J291" t="n">
        <v>0</v>
      </c>
      <c r="K291" t="n">
        <v>0</v>
      </c>
      <c r="L291" t="n">
        <v>0</v>
      </c>
      <c r="M291" t="n">
        <v>0</v>
      </c>
      <c r="N291" t="n">
        <v>0</v>
      </c>
      <c r="O291" t="n">
        <v>0</v>
      </c>
      <c r="P291" t="n">
        <v>0</v>
      </c>
      <c r="Q291" t="n">
        <v>0</v>
      </c>
      <c r="R291" s="2" t="inlineStr"/>
    </row>
    <row r="292" ht="15" customHeight="1">
      <c r="A292" t="inlineStr">
        <is>
          <t>A 20494-2024</t>
        </is>
      </c>
      <c r="B292" s="1" t="n">
        <v>45435</v>
      </c>
      <c r="C292" s="1" t="n">
        <v>45915</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48889-2024</t>
        </is>
      </c>
      <c r="B293" s="1" t="n">
        <v>45594.33754629629</v>
      </c>
      <c r="C293" s="1" t="n">
        <v>45915</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50564-2023</t>
        </is>
      </c>
      <c r="B294" s="1" t="n">
        <v>45217.37957175926</v>
      </c>
      <c r="C294" s="1" t="n">
        <v>45915</v>
      </c>
      <c r="D294" t="inlineStr">
        <is>
          <t>SKÅNE LÄN</t>
        </is>
      </c>
      <c r="E294" t="inlineStr">
        <is>
          <t>HÄSSLEHOLM</t>
        </is>
      </c>
      <c r="G294" t="n">
        <v>1.2</v>
      </c>
      <c r="H294" t="n">
        <v>0</v>
      </c>
      <c r="I294" t="n">
        <v>0</v>
      </c>
      <c r="J294" t="n">
        <v>0</v>
      </c>
      <c r="K294" t="n">
        <v>0</v>
      </c>
      <c r="L294" t="n">
        <v>0</v>
      </c>
      <c r="M294" t="n">
        <v>0</v>
      </c>
      <c r="N294" t="n">
        <v>0</v>
      </c>
      <c r="O294" t="n">
        <v>0</v>
      </c>
      <c r="P294" t="n">
        <v>0</v>
      </c>
      <c r="Q294" t="n">
        <v>0</v>
      </c>
      <c r="R294" s="2" t="inlineStr"/>
    </row>
    <row r="295" ht="15" customHeight="1">
      <c r="A295" t="inlineStr">
        <is>
          <t>A 15133-2023</t>
        </is>
      </c>
      <c r="B295" s="1" t="n">
        <v>45016</v>
      </c>
      <c r="C295" s="1" t="n">
        <v>45915</v>
      </c>
      <c r="D295" t="inlineStr">
        <is>
          <t>SKÅNE LÄN</t>
        </is>
      </c>
      <c r="E295" t="inlineStr">
        <is>
          <t>HÄSSLEHOLM</t>
        </is>
      </c>
      <c r="G295" t="n">
        <v>7.8</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45915</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2567-2024</t>
        </is>
      </c>
      <c r="B297" s="1" t="n">
        <v>45313.62460648148</v>
      </c>
      <c r="C297" s="1" t="n">
        <v>45915</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57033-2022</t>
        </is>
      </c>
      <c r="B298" s="1" t="n">
        <v>44895.31270833333</v>
      </c>
      <c r="C298" s="1" t="n">
        <v>45915</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44697-2021</t>
        </is>
      </c>
      <c r="B299" s="1" t="n">
        <v>44438</v>
      </c>
      <c r="C299" s="1" t="n">
        <v>45915</v>
      </c>
      <c r="D299" t="inlineStr">
        <is>
          <t>SKÅNE LÄN</t>
        </is>
      </c>
      <c r="E299" t="inlineStr">
        <is>
          <t>HÄSSLEHOLM</t>
        </is>
      </c>
      <c r="G299" t="n">
        <v>4.8</v>
      </c>
      <c r="H299" t="n">
        <v>0</v>
      </c>
      <c r="I299" t="n">
        <v>0</v>
      </c>
      <c r="J299" t="n">
        <v>0</v>
      </c>
      <c r="K299" t="n">
        <v>0</v>
      </c>
      <c r="L299" t="n">
        <v>0</v>
      </c>
      <c r="M299" t="n">
        <v>0</v>
      </c>
      <c r="N299" t="n">
        <v>0</v>
      </c>
      <c r="O299" t="n">
        <v>0</v>
      </c>
      <c r="P299" t="n">
        <v>0</v>
      </c>
      <c r="Q299" t="n">
        <v>0</v>
      </c>
      <c r="R299" s="2" t="inlineStr"/>
    </row>
    <row r="300" ht="15" customHeight="1">
      <c r="A300" t="inlineStr">
        <is>
          <t>A 53067-2022</t>
        </is>
      </c>
      <c r="B300" s="1" t="n">
        <v>44873</v>
      </c>
      <c r="C300" s="1" t="n">
        <v>45915</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15053-2023</t>
        </is>
      </c>
      <c r="B301" s="1" t="n">
        <v>45015</v>
      </c>
      <c r="C301" s="1" t="n">
        <v>45915</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45915</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61929-2023</t>
        </is>
      </c>
      <c r="B303" s="1" t="n">
        <v>45266</v>
      </c>
      <c r="C303" s="1" t="n">
        <v>45915</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23857-2024</t>
        </is>
      </c>
      <c r="B304" s="1" t="n">
        <v>45455</v>
      </c>
      <c r="C304" s="1" t="n">
        <v>45915</v>
      </c>
      <c r="D304" t="inlineStr">
        <is>
          <t>SKÅNE LÄN</t>
        </is>
      </c>
      <c r="E304" t="inlineStr">
        <is>
          <t>HÄSSLEHOLM</t>
        </is>
      </c>
      <c r="G304" t="n">
        <v>3</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45915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1120-2024</t>
        </is>
      </c>
      <c r="B306" s="1" t="n">
        <v>45302.4452662037</v>
      </c>
      <c r="C306" s="1" t="n">
        <v>45915</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46185-2022</t>
        </is>
      </c>
      <c r="B307" s="1" t="n">
        <v>44847</v>
      </c>
      <c r="C307" s="1" t="n">
        <v>45915</v>
      </c>
      <c r="D307" t="inlineStr">
        <is>
          <t>SKÅNE LÄN</t>
        </is>
      </c>
      <c r="E307" t="inlineStr">
        <is>
          <t>HÄSSLEHOLM</t>
        </is>
      </c>
      <c r="G307" t="n">
        <v>16.8</v>
      </c>
      <c r="H307" t="n">
        <v>0</v>
      </c>
      <c r="I307" t="n">
        <v>0</v>
      </c>
      <c r="J307" t="n">
        <v>0</v>
      </c>
      <c r="K307" t="n">
        <v>0</v>
      </c>
      <c r="L307" t="n">
        <v>0</v>
      </c>
      <c r="M307" t="n">
        <v>0</v>
      </c>
      <c r="N307" t="n">
        <v>0</v>
      </c>
      <c r="O307" t="n">
        <v>0</v>
      </c>
      <c r="P307" t="n">
        <v>0</v>
      </c>
      <c r="Q307" t="n">
        <v>0</v>
      </c>
      <c r="R307" s="2" t="inlineStr"/>
    </row>
    <row r="308" ht="15" customHeight="1">
      <c r="A308" t="inlineStr">
        <is>
          <t>A 8433-2024</t>
        </is>
      </c>
      <c r="B308" s="1" t="n">
        <v>45353.48434027778</v>
      </c>
      <c r="C308" s="1" t="n">
        <v>45915</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62055-2023</t>
        </is>
      </c>
      <c r="B309" s="1" t="n">
        <v>45266.70287037037</v>
      </c>
      <c r="C309" s="1" t="n">
        <v>45915</v>
      </c>
      <c r="D309" t="inlineStr">
        <is>
          <t>SKÅNE LÄN</t>
        </is>
      </c>
      <c r="E309" t="inlineStr">
        <is>
          <t>HÄSSLEHOLM</t>
        </is>
      </c>
      <c r="G309" t="n">
        <v>5.2</v>
      </c>
      <c r="H309" t="n">
        <v>0</v>
      </c>
      <c r="I309" t="n">
        <v>0</v>
      </c>
      <c r="J309" t="n">
        <v>0</v>
      </c>
      <c r="K309" t="n">
        <v>0</v>
      </c>
      <c r="L309" t="n">
        <v>0</v>
      </c>
      <c r="M309" t="n">
        <v>0</v>
      </c>
      <c r="N309" t="n">
        <v>0</v>
      </c>
      <c r="O309" t="n">
        <v>0</v>
      </c>
      <c r="P309" t="n">
        <v>0</v>
      </c>
      <c r="Q309" t="n">
        <v>0</v>
      </c>
      <c r="R309" s="2" t="inlineStr"/>
    </row>
    <row r="310" ht="15" customHeight="1">
      <c r="A310" t="inlineStr">
        <is>
          <t>A 27177-2024</t>
        </is>
      </c>
      <c r="B310" s="1" t="n">
        <v>45471.57201388889</v>
      </c>
      <c r="C310" s="1" t="n">
        <v>45915</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42428-2022</t>
        </is>
      </c>
      <c r="B311" s="1" t="n">
        <v>44831</v>
      </c>
      <c r="C311" s="1" t="n">
        <v>45915</v>
      </c>
      <c r="D311" t="inlineStr">
        <is>
          <t>SKÅNE LÄN</t>
        </is>
      </c>
      <c r="E311" t="inlineStr">
        <is>
          <t>HÄSSLEHOLM</t>
        </is>
      </c>
      <c r="G311" t="n">
        <v>2.8</v>
      </c>
      <c r="H311" t="n">
        <v>0</v>
      </c>
      <c r="I311" t="n">
        <v>0</v>
      </c>
      <c r="J311" t="n">
        <v>0</v>
      </c>
      <c r="K311" t="n">
        <v>0</v>
      </c>
      <c r="L311" t="n">
        <v>0</v>
      </c>
      <c r="M311" t="n">
        <v>0</v>
      </c>
      <c r="N311" t="n">
        <v>0</v>
      </c>
      <c r="O311" t="n">
        <v>0</v>
      </c>
      <c r="P311" t="n">
        <v>0</v>
      </c>
      <c r="Q311" t="n">
        <v>0</v>
      </c>
      <c r="R311" s="2" t="inlineStr"/>
    </row>
    <row r="312" ht="15" customHeight="1">
      <c r="A312" t="inlineStr">
        <is>
          <t>A 22595-2024</t>
        </is>
      </c>
      <c r="B312" s="1" t="n">
        <v>45447.61053240741</v>
      </c>
      <c r="C312" s="1" t="n">
        <v>45915</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38148-2022</t>
        </is>
      </c>
      <c r="B313" s="1" t="n">
        <v>44811</v>
      </c>
      <c r="C313" s="1" t="n">
        <v>45915</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61186-2022</t>
        </is>
      </c>
      <c r="B314" s="1" t="n">
        <v>44915.50745370371</v>
      </c>
      <c r="C314" s="1" t="n">
        <v>45915</v>
      </c>
      <c r="D314" t="inlineStr">
        <is>
          <t>SKÅNE LÄN</t>
        </is>
      </c>
      <c r="E314" t="inlineStr">
        <is>
          <t>HÄSSLEHOLM</t>
        </is>
      </c>
      <c r="G314" t="n">
        <v>2.9</v>
      </c>
      <c r="H314" t="n">
        <v>0</v>
      </c>
      <c r="I314" t="n">
        <v>0</v>
      </c>
      <c r="J314" t="n">
        <v>0</v>
      </c>
      <c r="K314" t="n">
        <v>0</v>
      </c>
      <c r="L314" t="n">
        <v>0</v>
      </c>
      <c r="M314" t="n">
        <v>0</v>
      </c>
      <c r="N314" t="n">
        <v>0</v>
      </c>
      <c r="O314" t="n">
        <v>0</v>
      </c>
      <c r="P314" t="n">
        <v>0</v>
      </c>
      <c r="Q314" t="n">
        <v>0</v>
      </c>
      <c r="R314" s="2" t="inlineStr"/>
    </row>
    <row r="315" ht="15" customHeight="1">
      <c r="A315" t="inlineStr">
        <is>
          <t>A 29994-2023</t>
        </is>
      </c>
      <c r="B315" s="1" t="n">
        <v>45109.60038194444</v>
      </c>
      <c r="C315" s="1" t="n">
        <v>45915</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13018-2024</t>
        </is>
      </c>
      <c r="B316" s="1" t="n">
        <v>45385.58274305556</v>
      </c>
      <c r="C316" s="1" t="n">
        <v>45915</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20872-2025</t>
        </is>
      </c>
      <c r="B317" s="1" t="n">
        <v>45777.34688657407</v>
      </c>
      <c r="C317" s="1" t="n">
        <v>45915</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34342-2021</t>
        </is>
      </c>
      <c r="B318" s="1" t="n">
        <v>44379</v>
      </c>
      <c r="C318" s="1" t="n">
        <v>45915</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26857-2025</t>
        </is>
      </c>
      <c r="B319" s="1" t="n">
        <v>45810</v>
      </c>
      <c r="C319" s="1" t="n">
        <v>45915</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13555-2025</t>
        </is>
      </c>
      <c r="B320" s="1" t="n">
        <v>45736</v>
      </c>
      <c r="C320" s="1" t="n">
        <v>45915</v>
      </c>
      <c r="D320" t="inlineStr">
        <is>
          <t>SKÅNE LÄN</t>
        </is>
      </c>
      <c r="E320" t="inlineStr">
        <is>
          <t>HÄSSLEHOLM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45915</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42776-2021</t>
        </is>
      </c>
      <c r="B322" s="1" t="n">
        <v>44428</v>
      </c>
      <c r="C322" s="1" t="n">
        <v>45915</v>
      </c>
      <c r="D322" t="inlineStr">
        <is>
          <t>SKÅNE LÄN</t>
        </is>
      </c>
      <c r="E322" t="inlineStr">
        <is>
          <t>HÄSSLEHOLM</t>
        </is>
      </c>
      <c r="G322" t="n">
        <v>3.2</v>
      </c>
      <c r="H322" t="n">
        <v>0</v>
      </c>
      <c r="I322" t="n">
        <v>0</v>
      </c>
      <c r="J322" t="n">
        <v>0</v>
      </c>
      <c r="K322" t="n">
        <v>0</v>
      </c>
      <c r="L322" t="n">
        <v>0</v>
      </c>
      <c r="M322" t="n">
        <v>0</v>
      </c>
      <c r="N322" t="n">
        <v>0</v>
      </c>
      <c r="O322" t="n">
        <v>0</v>
      </c>
      <c r="P322" t="n">
        <v>0</v>
      </c>
      <c r="Q322" t="n">
        <v>0</v>
      </c>
      <c r="R322" s="2" t="inlineStr"/>
    </row>
    <row r="323" ht="15" customHeight="1">
      <c r="A323" t="inlineStr">
        <is>
          <t>A 28632-2024</t>
        </is>
      </c>
      <c r="B323" s="1" t="n">
        <v>45478</v>
      </c>
      <c r="C323" s="1" t="n">
        <v>45915</v>
      </c>
      <c r="D323" t="inlineStr">
        <is>
          <t>SKÅNE LÄN</t>
        </is>
      </c>
      <c r="E323" t="inlineStr">
        <is>
          <t>HÄSSLEHOLM</t>
        </is>
      </c>
      <c r="G323" t="n">
        <v>4</v>
      </c>
      <c r="H323" t="n">
        <v>0</v>
      </c>
      <c r="I323" t="n">
        <v>0</v>
      </c>
      <c r="J323" t="n">
        <v>0</v>
      </c>
      <c r="K323" t="n">
        <v>0</v>
      </c>
      <c r="L323" t="n">
        <v>0</v>
      </c>
      <c r="M323" t="n">
        <v>0</v>
      </c>
      <c r="N323" t="n">
        <v>0</v>
      </c>
      <c r="O323" t="n">
        <v>0</v>
      </c>
      <c r="P323" t="n">
        <v>0</v>
      </c>
      <c r="Q323" t="n">
        <v>0</v>
      </c>
      <c r="R323" s="2" t="inlineStr"/>
    </row>
    <row r="324" ht="15" customHeight="1">
      <c r="A324" t="inlineStr">
        <is>
          <t>A 28599-2024</t>
        </is>
      </c>
      <c r="B324" s="1" t="n">
        <v>45478.4247800926</v>
      </c>
      <c r="C324" s="1" t="n">
        <v>45915</v>
      </c>
      <c r="D324" t="inlineStr">
        <is>
          <t>SKÅNE LÄN</t>
        </is>
      </c>
      <c r="E324" t="inlineStr">
        <is>
          <t>HÄSSLEHOLM</t>
        </is>
      </c>
      <c r="G324" t="n">
        <v>8.6</v>
      </c>
      <c r="H324" t="n">
        <v>0</v>
      </c>
      <c r="I324" t="n">
        <v>0</v>
      </c>
      <c r="J324" t="n">
        <v>0</v>
      </c>
      <c r="K324" t="n">
        <v>0</v>
      </c>
      <c r="L324" t="n">
        <v>0</v>
      </c>
      <c r="M324" t="n">
        <v>0</v>
      </c>
      <c r="N324" t="n">
        <v>0</v>
      </c>
      <c r="O324" t="n">
        <v>0</v>
      </c>
      <c r="P324" t="n">
        <v>0</v>
      </c>
      <c r="Q324" t="n">
        <v>0</v>
      </c>
      <c r="R324" s="2" t="inlineStr"/>
    </row>
    <row r="325" ht="15" customHeight="1">
      <c r="A325" t="inlineStr">
        <is>
          <t>A 21091-2025</t>
        </is>
      </c>
      <c r="B325" s="1" t="n">
        <v>45777</v>
      </c>
      <c r="C325" s="1" t="n">
        <v>45915</v>
      </c>
      <c r="D325" t="inlineStr">
        <is>
          <t>SKÅNE LÄN</t>
        </is>
      </c>
      <c r="E325" t="inlineStr">
        <is>
          <t>HÄSSLEHOLM</t>
        </is>
      </c>
      <c r="G325" t="n">
        <v>3.4</v>
      </c>
      <c r="H325" t="n">
        <v>0</v>
      </c>
      <c r="I325" t="n">
        <v>0</v>
      </c>
      <c r="J325" t="n">
        <v>0</v>
      </c>
      <c r="K325" t="n">
        <v>0</v>
      </c>
      <c r="L325" t="n">
        <v>0</v>
      </c>
      <c r="M325" t="n">
        <v>0</v>
      </c>
      <c r="N325" t="n">
        <v>0</v>
      </c>
      <c r="O325" t="n">
        <v>0</v>
      </c>
      <c r="P325" t="n">
        <v>0</v>
      </c>
      <c r="Q325" t="n">
        <v>0</v>
      </c>
      <c r="R325" s="2" t="inlineStr"/>
    </row>
    <row r="326" ht="15" customHeight="1">
      <c r="A326" t="inlineStr">
        <is>
          <t>A 21206-2025</t>
        </is>
      </c>
      <c r="B326" s="1" t="n">
        <v>45779.48318287037</v>
      </c>
      <c r="C326" s="1" t="n">
        <v>45915</v>
      </c>
      <c r="D326" t="inlineStr">
        <is>
          <t>SKÅNE LÄN</t>
        </is>
      </c>
      <c r="E326" t="inlineStr">
        <is>
          <t>HÄSSLEHOLM</t>
        </is>
      </c>
      <c r="G326" t="n">
        <v>2.2</v>
      </c>
      <c r="H326" t="n">
        <v>0</v>
      </c>
      <c r="I326" t="n">
        <v>0</v>
      </c>
      <c r="J326" t="n">
        <v>0</v>
      </c>
      <c r="K326" t="n">
        <v>0</v>
      </c>
      <c r="L326" t="n">
        <v>0</v>
      </c>
      <c r="M326" t="n">
        <v>0</v>
      </c>
      <c r="N326" t="n">
        <v>0</v>
      </c>
      <c r="O326" t="n">
        <v>0</v>
      </c>
      <c r="P326" t="n">
        <v>0</v>
      </c>
      <c r="Q326" t="n">
        <v>0</v>
      </c>
      <c r="R326" s="2" t="inlineStr"/>
    </row>
    <row r="327" ht="15" customHeight="1">
      <c r="A327" t="inlineStr">
        <is>
          <t>A 45814-2020</t>
        </is>
      </c>
      <c r="B327" s="1" t="n">
        <v>44090.8908912037</v>
      </c>
      <c r="C327" s="1" t="n">
        <v>45915</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45815-2020</t>
        </is>
      </c>
      <c r="B328" s="1" t="n">
        <v>44090.9071875</v>
      </c>
      <c r="C328" s="1" t="n">
        <v>45915</v>
      </c>
      <c r="D328" t="inlineStr">
        <is>
          <t>SKÅNE LÄN</t>
        </is>
      </c>
      <c r="E328" t="inlineStr">
        <is>
          <t>HÄSSLEHOLM</t>
        </is>
      </c>
      <c r="G328" t="n">
        <v>0.9</v>
      </c>
      <c r="H328" t="n">
        <v>0</v>
      </c>
      <c r="I328" t="n">
        <v>0</v>
      </c>
      <c r="J328" t="n">
        <v>0</v>
      </c>
      <c r="K328" t="n">
        <v>0</v>
      </c>
      <c r="L328" t="n">
        <v>0</v>
      </c>
      <c r="M328" t="n">
        <v>0</v>
      </c>
      <c r="N328" t="n">
        <v>0</v>
      </c>
      <c r="O328" t="n">
        <v>0</v>
      </c>
      <c r="P328" t="n">
        <v>0</v>
      </c>
      <c r="Q328" t="n">
        <v>0</v>
      </c>
      <c r="R328" s="2" t="inlineStr"/>
    </row>
    <row r="329" ht="15" customHeight="1">
      <c r="A329" t="inlineStr">
        <is>
          <t>A 35712-2024</t>
        </is>
      </c>
      <c r="B329" s="1" t="n">
        <v>45532</v>
      </c>
      <c r="C329" s="1" t="n">
        <v>45915</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12780-2024</t>
        </is>
      </c>
      <c r="B330" s="1" t="n">
        <v>45384.59726851852</v>
      </c>
      <c r="C330" s="1" t="n">
        <v>45915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28457-2024</t>
        </is>
      </c>
      <c r="B331" s="1" t="n">
        <v>45477.68884259259</v>
      </c>
      <c r="C331" s="1" t="n">
        <v>45915</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33466-2024</t>
        </is>
      </c>
      <c r="B332" s="1" t="n">
        <v>45519</v>
      </c>
      <c r="C332" s="1" t="n">
        <v>45915</v>
      </c>
      <c r="D332" t="inlineStr">
        <is>
          <t>SKÅNE LÄN</t>
        </is>
      </c>
      <c r="E332" t="inlineStr">
        <is>
          <t>HÄSSLEHOLM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26397-2023</t>
        </is>
      </c>
      <c r="B333" s="1" t="n">
        <v>45087</v>
      </c>
      <c r="C333" s="1" t="n">
        <v>45915</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27175-2024</t>
        </is>
      </c>
      <c r="B334" s="1" t="n">
        <v>45471.57111111111</v>
      </c>
      <c r="C334" s="1" t="n">
        <v>45915</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29845-2024</t>
        </is>
      </c>
      <c r="B335" s="1" t="n">
        <v>45485.6212037037</v>
      </c>
      <c r="C335" s="1" t="n">
        <v>45915</v>
      </c>
      <c r="D335" t="inlineStr">
        <is>
          <t>SKÅNE LÄN</t>
        </is>
      </c>
      <c r="E335" t="inlineStr">
        <is>
          <t>HÄSSLEHOLM</t>
        </is>
      </c>
      <c r="G335" t="n">
        <v>1.3</v>
      </c>
      <c r="H335" t="n">
        <v>0</v>
      </c>
      <c r="I335" t="n">
        <v>0</v>
      </c>
      <c r="J335" t="n">
        <v>0</v>
      </c>
      <c r="K335" t="n">
        <v>0</v>
      </c>
      <c r="L335" t="n">
        <v>0</v>
      </c>
      <c r="M335" t="n">
        <v>0</v>
      </c>
      <c r="N335" t="n">
        <v>0</v>
      </c>
      <c r="O335" t="n">
        <v>0</v>
      </c>
      <c r="P335" t="n">
        <v>0</v>
      </c>
      <c r="Q335" t="n">
        <v>0</v>
      </c>
      <c r="R335" s="2" t="inlineStr"/>
    </row>
    <row r="336" ht="15" customHeight="1">
      <c r="A336" t="inlineStr">
        <is>
          <t>A 20006-2025</t>
        </is>
      </c>
      <c r="B336" s="1" t="n">
        <v>45772.05032407407</v>
      </c>
      <c r="C336" s="1" t="n">
        <v>45915</v>
      </c>
      <c r="D336" t="inlineStr">
        <is>
          <t>SKÅNE LÄN</t>
        </is>
      </c>
      <c r="E336" t="inlineStr">
        <is>
          <t>HÄSSLEHOLM</t>
        </is>
      </c>
      <c r="G336" t="n">
        <v>3.9</v>
      </c>
      <c r="H336" t="n">
        <v>0</v>
      </c>
      <c r="I336" t="n">
        <v>0</v>
      </c>
      <c r="J336" t="n">
        <v>0</v>
      </c>
      <c r="K336" t="n">
        <v>0</v>
      </c>
      <c r="L336" t="n">
        <v>0</v>
      </c>
      <c r="M336" t="n">
        <v>0</v>
      </c>
      <c r="N336" t="n">
        <v>0</v>
      </c>
      <c r="O336" t="n">
        <v>0</v>
      </c>
      <c r="P336" t="n">
        <v>0</v>
      </c>
      <c r="Q336" t="n">
        <v>0</v>
      </c>
      <c r="R336" s="2" t="inlineStr"/>
    </row>
    <row r="337" ht="15" customHeight="1">
      <c r="A337" t="inlineStr">
        <is>
          <t>A 61533-2024</t>
        </is>
      </c>
      <c r="B337" s="1" t="n">
        <v>45646</v>
      </c>
      <c r="C337" s="1" t="n">
        <v>45915</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61537-2024</t>
        </is>
      </c>
      <c r="B338" s="1" t="n">
        <v>45646</v>
      </c>
      <c r="C338" s="1" t="n">
        <v>45915</v>
      </c>
      <c r="D338" t="inlineStr">
        <is>
          <t>SKÅNE LÄN</t>
        </is>
      </c>
      <c r="E338" t="inlineStr">
        <is>
          <t>HÄSSLEHOLM</t>
        </is>
      </c>
      <c r="G338" t="n">
        <v>3.7</v>
      </c>
      <c r="H338" t="n">
        <v>0</v>
      </c>
      <c r="I338" t="n">
        <v>0</v>
      </c>
      <c r="J338" t="n">
        <v>0</v>
      </c>
      <c r="K338" t="n">
        <v>0</v>
      </c>
      <c r="L338" t="n">
        <v>0</v>
      </c>
      <c r="M338" t="n">
        <v>0</v>
      </c>
      <c r="N338" t="n">
        <v>0</v>
      </c>
      <c r="O338" t="n">
        <v>0</v>
      </c>
      <c r="P338" t="n">
        <v>0</v>
      </c>
      <c r="Q338" t="n">
        <v>0</v>
      </c>
      <c r="R338" s="2" t="inlineStr"/>
    </row>
    <row r="339" ht="15" customHeight="1">
      <c r="A339" t="inlineStr">
        <is>
          <t>A 21638-2025</t>
        </is>
      </c>
      <c r="B339" s="1" t="n">
        <v>45783.43087962963</v>
      </c>
      <c r="C339" s="1" t="n">
        <v>45915</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1197-2024</t>
        </is>
      </c>
      <c r="B340" s="1" t="n">
        <v>45302</v>
      </c>
      <c r="C340" s="1" t="n">
        <v>45915</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7818-2024</t>
        </is>
      </c>
      <c r="B341" s="1" t="n">
        <v>45349.68872685185</v>
      </c>
      <c r="C341" s="1" t="n">
        <v>45915</v>
      </c>
      <c r="D341" t="inlineStr">
        <is>
          <t>SKÅNE LÄN</t>
        </is>
      </c>
      <c r="E341" t="inlineStr">
        <is>
          <t>HÄSSLEHOLM</t>
        </is>
      </c>
      <c r="G341" t="n">
        <v>2.5</v>
      </c>
      <c r="H341" t="n">
        <v>0</v>
      </c>
      <c r="I341" t="n">
        <v>0</v>
      </c>
      <c r="J341" t="n">
        <v>0</v>
      </c>
      <c r="K341" t="n">
        <v>0</v>
      </c>
      <c r="L341" t="n">
        <v>0</v>
      </c>
      <c r="M341" t="n">
        <v>0</v>
      </c>
      <c r="N341" t="n">
        <v>0</v>
      </c>
      <c r="O341" t="n">
        <v>0</v>
      </c>
      <c r="P341" t="n">
        <v>0</v>
      </c>
      <c r="Q341" t="n">
        <v>0</v>
      </c>
      <c r="R341" s="2" t="inlineStr"/>
    </row>
    <row r="342" ht="15" customHeight="1">
      <c r="A342" t="inlineStr">
        <is>
          <t>A 48097-2024</t>
        </is>
      </c>
      <c r="B342" s="1" t="n">
        <v>45589.61413194444</v>
      </c>
      <c r="C342" s="1" t="n">
        <v>45915</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22594-2024</t>
        </is>
      </c>
      <c r="B343" s="1" t="n">
        <v>45447.60892361111</v>
      </c>
      <c r="C343" s="1" t="n">
        <v>45915</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53077-2022</t>
        </is>
      </c>
      <c r="B344" s="1" t="n">
        <v>44873</v>
      </c>
      <c r="C344" s="1" t="n">
        <v>45915</v>
      </c>
      <c r="D344" t="inlineStr">
        <is>
          <t>SKÅNE LÄN</t>
        </is>
      </c>
      <c r="E344" t="inlineStr">
        <is>
          <t>HÄSSLEHOLM</t>
        </is>
      </c>
      <c r="G344" t="n">
        <v>3</v>
      </c>
      <c r="H344" t="n">
        <v>0</v>
      </c>
      <c r="I344" t="n">
        <v>0</v>
      </c>
      <c r="J344" t="n">
        <v>0</v>
      </c>
      <c r="K344" t="n">
        <v>0</v>
      </c>
      <c r="L344" t="n">
        <v>0</v>
      </c>
      <c r="M344" t="n">
        <v>0</v>
      </c>
      <c r="N344" t="n">
        <v>0</v>
      </c>
      <c r="O344" t="n">
        <v>0</v>
      </c>
      <c r="P344" t="n">
        <v>0</v>
      </c>
      <c r="Q344" t="n">
        <v>0</v>
      </c>
      <c r="R344" s="2" t="inlineStr"/>
    </row>
    <row r="345" ht="15" customHeight="1">
      <c r="A345" t="inlineStr">
        <is>
          <t>A 39111-2023</t>
        </is>
      </c>
      <c r="B345" s="1" t="n">
        <v>45164.87140046297</v>
      </c>
      <c r="C345" s="1" t="n">
        <v>45915</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55056-2021</t>
        </is>
      </c>
      <c r="B346" s="1" t="n">
        <v>44474.62072916667</v>
      </c>
      <c r="C346" s="1" t="n">
        <v>45915</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60851-2024</t>
        </is>
      </c>
      <c r="B347" s="1" t="n">
        <v>45644.66182870371</v>
      </c>
      <c r="C347" s="1" t="n">
        <v>45915</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317-2025</t>
        </is>
      </c>
      <c r="B348" s="1" t="n">
        <v>45660</v>
      </c>
      <c r="C348" s="1" t="n">
        <v>45915</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4042-2023</t>
        </is>
      </c>
      <c r="B349" s="1" t="n">
        <v>44952.59950231481</v>
      </c>
      <c r="C349" s="1" t="n">
        <v>45915</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21625-2025</t>
        </is>
      </c>
      <c r="B350" s="1" t="n">
        <v>45783.41252314814</v>
      </c>
      <c r="C350" s="1" t="n">
        <v>45915</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3123-2023</t>
        </is>
      </c>
      <c r="B351" s="1" t="n">
        <v>44946.4925</v>
      </c>
      <c r="C351" s="1" t="n">
        <v>45915</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3126-2023</t>
        </is>
      </c>
      <c r="B352" s="1" t="n">
        <v>44946.49570601852</v>
      </c>
      <c r="C352" s="1" t="n">
        <v>45915</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25213-2023</t>
        </is>
      </c>
      <c r="B353" s="1" t="n">
        <v>45086.60010416667</v>
      </c>
      <c r="C353" s="1" t="n">
        <v>45915</v>
      </c>
      <c r="D353" t="inlineStr">
        <is>
          <t>SKÅNE LÄN</t>
        </is>
      </c>
      <c r="E353" t="inlineStr">
        <is>
          <t>HÄSSLEHOLM</t>
        </is>
      </c>
      <c r="G353" t="n">
        <v>7.2</v>
      </c>
      <c r="H353" t="n">
        <v>0</v>
      </c>
      <c r="I353" t="n">
        <v>0</v>
      </c>
      <c r="J353" t="n">
        <v>0</v>
      </c>
      <c r="K353" t="n">
        <v>0</v>
      </c>
      <c r="L353" t="n">
        <v>0</v>
      </c>
      <c r="M353" t="n">
        <v>0</v>
      </c>
      <c r="N353" t="n">
        <v>0</v>
      </c>
      <c r="O353" t="n">
        <v>0</v>
      </c>
      <c r="P353" t="n">
        <v>0</v>
      </c>
      <c r="Q353" t="n">
        <v>0</v>
      </c>
      <c r="R353" s="2" t="inlineStr"/>
    </row>
    <row r="354" ht="15" customHeight="1">
      <c r="A354" t="inlineStr">
        <is>
          <t>A 60920-2024</t>
        </is>
      </c>
      <c r="B354" s="1" t="n">
        <v>45645.34442129629</v>
      </c>
      <c r="C354" s="1" t="n">
        <v>45915</v>
      </c>
      <c r="D354" t="inlineStr">
        <is>
          <t>SKÅNE LÄN</t>
        </is>
      </c>
      <c r="E354" t="inlineStr">
        <is>
          <t>HÄSSLEHOLM</t>
        </is>
      </c>
      <c r="G354" t="n">
        <v>2.6</v>
      </c>
      <c r="H354" t="n">
        <v>0</v>
      </c>
      <c r="I354" t="n">
        <v>0</v>
      </c>
      <c r="J354" t="n">
        <v>0</v>
      </c>
      <c r="K354" t="n">
        <v>0</v>
      </c>
      <c r="L354" t="n">
        <v>0</v>
      </c>
      <c r="M354" t="n">
        <v>0</v>
      </c>
      <c r="N354" t="n">
        <v>0</v>
      </c>
      <c r="O354" t="n">
        <v>0</v>
      </c>
      <c r="P354" t="n">
        <v>0</v>
      </c>
      <c r="Q354" t="n">
        <v>0</v>
      </c>
      <c r="R354" s="2" t="inlineStr"/>
    </row>
    <row r="355" ht="15" customHeight="1">
      <c r="A355" t="inlineStr">
        <is>
          <t>A 19020-2024</t>
        </is>
      </c>
      <c r="B355" s="1" t="n">
        <v>45427.66167824074</v>
      </c>
      <c r="C355" s="1" t="n">
        <v>45915</v>
      </c>
      <c r="D355" t="inlineStr">
        <is>
          <t>SKÅNE LÄN</t>
        </is>
      </c>
      <c r="E355" t="inlineStr">
        <is>
          <t>HÄSSLEHOLM</t>
        </is>
      </c>
      <c r="G355" t="n">
        <v>2.3</v>
      </c>
      <c r="H355" t="n">
        <v>0</v>
      </c>
      <c r="I355" t="n">
        <v>0</v>
      </c>
      <c r="J355" t="n">
        <v>0</v>
      </c>
      <c r="K355" t="n">
        <v>0</v>
      </c>
      <c r="L355" t="n">
        <v>0</v>
      </c>
      <c r="M355" t="n">
        <v>0</v>
      </c>
      <c r="N355" t="n">
        <v>0</v>
      </c>
      <c r="O355" t="n">
        <v>0</v>
      </c>
      <c r="P355" t="n">
        <v>0</v>
      </c>
      <c r="Q355" t="n">
        <v>0</v>
      </c>
      <c r="R355" s="2" t="inlineStr"/>
    </row>
    <row r="356" ht="15" customHeight="1">
      <c r="A356" t="inlineStr">
        <is>
          <t>A 30092-2025</t>
        </is>
      </c>
      <c r="B356" s="1" t="n">
        <v>45826</v>
      </c>
      <c r="C356" s="1" t="n">
        <v>45915</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52912-2022</t>
        </is>
      </c>
      <c r="B357" s="1" t="n">
        <v>44872</v>
      </c>
      <c r="C357" s="1" t="n">
        <v>45915</v>
      </c>
      <c r="D357" t="inlineStr">
        <is>
          <t>SKÅNE LÄN</t>
        </is>
      </c>
      <c r="E357" t="inlineStr">
        <is>
          <t>HÄSSLEHOLM</t>
        </is>
      </c>
      <c r="G357" t="n">
        <v>4.7</v>
      </c>
      <c r="H357" t="n">
        <v>0</v>
      </c>
      <c r="I357" t="n">
        <v>0</v>
      </c>
      <c r="J357" t="n">
        <v>0</v>
      </c>
      <c r="K357" t="n">
        <v>0</v>
      </c>
      <c r="L357" t="n">
        <v>0</v>
      </c>
      <c r="M357" t="n">
        <v>0</v>
      </c>
      <c r="N357" t="n">
        <v>0</v>
      </c>
      <c r="O357" t="n">
        <v>0</v>
      </c>
      <c r="P357" t="n">
        <v>0</v>
      </c>
      <c r="Q357" t="n">
        <v>0</v>
      </c>
      <c r="R357" s="2" t="inlineStr"/>
    </row>
    <row r="358" ht="15" customHeight="1">
      <c r="A358" t="inlineStr">
        <is>
          <t>A 24640-2023</t>
        </is>
      </c>
      <c r="B358" s="1" t="n">
        <v>45084.43181712963</v>
      </c>
      <c r="C358" s="1" t="n">
        <v>45915</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22535-2024</t>
        </is>
      </c>
      <c r="B359" s="1" t="n">
        <v>45447</v>
      </c>
      <c r="C359" s="1" t="n">
        <v>45915</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45915</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1703-2025</t>
        </is>
      </c>
      <c r="B361" s="1" t="n">
        <v>45670.80732638889</v>
      </c>
      <c r="C361" s="1" t="n">
        <v>45915</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30007-2023</t>
        </is>
      </c>
      <c r="B362" s="1" t="n">
        <v>45109.80349537037</v>
      </c>
      <c r="C362" s="1" t="n">
        <v>45915</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22024-2025</t>
        </is>
      </c>
      <c r="B363" s="1" t="n">
        <v>45784.85322916666</v>
      </c>
      <c r="C363" s="1" t="n">
        <v>45915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1289-2024</t>
        </is>
      </c>
      <c r="B364" s="1" t="n">
        <v>45303.32234953704</v>
      </c>
      <c r="C364" s="1" t="n">
        <v>45915</v>
      </c>
      <c r="D364" t="inlineStr">
        <is>
          <t>SKÅNE LÄN</t>
        </is>
      </c>
      <c r="E364" t="inlineStr">
        <is>
          <t>HÄSSLEHOLM</t>
        </is>
      </c>
      <c r="G364" t="n">
        <v>4.6</v>
      </c>
      <c r="H364" t="n">
        <v>0</v>
      </c>
      <c r="I364" t="n">
        <v>0</v>
      </c>
      <c r="J364" t="n">
        <v>0</v>
      </c>
      <c r="K364" t="n">
        <v>0</v>
      </c>
      <c r="L364" t="n">
        <v>0</v>
      </c>
      <c r="M364" t="n">
        <v>0</v>
      </c>
      <c r="N364" t="n">
        <v>0</v>
      </c>
      <c r="O364" t="n">
        <v>0</v>
      </c>
      <c r="P364" t="n">
        <v>0</v>
      </c>
      <c r="Q364" t="n">
        <v>0</v>
      </c>
      <c r="R364" s="2" t="inlineStr"/>
    </row>
    <row r="365" ht="15" customHeight="1">
      <c r="A365" t="inlineStr">
        <is>
          <t>A 29274-2023</t>
        </is>
      </c>
      <c r="B365" s="1" t="n">
        <v>45105</v>
      </c>
      <c r="C365" s="1" t="n">
        <v>45915</v>
      </c>
      <c r="D365" t="inlineStr">
        <is>
          <t>SKÅNE LÄN</t>
        </is>
      </c>
      <c r="E365" t="inlineStr">
        <is>
          <t>HÄSSLEHOLM</t>
        </is>
      </c>
      <c r="G365" t="n">
        <v>3.4</v>
      </c>
      <c r="H365" t="n">
        <v>0</v>
      </c>
      <c r="I365" t="n">
        <v>0</v>
      </c>
      <c r="J365" t="n">
        <v>0</v>
      </c>
      <c r="K365" t="n">
        <v>0</v>
      </c>
      <c r="L365" t="n">
        <v>0</v>
      </c>
      <c r="M365" t="n">
        <v>0</v>
      </c>
      <c r="N365" t="n">
        <v>0</v>
      </c>
      <c r="O365" t="n">
        <v>0</v>
      </c>
      <c r="P365" t="n">
        <v>0</v>
      </c>
      <c r="Q365" t="n">
        <v>0</v>
      </c>
      <c r="R365" s="2" t="inlineStr"/>
    </row>
    <row r="366" ht="15" customHeight="1">
      <c r="A366" t="inlineStr">
        <is>
          <t>A 34890-2023</t>
        </is>
      </c>
      <c r="B366" s="1" t="n">
        <v>45142.39475694444</v>
      </c>
      <c r="C366" s="1" t="n">
        <v>45915</v>
      </c>
      <c r="D366" t="inlineStr">
        <is>
          <t>SKÅNE LÄN</t>
        </is>
      </c>
      <c r="E366" t="inlineStr">
        <is>
          <t>HÄSSLEHOLM</t>
        </is>
      </c>
      <c r="G366" t="n">
        <v>4</v>
      </c>
      <c r="H366" t="n">
        <v>0</v>
      </c>
      <c r="I366" t="n">
        <v>0</v>
      </c>
      <c r="J366" t="n">
        <v>0</v>
      </c>
      <c r="K366" t="n">
        <v>0</v>
      </c>
      <c r="L366" t="n">
        <v>0</v>
      </c>
      <c r="M366" t="n">
        <v>0</v>
      </c>
      <c r="N366" t="n">
        <v>0</v>
      </c>
      <c r="O366" t="n">
        <v>0</v>
      </c>
      <c r="P366" t="n">
        <v>0</v>
      </c>
      <c r="Q366" t="n">
        <v>0</v>
      </c>
      <c r="R366" s="2" t="inlineStr"/>
    </row>
    <row r="367" ht="15" customHeight="1">
      <c r="A367" t="inlineStr">
        <is>
          <t>A 3886-2024</t>
        </is>
      </c>
      <c r="B367" s="1" t="n">
        <v>45322.44539351852</v>
      </c>
      <c r="C367" s="1" t="n">
        <v>45915</v>
      </c>
      <c r="D367" t="inlineStr">
        <is>
          <t>SKÅNE LÄN</t>
        </is>
      </c>
      <c r="E367" t="inlineStr">
        <is>
          <t>HÄSSLEHOLM</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61932-2023</t>
        </is>
      </c>
      <c r="B368" s="1" t="n">
        <v>45266.53761574074</v>
      </c>
      <c r="C368" s="1" t="n">
        <v>45915</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13149-2024</t>
        </is>
      </c>
      <c r="B369" s="1" t="n">
        <v>45386</v>
      </c>
      <c r="C369" s="1" t="n">
        <v>45915</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11715-2023</t>
        </is>
      </c>
      <c r="B370" s="1" t="n">
        <v>44992</v>
      </c>
      <c r="C370" s="1" t="n">
        <v>45915</v>
      </c>
      <c r="D370" t="inlineStr">
        <is>
          <t>SKÅNE LÄN</t>
        </is>
      </c>
      <c r="E370" t="inlineStr">
        <is>
          <t>HÄSSLEHOLM</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25606-2024</t>
        </is>
      </c>
      <c r="B371" s="1" t="n">
        <v>45463.63179398148</v>
      </c>
      <c r="C371" s="1" t="n">
        <v>45915</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24865-2024</t>
        </is>
      </c>
      <c r="B372" s="1" t="n">
        <v>45461.48974537037</v>
      </c>
      <c r="C372" s="1" t="n">
        <v>45915</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45915</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53466-2024</t>
        </is>
      </c>
      <c r="B374" s="1" t="n">
        <v>45614.55304398148</v>
      </c>
      <c r="C374" s="1" t="n">
        <v>45915</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25533-2024</t>
        </is>
      </c>
      <c r="B375" s="1" t="n">
        <v>45463</v>
      </c>
      <c r="C375" s="1" t="n">
        <v>45915</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10230-2025</t>
        </is>
      </c>
      <c r="B376" s="1" t="n">
        <v>45720</v>
      </c>
      <c r="C376" s="1" t="n">
        <v>45915</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30109-2025</t>
        </is>
      </c>
      <c r="B377" s="1" t="n">
        <v>45826</v>
      </c>
      <c r="C377" s="1" t="n">
        <v>45915</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31934-2024</t>
        </is>
      </c>
      <c r="B378" s="1" t="n">
        <v>45510.41177083334</v>
      </c>
      <c r="C378" s="1" t="n">
        <v>45915</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33927-2021</t>
        </is>
      </c>
      <c r="B379" s="1" t="n">
        <v>44378</v>
      </c>
      <c r="C379" s="1" t="n">
        <v>45915</v>
      </c>
      <c r="D379" t="inlineStr">
        <is>
          <t>SKÅNE LÄN</t>
        </is>
      </c>
      <c r="E379" t="inlineStr">
        <is>
          <t>HÄSSLEHOLM</t>
        </is>
      </c>
      <c r="G379" t="n">
        <v>16.7</v>
      </c>
      <c r="H379" t="n">
        <v>0</v>
      </c>
      <c r="I379" t="n">
        <v>0</v>
      </c>
      <c r="J379" t="n">
        <v>0</v>
      </c>
      <c r="K379" t="n">
        <v>0</v>
      </c>
      <c r="L379" t="n">
        <v>0</v>
      </c>
      <c r="M379" t="n">
        <v>0</v>
      </c>
      <c r="N379" t="n">
        <v>0</v>
      </c>
      <c r="O379" t="n">
        <v>0</v>
      </c>
      <c r="P379" t="n">
        <v>0</v>
      </c>
      <c r="Q379" t="n">
        <v>0</v>
      </c>
      <c r="R379" s="2" t="inlineStr"/>
    </row>
    <row r="380" ht="15" customHeight="1">
      <c r="A380" t="inlineStr">
        <is>
          <t>A 29847-2024</t>
        </is>
      </c>
      <c r="B380" s="1" t="n">
        <v>45485.6278587963</v>
      </c>
      <c r="C380" s="1" t="n">
        <v>45915</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25057-2024</t>
        </is>
      </c>
      <c r="B381" s="1" t="n">
        <v>45462</v>
      </c>
      <c r="C381" s="1" t="n">
        <v>45915</v>
      </c>
      <c r="D381" t="inlineStr">
        <is>
          <t>SKÅNE LÄN</t>
        </is>
      </c>
      <c r="E381" t="inlineStr">
        <is>
          <t>HÄSSLEHOLM</t>
        </is>
      </c>
      <c r="G381" t="n">
        <v>4.3</v>
      </c>
      <c r="H381" t="n">
        <v>0</v>
      </c>
      <c r="I381" t="n">
        <v>0</v>
      </c>
      <c r="J381" t="n">
        <v>0</v>
      </c>
      <c r="K381" t="n">
        <v>0</v>
      </c>
      <c r="L381" t="n">
        <v>0</v>
      </c>
      <c r="M381" t="n">
        <v>0</v>
      </c>
      <c r="N381" t="n">
        <v>0</v>
      </c>
      <c r="O381" t="n">
        <v>0</v>
      </c>
      <c r="P381" t="n">
        <v>0</v>
      </c>
      <c r="Q381" t="n">
        <v>0</v>
      </c>
      <c r="R381" s="2" t="inlineStr"/>
    </row>
    <row r="382" ht="15" customHeight="1">
      <c r="A382" t="inlineStr">
        <is>
          <t>A 7653-2024</t>
        </is>
      </c>
      <c r="B382" s="1" t="n">
        <v>45348.69043981482</v>
      </c>
      <c r="C382" s="1" t="n">
        <v>45915</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57807-2020</t>
        </is>
      </c>
      <c r="B383" s="1" t="n">
        <v>44141</v>
      </c>
      <c r="C383" s="1" t="n">
        <v>45915</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10028-2024</t>
        </is>
      </c>
      <c r="B384" s="1" t="n">
        <v>45363.97292824074</v>
      </c>
      <c r="C384" s="1" t="n">
        <v>45915</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19735-2023</t>
        </is>
      </c>
      <c r="B385" s="1" t="n">
        <v>45051.52199074074</v>
      </c>
      <c r="C385" s="1" t="n">
        <v>45915</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48797-2023</t>
        </is>
      </c>
      <c r="B386" s="1" t="n">
        <v>45209.24986111111</v>
      </c>
      <c r="C386" s="1" t="n">
        <v>45915</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5532-2025</t>
        </is>
      </c>
      <c r="B387" s="1" t="n">
        <v>45693</v>
      </c>
      <c r="C387" s="1" t="n">
        <v>45915</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55662-2022</t>
        </is>
      </c>
      <c r="B388" s="1" t="n">
        <v>44883</v>
      </c>
      <c r="C388" s="1" t="n">
        <v>45915</v>
      </c>
      <c r="D388" t="inlineStr">
        <is>
          <t>SKÅNE LÄN</t>
        </is>
      </c>
      <c r="E388" t="inlineStr">
        <is>
          <t>HÄSSLEHOLM</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61158-2022</t>
        </is>
      </c>
      <c r="B389" s="1" t="n">
        <v>44915.47112268519</v>
      </c>
      <c r="C389" s="1" t="n">
        <v>45915</v>
      </c>
      <c r="D389" t="inlineStr">
        <is>
          <t>SKÅNE LÄN</t>
        </is>
      </c>
      <c r="E389" t="inlineStr">
        <is>
          <t>HÄSSLEHOLM</t>
        </is>
      </c>
      <c r="G389" t="n">
        <v>8.4</v>
      </c>
      <c r="H389" t="n">
        <v>0</v>
      </c>
      <c r="I389" t="n">
        <v>0</v>
      </c>
      <c r="J389" t="n">
        <v>0</v>
      </c>
      <c r="K389" t="n">
        <v>0</v>
      </c>
      <c r="L389" t="n">
        <v>0</v>
      </c>
      <c r="M389" t="n">
        <v>0</v>
      </c>
      <c r="N389" t="n">
        <v>0</v>
      </c>
      <c r="O389" t="n">
        <v>0</v>
      </c>
      <c r="P389" t="n">
        <v>0</v>
      </c>
      <c r="Q389" t="n">
        <v>0</v>
      </c>
      <c r="R389" s="2" t="inlineStr"/>
    </row>
    <row r="390" ht="15" customHeight="1">
      <c r="A390" t="inlineStr">
        <is>
          <t>A 12570-2023</t>
        </is>
      </c>
      <c r="B390" s="1" t="n">
        <v>44999</v>
      </c>
      <c r="C390" s="1" t="n">
        <v>45915</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12468-2024</t>
        </is>
      </c>
      <c r="B391" s="1" t="n">
        <v>45379</v>
      </c>
      <c r="C391" s="1" t="n">
        <v>45915</v>
      </c>
      <c r="D391" t="inlineStr">
        <is>
          <t>SKÅNE LÄN</t>
        </is>
      </c>
      <c r="E391" t="inlineStr">
        <is>
          <t>HÄSSLEHOLM</t>
        </is>
      </c>
      <c r="G391" t="n">
        <v>15.5</v>
      </c>
      <c r="H391" t="n">
        <v>0</v>
      </c>
      <c r="I391" t="n">
        <v>0</v>
      </c>
      <c r="J391" t="n">
        <v>0</v>
      </c>
      <c r="K391" t="n">
        <v>0</v>
      </c>
      <c r="L391" t="n">
        <v>0</v>
      </c>
      <c r="M391" t="n">
        <v>0</v>
      </c>
      <c r="N391" t="n">
        <v>0</v>
      </c>
      <c r="O391" t="n">
        <v>0</v>
      </c>
      <c r="P391" t="n">
        <v>0</v>
      </c>
      <c r="Q391" t="n">
        <v>0</v>
      </c>
      <c r="R391" s="2" t="inlineStr"/>
    </row>
    <row r="392" ht="15" customHeight="1">
      <c r="A392" t="inlineStr">
        <is>
          <t>A 14926-2024</t>
        </is>
      </c>
      <c r="B392" s="1" t="n">
        <v>45398</v>
      </c>
      <c r="C392" s="1" t="n">
        <v>45915</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2688-2024</t>
        </is>
      </c>
      <c r="B393" s="1" t="n">
        <v>45314</v>
      </c>
      <c r="C393" s="1" t="n">
        <v>45915</v>
      </c>
      <c r="D393" t="inlineStr">
        <is>
          <t>SKÅNE LÄN</t>
        </is>
      </c>
      <c r="E393" t="inlineStr">
        <is>
          <t>HÄSSLEHOLM</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29844-2024</t>
        </is>
      </c>
      <c r="B394" s="1" t="n">
        <v>45485</v>
      </c>
      <c r="C394" s="1" t="n">
        <v>45915</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40536-2024</t>
        </is>
      </c>
      <c r="B395" s="1" t="n">
        <v>45555.61314814815</v>
      </c>
      <c r="C395" s="1" t="n">
        <v>45915</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4009-2024</t>
        </is>
      </c>
      <c r="B396" s="1" t="n">
        <v>45323</v>
      </c>
      <c r="C396" s="1" t="n">
        <v>45915</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36733-2023</t>
        </is>
      </c>
      <c r="B397" s="1" t="n">
        <v>45153.69989583334</v>
      </c>
      <c r="C397" s="1" t="n">
        <v>45915</v>
      </c>
      <c r="D397" t="inlineStr">
        <is>
          <t>SKÅNE LÄN</t>
        </is>
      </c>
      <c r="E397" t="inlineStr">
        <is>
          <t>HÄSSLEHOLM</t>
        </is>
      </c>
      <c r="G397" t="n">
        <v>4.8</v>
      </c>
      <c r="H397" t="n">
        <v>0</v>
      </c>
      <c r="I397" t="n">
        <v>0</v>
      </c>
      <c r="J397" t="n">
        <v>0</v>
      </c>
      <c r="K397" t="n">
        <v>0</v>
      </c>
      <c r="L397" t="n">
        <v>0</v>
      </c>
      <c r="M397" t="n">
        <v>0</v>
      </c>
      <c r="N397" t="n">
        <v>0</v>
      </c>
      <c r="O397" t="n">
        <v>0</v>
      </c>
      <c r="P397" t="n">
        <v>0</v>
      </c>
      <c r="Q397" t="n">
        <v>0</v>
      </c>
      <c r="R397" s="2" t="inlineStr"/>
    </row>
    <row r="398" ht="15" customHeight="1">
      <c r="A398" t="inlineStr">
        <is>
          <t>A 60848-2022</t>
        </is>
      </c>
      <c r="B398" s="1" t="n">
        <v>44914</v>
      </c>
      <c r="C398" s="1" t="n">
        <v>45915</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33266-2024</t>
        </is>
      </c>
      <c r="B399" s="1" t="n">
        <v>45518</v>
      </c>
      <c r="C399" s="1" t="n">
        <v>45915</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8244-2023</t>
        </is>
      </c>
      <c r="B400" s="1" t="n">
        <v>44974</v>
      </c>
      <c r="C400" s="1" t="n">
        <v>45915</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8246-2023</t>
        </is>
      </c>
      <c r="B401" s="1" t="n">
        <v>44974</v>
      </c>
      <c r="C401" s="1" t="n">
        <v>45915</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34834-2023</t>
        </is>
      </c>
      <c r="B402" s="1" t="n">
        <v>45141.7199537037</v>
      </c>
      <c r="C402" s="1" t="n">
        <v>45915</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56386-2023</t>
        </is>
      </c>
      <c r="B403" s="1" t="n">
        <v>45243</v>
      </c>
      <c r="C403" s="1" t="n">
        <v>45915</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24679-2023</t>
        </is>
      </c>
      <c r="B404" s="1" t="n">
        <v>45084</v>
      </c>
      <c r="C404" s="1" t="n">
        <v>45915</v>
      </c>
      <c r="D404" t="inlineStr">
        <is>
          <t>SKÅNE LÄN</t>
        </is>
      </c>
      <c r="E404" t="inlineStr">
        <is>
          <t>HÄSSLEHOLM</t>
        </is>
      </c>
      <c r="G404" t="n">
        <v>7.1</v>
      </c>
      <c r="H404" t="n">
        <v>0</v>
      </c>
      <c r="I404" t="n">
        <v>0</v>
      </c>
      <c r="J404" t="n">
        <v>0</v>
      </c>
      <c r="K404" t="n">
        <v>0</v>
      </c>
      <c r="L404" t="n">
        <v>0</v>
      </c>
      <c r="M404" t="n">
        <v>0</v>
      </c>
      <c r="N404" t="n">
        <v>0</v>
      </c>
      <c r="O404" t="n">
        <v>0</v>
      </c>
      <c r="P404" t="n">
        <v>0</v>
      </c>
      <c r="Q404" t="n">
        <v>0</v>
      </c>
      <c r="R404" s="2" t="inlineStr"/>
    </row>
    <row r="405" ht="15" customHeight="1">
      <c r="A405" t="inlineStr">
        <is>
          <t>A 2490-2024</t>
        </is>
      </c>
      <c r="B405" s="1" t="n">
        <v>45313.43649305555</v>
      </c>
      <c r="C405" s="1" t="n">
        <v>45915</v>
      </c>
      <c r="D405" t="inlineStr">
        <is>
          <t>SKÅNE LÄN</t>
        </is>
      </c>
      <c r="E405" t="inlineStr">
        <is>
          <t>HÄSSLEHOLM</t>
        </is>
      </c>
      <c r="G405" t="n">
        <v>4</v>
      </c>
      <c r="H405" t="n">
        <v>0</v>
      </c>
      <c r="I405" t="n">
        <v>0</v>
      </c>
      <c r="J405" t="n">
        <v>0</v>
      </c>
      <c r="K405" t="n">
        <v>0</v>
      </c>
      <c r="L405" t="n">
        <v>0</v>
      </c>
      <c r="M405" t="n">
        <v>0</v>
      </c>
      <c r="N405" t="n">
        <v>0</v>
      </c>
      <c r="O405" t="n">
        <v>0</v>
      </c>
      <c r="P405" t="n">
        <v>0</v>
      </c>
      <c r="Q405" t="n">
        <v>0</v>
      </c>
      <c r="R405" s="2" t="inlineStr"/>
    </row>
    <row r="406" ht="15" customHeight="1">
      <c r="A406" t="inlineStr">
        <is>
          <t>A 57649-2022</t>
        </is>
      </c>
      <c r="B406" s="1" t="n">
        <v>44897.42755787037</v>
      </c>
      <c r="C406" s="1" t="n">
        <v>45915</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50244-2024</t>
        </is>
      </c>
      <c r="B407" s="1" t="n">
        <v>45600.56502314815</v>
      </c>
      <c r="C407" s="1" t="n">
        <v>45915</v>
      </c>
      <c r="D407" t="inlineStr">
        <is>
          <t>SKÅNE LÄN</t>
        </is>
      </c>
      <c r="E407" t="inlineStr">
        <is>
          <t>HÄSSLEHOLM</t>
        </is>
      </c>
      <c r="G407" t="n">
        <v>1.9</v>
      </c>
      <c r="H407" t="n">
        <v>0</v>
      </c>
      <c r="I407" t="n">
        <v>0</v>
      </c>
      <c r="J407" t="n">
        <v>0</v>
      </c>
      <c r="K407" t="n">
        <v>0</v>
      </c>
      <c r="L407" t="n">
        <v>0</v>
      </c>
      <c r="M407" t="n">
        <v>0</v>
      </c>
      <c r="N407" t="n">
        <v>0</v>
      </c>
      <c r="O407" t="n">
        <v>0</v>
      </c>
      <c r="P407" t="n">
        <v>0</v>
      </c>
      <c r="Q407" t="n">
        <v>0</v>
      </c>
      <c r="R407" s="2" t="inlineStr"/>
    </row>
    <row r="408" ht="15" customHeight="1">
      <c r="A408" t="inlineStr">
        <is>
          <t>A 57665-2022</t>
        </is>
      </c>
      <c r="B408" s="1" t="n">
        <v>44897.4494212963</v>
      </c>
      <c r="C408" s="1" t="n">
        <v>45915</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57676-2022</t>
        </is>
      </c>
      <c r="B409" s="1" t="n">
        <v>44897</v>
      </c>
      <c r="C409" s="1" t="n">
        <v>45915</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9924-2025</t>
        </is>
      </c>
      <c r="B410" s="1" t="n">
        <v>45717.72505787037</v>
      </c>
      <c r="C410" s="1" t="n">
        <v>45915</v>
      </c>
      <c r="D410" t="inlineStr">
        <is>
          <t>SKÅNE LÄN</t>
        </is>
      </c>
      <c r="E410" t="inlineStr">
        <is>
          <t>HÄSSLEHOLM</t>
        </is>
      </c>
      <c r="G410" t="n">
        <v>1.5</v>
      </c>
      <c r="H410" t="n">
        <v>0</v>
      </c>
      <c r="I410" t="n">
        <v>0</v>
      </c>
      <c r="J410" t="n">
        <v>0</v>
      </c>
      <c r="K410" t="n">
        <v>0</v>
      </c>
      <c r="L410" t="n">
        <v>0</v>
      </c>
      <c r="M410" t="n">
        <v>0</v>
      </c>
      <c r="N410" t="n">
        <v>0</v>
      </c>
      <c r="O410" t="n">
        <v>0</v>
      </c>
      <c r="P410" t="n">
        <v>0</v>
      </c>
      <c r="Q410" t="n">
        <v>0</v>
      </c>
      <c r="R410" s="2" t="inlineStr"/>
    </row>
    <row r="411" ht="15" customHeight="1">
      <c r="A411" t="inlineStr">
        <is>
          <t>A 18109-2025</t>
        </is>
      </c>
      <c r="B411" s="1" t="n">
        <v>45761</v>
      </c>
      <c r="C411" s="1" t="n">
        <v>45915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54671-2022</t>
        </is>
      </c>
      <c r="B412" s="1" t="n">
        <v>44883</v>
      </c>
      <c r="C412" s="1" t="n">
        <v>45915</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13007-2024</t>
        </is>
      </c>
      <c r="B413" s="1" t="n">
        <v>45385.57092592592</v>
      </c>
      <c r="C413" s="1" t="n">
        <v>45915</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53887-2023</t>
        </is>
      </c>
      <c r="B414" s="1" t="n">
        <v>45231.52675925926</v>
      </c>
      <c r="C414" s="1" t="n">
        <v>45915</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15508-2023</t>
        </is>
      </c>
      <c r="B415" s="1" t="n">
        <v>45020.50045138889</v>
      </c>
      <c r="C415" s="1" t="n">
        <v>45915</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49167-2022</t>
        </is>
      </c>
      <c r="B416" s="1" t="n">
        <v>44860</v>
      </c>
      <c r="C416" s="1" t="n">
        <v>45915</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23007-2025</t>
        </is>
      </c>
      <c r="B417" s="1" t="n">
        <v>45790</v>
      </c>
      <c r="C417" s="1" t="n">
        <v>45915</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28071-2023</t>
        </is>
      </c>
      <c r="B418" s="1" t="n">
        <v>45099.37755787037</v>
      </c>
      <c r="C418" s="1" t="n">
        <v>45915</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7221-2025</t>
        </is>
      </c>
      <c r="B419" s="1" t="n">
        <v>45701</v>
      </c>
      <c r="C419" s="1" t="n">
        <v>45915</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45915</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34187-2023</t>
        </is>
      </c>
      <c r="B421" s="1" t="n">
        <v>45138</v>
      </c>
      <c r="C421" s="1" t="n">
        <v>45915</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3507-2024</t>
        </is>
      </c>
      <c r="B422" s="1" t="n">
        <v>45320.4906712963</v>
      </c>
      <c r="C422" s="1" t="n">
        <v>45915</v>
      </c>
      <c r="D422" t="inlineStr">
        <is>
          <t>SKÅNE LÄN</t>
        </is>
      </c>
      <c r="E422" t="inlineStr">
        <is>
          <t>HÄSSLEHOLM</t>
        </is>
      </c>
      <c r="G422" t="n">
        <v>6.4</v>
      </c>
      <c r="H422" t="n">
        <v>0</v>
      </c>
      <c r="I422" t="n">
        <v>0</v>
      </c>
      <c r="J422" t="n">
        <v>0</v>
      </c>
      <c r="K422" t="n">
        <v>0</v>
      </c>
      <c r="L422" t="n">
        <v>0</v>
      </c>
      <c r="M422" t="n">
        <v>0</v>
      </c>
      <c r="N422" t="n">
        <v>0</v>
      </c>
      <c r="O422" t="n">
        <v>0</v>
      </c>
      <c r="P422" t="n">
        <v>0</v>
      </c>
      <c r="Q422" t="n">
        <v>0</v>
      </c>
      <c r="R422" s="2" t="inlineStr"/>
    </row>
    <row r="423" ht="15" customHeight="1">
      <c r="A423" t="inlineStr">
        <is>
          <t>A 27606-2024</t>
        </is>
      </c>
      <c r="B423" s="1" t="n">
        <v>45474</v>
      </c>
      <c r="C423" s="1" t="n">
        <v>45915</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4119-2024</t>
        </is>
      </c>
      <c r="B424" s="1" t="n">
        <v>45323.67920138889</v>
      </c>
      <c r="C424" s="1" t="n">
        <v>45915</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48877-2024</t>
        </is>
      </c>
      <c r="B425" s="1" t="n">
        <v>45594.31729166667</v>
      </c>
      <c r="C425" s="1" t="n">
        <v>45915</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47647-2024</t>
        </is>
      </c>
      <c r="B426" s="1" t="n">
        <v>45588</v>
      </c>
      <c r="C426" s="1" t="n">
        <v>45915</v>
      </c>
      <c r="D426" t="inlineStr">
        <is>
          <t>SKÅNE LÄN</t>
        </is>
      </c>
      <c r="E426" t="inlineStr">
        <is>
          <t>HÄSSLEHOLM</t>
        </is>
      </c>
      <c r="G426" t="n">
        <v>6.5</v>
      </c>
      <c r="H426" t="n">
        <v>0</v>
      </c>
      <c r="I426" t="n">
        <v>0</v>
      </c>
      <c r="J426" t="n">
        <v>0</v>
      </c>
      <c r="K426" t="n">
        <v>0</v>
      </c>
      <c r="L426" t="n">
        <v>0</v>
      </c>
      <c r="M426" t="n">
        <v>0</v>
      </c>
      <c r="N426" t="n">
        <v>0</v>
      </c>
      <c r="O426" t="n">
        <v>0</v>
      </c>
      <c r="P426" t="n">
        <v>0</v>
      </c>
      <c r="Q426" t="n">
        <v>0</v>
      </c>
      <c r="R426" s="2" t="inlineStr"/>
    </row>
    <row r="427" ht="15" customHeight="1">
      <c r="A427" t="inlineStr">
        <is>
          <t>A 1619-2022</t>
        </is>
      </c>
      <c r="B427" s="1" t="n">
        <v>44573</v>
      </c>
      <c r="C427" s="1" t="n">
        <v>45915</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11019-2025</t>
        </is>
      </c>
      <c r="B428" s="1" t="n">
        <v>45723</v>
      </c>
      <c r="C428" s="1" t="n">
        <v>45915</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56062-2024</t>
        </is>
      </c>
      <c r="B429" s="1" t="n">
        <v>45624.37105324074</v>
      </c>
      <c r="C429" s="1" t="n">
        <v>45915</v>
      </c>
      <c r="D429" t="inlineStr">
        <is>
          <t>SKÅNE LÄN</t>
        </is>
      </c>
      <c r="E429" t="inlineStr">
        <is>
          <t>HÄSSLEHOLM</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45299-2024</t>
        </is>
      </c>
      <c r="B430" s="1" t="n">
        <v>45576.40599537037</v>
      </c>
      <c r="C430" s="1" t="n">
        <v>45915</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34369-2023</t>
        </is>
      </c>
      <c r="B431" s="1" t="n">
        <v>45139.47817129629</v>
      </c>
      <c r="C431" s="1" t="n">
        <v>45915</v>
      </c>
      <c r="D431" t="inlineStr">
        <is>
          <t>SKÅNE LÄN</t>
        </is>
      </c>
      <c r="E431" t="inlineStr">
        <is>
          <t>HÄSSLEHOLM</t>
        </is>
      </c>
      <c r="G431" t="n">
        <v>2</v>
      </c>
      <c r="H431" t="n">
        <v>0</v>
      </c>
      <c r="I431" t="n">
        <v>0</v>
      </c>
      <c r="J431" t="n">
        <v>0</v>
      </c>
      <c r="K431" t="n">
        <v>0</v>
      </c>
      <c r="L431" t="n">
        <v>0</v>
      </c>
      <c r="M431" t="n">
        <v>0</v>
      </c>
      <c r="N431" t="n">
        <v>0</v>
      </c>
      <c r="O431" t="n">
        <v>0</v>
      </c>
      <c r="P431" t="n">
        <v>0</v>
      </c>
      <c r="Q431" t="n">
        <v>0</v>
      </c>
      <c r="R431" s="2" t="inlineStr"/>
    </row>
    <row r="432" ht="15" customHeight="1">
      <c r="A432" t="inlineStr">
        <is>
          <t>A 27297-2023</t>
        </is>
      </c>
      <c r="B432" s="1" t="n">
        <v>45096</v>
      </c>
      <c r="C432" s="1" t="n">
        <v>45915</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56735-2024</t>
        </is>
      </c>
      <c r="B433" s="1" t="n">
        <v>45628.36234953703</v>
      </c>
      <c r="C433" s="1" t="n">
        <v>45915</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2621-2025</t>
        </is>
      </c>
      <c r="B434" s="1" t="n">
        <v>45675.60765046296</v>
      </c>
      <c r="C434" s="1" t="n">
        <v>45915</v>
      </c>
      <c r="D434" t="inlineStr">
        <is>
          <t>SKÅNE LÄN</t>
        </is>
      </c>
      <c r="E434" t="inlineStr">
        <is>
          <t>HÄSSLEHOLM</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69505-2020</t>
        </is>
      </c>
      <c r="B435" s="1" t="n">
        <v>44194</v>
      </c>
      <c r="C435" s="1" t="n">
        <v>45915</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23005-2025</t>
        </is>
      </c>
      <c r="B436" s="1" t="n">
        <v>45790</v>
      </c>
      <c r="C436" s="1" t="n">
        <v>45915</v>
      </c>
      <c r="D436" t="inlineStr">
        <is>
          <t>SKÅNE LÄN</t>
        </is>
      </c>
      <c r="E436" t="inlineStr">
        <is>
          <t>HÄSSLEHOLM</t>
        </is>
      </c>
      <c r="G436" t="n">
        <v>0.3</v>
      </c>
      <c r="H436" t="n">
        <v>0</v>
      </c>
      <c r="I436" t="n">
        <v>0</v>
      </c>
      <c r="J436" t="n">
        <v>0</v>
      </c>
      <c r="K436" t="n">
        <v>0</v>
      </c>
      <c r="L436" t="n">
        <v>0</v>
      </c>
      <c r="M436" t="n">
        <v>0</v>
      </c>
      <c r="N436" t="n">
        <v>0</v>
      </c>
      <c r="O436" t="n">
        <v>0</v>
      </c>
      <c r="P436" t="n">
        <v>0</v>
      </c>
      <c r="Q436" t="n">
        <v>0</v>
      </c>
      <c r="R436" s="2" t="inlineStr"/>
    </row>
    <row r="437" ht="15" customHeight="1">
      <c r="A437" t="inlineStr">
        <is>
          <t>A 8378-2023</t>
        </is>
      </c>
      <c r="B437" s="1" t="n">
        <v>44971</v>
      </c>
      <c r="C437" s="1" t="n">
        <v>45915</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8737-2025</t>
        </is>
      </c>
      <c r="B438" s="1" t="n">
        <v>45712.54578703704</v>
      </c>
      <c r="C438" s="1" t="n">
        <v>45915</v>
      </c>
      <c r="D438" t="inlineStr">
        <is>
          <t>SKÅNE LÄN</t>
        </is>
      </c>
      <c r="E438" t="inlineStr">
        <is>
          <t>HÄSSLEHOLM</t>
        </is>
      </c>
      <c r="G438" t="n">
        <v>2.7</v>
      </c>
      <c r="H438" t="n">
        <v>0</v>
      </c>
      <c r="I438" t="n">
        <v>0</v>
      </c>
      <c r="J438" t="n">
        <v>0</v>
      </c>
      <c r="K438" t="n">
        <v>0</v>
      </c>
      <c r="L438" t="n">
        <v>0</v>
      </c>
      <c r="M438" t="n">
        <v>0</v>
      </c>
      <c r="N438" t="n">
        <v>0</v>
      </c>
      <c r="O438" t="n">
        <v>0</v>
      </c>
      <c r="P438" t="n">
        <v>0</v>
      </c>
      <c r="Q438" t="n">
        <v>0</v>
      </c>
      <c r="R438" s="2" t="inlineStr"/>
    </row>
    <row r="439" ht="15" customHeight="1">
      <c r="A439" t="inlineStr">
        <is>
          <t>A 22587-2025</t>
        </is>
      </c>
      <c r="B439" s="1" t="n">
        <v>45789.39974537037</v>
      </c>
      <c r="C439" s="1" t="n">
        <v>45915</v>
      </c>
      <c r="D439" t="inlineStr">
        <is>
          <t>SKÅNE LÄN</t>
        </is>
      </c>
      <c r="E439" t="inlineStr">
        <is>
          <t>HÄSSLEHOLM</t>
        </is>
      </c>
      <c r="G439" t="n">
        <v>5.7</v>
      </c>
      <c r="H439" t="n">
        <v>0</v>
      </c>
      <c r="I439" t="n">
        <v>0</v>
      </c>
      <c r="J439" t="n">
        <v>0</v>
      </c>
      <c r="K439" t="n">
        <v>0</v>
      </c>
      <c r="L439" t="n">
        <v>0</v>
      </c>
      <c r="M439" t="n">
        <v>0</v>
      </c>
      <c r="N439" t="n">
        <v>0</v>
      </c>
      <c r="O439" t="n">
        <v>0</v>
      </c>
      <c r="P439" t="n">
        <v>0</v>
      </c>
      <c r="Q439" t="n">
        <v>0</v>
      </c>
      <c r="R439" s="2" t="inlineStr"/>
    </row>
    <row r="440" ht="15" customHeight="1">
      <c r="A440" t="inlineStr">
        <is>
          <t>A 22592-2025</t>
        </is>
      </c>
      <c r="B440" s="1" t="n">
        <v>45789.40502314815</v>
      </c>
      <c r="C440" s="1" t="n">
        <v>45915</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60704-2023</t>
        </is>
      </c>
      <c r="B441" s="1" t="n">
        <v>45260.51340277777</v>
      </c>
      <c r="C441" s="1" t="n">
        <v>45915</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61569-2023</t>
        </is>
      </c>
      <c r="B442" s="1" t="n">
        <v>45265</v>
      </c>
      <c r="C442" s="1" t="n">
        <v>45915</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17171-2025</t>
        </is>
      </c>
      <c r="B443" s="1" t="n">
        <v>45755</v>
      </c>
      <c r="C443" s="1" t="n">
        <v>45915</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22132-2024</t>
        </is>
      </c>
      <c r="B444" s="1" t="n">
        <v>45444.37234953704</v>
      </c>
      <c r="C444" s="1" t="n">
        <v>45915</v>
      </c>
      <c r="D444" t="inlineStr">
        <is>
          <t>SKÅNE LÄN</t>
        </is>
      </c>
      <c r="E444" t="inlineStr">
        <is>
          <t>HÄSSLEHOLM</t>
        </is>
      </c>
      <c r="G444" t="n">
        <v>3.1</v>
      </c>
      <c r="H444" t="n">
        <v>0</v>
      </c>
      <c r="I444" t="n">
        <v>0</v>
      </c>
      <c r="J444" t="n">
        <v>0</v>
      </c>
      <c r="K444" t="n">
        <v>0</v>
      </c>
      <c r="L444" t="n">
        <v>0</v>
      </c>
      <c r="M444" t="n">
        <v>0</v>
      </c>
      <c r="N444" t="n">
        <v>0</v>
      </c>
      <c r="O444" t="n">
        <v>0</v>
      </c>
      <c r="P444" t="n">
        <v>0</v>
      </c>
      <c r="Q444" t="n">
        <v>0</v>
      </c>
      <c r="R444" s="2" t="inlineStr"/>
    </row>
    <row r="445" ht="15" customHeight="1">
      <c r="A445" t="inlineStr">
        <is>
          <t>A 54171-2022</t>
        </is>
      </c>
      <c r="B445" s="1" t="n">
        <v>44881</v>
      </c>
      <c r="C445" s="1" t="n">
        <v>45915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13954-2023</t>
        </is>
      </c>
      <c r="B446" s="1" t="n">
        <v>45008</v>
      </c>
      <c r="C446" s="1" t="n">
        <v>45915</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315-2022</t>
        </is>
      </c>
      <c r="B447" s="1" t="n">
        <v>44565.55630787037</v>
      </c>
      <c r="C447" s="1" t="n">
        <v>45915</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3245-2022</t>
        </is>
      </c>
      <c r="B448" s="1" t="n">
        <v>44583.39136574074</v>
      </c>
      <c r="C448" s="1" t="n">
        <v>45915</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51018-2023</t>
        </is>
      </c>
      <c r="B449" s="1" t="n">
        <v>45218</v>
      </c>
      <c r="C449" s="1" t="n">
        <v>45915</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40152-2024</t>
        </is>
      </c>
      <c r="B450" s="1" t="n">
        <v>45554</v>
      </c>
      <c r="C450" s="1" t="n">
        <v>45915</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31254-2024</t>
        </is>
      </c>
      <c r="B451" s="1" t="n">
        <v>45503</v>
      </c>
      <c r="C451" s="1" t="n">
        <v>45915</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27825-2024</t>
        </is>
      </c>
      <c r="B452" s="1" t="n">
        <v>45475</v>
      </c>
      <c r="C452" s="1" t="n">
        <v>45915</v>
      </c>
      <c r="D452" t="inlineStr">
        <is>
          <t>SKÅNE LÄN</t>
        </is>
      </c>
      <c r="E452" t="inlineStr">
        <is>
          <t>HÄSSLEHOLM</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31161-2024</t>
        </is>
      </c>
      <c r="B453" s="1" t="n">
        <v>45503</v>
      </c>
      <c r="C453" s="1" t="n">
        <v>45915</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33067-2024</t>
        </is>
      </c>
      <c r="B454" s="1" t="n">
        <v>45517.6520949074</v>
      </c>
      <c r="C454" s="1" t="n">
        <v>45915</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11753-2025</t>
        </is>
      </c>
      <c r="B455" s="1" t="n">
        <v>45727</v>
      </c>
      <c r="C455" s="1" t="n">
        <v>45915</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37764-2022</t>
        </is>
      </c>
      <c r="B456" s="1" t="n">
        <v>44810</v>
      </c>
      <c r="C456" s="1" t="n">
        <v>45915</v>
      </c>
      <c r="D456" t="inlineStr">
        <is>
          <t>SKÅNE LÄN</t>
        </is>
      </c>
      <c r="E456" t="inlineStr">
        <is>
          <t>HÄSSLEHOLM</t>
        </is>
      </c>
      <c r="F456" t="inlineStr">
        <is>
          <t>Kyrkan</t>
        </is>
      </c>
      <c r="G456" t="n">
        <v>9.4</v>
      </c>
      <c r="H456" t="n">
        <v>0</v>
      </c>
      <c r="I456" t="n">
        <v>0</v>
      </c>
      <c r="J456" t="n">
        <v>0</v>
      </c>
      <c r="K456" t="n">
        <v>0</v>
      </c>
      <c r="L456" t="n">
        <v>0</v>
      </c>
      <c r="M456" t="n">
        <v>0</v>
      </c>
      <c r="N456" t="n">
        <v>0</v>
      </c>
      <c r="O456" t="n">
        <v>0</v>
      </c>
      <c r="P456" t="n">
        <v>0</v>
      </c>
      <c r="Q456" t="n">
        <v>0</v>
      </c>
      <c r="R456" s="2" t="inlineStr"/>
    </row>
    <row r="457" ht="15" customHeight="1">
      <c r="A457" t="inlineStr">
        <is>
          <t>A 38888-2023</t>
        </is>
      </c>
      <c r="B457" s="1" t="n">
        <v>45161</v>
      </c>
      <c r="C457" s="1" t="n">
        <v>45915</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31255-2024</t>
        </is>
      </c>
      <c r="B458" s="1" t="n">
        <v>45503.69114583333</v>
      </c>
      <c r="C458" s="1" t="n">
        <v>45915</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7904-2022</t>
        </is>
      </c>
      <c r="B459" s="1" t="n">
        <v>44607</v>
      </c>
      <c r="C459" s="1" t="n">
        <v>45915</v>
      </c>
      <c r="D459" t="inlineStr">
        <is>
          <t>SKÅNE LÄN</t>
        </is>
      </c>
      <c r="E459" t="inlineStr">
        <is>
          <t>HÄSSLEHOLM</t>
        </is>
      </c>
      <c r="F459" t="inlineStr">
        <is>
          <t>Kyrkan</t>
        </is>
      </c>
      <c r="G459" t="n">
        <v>3.9</v>
      </c>
      <c r="H459" t="n">
        <v>0</v>
      </c>
      <c r="I459" t="n">
        <v>0</v>
      </c>
      <c r="J459" t="n">
        <v>0</v>
      </c>
      <c r="K459" t="n">
        <v>0</v>
      </c>
      <c r="L459" t="n">
        <v>0</v>
      </c>
      <c r="M459" t="n">
        <v>0</v>
      </c>
      <c r="N459" t="n">
        <v>0</v>
      </c>
      <c r="O459" t="n">
        <v>0</v>
      </c>
      <c r="P459" t="n">
        <v>0</v>
      </c>
      <c r="Q459" t="n">
        <v>0</v>
      </c>
      <c r="R459" s="2" t="inlineStr"/>
    </row>
    <row r="460" ht="15" customHeight="1">
      <c r="A460" t="inlineStr">
        <is>
          <t>A 9453-2021</t>
        </is>
      </c>
      <c r="B460" s="1" t="n">
        <v>44251</v>
      </c>
      <c r="C460" s="1" t="n">
        <v>45915</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5992-2022</t>
        </is>
      </c>
      <c r="B461" s="1" t="n">
        <v>44599</v>
      </c>
      <c r="C461" s="1" t="n">
        <v>45915</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37486-2024</t>
        </is>
      </c>
      <c r="B462" s="1" t="n">
        <v>45541</v>
      </c>
      <c r="C462" s="1" t="n">
        <v>45915</v>
      </c>
      <c r="D462" t="inlineStr">
        <is>
          <t>SKÅNE LÄN</t>
        </is>
      </c>
      <c r="E462" t="inlineStr">
        <is>
          <t>HÄSSLEHOLM</t>
        </is>
      </c>
      <c r="G462" t="n">
        <v>8.5</v>
      </c>
      <c r="H462" t="n">
        <v>0</v>
      </c>
      <c r="I462" t="n">
        <v>0</v>
      </c>
      <c r="J462" t="n">
        <v>0</v>
      </c>
      <c r="K462" t="n">
        <v>0</v>
      </c>
      <c r="L462" t="n">
        <v>0</v>
      </c>
      <c r="M462" t="n">
        <v>0</v>
      </c>
      <c r="N462" t="n">
        <v>0</v>
      </c>
      <c r="O462" t="n">
        <v>0</v>
      </c>
      <c r="P462" t="n">
        <v>0</v>
      </c>
      <c r="Q462" t="n">
        <v>0</v>
      </c>
      <c r="R462" s="2" t="inlineStr"/>
    </row>
    <row r="463" ht="15" customHeight="1">
      <c r="A463" t="inlineStr">
        <is>
          <t>A 44838-2023</t>
        </is>
      </c>
      <c r="B463" s="1" t="n">
        <v>45190</v>
      </c>
      <c r="C463" s="1" t="n">
        <v>45915</v>
      </c>
      <c r="D463" t="inlineStr">
        <is>
          <t>SKÅNE LÄN</t>
        </is>
      </c>
      <c r="E463" t="inlineStr">
        <is>
          <t>HÄSSLEHOLM</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7250-2022</t>
        </is>
      </c>
      <c r="B464" s="1" t="n">
        <v>44606</v>
      </c>
      <c r="C464" s="1" t="n">
        <v>45915</v>
      </c>
      <c r="D464" t="inlineStr">
        <is>
          <t>SKÅNE LÄN</t>
        </is>
      </c>
      <c r="E464" t="inlineStr">
        <is>
          <t>HÄSSLEHOLM</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11240-2023</t>
        </is>
      </c>
      <c r="B465" s="1" t="n">
        <v>44992</v>
      </c>
      <c r="C465" s="1" t="n">
        <v>45915</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4787-2023</t>
        </is>
      </c>
      <c r="B466" s="1" t="n">
        <v>44957.60079861111</v>
      </c>
      <c r="C466" s="1" t="n">
        <v>45915</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3248-2022</t>
        </is>
      </c>
      <c r="B467" s="1" t="n">
        <v>44583</v>
      </c>
      <c r="C467" s="1" t="n">
        <v>45915</v>
      </c>
      <c r="D467" t="inlineStr">
        <is>
          <t>SKÅNE LÄN</t>
        </is>
      </c>
      <c r="E467" t="inlineStr">
        <is>
          <t>HÄSSLEHOLM</t>
        </is>
      </c>
      <c r="G467" t="n">
        <v>3</v>
      </c>
      <c r="H467" t="n">
        <v>0</v>
      </c>
      <c r="I467" t="n">
        <v>0</v>
      </c>
      <c r="J467" t="n">
        <v>0</v>
      </c>
      <c r="K467" t="n">
        <v>0</v>
      </c>
      <c r="L467" t="n">
        <v>0</v>
      </c>
      <c r="M467" t="n">
        <v>0</v>
      </c>
      <c r="N467" t="n">
        <v>0</v>
      </c>
      <c r="O467" t="n">
        <v>0</v>
      </c>
      <c r="P467" t="n">
        <v>0</v>
      </c>
      <c r="Q467" t="n">
        <v>0</v>
      </c>
      <c r="R467" s="2" t="inlineStr"/>
    </row>
    <row r="468" ht="15" customHeight="1">
      <c r="A468" t="inlineStr">
        <is>
          <t>A 4788-2023</t>
        </is>
      </c>
      <c r="B468" s="1" t="n">
        <v>44957.60130787037</v>
      </c>
      <c r="C468" s="1" t="n">
        <v>45915</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6310-2025</t>
        </is>
      </c>
      <c r="B469" s="1" t="n">
        <v>45698</v>
      </c>
      <c r="C469" s="1" t="n">
        <v>45915</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15072-2024</t>
        </is>
      </c>
      <c r="B470" s="1" t="n">
        <v>45399.5996875</v>
      </c>
      <c r="C470" s="1" t="n">
        <v>45915</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16930-2024</t>
        </is>
      </c>
      <c r="B471" s="1" t="n">
        <v>45411</v>
      </c>
      <c r="C471" s="1" t="n">
        <v>45915</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32210-2024</t>
        </is>
      </c>
      <c r="B472" s="1" t="n">
        <v>45511.67777777778</v>
      </c>
      <c r="C472" s="1" t="n">
        <v>45915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59431-2023</t>
        </is>
      </c>
      <c r="B473" s="1" t="n">
        <v>45254.29207175926</v>
      </c>
      <c r="C473" s="1" t="n">
        <v>45915</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59433-2023</t>
        </is>
      </c>
      <c r="B474" s="1" t="n">
        <v>45254.29768518519</v>
      </c>
      <c r="C474" s="1" t="n">
        <v>45915</v>
      </c>
      <c r="D474" t="inlineStr">
        <is>
          <t>SKÅNE LÄN</t>
        </is>
      </c>
      <c r="E474" t="inlineStr">
        <is>
          <t>HÄSSLEHOLM</t>
        </is>
      </c>
      <c r="G474" t="n">
        <v>3.1</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45915</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45915</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45915</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60797-2024</t>
        </is>
      </c>
      <c r="B478" s="1" t="n">
        <v>45644</v>
      </c>
      <c r="C478" s="1" t="n">
        <v>45915</v>
      </c>
      <c r="D478" t="inlineStr">
        <is>
          <t>SKÅNE LÄN</t>
        </is>
      </c>
      <c r="E478" t="inlineStr">
        <is>
          <t>HÄSSLEHOLM</t>
        </is>
      </c>
      <c r="G478" t="n">
        <v>3.4</v>
      </c>
      <c r="H478" t="n">
        <v>0</v>
      </c>
      <c r="I478" t="n">
        <v>0</v>
      </c>
      <c r="J478" t="n">
        <v>0</v>
      </c>
      <c r="K478" t="n">
        <v>0</v>
      </c>
      <c r="L478" t="n">
        <v>0</v>
      </c>
      <c r="M478" t="n">
        <v>0</v>
      </c>
      <c r="N478" t="n">
        <v>0</v>
      </c>
      <c r="O478" t="n">
        <v>0</v>
      </c>
      <c r="P478" t="n">
        <v>0</v>
      </c>
      <c r="Q478" t="n">
        <v>0</v>
      </c>
      <c r="R478" s="2" t="inlineStr"/>
    </row>
    <row r="479" ht="15" customHeight="1">
      <c r="A479" t="inlineStr">
        <is>
          <t>A 16474-2025</t>
        </is>
      </c>
      <c r="B479" s="1" t="n">
        <v>45751.56834490741</v>
      </c>
      <c r="C479" s="1" t="n">
        <v>45915</v>
      </c>
      <c r="D479" t="inlineStr">
        <is>
          <t>SKÅNE LÄN</t>
        </is>
      </c>
      <c r="E479" t="inlineStr">
        <is>
          <t>HÄSSLEHOLM</t>
        </is>
      </c>
      <c r="G479" t="n">
        <v>5.9</v>
      </c>
      <c r="H479" t="n">
        <v>0</v>
      </c>
      <c r="I479" t="n">
        <v>0</v>
      </c>
      <c r="J479" t="n">
        <v>0</v>
      </c>
      <c r="K479" t="n">
        <v>0</v>
      </c>
      <c r="L479" t="n">
        <v>0</v>
      </c>
      <c r="M479" t="n">
        <v>0</v>
      </c>
      <c r="N479" t="n">
        <v>0</v>
      </c>
      <c r="O479" t="n">
        <v>0</v>
      </c>
      <c r="P479" t="n">
        <v>0</v>
      </c>
      <c r="Q479" t="n">
        <v>0</v>
      </c>
      <c r="R479" s="2" t="inlineStr"/>
    </row>
    <row r="480" ht="15" customHeight="1">
      <c r="A480" t="inlineStr">
        <is>
          <t>A 8524-2024</t>
        </is>
      </c>
      <c r="B480" s="1" t="n">
        <v>45355.48570601852</v>
      </c>
      <c r="C480" s="1" t="n">
        <v>45915</v>
      </c>
      <c r="D480" t="inlineStr">
        <is>
          <t>SKÅNE LÄN</t>
        </is>
      </c>
      <c r="E480" t="inlineStr">
        <is>
          <t>HÄSSLEHOLM</t>
        </is>
      </c>
      <c r="G480" t="n">
        <v>4</v>
      </c>
      <c r="H480" t="n">
        <v>0</v>
      </c>
      <c r="I480" t="n">
        <v>0</v>
      </c>
      <c r="J480" t="n">
        <v>0</v>
      </c>
      <c r="K480" t="n">
        <v>0</v>
      </c>
      <c r="L480" t="n">
        <v>0</v>
      </c>
      <c r="M480" t="n">
        <v>0</v>
      </c>
      <c r="N480" t="n">
        <v>0</v>
      </c>
      <c r="O480" t="n">
        <v>0</v>
      </c>
      <c r="P480" t="n">
        <v>0</v>
      </c>
      <c r="Q480" t="n">
        <v>0</v>
      </c>
      <c r="R480" s="2" t="inlineStr"/>
    </row>
    <row r="481" ht="15" customHeight="1">
      <c r="A481" t="inlineStr">
        <is>
          <t>A 22157-2024</t>
        </is>
      </c>
      <c r="B481" s="1" t="n">
        <v>45445.85290509259</v>
      </c>
      <c r="C481" s="1" t="n">
        <v>45915</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23864-2024</t>
        </is>
      </c>
      <c r="B482" s="1" t="n">
        <v>45455</v>
      </c>
      <c r="C482" s="1" t="n">
        <v>45915</v>
      </c>
      <c r="D482" t="inlineStr">
        <is>
          <t>SKÅNE LÄN</t>
        </is>
      </c>
      <c r="E482" t="inlineStr">
        <is>
          <t>HÄSSLEHOLM</t>
        </is>
      </c>
      <c r="G482" t="n">
        <v>6.2</v>
      </c>
      <c r="H482" t="n">
        <v>0</v>
      </c>
      <c r="I482" t="n">
        <v>0</v>
      </c>
      <c r="J482" t="n">
        <v>0</v>
      </c>
      <c r="K482" t="n">
        <v>0</v>
      </c>
      <c r="L482" t="n">
        <v>0</v>
      </c>
      <c r="M482" t="n">
        <v>0</v>
      </c>
      <c r="N482" t="n">
        <v>0</v>
      </c>
      <c r="O482" t="n">
        <v>0</v>
      </c>
      <c r="P482" t="n">
        <v>0</v>
      </c>
      <c r="Q482" t="n">
        <v>0</v>
      </c>
      <c r="R482" s="2" t="inlineStr"/>
    </row>
    <row r="483" ht="15" customHeight="1">
      <c r="A483" t="inlineStr">
        <is>
          <t>A 14145-2023</t>
        </is>
      </c>
      <c r="B483" s="1" t="n">
        <v>45009</v>
      </c>
      <c r="C483" s="1" t="n">
        <v>45915</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51895-2021</t>
        </is>
      </c>
      <c r="B484" s="1" t="n">
        <v>44462</v>
      </c>
      <c r="C484" s="1" t="n">
        <v>45915</v>
      </c>
      <c r="D484" t="inlineStr">
        <is>
          <t>SKÅNE LÄN</t>
        </is>
      </c>
      <c r="E484" t="inlineStr">
        <is>
          <t>HÄSSLEHOLM</t>
        </is>
      </c>
      <c r="G484" t="n">
        <v>5.7</v>
      </c>
      <c r="H484" t="n">
        <v>0</v>
      </c>
      <c r="I484" t="n">
        <v>0</v>
      </c>
      <c r="J484" t="n">
        <v>0</v>
      </c>
      <c r="K484" t="n">
        <v>0</v>
      </c>
      <c r="L484" t="n">
        <v>0</v>
      </c>
      <c r="M484" t="n">
        <v>0</v>
      </c>
      <c r="N484" t="n">
        <v>0</v>
      </c>
      <c r="O484" t="n">
        <v>0</v>
      </c>
      <c r="P484" t="n">
        <v>0</v>
      </c>
      <c r="Q484" t="n">
        <v>0</v>
      </c>
      <c r="R484" s="2" t="inlineStr"/>
    </row>
    <row r="485" ht="15" customHeight="1">
      <c r="A485" t="inlineStr">
        <is>
          <t>A 24034-2025</t>
        </is>
      </c>
      <c r="B485" s="1" t="n">
        <v>45796.48251157408</v>
      </c>
      <c r="C485" s="1" t="n">
        <v>45915</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54174-2022</t>
        </is>
      </c>
      <c r="B486" s="1" t="n">
        <v>44881</v>
      </c>
      <c r="C486" s="1" t="n">
        <v>45915</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52235-2021</t>
        </is>
      </c>
      <c r="B487" s="1" t="n">
        <v>44463.60085648148</v>
      </c>
      <c r="C487" s="1" t="n">
        <v>45915</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24039-2025</t>
        </is>
      </c>
      <c r="B488" s="1" t="n">
        <v>45796.48675925926</v>
      </c>
      <c r="C488" s="1" t="n">
        <v>45915</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6309-2025</t>
        </is>
      </c>
      <c r="B489" s="1" t="n">
        <v>45698</v>
      </c>
      <c r="C489" s="1" t="n">
        <v>45915</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53302-2022</t>
        </is>
      </c>
      <c r="B490" s="1" t="n">
        <v>44877</v>
      </c>
      <c r="C490" s="1" t="n">
        <v>45915</v>
      </c>
      <c r="D490" t="inlineStr">
        <is>
          <t>SKÅNE LÄN</t>
        </is>
      </c>
      <c r="E490" t="inlineStr">
        <is>
          <t>HÄSSLEHOLM</t>
        </is>
      </c>
      <c r="G490" t="n">
        <v>0.1</v>
      </c>
      <c r="H490" t="n">
        <v>0</v>
      </c>
      <c r="I490" t="n">
        <v>0</v>
      </c>
      <c r="J490" t="n">
        <v>0</v>
      </c>
      <c r="K490" t="n">
        <v>0</v>
      </c>
      <c r="L490" t="n">
        <v>0</v>
      </c>
      <c r="M490" t="n">
        <v>0</v>
      </c>
      <c r="N490" t="n">
        <v>0</v>
      </c>
      <c r="O490" t="n">
        <v>0</v>
      </c>
      <c r="P490" t="n">
        <v>0</v>
      </c>
      <c r="Q490" t="n">
        <v>0</v>
      </c>
      <c r="R490" s="2" t="inlineStr"/>
    </row>
    <row r="491" ht="15" customHeight="1">
      <c r="A491" t="inlineStr">
        <is>
          <t>A 12344-2023</t>
        </is>
      </c>
      <c r="B491" s="1" t="n">
        <v>44999</v>
      </c>
      <c r="C491" s="1" t="n">
        <v>45915</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52642-2021</t>
        </is>
      </c>
      <c r="B492" s="1" t="n">
        <v>44466.64298611111</v>
      </c>
      <c r="C492" s="1" t="n">
        <v>45915</v>
      </c>
      <c r="D492" t="inlineStr">
        <is>
          <t>SKÅNE LÄN</t>
        </is>
      </c>
      <c r="E492" t="inlineStr">
        <is>
          <t>HÄSSLEHOLM</t>
        </is>
      </c>
      <c r="G492" t="n">
        <v>3.7</v>
      </c>
      <c r="H492" t="n">
        <v>0</v>
      </c>
      <c r="I492" t="n">
        <v>0</v>
      </c>
      <c r="J492" t="n">
        <v>0</v>
      </c>
      <c r="K492" t="n">
        <v>0</v>
      </c>
      <c r="L492" t="n">
        <v>0</v>
      </c>
      <c r="M492" t="n">
        <v>0</v>
      </c>
      <c r="N492" t="n">
        <v>0</v>
      </c>
      <c r="O492" t="n">
        <v>0</v>
      </c>
      <c r="P492" t="n">
        <v>0</v>
      </c>
      <c r="Q492" t="n">
        <v>0</v>
      </c>
      <c r="R492" s="2" t="inlineStr"/>
    </row>
    <row r="493" ht="15" customHeight="1">
      <c r="A493" t="inlineStr">
        <is>
          <t>A 29850-2024</t>
        </is>
      </c>
      <c r="B493" s="1" t="n">
        <v>45485.64620370371</v>
      </c>
      <c r="C493" s="1" t="n">
        <v>45915</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58272-2024</t>
        </is>
      </c>
      <c r="B494" s="1" t="n">
        <v>45632.57025462963</v>
      </c>
      <c r="C494" s="1" t="n">
        <v>45915</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35711-2024</t>
        </is>
      </c>
      <c r="B495" s="1" t="n">
        <v>45532</v>
      </c>
      <c r="C495" s="1" t="n">
        <v>45915</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6596-2021</t>
        </is>
      </c>
      <c r="B496" s="1" t="n">
        <v>44236</v>
      </c>
      <c r="C496" s="1" t="n">
        <v>45915</v>
      </c>
      <c r="D496" t="inlineStr">
        <is>
          <t>SKÅNE LÄN</t>
        </is>
      </c>
      <c r="E496" t="inlineStr">
        <is>
          <t>HÄSSLEHOLM</t>
        </is>
      </c>
      <c r="G496" t="n">
        <v>2</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45915</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24032-2025</t>
        </is>
      </c>
      <c r="B498" s="1" t="n">
        <v>45796.478125</v>
      </c>
      <c r="C498" s="1" t="n">
        <v>45915</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31391-2023</t>
        </is>
      </c>
      <c r="B499" s="1" t="n">
        <v>45114.56143518518</v>
      </c>
      <c r="C499" s="1" t="n">
        <v>45915</v>
      </c>
      <c r="D499" t="inlineStr">
        <is>
          <t>SKÅNE LÄN</t>
        </is>
      </c>
      <c r="E499" t="inlineStr">
        <is>
          <t>HÄSSLEHOLM</t>
        </is>
      </c>
      <c r="G499" t="n">
        <v>3.1</v>
      </c>
      <c r="H499" t="n">
        <v>0</v>
      </c>
      <c r="I499" t="n">
        <v>0</v>
      </c>
      <c r="J499" t="n">
        <v>0</v>
      </c>
      <c r="K499" t="n">
        <v>0</v>
      </c>
      <c r="L499" t="n">
        <v>0</v>
      </c>
      <c r="M499" t="n">
        <v>0</v>
      </c>
      <c r="N499" t="n">
        <v>0</v>
      </c>
      <c r="O499" t="n">
        <v>0</v>
      </c>
      <c r="P499" t="n">
        <v>0</v>
      </c>
      <c r="Q499" t="n">
        <v>0</v>
      </c>
      <c r="R499" s="2" t="inlineStr"/>
    </row>
    <row r="500" ht="15" customHeight="1">
      <c r="A500" t="inlineStr">
        <is>
          <t>A 45361-2023</t>
        </is>
      </c>
      <c r="B500" s="1" t="n">
        <v>45192.49068287037</v>
      </c>
      <c r="C500" s="1" t="n">
        <v>45915</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45915</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45220-2023</t>
        </is>
      </c>
      <c r="B502" s="1" t="n">
        <v>45191</v>
      </c>
      <c r="C502" s="1" t="n">
        <v>45915</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38712-2024</t>
        </is>
      </c>
      <c r="B503" s="1" t="n">
        <v>45547</v>
      </c>
      <c r="C503" s="1" t="n">
        <v>45915</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5252-2025</t>
        </is>
      </c>
      <c r="B504" s="1" t="n">
        <v>45692.3449537037</v>
      </c>
      <c r="C504" s="1" t="n">
        <v>45915</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57647-2024</t>
        </is>
      </c>
      <c r="B505" s="1" t="n">
        <v>45630</v>
      </c>
      <c r="C505" s="1" t="n">
        <v>45915</v>
      </c>
      <c r="D505" t="inlineStr">
        <is>
          <t>SKÅNE LÄN</t>
        </is>
      </c>
      <c r="E505" t="inlineStr">
        <is>
          <t>HÄSSLEHOLM</t>
        </is>
      </c>
      <c r="G505" t="n">
        <v>2.9</v>
      </c>
      <c r="H505" t="n">
        <v>0</v>
      </c>
      <c r="I505" t="n">
        <v>0</v>
      </c>
      <c r="J505" t="n">
        <v>0</v>
      </c>
      <c r="K505" t="n">
        <v>0</v>
      </c>
      <c r="L505" t="n">
        <v>0</v>
      </c>
      <c r="M505" t="n">
        <v>0</v>
      </c>
      <c r="N505" t="n">
        <v>0</v>
      </c>
      <c r="O505" t="n">
        <v>0</v>
      </c>
      <c r="P505" t="n">
        <v>0</v>
      </c>
      <c r="Q505" t="n">
        <v>0</v>
      </c>
      <c r="R505" s="2" t="inlineStr"/>
    </row>
    <row r="506" ht="15" customHeight="1">
      <c r="A506" t="inlineStr">
        <is>
          <t>A 24047-2025</t>
        </is>
      </c>
      <c r="B506" s="1" t="n">
        <v>45796.49528935185</v>
      </c>
      <c r="C506" s="1" t="n">
        <v>45915</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60789-2024</t>
        </is>
      </c>
      <c r="B507" s="1" t="n">
        <v>45644</v>
      </c>
      <c r="C507" s="1" t="n">
        <v>45915</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61182-2024</t>
        </is>
      </c>
      <c r="B508" s="1" t="n">
        <v>45645</v>
      </c>
      <c r="C508" s="1" t="n">
        <v>45915</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40734-2024</t>
        </is>
      </c>
      <c r="B509" s="1" t="n">
        <v>45558</v>
      </c>
      <c r="C509" s="1" t="n">
        <v>45915</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40738-2024</t>
        </is>
      </c>
      <c r="B510" s="1" t="n">
        <v>45558</v>
      </c>
      <c r="C510" s="1" t="n">
        <v>45915</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24029-2025</t>
        </is>
      </c>
      <c r="B511" s="1" t="n">
        <v>45796.47552083333</v>
      </c>
      <c r="C511" s="1" t="n">
        <v>45915</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219-2022</t>
        </is>
      </c>
      <c r="B512" s="1" t="n">
        <v>44564</v>
      </c>
      <c r="C512" s="1" t="n">
        <v>45915</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13990-2022</t>
        </is>
      </c>
      <c r="B513" s="1" t="n">
        <v>44650</v>
      </c>
      <c r="C513" s="1" t="n">
        <v>45915</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37141-2021</t>
        </is>
      </c>
      <c r="B514" s="1" t="n">
        <v>44396</v>
      </c>
      <c r="C514" s="1" t="n">
        <v>45915</v>
      </c>
      <c r="D514" t="inlineStr">
        <is>
          <t>SKÅNE LÄN</t>
        </is>
      </c>
      <c r="E514" t="inlineStr">
        <is>
          <t>HÄSSLEHOLM</t>
        </is>
      </c>
      <c r="G514" t="n">
        <v>12.8</v>
      </c>
      <c r="H514" t="n">
        <v>0</v>
      </c>
      <c r="I514" t="n">
        <v>0</v>
      </c>
      <c r="J514" t="n">
        <v>0</v>
      </c>
      <c r="K514" t="n">
        <v>0</v>
      </c>
      <c r="L514" t="n">
        <v>0</v>
      </c>
      <c r="M514" t="n">
        <v>0</v>
      </c>
      <c r="N514" t="n">
        <v>0</v>
      </c>
      <c r="O514" t="n">
        <v>0</v>
      </c>
      <c r="P514" t="n">
        <v>0</v>
      </c>
      <c r="Q514" t="n">
        <v>0</v>
      </c>
      <c r="R514" s="2" t="inlineStr"/>
    </row>
    <row r="515" ht="15" customHeight="1">
      <c r="A515" t="inlineStr">
        <is>
          <t>A 25219-2023</t>
        </is>
      </c>
      <c r="B515" s="1" t="n">
        <v>45086.60541666667</v>
      </c>
      <c r="C515" s="1" t="n">
        <v>45915</v>
      </c>
      <c r="D515" t="inlineStr">
        <is>
          <t>SKÅNE LÄN</t>
        </is>
      </c>
      <c r="E515" t="inlineStr">
        <is>
          <t>HÄSSLEHOLM</t>
        </is>
      </c>
      <c r="G515" t="n">
        <v>6.9</v>
      </c>
      <c r="H515" t="n">
        <v>0</v>
      </c>
      <c r="I515" t="n">
        <v>0</v>
      </c>
      <c r="J515" t="n">
        <v>0</v>
      </c>
      <c r="K515" t="n">
        <v>0</v>
      </c>
      <c r="L515" t="n">
        <v>0</v>
      </c>
      <c r="M515" t="n">
        <v>0</v>
      </c>
      <c r="N515" t="n">
        <v>0</v>
      </c>
      <c r="O515" t="n">
        <v>0</v>
      </c>
      <c r="P515" t="n">
        <v>0</v>
      </c>
      <c r="Q515" t="n">
        <v>0</v>
      </c>
      <c r="R515" s="2" t="inlineStr"/>
    </row>
    <row r="516" ht="15" customHeight="1">
      <c r="A516" t="inlineStr">
        <is>
          <t>A 9302-2025</t>
        </is>
      </c>
      <c r="B516" s="1" t="n">
        <v>45714.67233796296</v>
      </c>
      <c r="C516" s="1" t="n">
        <v>45915</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9322-2025</t>
        </is>
      </c>
      <c r="B517" s="1" t="n">
        <v>45714.72241898148</v>
      </c>
      <c r="C517" s="1" t="n">
        <v>45915</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24675-2025</t>
        </is>
      </c>
      <c r="B518" s="1" t="n">
        <v>45798.653125</v>
      </c>
      <c r="C518" s="1" t="n">
        <v>45915</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45915</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10562-2025</t>
        </is>
      </c>
      <c r="B520" s="1" t="n">
        <v>45721.52913194444</v>
      </c>
      <c r="C520" s="1" t="n">
        <v>45915</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32512-2024</t>
        </is>
      </c>
      <c r="B521" s="1" t="n">
        <v>45513.45613425926</v>
      </c>
      <c r="C521" s="1" t="n">
        <v>45915</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26403-2024</t>
        </is>
      </c>
      <c r="B522" s="1" t="n">
        <v>45469.44505787037</v>
      </c>
      <c r="C522" s="1" t="n">
        <v>45915</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45399-2022</t>
        </is>
      </c>
      <c r="B523" s="1" t="n">
        <v>44844.70513888889</v>
      </c>
      <c r="C523" s="1" t="n">
        <v>45915</v>
      </c>
      <c r="D523" t="inlineStr">
        <is>
          <t>SKÅNE LÄN</t>
        </is>
      </c>
      <c r="E523" t="inlineStr">
        <is>
          <t>HÄSSLEHOLM</t>
        </is>
      </c>
      <c r="G523" t="n">
        <v>0</v>
      </c>
      <c r="H523" t="n">
        <v>0</v>
      </c>
      <c r="I523" t="n">
        <v>0</v>
      </c>
      <c r="J523" t="n">
        <v>0</v>
      </c>
      <c r="K523" t="n">
        <v>0</v>
      </c>
      <c r="L523" t="n">
        <v>0</v>
      </c>
      <c r="M523" t="n">
        <v>0</v>
      </c>
      <c r="N523" t="n">
        <v>0</v>
      </c>
      <c r="O523" t="n">
        <v>0</v>
      </c>
      <c r="P523" t="n">
        <v>0</v>
      </c>
      <c r="Q523" t="n">
        <v>0</v>
      </c>
      <c r="R523" s="2" t="inlineStr"/>
    </row>
    <row r="524" ht="15" customHeight="1">
      <c r="A524" t="inlineStr">
        <is>
          <t>A 55522-2024</t>
        </is>
      </c>
      <c r="B524" s="1" t="n">
        <v>45622</v>
      </c>
      <c r="C524" s="1" t="n">
        <v>45915</v>
      </c>
      <c r="D524" t="inlineStr">
        <is>
          <t>SKÅNE LÄN</t>
        </is>
      </c>
      <c r="E524" t="inlineStr">
        <is>
          <t>HÄSSLEHOLM</t>
        </is>
      </c>
      <c r="G524" t="n">
        <v>5.6</v>
      </c>
      <c r="H524" t="n">
        <v>0</v>
      </c>
      <c r="I524" t="n">
        <v>0</v>
      </c>
      <c r="J524" t="n">
        <v>0</v>
      </c>
      <c r="K524" t="n">
        <v>0</v>
      </c>
      <c r="L524" t="n">
        <v>0</v>
      </c>
      <c r="M524" t="n">
        <v>0</v>
      </c>
      <c r="N524" t="n">
        <v>0</v>
      </c>
      <c r="O524" t="n">
        <v>0</v>
      </c>
      <c r="P524" t="n">
        <v>0</v>
      </c>
      <c r="Q524" t="n">
        <v>0</v>
      </c>
      <c r="R524" s="2" t="inlineStr"/>
    </row>
    <row r="525" ht="15" customHeight="1">
      <c r="A525" t="inlineStr">
        <is>
          <t>A 5242-2025</t>
        </is>
      </c>
      <c r="B525" s="1" t="n">
        <v>45692.32883101852</v>
      </c>
      <c r="C525" s="1" t="n">
        <v>45915</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39915-2023</t>
        </is>
      </c>
      <c r="B526" s="1" t="n">
        <v>45168.4684375</v>
      </c>
      <c r="C526" s="1" t="n">
        <v>45915</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6048-2022</t>
        </is>
      </c>
      <c r="B527" s="1" t="n">
        <v>44599.5174537037</v>
      </c>
      <c r="C527" s="1" t="n">
        <v>45915</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49379-2021</t>
        </is>
      </c>
      <c r="B528" s="1" t="n">
        <v>44454</v>
      </c>
      <c r="C528" s="1" t="n">
        <v>45915</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32881-2024</t>
        </is>
      </c>
      <c r="B529" s="1" t="n">
        <v>45516</v>
      </c>
      <c r="C529" s="1" t="n">
        <v>45915</v>
      </c>
      <c r="D529" t="inlineStr">
        <is>
          <t>SKÅNE LÄN</t>
        </is>
      </c>
      <c r="E529" t="inlineStr">
        <is>
          <t>HÄSSLEHOLM</t>
        </is>
      </c>
      <c r="G529" t="n">
        <v>6.3</v>
      </c>
      <c r="H529" t="n">
        <v>0</v>
      </c>
      <c r="I529" t="n">
        <v>0</v>
      </c>
      <c r="J529" t="n">
        <v>0</v>
      </c>
      <c r="K529" t="n">
        <v>0</v>
      </c>
      <c r="L529" t="n">
        <v>0</v>
      </c>
      <c r="M529" t="n">
        <v>0</v>
      </c>
      <c r="N529" t="n">
        <v>0</v>
      </c>
      <c r="O529" t="n">
        <v>0</v>
      </c>
      <c r="P529" t="n">
        <v>0</v>
      </c>
      <c r="Q529" t="n">
        <v>0</v>
      </c>
      <c r="R529" s="2" t="inlineStr"/>
    </row>
    <row r="530" ht="15" customHeight="1">
      <c r="A530" t="inlineStr">
        <is>
          <t>A 2743-2023</t>
        </is>
      </c>
      <c r="B530" s="1" t="n">
        <v>44944</v>
      </c>
      <c r="C530" s="1" t="n">
        <v>45915</v>
      </c>
      <c r="D530" t="inlineStr">
        <is>
          <t>SKÅNE LÄN</t>
        </is>
      </c>
      <c r="E530" t="inlineStr">
        <is>
          <t>HÄSSLEHOLM</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42735-2024</t>
        </is>
      </c>
      <c r="B531" s="1" t="n">
        <v>45566.47274305556</v>
      </c>
      <c r="C531" s="1" t="n">
        <v>45915</v>
      </c>
      <c r="D531" t="inlineStr">
        <is>
          <t>SKÅNE LÄN</t>
        </is>
      </c>
      <c r="E531" t="inlineStr">
        <is>
          <t>HÄSSLEHOLM</t>
        </is>
      </c>
      <c r="G531" t="n">
        <v>3.7</v>
      </c>
      <c r="H531" t="n">
        <v>0</v>
      </c>
      <c r="I531" t="n">
        <v>0</v>
      </c>
      <c r="J531" t="n">
        <v>0</v>
      </c>
      <c r="K531" t="n">
        <v>0</v>
      </c>
      <c r="L531" t="n">
        <v>0</v>
      </c>
      <c r="M531" t="n">
        <v>0</v>
      </c>
      <c r="N531" t="n">
        <v>0</v>
      </c>
      <c r="O531" t="n">
        <v>0</v>
      </c>
      <c r="P531" t="n">
        <v>0</v>
      </c>
      <c r="Q531" t="n">
        <v>0</v>
      </c>
      <c r="R531" s="2" t="inlineStr"/>
    </row>
    <row r="532" ht="15" customHeight="1">
      <c r="A532" t="inlineStr">
        <is>
          <t>A 24658-2025</t>
        </is>
      </c>
      <c r="B532" s="1" t="n">
        <v>45798.64134259259</v>
      </c>
      <c r="C532" s="1" t="n">
        <v>45915</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24250-2025</t>
        </is>
      </c>
      <c r="B533" s="1" t="n">
        <v>45797.40260416667</v>
      </c>
      <c r="C533" s="1" t="n">
        <v>45915</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32826-2024</t>
        </is>
      </c>
      <c r="B534" s="1" t="n">
        <v>45516.59056712963</v>
      </c>
      <c r="C534" s="1" t="n">
        <v>45915</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24985-2025</t>
        </is>
      </c>
      <c r="B535" s="1" t="n">
        <v>45799.60256944445</v>
      </c>
      <c r="C535" s="1" t="n">
        <v>45915</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45915</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45915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45915</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45915</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62044-2022</t>
        </is>
      </c>
      <c r="B540" s="1" t="n">
        <v>44918.55976851852</v>
      </c>
      <c r="C540" s="1" t="n">
        <v>45915</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6164-2023</t>
        </is>
      </c>
      <c r="B541" s="1" t="n">
        <v>44964.66871527778</v>
      </c>
      <c r="C541" s="1" t="n">
        <v>45915</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4750-2024</t>
        </is>
      </c>
      <c r="B542" s="1" t="n">
        <v>45328</v>
      </c>
      <c r="C542" s="1" t="n">
        <v>45915</v>
      </c>
      <c r="D542" t="inlineStr">
        <is>
          <t>SKÅNE LÄN</t>
        </is>
      </c>
      <c r="E542" t="inlineStr">
        <is>
          <t>HÄSSLEHOLM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23956-2023</t>
        </is>
      </c>
      <c r="B543" s="1" t="n">
        <v>45078.62302083334</v>
      </c>
      <c r="C543" s="1" t="n">
        <v>45915</v>
      </c>
      <c r="D543" t="inlineStr">
        <is>
          <t>SKÅNE LÄN</t>
        </is>
      </c>
      <c r="E543" t="inlineStr">
        <is>
          <t>HÄSSLEHOLM</t>
        </is>
      </c>
      <c r="G543" t="n">
        <v>0.1</v>
      </c>
      <c r="H543" t="n">
        <v>0</v>
      </c>
      <c r="I543" t="n">
        <v>0</v>
      </c>
      <c r="J543" t="n">
        <v>0</v>
      </c>
      <c r="K543" t="n">
        <v>0</v>
      </c>
      <c r="L543" t="n">
        <v>0</v>
      </c>
      <c r="M543" t="n">
        <v>0</v>
      </c>
      <c r="N543" t="n">
        <v>0</v>
      </c>
      <c r="O543" t="n">
        <v>0</v>
      </c>
      <c r="P543" t="n">
        <v>0</v>
      </c>
      <c r="Q543" t="n">
        <v>0</v>
      </c>
      <c r="R543" s="2" t="inlineStr"/>
    </row>
    <row r="544" ht="15" customHeight="1">
      <c r="A544" t="inlineStr">
        <is>
          <t>A 49865-2020</t>
        </is>
      </c>
      <c r="B544" s="1" t="n">
        <v>44107</v>
      </c>
      <c r="C544" s="1" t="n">
        <v>45915</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1679-2022</t>
        </is>
      </c>
      <c r="B545" s="1" t="n">
        <v>44573</v>
      </c>
      <c r="C545" s="1" t="n">
        <v>45915</v>
      </c>
      <c r="D545" t="inlineStr">
        <is>
          <t>SKÅNE LÄN</t>
        </is>
      </c>
      <c r="E545" t="inlineStr">
        <is>
          <t>HÄSSLEHOLM</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11708-2025</t>
        </is>
      </c>
      <c r="B546" s="1" t="n">
        <v>45727.58626157408</v>
      </c>
      <c r="C546" s="1" t="n">
        <v>45915</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9668-2025</t>
        </is>
      </c>
      <c r="B547" s="1" t="n">
        <v>45716.3278587963</v>
      </c>
      <c r="C547" s="1" t="n">
        <v>45915</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37318-2024</t>
        </is>
      </c>
      <c r="B548" s="1" t="n">
        <v>45540</v>
      </c>
      <c r="C548" s="1" t="n">
        <v>45915</v>
      </c>
      <c r="D548" t="inlineStr">
        <is>
          <t>SKÅNE LÄN</t>
        </is>
      </c>
      <c r="E548" t="inlineStr">
        <is>
          <t>HÄSSLEHOLM</t>
        </is>
      </c>
      <c r="G548" t="n">
        <v>3.9</v>
      </c>
      <c r="H548" t="n">
        <v>0</v>
      </c>
      <c r="I548" t="n">
        <v>0</v>
      </c>
      <c r="J548" t="n">
        <v>0</v>
      </c>
      <c r="K548" t="n">
        <v>0</v>
      </c>
      <c r="L548" t="n">
        <v>0</v>
      </c>
      <c r="M548" t="n">
        <v>0</v>
      </c>
      <c r="N548" t="n">
        <v>0</v>
      </c>
      <c r="O548" t="n">
        <v>0</v>
      </c>
      <c r="P548" t="n">
        <v>0</v>
      </c>
      <c r="Q548" t="n">
        <v>0</v>
      </c>
      <c r="R548" s="2" t="inlineStr"/>
    </row>
    <row r="549" ht="15" customHeight="1">
      <c r="A549" t="inlineStr">
        <is>
          <t>A 58891-2022</t>
        </is>
      </c>
      <c r="B549" s="1" t="n">
        <v>44896</v>
      </c>
      <c r="C549" s="1" t="n">
        <v>45915</v>
      </c>
      <c r="D549" t="inlineStr">
        <is>
          <t>SKÅNE LÄN</t>
        </is>
      </c>
      <c r="E549" t="inlineStr">
        <is>
          <t>HÄSSLEHOLM</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37324-2024</t>
        </is>
      </c>
      <c r="B550" s="1" t="n">
        <v>45540.50104166667</v>
      </c>
      <c r="C550" s="1" t="n">
        <v>45915</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259-2024</t>
        </is>
      </c>
      <c r="B551" s="1" t="n">
        <v>45294</v>
      </c>
      <c r="C551" s="1" t="n">
        <v>45915</v>
      </c>
      <c r="D551" t="inlineStr">
        <is>
          <t>SKÅNE LÄN</t>
        </is>
      </c>
      <c r="E551" t="inlineStr">
        <is>
          <t>HÄSSLEHOLM</t>
        </is>
      </c>
      <c r="G551" t="n">
        <v>8</v>
      </c>
      <c r="H551" t="n">
        <v>0</v>
      </c>
      <c r="I551" t="n">
        <v>0</v>
      </c>
      <c r="J551" t="n">
        <v>0</v>
      </c>
      <c r="K551" t="n">
        <v>0</v>
      </c>
      <c r="L551" t="n">
        <v>0</v>
      </c>
      <c r="M551" t="n">
        <v>0</v>
      </c>
      <c r="N551" t="n">
        <v>0</v>
      </c>
      <c r="O551" t="n">
        <v>0</v>
      </c>
      <c r="P551" t="n">
        <v>0</v>
      </c>
      <c r="Q551" t="n">
        <v>0</v>
      </c>
      <c r="R551" s="2" t="inlineStr"/>
    </row>
    <row r="552" ht="15" customHeight="1">
      <c r="A552" t="inlineStr">
        <is>
          <t>A 24776-2025</t>
        </is>
      </c>
      <c r="B552" s="1" t="n">
        <v>45799.40640046296</v>
      </c>
      <c r="C552" s="1" t="n">
        <v>45915</v>
      </c>
      <c r="D552" t="inlineStr">
        <is>
          <t>SKÅNE LÄN</t>
        </is>
      </c>
      <c r="E552" t="inlineStr">
        <is>
          <t>HÄSSLEHOLM</t>
        </is>
      </c>
      <c r="G552" t="n">
        <v>5.4</v>
      </c>
      <c r="H552" t="n">
        <v>0</v>
      </c>
      <c r="I552" t="n">
        <v>0</v>
      </c>
      <c r="J552" t="n">
        <v>0</v>
      </c>
      <c r="K552" t="n">
        <v>0</v>
      </c>
      <c r="L552" t="n">
        <v>0</v>
      </c>
      <c r="M552" t="n">
        <v>0</v>
      </c>
      <c r="N552" t="n">
        <v>0</v>
      </c>
      <c r="O552" t="n">
        <v>0</v>
      </c>
      <c r="P552" t="n">
        <v>0</v>
      </c>
      <c r="Q552" t="n">
        <v>0</v>
      </c>
      <c r="R552" s="2" t="inlineStr"/>
    </row>
    <row r="553" ht="15" customHeight="1">
      <c r="A553" t="inlineStr">
        <is>
          <t>A 25176-2024</t>
        </is>
      </c>
      <c r="B553" s="1" t="n">
        <v>45462.54582175926</v>
      </c>
      <c r="C553" s="1" t="n">
        <v>45915</v>
      </c>
      <c r="D553" t="inlineStr">
        <is>
          <t>SKÅNE LÄN</t>
        </is>
      </c>
      <c r="E553" t="inlineStr">
        <is>
          <t>HÄSSLEHOLM</t>
        </is>
      </c>
      <c r="G553" t="n">
        <v>3.8</v>
      </c>
      <c r="H553" t="n">
        <v>0</v>
      </c>
      <c r="I553" t="n">
        <v>0</v>
      </c>
      <c r="J553" t="n">
        <v>0</v>
      </c>
      <c r="K553" t="n">
        <v>0</v>
      </c>
      <c r="L553" t="n">
        <v>0</v>
      </c>
      <c r="M553" t="n">
        <v>0</v>
      </c>
      <c r="N553" t="n">
        <v>0</v>
      </c>
      <c r="O553" t="n">
        <v>0</v>
      </c>
      <c r="P553" t="n">
        <v>0</v>
      </c>
      <c r="Q553" t="n">
        <v>0</v>
      </c>
      <c r="R553" s="2" t="inlineStr"/>
    </row>
    <row r="554" ht="15" customHeight="1">
      <c r="A554" t="inlineStr">
        <is>
          <t>A 48112-2024</t>
        </is>
      </c>
      <c r="B554" s="1" t="n">
        <v>45589.6295949074</v>
      </c>
      <c r="C554" s="1" t="n">
        <v>45915</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55412-2022</t>
        </is>
      </c>
      <c r="B555" s="1" t="n">
        <v>44882</v>
      </c>
      <c r="C555" s="1" t="n">
        <v>45915</v>
      </c>
      <c r="D555" t="inlineStr">
        <is>
          <t>SKÅNE LÄN</t>
        </is>
      </c>
      <c r="E555" t="inlineStr">
        <is>
          <t>HÄSSLEHOLM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53576-2022</t>
        </is>
      </c>
      <c r="B556" s="1" t="n">
        <v>44875</v>
      </c>
      <c r="C556" s="1" t="n">
        <v>45915</v>
      </c>
      <c r="D556" t="inlineStr">
        <is>
          <t>SKÅNE LÄN</t>
        </is>
      </c>
      <c r="E556" t="inlineStr">
        <is>
          <t>HÄSSLEHOLM</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25372-2025</t>
        </is>
      </c>
      <c r="B557" s="1" t="n">
        <v>45799</v>
      </c>
      <c r="C557" s="1" t="n">
        <v>45915</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9399-2025</t>
        </is>
      </c>
      <c r="B558" s="1" t="n">
        <v>45715.37861111111</v>
      </c>
      <c r="C558" s="1" t="n">
        <v>45915</v>
      </c>
      <c r="D558" t="inlineStr">
        <is>
          <t>SKÅNE LÄN</t>
        </is>
      </c>
      <c r="E558" t="inlineStr">
        <is>
          <t>HÄSSLEHOLM</t>
        </is>
      </c>
      <c r="G558" t="n">
        <v>5.2</v>
      </c>
      <c r="H558" t="n">
        <v>0</v>
      </c>
      <c r="I558" t="n">
        <v>0</v>
      </c>
      <c r="J558" t="n">
        <v>0</v>
      </c>
      <c r="K558" t="n">
        <v>0</v>
      </c>
      <c r="L558" t="n">
        <v>0</v>
      </c>
      <c r="M558" t="n">
        <v>0</v>
      </c>
      <c r="N558" t="n">
        <v>0</v>
      </c>
      <c r="O558" t="n">
        <v>0</v>
      </c>
      <c r="P558" t="n">
        <v>0</v>
      </c>
      <c r="Q558" t="n">
        <v>0</v>
      </c>
      <c r="R558" s="2" t="inlineStr"/>
    </row>
    <row r="559" ht="15" customHeight="1">
      <c r="A559" t="inlineStr">
        <is>
          <t>A 9678-2025</t>
        </is>
      </c>
      <c r="B559" s="1" t="n">
        <v>45716.34403935185</v>
      </c>
      <c r="C559" s="1" t="n">
        <v>45915</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24246-2023</t>
        </is>
      </c>
      <c r="B560" s="1" t="n">
        <v>45079</v>
      </c>
      <c r="C560" s="1" t="n">
        <v>45915</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24249-2023</t>
        </is>
      </c>
      <c r="B561" s="1" t="n">
        <v>45079.62466435185</v>
      </c>
      <c r="C561" s="1" t="n">
        <v>45915</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52548-2023</t>
        </is>
      </c>
      <c r="B562" s="1" t="n">
        <v>45218</v>
      </c>
      <c r="C562" s="1" t="n">
        <v>45915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51565-2023</t>
        </is>
      </c>
      <c r="B563" s="1" t="n">
        <v>45222</v>
      </c>
      <c r="C563" s="1" t="n">
        <v>45915</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25430-2025</t>
        </is>
      </c>
      <c r="B564" s="1" t="n">
        <v>45800.78212962963</v>
      </c>
      <c r="C564" s="1" t="n">
        <v>45915</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11470-2025</t>
        </is>
      </c>
      <c r="B565" s="1" t="n">
        <v>45726</v>
      </c>
      <c r="C565" s="1" t="n">
        <v>45915</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11446-2025</t>
        </is>
      </c>
      <c r="B566" s="1" t="n">
        <v>45726</v>
      </c>
      <c r="C566" s="1" t="n">
        <v>45915</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25615-2025</t>
        </is>
      </c>
      <c r="B567" s="1" t="n">
        <v>45803</v>
      </c>
      <c r="C567" s="1" t="n">
        <v>45915</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25431-2025</t>
        </is>
      </c>
      <c r="B568" s="1" t="n">
        <v>45800.78340277778</v>
      </c>
      <c r="C568" s="1" t="n">
        <v>45915</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25432-2025</t>
        </is>
      </c>
      <c r="B569" s="1" t="n">
        <v>45800.7847800926</v>
      </c>
      <c r="C569" s="1" t="n">
        <v>45915</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11412-2025</t>
        </is>
      </c>
      <c r="B570" s="1" t="n">
        <v>45726</v>
      </c>
      <c r="C570" s="1" t="n">
        <v>45915</v>
      </c>
      <c r="D570" t="inlineStr">
        <is>
          <t>SKÅNE LÄN</t>
        </is>
      </c>
      <c r="E570" t="inlineStr">
        <is>
          <t>HÄSSLEHOLM</t>
        </is>
      </c>
      <c r="G570" t="n">
        <v>2.1</v>
      </c>
      <c r="H570" t="n">
        <v>0</v>
      </c>
      <c r="I570" t="n">
        <v>0</v>
      </c>
      <c r="J570" t="n">
        <v>0</v>
      </c>
      <c r="K570" t="n">
        <v>0</v>
      </c>
      <c r="L570" t="n">
        <v>0</v>
      </c>
      <c r="M570" t="n">
        <v>0</v>
      </c>
      <c r="N570" t="n">
        <v>0</v>
      </c>
      <c r="O570" t="n">
        <v>0</v>
      </c>
      <c r="P570" t="n">
        <v>0</v>
      </c>
      <c r="Q570" t="n">
        <v>0</v>
      </c>
      <c r="R570" s="2" t="inlineStr"/>
    </row>
    <row r="571" ht="15" customHeight="1">
      <c r="A571" t="inlineStr">
        <is>
          <t>A 8160-2024</t>
        </is>
      </c>
      <c r="B571" s="1" t="n">
        <v>45351</v>
      </c>
      <c r="C571" s="1" t="n">
        <v>45915</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3726-2024</t>
        </is>
      </c>
      <c r="B572" s="1" t="n">
        <v>45321</v>
      </c>
      <c r="C572" s="1" t="n">
        <v>45915</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43696-2024</t>
        </is>
      </c>
      <c r="B573" s="1" t="n">
        <v>45569.58855324074</v>
      </c>
      <c r="C573" s="1" t="n">
        <v>45915</v>
      </c>
      <c r="D573" t="inlineStr">
        <is>
          <t>SKÅNE LÄN</t>
        </is>
      </c>
      <c r="E573" t="inlineStr">
        <is>
          <t>HÄSSLEHOLM</t>
        </is>
      </c>
      <c r="G573" t="n">
        <v>2.9</v>
      </c>
      <c r="H573" t="n">
        <v>0</v>
      </c>
      <c r="I573" t="n">
        <v>0</v>
      </c>
      <c r="J573" t="n">
        <v>0</v>
      </c>
      <c r="K573" t="n">
        <v>0</v>
      </c>
      <c r="L573" t="n">
        <v>0</v>
      </c>
      <c r="M573" t="n">
        <v>0</v>
      </c>
      <c r="N573" t="n">
        <v>0</v>
      </c>
      <c r="O573" t="n">
        <v>0</v>
      </c>
      <c r="P573" t="n">
        <v>0</v>
      </c>
      <c r="Q573" t="n">
        <v>0</v>
      </c>
      <c r="R573" s="2" t="inlineStr"/>
    </row>
    <row r="574" ht="15" customHeight="1">
      <c r="A574" t="inlineStr">
        <is>
          <t>A 12182-2025</t>
        </is>
      </c>
      <c r="B574" s="1" t="n">
        <v>45729</v>
      </c>
      <c r="C574" s="1" t="n">
        <v>45915</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20185-2023</t>
        </is>
      </c>
      <c r="B575" s="1" t="n">
        <v>45055.56795138889</v>
      </c>
      <c r="C575" s="1" t="n">
        <v>45915</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39044-2024</t>
        </is>
      </c>
      <c r="B576" s="1" t="n">
        <v>45548.47707175926</v>
      </c>
      <c r="C576" s="1" t="n">
        <v>45915</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11466-2025</t>
        </is>
      </c>
      <c r="B577" s="1" t="n">
        <v>45726</v>
      </c>
      <c r="C577" s="1" t="n">
        <v>45915</v>
      </c>
      <c r="D577" t="inlineStr">
        <is>
          <t>SKÅNE LÄN</t>
        </is>
      </c>
      <c r="E577" t="inlineStr">
        <is>
          <t>HÄSSLEHOLM</t>
        </is>
      </c>
      <c r="G577" t="n">
        <v>3.2</v>
      </c>
      <c r="H577" t="n">
        <v>0</v>
      </c>
      <c r="I577" t="n">
        <v>0</v>
      </c>
      <c r="J577" t="n">
        <v>0</v>
      </c>
      <c r="K577" t="n">
        <v>0</v>
      </c>
      <c r="L577" t="n">
        <v>0</v>
      </c>
      <c r="M577" t="n">
        <v>0</v>
      </c>
      <c r="N577" t="n">
        <v>0</v>
      </c>
      <c r="O577" t="n">
        <v>0</v>
      </c>
      <c r="P577" t="n">
        <v>0</v>
      </c>
      <c r="Q577" t="n">
        <v>0</v>
      </c>
      <c r="R577" s="2" t="inlineStr"/>
    </row>
    <row r="578" ht="15" customHeight="1">
      <c r="A578" t="inlineStr">
        <is>
          <t>A 38376-2022</t>
        </is>
      </c>
      <c r="B578" s="1" t="n">
        <v>44812</v>
      </c>
      <c r="C578" s="1" t="n">
        <v>45915</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26232-2025</t>
        </is>
      </c>
      <c r="B579" s="1" t="n">
        <v>45805.56642361111</v>
      </c>
      <c r="C579" s="1" t="n">
        <v>45915</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14255-2024</t>
        </is>
      </c>
      <c r="B580" s="1" t="n">
        <v>45393</v>
      </c>
      <c r="C580" s="1" t="n">
        <v>45915</v>
      </c>
      <c r="D580" t="inlineStr">
        <is>
          <t>SKÅNE LÄN</t>
        </is>
      </c>
      <c r="E580" t="inlineStr">
        <is>
          <t>HÄSSLEHOLM</t>
        </is>
      </c>
      <c r="G580" t="n">
        <v>11.9</v>
      </c>
      <c r="H580" t="n">
        <v>0</v>
      </c>
      <c r="I580" t="n">
        <v>0</v>
      </c>
      <c r="J580" t="n">
        <v>0</v>
      </c>
      <c r="K580" t="n">
        <v>0</v>
      </c>
      <c r="L580" t="n">
        <v>0</v>
      </c>
      <c r="M580" t="n">
        <v>0</v>
      </c>
      <c r="N580" t="n">
        <v>0</v>
      </c>
      <c r="O580" t="n">
        <v>0</v>
      </c>
      <c r="P580" t="n">
        <v>0</v>
      </c>
      <c r="Q580" t="n">
        <v>0</v>
      </c>
      <c r="R580" s="2" t="inlineStr"/>
    </row>
    <row r="581" ht="15" customHeight="1">
      <c r="A581" t="inlineStr">
        <is>
          <t>A 20058-2023</t>
        </is>
      </c>
      <c r="B581" s="1" t="n">
        <v>45054.68476851852</v>
      </c>
      <c r="C581" s="1" t="n">
        <v>45915</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10897-2023</t>
        </is>
      </c>
      <c r="B582" s="1" t="n">
        <v>44985</v>
      </c>
      <c r="C582" s="1" t="n">
        <v>45915</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18908-2023</t>
        </is>
      </c>
      <c r="B583" s="1" t="n">
        <v>45044</v>
      </c>
      <c r="C583" s="1" t="n">
        <v>45915</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61436-2024</t>
        </is>
      </c>
      <c r="B584" s="1" t="n">
        <v>45646.46329861111</v>
      </c>
      <c r="C584" s="1" t="n">
        <v>45915</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16108-2025</t>
        </is>
      </c>
      <c r="B585" s="1" t="n">
        <v>45750.34667824074</v>
      </c>
      <c r="C585" s="1" t="n">
        <v>45915</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56986-2024</t>
        </is>
      </c>
      <c r="B586" s="1" t="n">
        <v>45626</v>
      </c>
      <c r="C586" s="1" t="n">
        <v>45915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49111-2023</t>
        </is>
      </c>
      <c r="B587" s="1" t="n">
        <v>45210.44464120371</v>
      </c>
      <c r="C587" s="1" t="n">
        <v>45915</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26244-2025</t>
        </is>
      </c>
      <c r="B588" s="1" t="n">
        <v>45805.57364583333</v>
      </c>
      <c r="C588" s="1" t="n">
        <v>45915</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54359-2020</t>
        </is>
      </c>
      <c r="B589" s="1" t="n">
        <v>44126</v>
      </c>
      <c r="C589" s="1" t="n">
        <v>45915</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54374-2020</t>
        </is>
      </c>
      <c r="B590" s="1" t="n">
        <v>44126</v>
      </c>
      <c r="C590" s="1" t="n">
        <v>45915</v>
      </c>
      <c r="D590" t="inlineStr">
        <is>
          <t>SKÅNE LÄN</t>
        </is>
      </c>
      <c r="E590" t="inlineStr">
        <is>
          <t>HÄSSLEHOLM</t>
        </is>
      </c>
      <c r="G590" t="n">
        <v>2.1</v>
      </c>
      <c r="H590" t="n">
        <v>0</v>
      </c>
      <c r="I590" t="n">
        <v>0</v>
      </c>
      <c r="J590" t="n">
        <v>0</v>
      </c>
      <c r="K590" t="n">
        <v>0</v>
      </c>
      <c r="L590" t="n">
        <v>0</v>
      </c>
      <c r="M590" t="n">
        <v>0</v>
      </c>
      <c r="N590" t="n">
        <v>0</v>
      </c>
      <c r="O590" t="n">
        <v>0</v>
      </c>
      <c r="P590" t="n">
        <v>0</v>
      </c>
      <c r="Q590" t="n">
        <v>0</v>
      </c>
      <c r="R590" s="2" t="inlineStr"/>
    </row>
    <row r="591" ht="15" customHeight="1">
      <c r="A591" t="inlineStr">
        <is>
          <t>A 38358-2024</t>
        </is>
      </c>
      <c r="B591" s="1" t="n">
        <v>45545.79068287037</v>
      </c>
      <c r="C591" s="1" t="n">
        <v>45915</v>
      </c>
      <c r="D591" t="inlineStr">
        <is>
          <t>SKÅNE LÄN</t>
        </is>
      </c>
      <c r="E591" t="inlineStr">
        <is>
          <t>HÄSSLEHOLM</t>
        </is>
      </c>
      <c r="G591" t="n">
        <v>9</v>
      </c>
      <c r="H591" t="n">
        <v>0</v>
      </c>
      <c r="I591" t="n">
        <v>0</v>
      </c>
      <c r="J591" t="n">
        <v>0</v>
      </c>
      <c r="K591" t="n">
        <v>0</v>
      </c>
      <c r="L591" t="n">
        <v>0</v>
      </c>
      <c r="M591" t="n">
        <v>0</v>
      </c>
      <c r="N591" t="n">
        <v>0</v>
      </c>
      <c r="O591" t="n">
        <v>0</v>
      </c>
      <c r="P591" t="n">
        <v>0</v>
      </c>
      <c r="Q591" t="n">
        <v>0</v>
      </c>
      <c r="R591" s="2" t="inlineStr"/>
    </row>
    <row r="592" ht="15" customHeight="1">
      <c r="A592" t="inlineStr">
        <is>
          <t>A 69109-2020</t>
        </is>
      </c>
      <c r="B592" s="1" t="n">
        <v>44188</v>
      </c>
      <c r="C592" s="1" t="n">
        <v>45915</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34299-2024</t>
        </is>
      </c>
      <c r="B593" s="1" t="n">
        <v>45524</v>
      </c>
      <c r="C593" s="1" t="n">
        <v>45915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54435-2024</t>
        </is>
      </c>
      <c r="B594" s="1" t="n">
        <v>45617.49494212963</v>
      </c>
      <c r="C594" s="1" t="n">
        <v>45915</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60846-2022</t>
        </is>
      </c>
      <c r="B595" s="1" t="n">
        <v>44914</v>
      </c>
      <c r="C595" s="1" t="n">
        <v>45915</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54408-2024</t>
        </is>
      </c>
      <c r="B596" s="1" t="n">
        <v>45617.47263888889</v>
      </c>
      <c r="C596" s="1" t="n">
        <v>45915</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14008-2023</t>
        </is>
      </c>
      <c r="B597" s="1" t="n">
        <v>45008.56725694444</v>
      </c>
      <c r="C597" s="1" t="n">
        <v>45915</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20493-2024</t>
        </is>
      </c>
      <c r="B598" s="1" t="n">
        <v>45435</v>
      </c>
      <c r="C598" s="1" t="n">
        <v>45915</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13851-2025</t>
        </is>
      </c>
      <c r="B599" s="1" t="n">
        <v>45737.56777777777</v>
      </c>
      <c r="C599" s="1" t="n">
        <v>45915</v>
      </c>
      <c r="D599" t="inlineStr">
        <is>
          <t>SKÅNE LÄN</t>
        </is>
      </c>
      <c r="E599" t="inlineStr">
        <is>
          <t>HÄSSLEHOLM</t>
        </is>
      </c>
      <c r="G599" t="n">
        <v>3</v>
      </c>
      <c r="H599" t="n">
        <v>0</v>
      </c>
      <c r="I599" t="n">
        <v>0</v>
      </c>
      <c r="J599" t="n">
        <v>0</v>
      </c>
      <c r="K599" t="n">
        <v>0</v>
      </c>
      <c r="L599" t="n">
        <v>0</v>
      </c>
      <c r="M599" t="n">
        <v>0</v>
      </c>
      <c r="N599" t="n">
        <v>0</v>
      </c>
      <c r="O599" t="n">
        <v>0</v>
      </c>
      <c r="P599" t="n">
        <v>0</v>
      </c>
      <c r="Q599" t="n">
        <v>0</v>
      </c>
      <c r="R599" s="2" t="inlineStr"/>
    </row>
    <row r="600" ht="15" customHeight="1">
      <c r="A600" t="inlineStr">
        <is>
          <t>A 720-2025</t>
        </is>
      </c>
      <c r="B600" s="1" t="n">
        <v>45665.3744212963</v>
      </c>
      <c r="C600" s="1" t="n">
        <v>45915</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31581-2023</t>
        </is>
      </c>
      <c r="B601" s="1" t="n">
        <v>45117.45165509259</v>
      </c>
      <c r="C601" s="1" t="n">
        <v>45915</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49824-2024</t>
        </is>
      </c>
      <c r="B602" s="1" t="n">
        <v>45597</v>
      </c>
      <c r="C602" s="1" t="n">
        <v>45915</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41874-2024</t>
        </is>
      </c>
      <c r="B603" s="1" t="n">
        <v>45561</v>
      </c>
      <c r="C603" s="1" t="n">
        <v>45915</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11798-2022</t>
        </is>
      </c>
      <c r="B604" s="1" t="n">
        <v>44634.64900462963</v>
      </c>
      <c r="C604" s="1" t="n">
        <v>45915</v>
      </c>
      <c r="D604" t="inlineStr">
        <is>
          <t>SKÅNE LÄN</t>
        </is>
      </c>
      <c r="E604" t="inlineStr">
        <is>
          <t>HÄSSLEHOLM</t>
        </is>
      </c>
      <c r="G604" t="n">
        <v>2.8</v>
      </c>
      <c r="H604" t="n">
        <v>0</v>
      </c>
      <c r="I604" t="n">
        <v>0</v>
      </c>
      <c r="J604" t="n">
        <v>0</v>
      </c>
      <c r="K604" t="n">
        <v>0</v>
      </c>
      <c r="L604" t="n">
        <v>0</v>
      </c>
      <c r="M604" t="n">
        <v>0</v>
      </c>
      <c r="N604" t="n">
        <v>0</v>
      </c>
      <c r="O604" t="n">
        <v>0</v>
      </c>
      <c r="P604" t="n">
        <v>0</v>
      </c>
      <c r="Q604" t="n">
        <v>0</v>
      </c>
      <c r="R604" s="2" t="inlineStr"/>
    </row>
    <row r="605" ht="15" customHeight="1">
      <c r="A605" t="inlineStr">
        <is>
          <t>A 33597-2023</t>
        </is>
      </c>
      <c r="B605" s="1" t="n">
        <v>45132</v>
      </c>
      <c r="C605" s="1" t="n">
        <v>45915</v>
      </c>
      <c r="D605" t="inlineStr">
        <is>
          <t>SKÅNE LÄN</t>
        </is>
      </c>
      <c r="E605" t="inlineStr">
        <is>
          <t>HÄSSLEHOLM</t>
        </is>
      </c>
      <c r="G605" t="n">
        <v>3.9</v>
      </c>
      <c r="H605" t="n">
        <v>0</v>
      </c>
      <c r="I605" t="n">
        <v>0</v>
      </c>
      <c r="J605" t="n">
        <v>0</v>
      </c>
      <c r="K605" t="n">
        <v>0</v>
      </c>
      <c r="L605" t="n">
        <v>0</v>
      </c>
      <c r="M605" t="n">
        <v>0</v>
      </c>
      <c r="N605" t="n">
        <v>0</v>
      </c>
      <c r="O605" t="n">
        <v>0</v>
      </c>
      <c r="P605" t="n">
        <v>0</v>
      </c>
      <c r="Q605" t="n">
        <v>0</v>
      </c>
      <c r="R605" s="2" t="inlineStr"/>
    </row>
    <row r="606" ht="15" customHeight="1">
      <c r="A606" t="inlineStr">
        <is>
          <t>A 33599-2023</t>
        </is>
      </c>
      <c r="B606" s="1" t="n">
        <v>45132</v>
      </c>
      <c r="C606" s="1" t="n">
        <v>45915</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45915</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45915</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45915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13932-2023</t>
        </is>
      </c>
      <c r="B610" s="1" t="n">
        <v>45008.43935185186</v>
      </c>
      <c r="C610" s="1" t="n">
        <v>45915</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33938-2023</t>
        </is>
      </c>
      <c r="B611" s="1" t="n">
        <v>45124</v>
      </c>
      <c r="C611" s="1" t="n">
        <v>45915</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27349-2025</t>
        </is>
      </c>
      <c r="B612" s="1" t="n">
        <v>45812</v>
      </c>
      <c r="C612" s="1" t="n">
        <v>45915</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16368-2025</t>
        </is>
      </c>
      <c r="B613" s="1" t="n">
        <v>45751</v>
      </c>
      <c r="C613" s="1" t="n">
        <v>45915</v>
      </c>
      <c r="D613" t="inlineStr">
        <is>
          <t>SKÅNE LÄN</t>
        </is>
      </c>
      <c r="E613" t="inlineStr">
        <is>
          <t>HÄSSLEHOLM</t>
        </is>
      </c>
      <c r="G613" t="n">
        <v>5</v>
      </c>
      <c r="H613" t="n">
        <v>0</v>
      </c>
      <c r="I613" t="n">
        <v>0</v>
      </c>
      <c r="J613" t="n">
        <v>0</v>
      </c>
      <c r="K613" t="n">
        <v>0</v>
      </c>
      <c r="L613" t="n">
        <v>0</v>
      </c>
      <c r="M613" t="n">
        <v>0</v>
      </c>
      <c r="N613" t="n">
        <v>0</v>
      </c>
      <c r="O613" t="n">
        <v>0</v>
      </c>
      <c r="P613" t="n">
        <v>0</v>
      </c>
      <c r="Q613" t="n">
        <v>0</v>
      </c>
      <c r="R613" s="2" t="inlineStr"/>
    </row>
    <row r="614" ht="15" customHeight="1">
      <c r="A614" t="inlineStr">
        <is>
          <t>A 32008-2024</t>
        </is>
      </c>
      <c r="B614" s="1" t="n">
        <v>45510</v>
      </c>
      <c r="C614" s="1" t="n">
        <v>45915</v>
      </c>
      <c r="D614" t="inlineStr">
        <is>
          <t>SKÅNE LÄN</t>
        </is>
      </c>
      <c r="E614" t="inlineStr">
        <is>
          <t>HÄSSLEHOLM</t>
        </is>
      </c>
      <c r="G614" t="n">
        <v>5.1</v>
      </c>
      <c r="H614" t="n">
        <v>0</v>
      </c>
      <c r="I614" t="n">
        <v>0</v>
      </c>
      <c r="J614" t="n">
        <v>0</v>
      </c>
      <c r="K614" t="n">
        <v>0</v>
      </c>
      <c r="L614" t="n">
        <v>0</v>
      </c>
      <c r="M614" t="n">
        <v>0</v>
      </c>
      <c r="N614" t="n">
        <v>0</v>
      </c>
      <c r="O614" t="n">
        <v>0</v>
      </c>
      <c r="P614" t="n">
        <v>0</v>
      </c>
      <c r="Q614" t="n">
        <v>0</v>
      </c>
      <c r="R614" s="2" t="inlineStr"/>
    </row>
    <row r="615" ht="15" customHeight="1">
      <c r="A615" t="inlineStr">
        <is>
          <t>A 22693-2022</t>
        </is>
      </c>
      <c r="B615" s="1" t="n">
        <v>44714.54729166667</v>
      </c>
      <c r="C615" s="1" t="n">
        <v>45915</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17138-2025</t>
        </is>
      </c>
      <c r="B616" s="1" t="n">
        <v>45755.80378472222</v>
      </c>
      <c r="C616" s="1" t="n">
        <v>45915</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35889-2023</t>
        </is>
      </c>
      <c r="B617" s="1" t="n">
        <v>45148</v>
      </c>
      <c r="C617" s="1" t="n">
        <v>45915</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35894-2023</t>
        </is>
      </c>
      <c r="B618" s="1" t="n">
        <v>45148</v>
      </c>
      <c r="C618" s="1" t="n">
        <v>45915</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45915</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35974-2022</t>
        </is>
      </c>
      <c r="B620" s="1" t="n">
        <v>44802</v>
      </c>
      <c r="C620" s="1" t="n">
        <v>45915</v>
      </c>
      <c r="D620" t="inlineStr">
        <is>
          <t>SKÅNE LÄN</t>
        </is>
      </c>
      <c r="E620" t="inlineStr">
        <is>
          <t>HÄSSLEHOLM</t>
        </is>
      </c>
      <c r="G620" t="n">
        <v>3.8</v>
      </c>
      <c r="H620" t="n">
        <v>0</v>
      </c>
      <c r="I620" t="n">
        <v>0</v>
      </c>
      <c r="J620" t="n">
        <v>0</v>
      </c>
      <c r="K620" t="n">
        <v>0</v>
      </c>
      <c r="L620" t="n">
        <v>0</v>
      </c>
      <c r="M620" t="n">
        <v>0</v>
      </c>
      <c r="N620" t="n">
        <v>0</v>
      </c>
      <c r="O620" t="n">
        <v>0</v>
      </c>
      <c r="P620" t="n">
        <v>0</v>
      </c>
      <c r="Q620" t="n">
        <v>0</v>
      </c>
      <c r="R620" s="2" t="inlineStr"/>
    </row>
    <row r="621" ht="15" customHeight="1">
      <c r="A621" t="inlineStr">
        <is>
          <t>A 27393-2025</t>
        </is>
      </c>
      <c r="B621" s="1" t="n">
        <v>45812.68295138889</v>
      </c>
      <c r="C621" s="1" t="n">
        <v>45915</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14700-2023</t>
        </is>
      </c>
      <c r="B622" s="1" t="n">
        <v>45014.38376157408</v>
      </c>
      <c r="C622" s="1" t="n">
        <v>45915</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45915</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24906-2022</t>
        </is>
      </c>
      <c r="B624" s="1" t="n">
        <v>44728</v>
      </c>
      <c r="C624" s="1" t="n">
        <v>45915</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4579-2025</t>
        </is>
      </c>
      <c r="B625" s="1" t="n">
        <v>45687.5009375</v>
      </c>
      <c r="C625" s="1" t="n">
        <v>45915</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7150-2025</t>
        </is>
      </c>
      <c r="B626" s="1" t="n">
        <v>45702.38239583333</v>
      </c>
      <c r="C626" s="1" t="n">
        <v>45915</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1344-2021</t>
        </is>
      </c>
      <c r="B627" s="1" t="n">
        <v>44208</v>
      </c>
      <c r="C627" s="1" t="n">
        <v>45915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18623-2023</t>
        </is>
      </c>
      <c r="B628" s="1" t="n">
        <v>45043</v>
      </c>
      <c r="C628" s="1" t="n">
        <v>45915</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45915</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55303-2024</t>
        </is>
      </c>
      <c r="B630" s="1" t="n">
        <v>45621.6434837963</v>
      </c>
      <c r="C630" s="1" t="n">
        <v>45915</v>
      </c>
      <c r="D630" t="inlineStr">
        <is>
          <t>SKÅNE LÄN</t>
        </is>
      </c>
      <c r="E630" t="inlineStr">
        <is>
          <t>HÄSSLEHOLM</t>
        </is>
      </c>
      <c r="G630" t="n">
        <v>3.3</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45915</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45915</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45915</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45915</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45915</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28240-2025</t>
        </is>
      </c>
      <c r="B636" s="1" t="n">
        <v>45817</v>
      </c>
      <c r="C636" s="1" t="n">
        <v>45915</v>
      </c>
      <c r="D636" t="inlineStr">
        <is>
          <t>SKÅNE LÄN</t>
        </is>
      </c>
      <c r="E636" t="inlineStr">
        <is>
          <t>HÄSSLEHOLM</t>
        </is>
      </c>
      <c r="G636" t="n">
        <v>7.7</v>
      </c>
      <c r="H636" t="n">
        <v>0</v>
      </c>
      <c r="I636" t="n">
        <v>0</v>
      </c>
      <c r="J636" t="n">
        <v>0</v>
      </c>
      <c r="K636" t="n">
        <v>0</v>
      </c>
      <c r="L636" t="n">
        <v>0</v>
      </c>
      <c r="M636" t="n">
        <v>0</v>
      </c>
      <c r="N636" t="n">
        <v>0</v>
      </c>
      <c r="O636" t="n">
        <v>0</v>
      </c>
      <c r="P636" t="n">
        <v>0</v>
      </c>
      <c r="Q636" t="n">
        <v>0</v>
      </c>
      <c r="R636" s="2" t="inlineStr"/>
    </row>
    <row r="637" ht="15" customHeight="1">
      <c r="A637" t="inlineStr">
        <is>
          <t>A 28095-2025</t>
        </is>
      </c>
      <c r="B637" s="1" t="n">
        <v>45817</v>
      </c>
      <c r="C637" s="1" t="n">
        <v>45915</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45915</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59434-2023</t>
        </is>
      </c>
      <c r="B639" s="1" t="n">
        <v>45254.30440972222</v>
      </c>
      <c r="C639" s="1" t="n">
        <v>45915</v>
      </c>
      <c r="D639" t="inlineStr">
        <is>
          <t>SKÅNE LÄN</t>
        </is>
      </c>
      <c r="E639" t="inlineStr">
        <is>
          <t>HÄSSLEHOLM</t>
        </is>
      </c>
      <c r="G639" t="n">
        <v>3.6</v>
      </c>
      <c r="H639" t="n">
        <v>0</v>
      </c>
      <c r="I639" t="n">
        <v>0</v>
      </c>
      <c r="J639" t="n">
        <v>0</v>
      </c>
      <c r="K639" t="n">
        <v>0</v>
      </c>
      <c r="L639" t="n">
        <v>0</v>
      </c>
      <c r="M639" t="n">
        <v>0</v>
      </c>
      <c r="N639" t="n">
        <v>0</v>
      </c>
      <c r="O639" t="n">
        <v>0</v>
      </c>
      <c r="P639" t="n">
        <v>0</v>
      </c>
      <c r="Q639" t="n">
        <v>0</v>
      </c>
      <c r="R639" s="2" t="inlineStr"/>
    </row>
    <row r="640" ht="15" customHeight="1">
      <c r="A640" t="inlineStr">
        <is>
          <t>A 4809-2025</t>
        </is>
      </c>
      <c r="B640" s="1" t="n">
        <v>45688.60148148148</v>
      </c>
      <c r="C640" s="1" t="n">
        <v>45915</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59030-2024</t>
        </is>
      </c>
      <c r="B641" s="1" t="n">
        <v>45636.68916666666</v>
      </c>
      <c r="C641" s="1" t="n">
        <v>45915</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27940-2025</t>
        </is>
      </c>
      <c r="B642" s="1" t="n">
        <v>45817.50439814815</v>
      </c>
      <c r="C642" s="1" t="n">
        <v>45915</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27887-2025</t>
        </is>
      </c>
      <c r="B643" s="1" t="n">
        <v>45817.45994212963</v>
      </c>
      <c r="C643" s="1" t="n">
        <v>45915</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49827-2022</t>
        </is>
      </c>
      <c r="B644" s="1" t="n">
        <v>44859</v>
      </c>
      <c r="C644" s="1" t="n">
        <v>45915</v>
      </c>
      <c r="D644" t="inlineStr">
        <is>
          <t>SKÅNE LÄN</t>
        </is>
      </c>
      <c r="E644" t="inlineStr">
        <is>
          <t>HÄSSLEHOLM</t>
        </is>
      </c>
      <c r="G644" t="n">
        <v>6.1</v>
      </c>
      <c r="H644" t="n">
        <v>0</v>
      </c>
      <c r="I644" t="n">
        <v>0</v>
      </c>
      <c r="J644" t="n">
        <v>0</v>
      </c>
      <c r="K644" t="n">
        <v>0</v>
      </c>
      <c r="L644" t="n">
        <v>0</v>
      </c>
      <c r="M644" t="n">
        <v>0</v>
      </c>
      <c r="N644" t="n">
        <v>0</v>
      </c>
      <c r="O644" t="n">
        <v>0</v>
      </c>
      <c r="P644" t="n">
        <v>0</v>
      </c>
      <c r="Q644" t="n">
        <v>0</v>
      </c>
      <c r="R644" s="2" t="inlineStr"/>
    </row>
    <row r="645" ht="15" customHeight="1">
      <c r="A645" t="inlineStr">
        <is>
          <t>A 28251-2025</t>
        </is>
      </c>
      <c r="B645" s="1" t="n">
        <v>45817</v>
      </c>
      <c r="C645" s="1" t="n">
        <v>45915</v>
      </c>
      <c r="D645" t="inlineStr">
        <is>
          <t>SKÅNE LÄN</t>
        </is>
      </c>
      <c r="E645" t="inlineStr">
        <is>
          <t>HÄSSLEHOLM</t>
        </is>
      </c>
      <c r="G645" t="n">
        <v>7.2</v>
      </c>
      <c r="H645" t="n">
        <v>0</v>
      </c>
      <c r="I645" t="n">
        <v>0</v>
      </c>
      <c r="J645" t="n">
        <v>0</v>
      </c>
      <c r="K645" t="n">
        <v>0</v>
      </c>
      <c r="L645" t="n">
        <v>0</v>
      </c>
      <c r="M645" t="n">
        <v>0</v>
      </c>
      <c r="N645" t="n">
        <v>0</v>
      </c>
      <c r="O645" t="n">
        <v>0</v>
      </c>
      <c r="P645" t="n">
        <v>0</v>
      </c>
      <c r="Q645" t="n">
        <v>0</v>
      </c>
      <c r="R645" s="2" t="inlineStr"/>
    </row>
    <row r="646" ht="15" customHeight="1">
      <c r="A646" t="inlineStr">
        <is>
          <t>A 27934-2025</t>
        </is>
      </c>
      <c r="B646" s="1" t="n">
        <v>45817.49761574074</v>
      </c>
      <c r="C646" s="1" t="n">
        <v>45915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16862-2025</t>
        </is>
      </c>
      <c r="B647" s="1" t="n">
        <v>45751</v>
      </c>
      <c r="C647" s="1" t="n">
        <v>45915</v>
      </c>
      <c r="D647" t="inlineStr">
        <is>
          <t>SKÅNE LÄN</t>
        </is>
      </c>
      <c r="E647" t="inlineStr">
        <is>
          <t>HÄSSLEHOLM</t>
        </is>
      </c>
      <c r="G647" t="n">
        <v>2.3</v>
      </c>
      <c r="H647" t="n">
        <v>0</v>
      </c>
      <c r="I647" t="n">
        <v>0</v>
      </c>
      <c r="J647" t="n">
        <v>0</v>
      </c>
      <c r="K647" t="n">
        <v>0</v>
      </c>
      <c r="L647" t="n">
        <v>0</v>
      </c>
      <c r="M647" t="n">
        <v>0</v>
      </c>
      <c r="N647" t="n">
        <v>0</v>
      </c>
      <c r="O647" t="n">
        <v>0</v>
      </c>
      <c r="P647" t="n">
        <v>0</v>
      </c>
      <c r="Q647" t="n">
        <v>0</v>
      </c>
      <c r="R647" s="2" t="inlineStr"/>
    </row>
    <row r="648" ht="15" customHeight="1">
      <c r="A648" t="inlineStr">
        <is>
          <t>A 28122-2025</t>
        </is>
      </c>
      <c r="B648" s="1" t="n">
        <v>45817</v>
      </c>
      <c r="C648" s="1" t="n">
        <v>45915</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55284-2023</t>
        </is>
      </c>
      <c r="B649" s="1" t="n">
        <v>45237.74259259259</v>
      </c>
      <c r="C649" s="1" t="n">
        <v>45915</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22384-2024</t>
        </is>
      </c>
      <c r="B650" s="1" t="n">
        <v>45446.65592592592</v>
      </c>
      <c r="C650" s="1" t="n">
        <v>45915</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7481-2023</t>
        </is>
      </c>
      <c r="B651" s="1" t="n">
        <v>44971</v>
      </c>
      <c r="C651" s="1" t="n">
        <v>45915</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35150-2023</t>
        </is>
      </c>
      <c r="B652" s="1" t="n">
        <v>45145</v>
      </c>
      <c r="C652" s="1" t="n">
        <v>45915</v>
      </c>
      <c r="D652" t="inlineStr">
        <is>
          <t>SKÅNE LÄN</t>
        </is>
      </c>
      <c r="E652" t="inlineStr">
        <is>
          <t>HÄSSLEHOLM</t>
        </is>
      </c>
      <c r="G652" t="n">
        <v>4.9</v>
      </c>
      <c r="H652" t="n">
        <v>0</v>
      </c>
      <c r="I652" t="n">
        <v>0</v>
      </c>
      <c r="J652" t="n">
        <v>0</v>
      </c>
      <c r="K652" t="n">
        <v>0</v>
      </c>
      <c r="L652" t="n">
        <v>0</v>
      </c>
      <c r="M652" t="n">
        <v>0</v>
      </c>
      <c r="N652" t="n">
        <v>0</v>
      </c>
      <c r="O652" t="n">
        <v>0</v>
      </c>
      <c r="P652" t="n">
        <v>0</v>
      </c>
      <c r="Q652" t="n">
        <v>0</v>
      </c>
      <c r="R652" s="2" t="inlineStr"/>
    </row>
    <row r="653" ht="15" customHeight="1">
      <c r="A653" t="inlineStr">
        <is>
          <t>A 12507-2022</t>
        </is>
      </c>
      <c r="B653" s="1" t="n">
        <v>44638</v>
      </c>
      <c r="C653" s="1" t="n">
        <v>45915</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46641-2023</t>
        </is>
      </c>
      <c r="B654" s="1" t="n">
        <v>45198.44523148148</v>
      </c>
      <c r="C654" s="1" t="n">
        <v>45915</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46645-2023</t>
        </is>
      </c>
      <c r="B655" s="1" t="n">
        <v>45198.44686342592</v>
      </c>
      <c r="C655" s="1" t="n">
        <v>45915</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67974-2020</t>
        </is>
      </c>
      <c r="B656" s="1" t="n">
        <v>44182</v>
      </c>
      <c r="C656" s="1" t="n">
        <v>45915</v>
      </c>
      <c r="D656" t="inlineStr">
        <is>
          <t>SKÅNE LÄN</t>
        </is>
      </c>
      <c r="E656" t="inlineStr">
        <is>
          <t>HÄSSLEHOLM</t>
        </is>
      </c>
      <c r="G656" t="n">
        <v>9</v>
      </c>
      <c r="H656" t="n">
        <v>0</v>
      </c>
      <c r="I656" t="n">
        <v>0</v>
      </c>
      <c r="J656" t="n">
        <v>0</v>
      </c>
      <c r="K656" t="n">
        <v>0</v>
      </c>
      <c r="L656" t="n">
        <v>0</v>
      </c>
      <c r="M656" t="n">
        <v>0</v>
      </c>
      <c r="N656" t="n">
        <v>0</v>
      </c>
      <c r="O656" t="n">
        <v>0</v>
      </c>
      <c r="P656" t="n">
        <v>0</v>
      </c>
      <c r="Q656" t="n">
        <v>0</v>
      </c>
      <c r="R656" s="2" t="inlineStr"/>
    </row>
    <row r="657" ht="15" customHeight="1">
      <c r="A657" t="inlineStr">
        <is>
          <t>A 10594-2025</t>
        </is>
      </c>
      <c r="B657" s="1" t="n">
        <v>45721</v>
      </c>
      <c r="C657" s="1" t="n">
        <v>45915</v>
      </c>
      <c r="D657" t="inlineStr">
        <is>
          <t>SKÅNE LÄN</t>
        </is>
      </c>
      <c r="E657" t="inlineStr">
        <is>
          <t>HÄSSLEHOLM</t>
        </is>
      </c>
      <c r="G657" t="n">
        <v>5.3</v>
      </c>
      <c r="H657" t="n">
        <v>0</v>
      </c>
      <c r="I657" t="n">
        <v>0</v>
      </c>
      <c r="J657" t="n">
        <v>0</v>
      </c>
      <c r="K657" t="n">
        <v>0</v>
      </c>
      <c r="L657" t="n">
        <v>0</v>
      </c>
      <c r="M657" t="n">
        <v>0</v>
      </c>
      <c r="N657" t="n">
        <v>0</v>
      </c>
      <c r="O657" t="n">
        <v>0</v>
      </c>
      <c r="P657" t="n">
        <v>0</v>
      </c>
      <c r="Q657" t="n">
        <v>0</v>
      </c>
      <c r="R657" s="2" t="inlineStr"/>
    </row>
    <row r="658" ht="15" customHeight="1">
      <c r="A658" t="inlineStr">
        <is>
          <t>A 59556-2023</t>
        </is>
      </c>
      <c r="B658" s="1" t="n">
        <v>45254.56313657408</v>
      </c>
      <c r="C658" s="1" t="n">
        <v>45915</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29170-2025</t>
        </is>
      </c>
      <c r="B659" s="1" t="n">
        <v>45821.69766203704</v>
      </c>
      <c r="C659" s="1" t="n">
        <v>45915</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22690-2022</t>
        </is>
      </c>
      <c r="B660" s="1" t="n">
        <v>44714.5421875</v>
      </c>
      <c r="C660" s="1" t="n">
        <v>45915</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57079-2022</t>
        </is>
      </c>
      <c r="B661" s="1" t="n">
        <v>44895</v>
      </c>
      <c r="C661" s="1" t="n">
        <v>45915</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9543-2025</t>
        </is>
      </c>
      <c r="B662" s="1" t="n">
        <v>45715</v>
      </c>
      <c r="C662" s="1" t="n">
        <v>45915</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29168-2025</t>
        </is>
      </c>
      <c r="B663" s="1" t="n">
        <v>45821.69547453704</v>
      </c>
      <c r="C663" s="1" t="n">
        <v>45915</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51571-2023</t>
        </is>
      </c>
      <c r="B664" s="1" t="n">
        <v>45222</v>
      </c>
      <c r="C664" s="1" t="n">
        <v>45915</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29171-2025</t>
        </is>
      </c>
      <c r="B665" s="1" t="n">
        <v>45821.69863425926</v>
      </c>
      <c r="C665" s="1" t="n">
        <v>45915</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4734-2025</t>
        </is>
      </c>
      <c r="B666" s="1" t="n">
        <v>45688.44030092593</v>
      </c>
      <c r="C666" s="1" t="n">
        <v>45915</v>
      </c>
      <c r="D666" t="inlineStr">
        <is>
          <t>SKÅNE LÄN</t>
        </is>
      </c>
      <c r="E666" t="inlineStr">
        <is>
          <t>HÄSSLEHOLM</t>
        </is>
      </c>
      <c r="G666" t="n">
        <v>19.6</v>
      </c>
      <c r="H666" t="n">
        <v>0</v>
      </c>
      <c r="I666" t="n">
        <v>0</v>
      </c>
      <c r="J666" t="n">
        <v>0</v>
      </c>
      <c r="K666" t="n">
        <v>0</v>
      </c>
      <c r="L666" t="n">
        <v>0</v>
      </c>
      <c r="M666" t="n">
        <v>0</v>
      </c>
      <c r="N666" t="n">
        <v>0</v>
      </c>
      <c r="O666" t="n">
        <v>0</v>
      </c>
      <c r="P666" t="n">
        <v>0</v>
      </c>
      <c r="Q666" t="n">
        <v>0</v>
      </c>
      <c r="R666" s="2" t="inlineStr"/>
    </row>
    <row r="667" ht="15" customHeight="1">
      <c r="A667" t="inlineStr">
        <is>
          <t>A 61498-2022</t>
        </is>
      </c>
      <c r="B667" s="1" t="n">
        <v>44910</v>
      </c>
      <c r="C667" s="1" t="n">
        <v>45915</v>
      </c>
      <c r="D667" t="inlineStr">
        <is>
          <t>SKÅNE LÄN</t>
        </is>
      </c>
      <c r="E667" t="inlineStr">
        <is>
          <t>HÄSSLEHOLM</t>
        </is>
      </c>
      <c r="F667" t="inlineStr">
        <is>
          <t>Kyrkan</t>
        </is>
      </c>
      <c r="G667" t="n">
        <v>3.2</v>
      </c>
      <c r="H667" t="n">
        <v>0</v>
      </c>
      <c r="I667" t="n">
        <v>0</v>
      </c>
      <c r="J667" t="n">
        <v>0</v>
      </c>
      <c r="K667" t="n">
        <v>0</v>
      </c>
      <c r="L667" t="n">
        <v>0</v>
      </c>
      <c r="M667" t="n">
        <v>0</v>
      </c>
      <c r="N667" t="n">
        <v>0</v>
      </c>
      <c r="O667" t="n">
        <v>0</v>
      </c>
      <c r="P667" t="n">
        <v>0</v>
      </c>
      <c r="Q667" t="n">
        <v>0</v>
      </c>
      <c r="R667" s="2" t="inlineStr"/>
    </row>
    <row r="668" ht="15" customHeight="1">
      <c r="A668" t="inlineStr">
        <is>
          <t>A 27291-2023</t>
        </is>
      </c>
      <c r="B668" s="1" t="n">
        <v>45096</v>
      </c>
      <c r="C668" s="1" t="n">
        <v>45915</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15417-2022</t>
        </is>
      </c>
      <c r="B669" s="1" t="n">
        <v>44659</v>
      </c>
      <c r="C669" s="1" t="n">
        <v>45915</v>
      </c>
      <c r="D669" t="inlineStr">
        <is>
          <t>SKÅNE LÄN</t>
        </is>
      </c>
      <c r="E669" t="inlineStr">
        <is>
          <t>HÄSSLEHOLM</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36240-2023</t>
        </is>
      </c>
      <c r="B670" s="1" t="n">
        <v>45150.89295138889</v>
      </c>
      <c r="C670" s="1" t="n">
        <v>45915</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30010-2025</t>
        </is>
      </c>
      <c r="B671" s="1" t="n">
        <v>45826</v>
      </c>
      <c r="C671" s="1" t="n">
        <v>45915</v>
      </c>
      <c r="D671" t="inlineStr">
        <is>
          <t>SKÅNE LÄN</t>
        </is>
      </c>
      <c r="E671" t="inlineStr">
        <is>
          <t>HÄSSLEHOLM</t>
        </is>
      </c>
      <c r="G671" t="n">
        <v>4.5</v>
      </c>
      <c r="H671" t="n">
        <v>0</v>
      </c>
      <c r="I671" t="n">
        <v>0</v>
      </c>
      <c r="J671" t="n">
        <v>0</v>
      </c>
      <c r="K671" t="n">
        <v>0</v>
      </c>
      <c r="L671" t="n">
        <v>0</v>
      </c>
      <c r="M671" t="n">
        <v>0</v>
      </c>
      <c r="N671" t="n">
        <v>0</v>
      </c>
      <c r="O671" t="n">
        <v>0</v>
      </c>
      <c r="P671" t="n">
        <v>0</v>
      </c>
      <c r="Q671" t="n">
        <v>0</v>
      </c>
      <c r="R671" s="2" t="inlineStr"/>
    </row>
    <row r="672" ht="15" customHeight="1">
      <c r="A672" t="inlineStr">
        <is>
          <t>A 58268-2024</t>
        </is>
      </c>
      <c r="B672" s="1" t="n">
        <v>45632.56893518518</v>
      </c>
      <c r="C672" s="1" t="n">
        <v>45915</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20564-2023</t>
        </is>
      </c>
      <c r="B673" s="1" t="n">
        <v>45057</v>
      </c>
      <c r="C673" s="1" t="n">
        <v>45915</v>
      </c>
      <c r="D673" t="inlineStr">
        <is>
          <t>SKÅNE LÄN</t>
        </is>
      </c>
      <c r="E673" t="inlineStr">
        <is>
          <t>HÄSSLEHOLM</t>
        </is>
      </c>
      <c r="G673" t="n">
        <v>2.6</v>
      </c>
      <c r="H673" t="n">
        <v>0</v>
      </c>
      <c r="I673" t="n">
        <v>0</v>
      </c>
      <c r="J673" t="n">
        <v>0</v>
      </c>
      <c r="K673" t="n">
        <v>0</v>
      </c>
      <c r="L673" t="n">
        <v>0</v>
      </c>
      <c r="M673" t="n">
        <v>0</v>
      </c>
      <c r="N673" t="n">
        <v>0</v>
      </c>
      <c r="O673" t="n">
        <v>0</v>
      </c>
      <c r="P673" t="n">
        <v>0</v>
      </c>
      <c r="Q673" t="n">
        <v>0</v>
      </c>
      <c r="R673" s="2" t="inlineStr"/>
    </row>
    <row r="674" ht="15" customHeight="1">
      <c r="A674" t="inlineStr">
        <is>
          <t>A 41694-2024</t>
        </is>
      </c>
      <c r="B674" s="1" t="n">
        <v>45560.68341435185</v>
      </c>
      <c r="C674" s="1" t="n">
        <v>45915</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48798-2023</t>
        </is>
      </c>
      <c r="B675" s="1" t="n">
        <v>45209.25318287037</v>
      </c>
      <c r="C675" s="1" t="n">
        <v>45915</v>
      </c>
      <c r="D675" t="inlineStr">
        <is>
          <t>SKÅNE LÄN</t>
        </is>
      </c>
      <c r="E675" t="inlineStr">
        <is>
          <t>HÄSSLEHOLM</t>
        </is>
      </c>
      <c r="G675" t="n">
        <v>2.1</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45915</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45915</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45915</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45915</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48627-2023</t>
        </is>
      </c>
      <c r="B680" s="1" t="n">
        <v>45208.57371527778</v>
      </c>
      <c r="C680" s="1" t="n">
        <v>45915</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17152-2025</t>
        </is>
      </c>
      <c r="B681" s="1" t="n">
        <v>45756.33318287037</v>
      </c>
      <c r="C681" s="1" t="n">
        <v>45915</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27954-2022</t>
        </is>
      </c>
      <c r="B682" s="1" t="n">
        <v>44743</v>
      </c>
      <c r="C682" s="1" t="n">
        <v>45915</v>
      </c>
      <c r="D682" t="inlineStr">
        <is>
          <t>SKÅNE LÄN</t>
        </is>
      </c>
      <c r="E682" t="inlineStr">
        <is>
          <t>HÄSSLEHOLM</t>
        </is>
      </c>
      <c r="G682" t="n">
        <v>9.4</v>
      </c>
      <c r="H682" t="n">
        <v>0</v>
      </c>
      <c r="I682" t="n">
        <v>0</v>
      </c>
      <c r="J682" t="n">
        <v>0</v>
      </c>
      <c r="K682" t="n">
        <v>0</v>
      </c>
      <c r="L682" t="n">
        <v>0</v>
      </c>
      <c r="M682" t="n">
        <v>0</v>
      </c>
      <c r="N682" t="n">
        <v>0</v>
      </c>
      <c r="O682" t="n">
        <v>0</v>
      </c>
      <c r="P682" t="n">
        <v>0</v>
      </c>
      <c r="Q682" t="n">
        <v>0</v>
      </c>
      <c r="R682" s="2" t="inlineStr"/>
    </row>
    <row r="683" ht="15" customHeight="1">
      <c r="A683" t="inlineStr">
        <is>
          <t>A 48326-2023</t>
        </is>
      </c>
      <c r="B683" s="1" t="n">
        <v>45205</v>
      </c>
      <c r="C683" s="1" t="n">
        <v>45915</v>
      </c>
      <c r="D683" t="inlineStr">
        <is>
          <t>SKÅNE LÄN</t>
        </is>
      </c>
      <c r="E683" t="inlineStr">
        <is>
          <t>HÄSSLEHOLM</t>
        </is>
      </c>
      <c r="G683" t="n">
        <v>12.7</v>
      </c>
      <c r="H683" t="n">
        <v>0</v>
      </c>
      <c r="I683" t="n">
        <v>0</v>
      </c>
      <c r="J683" t="n">
        <v>0</v>
      </c>
      <c r="K683" t="n">
        <v>0</v>
      </c>
      <c r="L683" t="n">
        <v>0</v>
      </c>
      <c r="M683" t="n">
        <v>0</v>
      </c>
      <c r="N683" t="n">
        <v>0</v>
      </c>
      <c r="O683" t="n">
        <v>0</v>
      </c>
      <c r="P683" t="n">
        <v>0</v>
      </c>
      <c r="Q683" t="n">
        <v>0</v>
      </c>
      <c r="R683" s="2" t="inlineStr"/>
    </row>
    <row r="684" ht="15" customHeight="1">
      <c r="A684" t="inlineStr">
        <is>
          <t>A 10752-2025</t>
        </is>
      </c>
      <c r="B684" s="1" t="n">
        <v>45722</v>
      </c>
      <c r="C684" s="1" t="n">
        <v>45915</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54462-2022</t>
        </is>
      </c>
      <c r="B685" s="1" t="n">
        <v>44882</v>
      </c>
      <c r="C685" s="1" t="n">
        <v>45915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3890-2024</t>
        </is>
      </c>
      <c r="B686" s="1" t="n">
        <v>45322.45366898148</v>
      </c>
      <c r="C686" s="1" t="n">
        <v>45915</v>
      </c>
      <c r="D686" t="inlineStr">
        <is>
          <t>SKÅNE LÄN</t>
        </is>
      </c>
      <c r="E686" t="inlineStr">
        <is>
          <t>HÄSSLEHOLM</t>
        </is>
      </c>
      <c r="G686" t="n">
        <v>3</v>
      </c>
      <c r="H686" t="n">
        <v>0</v>
      </c>
      <c r="I686" t="n">
        <v>0</v>
      </c>
      <c r="J686" t="n">
        <v>0</v>
      </c>
      <c r="K686" t="n">
        <v>0</v>
      </c>
      <c r="L686" t="n">
        <v>0</v>
      </c>
      <c r="M686" t="n">
        <v>0</v>
      </c>
      <c r="N686" t="n">
        <v>0</v>
      </c>
      <c r="O686" t="n">
        <v>0</v>
      </c>
      <c r="P686" t="n">
        <v>0</v>
      </c>
      <c r="Q686" t="n">
        <v>0</v>
      </c>
      <c r="R686" s="2" t="inlineStr"/>
    </row>
    <row r="687" ht="15" customHeight="1">
      <c r="A687" t="inlineStr">
        <is>
          <t>A 9239-2025</t>
        </is>
      </c>
      <c r="B687" s="1" t="n">
        <v>45714</v>
      </c>
      <c r="C687" s="1" t="n">
        <v>45915</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54471-2023</t>
        </is>
      </c>
      <c r="B688" s="1" t="n">
        <v>45233.4640162037</v>
      </c>
      <c r="C688" s="1" t="n">
        <v>45915</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56158-2020</t>
        </is>
      </c>
      <c r="B689" s="1" t="n">
        <v>44133</v>
      </c>
      <c r="C689" s="1" t="n">
        <v>45915</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45984-2021</t>
        </is>
      </c>
      <c r="B690" s="1" t="n">
        <v>44441</v>
      </c>
      <c r="C690" s="1" t="n">
        <v>45915</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46813-2024</t>
        </is>
      </c>
      <c r="B691" s="1" t="n">
        <v>45583</v>
      </c>
      <c r="C691" s="1" t="n">
        <v>45915</v>
      </c>
      <c r="D691" t="inlineStr">
        <is>
          <t>SKÅNE LÄN</t>
        </is>
      </c>
      <c r="E691" t="inlineStr">
        <is>
          <t>HÄSSLEHOLM</t>
        </is>
      </c>
      <c r="G691" t="n">
        <v>14.9</v>
      </c>
      <c r="H691" t="n">
        <v>0</v>
      </c>
      <c r="I691" t="n">
        <v>0</v>
      </c>
      <c r="J691" t="n">
        <v>0</v>
      </c>
      <c r="K691" t="n">
        <v>0</v>
      </c>
      <c r="L691" t="n">
        <v>0</v>
      </c>
      <c r="M691" t="n">
        <v>0</v>
      </c>
      <c r="N691" t="n">
        <v>0</v>
      </c>
      <c r="O691" t="n">
        <v>0</v>
      </c>
      <c r="P691" t="n">
        <v>0</v>
      </c>
      <c r="Q691" t="n">
        <v>0</v>
      </c>
      <c r="R691" s="2" t="inlineStr"/>
    </row>
    <row r="692" ht="15" customHeight="1">
      <c r="A692" t="inlineStr">
        <is>
          <t>A 61170-2022</t>
        </is>
      </c>
      <c r="B692" s="1" t="n">
        <v>44915.48543981482</v>
      </c>
      <c r="C692" s="1" t="n">
        <v>45915</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31159-2025</t>
        </is>
      </c>
      <c r="B693" s="1" t="n">
        <v>45832.65322916667</v>
      </c>
      <c r="C693" s="1" t="n">
        <v>45915</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57963-2023</t>
        </is>
      </c>
      <c r="B694" s="1" t="n">
        <v>45247.57732638889</v>
      </c>
      <c r="C694" s="1" t="n">
        <v>45915</v>
      </c>
      <c r="D694" t="inlineStr">
        <is>
          <t>SKÅNE LÄN</t>
        </is>
      </c>
      <c r="E694" t="inlineStr">
        <is>
          <t>HÄSSLEHOLM</t>
        </is>
      </c>
      <c r="G694" t="n">
        <v>4.6</v>
      </c>
      <c r="H694" t="n">
        <v>0</v>
      </c>
      <c r="I694" t="n">
        <v>0</v>
      </c>
      <c r="J694" t="n">
        <v>0</v>
      </c>
      <c r="K694" t="n">
        <v>0</v>
      </c>
      <c r="L694" t="n">
        <v>0</v>
      </c>
      <c r="M694" t="n">
        <v>0</v>
      </c>
      <c r="N694" t="n">
        <v>0</v>
      </c>
      <c r="O694" t="n">
        <v>0</v>
      </c>
      <c r="P694" t="n">
        <v>0</v>
      </c>
      <c r="Q694" t="n">
        <v>0</v>
      </c>
      <c r="R694" s="2" t="inlineStr"/>
    </row>
    <row r="695" ht="15" customHeight="1">
      <c r="A695" t="inlineStr">
        <is>
          <t>A 59028-2023</t>
        </is>
      </c>
      <c r="B695" s="1" t="n">
        <v>45252.67900462963</v>
      </c>
      <c r="C695" s="1" t="n">
        <v>45915</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6835-2023</t>
        </is>
      </c>
      <c r="B696" s="1" t="n">
        <v>44967</v>
      </c>
      <c r="C696" s="1" t="n">
        <v>45915</v>
      </c>
      <c r="D696" t="inlineStr">
        <is>
          <t>SKÅNE LÄN</t>
        </is>
      </c>
      <c r="E696" t="inlineStr">
        <is>
          <t>HÄSSLEHOLM</t>
        </is>
      </c>
      <c r="G696" t="n">
        <v>4.8</v>
      </c>
      <c r="H696" t="n">
        <v>0</v>
      </c>
      <c r="I696" t="n">
        <v>0</v>
      </c>
      <c r="J696" t="n">
        <v>0</v>
      </c>
      <c r="K696" t="n">
        <v>0</v>
      </c>
      <c r="L696" t="n">
        <v>0</v>
      </c>
      <c r="M696" t="n">
        <v>0</v>
      </c>
      <c r="N696" t="n">
        <v>0</v>
      </c>
      <c r="O696" t="n">
        <v>0</v>
      </c>
      <c r="P696" t="n">
        <v>0</v>
      </c>
      <c r="Q696" t="n">
        <v>0</v>
      </c>
      <c r="R696" s="2" t="inlineStr"/>
    </row>
    <row r="697" ht="15" customHeight="1">
      <c r="A697" t="inlineStr">
        <is>
          <t>A 13544-2025</t>
        </is>
      </c>
      <c r="B697" s="1" t="n">
        <v>45736</v>
      </c>
      <c r="C697" s="1" t="n">
        <v>45915</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9885-2021</t>
        </is>
      </c>
      <c r="B698" s="1" t="n">
        <v>44253</v>
      </c>
      <c r="C698" s="1" t="n">
        <v>45915</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31933-2024</t>
        </is>
      </c>
      <c r="B699" s="1" t="n">
        <v>45510.41123842593</v>
      </c>
      <c r="C699" s="1" t="n">
        <v>45915</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9098-2022</t>
        </is>
      </c>
      <c r="B700" s="1" t="n">
        <v>44615</v>
      </c>
      <c r="C700" s="1" t="n">
        <v>45915</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12338-2024</t>
        </is>
      </c>
      <c r="B701" s="1" t="n">
        <v>45378.72869212963</v>
      </c>
      <c r="C701" s="1" t="n">
        <v>45915</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2712-2024</t>
        </is>
      </c>
      <c r="B702" s="1" t="n">
        <v>45314</v>
      </c>
      <c r="C702" s="1" t="n">
        <v>45915</v>
      </c>
      <c r="D702" t="inlineStr">
        <is>
          <t>SKÅNE LÄN</t>
        </is>
      </c>
      <c r="E702" t="inlineStr">
        <is>
          <t>HÄSSLEHOLM</t>
        </is>
      </c>
      <c r="G702" t="n">
        <v>11.3</v>
      </c>
      <c r="H702" t="n">
        <v>0</v>
      </c>
      <c r="I702" t="n">
        <v>0</v>
      </c>
      <c r="J702" t="n">
        <v>0</v>
      </c>
      <c r="K702" t="n">
        <v>0</v>
      </c>
      <c r="L702" t="n">
        <v>0</v>
      </c>
      <c r="M702" t="n">
        <v>0</v>
      </c>
      <c r="N702" t="n">
        <v>0</v>
      </c>
      <c r="O702" t="n">
        <v>0</v>
      </c>
      <c r="P702" t="n">
        <v>0</v>
      </c>
      <c r="Q702" t="n">
        <v>0</v>
      </c>
      <c r="R702" s="2" t="inlineStr"/>
    </row>
    <row r="703" ht="15" customHeight="1">
      <c r="A703" t="inlineStr">
        <is>
          <t>A 34883-2023</t>
        </is>
      </c>
      <c r="B703" s="1" t="n">
        <v>45142.37902777778</v>
      </c>
      <c r="C703" s="1" t="n">
        <v>45915</v>
      </c>
      <c r="D703" t="inlineStr">
        <is>
          <t>SKÅNE LÄN</t>
        </is>
      </c>
      <c r="E703" t="inlineStr">
        <is>
          <t>HÄSSLEHOLM</t>
        </is>
      </c>
      <c r="G703" t="n">
        <v>2.5</v>
      </c>
      <c r="H703" t="n">
        <v>0</v>
      </c>
      <c r="I703" t="n">
        <v>0</v>
      </c>
      <c r="J703" t="n">
        <v>0</v>
      </c>
      <c r="K703" t="n">
        <v>0</v>
      </c>
      <c r="L703" t="n">
        <v>0</v>
      </c>
      <c r="M703" t="n">
        <v>0</v>
      </c>
      <c r="N703" t="n">
        <v>0</v>
      </c>
      <c r="O703" t="n">
        <v>0</v>
      </c>
      <c r="P703" t="n">
        <v>0</v>
      </c>
      <c r="Q703" t="n">
        <v>0</v>
      </c>
      <c r="R703" s="2" t="inlineStr"/>
    </row>
    <row r="704" ht="15" customHeight="1">
      <c r="A704" t="inlineStr">
        <is>
          <t>A 34886-2023</t>
        </is>
      </c>
      <c r="B704" s="1" t="n">
        <v>45142.38450231482</v>
      </c>
      <c r="C704" s="1" t="n">
        <v>45915</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7476-2025</t>
        </is>
      </c>
      <c r="B705" s="1" t="n">
        <v>45702</v>
      </c>
      <c r="C705" s="1" t="n">
        <v>45915</v>
      </c>
      <c r="D705" t="inlineStr">
        <is>
          <t>SKÅNE LÄN</t>
        </is>
      </c>
      <c r="E705" t="inlineStr">
        <is>
          <t>HÄSSLEHOLM</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54659-2023</t>
        </is>
      </c>
      <c r="B706" s="1" t="n">
        <v>45235</v>
      </c>
      <c r="C706" s="1" t="n">
        <v>45915</v>
      </c>
      <c r="D706" t="inlineStr">
        <is>
          <t>SKÅNE LÄN</t>
        </is>
      </c>
      <c r="E706" t="inlineStr">
        <is>
          <t>HÄSSLEHOLM</t>
        </is>
      </c>
      <c r="G706" t="n">
        <v>5</v>
      </c>
      <c r="H706" t="n">
        <v>0</v>
      </c>
      <c r="I706" t="n">
        <v>0</v>
      </c>
      <c r="J706" t="n">
        <v>0</v>
      </c>
      <c r="K706" t="n">
        <v>0</v>
      </c>
      <c r="L706" t="n">
        <v>0</v>
      </c>
      <c r="M706" t="n">
        <v>0</v>
      </c>
      <c r="N706" t="n">
        <v>0</v>
      </c>
      <c r="O706" t="n">
        <v>0</v>
      </c>
      <c r="P706" t="n">
        <v>0</v>
      </c>
      <c r="Q706" t="n">
        <v>0</v>
      </c>
      <c r="R706" s="2" t="inlineStr"/>
    </row>
    <row r="707" ht="15" customHeight="1">
      <c r="A707" t="inlineStr">
        <is>
          <t>A 260-2024</t>
        </is>
      </c>
      <c r="B707" s="1" t="n">
        <v>45294</v>
      </c>
      <c r="C707" s="1" t="n">
        <v>45915</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8263-2025</t>
        </is>
      </c>
      <c r="B708" s="1" t="n">
        <v>45708.50398148148</v>
      </c>
      <c r="C708" s="1" t="n">
        <v>45915</v>
      </c>
      <c r="D708" t="inlineStr">
        <is>
          <t>SKÅNE LÄN</t>
        </is>
      </c>
      <c r="E708" t="inlineStr">
        <is>
          <t>HÄSSLEHOLM</t>
        </is>
      </c>
      <c r="G708" t="n">
        <v>2.9</v>
      </c>
      <c r="H708" t="n">
        <v>0</v>
      </c>
      <c r="I708" t="n">
        <v>0</v>
      </c>
      <c r="J708" t="n">
        <v>0</v>
      </c>
      <c r="K708" t="n">
        <v>0</v>
      </c>
      <c r="L708" t="n">
        <v>0</v>
      </c>
      <c r="M708" t="n">
        <v>0</v>
      </c>
      <c r="N708" t="n">
        <v>0</v>
      </c>
      <c r="O708" t="n">
        <v>0</v>
      </c>
      <c r="P708" t="n">
        <v>0</v>
      </c>
      <c r="Q708" t="n">
        <v>0</v>
      </c>
      <c r="R708" s="2" t="inlineStr"/>
    </row>
    <row r="709" ht="15" customHeight="1">
      <c r="A709" t="inlineStr">
        <is>
          <t>A 12558-2023</t>
        </is>
      </c>
      <c r="B709" s="1" t="n">
        <v>45000.36103009259</v>
      </c>
      <c r="C709" s="1" t="n">
        <v>45915</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13673-2023</t>
        </is>
      </c>
      <c r="B710" s="1" t="n">
        <v>45006.87957175926</v>
      </c>
      <c r="C710" s="1" t="n">
        <v>45915</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30006-2023</t>
        </is>
      </c>
      <c r="B711" s="1" t="n">
        <v>45109.79962962963</v>
      </c>
      <c r="C711" s="1" t="n">
        <v>45915</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48844-2023</t>
        </is>
      </c>
      <c r="B712" s="1" t="n">
        <v>45209</v>
      </c>
      <c r="C712" s="1" t="n">
        <v>45915</v>
      </c>
      <c r="D712" t="inlineStr">
        <is>
          <t>SKÅNE LÄN</t>
        </is>
      </c>
      <c r="E712" t="inlineStr">
        <is>
          <t>HÄSSLEHOLM</t>
        </is>
      </c>
      <c r="G712" t="n">
        <v>4</v>
      </c>
      <c r="H712" t="n">
        <v>0</v>
      </c>
      <c r="I712" t="n">
        <v>0</v>
      </c>
      <c r="J712" t="n">
        <v>0</v>
      </c>
      <c r="K712" t="n">
        <v>0</v>
      </c>
      <c r="L712" t="n">
        <v>0</v>
      </c>
      <c r="M712" t="n">
        <v>0</v>
      </c>
      <c r="N712" t="n">
        <v>0</v>
      </c>
      <c r="O712" t="n">
        <v>0</v>
      </c>
      <c r="P712" t="n">
        <v>0</v>
      </c>
      <c r="Q712" t="n">
        <v>0</v>
      </c>
      <c r="R712" s="2" t="inlineStr"/>
    </row>
    <row r="713" ht="15" customHeight="1">
      <c r="A713" t="inlineStr">
        <is>
          <t>A 42364-2023</t>
        </is>
      </c>
      <c r="B713" s="1" t="n">
        <v>45180.54754629629</v>
      </c>
      <c r="C713" s="1" t="n">
        <v>45915</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61578-2023</t>
        </is>
      </c>
      <c r="B714" s="1" t="n">
        <v>45265.47399305556</v>
      </c>
      <c r="C714" s="1" t="n">
        <v>45915</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2813-2021</t>
        </is>
      </c>
      <c r="B715" s="1" t="n">
        <v>44215</v>
      </c>
      <c r="C715" s="1" t="n">
        <v>45915</v>
      </c>
      <c r="D715" t="inlineStr">
        <is>
          <t>SKÅNE LÄN</t>
        </is>
      </c>
      <c r="E715" t="inlineStr">
        <is>
          <t>HÄSSLEHOLM</t>
        </is>
      </c>
      <c r="G715" t="n">
        <v>7.1</v>
      </c>
      <c r="H715" t="n">
        <v>0</v>
      </c>
      <c r="I715" t="n">
        <v>0</v>
      </c>
      <c r="J715" t="n">
        <v>0</v>
      </c>
      <c r="K715" t="n">
        <v>0</v>
      </c>
      <c r="L715" t="n">
        <v>0</v>
      </c>
      <c r="M715" t="n">
        <v>0</v>
      </c>
      <c r="N715" t="n">
        <v>0</v>
      </c>
      <c r="O715" t="n">
        <v>0</v>
      </c>
      <c r="P715" t="n">
        <v>0</v>
      </c>
      <c r="Q715" t="n">
        <v>0</v>
      </c>
      <c r="R715" s="2" t="inlineStr"/>
    </row>
    <row r="716" ht="15" customHeight="1">
      <c r="A716" t="inlineStr">
        <is>
          <t>A 37271-2025</t>
        </is>
      </c>
      <c r="B716" s="1" t="n">
        <v>45876.47828703704</v>
      </c>
      <c r="C716" s="1" t="n">
        <v>45915</v>
      </c>
      <c r="D716" t="inlineStr">
        <is>
          <t>SKÅNE LÄN</t>
        </is>
      </c>
      <c r="E716" t="inlineStr">
        <is>
          <t>HÄSSLEHOLM</t>
        </is>
      </c>
      <c r="G716" t="n">
        <v>4.1</v>
      </c>
      <c r="H716" t="n">
        <v>0</v>
      </c>
      <c r="I716" t="n">
        <v>0</v>
      </c>
      <c r="J716" t="n">
        <v>0</v>
      </c>
      <c r="K716" t="n">
        <v>0</v>
      </c>
      <c r="L716" t="n">
        <v>0</v>
      </c>
      <c r="M716" t="n">
        <v>0</v>
      </c>
      <c r="N716" t="n">
        <v>0</v>
      </c>
      <c r="O716" t="n">
        <v>0</v>
      </c>
      <c r="P716" t="n">
        <v>0</v>
      </c>
      <c r="Q716" t="n">
        <v>0</v>
      </c>
      <c r="R716" s="2" t="inlineStr"/>
    </row>
    <row r="717" ht="15" customHeight="1">
      <c r="A717" t="inlineStr">
        <is>
          <t>A 2597-2024</t>
        </is>
      </c>
      <c r="B717" s="1" t="n">
        <v>45313</v>
      </c>
      <c r="C717" s="1" t="n">
        <v>45915</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21329-2023</t>
        </is>
      </c>
      <c r="B718" s="1" t="n">
        <v>45062</v>
      </c>
      <c r="C718" s="1" t="n">
        <v>45915</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62277-2023</t>
        </is>
      </c>
      <c r="B719" s="1" t="n">
        <v>45266</v>
      </c>
      <c r="C719" s="1" t="n">
        <v>45915</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3888-2024</t>
        </is>
      </c>
      <c r="B720" s="1" t="n">
        <v>45322.45089120371</v>
      </c>
      <c r="C720" s="1" t="n">
        <v>45915</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3889-2024</t>
        </is>
      </c>
      <c r="B721" s="1" t="n">
        <v>45322.45234953704</v>
      </c>
      <c r="C721" s="1" t="n">
        <v>45915</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36938-2025</t>
        </is>
      </c>
      <c r="B722" s="1" t="n">
        <v>45874.58476851852</v>
      </c>
      <c r="C722" s="1" t="n">
        <v>45915</v>
      </c>
      <c r="D722" t="inlineStr">
        <is>
          <t>SKÅNE LÄN</t>
        </is>
      </c>
      <c r="E722" t="inlineStr">
        <is>
          <t>HÄSSLEHOLM</t>
        </is>
      </c>
      <c r="G722" t="n">
        <v>3.7</v>
      </c>
      <c r="H722" t="n">
        <v>0</v>
      </c>
      <c r="I722" t="n">
        <v>0</v>
      </c>
      <c r="J722" t="n">
        <v>0</v>
      </c>
      <c r="K722" t="n">
        <v>0</v>
      </c>
      <c r="L722" t="n">
        <v>0</v>
      </c>
      <c r="M722" t="n">
        <v>0</v>
      </c>
      <c r="N722" t="n">
        <v>0</v>
      </c>
      <c r="O722" t="n">
        <v>0</v>
      </c>
      <c r="P722" t="n">
        <v>0</v>
      </c>
      <c r="Q722" t="n">
        <v>0</v>
      </c>
      <c r="R722" s="2" t="inlineStr"/>
    </row>
    <row r="723" ht="15" customHeight="1">
      <c r="A723" t="inlineStr">
        <is>
          <t>A 8249-2023</t>
        </is>
      </c>
      <c r="B723" s="1" t="n">
        <v>44974</v>
      </c>
      <c r="C723" s="1" t="n">
        <v>45915</v>
      </c>
      <c r="D723" t="inlineStr">
        <is>
          <t>SKÅNE LÄN</t>
        </is>
      </c>
      <c r="E723" t="inlineStr">
        <is>
          <t>HÄSSLEHOLM</t>
        </is>
      </c>
      <c r="G723" t="n">
        <v>5.8</v>
      </c>
      <c r="H723" t="n">
        <v>0</v>
      </c>
      <c r="I723" t="n">
        <v>0</v>
      </c>
      <c r="J723" t="n">
        <v>0</v>
      </c>
      <c r="K723" t="n">
        <v>0</v>
      </c>
      <c r="L723" t="n">
        <v>0</v>
      </c>
      <c r="M723" t="n">
        <v>0</v>
      </c>
      <c r="N723" t="n">
        <v>0</v>
      </c>
      <c r="O723" t="n">
        <v>0</v>
      </c>
      <c r="P723" t="n">
        <v>0</v>
      </c>
      <c r="Q723" t="n">
        <v>0</v>
      </c>
      <c r="R723" s="2" t="inlineStr"/>
    </row>
    <row r="724" ht="15" customHeight="1">
      <c r="A724" t="inlineStr">
        <is>
          <t>A 45222-2023</t>
        </is>
      </c>
      <c r="B724" s="1" t="n">
        <v>45191</v>
      </c>
      <c r="C724" s="1" t="n">
        <v>45915</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13310-2025</t>
        </is>
      </c>
      <c r="B725" s="1" t="n">
        <v>45735.58814814815</v>
      </c>
      <c r="C725" s="1" t="n">
        <v>45915</v>
      </c>
      <c r="D725" t="inlineStr">
        <is>
          <t>SKÅNE LÄN</t>
        </is>
      </c>
      <c r="E725" t="inlineStr">
        <is>
          <t>HÄSSLEHOLM</t>
        </is>
      </c>
      <c r="G725" t="n">
        <v>2</v>
      </c>
      <c r="H725" t="n">
        <v>0</v>
      </c>
      <c r="I725" t="n">
        <v>0</v>
      </c>
      <c r="J725" t="n">
        <v>0</v>
      </c>
      <c r="K725" t="n">
        <v>0</v>
      </c>
      <c r="L725" t="n">
        <v>0</v>
      </c>
      <c r="M725" t="n">
        <v>0</v>
      </c>
      <c r="N725" t="n">
        <v>0</v>
      </c>
      <c r="O725" t="n">
        <v>0</v>
      </c>
      <c r="P725" t="n">
        <v>0</v>
      </c>
      <c r="Q725" t="n">
        <v>0</v>
      </c>
      <c r="R725" s="2" t="inlineStr"/>
    </row>
    <row r="726" ht="15" customHeight="1">
      <c r="A726" t="inlineStr">
        <is>
          <t>A 3480-2024</t>
        </is>
      </c>
      <c r="B726" s="1" t="n">
        <v>45320.43998842593</v>
      </c>
      <c r="C726" s="1" t="n">
        <v>45915</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25538-2024</t>
        </is>
      </c>
      <c r="B727" s="1" t="n">
        <v>45463</v>
      </c>
      <c r="C727" s="1" t="n">
        <v>45915</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15055-2023</t>
        </is>
      </c>
      <c r="B728" s="1" t="n">
        <v>45015</v>
      </c>
      <c r="C728" s="1" t="n">
        <v>45915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25324-2024</t>
        </is>
      </c>
      <c r="B729" s="1" t="n">
        <v>45462.804375</v>
      </c>
      <c r="C729" s="1" t="n">
        <v>45915</v>
      </c>
      <c r="D729" t="inlineStr">
        <is>
          <t>SKÅNE LÄN</t>
        </is>
      </c>
      <c r="E729" t="inlineStr">
        <is>
          <t>HÄSSLEHOLM</t>
        </is>
      </c>
      <c r="G729" t="n">
        <v>0.2</v>
      </c>
      <c r="H729" t="n">
        <v>0</v>
      </c>
      <c r="I729" t="n">
        <v>0</v>
      </c>
      <c r="J729" t="n">
        <v>0</v>
      </c>
      <c r="K729" t="n">
        <v>0</v>
      </c>
      <c r="L729" t="n">
        <v>0</v>
      </c>
      <c r="M729" t="n">
        <v>0</v>
      </c>
      <c r="N729" t="n">
        <v>0</v>
      </c>
      <c r="O729" t="n">
        <v>0</v>
      </c>
      <c r="P729" t="n">
        <v>0</v>
      </c>
      <c r="Q729" t="n">
        <v>0</v>
      </c>
      <c r="R729" s="2" t="inlineStr"/>
    </row>
    <row r="730" ht="15" customHeight="1">
      <c r="A730" t="inlineStr">
        <is>
          <t>A 6327-2021</t>
        </is>
      </c>
      <c r="B730" s="1" t="n">
        <v>44235</v>
      </c>
      <c r="C730" s="1" t="n">
        <v>45915</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5478-2021</t>
        </is>
      </c>
      <c r="B731" s="1" t="n">
        <v>44230</v>
      </c>
      <c r="C731" s="1" t="n">
        <v>45915</v>
      </c>
      <c r="D731" t="inlineStr">
        <is>
          <t>SKÅNE LÄN</t>
        </is>
      </c>
      <c r="E731" t="inlineStr">
        <is>
          <t>HÄSSLEHOLM</t>
        </is>
      </c>
      <c r="G731" t="n">
        <v>0.1</v>
      </c>
      <c r="H731" t="n">
        <v>0</v>
      </c>
      <c r="I731" t="n">
        <v>0</v>
      </c>
      <c r="J731" t="n">
        <v>0</v>
      </c>
      <c r="K731" t="n">
        <v>0</v>
      </c>
      <c r="L731" t="n">
        <v>0</v>
      </c>
      <c r="M731" t="n">
        <v>0</v>
      </c>
      <c r="N731" t="n">
        <v>0</v>
      </c>
      <c r="O731" t="n">
        <v>0</v>
      </c>
      <c r="P731" t="n">
        <v>0</v>
      </c>
      <c r="Q731" t="n">
        <v>0</v>
      </c>
      <c r="R731" s="2" t="inlineStr"/>
    </row>
    <row r="732" ht="15" customHeight="1">
      <c r="A732" t="inlineStr">
        <is>
          <t>A 2290-2024</t>
        </is>
      </c>
      <c r="B732" s="1" t="n">
        <v>45310</v>
      </c>
      <c r="C732" s="1" t="n">
        <v>45915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13316-2023</t>
        </is>
      </c>
      <c r="B733" s="1" t="n">
        <v>45005.39013888889</v>
      </c>
      <c r="C733" s="1" t="n">
        <v>45915</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55218-2023</t>
        </is>
      </c>
      <c r="B734" s="1" t="n">
        <v>45237</v>
      </c>
      <c r="C734" s="1" t="n">
        <v>45915</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65235-2021</t>
        </is>
      </c>
      <c r="B735" s="1" t="n">
        <v>44515</v>
      </c>
      <c r="C735" s="1" t="n">
        <v>45915</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13358-2023</t>
        </is>
      </c>
      <c r="B736" s="1" t="n">
        <v>45005</v>
      </c>
      <c r="C736" s="1" t="n">
        <v>45915</v>
      </c>
      <c r="D736" t="inlineStr">
        <is>
          <t>SKÅNE LÄN</t>
        </is>
      </c>
      <c r="E736" t="inlineStr">
        <is>
          <t>HÄSSLEHOLM</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5316-2023</t>
        </is>
      </c>
      <c r="B737" s="1" t="n">
        <v>44959</v>
      </c>
      <c r="C737" s="1" t="n">
        <v>45915</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32794-2023</t>
        </is>
      </c>
      <c r="B738" s="1" t="n">
        <v>45124.40446759259</v>
      </c>
      <c r="C738" s="1" t="n">
        <v>45915</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32585-2025</t>
        </is>
      </c>
      <c r="B739" s="1" t="n">
        <v>45838.60021990741</v>
      </c>
      <c r="C739" s="1" t="n">
        <v>45915</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1119-2024</t>
        </is>
      </c>
      <c r="B740" s="1" t="n">
        <v>45302</v>
      </c>
      <c r="C740" s="1" t="n">
        <v>45915</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9393-2025</t>
        </is>
      </c>
      <c r="B741" s="1" t="n">
        <v>45715.36230324074</v>
      </c>
      <c r="C741" s="1" t="n">
        <v>45915</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28211-2022</t>
        </is>
      </c>
      <c r="B742" s="1" t="n">
        <v>44746</v>
      </c>
      <c r="C742" s="1" t="n">
        <v>45915</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12162-2023</t>
        </is>
      </c>
      <c r="B743" s="1" t="n">
        <v>44998.49619212963</v>
      </c>
      <c r="C743" s="1" t="n">
        <v>45915</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45915</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11422-2025</t>
        </is>
      </c>
      <c r="B745" s="1" t="n">
        <v>45726</v>
      </c>
      <c r="C745" s="1" t="n">
        <v>45915</v>
      </c>
      <c r="D745" t="inlineStr">
        <is>
          <t>SKÅNE LÄN</t>
        </is>
      </c>
      <c r="E745" t="inlineStr">
        <is>
          <t>HÄSSLEHOLM</t>
        </is>
      </c>
      <c r="G745" t="n">
        <v>14.9</v>
      </c>
      <c r="H745" t="n">
        <v>0</v>
      </c>
      <c r="I745" t="n">
        <v>0</v>
      </c>
      <c r="J745" t="n">
        <v>0</v>
      </c>
      <c r="K745" t="n">
        <v>0</v>
      </c>
      <c r="L745" t="n">
        <v>0</v>
      </c>
      <c r="M745" t="n">
        <v>0</v>
      </c>
      <c r="N745" t="n">
        <v>0</v>
      </c>
      <c r="O745" t="n">
        <v>0</v>
      </c>
      <c r="P745" t="n">
        <v>0</v>
      </c>
      <c r="Q745" t="n">
        <v>0</v>
      </c>
      <c r="R745" s="2" t="inlineStr"/>
    </row>
    <row r="746" ht="15" customHeight="1">
      <c r="A746" t="inlineStr">
        <is>
          <t>A 57277-2023</t>
        </is>
      </c>
      <c r="B746" s="1" t="n">
        <v>45245.59104166667</v>
      </c>
      <c r="C746" s="1" t="n">
        <v>45915</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14702-2025</t>
        </is>
      </c>
      <c r="B747" s="1" t="n">
        <v>45742.60403935185</v>
      </c>
      <c r="C747" s="1" t="n">
        <v>45915</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9669-2025</t>
        </is>
      </c>
      <c r="B748" s="1" t="n">
        <v>45716.32921296296</v>
      </c>
      <c r="C748" s="1" t="n">
        <v>45915</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9611-2025</t>
        </is>
      </c>
      <c r="B749" s="1" t="n">
        <v>45715</v>
      </c>
      <c r="C749" s="1" t="n">
        <v>45915</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59109-2023</t>
        </is>
      </c>
      <c r="B750" s="1" t="n">
        <v>45253.30819444444</v>
      </c>
      <c r="C750" s="1" t="n">
        <v>45915</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5284-2023</t>
        </is>
      </c>
      <c r="B751" s="1" t="n">
        <v>44959.50608796296</v>
      </c>
      <c r="C751" s="1" t="n">
        <v>45915</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5285-2023</t>
        </is>
      </c>
      <c r="B752" s="1" t="n">
        <v>44959.50783564815</v>
      </c>
      <c r="C752" s="1" t="n">
        <v>45915</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58888-2024</t>
        </is>
      </c>
      <c r="B753" s="1" t="n">
        <v>45636.45962962963</v>
      </c>
      <c r="C753" s="1" t="n">
        <v>45915</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21028-2021</t>
        </is>
      </c>
      <c r="B754" s="1" t="n">
        <v>44319</v>
      </c>
      <c r="C754" s="1" t="n">
        <v>45915</v>
      </c>
      <c r="D754" t="inlineStr">
        <is>
          <t>SKÅNE LÄN</t>
        </is>
      </c>
      <c r="E754" t="inlineStr">
        <is>
          <t>HÄSSLEHOLM</t>
        </is>
      </c>
      <c r="G754" t="n">
        <v>3.1</v>
      </c>
      <c r="H754" t="n">
        <v>0</v>
      </c>
      <c r="I754" t="n">
        <v>0</v>
      </c>
      <c r="J754" t="n">
        <v>0</v>
      </c>
      <c r="K754" t="n">
        <v>0</v>
      </c>
      <c r="L754" t="n">
        <v>0</v>
      </c>
      <c r="M754" t="n">
        <v>0</v>
      </c>
      <c r="N754" t="n">
        <v>0</v>
      </c>
      <c r="O754" t="n">
        <v>0</v>
      </c>
      <c r="P754" t="n">
        <v>0</v>
      </c>
      <c r="Q754" t="n">
        <v>0</v>
      </c>
      <c r="R754" s="2" t="inlineStr"/>
    </row>
    <row r="755" ht="15" customHeight="1">
      <c r="A755" t="inlineStr">
        <is>
          <t>A 57272-2023</t>
        </is>
      </c>
      <c r="B755" s="1" t="n">
        <v>45245</v>
      </c>
      <c r="C755" s="1" t="n">
        <v>45915</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2479-2024</t>
        </is>
      </c>
      <c r="B756" s="1" t="n">
        <v>45313.40148148148</v>
      </c>
      <c r="C756" s="1" t="n">
        <v>45915</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45915</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6165-2023</t>
        </is>
      </c>
      <c r="B758" s="1" t="n">
        <v>44964.67114583333</v>
      </c>
      <c r="C758" s="1" t="n">
        <v>45915</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31160-2024</t>
        </is>
      </c>
      <c r="B759" s="1" t="n">
        <v>45503</v>
      </c>
      <c r="C759" s="1" t="n">
        <v>45915</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16017-2023</t>
        </is>
      </c>
      <c r="B760" s="1" t="n">
        <v>45026</v>
      </c>
      <c r="C760" s="1" t="n">
        <v>45915</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31989-2024</t>
        </is>
      </c>
      <c r="B761" s="1" t="n">
        <v>45510.58085648148</v>
      </c>
      <c r="C761" s="1" t="n">
        <v>45915</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35640-2023</t>
        </is>
      </c>
      <c r="B762" s="1" t="n">
        <v>45147</v>
      </c>
      <c r="C762" s="1" t="n">
        <v>45915</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48771-2024</t>
        </is>
      </c>
      <c r="B763" s="1" t="n">
        <v>45593.61284722222</v>
      </c>
      <c r="C763" s="1" t="n">
        <v>45915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24241-2023</t>
        </is>
      </c>
      <c r="B764" s="1" t="n">
        <v>45079.61476851852</v>
      </c>
      <c r="C764" s="1" t="n">
        <v>45915</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23987-2024</t>
        </is>
      </c>
      <c r="B765" s="1" t="n">
        <v>45456</v>
      </c>
      <c r="C765" s="1" t="n">
        <v>45915</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19739-2023</t>
        </is>
      </c>
      <c r="B766" s="1" t="n">
        <v>45051</v>
      </c>
      <c r="C766" s="1" t="n">
        <v>45915</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1886-2025</t>
        </is>
      </c>
      <c r="B767" s="1" t="n">
        <v>45671</v>
      </c>
      <c r="C767" s="1" t="n">
        <v>45915</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59246-2024</t>
        </is>
      </c>
      <c r="B768" s="1" t="n">
        <v>45636</v>
      </c>
      <c r="C768" s="1" t="n">
        <v>45915</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50664-2023</t>
        </is>
      </c>
      <c r="B769" s="1" t="n">
        <v>45217</v>
      </c>
      <c r="C769" s="1" t="n">
        <v>45915</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56490-2021</t>
        </is>
      </c>
      <c r="B770" s="1" t="n">
        <v>44480</v>
      </c>
      <c r="C770" s="1" t="n">
        <v>45915</v>
      </c>
      <c r="D770" t="inlineStr">
        <is>
          <t>SKÅNE LÄN</t>
        </is>
      </c>
      <c r="E770" t="inlineStr">
        <is>
          <t>HÄSSLEHOLM</t>
        </is>
      </c>
      <c r="F770" t="inlineStr">
        <is>
          <t>Kyrkan</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417-2022</t>
        </is>
      </c>
      <c r="B771" s="1" t="n">
        <v>44565.84615740741</v>
      </c>
      <c r="C771" s="1" t="n">
        <v>45915</v>
      </c>
      <c r="D771" t="inlineStr">
        <is>
          <t>SKÅNE LÄN</t>
        </is>
      </c>
      <c r="E771" t="inlineStr">
        <is>
          <t>HÄSSLEHOLM</t>
        </is>
      </c>
      <c r="G771" t="n">
        <v>0</v>
      </c>
      <c r="H771" t="n">
        <v>0</v>
      </c>
      <c r="I771" t="n">
        <v>0</v>
      </c>
      <c r="J771" t="n">
        <v>0</v>
      </c>
      <c r="K771" t="n">
        <v>0</v>
      </c>
      <c r="L771" t="n">
        <v>0</v>
      </c>
      <c r="M771" t="n">
        <v>0</v>
      </c>
      <c r="N771" t="n">
        <v>0</v>
      </c>
      <c r="O771" t="n">
        <v>0</v>
      </c>
      <c r="P771" t="n">
        <v>0</v>
      </c>
      <c r="Q771" t="n">
        <v>0</v>
      </c>
      <c r="R771" s="2" t="inlineStr"/>
    </row>
    <row r="772" ht="15" customHeight="1">
      <c r="A772" t="inlineStr">
        <is>
          <t>A 61934-2023</t>
        </is>
      </c>
      <c r="B772" s="1" t="n">
        <v>45266.54125</v>
      </c>
      <c r="C772" s="1" t="n">
        <v>45915</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41459-2022</t>
        </is>
      </c>
      <c r="B773" s="1" t="n">
        <v>44826.93372685185</v>
      </c>
      <c r="C773" s="1" t="n">
        <v>45915</v>
      </c>
      <c r="D773" t="inlineStr">
        <is>
          <t>SKÅNE LÄN</t>
        </is>
      </c>
      <c r="E773" t="inlineStr">
        <is>
          <t>HÄSSLEHOLM</t>
        </is>
      </c>
      <c r="G773" t="n">
        <v>2.3</v>
      </c>
      <c r="H773" t="n">
        <v>0</v>
      </c>
      <c r="I773" t="n">
        <v>0</v>
      </c>
      <c r="J773" t="n">
        <v>0</v>
      </c>
      <c r="K773" t="n">
        <v>0</v>
      </c>
      <c r="L773" t="n">
        <v>0</v>
      </c>
      <c r="M773" t="n">
        <v>0</v>
      </c>
      <c r="N773" t="n">
        <v>0</v>
      </c>
      <c r="O773" t="n">
        <v>0</v>
      </c>
      <c r="P773" t="n">
        <v>0</v>
      </c>
      <c r="Q773" t="n">
        <v>0</v>
      </c>
      <c r="R773" s="2" t="inlineStr"/>
    </row>
    <row r="774" ht="15" customHeight="1">
      <c r="A774" t="inlineStr">
        <is>
          <t>A 23666-2023</t>
        </is>
      </c>
      <c r="B774" s="1" t="n">
        <v>45077</v>
      </c>
      <c r="C774" s="1" t="n">
        <v>45915</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35237-2023</t>
        </is>
      </c>
      <c r="B775" s="1" t="n">
        <v>45145.74532407407</v>
      </c>
      <c r="C775" s="1" t="n">
        <v>45915</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19151-2023</t>
        </is>
      </c>
      <c r="B776" s="1" t="n">
        <v>45044</v>
      </c>
      <c r="C776" s="1" t="n">
        <v>45915</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54658-2023</t>
        </is>
      </c>
      <c r="B777" s="1" t="n">
        <v>45235</v>
      </c>
      <c r="C777" s="1" t="n">
        <v>45915</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5476-2021</t>
        </is>
      </c>
      <c r="B778" s="1" t="n">
        <v>44230</v>
      </c>
      <c r="C778" s="1" t="n">
        <v>45915</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42370-2023</t>
        </is>
      </c>
      <c r="B779" s="1" t="n">
        <v>45180</v>
      </c>
      <c r="C779" s="1" t="n">
        <v>45915</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260-2024</t>
        </is>
      </c>
      <c r="B780" s="1" t="n">
        <v>45294</v>
      </c>
      <c r="C780" s="1" t="n">
        <v>45915</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57275-2023</t>
        </is>
      </c>
      <c r="B781" s="1" t="n">
        <v>45245.58886574074</v>
      </c>
      <c r="C781" s="1" t="n">
        <v>45915</v>
      </c>
      <c r="D781" t="inlineStr">
        <is>
          <t>SKÅNE LÄN</t>
        </is>
      </c>
      <c r="E781" t="inlineStr">
        <is>
          <t>HÄSSLEHOLM</t>
        </is>
      </c>
      <c r="G781" t="n">
        <v>1.7</v>
      </c>
      <c r="H781" t="n">
        <v>0</v>
      </c>
      <c r="I781" t="n">
        <v>0</v>
      </c>
      <c r="J781" t="n">
        <v>0</v>
      </c>
      <c r="K781" t="n">
        <v>0</v>
      </c>
      <c r="L781" t="n">
        <v>0</v>
      </c>
      <c r="M781" t="n">
        <v>0</v>
      </c>
      <c r="N781" t="n">
        <v>0</v>
      </c>
      <c r="O781" t="n">
        <v>0</v>
      </c>
      <c r="P781" t="n">
        <v>0</v>
      </c>
      <c r="Q781" t="n">
        <v>0</v>
      </c>
      <c r="R781" s="2" t="inlineStr"/>
    </row>
    <row r="782" ht="15" customHeight="1">
      <c r="A782" t="inlineStr">
        <is>
          <t>A 16951-2025</t>
        </is>
      </c>
      <c r="B782" s="1" t="n">
        <v>45755</v>
      </c>
      <c r="C782" s="1" t="n">
        <v>45915</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27304-2023</t>
        </is>
      </c>
      <c r="B783" s="1" t="n">
        <v>45096.65199074074</v>
      </c>
      <c r="C783" s="1" t="n">
        <v>45915</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48191-2021</t>
        </is>
      </c>
      <c r="B784" s="1" t="n">
        <v>44449</v>
      </c>
      <c r="C784" s="1" t="n">
        <v>45915</v>
      </c>
      <c r="D784" t="inlineStr">
        <is>
          <t>SKÅNE LÄN</t>
        </is>
      </c>
      <c r="E784" t="inlineStr">
        <is>
          <t>HÄSSLEHOLM</t>
        </is>
      </c>
      <c r="G784" t="n">
        <v>6</v>
      </c>
      <c r="H784" t="n">
        <v>0</v>
      </c>
      <c r="I784" t="n">
        <v>0</v>
      </c>
      <c r="J784" t="n">
        <v>0</v>
      </c>
      <c r="K784" t="n">
        <v>0</v>
      </c>
      <c r="L784" t="n">
        <v>0</v>
      </c>
      <c r="M784" t="n">
        <v>0</v>
      </c>
      <c r="N784" t="n">
        <v>0</v>
      </c>
      <c r="O784" t="n">
        <v>0</v>
      </c>
      <c r="P784" t="n">
        <v>0</v>
      </c>
      <c r="Q784" t="n">
        <v>0</v>
      </c>
      <c r="R784" s="2" t="inlineStr"/>
    </row>
    <row r="785" ht="15" customHeight="1">
      <c r="A785" t="inlineStr">
        <is>
          <t>A 6845-2023</t>
        </is>
      </c>
      <c r="B785" s="1" t="n">
        <v>44967</v>
      </c>
      <c r="C785" s="1" t="n">
        <v>45915</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18063-2023</t>
        </is>
      </c>
      <c r="B786" s="1" t="n">
        <v>45040.62850694444</v>
      </c>
      <c r="C786" s="1" t="n">
        <v>45915</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32834-2024</t>
        </is>
      </c>
      <c r="B787" s="1" t="n">
        <v>45516.6025</v>
      </c>
      <c r="C787" s="1" t="n">
        <v>45915</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29649-2025</t>
        </is>
      </c>
      <c r="B788" s="1" t="n">
        <v>45825.47446759259</v>
      </c>
      <c r="C788" s="1" t="n">
        <v>45915</v>
      </c>
      <c r="D788" t="inlineStr">
        <is>
          <t>SKÅNE LÄN</t>
        </is>
      </c>
      <c r="E788" t="inlineStr">
        <is>
          <t>HÄSSLEHOLM</t>
        </is>
      </c>
      <c r="G788" t="n">
        <v>2.6</v>
      </c>
      <c r="H788" t="n">
        <v>0</v>
      </c>
      <c r="I788" t="n">
        <v>0</v>
      </c>
      <c r="J788" t="n">
        <v>0</v>
      </c>
      <c r="K788" t="n">
        <v>0</v>
      </c>
      <c r="L788" t="n">
        <v>0</v>
      </c>
      <c r="M788" t="n">
        <v>0</v>
      </c>
      <c r="N788" t="n">
        <v>0</v>
      </c>
      <c r="O788" t="n">
        <v>0</v>
      </c>
      <c r="P788" t="n">
        <v>0</v>
      </c>
      <c r="Q788" t="n">
        <v>0</v>
      </c>
      <c r="R788" s="2" t="inlineStr"/>
    </row>
    <row r="789" ht="15" customHeight="1">
      <c r="A789" t="inlineStr">
        <is>
          <t>A 49199-2024</t>
        </is>
      </c>
      <c r="B789" s="1" t="n">
        <v>45595</v>
      </c>
      <c r="C789" s="1" t="n">
        <v>45915</v>
      </c>
      <c r="D789" t="inlineStr">
        <is>
          <t>SKÅNE LÄN</t>
        </is>
      </c>
      <c r="E789" t="inlineStr">
        <is>
          <t>HÄSSLEHOLM</t>
        </is>
      </c>
      <c r="G789" t="n">
        <v>5.2</v>
      </c>
      <c r="H789" t="n">
        <v>0</v>
      </c>
      <c r="I789" t="n">
        <v>0</v>
      </c>
      <c r="J789" t="n">
        <v>0</v>
      </c>
      <c r="K789" t="n">
        <v>0</v>
      </c>
      <c r="L789" t="n">
        <v>0</v>
      </c>
      <c r="M789" t="n">
        <v>0</v>
      </c>
      <c r="N789" t="n">
        <v>0</v>
      </c>
      <c r="O789" t="n">
        <v>0</v>
      </c>
      <c r="P789" t="n">
        <v>0</v>
      </c>
      <c r="Q789" t="n">
        <v>0</v>
      </c>
      <c r="R789" s="2" t="inlineStr"/>
    </row>
    <row r="790" ht="15" customHeight="1">
      <c r="A790" t="inlineStr">
        <is>
          <t>A 58886-2024</t>
        </is>
      </c>
      <c r="B790" s="1" t="n">
        <v>45636.45380787037</v>
      </c>
      <c r="C790" s="1" t="n">
        <v>45915</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13345-2025</t>
        </is>
      </c>
      <c r="B791" s="1" t="n">
        <v>45735.63017361111</v>
      </c>
      <c r="C791" s="1" t="n">
        <v>45915</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12469-2023</t>
        </is>
      </c>
      <c r="B792" s="1" t="n">
        <v>44999.62109953703</v>
      </c>
      <c r="C792" s="1" t="n">
        <v>45915</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48663-2024</t>
        </is>
      </c>
      <c r="B793" s="1" t="n">
        <v>45593.48892361111</v>
      </c>
      <c r="C793" s="1" t="n">
        <v>45915</v>
      </c>
      <c r="D793" t="inlineStr">
        <is>
          <t>SKÅNE LÄN</t>
        </is>
      </c>
      <c r="E793" t="inlineStr">
        <is>
          <t>HÄSSLEHOLM</t>
        </is>
      </c>
      <c r="G793" t="n">
        <v>1.8</v>
      </c>
      <c r="H793" t="n">
        <v>0</v>
      </c>
      <c r="I793" t="n">
        <v>0</v>
      </c>
      <c r="J793" t="n">
        <v>0</v>
      </c>
      <c r="K793" t="n">
        <v>0</v>
      </c>
      <c r="L793" t="n">
        <v>0</v>
      </c>
      <c r="M793" t="n">
        <v>0</v>
      </c>
      <c r="N793" t="n">
        <v>0</v>
      </c>
      <c r="O793" t="n">
        <v>0</v>
      </c>
      <c r="P793" t="n">
        <v>0</v>
      </c>
      <c r="Q793" t="n">
        <v>0</v>
      </c>
      <c r="R793" s="2" t="inlineStr"/>
    </row>
    <row r="794" ht="15" customHeight="1">
      <c r="A794" t="inlineStr">
        <is>
          <t>A 50659-2023</t>
        </is>
      </c>
      <c r="B794" s="1" t="n">
        <v>45217</v>
      </c>
      <c r="C794" s="1" t="n">
        <v>45915</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27464-2022</t>
        </is>
      </c>
      <c r="B795" s="1" t="n">
        <v>44742.58704861111</v>
      </c>
      <c r="C795" s="1" t="n">
        <v>45915</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50525-2024</t>
        </is>
      </c>
      <c r="B796" s="1" t="n">
        <v>45601</v>
      </c>
      <c r="C796" s="1" t="n">
        <v>45915</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14674-2025</t>
        </is>
      </c>
      <c r="B797" s="1" t="n">
        <v>45742.55548611111</v>
      </c>
      <c r="C797" s="1" t="n">
        <v>45915</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27242-2022</t>
        </is>
      </c>
      <c r="B798" s="1" t="n">
        <v>44741</v>
      </c>
      <c r="C798" s="1" t="n">
        <v>45915</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27197-2021</t>
        </is>
      </c>
      <c r="B799" s="1" t="n">
        <v>44350</v>
      </c>
      <c r="C799" s="1" t="n">
        <v>45915</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54777-2022</t>
        </is>
      </c>
      <c r="B800" s="1" t="n">
        <v>44883</v>
      </c>
      <c r="C800" s="1" t="n">
        <v>45915</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33465-2024</t>
        </is>
      </c>
      <c r="B801" s="1" t="n">
        <v>45519.59619212963</v>
      </c>
      <c r="C801" s="1" t="n">
        <v>45915</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23683-2023</t>
        </is>
      </c>
      <c r="B802" s="1" t="n">
        <v>45077</v>
      </c>
      <c r="C802" s="1" t="n">
        <v>45915</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31986-2023</t>
        </is>
      </c>
      <c r="B803" s="1" t="n">
        <v>45119</v>
      </c>
      <c r="C803" s="1" t="n">
        <v>45915</v>
      </c>
      <c r="D803" t="inlineStr">
        <is>
          <t>SKÅNE LÄN</t>
        </is>
      </c>
      <c r="E803" t="inlineStr">
        <is>
          <t>HÄSSLEHOLM</t>
        </is>
      </c>
      <c r="G803" t="n">
        <v>1.7</v>
      </c>
      <c r="H803" t="n">
        <v>0</v>
      </c>
      <c r="I803" t="n">
        <v>0</v>
      </c>
      <c r="J803" t="n">
        <v>0</v>
      </c>
      <c r="K803" t="n">
        <v>0</v>
      </c>
      <c r="L803" t="n">
        <v>0</v>
      </c>
      <c r="M803" t="n">
        <v>0</v>
      </c>
      <c r="N803" t="n">
        <v>0</v>
      </c>
      <c r="O803" t="n">
        <v>0</v>
      </c>
      <c r="P803" t="n">
        <v>0</v>
      </c>
      <c r="Q803" t="n">
        <v>0</v>
      </c>
      <c r="R803" s="2" t="inlineStr"/>
    </row>
    <row r="804" ht="15" customHeight="1">
      <c r="A804" t="inlineStr">
        <is>
          <t>A 23955-2023</t>
        </is>
      </c>
      <c r="B804" s="1" t="n">
        <v>45078.62217592593</v>
      </c>
      <c r="C804" s="1" t="n">
        <v>45915</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41209-2023</t>
        </is>
      </c>
      <c r="B805" s="1" t="n">
        <v>45174.43481481481</v>
      </c>
      <c r="C805" s="1" t="n">
        <v>45915</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61197-2024</t>
        </is>
      </c>
      <c r="B806" s="1" t="n">
        <v>45645.63184027778</v>
      </c>
      <c r="C806" s="1" t="n">
        <v>45915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13549-2025</t>
        </is>
      </c>
      <c r="B807" s="1" t="n">
        <v>45736</v>
      </c>
      <c r="C807" s="1" t="n">
        <v>45915</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35833-2023</t>
        </is>
      </c>
      <c r="B808" s="1" t="n">
        <v>45148</v>
      </c>
      <c r="C808" s="1" t="n">
        <v>45915</v>
      </c>
      <c r="D808" t="inlineStr">
        <is>
          <t>SKÅNE LÄN</t>
        </is>
      </c>
      <c r="E808" t="inlineStr">
        <is>
          <t>HÄSSLEHOLM</t>
        </is>
      </c>
      <c r="F808" t="inlineStr">
        <is>
          <t>Kommuner</t>
        </is>
      </c>
      <c r="G808" t="n">
        <v>2</v>
      </c>
      <c r="H808" t="n">
        <v>0</v>
      </c>
      <c r="I808" t="n">
        <v>0</v>
      </c>
      <c r="J808" t="n">
        <v>0</v>
      </c>
      <c r="K808" t="n">
        <v>0</v>
      </c>
      <c r="L808" t="n">
        <v>0</v>
      </c>
      <c r="M808" t="n">
        <v>0</v>
      </c>
      <c r="N808" t="n">
        <v>0</v>
      </c>
      <c r="O808" t="n">
        <v>0</v>
      </c>
      <c r="P808" t="n">
        <v>0</v>
      </c>
      <c r="Q808" t="n">
        <v>0</v>
      </c>
      <c r="R808" s="2" t="inlineStr"/>
    </row>
    <row r="809" ht="15" customHeight="1">
      <c r="A809" t="inlineStr">
        <is>
          <t>A 23860-2024</t>
        </is>
      </c>
      <c r="B809" s="1" t="n">
        <v>45455</v>
      </c>
      <c r="C809" s="1" t="n">
        <v>45915</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524-2024</t>
        </is>
      </c>
      <c r="B810" s="1" t="n">
        <v>45299</v>
      </c>
      <c r="C810" s="1" t="n">
        <v>45915</v>
      </c>
      <c r="D810" t="inlineStr">
        <is>
          <t>SKÅNE LÄN</t>
        </is>
      </c>
      <c r="E810" t="inlineStr">
        <is>
          <t>HÄSSLEHOLM</t>
        </is>
      </c>
      <c r="G810" t="n">
        <v>29.4</v>
      </c>
      <c r="H810" t="n">
        <v>0</v>
      </c>
      <c r="I810" t="n">
        <v>0</v>
      </c>
      <c r="J810" t="n">
        <v>0</v>
      </c>
      <c r="K810" t="n">
        <v>0</v>
      </c>
      <c r="L810" t="n">
        <v>0</v>
      </c>
      <c r="M810" t="n">
        <v>0</v>
      </c>
      <c r="N810" t="n">
        <v>0</v>
      </c>
      <c r="O810" t="n">
        <v>0</v>
      </c>
      <c r="P810" t="n">
        <v>0</v>
      </c>
      <c r="Q810" t="n">
        <v>0</v>
      </c>
      <c r="R810" s="2" t="inlineStr"/>
    </row>
    <row r="811" ht="15" customHeight="1">
      <c r="A811" t="inlineStr">
        <is>
          <t>A 57491-2024</t>
        </is>
      </c>
      <c r="B811" s="1" t="n">
        <v>45629</v>
      </c>
      <c r="C811" s="1" t="n">
        <v>45915</v>
      </c>
      <c r="D811" t="inlineStr">
        <is>
          <t>SKÅNE LÄN</t>
        </is>
      </c>
      <c r="E811" t="inlineStr">
        <is>
          <t>HÄSSLEHOLM</t>
        </is>
      </c>
      <c r="G811" t="n">
        <v>3.2</v>
      </c>
      <c r="H811" t="n">
        <v>0</v>
      </c>
      <c r="I811" t="n">
        <v>0</v>
      </c>
      <c r="J811" t="n">
        <v>0</v>
      </c>
      <c r="K811" t="n">
        <v>0</v>
      </c>
      <c r="L811" t="n">
        <v>0</v>
      </c>
      <c r="M811" t="n">
        <v>0</v>
      </c>
      <c r="N811" t="n">
        <v>0</v>
      </c>
      <c r="O811" t="n">
        <v>0</v>
      </c>
      <c r="P811" t="n">
        <v>0</v>
      </c>
      <c r="Q811" t="n">
        <v>0</v>
      </c>
      <c r="R811" s="2" t="inlineStr"/>
    </row>
    <row r="812" ht="15" customHeight="1">
      <c r="A812" t="inlineStr">
        <is>
          <t>A 58250-2024</t>
        </is>
      </c>
      <c r="B812" s="1" t="n">
        <v>45632.55643518519</v>
      </c>
      <c r="C812" s="1" t="n">
        <v>45915</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26207-2021</t>
        </is>
      </c>
      <c r="B813" s="1" t="n">
        <v>44347</v>
      </c>
      <c r="C813" s="1" t="n">
        <v>45915</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54518-2022</t>
        </is>
      </c>
      <c r="B814" s="1" t="n">
        <v>44882</v>
      </c>
      <c r="C814" s="1" t="n">
        <v>45915</v>
      </c>
      <c r="D814" t="inlineStr">
        <is>
          <t>SKÅNE LÄN</t>
        </is>
      </c>
      <c r="E814" t="inlineStr">
        <is>
          <t>HÄSSLEHOLM</t>
        </is>
      </c>
      <c r="F814" t="inlineStr">
        <is>
          <t>Övriga Aktiebolag</t>
        </is>
      </c>
      <c r="G814" t="n">
        <v>6.8</v>
      </c>
      <c r="H814" t="n">
        <v>0</v>
      </c>
      <c r="I814" t="n">
        <v>0</v>
      </c>
      <c r="J814" t="n">
        <v>0</v>
      </c>
      <c r="K814" t="n">
        <v>0</v>
      </c>
      <c r="L814" t="n">
        <v>0</v>
      </c>
      <c r="M814" t="n">
        <v>0</v>
      </c>
      <c r="N814" t="n">
        <v>0</v>
      </c>
      <c r="O814" t="n">
        <v>0</v>
      </c>
      <c r="P814" t="n">
        <v>0</v>
      </c>
      <c r="Q814" t="n">
        <v>0</v>
      </c>
      <c r="R814" s="2" t="inlineStr"/>
    </row>
    <row r="815" ht="15" customHeight="1">
      <c r="A815" t="inlineStr">
        <is>
          <t>A 33948-2025</t>
        </is>
      </c>
      <c r="B815" s="1" t="n">
        <v>45842.65945601852</v>
      </c>
      <c r="C815" s="1" t="n">
        <v>45915</v>
      </c>
      <c r="D815" t="inlineStr">
        <is>
          <t>SKÅNE LÄN</t>
        </is>
      </c>
      <c r="E815" t="inlineStr">
        <is>
          <t>HÄSSLEHOLM</t>
        </is>
      </c>
      <c r="G815" t="n">
        <v>8.5</v>
      </c>
      <c r="H815" t="n">
        <v>0</v>
      </c>
      <c r="I815" t="n">
        <v>0</v>
      </c>
      <c r="J815" t="n">
        <v>0</v>
      </c>
      <c r="K815" t="n">
        <v>0</v>
      </c>
      <c r="L815" t="n">
        <v>0</v>
      </c>
      <c r="M815" t="n">
        <v>0</v>
      </c>
      <c r="N815" t="n">
        <v>0</v>
      </c>
      <c r="O815" t="n">
        <v>0</v>
      </c>
      <c r="P815" t="n">
        <v>0</v>
      </c>
      <c r="Q815" t="n">
        <v>0</v>
      </c>
      <c r="R815" s="2" t="inlineStr"/>
    </row>
    <row r="816" ht="15" customHeight="1">
      <c r="A816" t="inlineStr">
        <is>
          <t>A 7094-2023</t>
        </is>
      </c>
      <c r="B816" s="1" t="n">
        <v>44970.36958333333</v>
      </c>
      <c r="C816" s="1" t="n">
        <v>45915</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6798-2025</t>
        </is>
      </c>
      <c r="B817" s="1" t="n">
        <v>45700.668125</v>
      </c>
      <c r="C817" s="1" t="n">
        <v>45915</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69357-2021</t>
        </is>
      </c>
      <c r="B818" s="1" t="n">
        <v>44531</v>
      </c>
      <c r="C818" s="1" t="n">
        <v>45915</v>
      </c>
      <c r="D818" t="inlineStr">
        <is>
          <t>SKÅNE LÄN</t>
        </is>
      </c>
      <c r="E818" t="inlineStr">
        <is>
          <t>HÄSSLEHOLM</t>
        </is>
      </c>
      <c r="G818" t="n">
        <v>1.6</v>
      </c>
      <c r="H818" t="n">
        <v>0</v>
      </c>
      <c r="I818" t="n">
        <v>0</v>
      </c>
      <c r="J818" t="n">
        <v>0</v>
      </c>
      <c r="K818" t="n">
        <v>0</v>
      </c>
      <c r="L818" t="n">
        <v>0</v>
      </c>
      <c r="M818" t="n">
        <v>0</v>
      </c>
      <c r="N818" t="n">
        <v>0</v>
      </c>
      <c r="O818" t="n">
        <v>0</v>
      </c>
      <c r="P818" t="n">
        <v>0</v>
      </c>
      <c r="Q818" t="n">
        <v>0</v>
      </c>
      <c r="R818" s="2" t="inlineStr"/>
    </row>
    <row r="819" ht="15" customHeight="1">
      <c r="A819" t="inlineStr">
        <is>
          <t>A 3500-2024</t>
        </is>
      </c>
      <c r="B819" s="1" t="n">
        <v>45320</v>
      </c>
      <c r="C819" s="1" t="n">
        <v>45915</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37898-2021</t>
        </is>
      </c>
      <c r="B820" s="1" t="n">
        <v>44403</v>
      </c>
      <c r="C820" s="1" t="n">
        <v>45915</v>
      </c>
      <c r="D820" t="inlineStr">
        <is>
          <t>SKÅNE LÄN</t>
        </is>
      </c>
      <c r="E820" t="inlineStr">
        <is>
          <t>HÄSSLEHOLM</t>
        </is>
      </c>
      <c r="F820" t="inlineStr">
        <is>
          <t>Kommuner</t>
        </is>
      </c>
      <c r="G820" t="n">
        <v>8.4</v>
      </c>
      <c r="H820" t="n">
        <v>0</v>
      </c>
      <c r="I820" t="n">
        <v>0</v>
      </c>
      <c r="J820" t="n">
        <v>0</v>
      </c>
      <c r="K820" t="n">
        <v>0</v>
      </c>
      <c r="L820" t="n">
        <v>0</v>
      </c>
      <c r="M820" t="n">
        <v>0</v>
      </c>
      <c r="N820" t="n">
        <v>0</v>
      </c>
      <c r="O820" t="n">
        <v>0</v>
      </c>
      <c r="P820" t="n">
        <v>0</v>
      </c>
      <c r="Q820" t="n">
        <v>0</v>
      </c>
      <c r="R820" s="2" t="inlineStr"/>
    </row>
    <row r="821" ht="15" customHeight="1">
      <c r="A821" t="inlineStr">
        <is>
          <t>A 35810-2023</t>
        </is>
      </c>
      <c r="B821" s="1" t="n">
        <v>45148.44046296296</v>
      </c>
      <c r="C821" s="1" t="n">
        <v>45915</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33875-2025</t>
        </is>
      </c>
      <c r="B822" s="1" t="n">
        <v>45842.55300925926</v>
      </c>
      <c r="C822" s="1" t="n">
        <v>45915</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23172-2022</t>
        </is>
      </c>
      <c r="B823" s="1" t="n">
        <v>44719</v>
      </c>
      <c r="C823" s="1" t="n">
        <v>45915</v>
      </c>
      <c r="D823" t="inlineStr">
        <is>
          <t>SKÅNE LÄN</t>
        </is>
      </c>
      <c r="E823" t="inlineStr">
        <is>
          <t>HÄSSLEHOLM</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23173-2022</t>
        </is>
      </c>
      <c r="B824" s="1" t="n">
        <v>44719.72155092593</v>
      </c>
      <c r="C824" s="1" t="n">
        <v>45915</v>
      </c>
      <c r="D824" t="inlineStr">
        <is>
          <t>SKÅNE LÄN</t>
        </is>
      </c>
      <c r="E824" t="inlineStr">
        <is>
          <t>HÄSSLEHOLM</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52608-2023</t>
        </is>
      </c>
      <c r="B825" s="1" t="n">
        <v>45219</v>
      </c>
      <c r="C825" s="1" t="n">
        <v>45915</v>
      </c>
      <c r="D825" t="inlineStr">
        <is>
          <t>SKÅNE LÄN</t>
        </is>
      </c>
      <c r="E825" t="inlineStr">
        <is>
          <t>HÄSSLEHOLM</t>
        </is>
      </c>
      <c r="F825" t="inlineStr">
        <is>
          <t>Övriga Aktiebolag</t>
        </is>
      </c>
      <c r="G825" t="n">
        <v>2.1</v>
      </c>
      <c r="H825" t="n">
        <v>0</v>
      </c>
      <c r="I825" t="n">
        <v>0</v>
      </c>
      <c r="J825" t="n">
        <v>0</v>
      </c>
      <c r="K825" t="n">
        <v>0</v>
      </c>
      <c r="L825" t="n">
        <v>0</v>
      </c>
      <c r="M825" t="n">
        <v>0</v>
      </c>
      <c r="N825" t="n">
        <v>0</v>
      </c>
      <c r="O825" t="n">
        <v>0</v>
      </c>
      <c r="P825" t="n">
        <v>0</v>
      </c>
      <c r="Q825" t="n">
        <v>0</v>
      </c>
      <c r="R825" s="2" t="inlineStr"/>
    </row>
    <row r="826" ht="15" customHeight="1">
      <c r="A826" t="inlineStr">
        <is>
          <t>A 8239-2025</t>
        </is>
      </c>
      <c r="B826" s="1" t="n">
        <v>45708.47984953703</v>
      </c>
      <c r="C826" s="1" t="n">
        <v>45915</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56355-2023</t>
        </is>
      </c>
      <c r="B827" s="1" t="n">
        <v>45243.3702662037</v>
      </c>
      <c r="C827" s="1" t="n">
        <v>45915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9394-2025</t>
        </is>
      </c>
      <c r="B828" s="1" t="n">
        <v>45715.36387731481</v>
      </c>
      <c r="C828" s="1" t="n">
        <v>45915</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7305-2025</t>
        </is>
      </c>
      <c r="B829" s="1" t="n">
        <v>45702</v>
      </c>
      <c r="C829" s="1" t="n">
        <v>45915</v>
      </c>
      <c r="D829" t="inlineStr">
        <is>
          <t>SKÅNE LÄN</t>
        </is>
      </c>
      <c r="E829" t="inlineStr">
        <is>
          <t>HÄSSLEHOLM</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11266-2025</t>
        </is>
      </c>
      <c r="B830" s="1" t="n">
        <v>45726</v>
      </c>
      <c r="C830" s="1" t="n">
        <v>45915</v>
      </c>
      <c r="D830" t="inlineStr">
        <is>
          <t>SKÅNE LÄN</t>
        </is>
      </c>
      <c r="E830" t="inlineStr">
        <is>
          <t>HÄSSLEHOLM</t>
        </is>
      </c>
      <c r="G830" t="n">
        <v>0.3</v>
      </c>
      <c r="H830" t="n">
        <v>0</v>
      </c>
      <c r="I830" t="n">
        <v>0</v>
      </c>
      <c r="J830" t="n">
        <v>0</v>
      </c>
      <c r="K830" t="n">
        <v>0</v>
      </c>
      <c r="L830" t="n">
        <v>0</v>
      </c>
      <c r="M830" t="n">
        <v>0</v>
      </c>
      <c r="N830" t="n">
        <v>0</v>
      </c>
      <c r="O830" t="n">
        <v>0</v>
      </c>
      <c r="P830" t="n">
        <v>0</v>
      </c>
      <c r="Q830" t="n">
        <v>0</v>
      </c>
      <c r="R830" s="2" t="inlineStr"/>
    </row>
    <row r="831" ht="15" customHeight="1">
      <c r="A831" t="inlineStr">
        <is>
          <t>A 49950-2023</t>
        </is>
      </c>
      <c r="B831" s="1" t="n">
        <v>45215</v>
      </c>
      <c r="C831" s="1" t="n">
        <v>45915</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52341-2023</t>
        </is>
      </c>
      <c r="B832" s="1" t="n">
        <v>45224.67006944444</v>
      </c>
      <c r="C832" s="1" t="n">
        <v>45915</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27173-2024</t>
        </is>
      </c>
      <c r="B833" s="1" t="n">
        <v>45471.57048611111</v>
      </c>
      <c r="C833" s="1" t="n">
        <v>45915</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15800-2025</t>
        </is>
      </c>
      <c r="B834" s="1" t="n">
        <v>45748.64831018518</v>
      </c>
      <c r="C834" s="1" t="n">
        <v>45915</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40780-2022</t>
        </is>
      </c>
      <c r="B835" s="1" t="n">
        <v>44820</v>
      </c>
      <c r="C835" s="1" t="n">
        <v>45915</v>
      </c>
      <c r="D835" t="inlineStr">
        <is>
          <t>SKÅNE LÄN</t>
        </is>
      </c>
      <c r="E835" t="inlineStr">
        <is>
          <t>HÄSSLEHOLM</t>
        </is>
      </c>
      <c r="G835" t="n">
        <v>7.4</v>
      </c>
      <c r="H835" t="n">
        <v>0</v>
      </c>
      <c r="I835" t="n">
        <v>0</v>
      </c>
      <c r="J835" t="n">
        <v>0</v>
      </c>
      <c r="K835" t="n">
        <v>0</v>
      </c>
      <c r="L835" t="n">
        <v>0</v>
      </c>
      <c r="M835" t="n">
        <v>0</v>
      </c>
      <c r="N835" t="n">
        <v>0</v>
      </c>
      <c r="O835" t="n">
        <v>0</v>
      </c>
      <c r="P835" t="n">
        <v>0</v>
      </c>
      <c r="Q835" t="n">
        <v>0</v>
      </c>
      <c r="R835" s="2" t="inlineStr"/>
    </row>
    <row r="836" ht="15" customHeight="1">
      <c r="A836" t="inlineStr">
        <is>
          <t>A 51245-2023</t>
        </is>
      </c>
      <c r="B836" s="1" t="n">
        <v>45212</v>
      </c>
      <c r="C836" s="1" t="n">
        <v>45915</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45915</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57695-2023</t>
        </is>
      </c>
      <c r="B838" s="1" t="n">
        <v>45246</v>
      </c>
      <c r="C838" s="1" t="n">
        <v>45915</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33877-2025</t>
        </is>
      </c>
      <c r="B839" s="1" t="n">
        <v>45842.55564814815</v>
      </c>
      <c r="C839" s="1" t="n">
        <v>45915</v>
      </c>
      <c r="D839" t="inlineStr">
        <is>
          <t>SKÅNE LÄN</t>
        </is>
      </c>
      <c r="E839" t="inlineStr">
        <is>
          <t>HÄSSLEHOLM</t>
        </is>
      </c>
      <c r="G839" t="n">
        <v>3.9</v>
      </c>
      <c r="H839" t="n">
        <v>0</v>
      </c>
      <c r="I839" t="n">
        <v>0</v>
      </c>
      <c r="J839" t="n">
        <v>0</v>
      </c>
      <c r="K839" t="n">
        <v>0</v>
      </c>
      <c r="L839" t="n">
        <v>0</v>
      </c>
      <c r="M839" t="n">
        <v>0</v>
      </c>
      <c r="N839" t="n">
        <v>0</v>
      </c>
      <c r="O839" t="n">
        <v>0</v>
      </c>
      <c r="P839" t="n">
        <v>0</v>
      </c>
      <c r="Q839" t="n">
        <v>0</v>
      </c>
      <c r="R839" s="2" t="inlineStr"/>
    </row>
    <row r="840" ht="15" customHeight="1">
      <c r="A840" t="inlineStr">
        <is>
          <t>A 33879-2025</t>
        </is>
      </c>
      <c r="B840" s="1" t="n">
        <v>45842.55766203703</v>
      </c>
      <c r="C840" s="1" t="n">
        <v>45915</v>
      </c>
      <c r="D840" t="inlineStr">
        <is>
          <t>SKÅNE LÄN</t>
        </is>
      </c>
      <c r="E840" t="inlineStr">
        <is>
          <t>HÄSSLEHOLM</t>
        </is>
      </c>
      <c r="G840" t="n">
        <v>6.1</v>
      </c>
      <c r="H840" t="n">
        <v>0</v>
      </c>
      <c r="I840" t="n">
        <v>0</v>
      </c>
      <c r="J840" t="n">
        <v>0</v>
      </c>
      <c r="K840" t="n">
        <v>0</v>
      </c>
      <c r="L840" t="n">
        <v>0</v>
      </c>
      <c r="M840" t="n">
        <v>0</v>
      </c>
      <c r="N840" t="n">
        <v>0</v>
      </c>
      <c r="O840" t="n">
        <v>0</v>
      </c>
      <c r="P840" t="n">
        <v>0</v>
      </c>
      <c r="Q840" t="n">
        <v>0</v>
      </c>
      <c r="R840" s="2" t="inlineStr"/>
    </row>
    <row r="841" ht="15" customHeight="1">
      <c r="A841" t="inlineStr">
        <is>
          <t>A 48747-2022</t>
        </is>
      </c>
      <c r="B841" s="1" t="n">
        <v>44859</v>
      </c>
      <c r="C841" s="1" t="n">
        <v>45915</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7153-2025</t>
        </is>
      </c>
      <c r="B842" s="1" t="n">
        <v>45702.38512731482</v>
      </c>
      <c r="C842" s="1" t="n">
        <v>45915</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7581-2023</t>
        </is>
      </c>
      <c r="B843" s="1" t="n">
        <v>44972.39556712963</v>
      </c>
      <c r="C843" s="1" t="n">
        <v>45915</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21141-2024</t>
        </is>
      </c>
      <c r="B844" s="1" t="n">
        <v>45440.39012731481</v>
      </c>
      <c r="C844" s="1" t="n">
        <v>45915</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11603-2025</t>
        </is>
      </c>
      <c r="B845" s="1" t="n">
        <v>45727</v>
      </c>
      <c r="C845" s="1" t="n">
        <v>45915</v>
      </c>
      <c r="D845" t="inlineStr">
        <is>
          <t>SKÅNE LÄN</t>
        </is>
      </c>
      <c r="E845" t="inlineStr">
        <is>
          <t>HÄSSLEHOLM</t>
        </is>
      </c>
      <c r="G845" t="n">
        <v>5.6</v>
      </c>
      <c r="H845" t="n">
        <v>0</v>
      </c>
      <c r="I845" t="n">
        <v>0</v>
      </c>
      <c r="J845" t="n">
        <v>0</v>
      </c>
      <c r="K845" t="n">
        <v>0</v>
      </c>
      <c r="L845" t="n">
        <v>0</v>
      </c>
      <c r="M845" t="n">
        <v>0</v>
      </c>
      <c r="N845" t="n">
        <v>0</v>
      </c>
      <c r="O845" t="n">
        <v>0</v>
      </c>
      <c r="P845" t="n">
        <v>0</v>
      </c>
      <c r="Q845" t="n">
        <v>0</v>
      </c>
      <c r="R845" s="2" t="inlineStr"/>
    </row>
    <row r="846" ht="15" customHeight="1">
      <c r="A846" t="inlineStr">
        <is>
          <t>A 13712-2025</t>
        </is>
      </c>
      <c r="B846" s="1" t="n">
        <v>45737</v>
      </c>
      <c r="C846" s="1" t="n">
        <v>45915</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9556-2025</t>
        </is>
      </c>
      <c r="B847" s="1" t="n">
        <v>45714</v>
      </c>
      <c r="C847" s="1" t="n">
        <v>45915</v>
      </c>
      <c r="D847" t="inlineStr">
        <is>
          <t>SKÅNE LÄN</t>
        </is>
      </c>
      <c r="E847" t="inlineStr">
        <is>
          <t>HÄSSLEHOLM</t>
        </is>
      </c>
      <c r="G847" t="n">
        <v>1.8</v>
      </c>
      <c r="H847" t="n">
        <v>0</v>
      </c>
      <c r="I847" t="n">
        <v>0</v>
      </c>
      <c r="J847" t="n">
        <v>0</v>
      </c>
      <c r="K847" t="n">
        <v>0</v>
      </c>
      <c r="L847" t="n">
        <v>0</v>
      </c>
      <c r="M847" t="n">
        <v>0</v>
      </c>
      <c r="N847" t="n">
        <v>0</v>
      </c>
      <c r="O847" t="n">
        <v>0</v>
      </c>
      <c r="P847" t="n">
        <v>0</v>
      </c>
      <c r="Q847" t="n">
        <v>0</v>
      </c>
      <c r="R847" s="2" t="inlineStr"/>
    </row>
    <row r="848" ht="15" customHeight="1">
      <c r="A848" t="inlineStr">
        <is>
          <t>A 46288-2023</t>
        </is>
      </c>
      <c r="B848" s="1" t="n">
        <v>45197.30221064815</v>
      </c>
      <c r="C848" s="1" t="n">
        <v>45915</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57967-2023</t>
        </is>
      </c>
      <c r="B849" s="1" t="n">
        <v>45247.57984953704</v>
      </c>
      <c r="C849" s="1" t="n">
        <v>45915</v>
      </c>
      <c r="D849" t="inlineStr">
        <is>
          <t>SKÅNE LÄN</t>
        </is>
      </c>
      <c r="E849" t="inlineStr">
        <is>
          <t>HÄSSLEHOLM</t>
        </is>
      </c>
      <c r="G849" t="n">
        <v>8.6</v>
      </c>
      <c r="H849" t="n">
        <v>0</v>
      </c>
      <c r="I849" t="n">
        <v>0</v>
      </c>
      <c r="J849" t="n">
        <v>0</v>
      </c>
      <c r="K849" t="n">
        <v>0</v>
      </c>
      <c r="L849" t="n">
        <v>0</v>
      </c>
      <c r="M849" t="n">
        <v>0</v>
      </c>
      <c r="N849" t="n">
        <v>0</v>
      </c>
      <c r="O849" t="n">
        <v>0</v>
      </c>
      <c r="P849" t="n">
        <v>0</v>
      </c>
      <c r="Q849" t="n">
        <v>0</v>
      </c>
      <c r="R849" s="2" t="inlineStr"/>
    </row>
    <row r="850" ht="15" customHeight="1">
      <c r="A850" t="inlineStr">
        <is>
          <t>A 9615-2025</t>
        </is>
      </c>
      <c r="B850" s="1" t="n">
        <v>45715</v>
      </c>
      <c r="C850" s="1" t="n">
        <v>45915</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19744-2023</t>
        </is>
      </c>
      <c r="B851" s="1" t="n">
        <v>45051</v>
      </c>
      <c r="C851" s="1" t="n">
        <v>45915</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15990-2023</t>
        </is>
      </c>
      <c r="B852" s="1" t="n">
        <v>45023.39584490741</v>
      </c>
      <c r="C852" s="1" t="n">
        <v>45915</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47907-2021</t>
        </is>
      </c>
      <c r="B853" s="1" t="n">
        <v>44448</v>
      </c>
      <c r="C853" s="1" t="n">
        <v>45915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7513-2025</t>
        </is>
      </c>
      <c r="B854" s="1" t="n">
        <v>45702</v>
      </c>
      <c r="C854" s="1" t="n">
        <v>45915</v>
      </c>
      <c r="D854" t="inlineStr">
        <is>
          <t>SKÅNE LÄN</t>
        </is>
      </c>
      <c r="E854" t="inlineStr">
        <is>
          <t>HÄSSLEHOLM</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45400-2022</t>
        </is>
      </c>
      <c r="B855" s="1" t="n">
        <v>44844.713125</v>
      </c>
      <c r="C855" s="1" t="n">
        <v>45915</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42232-2022</t>
        </is>
      </c>
      <c r="B856" s="1" t="n">
        <v>44830.77591435185</v>
      </c>
      <c r="C856" s="1" t="n">
        <v>45915</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33562-2025</t>
        </is>
      </c>
      <c r="B857" s="1" t="n">
        <v>45841.57803240741</v>
      </c>
      <c r="C857" s="1" t="n">
        <v>45915</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33950-2025</t>
        </is>
      </c>
      <c r="B858" s="1" t="n">
        <v>45842</v>
      </c>
      <c r="C858" s="1" t="n">
        <v>45915</v>
      </c>
      <c r="D858" t="inlineStr">
        <is>
          <t>SKÅNE LÄN</t>
        </is>
      </c>
      <c r="E858" t="inlineStr">
        <is>
          <t>HÄSSLEHOLM</t>
        </is>
      </c>
      <c r="G858" t="n">
        <v>5.7</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45915</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1706-2025</t>
        </is>
      </c>
      <c r="B860" s="1" t="n">
        <v>45670</v>
      </c>
      <c r="C860" s="1" t="n">
        <v>45915</v>
      </c>
      <c r="D860" t="inlineStr">
        <is>
          <t>SKÅNE LÄN</t>
        </is>
      </c>
      <c r="E860" t="inlineStr">
        <is>
          <t>HÄSSLEHOLM</t>
        </is>
      </c>
      <c r="G860" t="n">
        <v>5</v>
      </c>
      <c r="H860" t="n">
        <v>0</v>
      </c>
      <c r="I860" t="n">
        <v>0</v>
      </c>
      <c r="J860" t="n">
        <v>0</v>
      </c>
      <c r="K860" t="n">
        <v>0</v>
      </c>
      <c r="L860" t="n">
        <v>0</v>
      </c>
      <c r="M860" t="n">
        <v>0</v>
      </c>
      <c r="N860" t="n">
        <v>0</v>
      </c>
      <c r="O860" t="n">
        <v>0</v>
      </c>
      <c r="P860" t="n">
        <v>0</v>
      </c>
      <c r="Q860" t="n">
        <v>0</v>
      </c>
      <c r="R860" s="2" t="inlineStr"/>
    </row>
    <row r="861" ht="15" customHeight="1">
      <c r="A861" t="inlineStr">
        <is>
          <t>A 61625-2022</t>
        </is>
      </c>
      <c r="B861" s="1" t="n">
        <v>44916</v>
      </c>
      <c r="C861" s="1" t="n">
        <v>45915</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9541-2025</t>
        </is>
      </c>
      <c r="B862" s="1" t="n">
        <v>45714</v>
      </c>
      <c r="C862" s="1" t="n">
        <v>45915</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38829-2024</t>
        </is>
      </c>
      <c r="B863" s="1" t="n">
        <v>45547.57247685185</v>
      </c>
      <c r="C863" s="1" t="n">
        <v>45915</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31268-2024</t>
        </is>
      </c>
      <c r="B864" s="1" t="n">
        <v>45504</v>
      </c>
      <c r="C864" s="1" t="n">
        <v>45915</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13856-2025</t>
        </is>
      </c>
      <c r="B865" s="1" t="n">
        <v>45737.57289351852</v>
      </c>
      <c r="C865" s="1" t="n">
        <v>45915</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36568-2024</t>
        </is>
      </c>
      <c r="B866" s="1" t="n">
        <v>45537</v>
      </c>
      <c r="C866" s="1" t="n">
        <v>45915</v>
      </c>
      <c r="D866" t="inlineStr">
        <is>
          <t>SKÅNE LÄN</t>
        </is>
      </c>
      <c r="E866" t="inlineStr">
        <is>
          <t>HÄSSLEHOLM</t>
        </is>
      </c>
      <c r="G866" t="n">
        <v>4.3</v>
      </c>
      <c r="H866" t="n">
        <v>0</v>
      </c>
      <c r="I866" t="n">
        <v>0</v>
      </c>
      <c r="J866" t="n">
        <v>0</v>
      </c>
      <c r="K866" t="n">
        <v>0</v>
      </c>
      <c r="L866" t="n">
        <v>0</v>
      </c>
      <c r="M866" t="n">
        <v>0</v>
      </c>
      <c r="N866" t="n">
        <v>0</v>
      </c>
      <c r="O866" t="n">
        <v>0</v>
      </c>
      <c r="P866" t="n">
        <v>0</v>
      </c>
      <c r="Q866" t="n">
        <v>0</v>
      </c>
      <c r="R866" s="2" t="inlineStr"/>
    </row>
    <row r="867" ht="15" customHeight="1">
      <c r="A867" t="inlineStr">
        <is>
          <t>A 32794-2021</t>
        </is>
      </c>
      <c r="B867" s="1" t="n">
        <v>44375</v>
      </c>
      <c r="C867" s="1" t="n">
        <v>45915</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13961-2023</t>
        </is>
      </c>
      <c r="B868" s="1" t="n">
        <v>45008</v>
      </c>
      <c r="C868" s="1" t="n">
        <v>45915</v>
      </c>
      <c r="D868" t="inlineStr">
        <is>
          <t>SKÅNE LÄN</t>
        </is>
      </c>
      <c r="E868" t="inlineStr">
        <is>
          <t>HÄSSLEHOLM</t>
        </is>
      </c>
      <c r="G868" t="n">
        <v>3.8</v>
      </c>
      <c r="H868" t="n">
        <v>0</v>
      </c>
      <c r="I868" t="n">
        <v>0</v>
      </c>
      <c r="J868" t="n">
        <v>0</v>
      </c>
      <c r="K868" t="n">
        <v>0</v>
      </c>
      <c r="L868" t="n">
        <v>0</v>
      </c>
      <c r="M868" t="n">
        <v>0</v>
      </c>
      <c r="N868" t="n">
        <v>0</v>
      </c>
      <c r="O868" t="n">
        <v>0</v>
      </c>
      <c r="P868" t="n">
        <v>0</v>
      </c>
      <c r="Q868" t="n">
        <v>0</v>
      </c>
      <c r="R868" s="2" t="inlineStr"/>
    </row>
    <row r="869" ht="15" customHeight="1">
      <c r="A869" t="inlineStr">
        <is>
          <t>A 3855-2023</t>
        </is>
      </c>
      <c r="B869" s="1" t="n">
        <v>44951.69708333333</v>
      </c>
      <c r="C869" s="1" t="n">
        <v>45915</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34301-2024</t>
        </is>
      </c>
      <c r="B870" s="1" t="n">
        <v>45524</v>
      </c>
      <c r="C870" s="1" t="n">
        <v>45915</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15060-2023</t>
        </is>
      </c>
      <c r="B871" s="1" t="n">
        <v>45015.69832175926</v>
      </c>
      <c r="C871" s="1" t="n">
        <v>45915</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54171-2021</t>
        </is>
      </c>
      <c r="B872" s="1" t="n">
        <v>44470</v>
      </c>
      <c r="C872" s="1" t="n">
        <v>45915</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25542-2024</t>
        </is>
      </c>
      <c r="B873" s="1" t="n">
        <v>45463</v>
      </c>
      <c r="C873" s="1" t="n">
        <v>45915</v>
      </c>
      <c r="D873" t="inlineStr">
        <is>
          <t>SKÅNE LÄN</t>
        </is>
      </c>
      <c r="E873" t="inlineStr">
        <is>
          <t>HÄSSLEHOLM</t>
        </is>
      </c>
      <c r="G873" t="n">
        <v>6.9</v>
      </c>
      <c r="H873" t="n">
        <v>0</v>
      </c>
      <c r="I873" t="n">
        <v>0</v>
      </c>
      <c r="J873" t="n">
        <v>0</v>
      </c>
      <c r="K873" t="n">
        <v>0</v>
      </c>
      <c r="L873" t="n">
        <v>0</v>
      </c>
      <c r="M873" t="n">
        <v>0</v>
      </c>
      <c r="N873" t="n">
        <v>0</v>
      </c>
      <c r="O873" t="n">
        <v>0</v>
      </c>
      <c r="P873" t="n">
        <v>0</v>
      </c>
      <c r="Q873" t="n">
        <v>0</v>
      </c>
      <c r="R873" s="2" t="inlineStr"/>
    </row>
    <row r="874" ht="15" customHeight="1">
      <c r="A874" t="inlineStr">
        <is>
          <t>A 14670-2025</t>
        </is>
      </c>
      <c r="B874" s="1" t="n">
        <v>45742.55079861111</v>
      </c>
      <c r="C874" s="1" t="n">
        <v>45915</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55454-2021</t>
        </is>
      </c>
      <c r="B875" s="1" t="n">
        <v>44475</v>
      </c>
      <c r="C875" s="1" t="n">
        <v>45915</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13347-2025</t>
        </is>
      </c>
      <c r="B876" s="1" t="n">
        <v>45735.63175925926</v>
      </c>
      <c r="C876" s="1" t="n">
        <v>45915</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11260-2021</t>
        </is>
      </c>
      <c r="B877" s="1" t="n">
        <v>44263</v>
      </c>
      <c r="C877" s="1" t="n">
        <v>45915</v>
      </c>
      <c r="D877" t="inlineStr">
        <is>
          <t>SKÅNE LÄN</t>
        </is>
      </c>
      <c r="E877" t="inlineStr">
        <is>
          <t>HÄSSLEHOLM</t>
        </is>
      </c>
      <c r="G877" t="n">
        <v>5.4</v>
      </c>
      <c r="H877" t="n">
        <v>0</v>
      </c>
      <c r="I877" t="n">
        <v>0</v>
      </c>
      <c r="J877" t="n">
        <v>0</v>
      </c>
      <c r="K877" t="n">
        <v>0</v>
      </c>
      <c r="L877" t="n">
        <v>0</v>
      </c>
      <c r="M877" t="n">
        <v>0</v>
      </c>
      <c r="N877" t="n">
        <v>0</v>
      </c>
      <c r="O877" t="n">
        <v>0</v>
      </c>
      <c r="P877" t="n">
        <v>0</v>
      </c>
      <c r="Q877" t="n">
        <v>0</v>
      </c>
      <c r="R877" s="2" t="inlineStr"/>
    </row>
    <row r="878" ht="15" customHeight="1">
      <c r="A878" t="inlineStr">
        <is>
          <t>A 13198-2025</t>
        </is>
      </c>
      <c r="B878" s="1" t="n">
        <v>45735</v>
      </c>
      <c r="C878" s="1" t="n">
        <v>45915</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3135-2023</t>
        </is>
      </c>
      <c r="B879" s="1" t="n">
        <v>44946.51672453704</v>
      </c>
      <c r="C879" s="1" t="n">
        <v>45915</v>
      </c>
      <c r="D879" t="inlineStr">
        <is>
          <t>SKÅNE LÄN</t>
        </is>
      </c>
      <c r="E879" t="inlineStr">
        <is>
          <t>HÄSSLEHOLM</t>
        </is>
      </c>
      <c r="G879" t="n">
        <v>7.2</v>
      </c>
      <c r="H879" t="n">
        <v>0</v>
      </c>
      <c r="I879" t="n">
        <v>0</v>
      </c>
      <c r="J879" t="n">
        <v>0</v>
      </c>
      <c r="K879" t="n">
        <v>0</v>
      </c>
      <c r="L879" t="n">
        <v>0</v>
      </c>
      <c r="M879" t="n">
        <v>0</v>
      </c>
      <c r="N879" t="n">
        <v>0</v>
      </c>
      <c r="O879" t="n">
        <v>0</v>
      </c>
      <c r="P879" t="n">
        <v>0</v>
      </c>
      <c r="Q879" t="n">
        <v>0</v>
      </c>
      <c r="R879" s="2" t="inlineStr"/>
    </row>
    <row r="880" ht="15" customHeight="1">
      <c r="A880" t="inlineStr">
        <is>
          <t>A 16121-2025</t>
        </is>
      </c>
      <c r="B880" s="1" t="n">
        <v>45750.40384259259</v>
      </c>
      <c r="C880" s="1" t="n">
        <v>45915</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59429-2023</t>
        </is>
      </c>
      <c r="B881" s="1" t="n">
        <v>45254.2875</v>
      </c>
      <c r="C881" s="1" t="n">
        <v>45915</v>
      </c>
      <c r="D881" t="inlineStr">
        <is>
          <t>SKÅNE LÄN</t>
        </is>
      </c>
      <c r="E881" t="inlineStr">
        <is>
          <t>HÄSSLEHOLM</t>
        </is>
      </c>
      <c r="G881" t="n">
        <v>0</v>
      </c>
      <c r="H881" t="n">
        <v>0</v>
      </c>
      <c r="I881" t="n">
        <v>0</v>
      </c>
      <c r="J881" t="n">
        <v>0</v>
      </c>
      <c r="K881" t="n">
        <v>0</v>
      </c>
      <c r="L881" t="n">
        <v>0</v>
      </c>
      <c r="M881" t="n">
        <v>0</v>
      </c>
      <c r="N881" t="n">
        <v>0</v>
      </c>
      <c r="O881" t="n">
        <v>0</v>
      </c>
      <c r="P881" t="n">
        <v>0</v>
      </c>
      <c r="Q881" t="n">
        <v>0</v>
      </c>
      <c r="R881" s="2" t="inlineStr"/>
    </row>
    <row r="882" ht="15" customHeight="1">
      <c r="A882" t="inlineStr">
        <is>
          <t>A 40202-2022</t>
        </is>
      </c>
      <c r="B882" s="1" t="n">
        <v>44820.60614583334</v>
      </c>
      <c r="C882" s="1" t="n">
        <v>45915</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61489-2024</t>
        </is>
      </c>
      <c r="B883" s="1" t="n">
        <v>45646.54875</v>
      </c>
      <c r="C883" s="1" t="n">
        <v>45915</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54326-2022</t>
        </is>
      </c>
      <c r="B884" s="1" t="n">
        <v>44882.42965277778</v>
      </c>
      <c r="C884" s="1" t="n">
        <v>45915</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41998-2021</t>
        </is>
      </c>
      <c r="B885" s="1" t="n">
        <v>44425</v>
      </c>
      <c r="C885" s="1" t="n">
        <v>45915</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61524-2022</t>
        </is>
      </c>
      <c r="B886" s="1" t="n">
        <v>44910</v>
      </c>
      <c r="C886" s="1" t="n">
        <v>45915</v>
      </c>
      <c r="D886" t="inlineStr">
        <is>
          <t>SKÅNE LÄN</t>
        </is>
      </c>
      <c r="E886" t="inlineStr">
        <is>
          <t>HÄSSLEHOLM</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26879-2024</t>
        </is>
      </c>
      <c r="B887" s="1" t="n">
        <v>45470</v>
      </c>
      <c r="C887" s="1" t="n">
        <v>45915</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24904-2025</t>
        </is>
      </c>
      <c r="B888" s="1" t="n">
        <v>45799</v>
      </c>
      <c r="C888" s="1" t="n">
        <v>45915</v>
      </c>
      <c r="D888" t="inlineStr">
        <is>
          <t>SKÅNE LÄN</t>
        </is>
      </c>
      <c r="E888" t="inlineStr">
        <is>
          <t>HÄSSLEHOLM</t>
        </is>
      </c>
      <c r="G888" t="n">
        <v>2.2</v>
      </c>
      <c r="H888" t="n">
        <v>0</v>
      </c>
      <c r="I888" t="n">
        <v>0</v>
      </c>
      <c r="J888" t="n">
        <v>0</v>
      </c>
      <c r="K888" t="n">
        <v>0</v>
      </c>
      <c r="L888" t="n">
        <v>0</v>
      </c>
      <c r="M888" t="n">
        <v>0</v>
      </c>
      <c r="N888" t="n">
        <v>0</v>
      </c>
      <c r="O888" t="n">
        <v>0</v>
      </c>
      <c r="P888" t="n">
        <v>0</v>
      </c>
      <c r="Q888" t="n">
        <v>0</v>
      </c>
      <c r="R888" s="2" t="inlineStr"/>
    </row>
    <row r="889" ht="15" customHeight="1">
      <c r="A889" t="inlineStr">
        <is>
          <t>A 61533-2022</t>
        </is>
      </c>
      <c r="B889" s="1" t="n">
        <v>44910</v>
      </c>
      <c r="C889" s="1" t="n">
        <v>45915</v>
      </c>
      <c r="D889" t="inlineStr">
        <is>
          <t>SKÅNE LÄN</t>
        </is>
      </c>
      <c r="E889" t="inlineStr">
        <is>
          <t>HÄSSLEHOLM</t>
        </is>
      </c>
      <c r="F889" t="inlineStr">
        <is>
          <t>Kyrkan</t>
        </is>
      </c>
      <c r="G889" t="n">
        <v>1</v>
      </c>
      <c r="H889" t="n">
        <v>0</v>
      </c>
      <c r="I889" t="n">
        <v>0</v>
      </c>
      <c r="J889" t="n">
        <v>0</v>
      </c>
      <c r="K889" t="n">
        <v>0</v>
      </c>
      <c r="L889" t="n">
        <v>0</v>
      </c>
      <c r="M889" t="n">
        <v>0</v>
      </c>
      <c r="N889" t="n">
        <v>0</v>
      </c>
      <c r="O889" t="n">
        <v>0</v>
      </c>
      <c r="P889" t="n">
        <v>0</v>
      </c>
      <c r="Q889" t="n">
        <v>0</v>
      </c>
      <c r="R889" s="2" t="inlineStr"/>
    </row>
    <row r="890" ht="15" customHeight="1">
      <c r="A890" t="inlineStr">
        <is>
          <t>A 59728-2022</t>
        </is>
      </c>
      <c r="B890" s="1" t="n">
        <v>44900</v>
      </c>
      <c r="C890" s="1" t="n">
        <v>45915</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8619-2023</t>
        </is>
      </c>
      <c r="B891" s="1" t="n">
        <v>44977.81979166667</v>
      </c>
      <c r="C891" s="1" t="n">
        <v>45915</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49219-2021</t>
        </is>
      </c>
      <c r="B892" s="1" t="n">
        <v>44454</v>
      </c>
      <c r="C892" s="1" t="n">
        <v>45915</v>
      </c>
      <c r="D892" t="inlineStr">
        <is>
          <t>SKÅNE LÄN</t>
        </is>
      </c>
      <c r="E892" t="inlineStr">
        <is>
          <t>HÄSSLEHOLM</t>
        </is>
      </c>
      <c r="G892" t="n">
        <v>7.8</v>
      </c>
      <c r="H892" t="n">
        <v>0</v>
      </c>
      <c r="I892" t="n">
        <v>0</v>
      </c>
      <c r="J892" t="n">
        <v>0</v>
      </c>
      <c r="K892" t="n">
        <v>0</v>
      </c>
      <c r="L892" t="n">
        <v>0</v>
      </c>
      <c r="M892" t="n">
        <v>0</v>
      </c>
      <c r="N892" t="n">
        <v>0</v>
      </c>
      <c r="O892" t="n">
        <v>0</v>
      </c>
      <c r="P892" t="n">
        <v>0</v>
      </c>
      <c r="Q892" t="n">
        <v>0</v>
      </c>
      <c r="R892" s="2" t="inlineStr"/>
    </row>
    <row r="893" ht="15" customHeight="1">
      <c r="A893" t="inlineStr">
        <is>
          <t>A 46000-2021</t>
        </is>
      </c>
      <c r="B893" s="1" t="n">
        <v>44441</v>
      </c>
      <c r="C893" s="1" t="n">
        <v>45915</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62171-2022</t>
        </is>
      </c>
      <c r="B894" s="1" t="n">
        <v>44915</v>
      </c>
      <c r="C894" s="1" t="n">
        <v>45915</v>
      </c>
      <c r="D894" t="inlineStr">
        <is>
          <t>SKÅNE LÄN</t>
        </is>
      </c>
      <c r="E894" t="inlineStr">
        <is>
          <t>HÄSSLEHOLM</t>
        </is>
      </c>
      <c r="F894" t="inlineStr">
        <is>
          <t>Kyrkan</t>
        </is>
      </c>
      <c r="G894" t="n">
        <v>9</v>
      </c>
      <c r="H894" t="n">
        <v>0</v>
      </c>
      <c r="I894" t="n">
        <v>0</v>
      </c>
      <c r="J894" t="n">
        <v>0</v>
      </c>
      <c r="K894" t="n">
        <v>0</v>
      </c>
      <c r="L894" t="n">
        <v>0</v>
      </c>
      <c r="M894" t="n">
        <v>0</v>
      </c>
      <c r="N894" t="n">
        <v>0</v>
      </c>
      <c r="O894" t="n">
        <v>0</v>
      </c>
      <c r="P894" t="n">
        <v>0</v>
      </c>
      <c r="Q894" t="n">
        <v>0</v>
      </c>
      <c r="R894" s="2" t="inlineStr"/>
    </row>
    <row r="895" ht="15" customHeight="1">
      <c r="A895" t="inlineStr">
        <is>
          <t>A 32100-2024</t>
        </is>
      </c>
      <c r="B895" s="1" t="n">
        <v>45511.41451388889</v>
      </c>
      <c r="C895" s="1" t="n">
        <v>45915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33481-2024</t>
        </is>
      </c>
      <c r="B896" s="1" t="n">
        <v>45519</v>
      </c>
      <c r="C896" s="1" t="n">
        <v>45915</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48807-2021</t>
        </is>
      </c>
      <c r="B897" s="1" t="n">
        <v>44452</v>
      </c>
      <c r="C897" s="1" t="n">
        <v>45915</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54176-2022</t>
        </is>
      </c>
      <c r="B898" s="1" t="n">
        <v>44881</v>
      </c>
      <c r="C898" s="1" t="n">
        <v>45915</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3294-2025</t>
        </is>
      </c>
      <c r="B899" s="1" t="n">
        <v>45679.64125</v>
      </c>
      <c r="C899" s="1" t="n">
        <v>45915</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16614-2025</t>
        </is>
      </c>
      <c r="B900" s="1" t="n">
        <v>45754.283125</v>
      </c>
      <c r="C900" s="1" t="n">
        <v>45915</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23723-2023</t>
        </is>
      </c>
      <c r="B901" s="1" t="n">
        <v>45077</v>
      </c>
      <c r="C901" s="1" t="n">
        <v>45915</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34174-2025</t>
        </is>
      </c>
      <c r="B902" s="1" t="n">
        <v>45844</v>
      </c>
      <c r="C902" s="1" t="n">
        <v>45915</v>
      </c>
      <c r="D902" t="inlineStr">
        <is>
          <t>SKÅNE LÄN</t>
        </is>
      </c>
      <c r="E902" t="inlineStr">
        <is>
          <t>HÄSSLEHOLM</t>
        </is>
      </c>
      <c r="G902" t="n">
        <v>4.7</v>
      </c>
      <c r="H902" t="n">
        <v>0</v>
      </c>
      <c r="I902" t="n">
        <v>0</v>
      </c>
      <c r="J902" t="n">
        <v>0</v>
      </c>
      <c r="K902" t="n">
        <v>0</v>
      </c>
      <c r="L902" t="n">
        <v>0</v>
      </c>
      <c r="M902" t="n">
        <v>0</v>
      </c>
      <c r="N902" t="n">
        <v>0</v>
      </c>
      <c r="O902" t="n">
        <v>0</v>
      </c>
      <c r="P902" t="n">
        <v>0</v>
      </c>
      <c r="Q902" t="n">
        <v>0</v>
      </c>
      <c r="R902" s="2" t="inlineStr"/>
    </row>
    <row r="903" ht="15" customHeight="1">
      <c r="A903" t="inlineStr">
        <is>
          <t>A 13897-2024</t>
        </is>
      </c>
      <c r="B903" s="1" t="n">
        <v>45391</v>
      </c>
      <c r="C903" s="1" t="n">
        <v>45915</v>
      </c>
      <c r="D903" t="inlineStr">
        <is>
          <t>SKÅNE LÄN</t>
        </is>
      </c>
      <c r="E903" t="inlineStr">
        <is>
          <t>HÄSSLEHOLM</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69500-2020</t>
        </is>
      </c>
      <c r="B904" s="1" t="n">
        <v>44194</v>
      </c>
      <c r="C904" s="1" t="n">
        <v>45915</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7604-2024</t>
        </is>
      </c>
      <c r="B905" s="1" t="n">
        <v>45348</v>
      </c>
      <c r="C905" s="1" t="n">
        <v>45915</v>
      </c>
      <c r="D905" t="inlineStr">
        <is>
          <t>SKÅNE LÄN</t>
        </is>
      </c>
      <c r="E905" t="inlineStr">
        <is>
          <t>HÄSSLEHOLM</t>
        </is>
      </c>
      <c r="G905" t="n">
        <v>11.1</v>
      </c>
      <c r="H905" t="n">
        <v>0</v>
      </c>
      <c r="I905" t="n">
        <v>0</v>
      </c>
      <c r="J905" t="n">
        <v>0</v>
      </c>
      <c r="K905" t="n">
        <v>0</v>
      </c>
      <c r="L905" t="n">
        <v>0</v>
      </c>
      <c r="M905" t="n">
        <v>0</v>
      </c>
      <c r="N905" t="n">
        <v>0</v>
      </c>
      <c r="O905" t="n">
        <v>0</v>
      </c>
      <c r="P905" t="n">
        <v>0</v>
      </c>
      <c r="Q905" t="n">
        <v>0</v>
      </c>
      <c r="R905" s="2" t="inlineStr"/>
    </row>
    <row r="906" ht="15" customHeight="1">
      <c r="A906" t="inlineStr">
        <is>
          <t>A 4945-2022</t>
        </is>
      </c>
      <c r="B906" s="1" t="n">
        <v>44593</v>
      </c>
      <c r="C906" s="1" t="n">
        <v>45915</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47248-2023</t>
        </is>
      </c>
      <c r="B907" s="1" t="n">
        <v>45202</v>
      </c>
      <c r="C907" s="1" t="n">
        <v>45915</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38306-2022</t>
        </is>
      </c>
      <c r="B908" s="1" t="n">
        <v>44812.57515046297</v>
      </c>
      <c r="C908" s="1" t="n">
        <v>45915</v>
      </c>
      <c r="D908" t="inlineStr">
        <is>
          <t>SKÅNE LÄN</t>
        </is>
      </c>
      <c r="E908" t="inlineStr">
        <is>
          <t>HÄSSLEHOLM</t>
        </is>
      </c>
      <c r="G908" t="n">
        <v>2.2</v>
      </c>
      <c r="H908" t="n">
        <v>0</v>
      </c>
      <c r="I908" t="n">
        <v>0</v>
      </c>
      <c r="J908" t="n">
        <v>0</v>
      </c>
      <c r="K908" t="n">
        <v>0</v>
      </c>
      <c r="L908" t="n">
        <v>0</v>
      </c>
      <c r="M908" t="n">
        <v>0</v>
      </c>
      <c r="N908" t="n">
        <v>0</v>
      </c>
      <c r="O908" t="n">
        <v>0</v>
      </c>
      <c r="P908" t="n">
        <v>0</v>
      </c>
      <c r="Q908" t="n">
        <v>0</v>
      </c>
      <c r="R908" s="2" t="inlineStr"/>
    </row>
    <row r="909" ht="15" customHeight="1">
      <c r="A909" t="inlineStr">
        <is>
          <t>A 35845-2022</t>
        </is>
      </c>
      <c r="B909" s="1" t="n">
        <v>44802</v>
      </c>
      <c r="C909" s="1" t="n">
        <v>45915</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32154-2024</t>
        </is>
      </c>
      <c r="B910" s="1" t="n">
        <v>45511</v>
      </c>
      <c r="C910" s="1" t="n">
        <v>45915</v>
      </c>
      <c r="D910" t="inlineStr">
        <is>
          <t>SKÅNE LÄN</t>
        </is>
      </c>
      <c r="E910" t="inlineStr">
        <is>
          <t>HÄSSLEHOLM</t>
        </is>
      </c>
      <c r="G910" t="n">
        <v>6.4</v>
      </c>
      <c r="H910" t="n">
        <v>0</v>
      </c>
      <c r="I910" t="n">
        <v>0</v>
      </c>
      <c r="J910" t="n">
        <v>0</v>
      </c>
      <c r="K910" t="n">
        <v>0</v>
      </c>
      <c r="L910" t="n">
        <v>0</v>
      </c>
      <c r="M910" t="n">
        <v>0</v>
      </c>
      <c r="N910" t="n">
        <v>0</v>
      </c>
      <c r="O910" t="n">
        <v>0</v>
      </c>
      <c r="P910" t="n">
        <v>0</v>
      </c>
      <c r="Q910" t="n">
        <v>0</v>
      </c>
      <c r="R910" s="2" t="inlineStr"/>
    </row>
    <row r="911" ht="15" customHeight="1">
      <c r="A911" t="inlineStr">
        <is>
          <t>A 12503-2022</t>
        </is>
      </c>
      <c r="B911" s="1" t="n">
        <v>44638</v>
      </c>
      <c r="C911" s="1" t="n">
        <v>45915</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53055-2021</t>
        </is>
      </c>
      <c r="B912" s="1" t="n">
        <v>44467</v>
      </c>
      <c r="C912" s="1" t="n">
        <v>45915</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23950-2023</t>
        </is>
      </c>
      <c r="B913" s="1" t="n">
        <v>45078.61771990741</v>
      </c>
      <c r="C913" s="1" t="n">
        <v>45915</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23952-2023</t>
        </is>
      </c>
      <c r="B914" s="1" t="n">
        <v>45078.62064814815</v>
      </c>
      <c r="C914" s="1" t="n">
        <v>45915</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2144-2023</t>
        </is>
      </c>
      <c r="B915" s="1" t="n">
        <v>44940.79054398148</v>
      </c>
      <c r="C915" s="1" t="n">
        <v>45915</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34177-2025</t>
        </is>
      </c>
      <c r="B916" s="1" t="n">
        <v>45844</v>
      </c>
      <c r="C916" s="1" t="n">
        <v>45915</v>
      </c>
      <c r="D916" t="inlineStr">
        <is>
          <t>SKÅNE LÄN</t>
        </is>
      </c>
      <c r="E916" t="inlineStr">
        <is>
          <t>HÄSSLEHOLM</t>
        </is>
      </c>
      <c r="G916" t="n">
        <v>3</v>
      </c>
      <c r="H916" t="n">
        <v>0</v>
      </c>
      <c r="I916" t="n">
        <v>0</v>
      </c>
      <c r="J916" t="n">
        <v>0</v>
      </c>
      <c r="K916" t="n">
        <v>0</v>
      </c>
      <c r="L916" t="n">
        <v>0</v>
      </c>
      <c r="M916" t="n">
        <v>0</v>
      </c>
      <c r="N916" t="n">
        <v>0</v>
      </c>
      <c r="O916" t="n">
        <v>0</v>
      </c>
      <c r="P916" t="n">
        <v>0</v>
      </c>
      <c r="Q916" t="n">
        <v>0</v>
      </c>
      <c r="R916" s="2" t="inlineStr"/>
    </row>
    <row r="917" ht="15" customHeight="1">
      <c r="A917" t="inlineStr">
        <is>
          <t>A 61680-2022</t>
        </is>
      </c>
      <c r="B917" s="1" t="n">
        <v>44917.36372685185</v>
      </c>
      <c r="C917" s="1" t="n">
        <v>45915</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16550-2025</t>
        </is>
      </c>
      <c r="B918" s="1" t="n">
        <v>45751.69412037037</v>
      </c>
      <c r="C918" s="1" t="n">
        <v>45915</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16285-2025</t>
        </is>
      </c>
      <c r="B919" s="1" t="n">
        <v>45751.30045138889</v>
      </c>
      <c r="C919" s="1" t="n">
        <v>45915</v>
      </c>
      <c r="D919" t="inlineStr">
        <is>
          <t>SKÅNE LÄN</t>
        </is>
      </c>
      <c r="E919" t="inlineStr">
        <is>
          <t>HÄSSLEHOLM</t>
        </is>
      </c>
      <c r="G919" t="n">
        <v>2</v>
      </c>
      <c r="H919" t="n">
        <v>0</v>
      </c>
      <c r="I919" t="n">
        <v>0</v>
      </c>
      <c r="J919" t="n">
        <v>0</v>
      </c>
      <c r="K919" t="n">
        <v>0</v>
      </c>
      <c r="L919" t="n">
        <v>0</v>
      </c>
      <c r="M919" t="n">
        <v>0</v>
      </c>
      <c r="N919" t="n">
        <v>0</v>
      </c>
      <c r="O919" t="n">
        <v>0</v>
      </c>
      <c r="P919" t="n">
        <v>0</v>
      </c>
      <c r="Q919" t="n">
        <v>0</v>
      </c>
      <c r="R919" s="2" t="inlineStr"/>
    </row>
    <row r="920" ht="15" customHeight="1">
      <c r="A920" t="inlineStr">
        <is>
          <t>A 5780-2024</t>
        </is>
      </c>
      <c r="B920" s="1" t="n">
        <v>45335.41983796296</v>
      </c>
      <c r="C920" s="1" t="n">
        <v>45915</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36706-2022</t>
        </is>
      </c>
      <c r="B921" s="1" t="n">
        <v>44805.32891203704</v>
      </c>
      <c r="C921" s="1" t="n">
        <v>45915</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22678-2025</t>
        </is>
      </c>
      <c r="B922" s="1" t="n">
        <v>45789.49725694444</v>
      </c>
      <c r="C922" s="1" t="n">
        <v>45915</v>
      </c>
      <c r="D922" t="inlineStr">
        <is>
          <t>SKÅNE LÄN</t>
        </is>
      </c>
      <c r="E922" t="inlineStr">
        <is>
          <t>HÄSSLEHOLM</t>
        </is>
      </c>
      <c r="G922" t="n">
        <v>2.2</v>
      </c>
      <c r="H922" t="n">
        <v>0</v>
      </c>
      <c r="I922" t="n">
        <v>0</v>
      </c>
      <c r="J922" t="n">
        <v>0</v>
      </c>
      <c r="K922" t="n">
        <v>0</v>
      </c>
      <c r="L922" t="n">
        <v>0</v>
      </c>
      <c r="M922" t="n">
        <v>0</v>
      </c>
      <c r="N922" t="n">
        <v>0</v>
      </c>
      <c r="O922" t="n">
        <v>0</v>
      </c>
      <c r="P922" t="n">
        <v>0</v>
      </c>
      <c r="Q922" t="n">
        <v>0</v>
      </c>
      <c r="R922" s="2" t="inlineStr"/>
    </row>
    <row r="923" ht="15" customHeight="1">
      <c r="A923" t="inlineStr">
        <is>
          <t>A 32958-2023</t>
        </is>
      </c>
      <c r="B923" s="1" t="n">
        <v>45125.52142361111</v>
      </c>
      <c r="C923" s="1" t="n">
        <v>45915</v>
      </c>
      <c r="D923" t="inlineStr">
        <is>
          <t>SKÅNE LÄN</t>
        </is>
      </c>
      <c r="E923" t="inlineStr">
        <is>
          <t>HÄSSLEHOLM</t>
        </is>
      </c>
      <c r="G923" t="n">
        <v>7.9</v>
      </c>
      <c r="H923" t="n">
        <v>0</v>
      </c>
      <c r="I923" t="n">
        <v>0</v>
      </c>
      <c r="J923" t="n">
        <v>0</v>
      </c>
      <c r="K923" t="n">
        <v>0</v>
      </c>
      <c r="L923" t="n">
        <v>0</v>
      </c>
      <c r="M923" t="n">
        <v>0</v>
      </c>
      <c r="N923" t="n">
        <v>0</v>
      </c>
      <c r="O923" t="n">
        <v>0</v>
      </c>
      <c r="P923" t="n">
        <v>0</v>
      </c>
      <c r="Q923" t="n">
        <v>0</v>
      </c>
      <c r="R923" s="2" t="inlineStr"/>
    </row>
    <row r="924" ht="15" customHeight="1">
      <c r="A924" t="inlineStr">
        <is>
          <t>A 6791-2021</t>
        </is>
      </c>
      <c r="B924" s="1" t="n">
        <v>44236</v>
      </c>
      <c r="C924" s="1" t="n">
        <v>45915</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15897-2025</t>
        </is>
      </c>
      <c r="B925" s="1" t="n">
        <v>45749.41598379629</v>
      </c>
      <c r="C925" s="1" t="n">
        <v>45915</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441-2022</t>
        </is>
      </c>
      <c r="B926" s="1" t="n">
        <v>44565.97125</v>
      </c>
      <c r="C926" s="1" t="n">
        <v>45915</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61504-2022</t>
        </is>
      </c>
      <c r="B927" s="1" t="n">
        <v>44910</v>
      </c>
      <c r="C927" s="1" t="n">
        <v>45915</v>
      </c>
      <c r="D927" t="inlineStr">
        <is>
          <t>SKÅNE LÄN</t>
        </is>
      </c>
      <c r="E927" t="inlineStr">
        <is>
          <t>HÄSSLEHOLM</t>
        </is>
      </c>
      <c r="F927" t="inlineStr">
        <is>
          <t>Kyrkan</t>
        </is>
      </c>
      <c r="G927" t="n">
        <v>2.9</v>
      </c>
      <c r="H927" t="n">
        <v>0</v>
      </c>
      <c r="I927" t="n">
        <v>0</v>
      </c>
      <c r="J927" t="n">
        <v>0</v>
      </c>
      <c r="K927" t="n">
        <v>0</v>
      </c>
      <c r="L927" t="n">
        <v>0</v>
      </c>
      <c r="M927" t="n">
        <v>0</v>
      </c>
      <c r="N927" t="n">
        <v>0</v>
      </c>
      <c r="O927" t="n">
        <v>0</v>
      </c>
      <c r="P927" t="n">
        <v>0</v>
      </c>
      <c r="Q927" t="n">
        <v>0</v>
      </c>
      <c r="R927" s="2" t="inlineStr"/>
    </row>
    <row r="928" ht="15" customHeight="1">
      <c r="A928" t="inlineStr">
        <is>
          <t>A 29275-2023</t>
        </is>
      </c>
      <c r="B928" s="1" t="n">
        <v>45105</v>
      </c>
      <c r="C928" s="1" t="n">
        <v>45915</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27502-2023</t>
        </is>
      </c>
      <c r="B929" s="1" t="n">
        <v>45092</v>
      </c>
      <c r="C929" s="1" t="n">
        <v>45915</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54473-2023</t>
        </is>
      </c>
      <c r="B930" s="1" t="n">
        <v>45233</v>
      </c>
      <c r="C930" s="1" t="n">
        <v>45915</v>
      </c>
      <c r="D930" t="inlineStr">
        <is>
          <t>SKÅNE LÄN</t>
        </is>
      </c>
      <c r="E930" t="inlineStr">
        <is>
          <t>HÄSSLEHOLM</t>
        </is>
      </c>
      <c r="G930" t="n">
        <v>24.5</v>
      </c>
      <c r="H930" t="n">
        <v>0</v>
      </c>
      <c r="I930" t="n">
        <v>0</v>
      </c>
      <c r="J930" t="n">
        <v>0</v>
      </c>
      <c r="K930" t="n">
        <v>0</v>
      </c>
      <c r="L930" t="n">
        <v>0</v>
      </c>
      <c r="M930" t="n">
        <v>0</v>
      </c>
      <c r="N930" t="n">
        <v>0</v>
      </c>
      <c r="O930" t="n">
        <v>0</v>
      </c>
      <c r="P930" t="n">
        <v>0</v>
      </c>
      <c r="Q930" t="n">
        <v>0</v>
      </c>
      <c r="R930" s="2" t="inlineStr"/>
    </row>
    <row r="931" ht="15" customHeight="1">
      <c r="A931" t="inlineStr">
        <is>
          <t>A 26641-2023</t>
        </is>
      </c>
      <c r="B931" s="1" t="n">
        <v>45092.89619212963</v>
      </c>
      <c r="C931" s="1" t="n">
        <v>45915</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3364-2023</t>
        </is>
      </c>
      <c r="B932" s="1" t="n">
        <v>44949</v>
      </c>
      <c r="C932" s="1" t="n">
        <v>45915</v>
      </c>
      <c r="D932" t="inlineStr">
        <is>
          <t>SKÅNE LÄN</t>
        </is>
      </c>
      <c r="E932" t="inlineStr">
        <is>
          <t>HÄSSLEHOLM</t>
        </is>
      </c>
      <c r="G932" t="n">
        <v>5.1</v>
      </c>
      <c r="H932" t="n">
        <v>0</v>
      </c>
      <c r="I932" t="n">
        <v>0</v>
      </c>
      <c r="J932" t="n">
        <v>0</v>
      </c>
      <c r="K932" t="n">
        <v>0</v>
      </c>
      <c r="L932" t="n">
        <v>0</v>
      </c>
      <c r="M932" t="n">
        <v>0</v>
      </c>
      <c r="N932" t="n">
        <v>0</v>
      </c>
      <c r="O932" t="n">
        <v>0</v>
      </c>
      <c r="P932" t="n">
        <v>0</v>
      </c>
      <c r="Q932" t="n">
        <v>0</v>
      </c>
      <c r="R932" s="2" t="inlineStr"/>
    </row>
    <row r="933" ht="15" customHeight="1">
      <c r="A933" t="inlineStr">
        <is>
          <t>A 43629-2023</t>
        </is>
      </c>
      <c r="B933" s="1" t="n">
        <v>45184</v>
      </c>
      <c r="C933" s="1" t="n">
        <v>45915</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57656-2022</t>
        </is>
      </c>
      <c r="B934" s="1" t="n">
        <v>44897.4325925926</v>
      </c>
      <c r="C934" s="1" t="n">
        <v>45915</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39453-2025</t>
        </is>
      </c>
      <c r="B935" s="1" t="n">
        <v>45889</v>
      </c>
      <c r="C935" s="1" t="n">
        <v>45915</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8250-2023</t>
        </is>
      </c>
      <c r="B936" s="1" t="n">
        <v>44974</v>
      </c>
      <c r="C936" s="1" t="n">
        <v>45915</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51752-2023</t>
        </is>
      </c>
      <c r="B937" s="1" t="n">
        <v>45222</v>
      </c>
      <c r="C937" s="1" t="n">
        <v>45915</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6101-2022</t>
        </is>
      </c>
      <c r="B938" s="1" t="n">
        <v>44599.63016203704</v>
      </c>
      <c r="C938" s="1" t="n">
        <v>45915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20800-2023</t>
        </is>
      </c>
      <c r="B939" s="1" t="n">
        <v>45058.61640046296</v>
      </c>
      <c r="C939" s="1" t="n">
        <v>45915</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49219-2024</t>
        </is>
      </c>
      <c r="B940" s="1" t="n">
        <v>45595.40923611111</v>
      </c>
      <c r="C940" s="1" t="n">
        <v>45915</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7152-2025</t>
        </is>
      </c>
      <c r="B941" s="1" t="n">
        <v>45702.3837037037</v>
      </c>
      <c r="C941" s="1" t="n">
        <v>45915</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7160-2025</t>
        </is>
      </c>
      <c r="B942" s="1" t="n">
        <v>45702.3875462963</v>
      </c>
      <c r="C942" s="1" t="n">
        <v>45915</v>
      </c>
      <c r="D942" t="inlineStr">
        <is>
          <t>SKÅNE LÄN</t>
        </is>
      </c>
      <c r="E942" t="inlineStr">
        <is>
          <t>HÄSSLEHOLM</t>
        </is>
      </c>
      <c r="G942" t="n">
        <v>2.5</v>
      </c>
      <c r="H942" t="n">
        <v>0</v>
      </c>
      <c r="I942" t="n">
        <v>0</v>
      </c>
      <c r="J942" t="n">
        <v>0</v>
      </c>
      <c r="K942" t="n">
        <v>0</v>
      </c>
      <c r="L942" t="n">
        <v>0</v>
      </c>
      <c r="M942" t="n">
        <v>0</v>
      </c>
      <c r="N942" t="n">
        <v>0</v>
      </c>
      <c r="O942" t="n">
        <v>0</v>
      </c>
      <c r="P942" t="n">
        <v>0</v>
      </c>
      <c r="Q942" t="n">
        <v>0</v>
      </c>
      <c r="R942" s="2" t="inlineStr"/>
    </row>
    <row r="943" ht="15" customHeight="1">
      <c r="A943" t="inlineStr">
        <is>
          <t>A 14939-2023</t>
        </is>
      </c>
      <c r="B943" s="1" t="n">
        <v>45014</v>
      </c>
      <c r="C943" s="1" t="n">
        <v>45915</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39366-2025</t>
        </is>
      </c>
      <c r="B944" s="1" t="n">
        <v>45889</v>
      </c>
      <c r="C944" s="1" t="n">
        <v>45915</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39457-2025</t>
        </is>
      </c>
      <c r="B945" s="1" t="n">
        <v>45889.76887731482</v>
      </c>
      <c r="C945" s="1" t="n">
        <v>45915</v>
      </c>
      <c r="D945" t="inlineStr">
        <is>
          <t>SKÅNE LÄN</t>
        </is>
      </c>
      <c r="E945" t="inlineStr">
        <is>
          <t>HÄSSLEHOLM</t>
        </is>
      </c>
      <c r="G945" t="n">
        <v>6.6</v>
      </c>
      <c r="H945" t="n">
        <v>0</v>
      </c>
      <c r="I945" t="n">
        <v>0</v>
      </c>
      <c r="J945" t="n">
        <v>0</v>
      </c>
      <c r="K945" t="n">
        <v>0</v>
      </c>
      <c r="L945" t="n">
        <v>0</v>
      </c>
      <c r="M945" t="n">
        <v>0</v>
      </c>
      <c r="N945" t="n">
        <v>0</v>
      </c>
      <c r="O945" t="n">
        <v>0</v>
      </c>
      <c r="P945" t="n">
        <v>0</v>
      </c>
      <c r="Q945" t="n">
        <v>0</v>
      </c>
      <c r="R945" s="2" t="inlineStr"/>
    </row>
    <row r="946" ht="15" customHeight="1">
      <c r="A946" t="inlineStr">
        <is>
          <t>A 6842-2023</t>
        </is>
      </c>
      <c r="B946" s="1" t="n">
        <v>44967</v>
      </c>
      <c r="C946" s="1" t="n">
        <v>45915</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15104-2023</t>
        </is>
      </c>
      <c r="B947" s="1" t="n">
        <v>45016.40576388889</v>
      </c>
      <c r="C947" s="1" t="n">
        <v>45915</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66321-2021</t>
        </is>
      </c>
      <c r="B948" s="1" t="n">
        <v>44518</v>
      </c>
      <c r="C948" s="1" t="n">
        <v>45915</v>
      </c>
      <c r="D948" t="inlineStr">
        <is>
          <t>SKÅNE LÄN</t>
        </is>
      </c>
      <c r="E948" t="inlineStr">
        <is>
          <t>HÄSSLEHOLM</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21494-2023</t>
        </is>
      </c>
      <c r="B949" s="1" t="n">
        <v>45063</v>
      </c>
      <c r="C949" s="1" t="n">
        <v>45915</v>
      </c>
      <c r="D949" t="inlineStr">
        <is>
          <t>SKÅNE LÄN</t>
        </is>
      </c>
      <c r="E949" t="inlineStr">
        <is>
          <t>HÄSSLEHOLM</t>
        </is>
      </c>
      <c r="G949" t="n">
        <v>3.7</v>
      </c>
      <c r="H949" t="n">
        <v>0</v>
      </c>
      <c r="I949" t="n">
        <v>0</v>
      </c>
      <c r="J949" t="n">
        <v>0</v>
      </c>
      <c r="K949" t="n">
        <v>0</v>
      </c>
      <c r="L949" t="n">
        <v>0</v>
      </c>
      <c r="M949" t="n">
        <v>0</v>
      </c>
      <c r="N949" t="n">
        <v>0</v>
      </c>
      <c r="O949" t="n">
        <v>0</v>
      </c>
      <c r="P949" t="n">
        <v>0</v>
      </c>
      <c r="Q949" t="n">
        <v>0</v>
      </c>
      <c r="R949" s="2" t="inlineStr"/>
    </row>
    <row r="950" ht="15" customHeight="1">
      <c r="A950" t="inlineStr">
        <is>
          <t>A 21495-2023</t>
        </is>
      </c>
      <c r="B950" s="1" t="n">
        <v>45063</v>
      </c>
      <c r="C950" s="1" t="n">
        <v>45915</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39937-2025</t>
        </is>
      </c>
      <c r="B951" s="1" t="n">
        <v>45891.73162037037</v>
      </c>
      <c r="C951" s="1" t="n">
        <v>45915</v>
      </c>
      <c r="D951" t="inlineStr">
        <is>
          <t>SKÅNE LÄN</t>
        </is>
      </c>
      <c r="E951" t="inlineStr">
        <is>
          <t>HÄSSLEHOLM</t>
        </is>
      </c>
      <c r="G951" t="n">
        <v>4.5</v>
      </c>
      <c r="H951" t="n">
        <v>0</v>
      </c>
      <c r="I951" t="n">
        <v>0</v>
      </c>
      <c r="J951" t="n">
        <v>0</v>
      </c>
      <c r="K951" t="n">
        <v>0</v>
      </c>
      <c r="L951" t="n">
        <v>0</v>
      </c>
      <c r="M951" t="n">
        <v>0</v>
      </c>
      <c r="N951" t="n">
        <v>0</v>
      </c>
      <c r="O951" t="n">
        <v>0</v>
      </c>
      <c r="P951" t="n">
        <v>0</v>
      </c>
      <c r="Q951" t="n">
        <v>0</v>
      </c>
      <c r="R951" s="2" t="inlineStr"/>
    </row>
    <row r="952" ht="15" customHeight="1">
      <c r="A952" t="inlineStr">
        <is>
          <t>A 7202-2022</t>
        </is>
      </c>
      <c r="B952" s="1" t="n">
        <v>44606</v>
      </c>
      <c r="C952" s="1" t="n">
        <v>45915</v>
      </c>
      <c r="D952" t="inlineStr">
        <is>
          <t>SKÅNE LÄN</t>
        </is>
      </c>
      <c r="E952" t="inlineStr">
        <is>
          <t>HÄSSLEHOLM</t>
        </is>
      </c>
      <c r="G952" t="n">
        <v>4.7</v>
      </c>
      <c r="H952" t="n">
        <v>0</v>
      </c>
      <c r="I952" t="n">
        <v>0</v>
      </c>
      <c r="J952" t="n">
        <v>0</v>
      </c>
      <c r="K952" t="n">
        <v>0</v>
      </c>
      <c r="L952" t="n">
        <v>0</v>
      </c>
      <c r="M952" t="n">
        <v>0</v>
      </c>
      <c r="N952" t="n">
        <v>0</v>
      </c>
      <c r="O952" t="n">
        <v>0</v>
      </c>
      <c r="P952" t="n">
        <v>0</v>
      </c>
      <c r="Q952" t="n">
        <v>0</v>
      </c>
      <c r="R952" s="2" t="inlineStr"/>
    </row>
    <row r="953" ht="15" customHeight="1">
      <c r="A953" t="inlineStr">
        <is>
          <t>A 34869-2025</t>
        </is>
      </c>
      <c r="B953" s="1" t="n">
        <v>45849</v>
      </c>
      <c r="C953" s="1" t="n">
        <v>45915</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5054-2022</t>
        </is>
      </c>
      <c r="B954" s="1" t="n">
        <v>44593.69065972222</v>
      </c>
      <c r="C954" s="1" t="n">
        <v>45915</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49181-2024</t>
        </is>
      </c>
      <c r="B955" s="1" t="n">
        <v>45595</v>
      </c>
      <c r="C955" s="1" t="n">
        <v>45915</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3349-2023</t>
        </is>
      </c>
      <c r="B956" s="1" t="n">
        <v>44949</v>
      </c>
      <c r="C956" s="1" t="n">
        <v>45915</v>
      </c>
      <c r="D956" t="inlineStr">
        <is>
          <t>SKÅNE LÄN</t>
        </is>
      </c>
      <c r="E956" t="inlineStr">
        <is>
          <t>HÄSSLEHOLM</t>
        </is>
      </c>
      <c r="G956" t="n">
        <v>2.3</v>
      </c>
      <c r="H956" t="n">
        <v>0</v>
      </c>
      <c r="I956" t="n">
        <v>0</v>
      </c>
      <c r="J956" t="n">
        <v>0</v>
      </c>
      <c r="K956" t="n">
        <v>0</v>
      </c>
      <c r="L956" t="n">
        <v>0</v>
      </c>
      <c r="M956" t="n">
        <v>0</v>
      </c>
      <c r="N956" t="n">
        <v>0</v>
      </c>
      <c r="O956" t="n">
        <v>0</v>
      </c>
      <c r="P956" t="n">
        <v>0</v>
      </c>
      <c r="Q956" t="n">
        <v>0</v>
      </c>
      <c r="R956" s="2" t="inlineStr"/>
    </row>
    <row r="957" ht="15" customHeight="1">
      <c r="A957" t="inlineStr">
        <is>
          <t>A 39934-2025</t>
        </is>
      </c>
      <c r="B957" s="1" t="n">
        <v>45891.71465277778</v>
      </c>
      <c r="C957" s="1" t="n">
        <v>45915</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40241-2025</t>
        </is>
      </c>
      <c r="B958" s="1" t="n">
        <v>45894.87251157407</v>
      </c>
      <c r="C958" s="1" t="n">
        <v>45915</v>
      </c>
      <c r="D958" t="inlineStr">
        <is>
          <t>SKÅNE LÄN</t>
        </is>
      </c>
      <c r="E958" t="inlineStr">
        <is>
          <t>HÄSSLEHOLM</t>
        </is>
      </c>
      <c r="G958" t="n">
        <v>3.8</v>
      </c>
      <c r="H958" t="n">
        <v>0</v>
      </c>
      <c r="I958" t="n">
        <v>0</v>
      </c>
      <c r="J958" t="n">
        <v>0</v>
      </c>
      <c r="K958" t="n">
        <v>0</v>
      </c>
      <c r="L958" t="n">
        <v>0</v>
      </c>
      <c r="M958" t="n">
        <v>0</v>
      </c>
      <c r="N958" t="n">
        <v>0</v>
      </c>
      <c r="O958" t="n">
        <v>0</v>
      </c>
      <c r="P958" t="n">
        <v>0</v>
      </c>
      <c r="Q958" t="n">
        <v>0</v>
      </c>
      <c r="R958" s="2" t="inlineStr"/>
    </row>
    <row r="959" ht="15" customHeight="1">
      <c r="A959" t="inlineStr">
        <is>
          <t>A 35259-2025</t>
        </is>
      </c>
      <c r="B959" s="1" t="n">
        <v>45853.76912037037</v>
      </c>
      <c r="C959" s="1" t="n">
        <v>45915</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20970-2025</t>
        </is>
      </c>
      <c r="B960" s="1" t="n">
        <v>45777.45417824074</v>
      </c>
      <c r="C960" s="1" t="n">
        <v>45915</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49384-2021</t>
        </is>
      </c>
      <c r="B961" s="1" t="n">
        <v>44454</v>
      </c>
      <c r="C961" s="1" t="n">
        <v>45915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60959-2022</t>
        </is>
      </c>
      <c r="B962" s="1" t="n">
        <v>44914.64777777778</v>
      </c>
      <c r="C962" s="1" t="n">
        <v>45915</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17413-2025</t>
        </is>
      </c>
      <c r="B963" s="1" t="n">
        <v>45757.37480324074</v>
      </c>
      <c r="C963" s="1" t="n">
        <v>45915</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37286-2025</t>
        </is>
      </c>
      <c r="B964" s="1" t="n">
        <v>45876.50116898148</v>
      </c>
      <c r="C964" s="1" t="n">
        <v>45915</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3746-2024</t>
        </is>
      </c>
      <c r="B965" s="1" t="n">
        <v>45321.50745370371</v>
      </c>
      <c r="C965" s="1" t="n">
        <v>45915</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6638-2021</t>
        </is>
      </c>
      <c r="B966" s="1" t="n">
        <v>44235</v>
      </c>
      <c r="C966" s="1" t="n">
        <v>45915</v>
      </c>
      <c r="D966" t="inlineStr">
        <is>
          <t>SKÅNE LÄN</t>
        </is>
      </c>
      <c r="E966" t="inlineStr">
        <is>
          <t>HÄSSLEHOLM</t>
        </is>
      </c>
      <c r="G966" t="n">
        <v>112.4</v>
      </c>
      <c r="H966" t="n">
        <v>0</v>
      </c>
      <c r="I966" t="n">
        <v>0</v>
      </c>
      <c r="J966" t="n">
        <v>0</v>
      </c>
      <c r="K966" t="n">
        <v>0</v>
      </c>
      <c r="L966" t="n">
        <v>0</v>
      </c>
      <c r="M966" t="n">
        <v>0</v>
      </c>
      <c r="N966" t="n">
        <v>0</v>
      </c>
      <c r="O966" t="n">
        <v>0</v>
      </c>
      <c r="P966" t="n">
        <v>0</v>
      </c>
      <c r="Q966" t="n">
        <v>0</v>
      </c>
      <c r="R966" s="2" t="inlineStr"/>
    </row>
    <row r="967" ht="15" customHeight="1">
      <c r="A967" t="inlineStr">
        <is>
          <t>A 44262-2021</t>
        </is>
      </c>
      <c r="B967" s="1" t="n">
        <v>44434</v>
      </c>
      <c r="C967" s="1" t="n">
        <v>45915</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1553-2023</t>
        </is>
      </c>
      <c r="B968" s="1" t="n">
        <v>44937</v>
      </c>
      <c r="C968" s="1" t="n">
        <v>45915</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1562-2023</t>
        </is>
      </c>
      <c r="B969" s="1" t="n">
        <v>44937.60450231482</v>
      </c>
      <c r="C969" s="1" t="n">
        <v>45915</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3452-2023</t>
        </is>
      </c>
      <c r="B970" s="1" t="n">
        <v>44949</v>
      </c>
      <c r="C970" s="1" t="n">
        <v>45915</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2596-2024</t>
        </is>
      </c>
      <c r="B971" s="1" t="n">
        <v>45313.69969907407</v>
      </c>
      <c r="C971" s="1" t="n">
        <v>45915</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45915</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4187-2023</t>
        </is>
      </c>
      <c r="B973" s="1" t="n">
        <v>44953</v>
      </c>
      <c r="C973" s="1" t="n">
        <v>45915</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4382-2023</t>
        </is>
      </c>
      <c r="B974" s="1" t="n">
        <v>44955.61152777778</v>
      </c>
      <c r="C974" s="1" t="n">
        <v>45915</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11116-2023</t>
        </is>
      </c>
      <c r="B975" s="1" t="n">
        <v>44986</v>
      </c>
      <c r="C975" s="1" t="n">
        <v>45915</v>
      </c>
      <c r="D975" t="inlineStr">
        <is>
          <t>SKÅNE LÄN</t>
        </is>
      </c>
      <c r="E975" t="inlineStr">
        <is>
          <t>HÄSSLEHOLM</t>
        </is>
      </c>
      <c r="F975" t="inlineStr">
        <is>
          <t>Kommuner</t>
        </is>
      </c>
      <c r="G975" t="n">
        <v>15.1</v>
      </c>
      <c r="H975" t="n">
        <v>0</v>
      </c>
      <c r="I975" t="n">
        <v>0</v>
      </c>
      <c r="J975" t="n">
        <v>0</v>
      </c>
      <c r="K975" t="n">
        <v>0</v>
      </c>
      <c r="L975" t="n">
        <v>0</v>
      </c>
      <c r="M975" t="n">
        <v>0</v>
      </c>
      <c r="N975" t="n">
        <v>0</v>
      </c>
      <c r="O975" t="n">
        <v>0</v>
      </c>
      <c r="P975" t="n">
        <v>0</v>
      </c>
      <c r="Q975" t="n">
        <v>0</v>
      </c>
      <c r="R975" s="2" t="inlineStr"/>
    </row>
    <row r="976" ht="15" customHeight="1">
      <c r="A976" t="inlineStr">
        <is>
          <t>A 11121-2023</t>
        </is>
      </c>
      <c r="B976" s="1" t="n">
        <v>44986</v>
      </c>
      <c r="C976" s="1" t="n">
        <v>45915</v>
      </c>
      <c r="D976" t="inlineStr">
        <is>
          <t>SKÅNE LÄN</t>
        </is>
      </c>
      <c r="E976" t="inlineStr">
        <is>
          <t>HÄSSLEHOLM</t>
        </is>
      </c>
      <c r="F976" t="inlineStr">
        <is>
          <t>Kommuner</t>
        </is>
      </c>
      <c r="G976" t="n">
        <v>5.8</v>
      </c>
      <c r="H976" t="n">
        <v>0</v>
      </c>
      <c r="I976" t="n">
        <v>0</v>
      </c>
      <c r="J976" t="n">
        <v>0</v>
      </c>
      <c r="K976" t="n">
        <v>0</v>
      </c>
      <c r="L976" t="n">
        <v>0</v>
      </c>
      <c r="M976" t="n">
        <v>0</v>
      </c>
      <c r="N976" t="n">
        <v>0</v>
      </c>
      <c r="O976" t="n">
        <v>0</v>
      </c>
      <c r="P976" t="n">
        <v>0</v>
      </c>
      <c r="Q976" t="n">
        <v>0</v>
      </c>
      <c r="R976" s="2" t="inlineStr"/>
    </row>
    <row r="977" ht="15" customHeight="1">
      <c r="A977" t="inlineStr">
        <is>
          <t>A 49107-2023</t>
        </is>
      </c>
      <c r="B977" s="1" t="n">
        <v>45210.44337962963</v>
      </c>
      <c r="C977" s="1" t="n">
        <v>45915</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5282-2023</t>
        </is>
      </c>
      <c r="B978" s="1" t="n">
        <v>44959.50471064815</v>
      </c>
      <c r="C978" s="1" t="n">
        <v>45915</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6180-2021</t>
        </is>
      </c>
      <c r="B979" s="1" t="n">
        <v>44232</v>
      </c>
      <c r="C979" s="1" t="n">
        <v>45915</v>
      </c>
      <c r="D979" t="inlineStr">
        <is>
          <t>SKÅNE LÄN</t>
        </is>
      </c>
      <c r="E979" t="inlineStr">
        <is>
          <t>HÄSSLEHOLM</t>
        </is>
      </c>
      <c r="F979" t="inlineStr">
        <is>
          <t>Kyrkan</t>
        </is>
      </c>
      <c r="G979" t="n">
        <v>1.1</v>
      </c>
      <c r="H979" t="n">
        <v>0</v>
      </c>
      <c r="I979" t="n">
        <v>0</v>
      </c>
      <c r="J979" t="n">
        <v>0</v>
      </c>
      <c r="K979" t="n">
        <v>0</v>
      </c>
      <c r="L979" t="n">
        <v>0</v>
      </c>
      <c r="M979" t="n">
        <v>0</v>
      </c>
      <c r="N979" t="n">
        <v>0</v>
      </c>
      <c r="O979" t="n">
        <v>0</v>
      </c>
      <c r="P979" t="n">
        <v>0</v>
      </c>
      <c r="Q979" t="n">
        <v>0</v>
      </c>
      <c r="R979" s="2" t="inlineStr"/>
    </row>
    <row r="980" ht="15" customHeight="1">
      <c r="A980" t="inlineStr">
        <is>
          <t>A 53897-2023</t>
        </is>
      </c>
      <c r="B980" s="1" t="n">
        <v>45231.53934027778</v>
      </c>
      <c r="C980" s="1" t="n">
        <v>45915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45915</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20990-2023</t>
        </is>
      </c>
      <c r="B982" s="1" t="n">
        <v>45061.46186342592</v>
      </c>
      <c r="C982" s="1" t="n">
        <v>45915</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41400-2025</t>
        </is>
      </c>
      <c r="B983" s="1" t="n">
        <v>45901</v>
      </c>
      <c r="C983" s="1" t="n">
        <v>45915</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41401-2025</t>
        </is>
      </c>
      <c r="B984" s="1" t="n">
        <v>45901</v>
      </c>
      <c r="C984" s="1" t="n">
        <v>45915</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22696-2023</t>
        </is>
      </c>
      <c r="B985" s="1" t="n">
        <v>45071.69464120371</v>
      </c>
      <c r="C985" s="1" t="n">
        <v>45915</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33873-2021</t>
        </is>
      </c>
      <c r="B986" s="1" t="n">
        <v>44378</v>
      </c>
      <c r="C986" s="1" t="n">
        <v>45915</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34348-2022</t>
        </is>
      </c>
      <c r="B987" s="1" t="n">
        <v>44792</v>
      </c>
      <c r="C987" s="1" t="n">
        <v>45915</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6836-2023</t>
        </is>
      </c>
      <c r="B988" s="1" t="n">
        <v>44967</v>
      </c>
      <c r="C988" s="1" t="n">
        <v>45915</v>
      </c>
      <c r="D988" t="inlineStr">
        <is>
          <t>SKÅNE LÄN</t>
        </is>
      </c>
      <c r="E988" t="inlineStr">
        <is>
          <t>HÄSSLEHOLM</t>
        </is>
      </c>
      <c r="G988" t="n">
        <v>3.5</v>
      </c>
      <c r="H988" t="n">
        <v>0</v>
      </c>
      <c r="I988" t="n">
        <v>0</v>
      </c>
      <c r="J988" t="n">
        <v>0</v>
      </c>
      <c r="K988" t="n">
        <v>0</v>
      </c>
      <c r="L988" t="n">
        <v>0</v>
      </c>
      <c r="M988" t="n">
        <v>0</v>
      </c>
      <c r="N988" t="n">
        <v>0</v>
      </c>
      <c r="O988" t="n">
        <v>0</v>
      </c>
      <c r="P988" t="n">
        <v>0</v>
      </c>
      <c r="Q988" t="n">
        <v>0</v>
      </c>
      <c r="R988" s="2" t="inlineStr"/>
    </row>
    <row r="989" ht="15" customHeight="1">
      <c r="A989" t="inlineStr">
        <is>
          <t>A 31931-2024</t>
        </is>
      </c>
      <c r="B989" s="1" t="n">
        <v>45510.40878472223</v>
      </c>
      <c r="C989" s="1" t="n">
        <v>45915</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8803-2023</t>
        </is>
      </c>
      <c r="B990" s="1" t="n">
        <v>44978.61712962963</v>
      </c>
      <c r="C990" s="1" t="n">
        <v>45915</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11681-2023</t>
        </is>
      </c>
      <c r="B991" s="1" t="n">
        <v>44992</v>
      </c>
      <c r="C991" s="1" t="n">
        <v>45915</v>
      </c>
      <c r="D991" t="inlineStr">
        <is>
          <t>SKÅNE LÄN</t>
        </is>
      </c>
      <c r="E991" t="inlineStr">
        <is>
          <t>HÄSSLEHOLM</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46222-2022</t>
        </is>
      </c>
      <c r="B992" s="1" t="n">
        <v>44847.58725694445</v>
      </c>
      <c r="C992" s="1" t="n">
        <v>45915</v>
      </c>
      <c r="D992" t="inlineStr">
        <is>
          <t>SKÅNE LÄN</t>
        </is>
      </c>
      <c r="E992" t="inlineStr">
        <is>
          <t>HÄSSLEHOLM</t>
        </is>
      </c>
      <c r="G992" t="n">
        <v>6.3</v>
      </c>
      <c r="H992" t="n">
        <v>0</v>
      </c>
      <c r="I992" t="n">
        <v>0</v>
      </c>
      <c r="J992" t="n">
        <v>0</v>
      </c>
      <c r="K992" t="n">
        <v>0</v>
      </c>
      <c r="L992" t="n">
        <v>0</v>
      </c>
      <c r="M992" t="n">
        <v>0</v>
      </c>
      <c r="N992" t="n">
        <v>0</v>
      </c>
      <c r="O992" t="n">
        <v>0</v>
      </c>
      <c r="P992" t="n">
        <v>0</v>
      </c>
      <c r="Q992" t="n">
        <v>0</v>
      </c>
      <c r="R992" s="2" t="inlineStr"/>
    </row>
    <row r="993" ht="15" customHeight="1">
      <c r="A993" t="inlineStr">
        <is>
          <t>A 50046-2020</t>
        </is>
      </c>
      <c r="B993" s="1" t="n">
        <v>44109</v>
      </c>
      <c r="C993" s="1" t="n">
        <v>45915</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50249-2024</t>
        </is>
      </c>
      <c r="B994" s="1" t="n">
        <v>45600.56866898148</v>
      </c>
      <c r="C994" s="1" t="n">
        <v>45915</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36085-2025</t>
        </is>
      </c>
      <c r="B995" s="1" t="n">
        <v>45866.46190972222</v>
      </c>
      <c r="C995" s="1" t="n">
        <v>45915</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60843-2022</t>
        </is>
      </c>
      <c r="B996" s="1" t="n">
        <v>44914</v>
      </c>
      <c r="C996" s="1" t="n">
        <v>45915</v>
      </c>
      <c r="D996" t="inlineStr">
        <is>
          <t>SKÅNE LÄN</t>
        </is>
      </c>
      <c r="E996" t="inlineStr">
        <is>
          <t>HÄSSLEHOLM</t>
        </is>
      </c>
      <c r="G996" t="n">
        <v>2.2</v>
      </c>
      <c r="H996" t="n">
        <v>0</v>
      </c>
      <c r="I996" t="n">
        <v>0</v>
      </c>
      <c r="J996" t="n">
        <v>0</v>
      </c>
      <c r="K996" t="n">
        <v>0</v>
      </c>
      <c r="L996" t="n">
        <v>0</v>
      </c>
      <c r="M996" t="n">
        <v>0</v>
      </c>
      <c r="N996" t="n">
        <v>0</v>
      </c>
      <c r="O996" t="n">
        <v>0</v>
      </c>
      <c r="P996" t="n">
        <v>0</v>
      </c>
      <c r="Q996" t="n">
        <v>0</v>
      </c>
      <c r="R996" s="2" t="inlineStr"/>
    </row>
    <row r="997" ht="15" customHeight="1">
      <c r="A997" t="inlineStr">
        <is>
          <t>A 51040-2024</t>
        </is>
      </c>
      <c r="B997" s="1" t="n">
        <v>45603.43222222223</v>
      </c>
      <c r="C997" s="1" t="n">
        <v>45915</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56881-2021</t>
        </is>
      </c>
      <c r="B998" s="1" t="n">
        <v>44481</v>
      </c>
      <c r="C998" s="1" t="n">
        <v>45915</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45915</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56956-2024</t>
        </is>
      </c>
      <c r="B1000" s="1" t="n">
        <v>45626</v>
      </c>
      <c r="C1000" s="1" t="n">
        <v>45915</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58883-2024</t>
        </is>
      </c>
      <c r="B1001" s="1" t="n">
        <v>45636.44962962963</v>
      </c>
      <c r="C1001" s="1" t="n">
        <v>45915</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45915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45915</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1616-2025</t>
        </is>
      </c>
      <c r="B1004" s="1" t="n">
        <v>45670</v>
      </c>
      <c r="C1004" s="1" t="n">
        <v>45915</v>
      </c>
      <c r="D1004" t="inlineStr">
        <is>
          <t>SKÅNE LÄN</t>
        </is>
      </c>
      <c r="E1004" t="inlineStr">
        <is>
          <t>HÄSSLEHOLM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42520-2025</t>
        </is>
      </c>
      <c r="B1005" s="1" t="n">
        <v>45905.54846064815</v>
      </c>
      <c r="C1005" s="1" t="n">
        <v>45915</v>
      </c>
      <c r="D1005" t="inlineStr">
        <is>
          <t>SKÅNE LÄN</t>
        </is>
      </c>
      <c r="E1005" t="inlineStr">
        <is>
          <t>HÄSSLEHOLM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45915</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45915</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36130-2025</t>
        </is>
      </c>
      <c r="B1008" s="1" t="n">
        <v>45866.62273148148</v>
      </c>
      <c r="C1008" s="1" t="n">
        <v>45915</v>
      </c>
      <c r="D1008" t="inlineStr">
        <is>
          <t>SKÅNE LÄN</t>
        </is>
      </c>
      <c r="E1008" t="inlineStr">
        <is>
          <t>HÄSSLEHOLM</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37038-2022</t>
        </is>
      </c>
      <c r="B1009" s="1" t="n">
        <v>44806.44232638889</v>
      </c>
      <c r="C1009" s="1" t="n">
        <v>45915</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19666-2025</t>
        </is>
      </c>
      <c r="B1010" s="1" t="n">
        <v>45770.69326388889</v>
      </c>
      <c r="C1010" s="1" t="n">
        <v>45915</v>
      </c>
      <c r="D1010" t="inlineStr">
        <is>
          <t>SKÅNE LÄN</t>
        </is>
      </c>
      <c r="E1010" t="inlineStr">
        <is>
          <t>HÄSSLEHOLM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43332-2025</t>
        </is>
      </c>
      <c r="B1011" s="1" t="n">
        <v>45910.70217592592</v>
      </c>
      <c r="C1011" s="1" t="n">
        <v>45915</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45915</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31572-2022</t>
        </is>
      </c>
      <c r="B1013" s="1" t="n">
        <v>44775</v>
      </c>
      <c r="C1013" s="1" t="n">
        <v>45915</v>
      </c>
      <c r="D1013" t="inlineStr">
        <is>
          <t>SKÅNE LÄN</t>
        </is>
      </c>
      <c r="E1013" t="inlineStr">
        <is>
          <t>HÄSSLEHOLM</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70087-2021</t>
        </is>
      </c>
      <c r="B1014" s="1" t="n">
        <v>44533</v>
      </c>
      <c r="C1014" s="1" t="n">
        <v>45915</v>
      </c>
      <c r="D1014" t="inlineStr">
        <is>
          <t>SKÅNE LÄN</t>
        </is>
      </c>
      <c r="E1014" t="inlineStr">
        <is>
          <t>HÄSSLEHOLM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9375-2023</t>
        </is>
      </c>
      <c r="B1015" s="1" t="n">
        <v>44981</v>
      </c>
      <c r="C1015" s="1" t="n">
        <v>45915</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36361-2025</t>
        </is>
      </c>
      <c r="B1016" s="1" t="n">
        <v>45867</v>
      </c>
      <c r="C1016" s="1" t="n">
        <v>45915</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45915</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36358-2025</t>
        </is>
      </c>
      <c r="B1018" s="1" t="n">
        <v>45867</v>
      </c>
      <c r="C1018" s="1" t="n">
        <v>45915</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36359-2025</t>
        </is>
      </c>
      <c r="B1019" s="1" t="n">
        <v>45867</v>
      </c>
      <c r="C1019" s="1" t="n">
        <v>45915</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55416-2021</t>
        </is>
      </c>
      <c r="B1020" s="1" t="n">
        <v>44475</v>
      </c>
      <c r="C1020" s="1" t="n">
        <v>45915</v>
      </c>
      <c r="D1020" t="inlineStr">
        <is>
          <t>SKÅNE LÄN</t>
        </is>
      </c>
      <c r="E1020" t="inlineStr">
        <is>
          <t>HÄSSLEHOLM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60509-2023</t>
        </is>
      </c>
      <c r="B1021" s="1" t="n">
        <v>45259</v>
      </c>
      <c r="C1021" s="1" t="n">
        <v>45915</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36259-2025</t>
        </is>
      </c>
      <c r="B1022" s="1" t="n">
        <v>45867.59799768519</v>
      </c>
      <c r="C1022" s="1" t="n">
        <v>45915</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21310-2022</t>
        </is>
      </c>
      <c r="B1023" s="1" t="n">
        <v>44705</v>
      </c>
      <c r="C1023" s="1" t="n">
        <v>45915</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43869-2025</t>
        </is>
      </c>
      <c r="B1024" s="1" t="n">
        <v>45912.66452546296</v>
      </c>
      <c r="C1024" s="1" t="n">
        <v>45915</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43741-2025</t>
        </is>
      </c>
      <c r="B1025" s="1" t="n">
        <v>45912.45541666666</v>
      </c>
      <c r="C1025" s="1" t="n">
        <v>45915</v>
      </c>
      <c r="D1025" t="inlineStr">
        <is>
          <t>SKÅNE LÄN</t>
        </is>
      </c>
      <c r="E1025" t="inlineStr">
        <is>
          <t>HÄSSLEHOLM</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43516-2025</t>
        </is>
      </c>
      <c r="B1026" s="1" t="n">
        <v>45911</v>
      </c>
      <c r="C1026" s="1" t="n">
        <v>45915</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43333-2025</t>
        </is>
      </c>
      <c r="B1027" s="1" t="n">
        <v>45910</v>
      </c>
      <c r="C1027" s="1" t="n">
        <v>45915</v>
      </c>
      <c r="D1027" t="inlineStr">
        <is>
          <t>SKÅNE LÄN</t>
        </is>
      </c>
      <c r="E1027" t="inlineStr">
        <is>
          <t>HÄSSLEHOLM</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9485-2023</t>
        </is>
      </c>
      <c r="B1028" s="1" t="n">
        <v>44981.60901620371</v>
      </c>
      <c r="C1028" s="1" t="n">
        <v>45915</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9502-2023</t>
        </is>
      </c>
      <c r="B1029" s="1" t="n">
        <v>44981.63278935185</v>
      </c>
      <c r="C1029" s="1" t="n">
        <v>45915</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10928-2024</t>
        </is>
      </c>
      <c r="B1030" s="1" t="n">
        <v>45370</v>
      </c>
      <c r="C1030" s="1" t="n">
        <v>45915</v>
      </c>
      <c r="D1030" t="inlineStr">
        <is>
          <t>SKÅNE LÄN</t>
        </is>
      </c>
      <c r="E1030" t="inlineStr">
        <is>
          <t>HÄSSLEHOLM</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5890-2023</t>
        </is>
      </c>
      <c r="B1031" s="1" t="n">
        <v>44963.64527777778</v>
      </c>
      <c r="C1031" s="1" t="n">
        <v>45915</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5894-2023</t>
        </is>
      </c>
      <c r="B1032" s="1" t="n">
        <v>44963.65148148148</v>
      </c>
      <c r="C1032" s="1" t="n">
        <v>45915</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12843-2023</t>
        </is>
      </c>
      <c r="B1033" s="1" t="n">
        <v>45001.48423611111</v>
      </c>
      <c r="C1033" s="1" t="n">
        <v>45915</v>
      </c>
      <c r="D1033" t="inlineStr">
        <is>
          <t>SKÅNE LÄN</t>
        </is>
      </c>
      <c r="E1033" t="inlineStr">
        <is>
          <t>HÄSSLEHOLM</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25726-2025</t>
        </is>
      </c>
      <c r="B1034" s="1" t="n">
        <v>45803</v>
      </c>
      <c r="C1034" s="1" t="n">
        <v>45915</v>
      </c>
      <c r="D1034" t="inlineStr">
        <is>
          <t>SKÅNE LÄN</t>
        </is>
      </c>
      <c r="E1034" t="inlineStr">
        <is>
          <t>HÄSSLEHOLM</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43738-2025</t>
        </is>
      </c>
      <c r="B1035" s="1" t="n">
        <v>45912.45037037037</v>
      </c>
      <c r="C1035" s="1" t="n">
        <v>45915</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45915</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45915</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45915</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45915</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8209-2025</t>
        </is>
      </c>
      <c r="B1040" s="1" t="n">
        <v>45708.44244212963</v>
      </c>
      <c r="C1040" s="1" t="n">
        <v>45915</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17699-2024</t>
        </is>
      </c>
      <c r="B1041" s="1" t="n">
        <v>45418.46094907408</v>
      </c>
      <c r="C1041" s="1" t="n">
        <v>45915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17702-2024</t>
        </is>
      </c>
      <c r="B1042" s="1" t="n">
        <v>45418.46534722222</v>
      </c>
      <c r="C1042" s="1" t="n">
        <v>45915</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20566-2023</t>
        </is>
      </c>
      <c r="B1043" s="1" t="n">
        <v>45057</v>
      </c>
      <c r="C1043" s="1" t="n">
        <v>45915</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45915</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45915</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1557-2023</t>
        </is>
      </c>
      <c r="B1046" s="1" t="n">
        <v>44937</v>
      </c>
      <c r="C1046" s="1" t="n">
        <v>45915</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42231-2022</t>
        </is>
      </c>
      <c r="B1047" s="1" t="n">
        <v>44830.77003472222</v>
      </c>
      <c r="C1047" s="1" t="n">
        <v>45915</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1560-2023</t>
        </is>
      </c>
      <c r="B1048" s="1" t="n">
        <v>44937</v>
      </c>
      <c r="C1048" s="1" t="n">
        <v>45915</v>
      </c>
      <c r="D1048" t="inlineStr">
        <is>
          <t>SKÅNE LÄN</t>
        </is>
      </c>
      <c r="E1048" t="inlineStr">
        <is>
          <t>HÄSSLEHOLM</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54982-2024</t>
        </is>
      </c>
      <c r="B1049" s="1" t="n">
        <v>45620.7580787037</v>
      </c>
      <c r="C1049" s="1" t="n">
        <v>45915</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36795-2023</t>
        </is>
      </c>
      <c r="B1050" s="1" t="n">
        <v>45154.38245370371</v>
      </c>
      <c r="C1050" s="1" t="n">
        <v>45915</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15698-2023</t>
        </is>
      </c>
      <c r="B1051" s="1" t="n">
        <v>45021</v>
      </c>
      <c r="C1051" s="1" t="n">
        <v>45915</v>
      </c>
      <c r="D1051" t="inlineStr">
        <is>
          <t>SKÅNE LÄN</t>
        </is>
      </c>
      <c r="E1051" t="inlineStr">
        <is>
          <t>HÄSSLEHOLM</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12584-2025</t>
        </is>
      </c>
      <c r="B1052" s="1" t="n">
        <v>45732</v>
      </c>
      <c r="C1052" s="1" t="n">
        <v>45915</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31998-2023</t>
        </is>
      </c>
      <c r="B1053" s="1" t="n">
        <v>45119</v>
      </c>
      <c r="C1053" s="1" t="n">
        <v>45915</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4140-2023</t>
        </is>
      </c>
      <c r="B1054" s="1" t="n">
        <v>44953</v>
      </c>
      <c r="C1054" s="1" t="n">
        <v>45915</v>
      </c>
      <c r="D1054" t="inlineStr">
        <is>
          <t>SKÅNE LÄN</t>
        </is>
      </c>
      <c r="E1054" t="inlineStr">
        <is>
          <t>HÄSSLEHOLM</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25077-2024</t>
        </is>
      </c>
      <c r="B1055" s="1" t="n">
        <v>45462</v>
      </c>
      <c r="C1055" s="1" t="n">
        <v>45915</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46942-2024</t>
        </is>
      </c>
      <c r="B1056" s="1" t="n">
        <v>45585.6684375</v>
      </c>
      <c r="C1056" s="1" t="n">
        <v>45915</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33257-2024</t>
        </is>
      </c>
      <c r="B1057" s="1" t="n">
        <v>45518</v>
      </c>
      <c r="C1057" s="1" t="n">
        <v>45915</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17492-2025</t>
        </is>
      </c>
      <c r="B1058" s="1" t="n">
        <v>45747</v>
      </c>
      <c r="C1058" s="1" t="n">
        <v>45915</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51618-2024</t>
        </is>
      </c>
      <c r="B1059" s="1" t="n">
        <v>45604.82615740741</v>
      </c>
      <c r="C1059" s="1" t="n">
        <v>45915</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10409-2024</t>
        </is>
      </c>
      <c r="B1060" s="1" t="n">
        <v>45365.6978125</v>
      </c>
      <c r="C1060" s="1" t="n">
        <v>45915</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31995-2023</t>
        </is>
      </c>
      <c r="B1061" s="1" t="n">
        <v>45107</v>
      </c>
      <c r="C1061" s="1" t="n">
        <v>45915</v>
      </c>
      <c r="D1061" t="inlineStr">
        <is>
          <t>SKÅNE LÄN</t>
        </is>
      </c>
      <c r="E1061" t="inlineStr">
        <is>
          <t>HÄSSLEHOLM</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4356-2024</t>
        </is>
      </c>
      <c r="B1062" s="1" t="n">
        <v>45325.36195601852</v>
      </c>
      <c r="C1062" s="1" t="n">
        <v>45915</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47840-2023</t>
        </is>
      </c>
      <c r="B1063" s="1" t="n">
        <v>45204</v>
      </c>
      <c r="C1063" s="1" t="n">
        <v>45915</v>
      </c>
      <c r="D1063" t="inlineStr">
        <is>
          <t>SKÅNE LÄN</t>
        </is>
      </c>
      <c r="E1063" t="inlineStr">
        <is>
          <t>HÄSSLEHOLM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45142.388125</v>
      </c>
      <c r="C1064" s="1" t="n">
        <v>45915</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20435-2021</t>
        </is>
      </c>
      <c r="B1065" s="1" t="n">
        <v>44315.5793287037</v>
      </c>
      <c r="C1065" s="1" t="n">
        <v>45915</v>
      </c>
      <c r="D1065" t="inlineStr">
        <is>
          <t>SKÅNE LÄN</t>
        </is>
      </c>
      <c r="E1065" t="inlineStr">
        <is>
          <t>HÄSSLEHOLM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53085-2022</t>
        </is>
      </c>
      <c r="B1066" s="1" t="n">
        <v>44873</v>
      </c>
      <c r="C1066" s="1" t="n">
        <v>45915</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16388-2025</t>
        </is>
      </c>
      <c r="B1067" s="1" t="n">
        <v>45751.42787037037</v>
      </c>
      <c r="C1067" s="1" t="n">
        <v>45915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16668-2025</t>
        </is>
      </c>
      <c r="B1068" s="1" t="n">
        <v>45754.43009259259</v>
      </c>
      <c r="C1068" s="1" t="n">
        <v>45915</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9709-2023</t>
        </is>
      </c>
      <c r="B1069" s="1" t="n">
        <v>44984.48376157408</v>
      </c>
      <c r="C1069" s="1" t="n">
        <v>45915</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13646-2024</t>
        </is>
      </c>
      <c r="B1070" s="1" t="n">
        <v>45387</v>
      </c>
      <c r="C1070" s="1" t="n">
        <v>45915</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21867-2023</t>
        </is>
      </c>
      <c r="B1071" s="1" t="n">
        <v>45063</v>
      </c>
      <c r="C1071" s="1" t="n">
        <v>45915</v>
      </c>
      <c r="D1071" t="inlineStr">
        <is>
          <t>SKÅNE LÄN</t>
        </is>
      </c>
      <c r="E1071" t="inlineStr">
        <is>
          <t>HÄSSLEHOLM</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13087-2023</t>
        </is>
      </c>
      <c r="B1072" s="1" t="n">
        <v>45001</v>
      </c>
      <c r="C1072" s="1" t="n">
        <v>45915</v>
      </c>
      <c r="D1072" t="inlineStr">
        <is>
          <t>SKÅNE LÄN</t>
        </is>
      </c>
      <c r="E1072" t="inlineStr">
        <is>
          <t>HÄSSLEHOLM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52968-2022</t>
        </is>
      </c>
      <c r="B1073" s="1" t="n">
        <v>44875</v>
      </c>
      <c r="C1073" s="1" t="n">
        <v>45915</v>
      </c>
      <c r="D1073" t="inlineStr">
        <is>
          <t>SKÅNE LÄN</t>
        </is>
      </c>
      <c r="E1073" t="inlineStr">
        <is>
          <t>HÄSSLEHOLM</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45915</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45915</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44741-2023</t>
        </is>
      </c>
      <c r="B1076" s="1" t="n">
        <v>45190.38804398148</v>
      </c>
      <c r="C1076" s="1" t="n">
        <v>45915</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9397-2025</t>
        </is>
      </c>
      <c r="B1077" s="1" t="n">
        <v>45715.37361111111</v>
      </c>
      <c r="C1077" s="1" t="n">
        <v>45915</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6583-2021</t>
        </is>
      </c>
      <c r="B1078" s="1" t="n">
        <v>44236</v>
      </c>
      <c r="C1078" s="1" t="n">
        <v>45915</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50899-2024</t>
        </is>
      </c>
      <c r="B1079" s="1" t="n">
        <v>45602.68584490741</v>
      </c>
      <c r="C1079" s="1" t="n">
        <v>45915</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48624-2021</t>
        </is>
      </c>
      <c r="B1080" s="1" t="n">
        <v>44452</v>
      </c>
      <c r="C1080" s="1" t="n">
        <v>45915</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10802-2024</t>
        </is>
      </c>
      <c r="B1081" s="1" t="n">
        <v>45369</v>
      </c>
      <c r="C1081" s="1" t="n">
        <v>45915</v>
      </c>
      <c r="D1081" t="inlineStr">
        <is>
          <t>SKÅNE LÄN</t>
        </is>
      </c>
      <c r="E1081" t="inlineStr">
        <is>
          <t>HÄSSLEHOLM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45915</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11607-2025</t>
        </is>
      </c>
      <c r="B1083" s="1" t="n">
        <v>45727</v>
      </c>
      <c r="C1083" s="1" t="n">
        <v>45915</v>
      </c>
      <c r="D1083" t="inlineStr">
        <is>
          <t>SKÅNE LÄN</t>
        </is>
      </c>
      <c r="E1083" t="inlineStr">
        <is>
          <t>HÄSSLEHOLM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11609-2025</t>
        </is>
      </c>
      <c r="B1084" s="1" t="n">
        <v>45727.44237268518</v>
      </c>
      <c r="C1084" s="1" t="n">
        <v>45915</v>
      </c>
      <c r="D1084" t="inlineStr">
        <is>
          <t>SKÅNE LÄN</t>
        </is>
      </c>
      <c r="E1084" t="inlineStr">
        <is>
          <t>HÄSSLEHOLM</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13808-2021</t>
        </is>
      </c>
      <c r="B1085" s="1" t="n">
        <v>44276</v>
      </c>
      <c r="C1085" s="1" t="n">
        <v>45915</v>
      </c>
      <c r="D1085" t="inlineStr">
        <is>
          <t>SKÅNE LÄN</t>
        </is>
      </c>
      <c r="E1085" t="inlineStr">
        <is>
          <t>HÄSSLEHOLM</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49106-2023</t>
        </is>
      </c>
      <c r="B1086" s="1" t="n">
        <v>45210</v>
      </c>
      <c r="C1086" s="1" t="n">
        <v>45915</v>
      </c>
      <c r="D1086" t="inlineStr">
        <is>
          <t>SKÅNE LÄN</t>
        </is>
      </c>
      <c r="E1086" t="inlineStr">
        <is>
          <t>HÄSSLEHOLM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45915</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9697-2023</t>
        </is>
      </c>
      <c r="B1088" s="1" t="n">
        <v>44984</v>
      </c>
      <c r="C1088" s="1" t="n">
        <v>45915</v>
      </c>
      <c r="D1088" t="inlineStr">
        <is>
          <t>SKÅNE LÄN</t>
        </is>
      </c>
      <c r="E1088" t="inlineStr">
        <is>
          <t>HÄSSLEHOLM</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27478-2023</t>
        </is>
      </c>
      <c r="B1089" s="1" t="n">
        <v>45092</v>
      </c>
      <c r="C1089" s="1" t="n">
        <v>45915</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1170-2025</t>
        </is>
      </c>
      <c r="B1090" s="1" t="n">
        <v>45667.29226851852</v>
      </c>
      <c r="C1090" s="1" t="n">
        <v>45915</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57749-2023</t>
        </is>
      </c>
      <c r="B1091" s="1" t="n">
        <v>45246</v>
      </c>
      <c r="C1091" s="1" t="n">
        <v>45915</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44940-2023</t>
        </is>
      </c>
      <c r="B1092" s="1" t="n">
        <v>45190.68653935185</v>
      </c>
      <c r="C1092" s="1" t="n">
        <v>45915</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18800-2023</t>
        </is>
      </c>
      <c r="B1093" s="1" t="n">
        <v>45044</v>
      </c>
      <c r="C1093" s="1" t="n">
        <v>45915</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25206-2023</t>
        </is>
      </c>
      <c r="B1094" s="1" t="n">
        <v>45086.59318287037</v>
      </c>
      <c r="C1094" s="1" t="n">
        <v>45915</v>
      </c>
      <c r="D1094" t="inlineStr">
        <is>
          <t>SKÅNE LÄN</t>
        </is>
      </c>
      <c r="E1094" t="inlineStr">
        <is>
          <t>HÄSSLEHOLM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5116-2023</t>
        </is>
      </c>
      <c r="B1095" s="1" t="n">
        <v>44958.67546296296</v>
      </c>
      <c r="C1095" s="1" t="n">
        <v>45915</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10220-2023</t>
        </is>
      </c>
      <c r="B1096" s="1" t="n">
        <v>44986.60916666667</v>
      </c>
      <c r="C1096" s="1" t="n">
        <v>45915</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25611-2024</t>
        </is>
      </c>
      <c r="B1097" s="1" t="n">
        <v>45463</v>
      </c>
      <c r="C1097" s="1" t="n">
        <v>45915</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26536-2022</t>
        </is>
      </c>
      <c r="B1098" s="1" t="n">
        <v>44739.45496527778</v>
      </c>
      <c r="C1098" s="1" t="n">
        <v>45915</v>
      </c>
      <c r="D1098" t="inlineStr">
        <is>
          <t>SKÅNE LÄN</t>
        </is>
      </c>
      <c r="E1098" t="inlineStr">
        <is>
          <t>HÄSSLEHOLM</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16334-2024</t>
        </is>
      </c>
      <c r="B1099" s="1" t="n">
        <v>45407.54856481482</v>
      </c>
      <c r="C1099" s="1" t="n">
        <v>45915</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45915</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60973-2024</t>
        </is>
      </c>
      <c r="B1101" s="1" t="n">
        <v>45644</v>
      </c>
      <c r="C1101" s="1" t="n">
        <v>45915</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38228-2021</t>
        </is>
      </c>
      <c r="B1102" s="1" t="n">
        <v>44405</v>
      </c>
      <c r="C1102" s="1" t="n">
        <v>45915</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14655-2025</t>
        </is>
      </c>
      <c r="B1103" s="1" t="n">
        <v>45742.5072337963</v>
      </c>
      <c r="C1103" s="1" t="n">
        <v>45915</v>
      </c>
      <c r="D1103" t="inlineStr">
        <is>
          <t>SKÅNE LÄN</t>
        </is>
      </c>
      <c r="E1103" t="inlineStr">
        <is>
          <t>HÄSSLEHOLM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59763-2022</t>
        </is>
      </c>
      <c r="B1104" s="1" t="n">
        <v>44900</v>
      </c>
      <c r="C1104" s="1" t="n">
        <v>45915</v>
      </c>
      <c r="D1104" t="inlineStr">
        <is>
          <t>SKÅNE LÄN</t>
        </is>
      </c>
      <c r="E1104" t="inlineStr">
        <is>
          <t>HÄSSLEHOLM</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43061-2024</t>
        </is>
      </c>
      <c r="B1105" s="1" t="n">
        <v>45567</v>
      </c>
      <c r="C1105" s="1" t="n">
        <v>45915</v>
      </c>
      <c r="D1105" t="inlineStr">
        <is>
          <t>SKÅNE LÄN</t>
        </is>
      </c>
      <c r="E1105" t="inlineStr">
        <is>
          <t>HÄSSLEHOLM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21328-2023</t>
        </is>
      </c>
      <c r="B1106" s="1" t="n">
        <v>45062</v>
      </c>
      <c r="C1106" s="1" t="n">
        <v>45915</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10277-2023</t>
        </is>
      </c>
      <c r="B1107" s="1" t="n">
        <v>44986</v>
      </c>
      <c r="C1107" s="1" t="n">
        <v>45915</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10290-2023</t>
        </is>
      </c>
      <c r="B1108" s="1" t="n">
        <v>44986</v>
      </c>
      <c r="C1108" s="1" t="n">
        <v>45915</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6619-2024</t>
        </is>
      </c>
      <c r="B1109" s="1" t="n">
        <v>45341.6021412037</v>
      </c>
      <c r="C1109" s="1" t="n">
        <v>45915</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20666-2023</t>
        </is>
      </c>
      <c r="B1110" s="1" t="n">
        <v>45058.35664351852</v>
      </c>
      <c r="C1110" s="1" t="n">
        <v>45915</v>
      </c>
      <c r="D1110" t="inlineStr">
        <is>
          <t>SKÅNE LÄN</t>
        </is>
      </c>
      <c r="E1110" t="inlineStr">
        <is>
          <t>HÄSSLEHOLM</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19593-2023</t>
        </is>
      </c>
      <c r="B1111" s="1" t="n">
        <v>45050.75895833333</v>
      </c>
      <c r="C1111" s="1" t="n">
        <v>45915</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7494-2023</t>
        </is>
      </c>
      <c r="B1112" s="1" t="n">
        <v>44971.70835648148</v>
      </c>
      <c r="C1112" s="1" t="n">
        <v>45915</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6087-2025</t>
        </is>
      </c>
      <c r="B1113" s="1" t="n">
        <v>45697.69782407407</v>
      </c>
      <c r="C1113" s="1" t="n">
        <v>45915</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50571-2023</t>
        </is>
      </c>
      <c r="B1114" s="1" t="n">
        <v>45217.38359953704</v>
      </c>
      <c r="C1114" s="1" t="n">
        <v>45915</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18041-2023</t>
        </is>
      </c>
      <c r="B1115" s="1" t="n">
        <v>45040</v>
      </c>
      <c r="C1115" s="1" t="n">
        <v>45915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16950-2025</t>
        </is>
      </c>
      <c r="B1116" s="1" t="n">
        <v>45755</v>
      </c>
      <c r="C1116" s="1" t="n">
        <v>45915</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58618-2024</t>
        </is>
      </c>
      <c r="B1117" s="1" t="n">
        <v>45635.56150462963</v>
      </c>
      <c r="C1117" s="1" t="n">
        <v>45915</v>
      </c>
      <c r="D1117" t="inlineStr">
        <is>
          <t>SKÅNE LÄN</t>
        </is>
      </c>
      <c r="E1117" t="inlineStr">
        <is>
          <t>HÄSSLEHOLM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52337-2023</t>
        </is>
      </c>
      <c r="B1118" s="1" t="n">
        <v>45224.66359953704</v>
      </c>
      <c r="C1118" s="1" t="n">
        <v>45915</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c r="A1119" t="inlineStr">
        <is>
          <t>A 13084-2025</t>
        </is>
      </c>
      <c r="B1119" s="1" t="n">
        <v>45734</v>
      </c>
      <c r="C1119" s="1" t="n">
        <v>45915</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2025-09-15T08:55:25Z</dcterms:created>
  <dcterms:modified xmlns:dcterms="http://purl.org/dc/terms/" xmlns:xsi="http://www.w3.org/2001/XMLSchema-instance" xsi:type="dcterms:W3CDTF">2025-09-15T08:55:26Z</dcterms:modified>
</cp:coreProperties>
</file>