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46161</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46161</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46161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46161</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46161</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46161</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46161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46161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46161</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46161</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21659-2026</t>
        </is>
      </c>
      <c r="B19" s="1" t="n">
        <v>46149.4594212963</v>
      </c>
      <c r="C19" s="1" t="n">
        <v>46161</v>
      </c>
      <c r="D19" t="inlineStr">
        <is>
          <t>SKÅNE LÄN</t>
        </is>
      </c>
      <c r="E19" t="inlineStr">
        <is>
          <t>HÄSSLEHOLM</t>
        </is>
      </c>
      <c r="G19" t="n">
        <v>1.8</v>
      </c>
      <c r="H19" t="n">
        <v>2</v>
      </c>
      <c r="I19" t="n">
        <v>0</v>
      </c>
      <c r="J19" t="n">
        <v>0</v>
      </c>
      <c r="K19" t="n">
        <v>0</v>
      </c>
      <c r="L19" t="n">
        <v>0</v>
      </c>
      <c r="M19" t="n">
        <v>0</v>
      </c>
      <c r="N19" t="n">
        <v>0</v>
      </c>
      <c r="O19" t="n">
        <v>0</v>
      </c>
      <c r="P19" t="n">
        <v>0</v>
      </c>
      <c r="Q19" t="n">
        <v>2</v>
      </c>
      <c r="R19" s="2" t="inlineStr">
        <is>
          <t>Göktyta
Skogsduva</t>
        </is>
      </c>
      <c r="S19">
        <f>HYPERLINK("https://klasma.github.io/Logging_1293/artfynd/A 21659-2026 artfynd.xlsx", "A 21659-2026")</f>
        <v/>
      </c>
      <c r="T19">
        <f>HYPERLINK("https://klasma.github.io/Logging_1293/kartor/A 21659-2026 karta.png", "A 21659-2026")</f>
        <v/>
      </c>
      <c r="V19">
        <f>HYPERLINK("https://klasma.github.io/Logging_1293/klagomål/A 21659-2026 FSC-klagomål.docx", "A 21659-2026")</f>
        <v/>
      </c>
      <c r="W19">
        <f>HYPERLINK("https://klasma.github.io/Logging_1293/klagomålsmail/A 21659-2026 FSC-klagomål mail.docx", "A 21659-2026")</f>
        <v/>
      </c>
      <c r="X19">
        <f>HYPERLINK("https://klasma.github.io/Logging_1293/tillsyn/A 21659-2026 tillsynsbegäran.docx", "A 21659-2026")</f>
        <v/>
      </c>
      <c r="Y19">
        <f>HYPERLINK("https://klasma.github.io/Logging_1293/tillsynsmail/A 21659-2026 tillsynsbegäran mail.docx", "A 21659-2026")</f>
        <v/>
      </c>
      <c r="Z19">
        <f>HYPERLINK("https://klasma.github.io/Logging_1293/fåglar/A 21659-2026 prioriterade fågelarter.docx", "A 21659-2026")</f>
        <v/>
      </c>
    </row>
    <row r="20" ht="15" customHeight="1">
      <c r="A20" t="inlineStr">
        <is>
          <t>A 22504-2026</t>
        </is>
      </c>
      <c r="B20" s="1" t="n">
        <v>46154</v>
      </c>
      <c r="C20" s="1" t="n">
        <v>46161</v>
      </c>
      <c r="D20" t="inlineStr">
        <is>
          <t>SKÅNE LÄN</t>
        </is>
      </c>
      <c r="E20" t="inlineStr">
        <is>
          <t>HÄSSLEHOLM</t>
        </is>
      </c>
      <c r="G20" t="n">
        <v>35.3</v>
      </c>
      <c r="H20" t="n">
        <v>0</v>
      </c>
      <c r="I20" t="n">
        <v>1</v>
      </c>
      <c r="J20" t="n">
        <v>1</v>
      </c>
      <c r="K20" t="n">
        <v>0</v>
      </c>
      <c r="L20" t="n">
        <v>0</v>
      </c>
      <c r="M20" t="n">
        <v>0</v>
      </c>
      <c r="N20" t="n">
        <v>0</v>
      </c>
      <c r="O20" t="n">
        <v>1</v>
      </c>
      <c r="P20" t="n">
        <v>0</v>
      </c>
      <c r="Q20" t="n">
        <v>2</v>
      </c>
      <c r="R20" s="2" t="inlineStr">
        <is>
          <t>Asp
Rostfläck</t>
        </is>
      </c>
      <c r="S20">
        <f>HYPERLINK("https://klasma.github.io/Logging_1293/artfynd/A 22504-2026 artfynd.xlsx", "A 22504-2026")</f>
        <v/>
      </c>
      <c r="T20">
        <f>HYPERLINK("https://klasma.github.io/Logging_1293/kartor/A 22504-2026 karta.png", "A 22504-2026")</f>
        <v/>
      </c>
      <c r="V20">
        <f>HYPERLINK("https://klasma.github.io/Logging_1293/klagomål/A 22504-2026 FSC-klagomål.docx", "A 22504-2026")</f>
        <v/>
      </c>
      <c r="W20">
        <f>HYPERLINK("https://klasma.github.io/Logging_1293/klagomålsmail/A 22504-2026 FSC-klagomål mail.docx", "A 22504-2026")</f>
        <v/>
      </c>
      <c r="X20">
        <f>HYPERLINK("https://klasma.github.io/Logging_1293/tillsyn/A 22504-2026 tillsynsbegäran.docx", "A 22504-2026")</f>
        <v/>
      </c>
      <c r="Y20">
        <f>HYPERLINK("https://klasma.github.io/Logging_1293/tillsynsmail/A 22504-2026 tillsynsbegäran mail.docx", "A 22504-2026")</f>
        <v/>
      </c>
    </row>
    <row r="21" ht="15" customHeight="1">
      <c r="A21" t="inlineStr">
        <is>
          <t>A 13705-2022</t>
        </is>
      </c>
      <c r="B21" s="1" t="n">
        <v>44648</v>
      </c>
      <c r="C21" s="1" t="n">
        <v>46161</v>
      </c>
      <c r="D21" t="inlineStr">
        <is>
          <t>SKÅNE LÄN</t>
        </is>
      </c>
      <c r="E21" t="inlineStr">
        <is>
          <t>HÄSSLEHOLM</t>
        </is>
      </c>
      <c r="G21" t="n">
        <v>1.5</v>
      </c>
      <c r="H21" t="n">
        <v>1</v>
      </c>
      <c r="I21" t="n">
        <v>0</v>
      </c>
      <c r="J21" t="n">
        <v>0</v>
      </c>
      <c r="K21" t="n">
        <v>0</v>
      </c>
      <c r="L21" t="n">
        <v>0</v>
      </c>
      <c r="M21" t="n">
        <v>0</v>
      </c>
      <c r="N21" t="n">
        <v>0</v>
      </c>
      <c r="O21" t="n">
        <v>0</v>
      </c>
      <c r="P21" t="n">
        <v>0</v>
      </c>
      <c r="Q21" t="n">
        <v>1</v>
      </c>
      <c r="R21" s="2" t="inlineStr">
        <is>
          <t>Grönvit nattviol</t>
        </is>
      </c>
      <c r="S21">
        <f>HYPERLINK("https://klasma.github.io/Logging_1293/artfynd/A 13705-2022 artfynd.xlsx", "A 13705-2022")</f>
        <v/>
      </c>
      <c r="T21">
        <f>HYPERLINK("https://klasma.github.io/Logging_1293/kartor/A 13705-2022 karta.png", "A 13705-2022")</f>
        <v/>
      </c>
      <c r="V21">
        <f>HYPERLINK("https://klasma.github.io/Logging_1293/klagomål/A 13705-2022 FSC-klagomål.docx", "A 13705-2022")</f>
        <v/>
      </c>
      <c r="W21">
        <f>HYPERLINK("https://klasma.github.io/Logging_1293/klagomålsmail/A 13705-2022 FSC-klagomål mail.docx", "A 13705-2022")</f>
        <v/>
      </c>
      <c r="X21">
        <f>HYPERLINK("https://klasma.github.io/Logging_1293/tillsyn/A 13705-2022 tillsynsbegäran.docx", "A 13705-2022")</f>
        <v/>
      </c>
      <c r="Y21">
        <f>HYPERLINK("https://klasma.github.io/Logging_1293/tillsynsmail/A 13705-2022 tillsynsbegäran mail.docx", "A 13705-2022")</f>
        <v/>
      </c>
    </row>
    <row r="22" ht="15" customHeight="1">
      <c r="A22" t="inlineStr">
        <is>
          <t>A 61707-2024</t>
        </is>
      </c>
      <c r="B22" s="1" t="n">
        <v>45648.61747685185</v>
      </c>
      <c r="C22" s="1" t="n">
        <v>46161</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Rödlånke</t>
        </is>
      </c>
      <c r="S22">
        <f>HYPERLINK("https://klasma.github.io/Logging_1293/artfynd/A 61707-2024 artfynd.xlsx", "A 61707-2024")</f>
        <v/>
      </c>
      <c r="T22">
        <f>HYPERLINK("https://klasma.github.io/Logging_1293/kartor/A 61707-2024 karta.png", "A 61707-2024")</f>
        <v/>
      </c>
      <c r="V22">
        <f>HYPERLINK("https://klasma.github.io/Logging_1293/klagomål/A 61707-2024 FSC-klagomål.docx", "A 61707-2024")</f>
        <v/>
      </c>
      <c r="W22">
        <f>HYPERLINK("https://klasma.github.io/Logging_1293/klagomålsmail/A 61707-2024 FSC-klagomål mail.docx", "A 61707-2024")</f>
        <v/>
      </c>
      <c r="X22">
        <f>HYPERLINK("https://klasma.github.io/Logging_1293/tillsyn/A 61707-2024 tillsynsbegäran.docx", "A 61707-2024")</f>
        <v/>
      </c>
      <c r="Y22">
        <f>HYPERLINK("https://klasma.github.io/Logging_1293/tillsynsmail/A 61707-2024 tillsynsbegäran mail.docx", "A 61707-2024")</f>
        <v/>
      </c>
    </row>
    <row r="23" ht="15" customHeight="1">
      <c r="A23" t="inlineStr">
        <is>
          <t>A 6634-2024</t>
        </is>
      </c>
      <c r="B23" s="1" t="n">
        <v>45341</v>
      </c>
      <c r="C23" s="1" t="n">
        <v>46161</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46161</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40613-2025</t>
        </is>
      </c>
      <c r="B25" s="1" t="n">
        <v>45896</v>
      </c>
      <c r="C25" s="1" t="n">
        <v>46161</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54523-2024</t>
        </is>
      </c>
      <c r="B26" s="1" t="n">
        <v>45617</v>
      </c>
      <c r="C26" s="1" t="n">
        <v>46161</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46161</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9289-2025</t>
        </is>
      </c>
      <c r="B28" s="1" t="n">
        <v>45714</v>
      </c>
      <c r="C28" s="1" t="n">
        <v>46161</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36690-2025</t>
        </is>
      </c>
      <c r="B29" s="1" t="n">
        <v>45873.42915509259</v>
      </c>
      <c r="C29" s="1" t="n">
        <v>46161</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57533-2025</t>
        </is>
      </c>
      <c r="B30" s="1" t="n">
        <v>45980.63923611111</v>
      </c>
      <c r="C30" s="1" t="n">
        <v>46161</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7862-2024</t>
        </is>
      </c>
      <c r="B31" s="1" t="n">
        <v>45348</v>
      </c>
      <c r="C31" s="1" t="n">
        <v>46161</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8223-2025</t>
        </is>
      </c>
      <c r="B32" s="1" t="n">
        <v>45708.46127314815</v>
      </c>
      <c r="C32" s="1" t="n">
        <v>46161</v>
      </c>
      <c r="D32" t="inlineStr">
        <is>
          <t>SKÅNE LÄN</t>
        </is>
      </c>
      <c r="E32" t="inlineStr">
        <is>
          <t>HÄSSLEHOLM</t>
        </is>
      </c>
      <c r="G32" t="n">
        <v>0.8</v>
      </c>
      <c r="H32" t="n">
        <v>1</v>
      </c>
      <c r="I32" t="n">
        <v>0</v>
      </c>
      <c r="J32" t="n">
        <v>0</v>
      </c>
      <c r="K32" t="n">
        <v>0</v>
      </c>
      <c r="L32" t="n">
        <v>0</v>
      </c>
      <c r="M32" t="n">
        <v>0</v>
      </c>
      <c r="N32" t="n">
        <v>0</v>
      </c>
      <c r="O32" t="n">
        <v>0</v>
      </c>
      <c r="P32" t="n">
        <v>0</v>
      </c>
      <c r="Q32" t="n">
        <v>1</v>
      </c>
      <c r="R32" s="2" t="inlineStr">
        <is>
          <t>Kungsfågel</t>
        </is>
      </c>
      <c r="S32">
        <f>HYPERLINK("https://klasma.github.io/Logging_1293/artfynd/A 8223-2025 artfynd.xlsx", "A 8223-2025")</f>
        <v/>
      </c>
      <c r="T32">
        <f>HYPERLINK("https://klasma.github.io/Logging_1293/kartor/A 8223-2025 karta.png", "A 8223-2025")</f>
        <v/>
      </c>
      <c r="V32">
        <f>HYPERLINK("https://klasma.github.io/Logging_1293/klagomål/A 8223-2025 FSC-klagomål.docx", "A 8223-2025")</f>
        <v/>
      </c>
      <c r="W32">
        <f>HYPERLINK("https://klasma.github.io/Logging_1293/klagomålsmail/A 8223-2025 FSC-klagomål mail.docx", "A 8223-2025")</f>
        <v/>
      </c>
      <c r="X32">
        <f>HYPERLINK("https://klasma.github.io/Logging_1293/tillsyn/A 8223-2025 tillsynsbegäran.docx", "A 8223-2025")</f>
        <v/>
      </c>
      <c r="Y32">
        <f>HYPERLINK("https://klasma.github.io/Logging_1293/tillsynsmail/A 8223-2025 tillsynsbegäran mail.docx", "A 8223-2025")</f>
        <v/>
      </c>
      <c r="Z32">
        <f>HYPERLINK("https://klasma.github.io/Logging_1293/fåglar/A 8223-2025 prioriterade fågelarter.docx", "A 8223-2025")</f>
        <v/>
      </c>
    </row>
    <row r="33" ht="15" customHeight="1">
      <c r="A33" t="inlineStr">
        <is>
          <t>A 29272-2023</t>
        </is>
      </c>
      <c r="B33" s="1" t="n">
        <v>45105</v>
      </c>
      <c r="C33" s="1" t="n">
        <v>46161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16107-2025</t>
        </is>
      </c>
      <c r="B34" s="1" t="n">
        <v>45750.34537037037</v>
      </c>
      <c r="C34" s="1" t="n">
        <v>46161</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43874-2022</t>
        </is>
      </c>
      <c r="B35" s="1" t="n">
        <v>44838.44738425926</v>
      </c>
      <c r="C35" s="1" t="n">
        <v>46161</v>
      </c>
      <c r="D35" t="inlineStr">
        <is>
          <t>SKÅNE LÄN</t>
        </is>
      </c>
      <c r="E35" t="inlineStr">
        <is>
          <t>HÄSSLEHOLM</t>
        </is>
      </c>
      <c r="G35" t="n">
        <v>2.1</v>
      </c>
      <c r="H35" t="n">
        <v>0</v>
      </c>
      <c r="I35" t="n">
        <v>0</v>
      </c>
      <c r="J35" t="n">
        <v>1</v>
      </c>
      <c r="K35" t="n">
        <v>0</v>
      </c>
      <c r="L35" t="n">
        <v>0</v>
      </c>
      <c r="M35" t="n">
        <v>0</v>
      </c>
      <c r="N35" t="n">
        <v>0</v>
      </c>
      <c r="O35" t="n">
        <v>1</v>
      </c>
      <c r="P35" t="n">
        <v>0</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4619-2025</t>
        </is>
      </c>
      <c r="B36" s="1" t="n">
        <v>45687</v>
      </c>
      <c r="C36" s="1" t="n">
        <v>46161</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13894-2026</t>
        </is>
      </c>
      <c r="B37" s="1" t="n">
        <v>46098</v>
      </c>
      <c r="C37" s="1" t="n">
        <v>46161</v>
      </c>
      <c r="D37" t="inlineStr">
        <is>
          <t>SKÅNE LÄN</t>
        </is>
      </c>
      <c r="E37" t="inlineStr">
        <is>
          <t>HÄSSLEHOLM</t>
        </is>
      </c>
      <c r="G37" t="n">
        <v>2.6</v>
      </c>
      <c r="H37" t="n">
        <v>1</v>
      </c>
      <c r="I37" t="n">
        <v>0</v>
      </c>
      <c r="J37" t="n">
        <v>1</v>
      </c>
      <c r="K37" t="n">
        <v>0</v>
      </c>
      <c r="L37" t="n">
        <v>0</v>
      </c>
      <c r="M37" t="n">
        <v>0</v>
      </c>
      <c r="N37" t="n">
        <v>0</v>
      </c>
      <c r="O37" t="n">
        <v>1</v>
      </c>
      <c r="P37" t="n">
        <v>0</v>
      </c>
      <c r="Q37" t="n">
        <v>1</v>
      </c>
      <c r="R37" s="2" t="inlineStr">
        <is>
          <t>Entita</t>
        </is>
      </c>
      <c r="S37">
        <f>HYPERLINK("https://klasma.github.io/Logging_1293/artfynd/A 13894-2026 artfynd.xlsx", "A 13894-2026")</f>
        <v/>
      </c>
      <c r="T37">
        <f>HYPERLINK("https://klasma.github.io/Logging_1293/kartor/A 13894-2026 karta.png", "A 13894-2026")</f>
        <v/>
      </c>
      <c r="V37">
        <f>HYPERLINK("https://klasma.github.io/Logging_1293/klagomål/A 13894-2026 FSC-klagomål.docx", "A 13894-2026")</f>
        <v/>
      </c>
      <c r="W37">
        <f>HYPERLINK("https://klasma.github.io/Logging_1293/klagomålsmail/A 13894-2026 FSC-klagomål mail.docx", "A 13894-2026")</f>
        <v/>
      </c>
      <c r="X37">
        <f>HYPERLINK("https://klasma.github.io/Logging_1293/tillsyn/A 13894-2026 tillsynsbegäran.docx", "A 13894-2026")</f>
        <v/>
      </c>
      <c r="Y37">
        <f>HYPERLINK("https://klasma.github.io/Logging_1293/tillsynsmail/A 13894-2026 tillsynsbegäran mail.docx", "A 13894-2026")</f>
        <v/>
      </c>
      <c r="Z37">
        <f>HYPERLINK("https://klasma.github.io/Logging_1293/fåglar/A 13894-2026 prioriterade fågelarter.docx", "A 13894-2026")</f>
        <v/>
      </c>
    </row>
    <row r="38" ht="15" customHeight="1">
      <c r="A38" t="inlineStr">
        <is>
          <t>A 49572-2022</t>
        </is>
      </c>
      <c r="B38" s="1" t="n">
        <v>44862.335</v>
      </c>
      <c r="C38" s="1" t="n">
        <v>46161</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46161</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20280-2025</t>
        </is>
      </c>
      <c r="B40" s="1" t="n">
        <v>45774.38790509259</v>
      </c>
      <c r="C40" s="1" t="n">
        <v>46161</v>
      </c>
      <c r="D40" t="inlineStr">
        <is>
          <t>SKÅNE LÄN</t>
        </is>
      </c>
      <c r="E40" t="inlineStr">
        <is>
          <t>HÄSSLEHOLM</t>
        </is>
      </c>
      <c r="G40" t="n">
        <v>3</v>
      </c>
      <c r="H40" t="n">
        <v>0</v>
      </c>
      <c r="I40" t="n">
        <v>0</v>
      </c>
      <c r="J40" t="n">
        <v>0</v>
      </c>
      <c r="K40" t="n">
        <v>1</v>
      </c>
      <c r="L40" t="n">
        <v>0</v>
      </c>
      <c r="M40" t="n">
        <v>0</v>
      </c>
      <c r="N40" t="n">
        <v>0</v>
      </c>
      <c r="O40" t="n">
        <v>1</v>
      </c>
      <c r="P40" t="n">
        <v>1</v>
      </c>
      <c r="Q40" t="n">
        <v>1</v>
      </c>
      <c r="R40" s="2" t="inlineStr">
        <is>
          <t>Revig blodrot</t>
        </is>
      </c>
      <c r="S40">
        <f>HYPERLINK("https://klasma.github.io/Logging_1293/artfynd/A 20280-2025 artfynd.xlsx", "A 20280-2025")</f>
        <v/>
      </c>
      <c r="T40">
        <f>HYPERLINK("https://klasma.github.io/Logging_1293/kartor/A 20280-2025 karta.png", "A 20280-2025")</f>
        <v/>
      </c>
      <c r="V40">
        <f>HYPERLINK("https://klasma.github.io/Logging_1293/klagomål/A 20280-2025 FSC-klagomål.docx", "A 20280-2025")</f>
        <v/>
      </c>
      <c r="W40">
        <f>HYPERLINK("https://klasma.github.io/Logging_1293/klagomålsmail/A 20280-2025 FSC-klagomål mail.docx", "A 20280-2025")</f>
        <v/>
      </c>
      <c r="X40">
        <f>HYPERLINK("https://klasma.github.io/Logging_1293/tillsyn/A 20280-2025 tillsynsbegäran.docx", "A 20280-2025")</f>
        <v/>
      </c>
      <c r="Y40">
        <f>HYPERLINK("https://klasma.github.io/Logging_1293/tillsynsmail/A 20280-2025 tillsynsbegäran mail.docx", "A 20280-2025")</f>
        <v/>
      </c>
    </row>
    <row r="41" ht="15" customHeight="1">
      <c r="A41" t="inlineStr">
        <is>
          <t>A 46602-2023</t>
        </is>
      </c>
      <c r="B41" s="1" t="n">
        <v>45194</v>
      </c>
      <c r="C41" s="1" t="n">
        <v>46161</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37457-2022</t>
        </is>
      </c>
      <c r="B42" s="1" t="n">
        <v>44809</v>
      </c>
      <c r="C42" s="1" t="n">
        <v>46161</v>
      </c>
      <c r="D42" t="inlineStr">
        <is>
          <t>SKÅNE LÄN</t>
        </is>
      </c>
      <c r="E42" t="inlineStr">
        <is>
          <t>HÄSSLEHOLM</t>
        </is>
      </c>
      <c r="G42" t="n">
        <v>2.4</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55618-2022</t>
        </is>
      </c>
      <c r="B44" s="1" t="n">
        <v>44883</v>
      </c>
      <c r="C44" s="1" t="n">
        <v>46161</v>
      </c>
      <c r="D44" t="inlineStr">
        <is>
          <t>SKÅNE LÄN</t>
        </is>
      </c>
      <c r="E44" t="inlineStr">
        <is>
          <t>HÄSSLEHOLM</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46161</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46161</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46161</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46161</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46161</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46161</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46161</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46161</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46161</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46161</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46161</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46161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46161</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46161</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46161</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46161</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46161</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24496-2021</t>
        </is>
      </c>
      <c r="B62" s="1" t="n">
        <v>44337</v>
      </c>
      <c r="C62" s="1" t="n">
        <v>46161</v>
      </c>
      <c r="D62" t="inlineStr">
        <is>
          <t>SKÅNE LÄN</t>
        </is>
      </c>
      <c r="E62" t="inlineStr">
        <is>
          <t>HÄSSLEHOLM</t>
        </is>
      </c>
      <c r="G62" t="n">
        <v>0.9</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46161</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46161</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46161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46161</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46161</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46161</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56424-2021</t>
        </is>
      </c>
      <c r="B69" s="1" t="n">
        <v>44480</v>
      </c>
      <c r="C69" s="1" t="n">
        <v>46161</v>
      </c>
      <c r="D69" t="inlineStr">
        <is>
          <t>SKÅNE LÄN</t>
        </is>
      </c>
      <c r="E69" t="inlineStr">
        <is>
          <t>HÄSSLEHOLM</t>
        </is>
      </c>
      <c r="F69" t="inlineStr">
        <is>
          <t>Kyrkan</t>
        </is>
      </c>
      <c r="G69" t="n">
        <v>3.4</v>
      </c>
      <c r="H69" t="n">
        <v>0</v>
      </c>
      <c r="I69" t="n">
        <v>0</v>
      </c>
      <c r="J69" t="n">
        <v>0</v>
      </c>
      <c r="K69" t="n">
        <v>0</v>
      </c>
      <c r="L69" t="n">
        <v>0</v>
      </c>
      <c r="M69" t="n">
        <v>0</v>
      </c>
      <c r="N69" t="n">
        <v>0</v>
      </c>
      <c r="O69" t="n">
        <v>0</v>
      </c>
      <c r="P69" t="n">
        <v>0</v>
      </c>
      <c r="Q69" t="n">
        <v>0</v>
      </c>
      <c r="R69" s="2" t="inlineStr"/>
    </row>
    <row r="70" ht="15" customHeight="1">
      <c r="A70" t="inlineStr">
        <is>
          <t>A 58566-2021</t>
        </is>
      </c>
      <c r="B70" s="1" t="n">
        <v>44488.85538194444</v>
      </c>
      <c r="C70" s="1" t="n">
        <v>46161</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58564-2021</t>
        </is>
      </c>
      <c r="B71" s="1" t="n">
        <v>44488.84940972222</v>
      </c>
      <c r="C71" s="1" t="n">
        <v>46161</v>
      </c>
      <c r="D71" t="inlineStr">
        <is>
          <t>SKÅNE LÄN</t>
        </is>
      </c>
      <c r="E71" t="inlineStr">
        <is>
          <t>HÄSSLEHOLM</t>
        </is>
      </c>
      <c r="G71" t="n">
        <v>1.5</v>
      </c>
      <c r="H71" t="n">
        <v>0</v>
      </c>
      <c r="I71" t="n">
        <v>0</v>
      </c>
      <c r="J71" t="n">
        <v>0</v>
      </c>
      <c r="K71" t="n">
        <v>0</v>
      </c>
      <c r="L71" t="n">
        <v>0</v>
      </c>
      <c r="M71" t="n">
        <v>0</v>
      </c>
      <c r="N71" t="n">
        <v>0</v>
      </c>
      <c r="O71" t="n">
        <v>0</v>
      </c>
      <c r="P71" t="n">
        <v>0</v>
      </c>
      <c r="Q71" t="n">
        <v>0</v>
      </c>
      <c r="R71" s="2" t="inlineStr"/>
    </row>
    <row r="72" ht="15" customHeight="1">
      <c r="A72" t="inlineStr">
        <is>
          <t>A 56502-2021</t>
        </is>
      </c>
      <c r="B72" s="1" t="n">
        <v>44480</v>
      </c>
      <c r="C72" s="1" t="n">
        <v>46161</v>
      </c>
      <c r="D72" t="inlineStr">
        <is>
          <t>SKÅNE LÄN</t>
        </is>
      </c>
      <c r="E72" t="inlineStr">
        <is>
          <t>HÄSSLEHOLM</t>
        </is>
      </c>
      <c r="F72" t="inlineStr">
        <is>
          <t>Kyrkan</t>
        </is>
      </c>
      <c r="G72" t="n">
        <v>13.8</v>
      </c>
      <c r="H72" t="n">
        <v>0</v>
      </c>
      <c r="I72" t="n">
        <v>0</v>
      </c>
      <c r="J72" t="n">
        <v>0</v>
      </c>
      <c r="K72" t="n">
        <v>0</v>
      </c>
      <c r="L72" t="n">
        <v>0</v>
      </c>
      <c r="M72" t="n">
        <v>0</v>
      </c>
      <c r="N72" t="n">
        <v>0</v>
      </c>
      <c r="O72" t="n">
        <v>0</v>
      </c>
      <c r="P72" t="n">
        <v>0</v>
      </c>
      <c r="Q72" t="n">
        <v>0</v>
      </c>
      <c r="R72" s="2" t="inlineStr"/>
    </row>
    <row r="73" ht="15" customHeight="1">
      <c r="A73" t="inlineStr">
        <is>
          <t>A 45284-2021</t>
        </is>
      </c>
      <c r="B73" s="1" t="n">
        <v>44439.65418981481</v>
      </c>
      <c r="C73" s="1" t="n">
        <v>46161</v>
      </c>
      <c r="D73" t="inlineStr">
        <is>
          <t>SKÅNE LÄN</t>
        </is>
      </c>
      <c r="E73" t="inlineStr">
        <is>
          <t>HÄSSLEHOLM</t>
        </is>
      </c>
      <c r="G73" t="n">
        <v>1.6</v>
      </c>
      <c r="H73" t="n">
        <v>0</v>
      </c>
      <c r="I73" t="n">
        <v>0</v>
      </c>
      <c r="J73" t="n">
        <v>0</v>
      </c>
      <c r="K73" t="n">
        <v>0</v>
      </c>
      <c r="L73" t="n">
        <v>0</v>
      </c>
      <c r="M73" t="n">
        <v>0</v>
      </c>
      <c r="N73" t="n">
        <v>0</v>
      </c>
      <c r="O73" t="n">
        <v>0</v>
      </c>
      <c r="P73" t="n">
        <v>0</v>
      </c>
      <c r="Q73" t="n">
        <v>0</v>
      </c>
      <c r="R73" s="2" t="inlineStr"/>
    </row>
    <row r="74" ht="15" customHeight="1">
      <c r="A74" t="inlineStr">
        <is>
          <t>A 8204-2022</t>
        </is>
      </c>
      <c r="B74" s="1" t="n">
        <v>44609.73251157408</v>
      </c>
      <c r="C74" s="1" t="n">
        <v>46161</v>
      </c>
      <c r="D74" t="inlineStr">
        <is>
          <t>SKÅNE LÄN</t>
        </is>
      </c>
      <c r="E74" t="inlineStr">
        <is>
          <t>HÄSSLEHOLM</t>
        </is>
      </c>
      <c r="G74" t="n">
        <v>0.9</v>
      </c>
      <c r="H74" t="n">
        <v>0</v>
      </c>
      <c r="I74" t="n">
        <v>0</v>
      </c>
      <c r="J74" t="n">
        <v>0</v>
      </c>
      <c r="K74" t="n">
        <v>0</v>
      </c>
      <c r="L74" t="n">
        <v>0</v>
      </c>
      <c r="M74" t="n">
        <v>0</v>
      </c>
      <c r="N74" t="n">
        <v>0</v>
      </c>
      <c r="O74" t="n">
        <v>0</v>
      </c>
      <c r="P74" t="n">
        <v>0</v>
      </c>
      <c r="Q74" t="n">
        <v>0</v>
      </c>
      <c r="R74" s="2" t="inlineStr"/>
    </row>
    <row r="75" ht="15" customHeight="1">
      <c r="A75" t="inlineStr">
        <is>
          <t>A 48553-2021</t>
        </is>
      </c>
      <c r="B75" s="1" t="n">
        <v>44452.45701388889</v>
      </c>
      <c r="C75" s="1" t="n">
        <v>46161</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46161</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46161</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46161</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46161</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46161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26387-2022</t>
        </is>
      </c>
      <c r="B81" s="1" t="n">
        <v>44735.68328703703</v>
      </c>
      <c r="C81" s="1" t="n">
        <v>46161</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25379-2021</t>
        </is>
      </c>
      <c r="B82" s="1" t="n">
        <v>44342</v>
      </c>
      <c r="C82" s="1" t="n">
        <v>46161</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40764-2022</t>
        </is>
      </c>
      <c r="B83" s="1" t="n">
        <v>44820</v>
      </c>
      <c r="C83" s="1" t="n">
        <v>46161</v>
      </c>
      <c r="D83" t="inlineStr">
        <is>
          <t>SKÅNE LÄN</t>
        </is>
      </c>
      <c r="E83" t="inlineStr">
        <is>
          <t>HÄSSLEHOLM</t>
        </is>
      </c>
      <c r="G83" t="n">
        <v>0.3</v>
      </c>
      <c r="H83" t="n">
        <v>0</v>
      </c>
      <c r="I83" t="n">
        <v>0</v>
      </c>
      <c r="J83" t="n">
        <v>0</v>
      </c>
      <c r="K83" t="n">
        <v>0</v>
      </c>
      <c r="L83" t="n">
        <v>0</v>
      </c>
      <c r="M83" t="n">
        <v>0</v>
      </c>
      <c r="N83" t="n">
        <v>0</v>
      </c>
      <c r="O83" t="n">
        <v>0</v>
      </c>
      <c r="P83" t="n">
        <v>0</v>
      </c>
      <c r="Q83" t="n">
        <v>0</v>
      </c>
      <c r="R83" s="2" t="inlineStr"/>
    </row>
    <row r="84" ht="15" customHeight="1">
      <c r="A84" t="inlineStr">
        <is>
          <t>A 30992-2021</t>
        </is>
      </c>
      <c r="B84" s="1" t="n">
        <v>44366.36262731482</v>
      </c>
      <c r="C84" s="1" t="n">
        <v>46161</v>
      </c>
      <c r="D84" t="inlineStr">
        <is>
          <t>SKÅNE LÄN</t>
        </is>
      </c>
      <c r="E84" t="inlineStr">
        <is>
          <t>HÄSSLEHOLM</t>
        </is>
      </c>
      <c r="G84" t="n">
        <v>3.1</v>
      </c>
      <c r="H84" t="n">
        <v>0</v>
      </c>
      <c r="I84" t="n">
        <v>0</v>
      </c>
      <c r="J84" t="n">
        <v>0</v>
      </c>
      <c r="K84" t="n">
        <v>0</v>
      </c>
      <c r="L84" t="n">
        <v>0</v>
      </c>
      <c r="M84" t="n">
        <v>0</v>
      </c>
      <c r="N84" t="n">
        <v>0</v>
      </c>
      <c r="O84" t="n">
        <v>0</v>
      </c>
      <c r="P84" t="n">
        <v>0</v>
      </c>
      <c r="Q84" t="n">
        <v>0</v>
      </c>
      <c r="R84" s="2" t="inlineStr"/>
    </row>
    <row r="85" ht="15" customHeight="1">
      <c r="A85" t="inlineStr">
        <is>
          <t>A 38160-2021</t>
        </is>
      </c>
      <c r="B85" s="1" t="n">
        <v>44405.42719907407</v>
      </c>
      <c r="C85" s="1" t="n">
        <v>46161</v>
      </c>
      <c r="D85" t="inlineStr">
        <is>
          <t>SKÅNE LÄN</t>
        </is>
      </c>
      <c r="E85" t="inlineStr">
        <is>
          <t>HÄSSLEHOLM</t>
        </is>
      </c>
      <c r="G85" t="n">
        <v>2.2</v>
      </c>
      <c r="H85" t="n">
        <v>0</v>
      </c>
      <c r="I85" t="n">
        <v>0</v>
      </c>
      <c r="J85" t="n">
        <v>0</v>
      </c>
      <c r="K85" t="n">
        <v>0</v>
      </c>
      <c r="L85" t="n">
        <v>0</v>
      </c>
      <c r="M85" t="n">
        <v>0</v>
      </c>
      <c r="N85" t="n">
        <v>0</v>
      </c>
      <c r="O85" t="n">
        <v>0</v>
      </c>
      <c r="P85" t="n">
        <v>0</v>
      </c>
      <c r="Q85" t="n">
        <v>0</v>
      </c>
      <c r="R85" s="2" t="inlineStr"/>
    </row>
    <row r="86" ht="15" customHeight="1">
      <c r="A86" t="inlineStr">
        <is>
          <t>A 44755-2021</t>
        </is>
      </c>
      <c r="B86" s="1" t="n">
        <v>44438</v>
      </c>
      <c r="C86" s="1" t="n">
        <v>46161</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44770-2021</t>
        </is>
      </c>
      <c r="B87" s="1" t="n">
        <v>44438</v>
      </c>
      <c r="C87" s="1" t="n">
        <v>46161</v>
      </c>
      <c r="D87" t="inlineStr">
        <is>
          <t>SKÅNE LÄN</t>
        </is>
      </c>
      <c r="E87" t="inlineStr">
        <is>
          <t>HÄSSLEHOLM</t>
        </is>
      </c>
      <c r="G87" t="n">
        <v>0.5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46161</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46161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46161</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61073-2021</t>
        </is>
      </c>
      <c r="B91" s="1" t="n">
        <v>44497.83447916667</v>
      </c>
      <c r="C91" s="1" t="n">
        <v>46161</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7857-2022</t>
        </is>
      </c>
      <c r="B92" s="1" t="n">
        <v>44607</v>
      </c>
      <c r="C92" s="1" t="n">
        <v>46161</v>
      </c>
      <c r="D92" t="inlineStr">
        <is>
          <t>SKÅNE LÄN</t>
        </is>
      </c>
      <c r="E92" t="inlineStr">
        <is>
          <t>HÄSSLEHOLM</t>
        </is>
      </c>
      <c r="F92" t="inlineStr">
        <is>
          <t>Kyrkan</t>
        </is>
      </c>
      <c r="G92" t="n">
        <v>12.2</v>
      </c>
      <c r="H92" t="n">
        <v>0</v>
      </c>
      <c r="I92" t="n">
        <v>0</v>
      </c>
      <c r="J92" t="n">
        <v>0</v>
      </c>
      <c r="K92" t="n">
        <v>0</v>
      </c>
      <c r="L92" t="n">
        <v>0</v>
      </c>
      <c r="M92" t="n">
        <v>0</v>
      </c>
      <c r="N92" t="n">
        <v>0</v>
      </c>
      <c r="O92" t="n">
        <v>0</v>
      </c>
      <c r="P92" t="n">
        <v>0</v>
      </c>
      <c r="Q92" t="n">
        <v>0</v>
      </c>
      <c r="R92" s="2" t="inlineStr"/>
    </row>
    <row r="93" ht="15" customHeight="1">
      <c r="A93" t="inlineStr">
        <is>
          <t>A 61072-2021</t>
        </is>
      </c>
      <c r="B93" s="1" t="n">
        <v>44497.83344907407</v>
      </c>
      <c r="C93" s="1" t="n">
        <v>46161</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34982-2022</t>
        </is>
      </c>
      <c r="B94" s="1" t="n">
        <v>44796.69055555556</v>
      </c>
      <c r="C94" s="1" t="n">
        <v>46161</v>
      </c>
      <c r="D94" t="inlineStr">
        <is>
          <t>SKÅNE LÄN</t>
        </is>
      </c>
      <c r="E94" t="inlineStr">
        <is>
          <t>HÄSSLEHOLM</t>
        </is>
      </c>
      <c r="F94" t="inlineStr">
        <is>
          <t>Kyrkan</t>
        </is>
      </c>
      <c r="G94" t="n">
        <v>3.4</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46161</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46161</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46161</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46161</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46161</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46161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46161</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34684-2021</t>
        </is>
      </c>
      <c r="B102" s="1" t="n">
        <v>44382</v>
      </c>
      <c r="C102" s="1" t="n">
        <v>46161</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46161</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46161</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46161</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46161</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46161</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46161</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46161</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46161</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46161</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46161</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34027-2021</t>
        </is>
      </c>
      <c r="B113" s="1" t="n">
        <v>44379</v>
      </c>
      <c r="C113" s="1" t="n">
        <v>46161</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32792-2021</t>
        </is>
      </c>
      <c r="B114" s="1" t="n">
        <v>44375</v>
      </c>
      <c r="C114" s="1" t="n">
        <v>46161</v>
      </c>
      <c r="D114" t="inlineStr">
        <is>
          <t>SKÅNE LÄN</t>
        </is>
      </c>
      <c r="E114" t="inlineStr">
        <is>
          <t>HÄSSLEHOLM</t>
        </is>
      </c>
      <c r="G114" t="n">
        <v>1</v>
      </c>
      <c r="H114" t="n">
        <v>0</v>
      </c>
      <c r="I114" t="n">
        <v>0</v>
      </c>
      <c r="J114" t="n">
        <v>0</v>
      </c>
      <c r="K114" t="n">
        <v>0</v>
      </c>
      <c r="L114" t="n">
        <v>0</v>
      </c>
      <c r="M114" t="n">
        <v>0</v>
      </c>
      <c r="N114" t="n">
        <v>0</v>
      </c>
      <c r="O114" t="n">
        <v>0</v>
      </c>
      <c r="P114" t="n">
        <v>0</v>
      </c>
      <c r="Q114" t="n">
        <v>0</v>
      </c>
      <c r="R114" s="2" t="inlineStr"/>
    </row>
    <row r="115" ht="15" customHeight="1">
      <c r="A115" t="inlineStr">
        <is>
          <t>A 3167-2022</t>
        </is>
      </c>
      <c r="B115" s="1" t="n">
        <v>44582</v>
      </c>
      <c r="C115" s="1" t="n">
        <v>46161</v>
      </c>
      <c r="D115" t="inlineStr">
        <is>
          <t>SKÅNE LÄN</t>
        </is>
      </c>
      <c r="E115" t="inlineStr">
        <is>
          <t>HÄSSLEHOLM</t>
        </is>
      </c>
      <c r="F115" t="inlineStr">
        <is>
          <t>Kommuner</t>
        </is>
      </c>
      <c r="G115" t="n">
        <v>1.5</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46161</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4161-2022</t>
        </is>
      </c>
      <c r="B117" s="1" t="n">
        <v>44588</v>
      </c>
      <c r="C117" s="1" t="n">
        <v>46161</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34679-2021</t>
        </is>
      </c>
      <c r="B118" s="1" t="n">
        <v>44382</v>
      </c>
      <c r="C118" s="1" t="n">
        <v>46161</v>
      </c>
      <c r="D118" t="inlineStr">
        <is>
          <t>SKÅNE LÄN</t>
        </is>
      </c>
      <c r="E118" t="inlineStr">
        <is>
          <t>HÄSSLEHOLM</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1535-2022</t>
        </is>
      </c>
      <c r="B119" s="1" t="n">
        <v>44573</v>
      </c>
      <c r="C119" s="1" t="n">
        <v>46161</v>
      </c>
      <c r="D119" t="inlineStr">
        <is>
          <t>SKÅNE LÄN</t>
        </is>
      </c>
      <c r="E119" t="inlineStr">
        <is>
          <t>HÄSSLEHOLM</t>
        </is>
      </c>
      <c r="G119" t="n">
        <v>15</v>
      </c>
      <c r="H119" t="n">
        <v>0</v>
      </c>
      <c r="I119" t="n">
        <v>0</v>
      </c>
      <c r="J119" t="n">
        <v>0</v>
      </c>
      <c r="K119" t="n">
        <v>0</v>
      </c>
      <c r="L119" t="n">
        <v>0</v>
      </c>
      <c r="M119" t="n">
        <v>0</v>
      </c>
      <c r="N119" t="n">
        <v>0</v>
      </c>
      <c r="O119" t="n">
        <v>0</v>
      </c>
      <c r="P119" t="n">
        <v>0</v>
      </c>
      <c r="Q119" t="n">
        <v>0</v>
      </c>
      <c r="R119" s="2" t="inlineStr"/>
    </row>
    <row r="120" ht="15" customHeight="1">
      <c r="A120" t="inlineStr">
        <is>
          <t>A 40702-2021</t>
        </is>
      </c>
      <c r="B120" s="1" t="n">
        <v>44420.61719907408</v>
      </c>
      <c r="C120" s="1" t="n">
        <v>46161</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64607-2021</t>
        </is>
      </c>
      <c r="B121" s="1" t="n">
        <v>44511</v>
      </c>
      <c r="C121" s="1" t="n">
        <v>46161</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2631-2022</t>
        </is>
      </c>
      <c r="B122" s="1" t="n">
        <v>44580</v>
      </c>
      <c r="C122" s="1" t="n">
        <v>46161</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15423-2022</t>
        </is>
      </c>
      <c r="B123" s="1" t="n">
        <v>44659</v>
      </c>
      <c r="C123" s="1" t="n">
        <v>46161</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56989-2021</t>
        </is>
      </c>
      <c r="B124" s="1" t="n">
        <v>44482</v>
      </c>
      <c r="C124" s="1" t="n">
        <v>46161</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25383-2021</t>
        </is>
      </c>
      <c r="B125" s="1" t="n">
        <v>44342</v>
      </c>
      <c r="C125" s="1" t="n">
        <v>46161</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27330-2021</t>
        </is>
      </c>
      <c r="B126" s="1" t="n">
        <v>44351</v>
      </c>
      <c r="C126" s="1" t="n">
        <v>46161</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51159-2021</t>
        </is>
      </c>
      <c r="B127" s="1" t="n">
        <v>44461</v>
      </c>
      <c r="C127" s="1" t="n">
        <v>46161</v>
      </c>
      <c r="D127" t="inlineStr">
        <is>
          <t>SKÅNE LÄN</t>
        </is>
      </c>
      <c r="E127" t="inlineStr">
        <is>
          <t>HÄSSLEHOLM</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354-2022</t>
        </is>
      </c>
      <c r="B128" s="1" t="n">
        <v>44565.62510416667</v>
      </c>
      <c r="C128" s="1" t="n">
        <v>46161</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32892-2021</t>
        </is>
      </c>
      <c r="B129" s="1" t="n">
        <v>44375</v>
      </c>
      <c r="C129" s="1" t="n">
        <v>46161</v>
      </c>
      <c r="D129" t="inlineStr">
        <is>
          <t>SKÅNE LÄN</t>
        </is>
      </c>
      <c r="E129" t="inlineStr">
        <is>
          <t>HÄSSLEHOLM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39102-2022</t>
        </is>
      </c>
      <c r="B130" s="1" t="n">
        <v>44817.43260416666</v>
      </c>
      <c r="C130" s="1" t="n">
        <v>46161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47112-2021</t>
        </is>
      </c>
      <c r="B131" s="1" t="n">
        <v>44446</v>
      </c>
      <c r="C131" s="1" t="n">
        <v>46161</v>
      </c>
      <c r="D131" t="inlineStr">
        <is>
          <t>SKÅNE LÄN</t>
        </is>
      </c>
      <c r="E131" t="inlineStr">
        <is>
          <t>HÄSSLEHOLM</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6414-2022</t>
        </is>
      </c>
      <c r="B132" s="1" t="n">
        <v>44600</v>
      </c>
      <c r="C132" s="1" t="n">
        <v>46161</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56431-2021</t>
        </is>
      </c>
      <c r="B133" s="1" t="n">
        <v>44480</v>
      </c>
      <c r="C133" s="1" t="n">
        <v>46161</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52567-2021</t>
        </is>
      </c>
      <c r="B134" s="1" t="n">
        <v>44466</v>
      </c>
      <c r="C134" s="1" t="n">
        <v>46161</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74297-2021</t>
        </is>
      </c>
      <c r="B135" s="1" t="n">
        <v>44558</v>
      </c>
      <c r="C135" s="1" t="n">
        <v>46161</v>
      </c>
      <c r="D135" t="inlineStr">
        <is>
          <t>SKÅNE LÄN</t>
        </is>
      </c>
      <c r="E135" t="inlineStr">
        <is>
          <t>HÄSSLEHOLM</t>
        </is>
      </c>
      <c r="F135" t="inlineStr">
        <is>
          <t>Kyrkan</t>
        </is>
      </c>
      <c r="G135" t="n">
        <v>3.8</v>
      </c>
      <c r="H135" t="n">
        <v>0</v>
      </c>
      <c r="I135" t="n">
        <v>0</v>
      </c>
      <c r="J135" t="n">
        <v>0</v>
      </c>
      <c r="K135" t="n">
        <v>0</v>
      </c>
      <c r="L135" t="n">
        <v>0</v>
      </c>
      <c r="M135" t="n">
        <v>0</v>
      </c>
      <c r="N135" t="n">
        <v>0</v>
      </c>
      <c r="O135" t="n">
        <v>0</v>
      </c>
      <c r="P135" t="n">
        <v>0</v>
      </c>
      <c r="Q135" t="n">
        <v>0</v>
      </c>
      <c r="R135" s="2" t="inlineStr"/>
    </row>
    <row r="136" ht="15" customHeight="1">
      <c r="A136" t="inlineStr">
        <is>
          <t>A 52295-2021</t>
        </is>
      </c>
      <c r="B136" s="1" t="n">
        <v>44463</v>
      </c>
      <c r="C136" s="1" t="n">
        <v>46161</v>
      </c>
      <c r="D136" t="inlineStr">
        <is>
          <t>SKÅNE LÄN</t>
        </is>
      </c>
      <c r="E136" t="inlineStr">
        <is>
          <t>HÄSSLEHOLM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68909-2021</t>
        </is>
      </c>
      <c r="B137" s="1" t="n">
        <v>44530.46730324074</v>
      </c>
      <c r="C137" s="1" t="n">
        <v>46161</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5091-2022</t>
        </is>
      </c>
      <c r="B138" s="1" t="n">
        <v>44593.85114583333</v>
      </c>
      <c r="C138" s="1" t="n">
        <v>46161</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60260-2021</t>
        </is>
      </c>
      <c r="B139" s="1" t="n">
        <v>44495</v>
      </c>
      <c r="C139" s="1" t="n">
        <v>46161</v>
      </c>
      <c r="D139" t="inlineStr">
        <is>
          <t>SKÅNE LÄN</t>
        </is>
      </c>
      <c r="E139" t="inlineStr">
        <is>
          <t>HÄSSLEHOLM</t>
        </is>
      </c>
      <c r="G139" t="n">
        <v>2.1</v>
      </c>
      <c r="H139" t="n">
        <v>0</v>
      </c>
      <c r="I139" t="n">
        <v>0</v>
      </c>
      <c r="J139" t="n">
        <v>0</v>
      </c>
      <c r="K139" t="n">
        <v>0</v>
      </c>
      <c r="L139" t="n">
        <v>0</v>
      </c>
      <c r="M139" t="n">
        <v>0</v>
      </c>
      <c r="N139" t="n">
        <v>0</v>
      </c>
      <c r="O139" t="n">
        <v>0</v>
      </c>
      <c r="P139" t="n">
        <v>0</v>
      </c>
      <c r="Q139" t="n">
        <v>0</v>
      </c>
      <c r="R139" s="2" t="inlineStr"/>
    </row>
    <row r="140" ht="15" customHeight="1">
      <c r="A140" t="inlineStr">
        <is>
          <t>A 15986-2022</t>
        </is>
      </c>
      <c r="B140" s="1" t="n">
        <v>44664</v>
      </c>
      <c r="C140" s="1" t="n">
        <v>46161</v>
      </c>
      <c r="D140" t="inlineStr">
        <is>
          <t>SKÅNE LÄN</t>
        </is>
      </c>
      <c r="E140" t="inlineStr">
        <is>
          <t>HÄSSLEHOLM</t>
        </is>
      </c>
      <c r="F140" t="inlineStr">
        <is>
          <t>Kyrkan</t>
        </is>
      </c>
      <c r="G140" t="n">
        <v>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46161</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51888-2021</t>
        </is>
      </c>
      <c r="B142" s="1" t="n">
        <v>44462</v>
      </c>
      <c r="C142" s="1" t="n">
        <v>46161</v>
      </c>
      <c r="D142" t="inlineStr">
        <is>
          <t>SKÅNE LÄN</t>
        </is>
      </c>
      <c r="E142" t="inlineStr">
        <is>
          <t>HÄSSLEHOLM</t>
        </is>
      </c>
      <c r="G142" t="n">
        <v>5.6</v>
      </c>
      <c r="H142" t="n">
        <v>0</v>
      </c>
      <c r="I142" t="n">
        <v>0</v>
      </c>
      <c r="J142" t="n">
        <v>0</v>
      </c>
      <c r="K142" t="n">
        <v>0</v>
      </c>
      <c r="L142" t="n">
        <v>0</v>
      </c>
      <c r="M142" t="n">
        <v>0</v>
      </c>
      <c r="N142" t="n">
        <v>0</v>
      </c>
      <c r="O142" t="n">
        <v>0</v>
      </c>
      <c r="P142" t="n">
        <v>0</v>
      </c>
      <c r="Q142" t="n">
        <v>0</v>
      </c>
      <c r="R142" s="2" t="inlineStr"/>
    </row>
    <row r="143" ht="15" customHeight="1">
      <c r="A143" t="inlineStr">
        <is>
          <t>A 29143-2021</t>
        </is>
      </c>
      <c r="B143" s="1" t="n">
        <v>44358.6319212963</v>
      </c>
      <c r="C143" s="1" t="n">
        <v>46161</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46161</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26386-2022</t>
        </is>
      </c>
      <c r="B145" s="1" t="n">
        <v>44735.6803125</v>
      </c>
      <c r="C145" s="1" t="n">
        <v>46161</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73513-2021</t>
        </is>
      </c>
      <c r="B146" s="1" t="n">
        <v>44551.69012731482</v>
      </c>
      <c r="C146" s="1" t="n">
        <v>46161</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25469-2022</t>
        </is>
      </c>
      <c r="B147" s="1" t="n">
        <v>44732</v>
      </c>
      <c r="C147" s="1" t="n">
        <v>46161</v>
      </c>
      <c r="D147" t="inlineStr">
        <is>
          <t>SKÅNE LÄN</t>
        </is>
      </c>
      <c r="E147" t="inlineStr">
        <is>
          <t>HÄSSLEHOLM</t>
        </is>
      </c>
      <c r="G147" t="n">
        <v>4.2</v>
      </c>
      <c r="H147" t="n">
        <v>0</v>
      </c>
      <c r="I147" t="n">
        <v>0</v>
      </c>
      <c r="J147" t="n">
        <v>0</v>
      </c>
      <c r="K147" t="n">
        <v>0</v>
      </c>
      <c r="L147" t="n">
        <v>0</v>
      </c>
      <c r="M147" t="n">
        <v>0</v>
      </c>
      <c r="N147" t="n">
        <v>0</v>
      </c>
      <c r="O147" t="n">
        <v>0</v>
      </c>
      <c r="P147" t="n">
        <v>0</v>
      </c>
      <c r="Q147" t="n">
        <v>0</v>
      </c>
      <c r="R147" s="2" t="inlineStr"/>
    </row>
    <row r="148" ht="15" customHeight="1">
      <c r="A148" t="inlineStr">
        <is>
          <t>A 27959-2022</t>
        </is>
      </c>
      <c r="B148" s="1" t="n">
        <v>44744</v>
      </c>
      <c r="C148" s="1" t="n">
        <v>46161</v>
      </c>
      <c r="D148" t="inlineStr">
        <is>
          <t>SKÅNE LÄN</t>
        </is>
      </c>
      <c r="E148" t="inlineStr">
        <is>
          <t>HÄSSLEHOLM</t>
        </is>
      </c>
      <c r="G148" t="n">
        <v>3</v>
      </c>
      <c r="H148" t="n">
        <v>0</v>
      </c>
      <c r="I148" t="n">
        <v>0</v>
      </c>
      <c r="J148" t="n">
        <v>0</v>
      </c>
      <c r="K148" t="n">
        <v>0</v>
      </c>
      <c r="L148" t="n">
        <v>0</v>
      </c>
      <c r="M148" t="n">
        <v>0</v>
      </c>
      <c r="N148" t="n">
        <v>0</v>
      </c>
      <c r="O148" t="n">
        <v>0</v>
      </c>
      <c r="P148" t="n">
        <v>0</v>
      </c>
      <c r="Q148" t="n">
        <v>0</v>
      </c>
      <c r="R148" s="2" t="inlineStr"/>
    </row>
    <row r="149" ht="15" customHeight="1">
      <c r="A149" t="inlineStr">
        <is>
          <t>A 2858-2022</t>
        </is>
      </c>
      <c r="B149" s="1" t="n">
        <v>44581</v>
      </c>
      <c r="C149" s="1" t="n">
        <v>46161</v>
      </c>
      <c r="D149" t="inlineStr">
        <is>
          <t>SKÅNE LÄN</t>
        </is>
      </c>
      <c r="E149" t="inlineStr">
        <is>
          <t>HÄSSLEHOLM</t>
        </is>
      </c>
      <c r="F149" t="inlineStr">
        <is>
          <t>Övriga Aktiebolag</t>
        </is>
      </c>
      <c r="G149" t="n">
        <v>1.3</v>
      </c>
      <c r="H149" t="n">
        <v>0</v>
      </c>
      <c r="I149" t="n">
        <v>0</v>
      </c>
      <c r="J149" t="n">
        <v>0</v>
      </c>
      <c r="K149" t="n">
        <v>0</v>
      </c>
      <c r="L149" t="n">
        <v>0</v>
      </c>
      <c r="M149" t="n">
        <v>0</v>
      </c>
      <c r="N149" t="n">
        <v>0</v>
      </c>
      <c r="O149" t="n">
        <v>0</v>
      </c>
      <c r="P149" t="n">
        <v>0</v>
      </c>
      <c r="Q149" t="n">
        <v>0</v>
      </c>
      <c r="R149" s="2" t="inlineStr"/>
    </row>
    <row r="150" ht="15" customHeight="1">
      <c r="A150" t="inlineStr">
        <is>
          <t>A 418-2022</t>
        </is>
      </c>
      <c r="B150" s="1" t="n">
        <v>44565.84958333334</v>
      </c>
      <c r="C150" s="1" t="n">
        <v>46161</v>
      </c>
      <c r="D150" t="inlineStr">
        <is>
          <t>SKÅNE LÄN</t>
        </is>
      </c>
      <c r="E150" t="inlineStr">
        <is>
          <t>HÄSSLEHOLM</t>
        </is>
      </c>
      <c r="G150" t="n">
        <v>0</v>
      </c>
      <c r="H150" t="n">
        <v>0</v>
      </c>
      <c r="I150" t="n">
        <v>0</v>
      </c>
      <c r="J150" t="n">
        <v>0</v>
      </c>
      <c r="K150" t="n">
        <v>0</v>
      </c>
      <c r="L150" t="n">
        <v>0</v>
      </c>
      <c r="M150" t="n">
        <v>0</v>
      </c>
      <c r="N150" t="n">
        <v>0</v>
      </c>
      <c r="O150" t="n">
        <v>0</v>
      </c>
      <c r="P150" t="n">
        <v>0</v>
      </c>
      <c r="Q150" t="n">
        <v>0</v>
      </c>
      <c r="R150" s="2" t="inlineStr"/>
    </row>
    <row r="151" ht="15" customHeight="1">
      <c r="A151" t="inlineStr">
        <is>
          <t>A 23830-2021</t>
        </is>
      </c>
      <c r="B151" s="1" t="n">
        <v>44335</v>
      </c>
      <c r="C151" s="1" t="n">
        <v>46161</v>
      </c>
      <c r="D151" t="inlineStr">
        <is>
          <t>SKÅNE LÄN</t>
        </is>
      </c>
      <c r="E151" t="inlineStr">
        <is>
          <t>HÄSSLEHOLM</t>
        </is>
      </c>
      <c r="G151" t="n">
        <v>18.7</v>
      </c>
      <c r="H151" t="n">
        <v>0</v>
      </c>
      <c r="I151" t="n">
        <v>0</v>
      </c>
      <c r="J151" t="n">
        <v>0</v>
      </c>
      <c r="K151" t="n">
        <v>0</v>
      </c>
      <c r="L151" t="n">
        <v>0</v>
      </c>
      <c r="M151" t="n">
        <v>0</v>
      </c>
      <c r="N151" t="n">
        <v>0</v>
      </c>
      <c r="O151" t="n">
        <v>0</v>
      </c>
      <c r="P151" t="n">
        <v>0</v>
      </c>
      <c r="Q151" t="n">
        <v>0</v>
      </c>
      <c r="R151" s="2" t="inlineStr"/>
    </row>
    <row r="152" ht="15" customHeight="1">
      <c r="A152" t="inlineStr">
        <is>
          <t>A 51893-2021</t>
        </is>
      </c>
      <c r="B152" s="1" t="n">
        <v>44462</v>
      </c>
      <c r="C152" s="1" t="n">
        <v>46161</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55394-2022</t>
        </is>
      </c>
      <c r="B153" s="1" t="n">
        <v>44887.57112268519</v>
      </c>
      <c r="C153" s="1" t="n">
        <v>46161</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45357-2022</t>
        </is>
      </c>
      <c r="B154" s="1" t="n">
        <v>44844.61952546296</v>
      </c>
      <c r="C154" s="1" t="n">
        <v>46161</v>
      </c>
      <c r="D154" t="inlineStr">
        <is>
          <t>SKÅNE LÄN</t>
        </is>
      </c>
      <c r="E154" t="inlineStr">
        <is>
          <t>HÄSSLEHOLM</t>
        </is>
      </c>
      <c r="G154" t="n">
        <v>5.8</v>
      </c>
      <c r="H154" t="n">
        <v>0</v>
      </c>
      <c r="I154" t="n">
        <v>0</v>
      </c>
      <c r="J154" t="n">
        <v>0</v>
      </c>
      <c r="K154" t="n">
        <v>0</v>
      </c>
      <c r="L154" t="n">
        <v>0</v>
      </c>
      <c r="M154" t="n">
        <v>0</v>
      </c>
      <c r="N154" t="n">
        <v>0</v>
      </c>
      <c r="O154" t="n">
        <v>0</v>
      </c>
      <c r="P154" t="n">
        <v>0</v>
      </c>
      <c r="Q154" t="n">
        <v>0</v>
      </c>
      <c r="R154" s="2" t="inlineStr"/>
    </row>
    <row r="155" ht="15" customHeight="1">
      <c r="A155" t="inlineStr">
        <is>
          <t>A 45989-2021</t>
        </is>
      </c>
      <c r="B155" s="1" t="n">
        <v>44441.74627314815</v>
      </c>
      <c r="C155" s="1" t="n">
        <v>46161</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7904-2022</t>
        </is>
      </c>
      <c r="B156" s="1" t="n">
        <v>44607</v>
      </c>
      <c r="C156" s="1" t="n">
        <v>46161</v>
      </c>
      <c r="D156" t="inlineStr">
        <is>
          <t>SKÅNE LÄN</t>
        </is>
      </c>
      <c r="E156" t="inlineStr">
        <is>
          <t>HÄSSLEHOLM</t>
        </is>
      </c>
      <c r="F156" t="inlineStr">
        <is>
          <t>Kyrkan</t>
        </is>
      </c>
      <c r="G156" t="n">
        <v>3.9</v>
      </c>
      <c r="H156" t="n">
        <v>0</v>
      </c>
      <c r="I156" t="n">
        <v>0</v>
      </c>
      <c r="J156" t="n">
        <v>0</v>
      </c>
      <c r="K156" t="n">
        <v>0</v>
      </c>
      <c r="L156" t="n">
        <v>0</v>
      </c>
      <c r="M156" t="n">
        <v>0</v>
      </c>
      <c r="N156" t="n">
        <v>0</v>
      </c>
      <c r="O156" t="n">
        <v>0</v>
      </c>
      <c r="P156" t="n">
        <v>0</v>
      </c>
      <c r="Q156" t="n">
        <v>0</v>
      </c>
      <c r="R156" s="2" t="inlineStr"/>
    </row>
    <row r="157" ht="15" customHeight="1">
      <c r="A157" t="inlineStr">
        <is>
          <t>A 51895-2021</t>
        </is>
      </c>
      <c r="B157" s="1" t="n">
        <v>44462</v>
      </c>
      <c r="C157" s="1" t="n">
        <v>46161</v>
      </c>
      <c r="D157" t="inlineStr">
        <is>
          <t>SKÅNE LÄN</t>
        </is>
      </c>
      <c r="E157" t="inlineStr">
        <is>
          <t>HÄSSLEHOLM</t>
        </is>
      </c>
      <c r="G157" t="n">
        <v>5.7</v>
      </c>
      <c r="H157" t="n">
        <v>0</v>
      </c>
      <c r="I157" t="n">
        <v>0</v>
      </c>
      <c r="J157" t="n">
        <v>0</v>
      </c>
      <c r="K157" t="n">
        <v>0</v>
      </c>
      <c r="L157" t="n">
        <v>0</v>
      </c>
      <c r="M157" t="n">
        <v>0</v>
      </c>
      <c r="N157" t="n">
        <v>0</v>
      </c>
      <c r="O157" t="n">
        <v>0</v>
      </c>
      <c r="P157" t="n">
        <v>0</v>
      </c>
      <c r="Q157" t="n">
        <v>0</v>
      </c>
      <c r="R157" s="2" t="inlineStr"/>
    </row>
    <row r="158" ht="15" customHeight="1">
      <c r="A158" t="inlineStr">
        <is>
          <t>A 219-2022</t>
        </is>
      </c>
      <c r="B158" s="1" t="n">
        <v>44564</v>
      </c>
      <c r="C158" s="1" t="n">
        <v>46161</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6048-2022</t>
        </is>
      </c>
      <c r="B159" s="1" t="n">
        <v>44599.5174537037</v>
      </c>
      <c r="C159" s="1" t="n">
        <v>46161</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7250-2022</t>
        </is>
      </c>
      <c r="B160" s="1" t="n">
        <v>44606</v>
      </c>
      <c r="C160" s="1" t="n">
        <v>46161</v>
      </c>
      <c r="D160" t="inlineStr">
        <is>
          <t>SKÅNE LÄN</t>
        </is>
      </c>
      <c r="E160" t="inlineStr">
        <is>
          <t>HÄSSLEHOLM</t>
        </is>
      </c>
      <c r="F160" t="inlineStr">
        <is>
          <t>Övriga Aktiebolag</t>
        </is>
      </c>
      <c r="G160" t="n">
        <v>2.6</v>
      </c>
      <c r="H160" t="n">
        <v>0</v>
      </c>
      <c r="I160" t="n">
        <v>0</v>
      </c>
      <c r="J160" t="n">
        <v>0</v>
      </c>
      <c r="K160" t="n">
        <v>0</v>
      </c>
      <c r="L160" t="n">
        <v>0</v>
      </c>
      <c r="M160" t="n">
        <v>0</v>
      </c>
      <c r="N160" t="n">
        <v>0</v>
      </c>
      <c r="O160" t="n">
        <v>0</v>
      </c>
      <c r="P160" t="n">
        <v>0</v>
      </c>
      <c r="Q160" t="n">
        <v>0</v>
      </c>
      <c r="R160" s="2" t="inlineStr"/>
    </row>
    <row r="161" ht="15" customHeight="1">
      <c r="A161" t="inlineStr">
        <is>
          <t>A 53576-2022</t>
        </is>
      </c>
      <c r="B161" s="1" t="n">
        <v>44875</v>
      </c>
      <c r="C161" s="1" t="n">
        <v>46161</v>
      </c>
      <c r="D161" t="inlineStr">
        <is>
          <t>SKÅNE LÄN</t>
        </is>
      </c>
      <c r="E161" t="inlineStr">
        <is>
          <t>HÄSSLEHOLM</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55412-2022</t>
        </is>
      </c>
      <c r="B162" s="1" t="n">
        <v>44882</v>
      </c>
      <c r="C162" s="1" t="n">
        <v>46161</v>
      </c>
      <c r="D162" t="inlineStr">
        <is>
          <t>SKÅNE LÄN</t>
        </is>
      </c>
      <c r="E162" t="inlineStr">
        <is>
          <t>HÄSSLEHOLM</t>
        </is>
      </c>
      <c r="F162" t="inlineStr">
        <is>
          <t>Övriga Aktiebolag</t>
        </is>
      </c>
      <c r="G162" t="n">
        <v>4</v>
      </c>
      <c r="H162" t="n">
        <v>0</v>
      </c>
      <c r="I162" t="n">
        <v>0</v>
      </c>
      <c r="J162" t="n">
        <v>0</v>
      </c>
      <c r="K162" t="n">
        <v>0</v>
      </c>
      <c r="L162" t="n">
        <v>0</v>
      </c>
      <c r="M162" t="n">
        <v>0</v>
      </c>
      <c r="N162" t="n">
        <v>0</v>
      </c>
      <c r="O162" t="n">
        <v>0</v>
      </c>
      <c r="P162" t="n">
        <v>0</v>
      </c>
      <c r="Q162" t="n">
        <v>0</v>
      </c>
      <c r="R162" s="2" t="inlineStr"/>
    </row>
    <row r="163" ht="15" customHeight="1">
      <c r="A163" t="inlineStr">
        <is>
          <t>A 6253-2022</t>
        </is>
      </c>
      <c r="B163" s="1" t="n">
        <v>44600</v>
      </c>
      <c r="C163" s="1" t="n">
        <v>46161</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7262-2022</t>
        </is>
      </c>
      <c r="B164" s="1" t="n">
        <v>44606</v>
      </c>
      <c r="C164" s="1" t="n">
        <v>46161</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23967-2022</t>
        </is>
      </c>
      <c r="B165" s="1" t="n">
        <v>44722.74079861111</v>
      </c>
      <c r="C165" s="1" t="n">
        <v>46161</v>
      </c>
      <c r="D165" t="inlineStr">
        <is>
          <t>SKÅNE LÄN</t>
        </is>
      </c>
      <c r="E165" t="inlineStr">
        <is>
          <t>HÄSSLEHOLM</t>
        </is>
      </c>
      <c r="F165" t="inlineStr">
        <is>
          <t>Kyrkan</t>
        </is>
      </c>
      <c r="G165" t="n">
        <v>12.4</v>
      </c>
      <c r="H165" t="n">
        <v>0</v>
      </c>
      <c r="I165" t="n">
        <v>0</v>
      </c>
      <c r="J165" t="n">
        <v>0</v>
      </c>
      <c r="K165" t="n">
        <v>0</v>
      </c>
      <c r="L165" t="n">
        <v>0</v>
      </c>
      <c r="M165" t="n">
        <v>0</v>
      </c>
      <c r="N165" t="n">
        <v>0</v>
      </c>
      <c r="O165" t="n">
        <v>0</v>
      </c>
      <c r="P165" t="n">
        <v>0</v>
      </c>
      <c r="Q165" t="n">
        <v>0</v>
      </c>
      <c r="R165" s="2" t="inlineStr"/>
    </row>
    <row r="166" ht="15" customHeight="1">
      <c r="A166" t="inlineStr">
        <is>
          <t>A 64826-2021</t>
        </is>
      </c>
      <c r="B166" s="1" t="n">
        <v>44512.55935185185</v>
      </c>
      <c r="C166" s="1" t="n">
        <v>46161</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25464-2022</t>
        </is>
      </c>
      <c r="B167" s="1" t="n">
        <v>44729</v>
      </c>
      <c r="C167" s="1" t="n">
        <v>46161</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8177-2022</t>
        </is>
      </c>
      <c r="B168" s="1" t="n">
        <v>44607</v>
      </c>
      <c r="C168" s="1" t="n">
        <v>46161</v>
      </c>
      <c r="D168" t="inlineStr">
        <is>
          <t>SKÅNE LÄN</t>
        </is>
      </c>
      <c r="E168" t="inlineStr">
        <is>
          <t>HÄSSLEHOLM</t>
        </is>
      </c>
      <c r="F168" t="inlineStr">
        <is>
          <t>Kyrkan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30344-2022</t>
        </is>
      </c>
      <c r="B169" s="1" t="n">
        <v>44760.50783564815</v>
      </c>
      <c r="C169" s="1" t="n">
        <v>46161</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56527-2021</t>
        </is>
      </c>
      <c r="B170" s="1" t="n">
        <v>44480</v>
      </c>
      <c r="C170" s="1" t="n">
        <v>46161</v>
      </c>
      <c r="D170" t="inlineStr">
        <is>
          <t>SKÅNE LÄN</t>
        </is>
      </c>
      <c r="E170" t="inlineStr">
        <is>
          <t>HÄSSLEHOLM</t>
        </is>
      </c>
      <c r="F170" t="inlineStr">
        <is>
          <t>Kyrkan</t>
        </is>
      </c>
      <c r="G170" t="n">
        <v>2.7</v>
      </c>
      <c r="H170" t="n">
        <v>0</v>
      </c>
      <c r="I170" t="n">
        <v>0</v>
      </c>
      <c r="J170" t="n">
        <v>0</v>
      </c>
      <c r="K170" t="n">
        <v>0</v>
      </c>
      <c r="L170" t="n">
        <v>0</v>
      </c>
      <c r="M170" t="n">
        <v>0</v>
      </c>
      <c r="N170" t="n">
        <v>0</v>
      </c>
      <c r="O170" t="n">
        <v>0</v>
      </c>
      <c r="P170" t="n">
        <v>0</v>
      </c>
      <c r="Q170" t="n">
        <v>0</v>
      </c>
      <c r="R170" s="2" t="inlineStr"/>
    </row>
    <row r="171" ht="15" customHeight="1">
      <c r="A171" t="inlineStr">
        <is>
          <t>A 3992-2022</t>
        </is>
      </c>
      <c r="B171" s="1" t="n">
        <v>44587</v>
      </c>
      <c r="C171" s="1" t="n">
        <v>46161</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25955-2022</t>
        </is>
      </c>
      <c r="B172" s="1" t="n">
        <v>44734</v>
      </c>
      <c r="C172" s="1" t="n">
        <v>46161</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20657-2022</t>
        </is>
      </c>
      <c r="B173" s="1" t="n">
        <v>44700</v>
      </c>
      <c r="C173" s="1" t="n">
        <v>46161</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25788-2021</t>
        </is>
      </c>
      <c r="B174" s="1" t="n">
        <v>44343</v>
      </c>
      <c r="C174" s="1" t="n">
        <v>46161</v>
      </c>
      <c r="D174" t="inlineStr">
        <is>
          <t>SKÅNE LÄN</t>
        </is>
      </c>
      <c r="E174" t="inlineStr">
        <is>
          <t>HÄSSLEHOLM</t>
        </is>
      </c>
      <c r="G174" t="n">
        <v>4.8</v>
      </c>
      <c r="H174" t="n">
        <v>0</v>
      </c>
      <c r="I174" t="n">
        <v>0</v>
      </c>
      <c r="J174" t="n">
        <v>0</v>
      </c>
      <c r="K174" t="n">
        <v>0</v>
      </c>
      <c r="L174" t="n">
        <v>0</v>
      </c>
      <c r="M174" t="n">
        <v>0</v>
      </c>
      <c r="N174" t="n">
        <v>0</v>
      </c>
      <c r="O174" t="n">
        <v>0</v>
      </c>
      <c r="P174" t="n">
        <v>0</v>
      </c>
      <c r="Q174" t="n">
        <v>0</v>
      </c>
      <c r="R174" s="2" t="inlineStr"/>
    </row>
    <row r="175" ht="15" customHeight="1">
      <c r="A175" t="inlineStr">
        <is>
          <t>A 23950-2023</t>
        </is>
      </c>
      <c r="B175" s="1" t="n">
        <v>45078.61771990741</v>
      </c>
      <c r="C175" s="1" t="n">
        <v>46161</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23952-2023</t>
        </is>
      </c>
      <c r="B176" s="1" t="n">
        <v>45078.62064814815</v>
      </c>
      <c r="C176" s="1" t="n">
        <v>46161</v>
      </c>
      <c r="D176" t="inlineStr">
        <is>
          <t>SKÅNE LÄN</t>
        </is>
      </c>
      <c r="E176" t="inlineStr">
        <is>
          <t>HÄSSLEHOLM</t>
        </is>
      </c>
      <c r="G176" t="n">
        <v>0.4</v>
      </c>
      <c r="H176" t="n">
        <v>0</v>
      </c>
      <c r="I176" t="n">
        <v>0</v>
      </c>
      <c r="J176" t="n">
        <v>0</v>
      </c>
      <c r="K176" t="n">
        <v>0</v>
      </c>
      <c r="L176" t="n">
        <v>0</v>
      </c>
      <c r="M176" t="n">
        <v>0</v>
      </c>
      <c r="N176" t="n">
        <v>0</v>
      </c>
      <c r="O176" t="n">
        <v>0</v>
      </c>
      <c r="P176" t="n">
        <v>0</v>
      </c>
      <c r="Q176" t="n">
        <v>0</v>
      </c>
      <c r="R176" s="2" t="inlineStr"/>
    </row>
    <row r="177" ht="15" customHeight="1">
      <c r="A177" t="inlineStr">
        <is>
          <t>A 23956-2023</t>
        </is>
      </c>
      <c r="B177" s="1" t="n">
        <v>45078.62302083334</v>
      </c>
      <c r="C177" s="1" t="n">
        <v>46161</v>
      </c>
      <c r="D177" t="inlineStr">
        <is>
          <t>SKÅNE LÄN</t>
        </is>
      </c>
      <c r="E177" t="inlineStr">
        <is>
          <t>HÄSSLEHOLM</t>
        </is>
      </c>
      <c r="G177" t="n">
        <v>0.1</v>
      </c>
      <c r="H177" t="n">
        <v>0</v>
      </c>
      <c r="I177" t="n">
        <v>0</v>
      </c>
      <c r="J177" t="n">
        <v>0</v>
      </c>
      <c r="K177" t="n">
        <v>0</v>
      </c>
      <c r="L177" t="n">
        <v>0</v>
      </c>
      <c r="M177" t="n">
        <v>0</v>
      </c>
      <c r="N177" t="n">
        <v>0</v>
      </c>
      <c r="O177" t="n">
        <v>0</v>
      </c>
      <c r="P177" t="n">
        <v>0</v>
      </c>
      <c r="Q177" t="n">
        <v>0</v>
      </c>
      <c r="R177" s="2" t="inlineStr"/>
    </row>
    <row r="178" ht="15" customHeight="1">
      <c r="A178" t="inlineStr">
        <is>
          <t>A 35974-2022</t>
        </is>
      </c>
      <c r="B178" s="1" t="n">
        <v>44802</v>
      </c>
      <c r="C178" s="1" t="n">
        <v>46161</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1619-2022</t>
        </is>
      </c>
      <c r="B179" s="1" t="n">
        <v>44573</v>
      </c>
      <c r="C179" s="1" t="n">
        <v>46161</v>
      </c>
      <c r="D179" t="inlineStr">
        <is>
          <t>SKÅNE LÄN</t>
        </is>
      </c>
      <c r="E179" t="inlineStr">
        <is>
          <t>HÄSSLEHOLM</t>
        </is>
      </c>
      <c r="G179" t="n">
        <v>1.8</v>
      </c>
      <c r="H179" t="n">
        <v>0</v>
      </c>
      <c r="I179" t="n">
        <v>0</v>
      </c>
      <c r="J179" t="n">
        <v>0</v>
      </c>
      <c r="K179" t="n">
        <v>0</v>
      </c>
      <c r="L179" t="n">
        <v>0</v>
      </c>
      <c r="M179" t="n">
        <v>0</v>
      </c>
      <c r="N179" t="n">
        <v>0</v>
      </c>
      <c r="O179" t="n">
        <v>0</v>
      </c>
      <c r="P179" t="n">
        <v>0</v>
      </c>
      <c r="Q179" t="n">
        <v>0</v>
      </c>
      <c r="R179" s="2" t="inlineStr"/>
    </row>
    <row r="180" ht="15" customHeight="1">
      <c r="A180" t="inlineStr">
        <is>
          <t>A 41874-2024</t>
        </is>
      </c>
      <c r="B180" s="1" t="n">
        <v>45561</v>
      </c>
      <c r="C180" s="1" t="n">
        <v>46161</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3500-2024</t>
        </is>
      </c>
      <c r="B181" s="1" t="n">
        <v>45320</v>
      </c>
      <c r="C181" s="1" t="n">
        <v>46161</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58815-2023</t>
        </is>
      </c>
      <c r="B182" s="1" t="n">
        <v>45247</v>
      </c>
      <c r="C182" s="1" t="n">
        <v>46161</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33597-2023</t>
        </is>
      </c>
      <c r="B183" s="1" t="n">
        <v>45132</v>
      </c>
      <c r="C183" s="1" t="n">
        <v>46161</v>
      </c>
      <c r="D183" t="inlineStr">
        <is>
          <t>SKÅNE LÄN</t>
        </is>
      </c>
      <c r="E183" t="inlineStr">
        <is>
          <t>HÄSSLEHOLM</t>
        </is>
      </c>
      <c r="G183" t="n">
        <v>3.9</v>
      </c>
      <c r="H183" t="n">
        <v>0</v>
      </c>
      <c r="I183" t="n">
        <v>0</v>
      </c>
      <c r="J183" t="n">
        <v>0</v>
      </c>
      <c r="K183" t="n">
        <v>0</v>
      </c>
      <c r="L183" t="n">
        <v>0</v>
      </c>
      <c r="M183" t="n">
        <v>0</v>
      </c>
      <c r="N183" t="n">
        <v>0</v>
      </c>
      <c r="O183" t="n">
        <v>0</v>
      </c>
      <c r="P183" t="n">
        <v>0</v>
      </c>
      <c r="Q183" t="n">
        <v>0</v>
      </c>
      <c r="R183" s="2" t="inlineStr"/>
    </row>
    <row r="184" ht="15" customHeight="1">
      <c r="A184" t="inlineStr">
        <is>
          <t>A 33599-2023</t>
        </is>
      </c>
      <c r="B184" s="1" t="n">
        <v>45132</v>
      </c>
      <c r="C184" s="1" t="n">
        <v>46161</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27173-2024</t>
        </is>
      </c>
      <c r="B185" s="1" t="n">
        <v>45471.57048611111</v>
      </c>
      <c r="C185" s="1" t="n">
        <v>46161</v>
      </c>
      <c r="D185" t="inlineStr">
        <is>
          <t>SKÅNE LÄN</t>
        </is>
      </c>
      <c r="E185" t="inlineStr">
        <is>
          <t>HÄSSLEHOLM</t>
        </is>
      </c>
      <c r="G185" t="n">
        <v>1.8</v>
      </c>
      <c r="H185" t="n">
        <v>0</v>
      </c>
      <c r="I185" t="n">
        <v>0</v>
      </c>
      <c r="J185" t="n">
        <v>0</v>
      </c>
      <c r="K185" t="n">
        <v>0</v>
      </c>
      <c r="L185" t="n">
        <v>0</v>
      </c>
      <c r="M185" t="n">
        <v>0</v>
      </c>
      <c r="N185" t="n">
        <v>0</v>
      </c>
      <c r="O185" t="n">
        <v>0</v>
      </c>
      <c r="P185" t="n">
        <v>0</v>
      </c>
      <c r="Q185" t="n">
        <v>0</v>
      </c>
      <c r="R185" s="2" t="inlineStr"/>
    </row>
    <row r="186" ht="15" customHeight="1">
      <c r="A186" t="inlineStr">
        <is>
          <t>A 55284-2023</t>
        </is>
      </c>
      <c r="B186" s="1" t="n">
        <v>45237.74259259259</v>
      </c>
      <c r="C186" s="1" t="n">
        <v>46161</v>
      </c>
      <c r="D186" t="inlineStr">
        <is>
          <t>SKÅNE LÄN</t>
        </is>
      </c>
      <c r="E186" t="inlineStr">
        <is>
          <t>HÄSSLEHOLM</t>
        </is>
      </c>
      <c r="G186" t="n">
        <v>1.4</v>
      </c>
      <c r="H186" t="n">
        <v>0</v>
      </c>
      <c r="I186" t="n">
        <v>0</v>
      </c>
      <c r="J186" t="n">
        <v>0</v>
      </c>
      <c r="K186" t="n">
        <v>0</v>
      </c>
      <c r="L186" t="n">
        <v>0</v>
      </c>
      <c r="M186" t="n">
        <v>0</v>
      </c>
      <c r="N186" t="n">
        <v>0</v>
      </c>
      <c r="O186" t="n">
        <v>0</v>
      </c>
      <c r="P186" t="n">
        <v>0</v>
      </c>
      <c r="Q186" t="n">
        <v>0</v>
      </c>
      <c r="R186" s="2" t="inlineStr"/>
    </row>
    <row r="187" ht="15" customHeight="1">
      <c r="A187" t="inlineStr">
        <is>
          <t>A 14674-2025</t>
        </is>
      </c>
      <c r="B187" s="1" t="n">
        <v>45742.55548611111</v>
      </c>
      <c r="C187" s="1" t="n">
        <v>46161</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14702-2025</t>
        </is>
      </c>
      <c r="B188" s="1" t="n">
        <v>45742.60403935185</v>
      </c>
      <c r="C188" s="1" t="n">
        <v>46161</v>
      </c>
      <c r="D188" t="inlineStr">
        <is>
          <t>SKÅNE LÄN</t>
        </is>
      </c>
      <c r="E188" t="inlineStr">
        <is>
          <t>HÄSSLEHOLM</t>
        </is>
      </c>
      <c r="G188" t="n">
        <v>1.8</v>
      </c>
      <c r="H188" t="n">
        <v>0</v>
      </c>
      <c r="I188" t="n">
        <v>0</v>
      </c>
      <c r="J188" t="n">
        <v>0</v>
      </c>
      <c r="K188" t="n">
        <v>0</v>
      </c>
      <c r="L188" t="n">
        <v>0</v>
      </c>
      <c r="M188" t="n">
        <v>0</v>
      </c>
      <c r="N188" t="n">
        <v>0</v>
      </c>
      <c r="O188" t="n">
        <v>0</v>
      </c>
      <c r="P188" t="n">
        <v>0</v>
      </c>
      <c r="Q188" t="n">
        <v>0</v>
      </c>
      <c r="R188" s="2" t="inlineStr"/>
    </row>
    <row r="189" ht="15" customHeight="1">
      <c r="A189" t="inlineStr">
        <is>
          <t>A 16388-2025</t>
        </is>
      </c>
      <c r="B189" s="1" t="n">
        <v>45751.42787037037</v>
      </c>
      <c r="C189" s="1" t="n">
        <v>46161</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10020-2024</t>
        </is>
      </c>
      <c r="B190" s="1" t="n">
        <v>45363.96944444445</v>
      </c>
      <c r="C190" s="1" t="n">
        <v>46161</v>
      </c>
      <c r="D190" t="inlineStr">
        <is>
          <t>SKÅNE LÄN</t>
        </is>
      </c>
      <c r="E190" t="inlineStr">
        <is>
          <t>HÄSSLEHOLM</t>
        </is>
      </c>
      <c r="G190" t="n">
        <v>5.3</v>
      </c>
      <c r="H190" t="n">
        <v>0</v>
      </c>
      <c r="I190" t="n">
        <v>0</v>
      </c>
      <c r="J190" t="n">
        <v>0</v>
      </c>
      <c r="K190" t="n">
        <v>0</v>
      </c>
      <c r="L190" t="n">
        <v>0</v>
      </c>
      <c r="M190" t="n">
        <v>0</v>
      </c>
      <c r="N190" t="n">
        <v>0</v>
      </c>
      <c r="O190" t="n">
        <v>0</v>
      </c>
      <c r="P190" t="n">
        <v>0</v>
      </c>
      <c r="Q190" t="n">
        <v>0</v>
      </c>
      <c r="R190" s="2" t="inlineStr"/>
    </row>
    <row r="191" ht="15" customHeight="1">
      <c r="A191" t="inlineStr">
        <is>
          <t>A 70087-2021</t>
        </is>
      </c>
      <c r="B191" s="1" t="n">
        <v>44533</v>
      </c>
      <c r="C191" s="1" t="n">
        <v>46161</v>
      </c>
      <c r="D191" t="inlineStr">
        <is>
          <t>SKÅNE LÄN</t>
        </is>
      </c>
      <c r="E191" t="inlineStr">
        <is>
          <t>HÄSSLEHOLM</t>
        </is>
      </c>
      <c r="G191" t="n">
        <v>5</v>
      </c>
      <c r="H191" t="n">
        <v>0</v>
      </c>
      <c r="I191" t="n">
        <v>0</v>
      </c>
      <c r="J191" t="n">
        <v>0</v>
      </c>
      <c r="K191" t="n">
        <v>0</v>
      </c>
      <c r="L191" t="n">
        <v>0</v>
      </c>
      <c r="M191" t="n">
        <v>0</v>
      </c>
      <c r="N191" t="n">
        <v>0</v>
      </c>
      <c r="O191" t="n">
        <v>0</v>
      </c>
      <c r="P191" t="n">
        <v>0</v>
      </c>
      <c r="Q191" t="n">
        <v>0</v>
      </c>
      <c r="R191" s="2" t="inlineStr"/>
    </row>
    <row r="192" ht="15" customHeight="1">
      <c r="A192" t="inlineStr">
        <is>
          <t>A 5284-2023</t>
        </is>
      </c>
      <c r="B192" s="1" t="n">
        <v>44959.50608796296</v>
      </c>
      <c r="C192" s="1" t="n">
        <v>46161</v>
      </c>
      <c r="D192" t="inlineStr">
        <is>
          <t>SKÅNE LÄN</t>
        </is>
      </c>
      <c r="E192" t="inlineStr">
        <is>
          <t>HÄSSLEHOLM</t>
        </is>
      </c>
      <c r="G192" t="n">
        <v>0.4</v>
      </c>
      <c r="H192" t="n">
        <v>0</v>
      </c>
      <c r="I192" t="n">
        <v>0</v>
      </c>
      <c r="J192" t="n">
        <v>0</v>
      </c>
      <c r="K192" t="n">
        <v>0</v>
      </c>
      <c r="L192" t="n">
        <v>0</v>
      </c>
      <c r="M192" t="n">
        <v>0</v>
      </c>
      <c r="N192" t="n">
        <v>0</v>
      </c>
      <c r="O192" t="n">
        <v>0</v>
      </c>
      <c r="P192" t="n">
        <v>0</v>
      </c>
      <c r="Q192" t="n">
        <v>0</v>
      </c>
      <c r="R192" s="2" t="inlineStr"/>
    </row>
    <row r="193" ht="15" customHeight="1">
      <c r="A193" t="inlineStr">
        <is>
          <t>A 5285-2023</t>
        </is>
      </c>
      <c r="B193" s="1" t="n">
        <v>44959.50783564815</v>
      </c>
      <c r="C193" s="1" t="n">
        <v>46161</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7890-2024</t>
        </is>
      </c>
      <c r="B194" s="1" t="n">
        <v>45350.40780092592</v>
      </c>
      <c r="C194" s="1" t="n">
        <v>46161</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34888-2023</t>
        </is>
      </c>
      <c r="B195" s="1" t="n">
        <v>45142.388125</v>
      </c>
      <c r="C195" s="1" t="n">
        <v>46161</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21867-2023</t>
        </is>
      </c>
      <c r="B196" s="1" t="n">
        <v>45063</v>
      </c>
      <c r="C196" s="1" t="n">
        <v>46161</v>
      </c>
      <c r="D196" t="inlineStr">
        <is>
          <t>SKÅNE LÄN</t>
        </is>
      </c>
      <c r="E196" t="inlineStr">
        <is>
          <t>HÄSSLEHOLM</t>
        </is>
      </c>
      <c r="G196" t="n">
        <v>7.6</v>
      </c>
      <c r="H196" t="n">
        <v>0</v>
      </c>
      <c r="I196" t="n">
        <v>0</v>
      </c>
      <c r="J196" t="n">
        <v>0</v>
      </c>
      <c r="K196" t="n">
        <v>0</v>
      </c>
      <c r="L196" t="n">
        <v>0</v>
      </c>
      <c r="M196" t="n">
        <v>0</v>
      </c>
      <c r="N196" t="n">
        <v>0</v>
      </c>
      <c r="O196" t="n">
        <v>0</v>
      </c>
      <c r="P196" t="n">
        <v>0</v>
      </c>
      <c r="Q196" t="n">
        <v>0</v>
      </c>
      <c r="R196" s="2" t="inlineStr"/>
    </row>
    <row r="197" ht="15" customHeight="1">
      <c r="A197" t="inlineStr">
        <is>
          <t>A 20666-2023</t>
        </is>
      </c>
      <c r="B197" s="1" t="n">
        <v>45058.35664351852</v>
      </c>
      <c r="C197" s="1" t="n">
        <v>46161</v>
      </c>
      <c r="D197" t="inlineStr">
        <is>
          <t>SKÅNE LÄN</t>
        </is>
      </c>
      <c r="E197" t="inlineStr">
        <is>
          <t>HÄSSLEHOLM</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59028-2023</t>
        </is>
      </c>
      <c r="B198" s="1" t="n">
        <v>45252.67900462963</v>
      </c>
      <c r="C198" s="1" t="n">
        <v>46161</v>
      </c>
      <c r="D198" t="inlineStr">
        <is>
          <t>SKÅNE LÄN</t>
        </is>
      </c>
      <c r="E198" t="inlineStr">
        <is>
          <t>HÄSSLEHOLM</t>
        </is>
      </c>
      <c r="G198" t="n">
        <v>2.5</v>
      </c>
      <c r="H198" t="n">
        <v>0</v>
      </c>
      <c r="I198" t="n">
        <v>0</v>
      </c>
      <c r="J198" t="n">
        <v>0</v>
      </c>
      <c r="K198" t="n">
        <v>0</v>
      </c>
      <c r="L198" t="n">
        <v>0</v>
      </c>
      <c r="M198" t="n">
        <v>0</v>
      </c>
      <c r="N198" t="n">
        <v>0</v>
      </c>
      <c r="O198" t="n">
        <v>0</v>
      </c>
      <c r="P198" t="n">
        <v>0</v>
      </c>
      <c r="Q198" t="n">
        <v>0</v>
      </c>
      <c r="R198" s="2" t="inlineStr"/>
    </row>
    <row r="199" ht="15" customHeight="1">
      <c r="A199" t="inlineStr">
        <is>
          <t>A 54435-2024</t>
        </is>
      </c>
      <c r="B199" s="1" t="n">
        <v>45617.49494212963</v>
      </c>
      <c r="C199" s="1" t="n">
        <v>46161</v>
      </c>
      <c r="D199" t="inlineStr">
        <is>
          <t>SKÅNE LÄN</t>
        </is>
      </c>
      <c r="E199" t="inlineStr">
        <is>
          <t>HÄSSLEHOLM</t>
        </is>
      </c>
      <c r="G199" t="n">
        <v>2.3</v>
      </c>
      <c r="H199" t="n">
        <v>0</v>
      </c>
      <c r="I199" t="n">
        <v>0</v>
      </c>
      <c r="J199" t="n">
        <v>0</v>
      </c>
      <c r="K199" t="n">
        <v>0</v>
      </c>
      <c r="L199" t="n">
        <v>0</v>
      </c>
      <c r="M199" t="n">
        <v>0</v>
      </c>
      <c r="N199" t="n">
        <v>0</v>
      </c>
      <c r="O199" t="n">
        <v>0</v>
      </c>
      <c r="P199" t="n">
        <v>0</v>
      </c>
      <c r="Q199" t="n">
        <v>0</v>
      </c>
      <c r="R199" s="2" t="inlineStr"/>
    </row>
    <row r="200" ht="15" customHeight="1">
      <c r="A200" t="inlineStr">
        <is>
          <t>A 58886-2024</t>
        </is>
      </c>
      <c r="B200" s="1" t="n">
        <v>45636.45380787037</v>
      </c>
      <c r="C200" s="1" t="n">
        <v>46161</v>
      </c>
      <c r="D200" t="inlineStr">
        <is>
          <t>SKÅNE LÄN</t>
        </is>
      </c>
      <c r="E200" t="inlineStr">
        <is>
          <t>HÄSSLEHOLM</t>
        </is>
      </c>
      <c r="G200" t="n">
        <v>1.9</v>
      </c>
      <c r="H200" t="n">
        <v>0</v>
      </c>
      <c r="I200" t="n">
        <v>0</v>
      </c>
      <c r="J200" t="n">
        <v>0</v>
      </c>
      <c r="K200" t="n">
        <v>0</v>
      </c>
      <c r="L200" t="n">
        <v>0</v>
      </c>
      <c r="M200" t="n">
        <v>0</v>
      </c>
      <c r="N200" t="n">
        <v>0</v>
      </c>
      <c r="O200" t="n">
        <v>0</v>
      </c>
      <c r="P200" t="n">
        <v>0</v>
      </c>
      <c r="Q200" t="n">
        <v>0</v>
      </c>
      <c r="R200" s="2" t="inlineStr"/>
    </row>
    <row r="201" ht="15" customHeight="1">
      <c r="A201" t="inlineStr">
        <is>
          <t>A 13087-2023</t>
        </is>
      </c>
      <c r="B201" s="1" t="n">
        <v>45001</v>
      </c>
      <c r="C201" s="1" t="n">
        <v>46161</v>
      </c>
      <c r="D201" t="inlineStr">
        <is>
          <t>SKÅNE LÄN</t>
        </is>
      </c>
      <c r="E201" t="inlineStr">
        <is>
          <t>HÄSSLEHOLM</t>
        </is>
      </c>
      <c r="G201" t="n">
        <v>3.8</v>
      </c>
      <c r="H201" t="n">
        <v>0</v>
      </c>
      <c r="I201" t="n">
        <v>0</v>
      </c>
      <c r="J201" t="n">
        <v>0</v>
      </c>
      <c r="K201" t="n">
        <v>0</v>
      </c>
      <c r="L201" t="n">
        <v>0</v>
      </c>
      <c r="M201" t="n">
        <v>0</v>
      </c>
      <c r="N201" t="n">
        <v>0</v>
      </c>
      <c r="O201" t="n">
        <v>0</v>
      </c>
      <c r="P201" t="n">
        <v>0</v>
      </c>
      <c r="Q201" t="n">
        <v>0</v>
      </c>
      <c r="R201" s="2" t="inlineStr"/>
    </row>
    <row r="202" ht="15" customHeight="1">
      <c r="A202" t="inlineStr">
        <is>
          <t>A 8250-2023</t>
        </is>
      </c>
      <c r="B202" s="1" t="n">
        <v>44974</v>
      </c>
      <c r="C202" s="1" t="n">
        <v>46161</v>
      </c>
      <c r="D202" t="inlineStr">
        <is>
          <t>SKÅNE LÄN</t>
        </is>
      </c>
      <c r="E202" t="inlineStr">
        <is>
          <t>HÄSSLEHOLM</t>
        </is>
      </c>
      <c r="G202" t="n">
        <v>3</v>
      </c>
      <c r="H202" t="n">
        <v>0</v>
      </c>
      <c r="I202" t="n">
        <v>0</v>
      </c>
      <c r="J202" t="n">
        <v>0</v>
      </c>
      <c r="K202" t="n">
        <v>0</v>
      </c>
      <c r="L202" t="n">
        <v>0</v>
      </c>
      <c r="M202" t="n">
        <v>0</v>
      </c>
      <c r="N202" t="n">
        <v>0</v>
      </c>
      <c r="O202" t="n">
        <v>0</v>
      </c>
      <c r="P202" t="n">
        <v>0</v>
      </c>
      <c r="Q202" t="n">
        <v>0</v>
      </c>
      <c r="R202" s="2" t="inlineStr"/>
    </row>
    <row r="203" ht="15" customHeight="1">
      <c r="A203" t="inlineStr">
        <is>
          <t>A 57079-2022</t>
        </is>
      </c>
      <c r="B203" s="1" t="n">
        <v>44895</v>
      </c>
      <c r="C203" s="1" t="n">
        <v>46161</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7153-2025</t>
        </is>
      </c>
      <c r="B204" s="1" t="n">
        <v>45702.38512731482</v>
      </c>
      <c r="C204" s="1" t="n">
        <v>46161</v>
      </c>
      <c r="D204" t="inlineStr">
        <is>
          <t>SKÅNE LÄN</t>
        </is>
      </c>
      <c r="E204" t="inlineStr">
        <is>
          <t>HÄSSLEHOLM</t>
        </is>
      </c>
      <c r="G204" t="n">
        <v>2.7</v>
      </c>
      <c r="H204" t="n">
        <v>0</v>
      </c>
      <c r="I204" t="n">
        <v>0</v>
      </c>
      <c r="J204" t="n">
        <v>0</v>
      </c>
      <c r="K204" t="n">
        <v>0</v>
      </c>
      <c r="L204" t="n">
        <v>0</v>
      </c>
      <c r="M204" t="n">
        <v>0</v>
      </c>
      <c r="N204" t="n">
        <v>0</v>
      </c>
      <c r="O204" t="n">
        <v>0</v>
      </c>
      <c r="P204" t="n">
        <v>0</v>
      </c>
      <c r="Q204" t="n">
        <v>0</v>
      </c>
      <c r="R204" s="2" t="inlineStr"/>
    </row>
    <row r="205" ht="15" customHeight="1">
      <c r="A205" t="inlineStr">
        <is>
          <t>A 15698-2023</t>
        </is>
      </c>
      <c r="B205" s="1" t="n">
        <v>45021</v>
      </c>
      <c r="C205" s="1" t="n">
        <v>46161</v>
      </c>
      <c r="D205" t="inlineStr">
        <is>
          <t>SKÅNE LÄN</t>
        </is>
      </c>
      <c r="E205" t="inlineStr">
        <is>
          <t>HÄSSLEHOLM</t>
        </is>
      </c>
      <c r="F205" t="inlineStr">
        <is>
          <t>Kommuner</t>
        </is>
      </c>
      <c r="G205" t="n">
        <v>5.5</v>
      </c>
      <c r="H205" t="n">
        <v>0</v>
      </c>
      <c r="I205" t="n">
        <v>0</v>
      </c>
      <c r="J205" t="n">
        <v>0</v>
      </c>
      <c r="K205" t="n">
        <v>0</v>
      </c>
      <c r="L205" t="n">
        <v>0</v>
      </c>
      <c r="M205" t="n">
        <v>0</v>
      </c>
      <c r="N205" t="n">
        <v>0</v>
      </c>
      <c r="O205" t="n">
        <v>0</v>
      </c>
      <c r="P205" t="n">
        <v>0</v>
      </c>
      <c r="Q205" t="n">
        <v>0</v>
      </c>
      <c r="R205" s="2" t="inlineStr"/>
    </row>
    <row r="206" ht="15" customHeight="1">
      <c r="A206" t="inlineStr">
        <is>
          <t>A 20566-2023</t>
        </is>
      </c>
      <c r="B206" s="1" t="n">
        <v>45057</v>
      </c>
      <c r="C206" s="1" t="n">
        <v>46161</v>
      </c>
      <c r="D206" t="inlineStr">
        <is>
          <t>SKÅNE LÄN</t>
        </is>
      </c>
      <c r="E206" t="inlineStr">
        <is>
          <t>HÄSSLEHOLM</t>
        </is>
      </c>
      <c r="G206" t="n">
        <v>5.2</v>
      </c>
      <c r="H206" t="n">
        <v>0</v>
      </c>
      <c r="I206" t="n">
        <v>0</v>
      </c>
      <c r="J206" t="n">
        <v>0</v>
      </c>
      <c r="K206" t="n">
        <v>0</v>
      </c>
      <c r="L206" t="n">
        <v>0</v>
      </c>
      <c r="M206" t="n">
        <v>0</v>
      </c>
      <c r="N206" t="n">
        <v>0</v>
      </c>
      <c r="O206" t="n">
        <v>0</v>
      </c>
      <c r="P206" t="n">
        <v>0</v>
      </c>
      <c r="Q206" t="n">
        <v>0</v>
      </c>
      <c r="R206" s="2" t="inlineStr"/>
    </row>
    <row r="207" ht="15" customHeight="1">
      <c r="A207" t="inlineStr">
        <is>
          <t>A 24241-2023</t>
        </is>
      </c>
      <c r="B207" s="1" t="n">
        <v>45079.61476851852</v>
      </c>
      <c r="C207" s="1" t="n">
        <v>46161</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34342-2021</t>
        </is>
      </c>
      <c r="B208" s="1" t="n">
        <v>44379</v>
      </c>
      <c r="C208" s="1" t="n">
        <v>46161</v>
      </c>
      <c r="D208" t="inlineStr">
        <is>
          <t>SKÅNE LÄN</t>
        </is>
      </c>
      <c r="E208" t="inlineStr">
        <is>
          <t>HÄSSLEHOLM</t>
        </is>
      </c>
      <c r="G208" t="n">
        <v>7</v>
      </c>
      <c r="H208" t="n">
        <v>0</v>
      </c>
      <c r="I208" t="n">
        <v>0</v>
      </c>
      <c r="J208" t="n">
        <v>0</v>
      </c>
      <c r="K208" t="n">
        <v>0</v>
      </c>
      <c r="L208" t="n">
        <v>0</v>
      </c>
      <c r="M208" t="n">
        <v>0</v>
      </c>
      <c r="N208" t="n">
        <v>0</v>
      </c>
      <c r="O208" t="n">
        <v>0</v>
      </c>
      <c r="P208" t="n">
        <v>0</v>
      </c>
      <c r="Q208" t="n">
        <v>0</v>
      </c>
      <c r="R208" s="2" t="inlineStr"/>
    </row>
    <row r="209" ht="15" customHeight="1">
      <c r="A209" t="inlineStr">
        <is>
          <t>A 21310-2022</t>
        </is>
      </c>
      <c r="B209" s="1" t="n">
        <v>44705</v>
      </c>
      <c r="C209" s="1" t="n">
        <v>46161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1557-2023</t>
        </is>
      </c>
      <c r="B210" s="1" t="n">
        <v>44937</v>
      </c>
      <c r="C210" s="1" t="n">
        <v>46161</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47259-2025</t>
        </is>
      </c>
      <c r="B211" s="1" t="n">
        <v>45930</v>
      </c>
      <c r="C211" s="1" t="n">
        <v>46161</v>
      </c>
      <c r="D211" t="inlineStr">
        <is>
          <t>SKÅNE LÄN</t>
        </is>
      </c>
      <c r="E211" t="inlineStr">
        <is>
          <t>HÄSSLEHOLM</t>
        </is>
      </c>
      <c r="G211" t="n">
        <v>1.6</v>
      </c>
      <c r="H211" t="n">
        <v>0</v>
      </c>
      <c r="I211" t="n">
        <v>0</v>
      </c>
      <c r="J211" t="n">
        <v>0</v>
      </c>
      <c r="K211" t="n">
        <v>0</v>
      </c>
      <c r="L211" t="n">
        <v>0</v>
      </c>
      <c r="M211" t="n">
        <v>0</v>
      </c>
      <c r="N211" t="n">
        <v>0</v>
      </c>
      <c r="O211" t="n">
        <v>0</v>
      </c>
      <c r="P211" t="n">
        <v>0</v>
      </c>
      <c r="Q211" t="n">
        <v>0</v>
      </c>
      <c r="R211" s="2" t="inlineStr"/>
    </row>
    <row r="212" ht="15" customHeight="1">
      <c r="A212" t="inlineStr">
        <is>
          <t>A 47473-2025</t>
        </is>
      </c>
      <c r="B212" s="1" t="n">
        <v>45930.67763888889</v>
      </c>
      <c r="C212" s="1" t="n">
        <v>46161</v>
      </c>
      <c r="D212" t="inlineStr">
        <is>
          <t>SKÅNE LÄN</t>
        </is>
      </c>
      <c r="E212" t="inlineStr">
        <is>
          <t>HÄSSLEHOLM</t>
        </is>
      </c>
      <c r="G212" t="n">
        <v>4.7</v>
      </c>
      <c r="H212" t="n">
        <v>0</v>
      </c>
      <c r="I212" t="n">
        <v>0</v>
      </c>
      <c r="J212" t="n">
        <v>0</v>
      </c>
      <c r="K212" t="n">
        <v>0</v>
      </c>
      <c r="L212" t="n">
        <v>0</v>
      </c>
      <c r="M212" t="n">
        <v>0</v>
      </c>
      <c r="N212" t="n">
        <v>0</v>
      </c>
      <c r="O212" t="n">
        <v>0</v>
      </c>
      <c r="P212" t="n">
        <v>0</v>
      </c>
      <c r="Q212" t="n">
        <v>0</v>
      </c>
      <c r="R212" s="2" t="inlineStr"/>
    </row>
    <row r="213" ht="15" customHeight="1">
      <c r="A213" t="inlineStr">
        <is>
          <t>A 47466-2025</t>
        </is>
      </c>
      <c r="B213" s="1" t="n">
        <v>45930.66677083333</v>
      </c>
      <c r="C213" s="1" t="n">
        <v>46161</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48184-2025</t>
        </is>
      </c>
      <c r="B214" s="1" t="n">
        <v>45933.46131944445</v>
      </c>
      <c r="C214" s="1" t="n">
        <v>46161</v>
      </c>
      <c r="D214" t="inlineStr">
        <is>
          <t>SKÅNE LÄN</t>
        </is>
      </c>
      <c r="E214" t="inlineStr">
        <is>
          <t>HÄSSLEHOLM</t>
        </is>
      </c>
      <c r="G214" t="n">
        <v>3</v>
      </c>
      <c r="H214" t="n">
        <v>0</v>
      </c>
      <c r="I214" t="n">
        <v>0</v>
      </c>
      <c r="J214" t="n">
        <v>0</v>
      </c>
      <c r="K214" t="n">
        <v>0</v>
      </c>
      <c r="L214" t="n">
        <v>0</v>
      </c>
      <c r="M214" t="n">
        <v>0</v>
      </c>
      <c r="N214" t="n">
        <v>0</v>
      </c>
      <c r="O214" t="n">
        <v>0</v>
      </c>
      <c r="P214" t="n">
        <v>0</v>
      </c>
      <c r="Q214" t="n">
        <v>0</v>
      </c>
      <c r="R214" s="2" t="inlineStr"/>
    </row>
    <row r="215" ht="15" customHeight="1">
      <c r="A215" t="inlineStr">
        <is>
          <t>A 48185-2025</t>
        </is>
      </c>
      <c r="B215" s="1" t="n">
        <v>45933.46434027778</v>
      </c>
      <c r="C215" s="1" t="n">
        <v>46161</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34886-2023</t>
        </is>
      </c>
      <c r="B216" s="1" t="n">
        <v>45142.38450231482</v>
      </c>
      <c r="C216" s="1" t="n">
        <v>46161</v>
      </c>
      <c r="D216" t="inlineStr">
        <is>
          <t>SKÅNE LÄN</t>
        </is>
      </c>
      <c r="E216" t="inlineStr">
        <is>
          <t>HÄSSLEHOLM</t>
        </is>
      </c>
      <c r="G216" t="n">
        <v>1.3</v>
      </c>
      <c r="H216" t="n">
        <v>0</v>
      </c>
      <c r="I216" t="n">
        <v>0</v>
      </c>
      <c r="J216" t="n">
        <v>0</v>
      </c>
      <c r="K216" t="n">
        <v>0</v>
      </c>
      <c r="L216" t="n">
        <v>0</v>
      </c>
      <c r="M216" t="n">
        <v>0</v>
      </c>
      <c r="N216" t="n">
        <v>0</v>
      </c>
      <c r="O216" t="n">
        <v>0</v>
      </c>
      <c r="P216" t="n">
        <v>0</v>
      </c>
      <c r="Q216" t="n">
        <v>0</v>
      </c>
      <c r="R216" s="2" t="inlineStr"/>
    </row>
    <row r="217" ht="15" customHeight="1">
      <c r="A217" t="inlineStr">
        <is>
          <t>A 9239-2025</t>
        </is>
      </c>
      <c r="B217" s="1" t="n">
        <v>45714</v>
      </c>
      <c r="C217" s="1" t="n">
        <v>46161</v>
      </c>
      <c r="D217" t="inlineStr">
        <is>
          <t>SKÅNE LÄN</t>
        </is>
      </c>
      <c r="E217" t="inlineStr">
        <is>
          <t>HÄSSLEHOLM</t>
        </is>
      </c>
      <c r="G217" t="n">
        <v>1.8</v>
      </c>
      <c r="H217" t="n">
        <v>0</v>
      </c>
      <c r="I217" t="n">
        <v>0</v>
      </c>
      <c r="J217" t="n">
        <v>0</v>
      </c>
      <c r="K217" t="n">
        <v>0</v>
      </c>
      <c r="L217" t="n">
        <v>0</v>
      </c>
      <c r="M217" t="n">
        <v>0</v>
      </c>
      <c r="N217" t="n">
        <v>0</v>
      </c>
      <c r="O217" t="n">
        <v>0</v>
      </c>
      <c r="P217" t="n">
        <v>0</v>
      </c>
      <c r="Q217" t="n">
        <v>0</v>
      </c>
      <c r="R217" s="2" t="inlineStr"/>
    </row>
    <row r="218" ht="15" customHeight="1">
      <c r="A218" t="inlineStr">
        <is>
          <t>A 2596-2024</t>
        </is>
      </c>
      <c r="B218" s="1" t="n">
        <v>45313.69969907407</v>
      </c>
      <c r="C218" s="1" t="n">
        <v>46161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48771-2024</t>
        </is>
      </c>
      <c r="B219" s="1" t="n">
        <v>45593.61284722222</v>
      </c>
      <c r="C219" s="1" t="n">
        <v>46161</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6842-2023</t>
        </is>
      </c>
      <c r="B220" s="1" t="n">
        <v>44967</v>
      </c>
      <c r="C220" s="1" t="n">
        <v>46161</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48722-2025</t>
        </is>
      </c>
      <c r="B221" s="1" t="n">
        <v>45935</v>
      </c>
      <c r="C221" s="1" t="n">
        <v>46161</v>
      </c>
      <c r="D221" t="inlineStr">
        <is>
          <t>SKÅNE LÄN</t>
        </is>
      </c>
      <c r="E221" t="inlineStr">
        <is>
          <t>HÄSSLEHOLM</t>
        </is>
      </c>
      <c r="G221" t="n">
        <v>4.3</v>
      </c>
      <c r="H221" t="n">
        <v>0</v>
      </c>
      <c r="I221" t="n">
        <v>0</v>
      </c>
      <c r="J221" t="n">
        <v>0</v>
      </c>
      <c r="K221" t="n">
        <v>0</v>
      </c>
      <c r="L221" t="n">
        <v>0</v>
      </c>
      <c r="M221" t="n">
        <v>0</v>
      </c>
      <c r="N221" t="n">
        <v>0</v>
      </c>
      <c r="O221" t="n">
        <v>0</v>
      </c>
      <c r="P221" t="n">
        <v>0</v>
      </c>
      <c r="Q221" t="n">
        <v>0</v>
      </c>
      <c r="R221" s="2" t="inlineStr"/>
    </row>
    <row r="222" ht="15" customHeight="1">
      <c r="A222" t="inlineStr">
        <is>
          <t>A 12344-2023</t>
        </is>
      </c>
      <c r="B222" s="1" t="n">
        <v>44999</v>
      </c>
      <c r="C222" s="1" t="n">
        <v>46161</v>
      </c>
      <c r="D222" t="inlineStr">
        <is>
          <t>SKÅNE LÄN</t>
        </is>
      </c>
      <c r="E222" t="inlineStr">
        <is>
          <t>HÄSSLEHOLM</t>
        </is>
      </c>
      <c r="G222" t="n">
        <v>2.4</v>
      </c>
      <c r="H222" t="n">
        <v>0</v>
      </c>
      <c r="I222" t="n">
        <v>0</v>
      </c>
      <c r="J222" t="n">
        <v>0</v>
      </c>
      <c r="K222" t="n">
        <v>0</v>
      </c>
      <c r="L222" t="n">
        <v>0</v>
      </c>
      <c r="M222" t="n">
        <v>0</v>
      </c>
      <c r="N222" t="n">
        <v>0</v>
      </c>
      <c r="O222" t="n">
        <v>0</v>
      </c>
      <c r="P222" t="n">
        <v>0</v>
      </c>
      <c r="Q222" t="n">
        <v>0</v>
      </c>
      <c r="R222" s="2" t="inlineStr"/>
    </row>
    <row r="223" ht="15" customHeight="1">
      <c r="A223" t="inlineStr">
        <is>
          <t>A 48747-2022</t>
        </is>
      </c>
      <c r="B223" s="1" t="n">
        <v>44859</v>
      </c>
      <c r="C223" s="1" t="n">
        <v>46161</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61197-2024</t>
        </is>
      </c>
      <c r="B224" s="1" t="n">
        <v>45645.63184027778</v>
      </c>
      <c r="C224" s="1" t="n">
        <v>46161</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6165-2023</t>
        </is>
      </c>
      <c r="B225" s="1" t="n">
        <v>44964.67114583333</v>
      </c>
      <c r="C225" s="1" t="n">
        <v>46161</v>
      </c>
      <c r="D225" t="inlineStr">
        <is>
          <t>SKÅNE LÄN</t>
        </is>
      </c>
      <c r="E225" t="inlineStr">
        <is>
          <t>HÄSSLEHOLM</t>
        </is>
      </c>
      <c r="G225" t="n">
        <v>0.7</v>
      </c>
      <c r="H225" t="n">
        <v>0</v>
      </c>
      <c r="I225" t="n">
        <v>0</v>
      </c>
      <c r="J225" t="n">
        <v>0</v>
      </c>
      <c r="K225" t="n">
        <v>0</v>
      </c>
      <c r="L225" t="n">
        <v>0</v>
      </c>
      <c r="M225" t="n">
        <v>0</v>
      </c>
      <c r="N225" t="n">
        <v>0</v>
      </c>
      <c r="O225" t="n">
        <v>0</v>
      </c>
      <c r="P225" t="n">
        <v>0</v>
      </c>
      <c r="Q225" t="n">
        <v>0</v>
      </c>
      <c r="R225" s="2" t="inlineStr"/>
    </row>
    <row r="226" ht="15" customHeight="1">
      <c r="A226" t="inlineStr">
        <is>
          <t>A 33938-2023</t>
        </is>
      </c>
      <c r="B226" s="1" t="n">
        <v>45124</v>
      </c>
      <c r="C226" s="1" t="n">
        <v>46161</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61533-2022</t>
        </is>
      </c>
      <c r="B227" s="1" t="n">
        <v>44910</v>
      </c>
      <c r="C227" s="1" t="n">
        <v>46161</v>
      </c>
      <c r="D227" t="inlineStr">
        <is>
          <t>SKÅNE LÄN</t>
        </is>
      </c>
      <c r="E227" t="inlineStr">
        <is>
          <t>HÄSSLEHOLM</t>
        </is>
      </c>
      <c r="F227" t="inlineStr">
        <is>
          <t>Kyrkan</t>
        </is>
      </c>
      <c r="G227" t="n">
        <v>1</v>
      </c>
      <c r="H227" t="n">
        <v>0</v>
      </c>
      <c r="I227" t="n">
        <v>0</v>
      </c>
      <c r="J227" t="n">
        <v>0</v>
      </c>
      <c r="K227" t="n">
        <v>0</v>
      </c>
      <c r="L227" t="n">
        <v>0</v>
      </c>
      <c r="M227" t="n">
        <v>0</v>
      </c>
      <c r="N227" t="n">
        <v>0</v>
      </c>
      <c r="O227" t="n">
        <v>0</v>
      </c>
      <c r="P227" t="n">
        <v>0</v>
      </c>
      <c r="Q227" t="n">
        <v>0</v>
      </c>
      <c r="R227" s="2" t="inlineStr"/>
    </row>
    <row r="228" ht="15" customHeight="1">
      <c r="A228" t="inlineStr">
        <is>
          <t>A 677-2024</t>
        </is>
      </c>
      <c r="B228" s="1" t="n">
        <v>45300</v>
      </c>
      <c r="C228" s="1" t="n">
        <v>46161</v>
      </c>
      <c r="D228" t="inlineStr">
        <is>
          <t>SKÅNE LÄN</t>
        </is>
      </c>
      <c r="E228" t="inlineStr">
        <is>
          <t>HÄSSLEHOLM</t>
        </is>
      </c>
      <c r="G228" t="n">
        <v>6.8</v>
      </c>
      <c r="H228" t="n">
        <v>0</v>
      </c>
      <c r="I228" t="n">
        <v>0</v>
      </c>
      <c r="J228" t="n">
        <v>0</v>
      </c>
      <c r="K228" t="n">
        <v>0</v>
      </c>
      <c r="L228" t="n">
        <v>0</v>
      </c>
      <c r="M228" t="n">
        <v>0</v>
      </c>
      <c r="N228" t="n">
        <v>0</v>
      </c>
      <c r="O228" t="n">
        <v>0</v>
      </c>
      <c r="P228" t="n">
        <v>0</v>
      </c>
      <c r="Q228" t="n">
        <v>0</v>
      </c>
      <c r="R228" s="2" t="inlineStr"/>
    </row>
    <row r="229" ht="15" customHeight="1">
      <c r="A229" t="inlineStr">
        <is>
          <t>A 50899-2024</t>
        </is>
      </c>
      <c r="B229" s="1" t="n">
        <v>45602.68584490741</v>
      </c>
      <c r="C229" s="1" t="n">
        <v>46161</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26403-2024</t>
        </is>
      </c>
      <c r="B230" s="1" t="n">
        <v>45469.44505787037</v>
      </c>
      <c r="C230" s="1" t="n">
        <v>46161</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26403-2024</t>
        </is>
      </c>
      <c r="B231" s="1" t="n">
        <v>45469.44505787037</v>
      </c>
      <c r="C231" s="1" t="n">
        <v>46161</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9556-2025</t>
        </is>
      </c>
      <c r="B232" s="1" t="n">
        <v>45714</v>
      </c>
      <c r="C232" s="1" t="n">
        <v>46161</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13198-2025</t>
        </is>
      </c>
      <c r="B233" s="1" t="n">
        <v>45735</v>
      </c>
      <c r="C233" s="1" t="n">
        <v>46161</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20872-2025</t>
        </is>
      </c>
      <c r="B234" s="1" t="n">
        <v>45777.34688657407</v>
      </c>
      <c r="C234" s="1" t="n">
        <v>46161</v>
      </c>
      <c r="D234" t="inlineStr">
        <is>
          <t>SKÅNE LÄN</t>
        </is>
      </c>
      <c r="E234" t="inlineStr">
        <is>
          <t>HÄSSLEHOLM</t>
        </is>
      </c>
      <c r="G234" t="n">
        <v>1.5</v>
      </c>
      <c r="H234" t="n">
        <v>0</v>
      </c>
      <c r="I234" t="n">
        <v>0</v>
      </c>
      <c r="J234" t="n">
        <v>0</v>
      </c>
      <c r="K234" t="n">
        <v>0</v>
      </c>
      <c r="L234" t="n">
        <v>0</v>
      </c>
      <c r="M234" t="n">
        <v>0</v>
      </c>
      <c r="N234" t="n">
        <v>0</v>
      </c>
      <c r="O234" t="n">
        <v>0</v>
      </c>
      <c r="P234" t="n">
        <v>0</v>
      </c>
      <c r="Q234" t="n">
        <v>0</v>
      </c>
      <c r="R234" s="2" t="inlineStr"/>
    </row>
    <row r="235" ht="15" customHeight="1">
      <c r="A235" t="inlineStr">
        <is>
          <t>A 16860-2025</t>
        </is>
      </c>
      <c r="B235" s="1" t="n">
        <v>45751</v>
      </c>
      <c r="C235" s="1" t="n">
        <v>46161</v>
      </c>
      <c r="D235" t="inlineStr">
        <is>
          <t>SKÅNE LÄN</t>
        </is>
      </c>
      <c r="E235" t="inlineStr">
        <is>
          <t>HÄSSLEHOLM</t>
        </is>
      </c>
      <c r="G235" t="n">
        <v>1.3</v>
      </c>
      <c r="H235" t="n">
        <v>0</v>
      </c>
      <c r="I235" t="n">
        <v>0</v>
      </c>
      <c r="J235" t="n">
        <v>0</v>
      </c>
      <c r="K235" t="n">
        <v>0</v>
      </c>
      <c r="L235" t="n">
        <v>0</v>
      </c>
      <c r="M235" t="n">
        <v>0</v>
      </c>
      <c r="N235" t="n">
        <v>0</v>
      </c>
      <c r="O235" t="n">
        <v>0</v>
      </c>
      <c r="P235" t="n">
        <v>0</v>
      </c>
      <c r="Q235" t="n">
        <v>0</v>
      </c>
      <c r="R235" s="2" t="inlineStr"/>
    </row>
    <row r="236" ht="15" customHeight="1">
      <c r="A236" t="inlineStr">
        <is>
          <t>A 50616-2023</t>
        </is>
      </c>
      <c r="B236" s="1" t="n">
        <v>45210</v>
      </c>
      <c r="C236" s="1" t="n">
        <v>46161</v>
      </c>
      <c r="D236" t="inlineStr">
        <is>
          <t>SKÅNE LÄN</t>
        </is>
      </c>
      <c r="E236" t="inlineStr">
        <is>
          <t>HÄSSLEHOLM</t>
        </is>
      </c>
      <c r="G236" t="n">
        <v>1.1</v>
      </c>
      <c r="H236" t="n">
        <v>0</v>
      </c>
      <c r="I236" t="n">
        <v>0</v>
      </c>
      <c r="J236" t="n">
        <v>0</v>
      </c>
      <c r="K236" t="n">
        <v>0</v>
      </c>
      <c r="L236" t="n">
        <v>0</v>
      </c>
      <c r="M236" t="n">
        <v>0</v>
      </c>
      <c r="N236" t="n">
        <v>0</v>
      </c>
      <c r="O236" t="n">
        <v>0</v>
      </c>
      <c r="P236" t="n">
        <v>0</v>
      </c>
      <c r="Q236" t="n">
        <v>0</v>
      </c>
      <c r="R236" s="2" t="inlineStr"/>
    </row>
    <row r="237" ht="15" customHeight="1">
      <c r="A237" t="inlineStr">
        <is>
          <t>A 45361-2023</t>
        </is>
      </c>
      <c r="B237" s="1" t="n">
        <v>45192.49068287037</v>
      </c>
      <c r="C237" s="1" t="n">
        <v>46161</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29994-2023</t>
        </is>
      </c>
      <c r="B238" s="1" t="n">
        <v>45109.60038194444</v>
      </c>
      <c r="C238" s="1" t="n">
        <v>46161</v>
      </c>
      <c r="D238" t="inlineStr">
        <is>
          <t>SKÅNE LÄN</t>
        </is>
      </c>
      <c r="E238" t="inlineStr">
        <is>
          <t>HÄSSLEHOLM</t>
        </is>
      </c>
      <c r="G238" t="n">
        <v>2.8</v>
      </c>
      <c r="H238" t="n">
        <v>0</v>
      </c>
      <c r="I238" t="n">
        <v>0</v>
      </c>
      <c r="J238" t="n">
        <v>0</v>
      </c>
      <c r="K238" t="n">
        <v>0</v>
      </c>
      <c r="L238" t="n">
        <v>0</v>
      </c>
      <c r="M238" t="n">
        <v>0</v>
      </c>
      <c r="N238" t="n">
        <v>0</v>
      </c>
      <c r="O238" t="n">
        <v>0</v>
      </c>
      <c r="P238" t="n">
        <v>0</v>
      </c>
      <c r="Q238" t="n">
        <v>0</v>
      </c>
      <c r="R238" s="2" t="inlineStr"/>
    </row>
    <row r="239" ht="15" customHeight="1">
      <c r="A239" t="inlineStr">
        <is>
          <t>A 49135-2025</t>
        </is>
      </c>
      <c r="B239" s="1" t="n">
        <v>45938.00990740741</v>
      </c>
      <c r="C239" s="1" t="n">
        <v>46161</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49136-2025</t>
        </is>
      </c>
      <c r="B240" s="1" t="n">
        <v>45938.01277777777</v>
      </c>
      <c r="C240" s="1" t="n">
        <v>46161</v>
      </c>
      <c r="D240" t="inlineStr">
        <is>
          <t>SKÅNE LÄN</t>
        </is>
      </c>
      <c r="E240" t="inlineStr">
        <is>
          <t>HÄSSLEHOLM</t>
        </is>
      </c>
      <c r="G240" t="n">
        <v>1.1</v>
      </c>
      <c r="H240" t="n">
        <v>0</v>
      </c>
      <c r="I240" t="n">
        <v>0</v>
      </c>
      <c r="J240" t="n">
        <v>0</v>
      </c>
      <c r="K240" t="n">
        <v>0</v>
      </c>
      <c r="L240" t="n">
        <v>0</v>
      </c>
      <c r="M240" t="n">
        <v>0</v>
      </c>
      <c r="N240" t="n">
        <v>0</v>
      </c>
      <c r="O240" t="n">
        <v>0</v>
      </c>
      <c r="P240" t="n">
        <v>0</v>
      </c>
      <c r="Q240" t="n">
        <v>0</v>
      </c>
      <c r="R240" s="2" t="inlineStr"/>
    </row>
    <row r="241" ht="15" customHeight="1">
      <c r="A241" t="inlineStr">
        <is>
          <t>A 49137-2025</t>
        </is>
      </c>
      <c r="B241" s="1" t="n">
        <v>45938.05672453704</v>
      </c>
      <c r="C241" s="1" t="n">
        <v>46161</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49107-2023</t>
        </is>
      </c>
      <c r="B242" s="1" t="n">
        <v>45210.44337962963</v>
      </c>
      <c r="C242" s="1" t="n">
        <v>46161</v>
      </c>
      <c r="D242" t="inlineStr">
        <is>
          <t>SKÅNE LÄN</t>
        </is>
      </c>
      <c r="E242" t="inlineStr">
        <is>
          <t>HÄSSLEHOLM</t>
        </is>
      </c>
      <c r="G242" t="n">
        <v>0.3</v>
      </c>
      <c r="H242" t="n">
        <v>0</v>
      </c>
      <c r="I242" t="n">
        <v>0</v>
      </c>
      <c r="J242" t="n">
        <v>0</v>
      </c>
      <c r="K242" t="n">
        <v>0</v>
      </c>
      <c r="L242" t="n">
        <v>0</v>
      </c>
      <c r="M242" t="n">
        <v>0</v>
      </c>
      <c r="N242" t="n">
        <v>0</v>
      </c>
      <c r="O242" t="n">
        <v>0</v>
      </c>
      <c r="P242" t="n">
        <v>0</v>
      </c>
      <c r="Q242" t="n">
        <v>0</v>
      </c>
      <c r="R242" s="2" t="inlineStr"/>
    </row>
    <row r="243" ht="15" customHeight="1">
      <c r="A243" t="inlineStr">
        <is>
          <t>A 21206-2025</t>
        </is>
      </c>
      <c r="B243" s="1" t="n">
        <v>45779.48318287037</v>
      </c>
      <c r="C243" s="1" t="n">
        <v>46161</v>
      </c>
      <c r="D243" t="inlineStr">
        <is>
          <t>SKÅNE LÄN</t>
        </is>
      </c>
      <c r="E243" t="inlineStr">
        <is>
          <t>HÄSSLEHOLM</t>
        </is>
      </c>
      <c r="G243" t="n">
        <v>2.2</v>
      </c>
      <c r="H243" t="n">
        <v>0</v>
      </c>
      <c r="I243" t="n">
        <v>0</v>
      </c>
      <c r="J243" t="n">
        <v>0</v>
      </c>
      <c r="K243" t="n">
        <v>0</v>
      </c>
      <c r="L243" t="n">
        <v>0</v>
      </c>
      <c r="M243" t="n">
        <v>0</v>
      </c>
      <c r="N243" t="n">
        <v>0</v>
      </c>
      <c r="O243" t="n">
        <v>0</v>
      </c>
      <c r="P243" t="n">
        <v>0</v>
      </c>
      <c r="Q243" t="n">
        <v>0</v>
      </c>
      <c r="R243" s="2" t="inlineStr"/>
    </row>
    <row r="244" ht="15" customHeight="1">
      <c r="A244" t="inlineStr">
        <is>
          <t>A 65235-2021</t>
        </is>
      </c>
      <c r="B244" s="1" t="n">
        <v>44515</v>
      </c>
      <c r="C244" s="1" t="n">
        <v>46161</v>
      </c>
      <c r="D244" t="inlineStr">
        <is>
          <t>SKÅNE LÄN</t>
        </is>
      </c>
      <c r="E244" t="inlineStr">
        <is>
          <t>HÄSSLEHOLM</t>
        </is>
      </c>
      <c r="G244" t="n">
        <v>2.5</v>
      </c>
      <c r="H244" t="n">
        <v>0</v>
      </c>
      <c r="I244" t="n">
        <v>0</v>
      </c>
      <c r="J244" t="n">
        <v>0</v>
      </c>
      <c r="K244" t="n">
        <v>0</v>
      </c>
      <c r="L244" t="n">
        <v>0</v>
      </c>
      <c r="M244" t="n">
        <v>0</v>
      </c>
      <c r="N244" t="n">
        <v>0</v>
      </c>
      <c r="O244" t="n">
        <v>0</v>
      </c>
      <c r="P244" t="n">
        <v>0</v>
      </c>
      <c r="Q244" t="n">
        <v>0</v>
      </c>
      <c r="R244" s="2" t="inlineStr"/>
    </row>
    <row r="245" ht="15" customHeight="1">
      <c r="A245" t="inlineStr">
        <is>
          <t>A 13549-2025</t>
        </is>
      </c>
      <c r="B245" s="1" t="n">
        <v>45736</v>
      </c>
      <c r="C245" s="1" t="n">
        <v>46161</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51245-2023</t>
        </is>
      </c>
      <c r="B246" s="1" t="n">
        <v>45212</v>
      </c>
      <c r="C246" s="1" t="n">
        <v>46161</v>
      </c>
      <c r="D246" t="inlineStr">
        <is>
          <t>SKÅNE LÄN</t>
        </is>
      </c>
      <c r="E246" t="inlineStr">
        <is>
          <t>HÄSSLEHOLM</t>
        </is>
      </c>
      <c r="G246" t="n">
        <v>2.1</v>
      </c>
      <c r="H246" t="n">
        <v>0</v>
      </c>
      <c r="I246" t="n">
        <v>0</v>
      </c>
      <c r="J246" t="n">
        <v>0</v>
      </c>
      <c r="K246" t="n">
        <v>0</v>
      </c>
      <c r="L246" t="n">
        <v>0</v>
      </c>
      <c r="M246" t="n">
        <v>0</v>
      </c>
      <c r="N246" t="n">
        <v>0</v>
      </c>
      <c r="O246" t="n">
        <v>0</v>
      </c>
      <c r="P246" t="n">
        <v>0</v>
      </c>
      <c r="Q246" t="n">
        <v>0</v>
      </c>
      <c r="R246" s="2" t="inlineStr"/>
    </row>
    <row r="247" ht="15" customHeight="1">
      <c r="A247" t="inlineStr">
        <is>
          <t>A 21091-2025</t>
        </is>
      </c>
      <c r="B247" s="1" t="n">
        <v>45777</v>
      </c>
      <c r="C247" s="1" t="n">
        <v>46161</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317-2025</t>
        </is>
      </c>
      <c r="B248" s="1" t="n">
        <v>45660</v>
      </c>
      <c r="C248" s="1" t="n">
        <v>46161</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21638-2025</t>
        </is>
      </c>
      <c r="B249" s="1" t="n">
        <v>45783.43087962963</v>
      </c>
      <c r="C249" s="1" t="n">
        <v>46161</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31934-2024</t>
        </is>
      </c>
      <c r="B250" s="1" t="n">
        <v>45510.41177083334</v>
      </c>
      <c r="C250" s="1" t="n">
        <v>46161</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39111-2023</t>
        </is>
      </c>
      <c r="B251" s="1" t="n">
        <v>45164.87140046297</v>
      </c>
      <c r="C251" s="1" t="n">
        <v>46161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60851-2024</t>
        </is>
      </c>
      <c r="B252" s="1" t="n">
        <v>45644.66182870371</v>
      </c>
      <c r="C252" s="1" t="n">
        <v>46161</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21625-2025</t>
        </is>
      </c>
      <c r="B253" s="1" t="n">
        <v>45783.41252314814</v>
      </c>
      <c r="C253" s="1" t="n">
        <v>46161</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59429-2023</t>
        </is>
      </c>
      <c r="B254" s="1" t="n">
        <v>45254.2875</v>
      </c>
      <c r="C254" s="1" t="n">
        <v>46161</v>
      </c>
      <c r="D254" t="inlineStr">
        <is>
          <t>SKÅNE LÄN</t>
        </is>
      </c>
      <c r="E254" t="inlineStr">
        <is>
          <t>HÄSSLEHOLM</t>
        </is>
      </c>
      <c r="G254" t="n">
        <v>0</v>
      </c>
      <c r="H254" t="n">
        <v>0</v>
      </c>
      <c r="I254" t="n">
        <v>0</v>
      </c>
      <c r="J254" t="n">
        <v>0</v>
      </c>
      <c r="K254" t="n">
        <v>0</v>
      </c>
      <c r="L254" t="n">
        <v>0</v>
      </c>
      <c r="M254" t="n">
        <v>0</v>
      </c>
      <c r="N254" t="n">
        <v>0</v>
      </c>
      <c r="O254" t="n">
        <v>0</v>
      </c>
      <c r="P254" t="n">
        <v>0</v>
      </c>
      <c r="Q254" t="n">
        <v>0</v>
      </c>
      <c r="R254" s="2" t="inlineStr"/>
    </row>
    <row r="255" ht="15" customHeight="1">
      <c r="A255" t="inlineStr">
        <is>
          <t>A 7818-2024</t>
        </is>
      </c>
      <c r="B255" s="1" t="n">
        <v>45349.68872685185</v>
      </c>
      <c r="C255" s="1" t="n">
        <v>46161</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60959-2022</t>
        </is>
      </c>
      <c r="B256" s="1" t="n">
        <v>44914.64777777778</v>
      </c>
      <c r="C256" s="1" t="n">
        <v>46161</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13149-2024</t>
        </is>
      </c>
      <c r="B257" s="1" t="n">
        <v>45386</v>
      </c>
      <c r="C257" s="1" t="n">
        <v>46161</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42906-2022</t>
        </is>
      </c>
      <c r="B258" s="1" t="n">
        <v>44833</v>
      </c>
      <c r="C258" s="1" t="n">
        <v>46161</v>
      </c>
      <c r="D258" t="inlineStr">
        <is>
          <t>SKÅNE LÄN</t>
        </is>
      </c>
      <c r="E258" t="inlineStr">
        <is>
          <t>HÄSSLEHOLM</t>
        </is>
      </c>
      <c r="G258" t="n">
        <v>1.1</v>
      </c>
      <c r="H258" t="n">
        <v>0</v>
      </c>
      <c r="I258" t="n">
        <v>0</v>
      </c>
      <c r="J258" t="n">
        <v>0</v>
      </c>
      <c r="K258" t="n">
        <v>0</v>
      </c>
      <c r="L258" t="n">
        <v>0</v>
      </c>
      <c r="M258" t="n">
        <v>0</v>
      </c>
      <c r="N258" t="n">
        <v>0</v>
      </c>
      <c r="O258" t="n">
        <v>0</v>
      </c>
      <c r="P258" t="n">
        <v>0</v>
      </c>
      <c r="Q258" t="n">
        <v>0</v>
      </c>
      <c r="R258" s="2" t="inlineStr"/>
    </row>
    <row r="259" ht="15" customHeight="1">
      <c r="A259" t="inlineStr">
        <is>
          <t>A 29845-2024</t>
        </is>
      </c>
      <c r="B259" s="1" t="n">
        <v>45485.6212037037</v>
      </c>
      <c r="C259" s="1" t="n">
        <v>46161</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31931-2024</t>
        </is>
      </c>
      <c r="B260" s="1" t="n">
        <v>45510.40878472223</v>
      </c>
      <c r="C260" s="1" t="n">
        <v>46161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1703-2025</t>
        </is>
      </c>
      <c r="B261" s="1" t="n">
        <v>45670.80732638889</v>
      </c>
      <c r="C261" s="1" t="n">
        <v>46161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15133-2023</t>
        </is>
      </c>
      <c r="B262" s="1" t="n">
        <v>45016</v>
      </c>
      <c r="C262" s="1" t="n">
        <v>46161</v>
      </c>
      <c r="D262" t="inlineStr">
        <is>
          <t>SKÅNE LÄN</t>
        </is>
      </c>
      <c r="E262" t="inlineStr">
        <is>
          <t>HÄSSLEHOLM</t>
        </is>
      </c>
      <c r="G262" t="n">
        <v>7.8</v>
      </c>
      <c r="H262" t="n">
        <v>0</v>
      </c>
      <c r="I262" t="n">
        <v>0</v>
      </c>
      <c r="J262" t="n">
        <v>0</v>
      </c>
      <c r="K262" t="n">
        <v>0</v>
      </c>
      <c r="L262" t="n">
        <v>0</v>
      </c>
      <c r="M262" t="n">
        <v>0</v>
      </c>
      <c r="N262" t="n">
        <v>0</v>
      </c>
      <c r="O262" t="n">
        <v>0</v>
      </c>
      <c r="P262" t="n">
        <v>0</v>
      </c>
      <c r="Q262" t="n">
        <v>0</v>
      </c>
      <c r="R262" s="2" t="inlineStr"/>
    </row>
    <row r="263" ht="15" customHeight="1">
      <c r="A263" t="inlineStr">
        <is>
          <t>A 34883-2023</t>
        </is>
      </c>
      <c r="B263" s="1" t="n">
        <v>45142.37902777778</v>
      </c>
      <c r="C263" s="1" t="n">
        <v>46161</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53466-2024</t>
        </is>
      </c>
      <c r="B264" s="1" t="n">
        <v>45614.55304398148</v>
      </c>
      <c r="C264" s="1" t="n">
        <v>46161</v>
      </c>
      <c r="D264" t="inlineStr">
        <is>
          <t>SKÅNE LÄN</t>
        </is>
      </c>
      <c r="E264" t="inlineStr">
        <is>
          <t>HÄSSLEHOLM</t>
        </is>
      </c>
      <c r="G264" t="n">
        <v>1.3</v>
      </c>
      <c r="H264" t="n">
        <v>0</v>
      </c>
      <c r="I264" t="n">
        <v>0</v>
      </c>
      <c r="J264" t="n">
        <v>0</v>
      </c>
      <c r="K264" t="n">
        <v>0</v>
      </c>
      <c r="L264" t="n">
        <v>0</v>
      </c>
      <c r="M264" t="n">
        <v>0</v>
      </c>
      <c r="N264" t="n">
        <v>0</v>
      </c>
      <c r="O264" t="n">
        <v>0</v>
      </c>
      <c r="P264" t="n">
        <v>0</v>
      </c>
      <c r="Q264" t="n">
        <v>0</v>
      </c>
      <c r="R264" s="2" t="inlineStr"/>
    </row>
    <row r="265" ht="15" customHeight="1">
      <c r="A265" t="inlineStr">
        <is>
          <t>A 20187-2023</t>
        </is>
      </c>
      <c r="B265" s="1" t="n">
        <v>45055.57027777778</v>
      </c>
      <c r="C265" s="1" t="n">
        <v>46161</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61533-2024</t>
        </is>
      </c>
      <c r="B266" s="1" t="n">
        <v>45646</v>
      </c>
      <c r="C266" s="1" t="n">
        <v>46161</v>
      </c>
      <c r="D266" t="inlineStr">
        <is>
          <t>SKÅNE LÄN</t>
        </is>
      </c>
      <c r="E266" t="inlineStr">
        <is>
          <t>HÄSSLEHOLM</t>
        </is>
      </c>
      <c r="G266" t="n">
        <v>4.5</v>
      </c>
      <c r="H266" t="n">
        <v>0</v>
      </c>
      <c r="I266" t="n">
        <v>0</v>
      </c>
      <c r="J266" t="n">
        <v>0</v>
      </c>
      <c r="K266" t="n">
        <v>0</v>
      </c>
      <c r="L266" t="n">
        <v>0</v>
      </c>
      <c r="M266" t="n">
        <v>0</v>
      </c>
      <c r="N266" t="n">
        <v>0</v>
      </c>
      <c r="O266" t="n">
        <v>0</v>
      </c>
      <c r="P266" t="n">
        <v>0</v>
      </c>
      <c r="Q266" t="n">
        <v>0</v>
      </c>
      <c r="R266" s="2" t="inlineStr"/>
    </row>
    <row r="267" ht="15" customHeight="1">
      <c r="A267" t="inlineStr">
        <is>
          <t>A 19735-2023</t>
        </is>
      </c>
      <c r="B267" s="1" t="n">
        <v>45051.52199074074</v>
      </c>
      <c r="C267" s="1" t="n">
        <v>46161</v>
      </c>
      <c r="D267" t="inlineStr">
        <is>
          <t>SKÅNE LÄN</t>
        </is>
      </c>
      <c r="E267" t="inlineStr">
        <is>
          <t>HÄSSLEHOLM</t>
        </is>
      </c>
      <c r="G267" t="n">
        <v>4</v>
      </c>
      <c r="H267" t="n">
        <v>0</v>
      </c>
      <c r="I267" t="n">
        <v>0</v>
      </c>
      <c r="J267" t="n">
        <v>0</v>
      </c>
      <c r="K267" t="n">
        <v>0</v>
      </c>
      <c r="L267" t="n">
        <v>0</v>
      </c>
      <c r="M267" t="n">
        <v>0</v>
      </c>
      <c r="N267" t="n">
        <v>0</v>
      </c>
      <c r="O267" t="n">
        <v>0</v>
      </c>
      <c r="P267" t="n">
        <v>0</v>
      </c>
      <c r="Q267" t="n">
        <v>0</v>
      </c>
      <c r="R267" s="2" t="inlineStr"/>
    </row>
    <row r="268" ht="15" customHeight="1">
      <c r="A268" t="inlineStr">
        <is>
          <t>A 1560-2023</t>
        </is>
      </c>
      <c r="B268" s="1" t="n">
        <v>44937</v>
      </c>
      <c r="C268" s="1" t="n">
        <v>46161</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2490-2024</t>
        </is>
      </c>
      <c r="B269" s="1" t="n">
        <v>45313.43649305555</v>
      </c>
      <c r="C269" s="1" t="n">
        <v>46161</v>
      </c>
      <c r="D269" t="inlineStr">
        <is>
          <t>SKÅNE LÄN</t>
        </is>
      </c>
      <c r="E269" t="inlineStr">
        <is>
          <t>HÄSSLEHOLM</t>
        </is>
      </c>
      <c r="G269" t="n">
        <v>4</v>
      </c>
      <c r="H269" t="n">
        <v>0</v>
      </c>
      <c r="I269" t="n">
        <v>0</v>
      </c>
      <c r="J269" t="n">
        <v>0</v>
      </c>
      <c r="K269" t="n">
        <v>0</v>
      </c>
      <c r="L269" t="n">
        <v>0</v>
      </c>
      <c r="M269" t="n">
        <v>0</v>
      </c>
      <c r="N269" t="n">
        <v>0</v>
      </c>
      <c r="O269" t="n">
        <v>0</v>
      </c>
      <c r="P269" t="n">
        <v>0</v>
      </c>
      <c r="Q269" t="n">
        <v>0</v>
      </c>
      <c r="R269" s="2" t="inlineStr"/>
    </row>
    <row r="270" ht="15" customHeight="1">
      <c r="A270" t="inlineStr">
        <is>
          <t>A 61537-2024</t>
        </is>
      </c>
      <c r="B270" s="1" t="n">
        <v>45646</v>
      </c>
      <c r="C270" s="1" t="n">
        <v>46161</v>
      </c>
      <c r="D270" t="inlineStr">
        <is>
          <t>SKÅNE LÄN</t>
        </is>
      </c>
      <c r="E270" t="inlineStr">
        <is>
          <t>HÄSSLEHOLM</t>
        </is>
      </c>
      <c r="G270" t="n">
        <v>3.7</v>
      </c>
      <c r="H270" t="n">
        <v>0</v>
      </c>
      <c r="I270" t="n">
        <v>0</v>
      </c>
      <c r="J270" t="n">
        <v>0</v>
      </c>
      <c r="K270" t="n">
        <v>0</v>
      </c>
      <c r="L270" t="n">
        <v>0</v>
      </c>
      <c r="M270" t="n">
        <v>0</v>
      </c>
      <c r="N270" t="n">
        <v>0</v>
      </c>
      <c r="O270" t="n">
        <v>0</v>
      </c>
      <c r="P270" t="n">
        <v>0</v>
      </c>
      <c r="Q270" t="n">
        <v>0</v>
      </c>
      <c r="R270" s="2" t="inlineStr"/>
    </row>
    <row r="271" ht="15" customHeight="1">
      <c r="A271" t="inlineStr">
        <is>
          <t>A 58618-2024</t>
        </is>
      </c>
      <c r="B271" s="1" t="n">
        <v>45635.56150462963</v>
      </c>
      <c r="C271" s="1" t="n">
        <v>46161</v>
      </c>
      <c r="D271" t="inlineStr">
        <is>
          <t>SKÅNE LÄN</t>
        </is>
      </c>
      <c r="E271" t="inlineStr">
        <is>
          <t>HÄSSLEHOLM</t>
        </is>
      </c>
      <c r="G271" t="n">
        <v>2.3</v>
      </c>
      <c r="H271" t="n">
        <v>0</v>
      </c>
      <c r="I271" t="n">
        <v>0</v>
      </c>
      <c r="J271" t="n">
        <v>0</v>
      </c>
      <c r="K271" t="n">
        <v>0</v>
      </c>
      <c r="L271" t="n">
        <v>0</v>
      </c>
      <c r="M271" t="n">
        <v>0</v>
      </c>
      <c r="N271" t="n">
        <v>0</v>
      </c>
      <c r="O271" t="n">
        <v>0</v>
      </c>
      <c r="P271" t="n">
        <v>0</v>
      </c>
      <c r="Q271" t="n">
        <v>0</v>
      </c>
      <c r="R271" s="2" t="inlineStr"/>
    </row>
    <row r="272" ht="15" customHeight="1">
      <c r="A272" t="inlineStr">
        <is>
          <t>A 34890-2023</t>
        </is>
      </c>
      <c r="B272" s="1" t="n">
        <v>45142.39475694444</v>
      </c>
      <c r="C272" s="1" t="n">
        <v>46161</v>
      </c>
      <c r="D272" t="inlineStr">
        <is>
          <t>SKÅNE LÄN</t>
        </is>
      </c>
      <c r="E272" t="inlineStr">
        <is>
          <t>HÄSSLEHOLM</t>
        </is>
      </c>
      <c r="G272" t="n">
        <v>4</v>
      </c>
      <c r="H272" t="n">
        <v>0</v>
      </c>
      <c r="I272" t="n">
        <v>0</v>
      </c>
      <c r="J272" t="n">
        <v>0</v>
      </c>
      <c r="K272" t="n">
        <v>0</v>
      </c>
      <c r="L272" t="n">
        <v>0</v>
      </c>
      <c r="M272" t="n">
        <v>0</v>
      </c>
      <c r="N272" t="n">
        <v>0</v>
      </c>
      <c r="O272" t="n">
        <v>0</v>
      </c>
      <c r="P272" t="n">
        <v>0</v>
      </c>
      <c r="Q272" t="n">
        <v>0</v>
      </c>
      <c r="R272" s="2" t="inlineStr"/>
    </row>
    <row r="273" ht="15" customHeight="1">
      <c r="A273" t="inlineStr">
        <is>
          <t>A 28599-2024</t>
        </is>
      </c>
      <c r="B273" s="1" t="n">
        <v>45478.4247800926</v>
      </c>
      <c r="C273" s="1" t="n">
        <v>46161</v>
      </c>
      <c r="D273" t="inlineStr">
        <is>
          <t>SKÅNE LÄN</t>
        </is>
      </c>
      <c r="E273" t="inlineStr">
        <is>
          <t>HÄSSLEHOLM</t>
        </is>
      </c>
      <c r="G273" t="n">
        <v>8.6</v>
      </c>
      <c r="H273" t="n">
        <v>0</v>
      </c>
      <c r="I273" t="n">
        <v>0</v>
      </c>
      <c r="J273" t="n">
        <v>0</v>
      </c>
      <c r="K273" t="n">
        <v>0</v>
      </c>
      <c r="L273" t="n">
        <v>0</v>
      </c>
      <c r="M273" t="n">
        <v>0</v>
      </c>
      <c r="N273" t="n">
        <v>0</v>
      </c>
      <c r="O273" t="n">
        <v>0</v>
      </c>
      <c r="P273" t="n">
        <v>0</v>
      </c>
      <c r="Q273" t="n">
        <v>0</v>
      </c>
      <c r="R273" s="2" t="inlineStr"/>
    </row>
    <row r="274" ht="15" customHeight="1">
      <c r="A274" t="inlineStr">
        <is>
          <t>A 22024-2025</t>
        </is>
      </c>
      <c r="B274" s="1" t="n">
        <v>45784.85322916666</v>
      </c>
      <c r="C274" s="1" t="n">
        <v>46161</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11266-2025</t>
        </is>
      </c>
      <c r="B275" s="1" t="n">
        <v>45726</v>
      </c>
      <c r="C275" s="1" t="n">
        <v>46161</v>
      </c>
      <c r="D275" t="inlineStr">
        <is>
          <t>SKÅNE LÄN</t>
        </is>
      </c>
      <c r="E275" t="inlineStr">
        <is>
          <t>HÄSSLEHOLM</t>
        </is>
      </c>
      <c r="G275" t="n">
        <v>0.3</v>
      </c>
      <c r="H275" t="n">
        <v>0</v>
      </c>
      <c r="I275" t="n">
        <v>0</v>
      </c>
      <c r="J275" t="n">
        <v>0</v>
      </c>
      <c r="K275" t="n">
        <v>0</v>
      </c>
      <c r="L275" t="n">
        <v>0</v>
      </c>
      <c r="M275" t="n">
        <v>0</v>
      </c>
      <c r="N275" t="n">
        <v>0</v>
      </c>
      <c r="O275" t="n">
        <v>0</v>
      </c>
      <c r="P275" t="n">
        <v>0</v>
      </c>
      <c r="Q275" t="n">
        <v>0</v>
      </c>
      <c r="R275" s="2" t="inlineStr"/>
    </row>
    <row r="276" ht="15" customHeight="1">
      <c r="A276" t="inlineStr">
        <is>
          <t>A 20006-2025</t>
        </is>
      </c>
      <c r="B276" s="1" t="n">
        <v>45772.05032407407</v>
      </c>
      <c r="C276" s="1" t="n">
        <v>46161</v>
      </c>
      <c r="D276" t="inlineStr">
        <is>
          <t>SKÅNE LÄN</t>
        </is>
      </c>
      <c r="E276" t="inlineStr">
        <is>
          <t>HÄSSLEHOLM</t>
        </is>
      </c>
      <c r="G276" t="n">
        <v>3.9</v>
      </c>
      <c r="H276" t="n">
        <v>0</v>
      </c>
      <c r="I276" t="n">
        <v>0</v>
      </c>
      <c r="J276" t="n">
        <v>0</v>
      </c>
      <c r="K276" t="n">
        <v>0</v>
      </c>
      <c r="L276" t="n">
        <v>0</v>
      </c>
      <c r="M276" t="n">
        <v>0</v>
      </c>
      <c r="N276" t="n">
        <v>0</v>
      </c>
      <c r="O276" t="n">
        <v>0</v>
      </c>
      <c r="P276" t="n">
        <v>0</v>
      </c>
      <c r="Q276" t="n">
        <v>0</v>
      </c>
      <c r="R276" s="2" t="inlineStr"/>
    </row>
    <row r="277" ht="15" customHeight="1">
      <c r="A277" t="inlineStr">
        <is>
          <t>A 56735-2024</t>
        </is>
      </c>
      <c r="B277" s="1" t="n">
        <v>45628.36234953703</v>
      </c>
      <c r="C277" s="1" t="n">
        <v>46161</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29844-2024</t>
        </is>
      </c>
      <c r="B278" s="1" t="n">
        <v>45485</v>
      </c>
      <c r="C278" s="1" t="n">
        <v>46161</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32794-2021</t>
        </is>
      </c>
      <c r="B279" s="1" t="n">
        <v>44375</v>
      </c>
      <c r="C279" s="1" t="n">
        <v>46161</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39366-2025</t>
        </is>
      </c>
      <c r="B280" s="1" t="n">
        <v>45889</v>
      </c>
      <c r="C280" s="1" t="n">
        <v>46161</v>
      </c>
      <c r="D280" t="inlineStr">
        <is>
          <t>SKÅNE LÄN</t>
        </is>
      </c>
      <c r="E280" t="inlineStr">
        <is>
          <t>HÄSSLEHOLM</t>
        </is>
      </c>
      <c r="G280" t="n">
        <v>1</v>
      </c>
      <c r="H280" t="n">
        <v>0</v>
      </c>
      <c r="I280" t="n">
        <v>0</v>
      </c>
      <c r="J280" t="n">
        <v>0</v>
      </c>
      <c r="K280" t="n">
        <v>0</v>
      </c>
      <c r="L280" t="n">
        <v>0</v>
      </c>
      <c r="M280" t="n">
        <v>0</v>
      </c>
      <c r="N280" t="n">
        <v>0</v>
      </c>
      <c r="O280" t="n">
        <v>0</v>
      </c>
      <c r="P280" t="n">
        <v>0</v>
      </c>
      <c r="Q280" t="n">
        <v>0</v>
      </c>
      <c r="R280" s="2" t="inlineStr"/>
    </row>
    <row r="281" ht="15" customHeight="1">
      <c r="A281" t="inlineStr">
        <is>
          <t>A 16121-2025</t>
        </is>
      </c>
      <c r="B281" s="1" t="n">
        <v>45750.40384259259</v>
      </c>
      <c r="C281" s="1" t="n">
        <v>46161</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11446-2025</t>
        </is>
      </c>
      <c r="B282" s="1" t="n">
        <v>45726</v>
      </c>
      <c r="C282" s="1" t="n">
        <v>46161</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12843-2023</t>
        </is>
      </c>
      <c r="B283" s="1" t="n">
        <v>45001.48423611111</v>
      </c>
      <c r="C283" s="1" t="n">
        <v>46161</v>
      </c>
      <c r="D283" t="inlineStr">
        <is>
          <t>SKÅNE LÄN</t>
        </is>
      </c>
      <c r="E283" t="inlineStr">
        <is>
          <t>HÄSSLEHOLM</t>
        </is>
      </c>
      <c r="G283" t="n">
        <v>3.9</v>
      </c>
      <c r="H283" t="n">
        <v>0</v>
      </c>
      <c r="I283" t="n">
        <v>0</v>
      </c>
      <c r="J283" t="n">
        <v>0</v>
      </c>
      <c r="K283" t="n">
        <v>0</v>
      </c>
      <c r="L283" t="n">
        <v>0</v>
      </c>
      <c r="M283" t="n">
        <v>0</v>
      </c>
      <c r="N283" t="n">
        <v>0</v>
      </c>
      <c r="O283" t="n">
        <v>0</v>
      </c>
      <c r="P283" t="n">
        <v>0</v>
      </c>
      <c r="Q283" t="n">
        <v>0</v>
      </c>
      <c r="R283" s="2" t="inlineStr"/>
    </row>
    <row r="284" ht="15" customHeight="1">
      <c r="A284" t="inlineStr">
        <is>
          <t>A 55662-2022</t>
        </is>
      </c>
      <c r="B284" s="1" t="n">
        <v>44883</v>
      </c>
      <c r="C284" s="1" t="n">
        <v>46161</v>
      </c>
      <c r="D284" t="inlineStr">
        <is>
          <t>SKÅNE LÄN</t>
        </is>
      </c>
      <c r="E284" t="inlineStr">
        <is>
          <t>HÄSSLEHOLM</t>
        </is>
      </c>
      <c r="F284" t="inlineStr">
        <is>
          <t>Övriga Aktiebolag</t>
        </is>
      </c>
      <c r="G284" t="n">
        <v>2.6</v>
      </c>
      <c r="H284" t="n">
        <v>0</v>
      </c>
      <c r="I284" t="n">
        <v>0</v>
      </c>
      <c r="J284" t="n">
        <v>0</v>
      </c>
      <c r="K284" t="n">
        <v>0</v>
      </c>
      <c r="L284" t="n">
        <v>0</v>
      </c>
      <c r="M284" t="n">
        <v>0</v>
      </c>
      <c r="N284" t="n">
        <v>0</v>
      </c>
      <c r="O284" t="n">
        <v>0</v>
      </c>
      <c r="P284" t="n">
        <v>0</v>
      </c>
      <c r="Q284" t="n">
        <v>0</v>
      </c>
      <c r="R284" s="2" t="inlineStr"/>
    </row>
    <row r="285" ht="15" customHeight="1">
      <c r="A285" t="inlineStr">
        <is>
          <t>A 3886-2024</t>
        </is>
      </c>
      <c r="B285" s="1" t="n">
        <v>45322.44539351852</v>
      </c>
      <c r="C285" s="1" t="n">
        <v>46161</v>
      </c>
      <c r="D285" t="inlineStr">
        <is>
          <t>SKÅNE LÄN</t>
        </is>
      </c>
      <c r="E285" t="inlineStr">
        <is>
          <t>HÄSSLEHOLM</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9924-2025</t>
        </is>
      </c>
      <c r="B286" s="1" t="n">
        <v>45717.72505787037</v>
      </c>
      <c r="C286" s="1" t="n">
        <v>46161</v>
      </c>
      <c r="D286" t="inlineStr">
        <is>
          <t>SKÅNE LÄN</t>
        </is>
      </c>
      <c r="E286" t="inlineStr">
        <is>
          <t>HÄSSLEHOLM</t>
        </is>
      </c>
      <c r="G286" t="n">
        <v>1.5</v>
      </c>
      <c r="H286" t="n">
        <v>0</v>
      </c>
      <c r="I286" t="n">
        <v>0</v>
      </c>
      <c r="J286" t="n">
        <v>0</v>
      </c>
      <c r="K286" t="n">
        <v>0</v>
      </c>
      <c r="L286" t="n">
        <v>0</v>
      </c>
      <c r="M286" t="n">
        <v>0</v>
      </c>
      <c r="N286" t="n">
        <v>0</v>
      </c>
      <c r="O286" t="n">
        <v>0</v>
      </c>
      <c r="P286" t="n">
        <v>0</v>
      </c>
      <c r="Q286" t="n">
        <v>0</v>
      </c>
      <c r="R286" s="2" t="inlineStr"/>
    </row>
    <row r="287" ht="15" customHeight="1">
      <c r="A287" t="inlineStr">
        <is>
          <t>A 22587-2025</t>
        </is>
      </c>
      <c r="B287" s="1" t="n">
        <v>45789.39974537037</v>
      </c>
      <c r="C287" s="1" t="n">
        <v>46161</v>
      </c>
      <c r="D287" t="inlineStr">
        <is>
          <t>SKÅNE LÄN</t>
        </is>
      </c>
      <c r="E287" t="inlineStr">
        <is>
          <t>HÄSSLEHOLM</t>
        </is>
      </c>
      <c r="G287" t="n">
        <v>5.7</v>
      </c>
      <c r="H287" t="n">
        <v>0</v>
      </c>
      <c r="I287" t="n">
        <v>0</v>
      </c>
      <c r="J287" t="n">
        <v>0</v>
      </c>
      <c r="K287" t="n">
        <v>0</v>
      </c>
      <c r="L287" t="n">
        <v>0</v>
      </c>
      <c r="M287" t="n">
        <v>0</v>
      </c>
      <c r="N287" t="n">
        <v>0</v>
      </c>
      <c r="O287" t="n">
        <v>0</v>
      </c>
      <c r="P287" t="n">
        <v>0</v>
      </c>
      <c r="Q287" t="n">
        <v>0</v>
      </c>
      <c r="R287" s="2" t="inlineStr"/>
    </row>
    <row r="288" ht="15" customHeight="1">
      <c r="A288" t="inlineStr">
        <is>
          <t>A 47647-2024</t>
        </is>
      </c>
      <c r="B288" s="1" t="n">
        <v>45588</v>
      </c>
      <c r="C288" s="1" t="n">
        <v>46161</v>
      </c>
      <c r="D288" t="inlineStr">
        <is>
          <t>SKÅNE LÄN</t>
        </is>
      </c>
      <c r="E288" t="inlineStr">
        <is>
          <t>HÄSSLEHOLM</t>
        </is>
      </c>
      <c r="G288" t="n">
        <v>6.5</v>
      </c>
      <c r="H288" t="n">
        <v>0</v>
      </c>
      <c r="I288" t="n">
        <v>0</v>
      </c>
      <c r="J288" t="n">
        <v>0</v>
      </c>
      <c r="K288" t="n">
        <v>0</v>
      </c>
      <c r="L288" t="n">
        <v>0</v>
      </c>
      <c r="M288" t="n">
        <v>0</v>
      </c>
      <c r="N288" t="n">
        <v>0</v>
      </c>
      <c r="O288" t="n">
        <v>0</v>
      </c>
      <c r="P288" t="n">
        <v>0</v>
      </c>
      <c r="Q288" t="n">
        <v>0</v>
      </c>
      <c r="R288" s="2" t="inlineStr"/>
    </row>
    <row r="289" ht="15" customHeight="1">
      <c r="A289" t="inlineStr">
        <is>
          <t>A 60920-2024</t>
        </is>
      </c>
      <c r="B289" s="1" t="n">
        <v>45645.34442129629</v>
      </c>
      <c r="C289" s="1" t="n">
        <v>46161</v>
      </c>
      <c r="D289" t="inlineStr">
        <is>
          <t>SKÅNE LÄN</t>
        </is>
      </c>
      <c r="E289" t="inlineStr">
        <is>
          <t>HÄSSLEHOLM</t>
        </is>
      </c>
      <c r="G289" t="n">
        <v>2.6</v>
      </c>
      <c r="H289" t="n">
        <v>0</v>
      </c>
      <c r="I289" t="n">
        <v>0</v>
      </c>
      <c r="J289" t="n">
        <v>0</v>
      </c>
      <c r="K289" t="n">
        <v>0</v>
      </c>
      <c r="L289" t="n">
        <v>0</v>
      </c>
      <c r="M289" t="n">
        <v>0</v>
      </c>
      <c r="N289" t="n">
        <v>0</v>
      </c>
      <c r="O289" t="n">
        <v>0</v>
      </c>
      <c r="P289" t="n">
        <v>0</v>
      </c>
      <c r="Q289" t="n">
        <v>0</v>
      </c>
      <c r="R289" s="2" t="inlineStr"/>
    </row>
    <row r="290" ht="15" customHeight="1">
      <c r="A290" t="inlineStr">
        <is>
          <t>A 40536-2024</t>
        </is>
      </c>
      <c r="B290" s="1" t="n">
        <v>45555.61314814815</v>
      </c>
      <c r="C290" s="1" t="n">
        <v>46161</v>
      </c>
      <c r="D290" t="inlineStr">
        <is>
          <t>SKÅNE LÄN</t>
        </is>
      </c>
      <c r="E290" t="inlineStr">
        <is>
          <t>HÄSSLEHOLM</t>
        </is>
      </c>
      <c r="G290" t="n">
        <v>1</v>
      </c>
      <c r="H290" t="n">
        <v>0</v>
      </c>
      <c r="I290" t="n">
        <v>0</v>
      </c>
      <c r="J290" t="n">
        <v>0</v>
      </c>
      <c r="K290" t="n">
        <v>0</v>
      </c>
      <c r="L290" t="n">
        <v>0</v>
      </c>
      <c r="M290" t="n">
        <v>0</v>
      </c>
      <c r="N290" t="n">
        <v>0</v>
      </c>
      <c r="O290" t="n">
        <v>0</v>
      </c>
      <c r="P290" t="n">
        <v>0</v>
      </c>
      <c r="Q290" t="n">
        <v>0</v>
      </c>
      <c r="R290" s="2" t="inlineStr"/>
    </row>
    <row r="291" ht="15" customHeight="1">
      <c r="A291" t="inlineStr">
        <is>
          <t>A 2479-2024</t>
        </is>
      </c>
      <c r="B291" s="1" t="n">
        <v>45313.40148148148</v>
      </c>
      <c r="C291" s="1" t="n">
        <v>46161</v>
      </c>
      <c r="D291" t="inlineStr">
        <is>
          <t>SKÅNE LÄN</t>
        </is>
      </c>
      <c r="E291" t="inlineStr">
        <is>
          <t>HÄSSLEHOLM</t>
        </is>
      </c>
      <c r="G291" t="n">
        <v>1.2</v>
      </c>
      <c r="H291" t="n">
        <v>0</v>
      </c>
      <c r="I291" t="n">
        <v>0</v>
      </c>
      <c r="J291" t="n">
        <v>0</v>
      </c>
      <c r="K291" t="n">
        <v>0</v>
      </c>
      <c r="L291" t="n">
        <v>0</v>
      </c>
      <c r="M291" t="n">
        <v>0</v>
      </c>
      <c r="N291" t="n">
        <v>0</v>
      </c>
      <c r="O291" t="n">
        <v>0</v>
      </c>
      <c r="P291" t="n">
        <v>0</v>
      </c>
      <c r="Q291" t="n">
        <v>0</v>
      </c>
      <c r="R291" s="2" t="inlineStr"/>
    </row>
    <row r="292" ht="15" customHeight="1">
      <c r="A292" t="inlineStr">
        <is>
          <t>A 26397-2023</t>
        </is>
      </c>
      <c r="B292" s="1" t="n">
        <v>45087</v>
      </c>
      <c r="C292" s="1" t="n">
        <v>46161</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56386-2023</t>
        </is>
      </c>
      <c r="B293" s="1" t="n">
        <v>45243</v>
      </c>
      <c r="C293" s="1" t="n">
        <v>46161</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1119-2024</t>
        </is>
      </c>
      <c r="B294" s="1" t="n">
        <v>45302</v>
      </c>
      <c r="C294" s="1" t="n">
        <v>46161</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29274-2023</t>
        </is>
      </c>
      <c r="B295" s="1" t="n">
        <v>45105</v>
      </c>
      <c r="C295" s="1" t="n">
        <v>46161</v>
      </c>
      <c r="D295" t="inlineStr">
        <is>
          <t>SKÅNE LÄN</t>
        </is>
      </c>
      <c r="E295" t="inlineStr">
        <is>
          <t>HÄSSLEHOLM</t>
        </is>
      </c>
      <c r="G295" t="n">
        <v>3.4</v>
      </c>
      <c r="H295" t="n">
        <v>0</v>
      </c>
      <c r="I295" t="n">
        <v>0</v>
      </c>
      <c r="J295" t="n">
        <v>0</v>
      </c>
      <c r="K295" t="n">
        <v>0</v>
      </c>
      <c r="L295" t="n">
        <v>0</v>
      </c>
      <c r="M295" t="n">
        <v>0</v>
      </c>
      <c r="N295" t="n">
        <v>0</v>
      </c>
      <c r="O295" t="n">
        <v>0</v>
      </c>
      <c r="P295" t="n">
        <v>0</v>
      </c>
      <c r="Q295" t="n">
        <v>0</v>
      </c>
      <c r="R295" s="2" t="inlineStr"/>
    </row>
    <row r="296" ht="15" customHeight="1">
      <c r="A296" t="inlineStr">
        <is>
          <t>A 61932-2023</t>
        </is>
      </c>
      <c r="B296" s="1" t="n">
        <v>45266.53761574074</v>
      </c>
      <c r="C296" s="1" t="n">
        <v>46161</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27606-2024</t>
        </is>
      </c>
      <c r="B297" s="1" t="n">
        <v>45474</v>
      </c>
      <c r="C297" s="1" t="n">
        <v>46161</v>
      </c>
      <c r="D297" t="inlineStr">
        <is>
          <t>SKÅNE LÄN</t>
        </is>
      </c>
      <c r="E297" t="inlineStr">
        <is>
          <t>HÄSSLEHOLM</t>
        </is>
      </c>
      <c r="G297" t="n">
        <v>3.6</v>
      </c>
      <c r="H297" t="n">
        <v>0</v>
      </c>
      <c r="I297" t="n">
        <v>0</v>
      </c>
      <c r="J297" t="n">
        <v>0</v>
      </c>
      <c r="K297" t="n">
        <v>0</v>
      </c>
      <c r="L297" t="n">
        <v>0</v>
      </c>
      <c r="M297" t="n">
        <v>0</v>
      </c>
      <c r="N297" t="n">
        <v>0</v>
      </c>
      <c r="O297" t="n">
        <v>0</v>
      </c>
      <c r="P297" t="n">
        <v>0</v>
      </c>
      <c r="Q297" t="n">
        <v>0</v>
      </c>
      <c r="R297" s="2" t="inlineStr"/>
    </row>
    <row r="298" ht="15" customHeight="1">
      <c r="A298" t="inlineStr">
        <is>
          <t>A 58888-2024</t>
        </is>
      </c>
      <c r="B298" s="1" t="n">
        <v>45636.45962962963</v>
      </c>
      <c r="C298" s="1" t="n">
        <v>46161</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16334-2024</t>
        </is>
      </c>
      <c r="B299" s="1" t="n">
        <v>45407.54856481482</v>
      </c>
      <c r="C299" s="1" t="n">
        <v>46161</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50244-2024</t>
        </is>
      </c>
      <c r="B300" s="1" t="n">
        <v>45600.56502314815</v>
      </c>
      <c r="C300" s="1" t="n">
        <v>46161</v>
      </c>
      <c r="D300" t="inlineStr">
        <is>
          <t>SKÅNE LÄN</t>
        </is>
      </c>
      <c r="E300" t="inlineStr">
        <is>
          <t>HÄSSLEHOLM</t>
        </is>
      </c>
      <c r="G300" t="n">
        <v>1.9</v>
      </c>
      <c r="H300" t="n">
        <v>0</v>
      </c>
      <c r="I300" t="n">
        <v>0</v>
      </c>
      <c r="J300" t="n">
        <v>0</v>
      </c>
      <c r="K300" t="n">
        <v>0</v>
      </c>
      <c r="L300" t="n">
        <v>0</v>
      </c>
      <c r="M300" t="n">
        <v>0</v>
      </c>
      <c r="N300" t="n">
        <v>0</v>
      </c>
      <c r="O300" t="n">
        <v>0</v>
      </c>
      <c r="P300" t="n">
        <v>0</v>
      </c>
      <c r="Q300" t="n">
        <v>0</v>
      </c>
      <c r="R300" s="2" t="inlineStr"/>
    </row>
    <row r="301" ht="15" customHeight="1">
      <c r="A301" t="inlineStr">
        <is>
          <t>A 7221-2025</t>
        </is>
      </c>
      <c r="B301" s="1" t="n">
        <v>45701</v>
      </c>
      <c r="C301" s="1" t="n">
        <v>46161</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3663-2024</t>
        </is>
      </c>
      <c r="B302" s="1" t="n">
        <v>45321.34775462963</v>
      </c>
      <c r="C302" s="1" t="n">
        <v>46161</v>
      </c>
      <c r="D302" t="inlineStr">
        <is>
          <t>SKÅNE LÄN</t>
        </is>
      </c>
      <c r="E302" t="inlineStr">
        <is>
          <t>HÄSSLEHOLM</t>
        </is>
      </c>
      <c r="G302" t="n">
        <v>0.4</v>
      </c>
      <c r="H302" t="n">
        <v>0</v>
      </c>
      <c r="I302" t="n">
        <v>0</v>
      </c>
      <c r="J302" t="n">
        <v>0</v>
      </c>
      <c r="K302" t="n">
        <v>0</v>
      </c>
      <c r="L302" t="n">
        <v>0</v>
      </c>
      <c r="M302" t="n">
        <v>0</v>
      </c>
      <c r="N302" t="n">
        <v>0</v>
      </c>
      <c r="O302" t="n">
        <v>0</v>
      </c>
      <c r="P302" t="n">
        <v>0</v>
      </c>
      <c r="Q302" t="n">
        <v>0</v>
      </c>
      <c r="R302" s="2" t="inlineStr"/>
    </row>
    <row r="303" ht="15" customHeight="1">
      <c r="A303" t="inlineStr">
        <is>
          <t>A 5532-2025</t>
        </is>
      </c>
      <c r="B303" s="1" t="n">
        <v>45693</v>
      </c>
      <c r="C303" s="1" t="n">
        <v>46161</v>
      </c>
      <c r="D303" t="inlineStr">
        <is>
          <t>SKÅNE LÄN</t>
        </is>
      </c>
      <c r="E303" t="inlineStr">
        <is>
          <t>HÄSSLEHOLM</t>
        </is>
      </c>
      <c r="G303" t="n">
        <v>2.4</v>
      </c>
      <c r="H303" t="n">
        <v>0</v>
      </c>
      <c r="I303" t="n">
        <v>0</v>
      </c>
      <c r="J303" t="n">
        <v>0</v>
      </c>
      <c r="K303" t="n">
        <v>0</v>
      </c>
      <c r="L303" t="n">
        <v>0</v>
      </c>
      <c r="M303" t="n">
        <v>0</v>
      </c>
      <c r="N303" t="n">
        <v>0</v>
      </c>
      <c r="O303" t="n">
        <v>0</v>
      </c>
      <c r="P303" t="n">
        <v>0</v>
      </c>
      <c r="Q303" t="n">
        <v>0</v>
      </c>
      <c r="R303" s="2" t="inlineStr"/>
    </row>
    <row r="304" ht="15" customHeight="1">
      <c r="A304" t="inlineStr">
        <is>
          <t>A 4734-2025</t>
        </is>
      </c>
      <c r="B304" s="1" t="n">
        <v>45688.44030092593</v>
      </c>
      <c r="C304" s="1" t="n">
        <v>46161</v>
      </c>
      <c r="D304" t="inlineStr">
        <is>
          <t>SKÅNE LÄN</t>
        </is>
      </c>
      <c r="E304" t="inlineStr">
        <is>
          <t>HÄSSLEHOLM</t>
        </is>
      </c>
      <c r="G304" t="n">
        <v>19.6</v>
      </c>
      <c r="H304" t="n">
        <v>0</v>
      </c>
      <c r="I304" t="n">
        <v>0</v>
      </c>
      <c r="J304" t="n">
        <v>0</v>
      </c>
      <c r="K304" t="n">
        <v>0</v>
      </c>
      <c r="L304" t="n">
        <v>0</v>
      </c>
      <c r="M304" t="n">
        <v>0</v>
      </c>
      <c r="N304" t="n">
        <v>0</v>
      </c>
      <c r="O304" t="n">
        <v>0</v>
      </c>
      <c r="P304" t="n">
        <v>0</v>
      </c>
      <c r="Q304" t="n">
        <v>0</v>
      </c>
      <c r="R304" s="2" t="inlineStr"/>
    </row>
    <row r="305" ht="15" customHeight="1">
      <c r="A305" t="inlineStr">
        <is>
          <t>A 24776-2025</t>
        </is>
      </c>
      <c r="B305" s="1" t="n">
        <v>45799.40640046296</v>
      </c>
      <c r="C305" s="1" t="n">
        <v>46161</v>
      </c>
      <c r="D305" t="inlineStr">
        <is>
          <t>SKÅNE LÄN</t>
        </is>
      </c>
      <c r="E305" t="inlineStr">
        <is>
          <t>HÄSSLEHOLM</t>
        </is>
      </c>
      <c r="G305" t="n">
        <v>5.4</v>
      </c>
      <c r="H305" t="n">
        <v>0</v>
      </c>
      <c r="I305" t="n">
        <v>0</v>
      </c>
      <c r="J305" t="n">
        <v>0</v>
      </c>
      <c r="K305" t="n">
        <v>0</v>
      </c>
      <c r="L305" t="n">
        <v>0</v>
      </c>
      <c r="M305" t="n">
        <v>0</v>
      </c>
      <c r="N305" t="n">
        <v>0</v>
      </c>
      <c r="O305" t="n">
        <v>0</v>
      </c>
      <c r="P305" t="n">
        <v>0</v>
      </c>
      <c r="Q305" t="n">
        <v>0</v>
      </c>
      <c r="R305" s="2" t="inlineStr"/>
    </row>
    <row r="306" ht="15" customHeight="1">
      <c r="A306" t="inlineStr">
        <is>
          <t>A 39453-2025</t>
        </is>
      </c>
      <c r="B306" s="1" t="n">
        <v>45889</v>
      </c>
      <c r="C306" s="1" t="n">
        <v>46161</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10230-2025</t>
        </is>
      </c>
      <c r="B307" s="1" t="n">
        <v>45720</v>
      </c>
      <c r="C307" s="1" t="n">
        <v>46161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33266-2024</t>
        </is>
      </c>
      <c r="B308" s="1" t="n">
        <v>45518</v>
      </c>
      <c r="C308" s="1" t="n">
        <v>46161</v>
      </c>
      <c r="D308" t="inlineStr">
        <is>
          <t>SKÅNE LÄN</t>
        </is>
      </c>
      <c r="E308" t="inlineStr">
        <is>
          <t>HÄSSLEHOLM</t>
        </is>
      </c>
      <c r="G308" t="n">
        <v>3.2</v>
      </c>
      <c r="H308" t="n">
        <v>0</v>
      </c>
      <c r="I308" t="n">
        <v>0</v>
      </c>
      <c r="J308" t="n">
        <v>0</v>
      </c>
      <c r="K308" t="n">
        <v>0</v>
      </c>
      <c r="L308" t="n">
        <v>0</v>
      </c>
      <c r="M308" t="n">
        <v>0</v>
      </c>
      <c r="N308" t="n">
        <v>0</v>
      </c>
      <c r="O308" t="n">
        <v>0</v>
      </c>
      <c r="P308" t="n">
        <v>0</v>
      </c>
      <c r="Q308" t="n">
        <v>0</v>
      </c>
      <c r="R308" s="2" t="inlineStr"/>
    </row>
    <row r="309" ht="15" customHeight="1">
      <c r="A309" t="inlineStr">
        <is>
          <t>A 48797-2023</t>
        </is>
      </c>
      <c r="B309" s="1" t="n">
        <v>45209.24986111111</v>
      </c>
      <c r="C309" s="1" t="n">
        <v>46161</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39934-2025</t>
        </is>
      </c>
      <c r="B310" s="1" t="n">
        <v>45891.71465277778</v>
      </c>
      <c r="C310" s="1" t="n">
        <v>46161</v>
      </c>
      <c r="D310" t="inlineStr">
        <is>
          <t>SKÅNE LÄN</t>
        </is>
      </c>
      <c r="E310" t="inlineStr">
        <is>
          <t>HÄSSLEHOLM</t>
        </is>
      </c>
      <c r="G310" t="n">
        <v>0.7</v>
      </c>
      <c r="H310" t="n">
        <v>0</v>
      </c>
      <c r="I310" t="n">
        <v>0</v>
      </c>
      <c r="J310" t="n">
        <v>0</v>
      </c>
      <c r="K310" t="n">
        <v>0</v>
      </c>
      <c r="L310" t="n">
        <v>0</v>
      </c>
      <c r="M310" t="n">
        <v>0</v>
      </c>
      <c r="N310" t="n">
        <v>0</v>
      </c>
      <c r="O310" t="n">
        <v>0</v>
      </c>
      <c r="P310" t="n">
        <v>0</v>
      </c>
      <c r="Q310" t="n">
        <v>0</v>
      </c>
      <c r="R310" s="2" t="inlineStr"/>
    </row>
    <row r="311" ht="15" customHeight="1">
      <c r="A311" t="inlineStr">
        <is>
          <t>A 22592-2025</t>
        </is>
      </c>
      <c r="B311" s="1" t="n">
        <v>45789.40502314815</v>
      </c>
      <c r="C311" s="1" t="n">
        <v>46161</v>
      </c>
      <c r="D311" t="inlineStr">
        <is>
          <t>SKÅNE LÄN</t>
        </is>
      </c>
      <c r="E311" t="inlineStr">
        <is>
          <t>HÄSSLEHOLM</t>
        </is>
      </c>
      <c r="G311" t="n">
        <v>7.1</v>
      </c>
      <c r="H311" t="n">
        <v>0</v>
      </c>
      <c r="I311" t="n">
        <v>0</v>
      </c>
      <c r="J311" t="n">
        <v>0</v>
      </c>
      <c r="K311" t="n">
        <v>0</v>
      </c>
      <c r="L311" t="n">
        <v>0</v>
      </c>
      <c r="M311" t="n">
        <v>0</v>
      </c>
      <c r="N311" t="n">
        <v>0</v>
      </c>
      <c r="O311" t="n">
        <v>0</v>
      </c>
      <c r="P311" t="n">
        <v>0</v>
      </c>
      <c r="Q311" t="n">
        <v>0</v>
      </c>
      <c r="R311" s="2" t="inlineStr"/>
    </row>
    <row r="312" ht="15" customHeight="1">
      <c r="A312" t="inlineStr">
        <is>
          <t>A 49845-2025</t>
        </is>
      </c>
      <c r="B312" s="1" t="n">
        <v>45940.48015046296</v>
      </c>
      <c r="C312" s="1" t="n">
        <v>46161</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39457-2025</t>
        </is>
      </c>
      <c r="B313" s="1" t="n">
        <v>45889.76887731482</v>
      </c>
      <c r="C313" s="1" t="n">
        <v>46161</v>
      </c>
      <c r="D313" t="inlineStr">
        <is>
          <t>SKÅNE LÄN</t>
        </is>
      </c>
      <c r="E313" t="inlineStr">
        <is>
          <t>HÄSSLEHOLM</t>
        </is>
      </c>
      <c r="G313" t="n">
        <v>6.6</v>
      </c>
      <c r="H313" t="n">
        <v>0</v>
      </c>
      <c r="I313" t="n">
        <v>0</v>
      </c>
      <c r="J313" t="n">
        <v>0</v>
      </c>
      <c r="K313" t="n">
        <v>0</v>
      </c>
      <c r="L313" t="n">
        <v>0</v>
      </c>
      <c r="M313" t="n">
        <v>0</v>
      </c>
      <c r="N313" t="n">
        <v>0</v>
      </c>
      <c r="O313" t="n">
        <v>0</v>
      </c>
      <c r="P313" t="n">
        <v>0</v>
      </c>
      <c r="Q313" t="n">
        <v>0</v>
      </c>
      <c r="R313" s="2" t="inlineStr"/>
    </row>
    <row r="314" ht="15" customHeight="1">
      <c r="A314" t="inlineStr">
        <is>
          <t>A 1886-2025</t>
        </is>
      </c>
      <c r="B314" s="1" t="n">
        <v>45671</v>
      </c>
      <c r="C314" s="1" t="n">
        <v>46161</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15536-2025</t>
        </is>
      </c>
      <c r="B315" s="1" t="n">
        <v>45747</v>
      </c>
      <c r="C315" s="1" t="n">
        <v>46161</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24904-2025</t>
        </is>
      </c>
      <c r="B316" s="1" t="n">
        <v>45799</v>
      </c>
      <c r="C316" s="1" t="n">
        <v>46161</v>
      </c>
      <c r="D316" t="inlineStr">
        <is>
          <t>SKÅNE LÄN</t>
        </is>
      </c>
      <c r="E316" t="inlineStr">
        <is>
          <t>HÄSSLEHOLM</t>
        </is>
      </c>
      <c r="G316" t="n">
        <v>2.2</v>
      </c>
      <c r="H316" t="n">
        <v>0</v>
      </c>
      <c r="I316" t="n">
        <v>0</v>
      </c>
      <c r="J316" t="n">
        <v>0</v>
      </c>
      <c r="K316" t="n">
        <v>0</v>
      </c>
      <c r="L316" t="n">
        <v>0</v>
      </c>
      <c r="M316" t="n">
        <v>0</v>
      </c>
      <c r="N316" t="n">
        <v>0</v>
      </c>
      <c r="O316" t="n">
        <v>0</v>
      </c>
      <c r="P316" t="n">
        <v>0</v>
      </c>
      <c r="Q316" t="n">
        <v>0</v>
      </c>
      <c r="R316" s="2" t="inlineStr"/>
    </row>
    <row r="317" ht="15" customHeight="1">
      <c r="A317" t="inlineStr">
        <is>
          <t>A 9393-2025</t>
        </is>
      </c>
      <c r="B317" s="1" t="n">
        <v>45715.36230324074</v>
      </c>
      <c r="C317" s="1" t="n">
        <v>46161</v>
      </c>
      <c r="D317" t="inlineStr">
        <is>
          <t>SKÅNE LÄN</t>
        </is>
      </c>
      <c r="E317" t="inlineStr">
        <is>
          <t>HÄSSLEHOLM</t>
        </is>
      </c>
      <c r="G317" t="n">
        <v>1.4</v>
      </c>
      <c r="H317" t="n">
        <v>0</v>
      </c>
      <c r="I317" t="n">
        <v>0</v>
      </c>
      <c r="J317" t="n">
        <v>0</v>
      </c>
      <c r="K317" t="n">
        <v>0</v>
      </c>
      <c r="L317" t="n">
        <v>0</v>
      </c>
      <c r="M317" t="n">
        <v>0</v>
      </c>
      <c r="N317" t="n">
        <v>0</v>
      </c>
      <c r="O317" t="n">
        <v>0</v>
      </c>
      <c r="P317" t="n">
        <v>0</v>
      </c>
      <c r="Q317" t="n">
        <v>0</v>
      </c>
      <c r="R317" s="2" t="inlineStr"/>
    </row>
    <row r="318" ht="15" customHeight="1">
      <c r="A318" t="inlineStr">
        <is>
          <t>A 39937-2025</t>
        </is>
      </c>
      <c r="B318" s="1" t="n">
        <v>45891.73162037037</v>
      </c>
      <c r="C318" s="1" t="n">
        <v>46161</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23007-2025</t>
        </is>
      </c>
      <c r="B319" s="1" t="n">
        <v>45790</v>
      </c>
      <c r="C319" s="1" t="n">
        <v>46161</v>
      </c>
      <c r="D319" t="inlineStr">
        <is>
          <t>SKÅNE LÄN</t>
        </is>
      </c>
      <c r="E319" t="inlineStr">
        <is>
          <t>HÄSSLEHOLM</t>
        </is>
      </c>
      <c r="G319" t="n">
        <v>0.4</v>
      </c>
      <c r="H319" t="n">
        <v>0</v>
      </c>
      <c r="I319" t="n">
        <v>0</v>
      </c>
      <c r="J319" t="n">
        <v>0</v>
      </c>
      <c r="K319" t="n">
        <v>0</v>
      </c>
      <c r="L319" t="n">
        <v>0</v>
      </c>
      <c r="M319" t="n">
        <v>0</v>
      </c>
      <c r="N319" t="n">
        <v>0</v>
      </c>
      <c r="O319" t="n">
        <v>0</v>
      </c>
      <c r="P319" t="n">
        <v>0</v>
      </c>
      <c r="Q319" t="n">
        <v>0</v>
      </c>
      <c r="R319" s="2" t="inlineStr"/>
    </row>
    <row r="320" ht="15" customHeight="1">
      <c r="A320" t="inlineStr">
        <is>
          <t>A 17171-2025</t>
        </is>
      </c>
      <c r="B320" s="1" t="n">
        <v>45755</v>
      </c>
      <c r="C320" s="1" t="n">
        <v>46161</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16930-2024</t>
        </is>
      </c>
      <c r="B321" s="1" t="n">
        <v>45411</v>
      </c>
      <c r="C321" s="1" t="n">
        <v>46161</v>
      </c>
      <c r="D321" t="inlineStr">
        <is>
          <t>SKÅNE LÄN</t>
        </is>
      </c>
      <c r="E321" t="inlineStr">
        <is>
          <t>HÄSSLEHOLM</t>
        </is>
      </c>
      <c r="G321" t="n">
        <v>1</v>
      </c>
      <c r="H321" t="n">
        <v>0</v>
      </c>
      <c r="I321" t="n">
        <v>0</v>
      </c>
      <c r="J321" t="n">
        <v>0</v>
      </c>
      <c r="K321" t="n">
        <v>0</v>
      </c>
      <c r="L321" t="n">
        <v>0</v>
      </c>
      <c r="M321" t="n">
        <v>0</v>
      </c>
      <c r="N321" t="n">
        <v>0</v>
      </c>
      <c r="O321" t="n">
        <v>0</v>
      </c>
      <c r="P321" t="n">
        <v>0</v>
      </c>
      <c r="Q321" t="n">
        <v>0</v>
      </c>
      <c r="R321" s="2" t="inlineStr"/>
    </row>
    <row r="322" ht="15" customHeight="1">
      <c r="A322" t="inlineStr">
        <is>
          <t>A 27825-2024</t>
        </is>
      </c>
      <c r="B322" s="1" t="n">
        <v>45475</v>
      </c>
      <c r="C322" s="1" t="n">
        <v>46161</v>
      </c>
      <c r="D322" t="inlineStr">
        <is>
          <t>SKÅNE LÄN</t>
        </is>
      </c>
      <c r="E322" t="inlineStr">
        <is>
          <t>HÄSSLEHOLM</t>
        </is>
      </c>
      <c r="F322" t="inlineStr">
        <is>
          <t>Kommuner</t>
        </is>
      </c>
      <c r="G322" t="n">
        <v>1.1</v>
      </c>
      <c r="H322" t="n">
        <v>0</v>
      </c>
      <c r="I322" t="n">
        <v>0</v>
      </c>
      <c r="J322" t="n">
        <v>0</v>
      </c>
      <c r="K322" t="n">
        <v>0</v>
      </c>
      <c r="L322" t="n">
        <v>0</v>
      </c>
      <c r="M322" t="n">
        <v>0</v>
      </c>
      <c r="N322" t="n">
        <v>0</v>
      </c>
      <c r="O322" t="n">
        <v>0</v>
      </c>
      <c r="P322" t="n">
        <v>0</v>
      </c>
      <c r="Q322" t="n">
        <v>0</v>
      </c>
      <c r="R322" s="2" t="inlineStr"/>
    </row>
    <row r="323" ht="15" customHeight="1">
      <c r="A323" t="inlineStr">
        <is>
          <t>A 15897-2025</t>
        </is>
      </c>
      <c r="B323" s="1" t="n">
        <v>45749.41598379629</v>
      </c>
      <c r="C323" s="1" t="n">
        <v>46161</v>
      </c>
      <c r="D323" t="inlineStr">
        <is>
          <t>SKÅNE LÄN</t>
        </is>
      </c>
      <c r="E323" t="inlineStr">
        <is>
          <t>HÄSSLEHOLM</t>
        </is>
      </c>
      <c r="G323" t="n">
        <v>0.8</v>
      </c>
      <c r="H323" t="n">
        <v>0</v>
      </c>
      <c r="I323" t="n">
        <v>0</v>
      </c>
      <c r="J323" t="n">
        <v>0</v>
      </c>
      <c r="K323" t="n">
        <v>0</v>
      </c>
      <c r="L323" t="n">
        <v>0</v>
      </c>
      <c r="M323" t="n">
        <v>0</v>
      </c>
      <c r="N323" t="n">
        <v>0</v>
      </c>
      <c r="O323" t="n">
        <v>0</v>
      </c>
      <c r="P323" t="n">
        <v>0</v>
      </c>
      <c r="Q323" t="n">
        <v>0</v>
      </c>
      <c r="R323" s="2" t="inlineStr"/>
    </row>
    <row r="324" ht="15" customHeight="1">
      <c r="A324" t="inlineStr">
        <is>
          <t>A 54982-2024</t>
        </is>
      </c>
      <c r="B324" s="1" t="n">
        <v>45620.7580787037</v>
      </c>
      <c r="C324" s="1" t="n">
        <v>46161</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31254-2024</t>
        </is>
      </c>
      <c r="B325" s="1" t="n">
        <v>45503</v>
      </c>
      <c r="C325" s="1" t="n">
        <v>46161</v>
      </c>
      <c r="D325" t="inlineStr">
        <is>
          <t>SKÅNE LÄN</t>
        </is>
      </c>
      <c r="E325" t="inlineStr">
        <is>
          <t>HÄSSLEHOLM</t>
        </is>
      </c>
      <c r="G325" t="n">
        <v>2.2</v>
      </c>
      <c r="H325" t="n">
        <v>0</v>
      </c>
      <c r="I325" t="n">
        <v>0</v>
      </c>
      <c r="J325" t="n">
        <v>0</v>
      </c>
      <c r="K325" t="n">
        <v>0</v>
      </c>
      <c r="L325" t="n">
        <v>0</v>
      </c>
      <c r="M325" t="n">
        <v>0</v>
      </c>
      <c r="N325" t="n">
        <v>0</v>
      </c>
      <c r="O325" t="n">
        <v>0</v>
      </c>
      <c r="P325" t="n">
        <v>0</v>
      </c>
      <c r="Q325" t="n">
        <v>0</v>
      </c>
      <c r="R325" s="2" t="inlineStr"/>
    </row>
    <row r="326" ht="15" customHeight="1">
      <c r="A326" t="inlineStr">
        <is>
          <t>A 37486-2024</t>
        </is>
      </c>
      <c r="B326" s="1" t="n">
        <v>45541</v>
      </c>
      <c r="C326" s="1" t="n">
        <v>46161</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44838-2023</t>
        </is>
      </c>
      <c r="B327" s="1" t="n">
        <v>45190</v>
      </c>
      <c r="C327" s="1" t="n">
        <v>46161</v>
      </c>
      <c r="D327" t="inlineStr">
        <is>
          <t>SKÅNE LÄN</t>
        </is>
      </c>
      <c r="E327" t="inlineStr">
        <is>
          <t>HÄSSLEHOLM</t>
        </is>
      </c>
      <c r="F327" t="inlineStr">
        <is>
          <t>Kommuner</t>
        </is>
      </c>
      <c r="G327" t="n">
        <v>2</v>
      </c>
      <c r="H327" t="n">
        <v>0</v>
      </c>
      <c r="I327" t="n">
        <v>0</v>
      </c>
      <c r="J327" t="n">
        <v>0</v>
      </c>
      <c r="K327" t="n">
        <v>0</v>
      </c>
      <c r="L327" t="n">
        <v>0</v>
      </c>
      <c r="M327" t="n">
        <v>0</v>
      </c>
      <c r="N327" t="n">
        <v>0</v>
      </c>
      <c r="O327" t="n">
        <v>0</v>
      </c>
      <c r="P327" t="n">
        <v>0</v>
      </c>
      <c r="Q327" t="n">
        <v>0</v>
      </c>
      <c r="R327" s="2" t="inlineStr"/>
    </row>
    <row r="328" ht="15" customHeight="1">
      <c r="A328" t="inlineStr">
        <is>
          <t>A 13954-2023</t>
        </is>
      </c>
      <c r="B328" s="1" t="n">
        <v>45008</v>
      </c>
      <c r="C328" s="1" t="n">
        <v>46161</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61182-2024</t>
        </is>
      </c>
      <c r="B329" s="1" t="n">
        <v>45645</v>
      </c>
      <c r="C329" s="1" t="n">
        <v>46161</v>
      </c>
      <c r="D329" t="inlineStr">
        <is>
          <t>SKÅNE LÄN</t>
        </is>
      </c>
      <c r="E329" t="inlineStr">
        <is>
          <t>HÄSSLEHOLM</t>
        </is>
      </c>
      <c r="G329" t="n">
        <v>3.2</v>
      </c>
      <c r="H329" t="n">
        <v>0</v>
      </c>
      <c r="I329" t="n">
        <v>0</v>
      </c>
      <c r="J329" t="n">
        <v>0</v>
      </c>
      <c r="K329" t="n">
        <v>0</v>
      </c>
      <c r="L329" t="n">
        <v>0</v>
      </c>
      <c r="M329" t="n">
        <v>0</v>
      </c>
      <c r="N329" t="n">
        <v>0</v>
      </c>
      <c r="O329" t="n">
        <v>0</v>
      </c>
      <c r="P329" t="n">
        <v>0</v>
      </c>
      <c r="Q329" t="n">
        <v>0</v>
      </c>
      <c r="R329" s="2" t="inlineStr"/>
    </row>
    <row r="330" ht="15" customHeight="1">
      <c r="A330" t="inlineStr">
        <is>
          <t>A 49824-2024</t>
        </is>
      </c>
      <c r="B330" s="1" t="n">
        <v>45597</v>
      </c>
      <c r="C330" s="1" t="n">
        <v>46161</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50676-2025</t>
        </is>
      </c>
      <c r="B331" s="1" t="n">
        <v>45945</v>
      </c>
      <c r="C331" s="1" t="n">
        <v>46161</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50678-2025</t>
        </is>
      </c>
      <c r="B332" s="1" t="n">
        <v>45945</v>
      </c>
      <c r="C332" s="1" t="n">
        <v>46161</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50677-2025</t>
        </is>
      </c>
      <c r="B333" s="1" t="n">
        <v>45945</v>
      </c>
      <c r="C333" s="1" t="n">
        <v>46161</v>
      </c>
      <c r="D333" t="inlineStr">
        <is>
          <t>SKÅNE LÄN</t>
        </is>
      </c>
      <c r="E333" t="inlineStr">
        <is>
          <t>HÄSSLEHOLM</t>
        </is>
      </c>
      <c r="G333" t="n">
        <v>2.3</v>
      </c>
      <c r="H333" t="n">
        <v>0</v>
      </c>
      <c r="I333" t="n">
        <v>0</v>
      </c>
      <c r="J333" t="n">
        <v>0</v>
      </c>
      <c r="K333" t="n">
        <v>0</v>
      </c>
      <c r="L333" t="n">
        <v>0</v>
      </c>
      <c r="M333" t="n">
        <v>0</v>
      </c>
      <c r="N333" t="n">
        <v>0</v>
      </c>
      <c r="O333" t="n">
        <v>0</v>
      </c>
      <c r="P333" t="n">
        <v>0</v>
      </c>
      <c r="Q333" t="n">
        <v>0</v>
      </c>
      <c r="R333" s="2" t="inlineStr"/>
    </row>
    <row r="334" ht="15" customHeight="1">
      <c r="A334" t="inlineStr">
        <is>
          <t>A 50834-2025</t>
        </is>
      </c>
      <c r="B334" s="1" t="n">
        <v>45946.55746527778</v>
      </c>
      <c r="C334" s="1" t="n">
        <v>46161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13007-2024</t>
        </is>
      </c>
      <c r="B335" s="1" t="n">
        <v>45385.57092592592</v>
      </c>
      <c r="C335" s="1" t="n">
        <v>46161</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9555-2025</t>
        </is>
      </c>
      <c r="B336" s="1" t="n">
        <v>45714</v>
      </c>
      <c r="C336" s="1" t="n">
        <v>46161</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51024-2025</t>
        </is>
      </c>
      <c r="B337" s="1" t="n">
        <v>45947.395</v>
      </c>
      <c r="C337" s="1" t="n">
        <v>46161</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40152-2024</t>
        </is>
      </c>
      <c r="B338" s="1" t="n">
        <v>45554</v>
      </c>
      <c r="C338" s="1" t="n">
        <v>46161</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74030-2021</t>
        </is>
      </c>
      <c r="B339" s="1" t="n">
        <v>44553</v>
      </c>
      <c r="C339" s="1" t="n">
        <v>46161</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15072-2024</t>
        </is>
      </c>
      <c r="B340" s="1" t="n">
        <v>45399.5996875</v>
      </c>
      <c r="C340" s="1" t="n">
        <v>46161</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11262-2025</t>
        </is>
      </c>
      <c r="B341" s="1" t="n">
        <v>45726</v>
      </c>
      <c r="C341" s="1" t="n">
        <v>46161</v>
      </c>
      <c r="D341" t="inlineStr">
        <is>
          <t>SKÅNE LÄN</t>
        </is>
      </c>
      <c r="E341" t="inlineStr">
        <is>
          <t>HÄSSLEHOLM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40241-2025</t>
        </is>
      </c>
      <c r="B342" s="1" t="n">
        <v>45894.87251157407</v>
      </c>
      <c r="C342" s="1" t="n">
        <v>46161</v>
      </c>
      <c r="D342" t="inlineStr">
        <is>
          <t>SKÅNE LÄN</t>
        </is>
      </c>
      <c r="E342" t="inlineStr">
        <is>
          <t>HÄSSLEHOLM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5395-2024</t>
        </is>
      </c>
      <c r="B343" s="1" t="n">
        <v>45331</v>
      </c>
      <c r="C343" s="1" t="n">
        <v>46161</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2621-2025</t>
        </is>
      </c>
      <c r="B344" s="1" t="n">
        <v>45675.60765046296</v>
      </c>
      <c r="C344" s="1" t="n">
        <v>46161</v>
      </c>
      <c r="D344" t="inlineStr">
        <is>
          <t>SKÅNE LÄN</t>
        </is>
      </c>
      <c r="E344" t="inlineStr">
        <is>
          <t>HÄSSLEHOLM</t>
        </is>
      </c>
      <c r="F344" t="inlineStr">
        <is>
          <t>Kommuner</t>
        </is>
      </c>
      <c r="G344" t="n">
        <v>3</v>
      </c>
      <c r="H344" t="n">
        <v>0</v>
      </c>
      <c r="I344" t="n">
        <v>0</v>
      </c>
      <c r="J344" t="n">
        <v>0</v>
      </c>
      <c r="K344" t="n">
        <v>0</v>
      </c>
      <c r="L344" t="n">
        <v>0</v>
      </c>
      <c r="M344" t="n">
        <v>0</v>
      </c>
      <c r="N344" t="n">
        <v>0</v>
      </c>
      <c r="O344" t="n">
        <v>0</v>
      </c>
      <c r="P344" t="n">
        <v>0</v>
      </c>
      <c r="Q344" t="n">
        <v>0</v>
      </c>
      <c r="R344" s="2" t="inlineStr"/>
    </row>
    <row r="345" ht="15" customHeight="1">
      <c r="A345" t="inlineStr">
        <is>
          <t>A 8737-2025</t>
        </is>
      </c>
      <c r="B345" s="1" t="n">
        <v>45712.54578703704</v>
      </c>
      <c r="C345" s="1" t="n">
        <v>46161</v>
      </c>
      <c r="D345" t="inlineStr">
        <is>
          <t>SKÅNE LÄN</t>
        </is>
      </c>
      <c r="E345" t="inlineStr">
        <is>
          <t>HÄSSLEHOLM</t>
        </is>
      </c>
      <c r="G345" t="n">
        <v>2.7</v>
      </c>
      <c r="H345" t="n">
        <v>0</v>
      </c>
      <c r="I345" t="n">
        <v>0</v>
      </c>
      <c r="J345" t="n">
        <v>0</v>
      </c>
      <c r="K345" t="n">
        <v>0</v>
      </c>
      <c r="L345" t="n">
        <v>0</v>
      </c>
      <c r="M345" t="n">
        <v>0</v>
      </c>
      <c r="N345" t="n">
        <v>0</v>
      </c>
      <c r="O345" t="n">
        <v>0</v>
      </c>
      <c r="P345" t="n">
        <v>0</v>
      </c>
      <c r="Q345" t="n">
        <v>0</v>
      </c>
      <c r="R345" s="2" t="inlineStr"/>
    </row>
    <row r="346" ht="15" customHeight="1">
      <c r="A346" t="inlineStr">
        <is>
          <t>A 37764-2022</t>
        </is>
      </c>
      <c r="B346" s="1" t="n">
        <v>44810</v>
      </c>
      <c r="C346" s="1" t="n">
        <v>46161</v>
      </c>
      <c r="D346" t="inlineStr">
        <is>
          <t>SKÅNE LÄN</t>
        </is>
      </c>
      <c r="E346" t="inlineStr">
        <is>
          <t>HÄSSLEHOLM</t>
        </is>
      </c>
      <c r="F346" t="inlineStr">
        <is>
          <t>Kyrkan</t>
        </is>
      </c>
      <c r="G346" t="n">
        <v>9.4</v>
      </c>
      <c r="H346" t="n">
        <v>0</v>
      </c>
      <c r="I346" t="n">
        <v>0</v>
      </c>
      <c r="J346" t="n">
        <v>0</v>
      </c>
      <c r="K346" t="n">
        <v>0</v>
      </c>
      <c r="L346" t="n">
        <v>0</v>
      </c>
      <c r="M346" t="n">
        <v>0</v>
      </c>
      <c r="N346" t="n">
        <v>0</v>
      </c>
      <c r="O346" t="n">
        <v>0</v>
      </c>
      <c r="P346" t="n">
        <v>0</v>
      </c>
      <c r="Q346" t="n">
        <v>0</v>
      </c>
      <c r="R346" s="2" t="inlineStr"/>
    </row>
    <row r="347" ht="15" customHeight="1">
      <c r="A347" t="inlineStr">
        <is>
          <t>A 14255-2024</t>
        </is>
      </c>
      <c r="B347" s="1" t="n">
        <v>45393</v>
      </c>
      <c r="C347" s="1" t="n">
        <v>46161</v>
      </c>
      <c r="D347" t="inlineStr">
        <is>
          <t>SKÅNE LÄN</t>
        </is>
      </c>
      <c r="E347" t="inlineStr">
        <is>
          <t>HÄSSLEHOLM</t>
        </is>
      </c>
      <c r="G347" t="n">
        <v>11.9</v>
      </c>
      <c r="H347" t="n">
        <v>0</v>
      </c>
      <c r="I347" t="n">
        <v>0</v>
      </c>
      <c r="J347" t="n">
        <v>0</v>
      </c>
      <c r="K347" t="n">
        <v>0</v>
      </c>
      <c r="L347" t="n">
        <v>0</v>
      </c>
      <c r="M347" t="n">
        <v>0</v>
      </c>
      <c r="N347" t="n">
        <v>0</v>
      </c>
      <c r="O347" t="n">
        <v>0</v>
      </c>
      <c r="P347" t="n">
        <v>0</v>
      </c>
      <c r="Q347" t="n">
        <v>0</v>
      </c>
      <c r="R347" s="2" t="inlineStr"/>
    </row>
    <row r="348" ht="15" customHeight="1">
      <c r="A348" t="inlineStr">
        <is>
          <t>A 51018-2023</t>
        </is>
      </c>
      <c r="B348" s="1" t="n">
        <v>45218</v>
      </c>
      <c r="C348" s="1" t="n">
        <v>46161</v>
      </c>
      <c r="D348" t="inlineStr">
        <is>
          <t>SKÅNE LÄN</t>
        </is>
      </c>
      <c r="E348" t="inlineStr">
        <is>
          <t>HÄSSLEHOLM</t>
        </is>
      </c>
      <c r="G348" t="n">
        <v>3.1</v>
      </c>
      <c r="H348" t="n">
        <v>0</v>
      </c>
      <c r="I348" t="n">
        <v>0</v>
      </c>
      <c r="J348" t="n">
        <v>0</v>
      </c>
      <c r="K348" t="n">
        <v>0</v>
      </c>
      <c r="L348" t="n">
        <v>0</v>
      </c>
      <c r="M348" t="n">
        <v>0</v>
      </c>
      <c r="N348" t="n">
        <v>0</v>
      </c>
      <c r="O348" t="n">
        <v>0</v>
      </c>
      <c r="P348" t="n">
        <v>0</v>
      </c>
      <c r="Q348" t="n">
        <v>0</v>
      </c>
      <c r="R348" s="2" t="inlineStr"/>
    </row>
    <row r="349" ht="15" customHeight="1">
      <c r="A349" t="inlineStr">
        <is>
          <t>A 23005-2025</t>
        </is>
      </c>
      <c r="B349" s="1" t="n">
        <v>45790</v>
      </c>
      <c r="C349" s="1" t="n">
        <v>46161</v>
      </c>
      <c r="D349" t="inlineStr">
        <is>
          <t>SKÅNE LÄN</t>
        </is>
      </c>
      <c r="E349" t="inlineStr">
        <is>
          <t>HÄSSLEHOLM</t>
        </is>
      </c>
      <c r="G349" t="n">
        <v>0.3</v>
      </c>
      <c r="H349" t="n">
        <v>0</v>
      </c>
      <c r="I349" t="n">
        <v>0</v>
      </c>
      <c r="J349" t="n">
        <v>0</v>
      </c>
      <c r="K349" t="n">
        <v>0</v>
      </c>
      <c r="L349" t="n">
        <v>0</v>
      </c>
      <c r="M349" t="n">
        <v>0</v>
      </c>
      <c r="N349" t="n">
        <v>0</v>
      </c>
      <c r="O349" t="n">
        <v>0</v>
      </c>
      <c r="P349" t="n">
        <v>0</v>
      </c>
      <c r="Q349" t="n">
        <v>0</v>
      </c>
      <c r="R349" s="2" t="inlineStr"/>
    </row>
    <row r="350" ht="15" customHeight="1">
      <c r="A350" t="inlineStr">
        <is>
          <t>A 60797-2024</t>
        </is>
      </c>
      <c r="B350" s="1" t="n">
        <v>45644</v>
      </c>
      <c r="C350" s="1" t="n">
        <v>46161</v>
      </c>
      <c r="D350" t="inlineStr">
        <is>
          <t>SKÅNE LÄN</t>
        </is>
      </c>
      <c r="E350" t="inlineStr">
        <is>
          <t>HÄSSLEHOLM</t>
        </is>
      </c>
      <c r="G350" t="n">
        <v>3.4</v>
      </c>
      <c r="H350" t="n">
        <v>0</v>
      </c>
      <c r="I350" t="n">
        <v>0</v>
      </c>
      <c r="J350" t="n">
        <v>0</v>
      </c>
      <c r="K350" t="n">
        <v>0</v>
      </c>
      <c r="L350" t="n">
        <v>0</v>
      </c>
      <c r="M350" t="n">
        <v>0</v>
      </c>
      <c r="N350" t="n">
        <v>0</v>
      </c>
      <c r="O350" t="n">
        <v>0</v>
      </c>
      <c r="P350" t="n">
        <v>0</v>
      </c>
      <c r="Q350" t="n">
        <v>0</v>
      </c>
      <c r="R350" s="2" t="inlineStr"/>
    </row>
    <row r="351" ht="15" customHeight="1">
      <c r="A351" t="inlineStr">
        <is>
          <t>A 56069-2024</t>
        </is>
      </c>
      <c r="B351" s="1" t="n">
        <v>45624.38006944444</v>
      </c>
      <c r="C351" s="1" t="n">
        <v>46161</v>
      </c>
      <c r="D351" t="inlineStr">
        <is>
          <t>SKÅNE LÄN</t>
        </is>
      </c>
      <c r="E351" t="inlineStr">
        <is>
          <t>HÄSSLEHOLM</t>
        </is>
      </c>
      <c r="F351" t="inlineStr">
        <is>
          <t>Övriga Aktiebolag</t>
        </is>
      </c>
      <c r="G351" t="n">
        <v>2.3</v>
      </c>
      <c r="H351" t="n">
        <v>0</v>
      </c>
      <c r="I351" t="n">
        <v>0</v>
      </c>
      <c r="J351" t="n">
        <v>0</v>
      </c>
      <c r="K351" t="n">
        <v>0</v>
      </c>
      <c r="L351" t="n">
        <v>0</v>
      </c>
      <c r="M351" t="n">
        <v>0</v>
      </c>
      <c r="N351" t="n">
        <v>0</v>
      </c>
      <c r="O351" t="n">
        <v>0</v>
      </c>
      <c r="P351" t="n">
        <v>0</v>
      </c>
      <c r="Q351" t="n">
        <v>0</v>
      </c>
      <c r="R351" s="2" t="inlineStr"/>
    </row>
    <row r="352" ht="15" customHeight="1">
      <c r="A352" t="inlineStr">
        <is>
          <t>A 12338-2024</t>
        </is>
      </c>
      <c r="B352" s="1" t="n">
        <v>45378.72869212963</v>
      </c>
      <c r="C352" s="1" t="n">
        <v>46161</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50839-2025</t>
        </is>
      </c>
      <c r="B353" s="1" t="n">
        <v>45946</v>
      </c>
      <c r="C353" s="1" t="n">
        <v>46161</v>
      </c>
      <c r="D353" t="inlineStr">
        <is>
          <t>SKÅNE LÄN</t>
        </is>
      </c>
      <c r="E353" t="inlineStr">
        <is>
          <t>HÄSSLEHOLM</t>
        </is>
      </c>
      <c r="G353" t="n">
        <v>0.9</v>
      </c>
      <c r="H353" t="n">
        <v>0</v>
      </c>
      <c r="I353" t="n">
        <v>0</v>
      </c>
      <c r="J353" t="n">
        <v>0</v>
      </c>
      <c r="K353" t="n">
        <v>0</v>
      </c>
      <c r="L353" t="n">
        <v>0</v>
      </c>
      <c r="M353" t="n">
        <v>0</v>
      </c>
      <c r="N353" t="n">
        <v>0</v>
      </c>
      <c r="O353" t="n">
        <v>0</v>
      </c>
      <c r="P353" t="n">
        <v>0</v>
      </c>
      <c r="Q353" t="n">
        <v>0</v>
      </c>
      <c r="R353" s="2" t="inlineStr"/>
    </row>
    <row r="354" ht="15" customHeight="1">
      <c r="A354" t="inlineStr">
        <is>
          <t>A 50829-2025</t>
        </is>
      </c>
      <c r="B354" s="1" t="n">
        <v>45946.55309027778</v>
      </c>
      <c r="C354" s="1" t="n">
        <v>46161</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15055-2023</t>
        </is>
      </c>
      <c r="B355" s="1" t="n">
        <v>45015</v>
      </c>
      <c r="C355" s="1" t="n">
        <v>46161</v>
      </c>
      <c r="D355" t="inlineStr">
        <is>
          <t>SKÅNE LÄN</t>
        </is>
      </c>
      <c r="E355" t="inlineStr">
        <is>
          <t>HÄSSLEHOLM</t>
        </is>
      </c>
      <c r="G355" t="n">
        <v>1.9</v>
      </c>
      <c r="H355" t="n">
        <v>0</v>
      </c>
      <c r="I355" t="n">
        <v>0</v>
      </c>
      <c r="J355" t="n">
        <v>0</v>
      </c>
      <c r="K355" t="n">
        <v>0</v>
      </c>
      <c r="L355" t="n">
        <v>0</v>
      </c>
      <c r="M355" t="n">
        <v>0</v>
      </c>
      <c r="N355" t="n">
        <v>0</v>
      </c>
      <c r="O355" t="n">
        <v>0</v>
      </c>
      <c r="P355" t="n">
        <v>0</v>
      </c>
      <c r="Q355" t="n">
        <v>0</v>
      </c>
      <c r="R355" s="2" t="inlineStr"/>
    </row>
    <row r="356" ht="15" customHeight="1">
      <c r="A356" t="inlineStr">
        <is>
          <t>A 7681-2025</t>
        </is>
      </c>
      <c r="B356" s="1" t="n">
        <v>45706.36758101852</v>
      </c>
      <c r="C356" s="1" t="n">
        <v>46161</v>
      </c>
      <c r="D356" t="inlineStr">
        <is>
          <t>SKÅNE LÄN</t>
        </is>
      </c>
      <c r="E356" t="inlineStr">
        <is>
          <t>HÄSSLEHOLM</t>
        </is>
      </c>
      <c r="G356" t="n">
        <v>1.9</v>
      </c>
      <c r="H356" t="n">
        <v>0</v>
      </c>
      <c r="I356" t="n">
        <v>0</v>
      </c>
      <c r="J356" t="n">
        <v>0</v>
      </c>
      <c r="K356" t="n">
        <v>0</v>
      </c>
      <c r="L356" t="n">
        <v>0</v>
      </c>
      <c r="M356" t="n">
        <v>0</v>
      </c>
      <c r="N356" t="n">
        <v>0</v>
      </c>
      <c r="O356" t="n">
        <v>0</v>
      </c>
      <c r="P356" t="n">
        <v>0</v>
      </c>
      <c r="Q356" t="n">
        <v>0</v>
      </c>
      <c r="R356" s="2" t="inlineStr"/>
    </row>
    <row r="357" ht="15" customHeight="1">
      <c r="A357" t="inlineStr">
        <is>
          <t>A 34187-2023</t>
        </is>
      </c>
      <c r="B357" s="1" t="n">
        <v>45138</v>
      </c>
      <c r="C357" s="1" t="n">
        <v>46161</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24032-2025</t>
        </is>
      </c>
      <c r="B358" s="1" t="n">
        <v>45796.478125</v>
      </c>
      <c r="C358" s="1" t="n">
        <v>46161</v>
      </c>
      <c r="D358" t="inlineStr">
        <is>
          <t>SKÅNE LÄN</t>
        </is>
      </c>
      <c r="E358" t="inlineStr">
        <is>
          <t>HÄSSLEHOLM</t>
        </is>
      </c>
      <c r="G358" t="n">
        <v>2.2</v>
      </c>
      <c r="H358" t="n">
        <v>0</v>
      </c>
      <c r="I358" t="n">
        <v>0</v>
      </c>
      <c r="J358" t="n">
        <v>0</v>
      </c>
      <c r="K358" t="n">
        <v>0</v>
      </c>
      <c r="L358" t="n">
        <v>0</v>
      </c>
      <c r="M358" t="n">
        <v>0</v>
      </c>
      <c r="N358" t="n">
        <v>0</v>
      </c>
      <c r="O358" t="n">
        <v>0</v>
      </c>
      <c r="P358" t="n">
        <v>0</v>
      </c>
      <c r="Q358" t="n">
        <v>0</v>
      </c>
      <c r="R358" s="2" t="inlineStr"/>
    </row>
    <row r="359" ht="15" customHeight="1">
      <c r="A359" t="inlineStr">
        <is>
          <t>A 51097-2025</t>
        </is>
      </c>
      <c r="B359" s="1" t="n">
        <v>45947.48018518519</v>
      </c>
      <c r="C359" s="1" t="n">
        <v>46161</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60789-2024</t>
        </is>
      </c>
      <c r="B360" s="1" t="n">
        <v>45644</v>
      </c>
      <c r="C360" s="1" t="n">
        <v>46161</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31255-2024</t>
        </is>
      </c>
      <c r="B361" s="1" t="n">
        <v>45503.69114583333</v>
      </c>
      <c r="C361" s="1" t="n">
        <v>46161</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44697-2021</t>
        </is>
      </c>
      <c r="B362" s="1" t="n">
        <v>44438</v>
      </c>
      <c r="C362" s="1" t="n">
        <v>46161</v>
      </c>
      <c r="D362" t="inlineStr">
        <is>
          <t>SKÅNE LÄN</t>
        </is>
      </c>
      <c r="E362" t="inlineStr">
        <is>
          <t>HÄSSLEHOLM</t>
        </is>
      </c>
      <c r="G362" t="n">
        <v>4.8</v>
      </c>
      <c r="H362" t="n">
        <v>0</v>
      </c>
      <c r="I362" t="n">
        <v>0</v>
      </c>
      <c r="J362" t="n">
        <v>0</v>
      </c>
      <c r="K362" t="n">
        <v>0</v>
      </c>
      <c r="L362" t="n">
        <v>0</v>
      </c>
      <c r="M362" t="n">
        <v>0</v>
      </c>
      <c r="N362" t="n">
        <v>0</v>
      </c>
      <c r="O362" t="n">
        <v>0</v>
      </c>
      <c r="P362" t="n">
        <v>0</v>
      </c>
      <c r="Q362" t="n">
        <v>0</v>
      </c>
      <c r="R362" s="2" t="inlineStr"/>
    </row>
    <row r="363" ht="15" customHeight="1">
      <c r="A363" t="inlineStr">
        <is>
          <t>A 5252-2025</t>
        </is>
      </c>
      <c r="B363" s="1" t="n">
        <v>45692.3449537037</v>
      </c>
      <c r="C363" s="1" t="n">
        <v>46161</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8433-2024</t>
        </is>
      </c>
      <c r="B364" s="1" t="n">
        <v>45353.48434027778</v>
      </c>
      <c r="C364" s="1" t="n">
        <v>46161</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48807-2021</t>
        </is>
      </c>
      <c r="B365" s="1" t="n">
        <v>44452</v>
      </c>
      <c r="C365" s="1" t="n">
        <v>46161</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28457-2024</t>
        </is>
      </c>
      <c r="B366" s="1" t="n">
        <v>45477.68884259259</v>
      </c>
      <c r="C366" s="1" t="n">
        <v>46161</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5242-2025</t>
        </is>
      </c>
      <c r="B367" s="1" t="n">
        <v>45692.32883101852</v>
      </c>
      <c r="C367" s="1" t="n">
        <v>46161</v>
      </c>
      <c r="D367" t="inlineStr">
        <is>
          <t>SKÅNE LÄN</t>
        </is>
      </c>
      <c r="E367" t="inlineStr">
        <is>
          <t>HÄSSLEHOLM</t>
        </is>
      </c>
      <c r="G367" t="n">
        <v>1.1</v>
      </c>
      <c r="H367" t="n">
        <v>0</v>
      </c>
      <c r="I367" t="n">
        <v>0</v>
      </c>
      <c r="J367" t="n">
        <v>0</v>
      </c>
      <c r="K367" t="n">
        <v>0</v>
      </c>
      <c r="L367" t="n">
        <v>0</v>
      </c>
      <c r="M367" t="n">
        <v>0</v>
      </c>
      <c r="N367" t="n">
        <v>0</v>
      </c>
      <c r="O367" t="n">
        <v>0</v>
      </c>
      <c r="P367" t="n">
        <v>0</v>
      </c>
      <c r="Q367" t="n">
        <v>0</v>
      </c>
      <c r="R367" s="2" t="inlineStr"/>
    </row>
    <row r="368" ht="15" customHeight="1">
      <c r="A368" t="inlineStr">
        <is>
          <t>A 24034-2025</t>
        </is>
      </c>
      <c r="B368" s="1" t="n">
        <v>45796.48251157408</v>
      </c>
      <c r="C368" s="1" t="n">
        <v>46161</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24250-2025</t>
        </is>
      </c>
      <c r="B369" s="1" t="n">
        <v>45797.40260416667</v>
      </c>
      <c r="C369" s="1" t="n">
        <v>46161</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13309-2025</t>
        </is>
      </c>
      <c r="B370" s="1" t="n">
        <v>45735.58512731481</v>
      </c>
      <c r="C370" s="1" t="n">
        <v>46161</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24029-2025</t>
        </is>
      </c>
      <c r="B371" s="1" t="n">
        <v>45796.47552083333</v>
      </c>
      <c r="C371" s="1" t="n">
        <v>46161</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51752-2023</t>
        </is>
      </c>
      <c r="B372" s="1" t="n">
        <v>45222</v>
      </c>
      <c r="C372" s="1" t="n">
        <v>46161</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24039-2025</t>
        </is>
      </c>
      <c r="B373" s="1" t="n">
        <v>45796.48675925926</v>
      </c>
      <c r="C373" s="1" t="n">
        <v>46161</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24047-2025</t>
        </is>
      </c>
      <c r="B374" s="1" t="n">
        <v>45796.49528935185</v>
      </c>
      <c r="C374" s="1" t="n">
        <v>46161</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24675-2025</t>
        </is>
      </c>
      <c r="B375" s="1" t="n">
        <v>45798.653125</v>
      </c>
      <c r="C375" s="1" t="n">
        <v>46161</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32834-2024</t>
        </is>
      </c>
      <c r="B376" s="1" t="n">
        <v>45516.6025</v>
      </c>
      <c r="C376" s="1" t="n">
        <v>46161</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9397-2025</t>
        </is>
      </c>
      <c r="B377" s="1" t="n">
        <v>45715.37361111111</v>
      </c>
      <c r="C377" s="1" t="n">
        <v>46161</v>
      </c>
      <c r="D377" t="inlineStr">
        <is>
          <t>SKÅNE LÄN</t>
        </is>
      </c>
      <c r="E377" t="inlineStr">
        <is>
          <t>HÄSSLEHOLM</t>
        </is>
      </c>
      <c r="G377" t="n">
        <v>1.2</v>
      </c>
      <c r="H377" t="n">
        <v>0</v>
      </c>
      <c r="I377" t="n">
        <v>0</v>
      </c>
      <c r="J377" t="n">
        <v>0</v>
      </c>
      <c r="K377" t="n">
        <v>0</v>
      </c>
      <c r="L377" t="n">
        <v>0</v>
      </c>
      <c r="M377" t="n">
        <v>0</v>
      </c>
      <c r="N377" t="n">
        <v>0</v>
      </c>
      <c r="O377" t="n">
        <v>0</v>
      </c>
      <c r="P377" t="n">
        <v>0</v>
      </c>
      <c r="Q377" t="n">
        <v>0</v>
      </c>
      <c r="R377" s="2" t="inlineStr"/>
    </row>
    <row r="378" ht="15" customHeight="1">
      <c r="A378" t="inlineStr">
        <is>
          <t>A 59109-2023</t>
        </is>
      </c>
      <c r="B378" s="1" t="n">
        <v>45253.30819444444</v>
      </c>
      <c r="C378" s="1" t="n">
        <v>46161</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42735-2024</t>
        </is>
      </c>
      <c r="B379" s="1" t="n">
        <v>45566.47274305556</v>
      </c>
      <c r="C379" s="1" t="n">
        <v>46161</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49384-2021</t>
        </is>
      </c>
      <c r="B380" s="1" t="n">
        <v>44454</v>
      </c>
      <c r="C380" s="1" t="n">
        <v>46161</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54462-2022</t>
        </is>
      </c>
      <c r="B381" s="1" t="n">
        <v>44882</v>
      </c>
      <c r="C381" s="1" t="n">
        <v>46161</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55522-2024</t>
        </is>
      </c>
      <c r="B382" s="1" t="n">
        <v>45622</v>
      </c>
      <c r="C382" s="1" t="n">
        <v>46161</v>
      </c>
      <c r="D382" t="inlineStr">
        <is>
          <t>SKÅNE LÄN</t>
        </is>
      </c>
      <c r="E382" t="inlineStr">
        <is>
          <t>HÄSSLEHOLM</t>
        </is>
      </c>
      <c r="G382" t="n">
        <v>5.6</v>
      </c>
      <c r="H382" t="n">
        <v>0</v>
      </c>
      <c r="I382" t="n">
        <v>0</v>
      </c>
      <c r="J382" t="n">
        <v>0</v>
      </c>
      <c r="K382" t="n">
        <v>0</v>
      </c>
      <c r="L382" t="n">
        <v>0</v>
      </c>
      <c r="M382" t="n">
        <v>0</v>
      </c>
      <c r="N382" t="n">
        <v>0</v>
      </c>
      <c r="O382" t="n">
        <v>0</v>
      </c>
      <c r="P382" t="n">
        <v>0</v>
      </c>
      <c r="Q382" t="n">
        <v>0</v>
      </c>
      <c r="R382" s="2" t="inlineStr"/>
    </row>
    <row r="383" ht="15" customHeight="1">
      <c r="A383" t="inlineStr">
        <is>
          <t>A 25611-2024</t>
        </is>
      </c>
      <c r="B383" s="1" t="n">
        <v>45463</v>
      </c>
      <c r="C383" s="1" t="n">
        <v>46161</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32826-2024</t>
        </is>
      </c>
      <c r="B384" s="1" t="n">
        <v>45516.59056712963</v>
      </c>
      <c r="C384" s="1" t="n">
        <v>46161</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7094-2023</t>
        </is>
      </c>
      <c r="B385" s="1" t="n">
        <v>44970.36958333333</v>
      </c>
      <c r="C385" s="1" t="n">
        <v>46161</v>
      </c>
      <c r="D385" t="inlineStr">
        <is>
          <t>SKÅNE LÄN</t>
        </is>
      </c>
      <c r="E385" t="inlineStr">
        <is>
          <t>HÄSSLEHOLM</t>
        </is>
      </c>
      <c r="G385" t="n">
        <v>3.6</v>
      </c>
      <c r="H385" t="n">
        <v>0</v>
      </c>
      <c r="I385" t="n">
        <v>0</v>
      </c>
      <c r="J385" t="n">
        <v>0</v>
      </c>
      <c r="K385" t="n">
        <v>0</v>
      </c>
      <c r="L385" t="n">
        <v>0</v>
      </c>
      <c r="M385" t="n">
        <v>0</v>
      </c>
      <c r="N385" t="n">
        <v>0</v>
      </c>
      <c r="O385" t="n">
        <v>0</v>
      </c>
      <c r="P385" t="n">
        <v>0</v>
      </c>
      <c r="Q385" t="n">
        <v>0</v>
      </c>
      <c r="R385" s="2" t="inlineStr"/>
    </row>
    <row r="386" ht="15" customHeight="1">
      <c r="A386" t="inlineStr">
        <is>
          <t>A 32100-2024</t>
        </is>
      </c>
      <c r="B386" s="1" t="n">
        <v>45511.41451388889</v>
      </c>
      <c r="C386" s="1" t="n">
        <v>46161</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10220-2023</t>
        </is>
      </c>
      <c r="B387" s="1" t="n">
        <v>44986.60916666667</v>
      </c>
      <c r="C387" s="1" t="n">
        <v>46161</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32512-2024</t>
        </is>
      </c>
      <c r="B388" s="1" t="n">
        <v>45513.45613425926</v>
      </c>
      <c r="C388" s="1" t="n">
        <v>46161</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35810-2023</t>
        </is>
      </c>
      <c r="B389" s="1" t="n">
        <v>45148.44046296296</v>
      </c>
      <c r="C389" s="1" t="n">
        <v>46161</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35833-2023</t>
        </is>
      </c>
      <c r="B390" s="1" t="n">
        <v>45148</v>
      </c>
      <c r="C390" s="1" t="n">
        <v>46161</v>
      </c>
      <c r="D390" t="inlineStr">
        <is>
          <t>SKÅNE LÄN</t>
        </is>
      </c>
      <c r="E390" t="inlineStr">
        <is>
          <t>HÄSSLEHOLM</t>
        </is>
      </c>
      <c r="F390" t="inlineStr">
        <is>
          <t>Kommuner</t>
        </is>
      </c>
      <c r="G390" t="n">
        <v>2</v>
      </c>
      <c r="H390" t="n">
        <v>0</v>
      </c>
      <c r="I390" t="n">
        <v>0</v>
      </c>
      <c r="J390" t="n">
        <v>0</v>
      </c>
      <c r="K390" t="n">
        <v>0</v>
      </c>
      <c r="L390" t="n">
        <v>0</v>
      </c>
      <c r="M390" t="n">
        <v>0</v>
      </c>
      <c r="N390" t="n">
        <v>0</v>
      </c>
      <c r="O390" t="n">
        <v>0</v>
      </c>
      <c r="P390" t="n">
        <v>0</v>
      </c>
      <c r="Q390" t="n">
        <v>0</v>
      </c>
      <c r="R390" s="2" t="inlineStr"/>
    </row>
    <row r="391" ht="15" customHeight="1">
      <c r="A391" t="inlineStr">
        <is>
          <t>A 59556-2023</t>
        </is>
      </c>
      <c r="B391" s="1" t="n">
        <v>45254.56313657408</v>
      </c>
      <c r="C391" s="1" t="n">
        <v>46161</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51597-2025</t>
        </is>
      </c>
      <c r="B392" s="1" t="n">
        <v>45951.37163194444</v>
      </c>
      <c r="C392" s="1" t="n">
        <v>46161</v>
      </c>
      <c r="D392" t="inlineStr">
        <is>
          <t>SKÅNE LÄN</t>
        </is>
      </c>
      <c r="E392" t="inlineStr">
        <is>
          <t>HÄSSLEHOLM</t>
        </is>
      </c>
      <c r="G392" t="n">
        <v>3.5</v>
      </c>
      <c r="H392" t="n">
        <v>0</v>
      </c>
      <c r="I392" t="n">
        <v>0</v>
      </c>
      <c r="J392" t="n">
        <v>0</v>
      </c>
      <c r="K392" t="n">
        <v>0</v>
      </c>
      <c r="L392" t="n">
        <v>0</v>
      </c>
      <c r="M392" t="n">
        <v>0</v>
      </c>
      <c r="N392" t="n">
        <v>0</v>
      </c>
      <c r="O392" t="n">
        <v>0</v>
      </c>
      <c r="P392" t="n">
        <v>0</v>
      </c>
      <c r="Q392" t="n">
        <v>0</v>
      </c>
      <c r="R392" s="2" t="inlineStr"/>
    </row>
    <row r="393" ht="15" customHeight="1">
      <c r="A393" t="inlineStr">
        <is>
          <t>A 53077-2022</t>
        </is>
      </c>
      <c r="B393" s="1" t="n">
        <v>44873</v>
      </c>
      <c r="C393" s="1" t="n">
        <v>46161</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24985-2025</t>
        </is>
      </c>
      <c r="B394" s="1" t="n">
        <v>45799.60256944445</v>
      </c>
      <c r="C394" s="1" t="n">
        <v>46161</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10562-2025</t>
        </is>
      </c>
      <c r="B395" s="1" t="n">
        <v>45721.52913194444</v>
      </c>
      <c r="C395" s="1" t="n">
        <v>46161</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41400-2025</t>
        </is>
      </c>
      <c r="B396" s="1" t="n">
        <v>45901</v>
      </c>
      <c r="C396" s="1" t="n">
        <v>46161</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41401-2025</t>
        </is>
      </c>
      <c r="B397" s="1" t="n">
        <v>45901</v>
      </c>
      <c r="C397" s="1" t="n">
        <v>46161</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51795-2025</t>
        </is>
      </c>
      <c r="B398" s="1" t="n">
        <v>45951</v>
      </c>
      <c r="C398" s="1" t="n">
        <v>46161</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51796-2025</t>
        </is>
      </c>
      <c r="B399" s="1" t="n">
        <v>45951.74546296296</v>
      </c>
      <c r="C399" s="1" t="n">
        <v>46161</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24658-2025</t>
        </is>
      </c>
      <c r="B400" s="1" t="n">
        <v>45798.64134259259</v>
      </c>
      <c r="C400" s="1" t="n">
        <v>46161</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51640-2025</t>
        </is>
      </c>
      <c r="B401" s="1" t="n">
        <v>45951.44361111111</v>
      </c>
      <c r="C401" s="1" t="n">
        <v>46161</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19744-2023</t>
        </is>
      </c>
      <c r="B402" s="1" t="n">
        <v>45051</v>
      </c>
      <c r="C402" s="1" t="n">
        <v>46161</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14655-2025</t>
        </is>
      </c>
      <c r="B403" s="1" t="n">
        <v>45742.5072337963</v>
      </c>
      <c r="C403" s="1" t="n">
        <v>46161</v>
      </c>
      <c r="D403" t="inlineStr">
        <is>
          <t>SKÅNE LÄN</t>
        </is>
      </c>
      <c r="E403" t="inlineStr">
        <is>
          <t>HÄSSLEHOLM</t>
        </is>
      </c>
      <c r="G403" t="n">
        <v>4.5</v>
      </c>
      <c r="H403" t="n">
        <v>0</v>
      </c>
      <c r="I403" t="n">
        <v>0</v>
      </c>
      <c r="J403" t="n">
        <v>0</v>
      </c>
      <c r="K403" t="n">
        <v>0</v>
      </c>
      <c r="L403" t="n">
        <v>0</v>
      </c>
      <c r="M403" t="n">
        <v>0</v>
      </c>
      <c r="N403" t="n">
        <v>0</v>
      </c>
      <c r="O403" t="n">
        <v>0</v>
      </c>
      <c r="P403" t="n">
        <v>0</v>
      </c>
      <c r="Q403" t="n">
        <v>0</v>
      </c>
      <c r="R403" s="2" t="inlineStr"/>
    </row>
    <row r="404" ht="15" customHeight="1">
      <c r="A404" t="inlineStr">
        <is>
          <t>A 14926-2024</t>
        </is>
      </c>
      <c r="B404" s="1" t="n">
        <v>45398</v>
      </c>
      <c r="C404" s="1" t="n">
        <v>46161</v>
      </c>
      <c r="D404" t="inlineStr">
        <is>
          <t>SKÅNE LÄN</t>
        </is>
      </c>
      <c r="E404" t="inlineStr">
        <is>
          <t>HÄSSLEHOLM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60843-2022</t>
        </is>
      </c>
      <c r="B405" s="1" t="n">
        <v>44914</v>
      </c>
      <c r="C405" s="1" t="n">
        <v>46161</v>
      </c>
      <c r="D405" t="inlineStr">
        <is>
          <t>SKÅNE LÄN</t>
        </is>
      </c>
      <c r="E405" t="inlineStr">
        <is>
          <t>HÄSSLEHOLM</t>
        </is>
      </c>
      <c r="G405" t="n">
        <v>2.2</v>
      </c>
      <c r="H405" t="n">
        <v>0</v>
      </c>
      <c r="I405" t="n">
        <v>0</v>
      </c>
      <c r="J405" t="n">
        <v>0</v>
      </c>
      <c r="K405" t="n">
        <v>0</v>
      </c>
      <c r="L405" t="n">
        <v>0</v>
      </c>
      <c r="M405" t="n">
        <v>0</v>
      </c>
      <c r="N405" t="n">
        <v>0</v>
      </c>
      <c r="O405" t="n">
        <v>0</v>
      </c>
      <c r="P405" t="n">
        <v>0</v>
      </c>
      <c r="Q405" t="n">
        <v>0</v>
      </c>
      <c r="R405" s="2" t="inlineStr"/>
    </row>
    <row r="406" ht="15" customHeight="1">
      <c r="A406" t="inlineStr">
        <is>
          <t>A 25372-2025</t>
        </is>
      </c>
      <c r="B406" s="1" t="n">
        <v>45799</v>
      </c>
      <c r="C406" s="1" t="n">
        <v>46161</v>
      </c>
      <c r="D406" t="inlineStr">
        <is>
          <t>SKÅNE LÄN</t>
        </is>
      </c>
      <c r="E406" t="inlineStr">
        <is>
          <t>HÄSSLEHOLM</t>
        </is>
      </c>
      <c r="G406" t="n">
        <v>3.1</v>
      </c>
      <c r="H406" t="n">
        <v>0</v>
      </c>
      <c r="I406" t="n">
        <v>0</v>
      </c>
      <c r="J406" t="n">
        <v>0</v>
      </c>
      <c r="K406" t="n">
        <v>0</v>
      </c>
      <c r="L406" t="n">
        <v>0</v>
      </c>
      <c r="M406" t="n">
        <v>0</v>
      </c>
      <c r="N406" t="n">
        <v>0</v>
      </c>
      <c r="O406" t="n">
        <v>0</v>
      </c>
      <c r="P406" t="n">
        <v>0</v>
      </c>
      <c r="Q406" t="n">
        <v>0</v>
      </c>
      <c r="R406" s="2" t="inlineStr"/>
    </row>
    <row r="407" ht="15" customHeight="1">
      <c r="A407" t="inlineStr">
        <is>
          <t>A 9399-2025</t>
        </is>
      </c>
      <c r="B407" s="1" t="n">
        <v>45715.37861111111</v>
      </c>
      <c r="C407" s="1" t="n">
        <v>46161</v>
      </c>
      <c r="D407" t="inlineStr">
        <is>
          <t>SKÅNE LÄN</t>
        </is>
      </c>
      <c r="E407" t="inlineStr">
        <is>
          <t>HÄSSLEHOLM</t>
        </is>
      </c>
      <c r="G407" t="n">
        <v>5.2</v>
      </c>
      <c r="H407" t="n">
        <v>0</v>
      </c>
      <c r="I407" t="n">
        <v>0</v>
      </c>
      <c r="J407" t="n">
        <v>0</v>
      </c>
      <c r="K407" t="n">
        <v>0</v>
      </c>
      <c r="L407" t="n">
        <v>0</v>
      </c>
      <c r="M407" t="n">
        <v>0</v>
      </c>
      <c r="N407" t="n">
        <v>0</v>
      </c>
      <c r="O407" t="n">
        <v>0</v>
      </c>
      <c r="P407" t="n">
        <v>0</v>
      </c>
      <c r="Q407" t="n">
        <v>0</v>
      </c>
      <c r="R407" s="2" t="inlineStr"/>
    </row>
    <row r="408" ht="15" customHeight="1">
      <c r="A408" t="inlineStr">
        <is>
          <t>A 61504-2022</t>
        </is>
      </c>
      <c r="B408" s="1" t="n">
        <v>44910</v>
      </c>
      <c r="C408" s="1" t="n">
        <v>46161</v>
      </c>
      <c r="D408" t="inlineStr">
        <is>
          <t>SKÅNE LÄN</t>
        </is>
      </c>
      <c r="E408" t="inlineStr">
        <is>
          <t>HÄSSLEHOLM</t>
        </is>
      </c>
      <c r="F408" t="inlineStr">
        <is>
          <t>Kyrkan</t>
        </is>
      </c>
      <c r="G408" t="n">
        <v>2.9</v>
      </c>
      <c r="H408" t="n">
        <v>0</v>
      </c>
      <c r="I408" t="n">
        <v>0</v>
      </c>
      <c r="J408" t="n">
        <v>0</v>
      </c>
      <c r="K408" t="n">
        <v>0</v>
      </c>
      <c r="L408" t="n">
        <v>0</v>
      </c>
      <c r="M408" t="n">
        <v>0</v>
      </c>
      <c r="N408" t="n">
        <v>0</v>
      </c>
      <c r="O408" t="n">
        <v>0</v>
      </c>
      <c r="P408" t="n">
        <v>0</v>
      </c>
      <c r="Q408" t="n">
        <v>0</v>
      </c>
      <c r="R408" s="2" t="inlineStr"/>
    </row>
    <row r="409" ht="15" customHeight="1">
      <c r="A409" t="inlineStr">
        <is>
          <t>A 259-2024</t>
        </is>
      </c>
      <c r="B409" s="1" t="n">
        <v>45294</v>
      </c>
      <c r="C409" s="1" t="n">
        <v>46161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29659-2024</t>
        </is>
      </c>
      <c r="B410" s="1" t="n">
        <v>45484.92587962963</v>
      </c>
      <c r="C410" s="1" t="n">
        <v>46161</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27837-2024</t>
        </is>
      </c>
      <c r="B411" s="1" t="n">
        <v>45475</v>
      </c>
      <c r="C411" s="1" t="n">
        <v>46161</v>
      </c>
      <c r="D411" t="inlineStr">
        <is>
          <t>SKÅNE LÄN</t>
        </is>
      </c>
      <c r="E411" t="inlineStr">
        <is>
          <t>HÄSSLEHOLM</t>
        </is>
      </c>
      <c r="F411" t="inlineStr">
        <is>
          <t>Kommuner</t>
        </is>
      </c>
      <c r="G411" t="n">
        <v>2.3</v>
      </c>
      <c r="H411" t="n">
        <v>0</v>
      </c>
      <c r="I411" t="n">
        <v>0</v>
      </c>
      <c r="J411" t="n">
        <v>0</v>
      </c>
      <c r="K411" t="n">
        <v>0</v>
      </c>
      <c r="L411" t="n">
        <v>0</v>
      </c>
      <c r="M411" t="n">
        <v>0</v>
      </c>
      <c r="N411" t="n">
        <v>0</v>
      </c>
      <c r="O411" t="n">
        <v>0</v>
      </c>
      <c r="P411" t="n">
        <v>0</v>
      </c>
      <c r="Q411" t="n">
        <v>0</v>
      </c>
      <c r="R411" s="2" t="inlineStr"/>
    </row>
    <row r="412" ht="15" customHeight="1">
      <c r="A412" t="inlineStr">
        <is>
          <t>A 1679-2022</t>
        </is>
      </c>
      <c r="B412" s="1" t="n">
        <v>44573</v>
      </c>
      <c r="C412" s="1" t="n">
        <v>46161</v>
      </c>
      <c r="D412" t="inlineStr">
        <is>
          <t>SKÅNE LÄN</t>
        </is>
      </c>
      <c r="E412" t="inlineStr">
        <is>
          <t>HÄSSLEHOLM</t>
        </is>
      </c>
      <c r="F412" t="inlineStr">
        <is>
          <t>Kyrkan</t>
        </is>
      </c>
      <c r="G412" t="n">
        <v>4.3</v>
      </c>
      <c r="H412" t="n">
        <v>0</v>
      </c>
      <c r="I412" t="n">
        <v>0</v>
      </c>
      <c r="J412" t="n">
        <v>0</v>
      </c>
      <c r="K412" t="n">
        <v>0</v>
      </c>
      <c r="L412" t="n">
        <v>0</v>
      </c>
      <c r="M412" t="n">
        <v>0</v>
      </c>
      <c r="N412" t="n">
        <v>0</v>
      </c>
      <c r="O412" t="n">
        <v>0</v>
      </c>
      <c r="P412" t="n">
        <v>0</v>
      </c>
      <c r="Q412" t="n">
        <v>0</v>
      </c>
      <c r="R412" s="2" t="inlineStr"/>
    </row>
    <row r="413" ht="15" customHeight="1">
      <c r="A413" t="inlineStr">
        <is>
          <t>A 19739-2023</t>
        </is>
      </c>
      <c r="B413" s="1" t="n">
        <v>45051</v>
      </c>
      <c r="C413" s="1" t="n">
        <v>46161</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52968-2022</t>
        </is>
      </c>
      <c r="B414" s="1" t="n">
        <v>44875</v>
      </c>
      <c r="C414" s="1" t="n">
        <v>46161</v>
      </c>
      <c r="D414" t="inlineStr">
        <is>
          <t>SKÅNE LÄN</t>
        </is>
      </c>
      <c r="E414" t="inlineStr">
        <is>
          <t>HÄSSLEHOLM</t>
        </is>
      </c>
      <c r="G414" t="n">
        <v>2.6</v>
      </c>
      <c r="H414" t="n">
        <v>0</v>
      </c>
      <c r="I414" t="n">
        <v>0</v>
      </c>
      <c r="J414" t="n">
        <v>0</v>
      </c>
      <c r="K414" t="n">
        <v>0</v>
      </c>
      <c r="L414" t="n">
        <v>0</v>
      </c>
      <c r="M414" t="n">
        <v>0</v>
      </c>
      <c r="N414" t="n">
        <v>0</v>
      </c>
      <c r="O414" t="n">
        <v>0</v>
      </c>
      <c r="P414" t="n">
        <v>0</v>
      </c>
      <c r="Q414" t="n">
        <v>0</v>
      </c>
      <c r="R414" s="2" t="inlineStr"/>
    </row>
    <row r="415" ht="15" customHeight="1">
      <c r="A415" t="inlineStr">
        <is>
          <t>A 51565-2023</t>
        </is>
      </c>
      <c r="B415" s="1" t="n">
        <v>45222</v>
      </c>
      <c r="C415" s="1" t="n">
        <v>46161</v>
      </c>
      <c r="D415" t="inlineStr">
        <is>
          <t>SKÅNE LÄN</t>
        </is>
      </c>
      <c r="E415" t="inlineStr">
        <is>
          <t>HÄSSLEHOLM</t>
        </is>
      </c>
      <c r="G415" t="n">
        <v>2.1</v>
      </c>
      <c r="H415" t="n">
        <v>0</v>
      </c>
      <c r="I415" t="n">
        <v>0</v>
      </c>
      <c r="J415" t="n">
        <v>0</v>
      </c>
      <c r="K415" t="n">
        <v>0</v>
      </c>
      <c r="L415" t="n">
        <v>0</v>
      </c>
      <c r="M415" t="n">
        <v>0</v>
      </c>
      <c r="N415" t="n">
        <v>0</v>
      </c>
      <c r="O415" t="n">
        <v>0</v>
      </c>
      <c r="P415" t="n">
        <v>0</v>
      </c>
      <c r="Q415" t="n">
        <v>0</v>
      </c>
      <c r="R415" s="2" t="inlineStr"/>
    </row>
    <row r="416" ht="15" customHeight="1">
      <c r="A416" t="inlineStr">
        <is>
          <t>A 59763-2022</t>
        </is>
      </c>
      <c r="B416" s="1" t="n">
        <v>44900</v>
      </c>
      <c r="C416" s="1" t="n">
        <v>46161</v>
      </c>
      <c r="D416" t="inlineStr">
        <is>
          <t>SKÅNE LÄN</t>
        </is>
      </c>
      <c r="E416" t="inlineStr">
        <is>
          <t>HÄSSLEHOLM</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25615-2025</t>
        </is>
      </c>
      <c r="B417" s="1" t="n">
        <v>45803</v>
      </c>
      <c r="C417" s="1" t="n">
        <v>46161</v>
      </c>
      <c r="D417" t="inlineStr">
        <is>
          <t>SKÅNE LÄN</t>
        </is>
      </c>
      <c r="E417" t="inlineStr">
        <is>
          <t>HÄSSLEHOLM</t>
        </is>
      </c>
      <c r="G417" t="n">
        <v>2.6</v>
      </c>
      <c r="H417" t="n">
        <v>0</v>
      </c>
      <c r="I417" t="n">
        <v>0</v>
      </c>
      <c r="J417" t="n">
        <v>0</v>
      </c>
      <c r="K417" t="n">
        <v>0</v>
      </c>
      <c r="L417" t="n">
        <v>0</v>
      </c>
      <c r="M417" t="n">
        <v>0</v>
      </c>
      <c r="N417" t="n">
        <v>0</v>
      </c>
      <c r="O417" t="n">
        <v>0</v>
      </c>
      <c r="P417" t="n">
        <v>0</v>
      </c>
      <c r="Q417" t="n">
        <v>0</v>
      </c>
      <c r="R417" s="2" t="inlineStr"/>
    </row>
    <row r="418" ht="15" customHeight="1">
      <c r="A418" t="inlineStr">
        <is>
          <t>A 3364-2023</t>
        </is>
      </c>
      <c r="B418" s="1" t="n">
        <v>44949</v>
      </c>
      <c r="C418" s="1" t="n">
        <v>46161</v>
      </c>
      <c r="D418" t="inlineStr">
        <is>
          <t>SKÅNE LÄN</t>
        </is>
      </c>
      <c r="E418" t="inlineStr">
        <is>
          <t>HÄSSLEHOLM</t>
        </is>
      </c>
      <c r="G418" t="n">
        <v>5.1</v>
      </c>
      <c r="H418" t="n">
        <v>0</v>
      </c>
      <c r="I418" t="n">
        <v>0</v>
      </c>
      <c r="J418" t="n">
        <v>0</v>
      </c>
      <c r="K418" t="n">
        <v>0</v>
      </c>
      <c r="L418" t="n">
        <v>0</v>
      </c>
      <c r="M418" t="n">
        <v>0</v>
      </c>
      <c r="N418" t="n">
        <v>0</v>
      </c>
      <c r="O418" t="n">
        <v>0</v>
      </c>
      <c r="P418" t="n">
        <v>0</v>
      </c>
      <c r="Q418" t="n">
        <v>0</v>
      </c>
      <c r="R418" s="2" t="inlineStr"/>
    </row>
    <row r="419" ht="15" customHeight="1">
      <c r="A419" t="inlineStr">
        <is>
          <t>A 52642-2021</t>
        </is>
      </c>
      <c r="B419" s="1" t="n">
        <v>44466.64298611111</v>
      </c>
      <c r="C419" s="1" t="n">
        <v>46161</v>
      </c>
      <c r="D419" t="inlineStr">
        <is>
          <t>SKÅNE LÄN</t>
        </is>
      </c>
      <c r="E419" t="inlineStr">
        <is>
          <t>HÄSSLEHOLM</t>
        </is>
      </c>
      <c r="G419" t="n">
        <v>3.7</v>
      </c>
      <c r="H419" t="n">
        <v>0</v>
      </c>
      <c r="I419" t="n">
        <v>0</v>
      </c>
      <c r="J419" t="n">
        <v>0</v>
      </c>
      <c r="K419" t="n">
        <v>0</v>
      </c>
      <c r="L419" t="n">
        <v>0</v>
      </c>
      <c r="M419" t="n">
        <v>0</v>
      </c>
      <c r="N419" t="n">
        <v>0</v>
      </c>
      <c r="O419" t="n">
        <v>0</v>
      </c>
      <c r="P419" t="n">
        <v>0</v>
      </c>
      <c r="Q419" t="n">
        <v>0</v>
      </c>
      <c r="R419" s="2" t="inlineStr"/>
    </row>
    <row r="420" ht="15" customHeight="1">
      <c r="A420" t="inlineStr">
        <is>
          <t>A 11412-2025</t>
        </is>
      </c>
      <c r="B420" s="1" t="n">
        <v>45726</v>
      </c>
      <c r="C420" s="1" t="n">
        <v>46161</v>
      </c>
      <c r="D420" t="inlineStr">
        <is>
          <t>SKÅNE LÄN</t>
        </is>
      </c>
      <c r="E420" t="inlineStr">
        <is>
          <t>HÄSSLEHOLM</t>
        </is>
      </c>
      <c r="G420" t="n">
        <v>2.1</v>
      </c>
      <c r="H420" t="n">
        <v>0</v>
      </c>
      <c r="I420" t="n">
        <v>0</v>
      </c>
      <c r="J420" t="n">
        <v>0</v>
      </c>
      <c r="K420" t="n">
        <v>0</v>
      </c>
      <c r="L420" t="n">
        <v>0</v>
      </c>
      <c r="M420" t="n">
        <v>0</v>
      </c>
      <c r="N420" t="n">
        <v>0</v>
      </c>
      <c r="O420" t="n">
        <v>0</v>
      </c>
      <c r="P420" t="n">
        <v>0</v>
      </c>
      <c r="Q420" t="n">
        <v>0</v>
      </c>
      <c r="R420" s="2" t="inlineStr"/>
    </row>
    <row r="421" ht="15" customHeight="1">
      <c r="A421" t="inlineStr">
        <is>
          <t>A 25430-2025</t>
        </is>
      </c>
      <c r="B421" s="1" t="n">
        <v>45800.78212962963</v>
      </c>
      <c r="C421" s="1" t="n">
        <v>46161</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15562-2024</t>
        </is>
      </c>
      <c r="B422" s="1" t="n">
        <v>45401.64975694445</v>
      </c>
      <c r="C422" s="1" t="n">
        <v>46161</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11466-2025</t>
        </is>
      </c>
      <c r="B423" s="1" t="n">
        <v>45726</v>
      </c>
      <c r="C423" s="1" t="n">
        <v>46161</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25431-2025</t>
        </is>
      </c>
      <c r="B424" s="1" t="n">
        <v>45800.78340277778</v>
      </c>
      <c r="C424" s="1" t="n">
        <v>46161</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25432-2025</t>
        </is>
      </c>
      <c r="B425" s="1" t="n">
        <v>45800.7847800926</v>
      </c>
      <c r="C425" s="1" t="n">
        <v>46161</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11470-2025</t>
        </is>
      </c>
      <c r="B426" s="1" t="n">
        <v>45726</v>
      </c>
      <c r="C426" s="1" t="n">
        <v>46161</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42520-2025</t>
        </is>
      </c>
      <c r="B427" s="1" t="n">
        <v>45905.54846064815</v>
      </c>
      <c r="C427" s="1" t="n">
        <v>46161</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28071-2023</t>
        </is>
      </c>
      <c r="B428" s="1" t="n">
        <v>45099.37755787037</v>
      </c>
      <c r="C428" s="1" t="n">
        <v>46161</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23946-2023</t>
        </is>
      </c>
      <c r="B429" s="1" t="n">
        <v>45078.61601851852</v>
      </c>
      <c r="C429" s="1" t="n">
        <v>46161</v>
      </c>
      <c r="D429" t="inlineStr">
        <is>
          <t>SKÅNE LÄN</t>
        </is>
      </c>
      <c r="E429" t="inlineStr">
        <is>
          <t>HÄSSLEHOLM</t>
        </is>
      </c>
      <c r="G429" t="n">
        <v>0.2</v>
      </c>
      <c r="H429" t="n">
        <v>0</v>
      </c>
      <c r="I429" t="n">
        <v>0</v>
      </c>
      <c r="J429" t="n">
        <v>0</v>
      </c>
      <c r="K429" t="n">
        <v>0</v>
      </c>
      <c r="L429" t="n">
        <v>0</v>
      </c>
      <c r="M429" t="n">
        <v>0</v>
      </c>
      <c r="N429" t="n">
        <v>0</v>
      </c>
      <c r="O429" t="n">
        <v>0</v>
      </c>
      <c r="P429" t="n">
        <v>0</v>
      </c>
      <c r="Q429" t="n">
        <v>0</v>
      </c>
      <c r="R429" s="2" t="inlineStr"/>
    </row>
    <row r="430" ht="15" customHeight="1">
      <c r="A430" t="inlineStr">
        <is>
          <t>A 41459-2022</t>
        </is>
      </c>
      <c r="B430" s="1" t="n">
        <v>44826.93372685185</v>
      </c>
      <c r="C430" s="1" t="n">
        <v>46161</v>
      </c>
      <c r="D430" t="inlineStr">
        <is>
          <t>SKÅNE LÄN</t>
        </is>
      </c>
      <c r="E430" t="inlineStr">
        <is>
          <t>HÄSSLEHOLM</t>
        </is>
      </c>
      <c r="G430" t="n">
        <v>2.3</v>
      </c>
      <c r="H430" t="n">
        <v>0</v>
      </c>
      <c r="I430" t="n">
        <v>0</v>
      </c>
      <c r="J430" t="n">
        <v>0</v>
      </c>
      <c r="K430" t="n">
        <v>0</v>
      </c>
      <c r="L430" t="n">
        <v>0</v>
      </c>
      <c r="M430" t="n">
        <v>0</v>
      </c>
      <c r="N430" t="n">
        <v>0</v>
      </c>
      <c r="O430" t="n">
        <v>0</v>
      </c>
      <c r="P430" t="n">
        <v>0</v>
      </c>
      <c r="Q430" t="n">
        <v>0</v>
      </c>
      <c r="R430" s="2" t="inlineStr"/>
    </row>
    <row r="431" ht="15" customHeight="1">
      <c r="A431" t="inlineStr">
        <is>
          <t>A 26232-2025</t>
        </is>
      </c>
      <c r="B431" s="1" t="n">
        <v>45805.56642361111</v>
      </c>
      <c r="C431" s="1" t="n">
        <v>46161</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26244-2025</t>
        </is>
      </c>
      <c r="B432" s="1" t="n">
        <v>45805.57364583333</v>
      </c>
      <c r="C432" s="1" t="n">
        <v>46161</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29847-2024</t>
        </is>
      </c>
      <c r="B433" s="1" t="n">
        <v>45485.6278587963</v>
      </c>
      <c r="C433" s="1" t="n">
        <v>46161</v>
      </c>
      <c r="D433" t="inlineStr">
        <is>
          <t>SKÅNE LÄN</t>
        </is>
      </c>
      <c r="E433" t="inlineStr">
        <is>
          <t>HÄSSLEHOLM</t>
        </is>
      </c>
      <c r="G433" t="n">
        <v>1.2</v>
      </c>
      <c r="H433" t="n">
        <v>0</v>
      </c>
      <c r="I433" t="n">
        <v>0</v>
      </c>
      <c r="J433" t="n">
        <v>0</v>
      </c>
      <c r="K433" t="n">
        <v>0</v>
      </c>
      <c r="L433" t="n">
        <v>0</v>
      </c>
      <c r="M433" t="n">
        <v>0</v>
      </c>
      <c r="N433" t="n">
        <v>0</v>
      </c>
      <c r="O433" t="n">
        <v>0</v>
      </c>
      <c r="P433" t="n">
        <v>0</v>
      </c>
      <c r="Q433" t="n">
        <v>0</v>
      </c>
      <c r="R433" s="2" t="inlineStr"/>
    </row>
    <row r="434" ht="15" customHeight="1">
      <c r="A434" t="inlineStr">
        <is>
          <t>A 22384-2024</t>
        </is>
      </c>
      <c r="B434" s="1" t="n">
        <v>45446.65592592592</v>
      </c>
      <c r="C434" s="1" t="n">
        <v>46161</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43516-2025</t>
        </is>
      </c>
      <c r="B435" s="1" t="n">
        <v>45911</v>
      </c>
      <c r="C435" s="1" t="n">
        <v>46161</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43332-2025</t>
        </is>
      </c>
      <c r="B436" s="1" t="n">
        <v>45910.70217592592</v>
      </c>
      <c r="C436" s="1" t="n">
        <v>46161</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51571-2023</t>
        </is>
      </c>
      <c r="B437" s="1" t="n">
        <v>45222</v>
      </c>
      <c r="C437" s="1" t="n">
        <v>46161</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38358-2024</t>
        </is>
      </c>
      <c r="B438" s="1" t="n">
        <v>45545.79068287037</v>
      </c>
      <c r="C438" s="1" t="n">
        <v>46161</v>
      </c>
      <c r="D438" t="inlineStr">
        <is>
          <t>SKÅNE LÄN</t>
        </is>
      </c>
      <c r="E438" t="inlineStr">
        <is>
          <t>HÄSSLEHOLM</t>
        </is>
      </c>
      <c r="G438" t="n">
        <v>9</v>
      </c>
      <c r="H438" t="n">
        <v>0</v>
      </c>
      <c r="I438" t="n">
        <v>0</v>
      </c>
      <c r="J438" t="n">
        <v>0</v>
      </c>
      <c r="K438" t="n">
        <v>0</v>
      </c>
      <c r="L438" t="n">
        <v>0</v>
      </c>
      <c r="M438" t="n">
        <v>0</v>
      </c>
      <c r="N438" t="n">
        <v>0</v>
      </c>
      <c r="O438" t="n">
        <v>0</v>
      </c>
      <c r="P438" t="n">
        <v>0</v>
      </c>
      <c r="Q438" t="n">
        <v>0</v>
      </c>
      <c r="R438" s="2" t="inlineStr"/>
    </row>
    <row r="439" ht="15" customHeight="1">
      <c r="A439" t="inlineStr">
        <is>
          <t>A 49181-2024</t>
        </is>
      </c>
      <c r="B439" s="1" t="n">
        <v>45595</v>
      </c>
      <c r="C439" s="1" t="n">
        <v>46161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27393-2025</t>
        </is>
      </c>
      <c r="B440" s="1" t="n">
        <v>45812.68295138889</v>
      </c>
      <c r="C440" s="1" t="n">
        <v>46161</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43333-2025</t>
        </is>
      </c>
      <c r="B441" s="1" t="n">
        <v>45910</v>
      </c>
      <c r="C441" s="1" t="n">
        <v>46161</v>
      </c>
      <c r="D441" t="inlineStr">
        <is>
          <t>SKÅNE LÄN</t>
        </is>
      </c>
      <c r="E441" t="inlineStr">
        <is>
          <t>HÄSSLEHOLM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52126-2025</t>
        </is>
      </c>
      <c r="B442" s="1" t="n">
        <v>45952.72109953704</v>
      </c>
      <c r="C442" s="1" t="n">
        <v>46161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32794-2023</t>
        </is>
      </c>
      <c r="B443" s="1" t="n">
        <v>45124.40446759259</v>
      </c>
      <c r="C443" s="1" t="n">
        <v>46161</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61436-2024</t>
        </is>
      </c>
      <c r="B444" s="1" t="n">
        <v>45646.46329861111</v>
      </c>
      <c r="C444" s="1" t="n">
        <v>46161</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37300-2023</t>
        </is>
      </c>
      <c r="B445" s="1" t="n">
        <v>45156</v>
      </c>
      <c r="C445" s="1" t="n">
        <v>46161</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35644-2023</t>
        </is>
      </c>
      <c r="B446" s="1" t="n">
        <v>45147</v>
      </c>
      <c r="C446" s="1" t="n">
        <v>46161</v>
      </c>
      <c r="D446" t="inlineStr">
        <is>
          <t>SKÅNE LÄN</t>
        </is>
      </c>
      <c r="E446" t="inlineStr">
        <is>
          <t>HÄSSLEHOLM</t>
        </is>
      </c>
      <c r="G446" t="n">
        <v>0.9</v>
      </c>
      <c r="H446" t="n">
        <v>0</v>
      </c>
      <c r="I446" t="n">
        <v>0</v>
      </c>
      <c r="J446" t="n">
        <v>0</v>
      </c>
      <c r="K446" t="n">
        <v>0</v>
      </c>
      <c r="L446" t="n">
        <v>0</v>
      </c>
      <c r="M446" t="n">
        <v>0</v>
      </c>
      <c r="N446" t="n">
        <v>0</v>
      </c>
      <c r="O446" t="n">
        <v>0</v>
      </c>
      <c r="P446" t="n">
        <v>0</v>
      </c>
      <c r="Q446" t="n">
        <v>0</v>
      </c>
      <c r="R446" s="2" t="inlineStr"/>
    </row>
    <row r="447" ht="15" customHeight="1">
      <c r="A447" t="inlineStr">
        <is>
          <t>A 16368-2025</t>
        </is>
      </c>
      <c r="B447" s="1" t="n">
        <v>45751</v>
      </c>
      <c r="C447" s="1" t="n">
        <v>46161</v>
      </c>
      <c r="D447" t="inlineStr">
        <is>
          <t>SKÅNE LÄN</t>
        </is>
      </c>
      <c r="E447" t="inlineStr">
        <is>
          <t>HÄSSLEHOLM</t>
        </is>
      </c>
      <c r="G447" t="n">
        <v>5</v>
      </c>
      <c r="H447" t="n">
        <v>0</v>
      </c>
      <c r="I447" t="n">
        <v>0</v>
      </c>
      <c r="J447" t="n">
        <v>0</v>
      </c>
      <c r="K447" t="n">
        <v>0</v>
      </c>
      <c r="L447" t="n">
        <v>0</v>
      </c>
      <c r="M447" t="n">
        <v>0</v>
      </c>
      <c r="N447" t="n">
        <v>0</v>
      </c>
      <c r="O447" t="n">
        <v>0</v>
      </c>
      <c r="P447" t="n">
        <v>0</v>
      </c>
      <c r="Q447" t="n">
        <v>0</v>
      </c>
      <c r="R447" s="2" t="inlineStr"/>
    </row>
    <row r="448" ht="15" customHeight="1">
      <c r="A448" t="inlineStr">
        <is>
          <t>A 43869-2025</t>
        </is>
      </c>
      <c r="B448" s="1" t="n">
        <v>45912.66452546296</v>
      </c>
      <c r="C448" s="1" t="n">
        <v>46161</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43741-2025</t>
        </is>
      </c>
      <c r="B449" s="1" t="n">
        <v>45912.45541666666</v>
      </c>
      <c r="C449" s="1" t="n">
        <v>46161</v>
      </c>
      <c r="D449" t="inlineStr">
        <is>
          <t>SKÅNE LÄN</t>
        </is>
      </c>
      <c r="E449" t="inlineStr">
        <is>
          <t>HÄSSLEHOLM</t>
        </is>
      </c>
      <c r="G449" t="n">
        <v>4.3</v>
      </c>
      <c r="H449" t="n">
        <v>0</v>
      </c>
      <c r="I449" t="n">
        <v>0</v>
      </c>
      <c r="J449" t="n">
        <v>0</v>
      </c>
      <c r="K449" t="n">
        <v>0</v>
      </c>
      <c r="L449" t="n">
        <v>0</v>
      </c>
      <c r="M449" t="n">
        <v>0</v>
      </c>
      <c r="N449" t="n">
        <v>0</v>
      </c>
      <c r="O449" t="n">
        <v>0</v>
      </c>
      <c r="P449" t="n">
        <v>0</v>
      </c>
      <c r="Q449" t="n">
        <v>0</v>
      </c>
      <c r="R449" s="2" t="inlineStr"/>
    </row>
    <row r="450" ht="15" customHeight="1">
      <c r="A450" t="inlineStr">
        <is>
          <t>A 3123-2023</t>
        </is>
      </c>
      <c r="B450" s="1" t="n">
        <v>44946.4925</v>
      </c>
      <c r="C450" s="1" t="n">
        <v>46161</v>
      </c>
      <c r="D450" t="inlineStr">
        <is>
          <t>SKÅNE LÄN</t>
        </is>
      </c>
      <c r="E450" t="inlineStr">
        <is>
          <t>HÄSSLEHOLM</t>
        </is>
      </c>
      <c r="G450" t="n">
        <v>3.5</v>
      </c>
      <c r="H450" t="n">
        <v>0</v>
      </c>
      <c r="I450" t="n">
        <v>0</v>
      </c>
      <c r="J450" t="n">
        <v>0</v>
      </c>
      <c r="K450" t="n">
        <v>0</v>
      </c>
      <c r="L450" t="n">
        <v>0</v>
      </c>
      <c r="M450" t="n">
        <v>0</v>
      </c>
      <c r="N450" t="n">
        <v>0</v>
      </c>
      <c r="O450" t="n">
        <v>0</v>
      </c>
      <c r="P450" t="n">
        <v>0</v>
      </c>
      <c r="Q450" t="n">
        <v>0</v>
      </c>
      <c r="R450" s="2" t="inlineStr"/>
    </row>
    <row r="451" ht="15" customHeight="1">
      <c r="A451" t="inlineStr">
        <is>
          <t>A 3126-2023</t>
        </is>
      </c>
      <c r="B451" s="1" t="n">
        <v>44946.49570601852</v>
      </c>
      <c r="C451" s="1" t="n">
        <v>46161</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37318-2024</t>
        </is>
      </c>
      <c r="B452" s="1" t="n">
        <v>45540</v>
      </c>
      <c r="C452" s="1" t="n">
        <v>46161</v>
      </c>
      <c r="D452" t="inlineStr">
        <is>
          <t>SKÅNE LÄN</t>
        </is>
      </c>
      <c r="E452" t="inlineStr">
        <is>
          <t>HÄSSLEHOLM</t>
        </is>
      </c>
      <c r="G452" t="n">
        <v>3.9</v>
      </c>
      <c r="H452" t="n">
        <v>0</v>
      </c>
      <c r="I452" t="n">
        <v>0</v>
      </c>
      <c r="J452" t="n">
        <v>0</v>
      </c>
      <c r="K452" t="n">
        <v>0</v>
      </c>
      <c r="L452" t="n">
        <v>0</v>
      </c>
      <c r="M452" t="n">
        <v>0</v>
      </c>
      <c r="N452" t="n">
        <v>0</v>
      </c>
      <c r="O452" t="n">
        <v>0</v>
      </c>
      <c r="P452" t="n">
        <v>0</v>
      </c>
      <c r="Q452" t="n">
        <v>0</v>
      </c>
      <c r="R452" s="2" t="inlineStr"/>
    </row>
    <row r="453" ht="15" customHeight="1">
      <c r="A453" t="inlineStr">
        <is>
          <t>A 37324-2024</t>
        </is>
      </c>
      <c r="B453" s="1" t="n">
        <v>45540.50104166667</v>
      </c>
      <c r="C453" s="1" t="n">
        <v>46161</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28240-2025</t>
        </is>
      </c>
      <c r="B454" s="1" t="n">
        <v>45817</v>
      </c>
      <c r="C454" s="1" t="n">
        <v>46161</v>
      </c>
      <c r="D454" t="inlineStr">
        <is>
          <t>SKÅNE LÄN</t>
        </is>
      </c>
      <c r="E454" t="inlineStr">
        <is>
          <t>HÄSSLEHOLM</t>
        </is>
      </c>
      <c r="G454" t="n">
        <v>7.7</v>
      </c>
      <c r="H454" t="n">
        <v>0</v>
      </c>
      <c r="I454" t="n">
        <v>0</v>
      </c>
      <c r="J454" t="n">
        <v>0</v>
      </c>
      <c r="K454" t="n">
        <v>0</v>
      </c>
      <c r="L454" t="n">
        <v>0</v>
      </c>
      <c r="M454" t="n">
        <v>0</v>
      </c>
      <c r="N454" t="n">
        <v>0</v>
      </c>
      <c r="O454" t="n">
        <v>0</v>
      </c>
      <c r="P454" t="n">
        <v>0</v>
      </c>
      <c r="Q454" t="n">
        <v>0</v>
      </c>
      <c r="R454" s="2" t="inlineStr"/>
    </row>
    <row r="455" ht="15" customHeight="1">
      <c r="A455" t="inlineStr">
        <is>
          <t>A 57656-2022</t>
        </is>
      </c>
      <c r="B455" s="1" t="n">
        <v>44897.4325925926</v>
      </c>
      <c r="C455" s="1" t="n">
        <v>46161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32881-2024</t>
        </is>
      </c>
      <c r="B456" s="1" t="n">
        <v>45516</v>
      </c>
      <c r="C456" s="1" t="n">
        <v>46161</v>
      </c>
      <c r="D456" t="inlineStr">
        <is>
          <t>SKÅNE LÄN</t>
        </is>
      </c>
      <c r="E456" t="inlineStr">
        <is>
          <t>HÄSSLEHOLM</t>
        </is>
      </c>
      <c r="G456" t="n">
        <v>6.3</v>
      </c>
      <c r="H456" t="n">
        <v>0</v>
      </c>
      <c r="I456" t="n">
        <v>0</v>
      </c>
      <c r="J456" t="n">
        <v>0</v>
      </c>
      <c r="K456" t="n">
        <v>0</v>
      </c>
      <c r="L456" t="n">
        <v>0</v>
      </c>
      <c r="M456" t="n">
        <v>0</v>
      </c>
      <c r="N456" t="n">
        <v>0</v>
      </c>
      <c r="O456" t="n">
        <v>0</v>
      </c>
      <c r="P456" t="n">
        <v>0</v>
      </c>
      <c r="Q456" t="n">
        <v>0</v>
      </c>
      <c r="R456" s="2" t="inlineStr"/>
    </row>
    <row r="457" ht="15" customHeight="1">
      <c r="A457" t="inlineStr">
        <is>
          <t>A 27940-2025</t>
        </is>
      </c>
      <c r="B457" s="1" t="n">
        <v>45817.50439814815</v>
      </c>
      <c r="C457" s="1" t="n">
        <v>46161</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27934-2025</t>
        </is>
      </c>
      <c r="B458" s="1" t="n">
        <v>45817.49761574074</v>
      </c>
      <c r="C458" s="1" t="n">
        <v>46161</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23860-2024</t>
        </is>
      </c>
      <c r="B459" s="1" t="n">
        <v>45455</v>
      </c>
      <c r="C459" s="1" t="n">
        <v>46161</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23864-2024</t>
        </is>
      </c>
      <c r="B460" s="1" t="n">
        <v>45455</v>
      </c>
      <c r="C460" s="1" t="n">
        <v>46161</v>
      </c>
      <c r="D460" t="inlineStr">
        <is>
          <t>SKÅNE LÄN</t>
        </is>
      </c>
      <c r="E460" t="inlineStr">
        <is>
          <t>HÄSSLEHOLM</t>
        </is>
      </c>
      <c r="G460" t="n">
        <v>6.2</v>
      </c>
      <c r="H460" t="n">
        <v>0</v>
      </c>
      <c r="I460" t="n">
        <v>0</v>
      </c>
      <c r="J460" t="n">
        <v>0</v>
      </c>
      <c r="K460" t="n">
        <v>0</v>
      </c>
      <c r="L460" t="n">
        <v>0</v>
      </c>
      <c r="M460" t="n">
        <v>0</v>
      </c>
      <c r="N460" t="n">
        <v>0</v>
      </c>
      <c r="O460" t="n">
        <v>0</v>
      </c>
      <c r="P460" t="n">
        <v>0</v>
      </c>
      <c r="Q460" t="n">
        <v>0</v>
      </c>
      <c r="R460" s="2" t="inlineStr"/>
    </row>
    <row r="461" ht="15" customHeight="1">
      <c r="A461" t="inlineStr">
        <is>
          <t>A 43738-2025</t>
        </is>
      </c>
      <c r="B461" s="1" t="n">
        <v>45912.45037037037</v>
      </c>
      <c r="C461" s="1" t="n">
        <v>46161</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28251-2025</t>
        </is>
      </c>
      <c r="B462" s="1" t="n">
        <v>45817</v>
      </c>
      <c r="C462" s="1" t="n">
        <v>46161</v>
      </c>
      <c r="D462" t="inlineStr">
        <is>
          <t>SKÅNE LÄN</t>
        </is>
      </c>
      <c r="E462" t="inlineStr">
        <is>
          <t>HÄSSLEHOLM</t>
        </is>
      </c>
      <c r="G462" t="n">
        <v>7.2</v>
      </c>
      <c r="H462" t="n">
        <v>0</v>
      </c>
      <c r="I462" t="n">
        <v>0</v>
      </c>
      <c r="J462" t="n">
        <v>0</v>
      </c>
      <c r="K462" t="n">
        <v>0</v>
      </c>
      <c r="L462" t="n">
        <v>0</v>
      </c>
      <c r="M462" t="n">
        <v>0</v>
      </c>
      <c r="N462" t="n">
        <v>0</v>
      </c>
      <c r="O462" t="n">
        <v>0</v>
      </c>
      <c r="P462" t="n">
        <v>0</v>
      </c>
      <c r="Q462" t="n">
        <v>0</v>
      </c>
      <c r="R462" s="2" t="inlineStr"/>
    </row>
    <row r="463" ht="15" customHeight="1">
      <c r="A463" t="inlineStr">
        <is>
          <t>A 28122-2025</t>
        </is>
      </c>
      <c r="B463" s="1" t="n">
        <v>45817</v>
      </c>
      <c r="C463" s="1" t="n">
        <v>46161</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7192-2025</t>
        </is>
      </c>
      <c r="B464" s="1" t="n">
        <v>45702.44746527778</v>
      </c>
      <c r="C464" s="1" t="n">
        <v>46161</v>
      </c>
      <c r="D464" t="inlineStr">
        <is>
          <t>SKÅNE LÄN</t>
        </is>
      </c>
      <c r="E464" t="inlineStr">
        <is>
          <t>HÄSSLEHOLM</t>
        </is>
      </c>
      <c r="G464" t="n">
        <v>1.2</v>
      </c>
      <c r="H464" t="n">
        <v>0</v>
      </c>
      <c r="I464" t="n">
        <v>0</v>
      </c>
      <c r="J464" t="n">
        <v>0</v>
      </c>
      <c r="K464" t="n">
        <v>0</v>
      </c>
      <c r="L464" t="n">
        <v>0</v>
      </c>
      <c r="M464" t="n">
        <v>0</v>
      </c>
      <c r="N464" t="n">
        <v>0</v>
      </c>
      <c r="O464" t="n">
        <v>0</v>
      </c>
      <c r="P464" t="n">
        <v>0</v>
      </c>
      <c r="Q464" t="n">
        <v>0</v>
      </c>
      <c r="R464" s="2" t="inlineStr"/>
    </row>
    <row r="465" ht="15" customHeight="1">
      <c r="A465" t="inlineStr">
        <is>
          <t>A 27887-2025</t>
        </is>
      </c>
      <c r="B465" s="1" t="n">
        <v>45817.45994212963</v>
      </c>
      <c r="C465" s="1" t="n">
        <v>46161</v>
      </c>
      <c r="D465" t="inlineStr">
        <is>
          <t>SKÅNE LÄN</t>
        </is>
      </c>
      <c r="E465" t="inlineStr">
        <is>
          <t>HÄSSLEHOLM</t>
        </is>
      </c>
      <c r="G465" t="n">
        <v>4.8</v>
      </c>
      <c r="H465" t="n">
        <v>0</v>
      </c>
      <c r="I465" t="n">
        <v>0</v>
      </c>
      <c r="J465" t="n">
        <v>0</v>
      </c>
      <c r="K465" t="n">
        <v>0</v>
      </c>
      <c r="L465" t="n">
        <v>0</v>
      </c>
      <c r="M465" t="n">
        <v>0</v>
      </c>
      <c r="N465" t="n">
        <v>0</v>
      </c>
      <c r="O465" t="n">
        <v>0</v>
      </c>
      <c r="P465" t="n">
        <v>0</v>
      </c>
      <c r="Q465" t="n">
        <v>0</v>
      </c>
      <c r="R465" s="2" t="inlineStr"/>
    </row>
    <row r="466" ht="15" customHeight="1">
      <c r="A466" t="inlineStr">
        <is>
          <t>A 44624-2025</t>
        </is>
      </c>
      <c r="B466" s="1" t="n">
        <v>45917.47152777778</v>
      </c>
      <c r="C466" s="1" t="n">
        <v>46161</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28095-2025</t>
        </is>
      </c>
      <c r="B467" s="1" t="n">
        <v>45817</v>
      </c>
      <c r="C467" s="1" t="n">
        <v>46161</v>
      </c>
      <c r="D467" t="inlineStr">
        <is>
          <t>SKÅNE LÄN</t>
        </is>
      </c>
      <c r="E467" t="inlineStr">
        <is>
          <t>HÄSSLEHOLM</t>
        </is>
      </c>
      <c r="G467" t="n">
        <v>2.5</v>
      </c>
      <c r="H467" t="n">
        <v>0</v>
      </c>
      <c r="I467" t="n">
        <v>0</v>
      </c>
      <c r="J467" t="n">
        <v>0</v>
      </c>
      <c r="K467" t="n">
        <v>0</v>
      </c>
      <c r="L467" t="n">
        <v>0</v>
      </c>
      <c r="M467" t="n">
        <v>0</v>
      </c>
      <c r="N467" t="n">
        <v>0</v>
      </c>
      <c r="O467" t="n">
        <v>0</v>
      </c>
      <c r="P467" t="n">
        <v>0</v>
      </c>
      <c r="Q467" t="n">
        <v>0</v>
      </c>
      <c r="R467" s="2" t="inlineStr"/>
    </row>
    <row r="468" ht="15" customHeight="1">
      <c r="A468" t="inlineStr">
        <is>
          <t>A 11798-2022</t>
        </is>
      </c>
      <c r="B468" s="1" t="n">
        <v>44634.64900462963</v>
      </c>
      <c r="C468" s="1" t="n">
        <v>46161</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56881-2021</t>
        </is>
      </c>
      <c r="B469" s="1" t="n">
        <v>44481</v>
      </c>
      <c r="C469" s="1" t="n">
        <v>46161</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44611-2025</t>
        </is>
      </c>
      <c r="B470" s="1" t="n">
        <v>45917.45109953704</v>
      </c>
      <c r="C470" s="1" t="n">
        <v>46161</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44330-2025</t>
        </is>
      </c>
      <c r="B471" s="1" t="n">
        <v>45916.42120370371</v>
      </c>
      <c r="C471" s="1" t="n">
        <v>46161</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44523-2025</t>
        </is>
      </c>
      <c r="B472" s="1" t="n">
        <v>45916</v>
      </c>
      <c r="C472" s="1" t="n">
        <v>46161</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13673-2023</t>
        </is>
      </c>
      <c r="B473" s="1" t="n">
        <v>45006.87957175926</v>
      </c>
      <c r="C473" s="1" t="n">
        <v>46161</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49827-2022</t>
        </is>
      </c>
      <c r="B474" s="1" t="n">
        <v>44859</v>
      </c>
      <c r="C474" s="1" t="n">
        <v>46161</v>
      </c>
      <c r="D474" t="inlineStr">
        <is>
          <t>SKÅNE LÄN</t>
        </is>
      </c>
      <c r="E474" t="inlineStr">
        <is>
          <t>HÄSSLEHOLM</t>
        </is>
      </c>
      <c r="G474" t="n">
        <v>6.1</v>
      </c>
      <c r="H474" t="n">
        <v>0</v>
      </c>
      <c r="I474" t="n">
        <v>0</v>
      </c>
      <c r="J474" t="n">
        <v>0</v>
      </c>
      <c r="K474" t="n">
        <v>0</v>
      </c>
      <c r="L474" t="n">
        <v>0</v>
      </c>
      <c r="M474" t="n">
        <v>0</v>
      </c>
      <c r="N474" t="n">
        <v>0</v>
      </c>
      <c r="O474" t="n">
        <v>0</v>
      </c>
      <c r="P474" t="n">
        <v>0</v>
      </c>
      <c r="Q474" t="n">
        <v>0</v>
      </c>
      <c r="R474" s="2" t="inlineStr"/>
    </row>
    <row r="475" ht="15" customHeight="1">
      <c r="A475" t="inlineStr">
        <is>
          <t>A 38306-2022</t>
        </is>
      </c>
      <c r="B475" s="1" t="n">
        <v>44812.57515046297</v>
      </c>
      <c r="C475" s="1" t="n">
        <v>46161</v>
      </c>
      <c r="D475" t="inlineStr">
        <is>
          <t>SKÅNE LÄN</t>
        </is>
      </c>
      <c r="E475" t="inlineStr">
        <is>
          <t>HÄSSLEHOLM</t>
        </is>
      </c>
      <c r="G475" t="n">
        <v>2.2</v>
      </c>
      <c r="H475" t="n">
        <v>0</v>
      </c>
      <c r="I475" t="n">
        <v>0</v>
      </c>
      <c r="J475" t="n">
        <v>0</v>
      </c>
      <c r="K475" t="n">
        <v>0</v>
      </c>
      <c r="L475" t="n">
        <v>0</v>
      </c>
      <c r="M475" t="n">
        <v>0</v>
      </c>
      <c r="N475" t="n">
        <v>0</v>
      </c>
      <c r="O475" t="n">
        <v>0</v>
      </c>
      <c r="P475" t="n">
        <v>0</v>
      </c>
      <c r="Q475" t="n">
        <v>0</v>
      </c>
      <c r="R475" s="2" t="inlineStr"/>
    </row>
    <row r="476" ht="15" customHeight="1">
      <c r="A476" t="inlineStr">
        <is>
          <t>A 44515-2025</t>
        </is>
      </c>
      <c r="B476" s="1" t="n">
        <v>45916.7062037037</v>
      </c>
      <c r="C476" s="1" t="n">
        <v>46161</v>
      </c>
      <c r="D476" t="inlineStr">
        <is>
          <t>SKÅNE LÄN</t>
        </is>
      </c>
      <c r="E476" t="inlineStr">
        <is>
          <t>HÄSSLEHOLM</t>
        </is>
      </c>
      <c r="G476" t="n">
        <v>1.5</v>
      </c>
      <c r="H476" t="n">
        <v>0</v>
      </c>
      <c r="I476" t="n">
        <v>0</v>
      </c>
      <c r="J476" t="n">
        <v>0</v>
      </c>
      <c r="K476" t="n">
        <v>0</v>
      </c>
      <c r="L476" t="n">
        <v>0</v>
      </c>
      <c r="M476" t="n">
        <v>0</v>
      </c>
      <c r="N476" t="n">
        <v>0</v>
      </c>
      <c r="O476" t="n">
        <v>0</v>
      </c>
      <c r="P476" t="n">
        <v>0</v>
      </c>
      <c r="Q476" t="n">
        <v>0</v>
      </c>
      <c r="R476" s="2" t="inlineStr"/>
    </row>
    <row r="477" ht="15" customHeight="1">
      <c r="A477" t="inlineStr">
        <is>
          <t>A 38712-2024</t>
        </is>
      </c>
      <c r="B477" s="1" t="n">
        <v>45547</v>
      </c>
      <c r="C477" s="1" t="n">
        <v>46161</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13310-2025</t>
        </is>
      </c>
      <c r="B478" s="1" t="n">
        <v>45735.58814814815</v>
      </c>
      <c r="C478" s="1" t="n">
        <v>46161</v>
      </c>
      <c r="D478" t="inlineStr">
        <is>
          <t>SKÅNE LÄN</t>
        </is>
      </c>
      <c r="E478" t="inlineStr">
        <is>
          <t>HÄSSLEHOLM</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44616-2025</t>
        </is>
      </c>
      <c r="B479" s="1" t="n">
        <v>45917.45572916666</v>
      </c>
      <c r="C479" s="1" t="n">
        <v>46161</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3746-2024</t>
        </is>
      </c>
      <c r="B480" s="1" t="n">
        <v>45321.50745370371</v>
      </c>
      <c r="C480" s="1" t="n">
        <v>46161</v>
      </c>
      <c r="D480" t="inlineStr">
        <is>
          <t>SKÅNE LÄN</t>
        </is>
      </c>
      <c r="E480" t="inlineStr">
        <is>
          <t>HÄSSLEHOLM</t>
        </is>
      </c>
      <c r="G480" t="n">
        <v>3.4</v>
      </c>
      <c r="H480" t="n">
        <v>0</v>
      </c>
      <c r="I480" t="n">
        <v>0</v>
      </c>
      <c r="J480" t="n">
        <v>0</v>
      </c>
      <c r="K480" t="n">
        <v>0</v>
      </c>
      <c r="L480" t="n">
        <v>0</v>
      </c>
      <c r="M480" t="n">
        <v>0</v>
      </c>
      <c r="N480" t="n">
        <v>0</v>
      </c>
      <c r="O480" t="n">
        <v>0</v>
      </c>
      <c r="P480" t="n">
        <v>0</v>
      </c>
      <c r="Q480" t="n">
        <v>0</v>
      </c>
      <c r="R480" s="2" t="inlineStr"/>
    </row>
    <row r="481" ht="15" customHeight="1">
      <c r="A481" t="inlineStr">
        <is>
          <t>A 44614-2025</t>
        </is>
      </c>
      <c r="B481" s="1" t="n">
        <v>45917.45422453704</v>
      </c>
      <c r="C481" s="1" t="n">
        <v>46161</v>
      </c>
      <c r="D481" t="inlineStr">
        <is>
          <t>SKÅNE LÄN</t>
        </is>
      </c>
      <c r="E481" t="inlineStr">
        <is>
          <t>HÄSSLEHOLM</t>
        </is>
      </c>
      <c r="G481" t="n">
        <v>5.4</v>
      </c>
      <c r="H481" t="n">
        <v>0</v>
      </c>
      <c r="I481" t="n">
        <v>0</v>
      </c>
      <c r="J481" t="n">
        <v>0</v>
      </c>
      <c r="K481" t="n">
        <v>0</v>
      </c>
      <c r="L481" t="n">
        <v>0</v>
      </c>
      <c r="M481" t="n">
        <v>0</v>
      </c>
      <c r="N481" t="n">
        <v>0</v>
      </c>
      <c r="O481" t="n">
        <v>0</v>
      </c>
      <c r="P481" t="n">
        <v>0</v>
      </c>
      <c r="Q481" t="n">
        <v>0</v>
      </c>
      <c r="R481" s="2" t="inlineStr"/>
    </row>
    <row r="482" ht="15" customHeight="1">
      <c r="A482" t="inlineStr">
        <is>
          <t>A 29170-2025</t>
        </is>
      </c>
      <c r="B482" s="1" t="n">
        <v>45821.69766203704</v>
      </c>
      <c r="C482" s="1" t="n">
        <v>46161</v>
      </c>
      <c r="D482" t="inlineStr">
        <is>
          <t>SKÅNE LÄN</t>
        </is>
      </c>
      <c r="E482" t="inlineStr">
        <is>
          <t>HÄSSLEHOLM</t>
        </is>
      </c>
      <c r="G482" t="n">
        <v>3.1</v>
      </c>
      <c r="H482" t="n">
        <v>0</v>
      </c>
      <c r="I482" t="n">
        <v>0</v>
      </c>
      <c r="J482" t="n">
        <v>0</v>
      </c>
      <c r="K482" t="n">
        <v>0</v>
      </c>
      <c r="L482" t="n">
        <v>0</v>
      </c>
      <c r="M482" t="n">
        <v>0</v>
      </c>
      <c r="N482" t="n">
        <v>0</v>
      </c>
      <c r="O482" t="n">
        <v>0</v>
      </c>
      <c r="P482" t="n">
        <v>0</v>
      </c>
      <c r="Q482" t="n">
        <v>0</v>
      </c>
      <c r="R482" s="2" t="inlineStr"/>
    </row>
    <row r="483" ht="15" customHeight="1">
      <c r="A483" t="inlineStr">
        <is>
          <t>A 57649-2022</t>
        </is>
      </c>
      <c r="B483" s="1" t="n">
        <v>44897.42755787037</v>
      </c>
      <c r="C483" s="1" t="n">
        <v>46161</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45176-2025</t>
        </is>
      </c>
      <c r="B484" s="1" t="n">
        <v>45919.52307870371</v>
      </c>
      <c r="C484" s="1" t="n">
        <v>46161</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57665-2022</t>
        </is>
      </c>
      <c r="B485" s="1" t="n">
        <v>44897.4494212963</v>
      </c>
      <c r="C485" s="1" t="n">
        <v>46161</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57676-2022</t>
        </is>
      </c>
      <c r="B486" s="1" t="n">
        <v>44897</v>
      </c>
      <c r="C486" s="1" t="n">
        <v>46161</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14145-2023</t>
        </is>
      </c>
      <c r="B487" s="1" t="n">
        <v>45009</v>
      </c>
      <c r="C487" s="1" t="n">
        <v>46161</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8244-2023</t>
        </is>
      </c>
      <c r="B488" s="1" t="n">
        <v>44974</v>
      </c>
      <c r="C488" s="1" t="n">
        <v>46161</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8246-2023</t>
        </is>
      </c>
      <c r="B489" s="1" t="n">
        <v>44974</v>
      </c>
      <c r="C489" s="1" t="n">
        <v>46161</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12584-2025</t>
        </is>
      </c>
      <c r="B490" s="1" t="n">
        <v>45732</v>
      </c>
      <c r="C490" s="1" t="n">
        <v>46161</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45221-2025</t>
        </is>
      </c>
      <c r="B491" s="1" t="n">
        <v>45919.57760416667</v>
      </c>
      <c r="C491" s="1" t="n">
        <v>46161</v>
      </c>
      <c r="D491" t="inlineStr">
        <is>
          <t>SKÅNE LÄN</t>
        </is>
      </c>
      <c r="E491" t="inlineStr">
        <is>
          <t>HÄSSLEHOLM</t>
        </is>
      </c>
      <c r="G491" t="n">
        <v>1.7</v>
      </c>
      <c r="H491" t="n">
        <v>0</v>
      </c>
      <c r="I491" t="n">
        <v>0</v>
      </c>
      <c r="J491" t="n">
        <v>0</v>
      </c>
      <c r="K491" t="n">
        <v>0</v>
      </c>
      <c r="L491" t="n">
        <v>0</v>
      </c>
      <c r="M491" t="n">
        <v>0</v>
      </c>
      <c r="N491" t="n">
        <v>0</v>
      </c>
      <c r="O491" t="n">
        <v>0</v>
      </c>
      <c r="P491" t="n">
        <v>0</v>
      </c>
      <c r="Q491" t="n">
        <v>0</v>
      </c>
      <c r="R491" s="2" t="inlineStr"/>
    </row>
    <row r="492" ht="15" customHeight="1">
      <c r="A492" t="inlineStr">
        <is>
          <t>A 25606-2024</t>
        </is>
      </c>
      <c r="B492" s="1" t="n">
        <v>45463.63179398148</v>
      </c>
      <c r="C492" s="1" t="n">
        <v>46161</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45273-2025</t>
        </is>
      </c>
      <c r="B493" s="1" t="n">
        <v>45919.70486111111</v>
      </c>
      <c r="C493" s="1" t="n">
        <v>46161</v>
      </c>
      <c r="D493" t="inlineStr">
        <is>
          <t>SKÅNE LÄN</t>
        </is>
      </c>
      <c r="E493" t="inlineStr">
        <is>
          <t>HÄSSLEHOLM</t>
        </is>
      </c>
      <c r="G493" t="n">
        <v>4.4</v>
      </c>
      <c r="H493" t="n">
        <v>0</v>
      </c>
      <c r="I493" t="n">
        <v>0</v>
      </c>
      <c r="J493" t="n">
        <v>0</v>
      </c>
      <c r="K493" t="n">
        <v>0</v>
      </c>
      <c r="L493" t="n">
        <v>0</v>
      </c>
      <c r="M493" t="n">
        <v>0</v>
      </c>
      <c r="N493" t="n">
        <v>0</v>
      </c>
      <c r="O493" t="n">
        <v>0</v>
      </c>
      <c r="P493" t="n">
        <v>0</v>
      </c>
      <c r="Q493" t="n">
        <v>0</v>
      </c>
      <c r="R493" s="2" t="inlineStr"/>
    </row>
    <row r="494" ht="15" customHeight="1">
      <c r="A494" t="inlineStr">
        <is>
          <t>A 45084-2025</t>
        </is>
      </c>
      <c r="B494" s="1" t="n">
        <v>45918</v>
      </c>
      <c r="C494" s="1" t="n">
        <v>46161</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29171-2025</t>
        </is>
      </c>
      <c r="B495" s="1" t="n">
        <v>45821.69863425926</v>
      </c>
      <c r="C495" s="1" t="n">
        <v>46161</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29168-2025</t>
        </is>
      </c>
      <c r="B496" s="1" t="n">
        <v>45821.69547453704</v>
      </c>
      <c r="C496" s="1" t="n">
        <v>46161</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14939-2023</t>
        </is>
      </c>
      <c r="B497" s="1" t="n">
        <v>45014</v>
      </c>
      <c r="C497" s="1" t="n">
        <v>46161</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13345-2025</t>
        </is>
      </c>
      <c r="B498" s="1" t="n">
        <v>45735.63017361111</v>
      </c>
      <c r="C498" s="1" t="n">
        <v>46161</v>
      </c>
      <c r="D498" t="inlineStr">
        <is>
          <t>SKÅNE LÄN</t>
        </is>
      </c>
      <c r="E498" t="inlineStr">
        <is>
          <t>HÄSSLEHOLM</t>
        </is>
      </c>
      <c r="G498" t="n">
        <v>1.3</v>
      </c>
      <c r="H498" t="n">
        <v>0</v>
      </c>
      <c r="I498" t="n">
        <v>0</v>
      </c>
      <c r="J498" t="n">
        <v>0</v>
      </c>
      <c r="K498" t="n">
        <v>0</v>
      </c>
      <c r="L498" t="n">
        <v>0</v>
      </c>
      <c r="M498" t="n">
        <v>0</v>
      </c>
      <c r="N498" t="n">
        <v>0</v>
      </c>
      <c r="O498" t="n">
        <v>0</v>
      </c>
      <c r="P498" t="n">
        <v>0</v>
      </c>
      <c r="Q498" t="n">
        <v>0</v>
      </c>
      <c r="R498" s="2" t="inlineStr"/>
    </row>
    <row r="499" ht="15" customHeight="1">
      <c r="A499" t="inlineStr">
        <is>
          <t>A 4945-2022</t>
        </is>
      </c>
      <c r="B499" s="1" t="n">
        <v>44593</v>
      </c>
      <c r="C499" s="1" t="n">
        <v>46161</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45496-2025</t>
        </is>
      </c>
      <c r="B500" s="1" t="n">
        <v>45922</v>
      </c>
      <c r="C500" s="1" t="n">
        <v>46161</v>
      </c>
      <c r="D500" t="inlineStr">
        <is>
          <t>SKÅNE LÄN</t>
        </is>
      </c>
      <c r="E500" t="inlineStr">
        <is>
          <t>HÄSSLEHOLM</t>
        </is>
      </c>
      <c r="G500" t="n">
        <v>1.3</v>
      </c>
      <c r="H500" t="n">
        <v>0</v>
      </c>
      <c r="I500" t="n">
        <v>0</v>
      </c>
      <c r="J500" t="n">
        <v>0</v>
      </c>
      <c r="K500" t="n">
        <v>0</v>
      </c>
      <c r="L500" t="n">
        <v>0</v>
      </c>
      <c r="M500" t="n">
        <v>0</v>
      </c>
      <c r="N500" t="n">
        <v>0</v>
      </c>
      <c r="O500" t="n">
        <v>0</v>
      </c>
      <c r="P500" t="n">
        <v>0</v>
      </c>
      <c r="Q500" t="n">
        <v>0</v>
      </c>
      <c r="R500" s="2" t="inlineStr"/>
    </row>
    <row r="501" ht="15" customHeight="1">
      <c r="A501" t="inlineStr">
        <is>
          <t>A 45495-2025</t>
        </is>
      </c>
      <c r="B501" s="1" t="n">
        <v>45922.56369212963</v>
      </c>
      <c r="C501" s="1" t="n">
        <v>46161</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45314-2025</t>
        </is>
      </c>
      <c r="B502" s="1" t="n">
        <v>45921.81738425926</v>
      </c>
      <c r="C502" s="1" t="n">
        <v>46161</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45763-2025</t>
        </is>
      </c>
      <c r="B503" s="1" t="n">
        <v>45923.51778935185</v>
      </c>
      <c r="C503" s="1" t="n">
        <v>46161</v>
      </c>
      <c r="D503" t="inlineStr">
        <is>
          <t>SKÅNE LÄN</t>
        </is>
      </c>
      <c r="E503" t="inlineStr">
        <is>
          <t>HÄSSLEHOLM</t>
        </is>
      </c>
      <c r="G503" t="n">
        <v>4.8</v>
      </c>
      <c r="H503" t="n">
        <v>0</v>
      </c>
      <c r="I503" t="n">
        <v>0</v>
      </c>
      <c r="J503" t="n">
        <v>0</v>
      </c>
      <c r="K503" t="n">
        <v>0</v>
      </c>
      <c r="L503" t="n">
        <v>0</v>
      </c>
      <c r="M503" t="n">
        <v>0</v>
      </c>
      <c r="N503" t="n">
        <v>0</v>
      </c>
      <c r="O503" t="n">
        <v>0</v>
      </c>
      <c r="P503" t="n">
        <v>0</v>
      </c>
      <c r="Q503" t="n">
        <v>0</v>
      </c>
      <c r="R503" s="2" t="inlineStr"/>
    </row>
    <row r="504" ht="15" customHeight="1">
      <c r="A504" t="inlineStr">
        <is>
          <t>A 45764-2025</t>
        </is>
      </c>
      <c r="B504" s="1" t="n">
        <v>45923.52037037037</v>
      </c>
      <c r="C504" s="1" t="n">
        <v>46161</v>
      </c>
      <c r="D504" t="inlineStr">
        <is>
          <t>SKÅNE LÄN</t>
        </is>
      </c>
      <c r="E504" t="inlineStr">
        <is>
          <t>HÄSSLEHOLM</t>
        </is>
      </c>
      <c r="G504" t="n">
        <v>6.3</v>
      </c>
      <c r="H504" t="n">
        <v>0</v>
      </c>
      <c r="I504" t="n">
        <v>0</v>
      </c>
      <c r="J504" t="n">
        <v>0</v>
      </c>
      <c r="K504" t="n">
        <v>0</v>
      </c>
      <c r="L504" t="n">
        <v>0</v>
      </c>
      <c r="M504" t="n">
        <v>0</v>
      </c>
      <c r="N504" t="n">
        <v>0</v>
      </c>
      <c r="O504" t="n">
        <v>0</v>
      </c>
      <c r="P504" t="n">
        <v>0</v>
      </c>
      <c r="Q504" t="n">
        <v>0</v>
      </c>
      <c r="R504" s="2" t="inlineStr"/>
    </row>
    <row r="505" ht="15" customHeight="1">
      <c r="A505" t="inlineStr">
        <is>
          <t>A 45443-2025</t>
        </is>
      </c>
      <c r="B505" s="1" t="n">
        <v>45920</v>
      </c>
      <c r="C505" s="1" t="n">
        <v>46161</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12558-2023</t>
        </is>
      </c>
      <c r="B506" s="1" t="n">
        <v>45000.36103009259</v>
      </c>
      <c r="C506" s="1" t="n">
        <v>46161</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45458-2025</t>
        </is>
      </c>
      <c r="B507" s="1" t="n">
        <v>45920</v>
      </c>
      <c r="C507" s="1" t="n">
        <v>46161</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45465-2025</t>
        </is>
      </c>
      <c r="B508" s="1" t="n">
        <v>45920</v>
      </c>
      <c r="C508" s="1" t="n">
        <v>46161</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45414-2025</t>
        </is>
      </c>
      <c r="B509" s="1" t="n">
        <v>45920</v>
      </c>
      <c r="C509" s="1" t="n">
        <v>46161</v>
      </c>
      <c r="D509" t="inlineStr">
        <is>
          <t>SKÅNE LÄN</t>
        </is>
      </c>
      <c r="E509" t="inlineStr">
        <is>
          <t>HÄSSLEHOLM</t>
        </is>
      </c>
      <c r="G509" t="n">
        <v>14.7</v>
      </c>
      <c r="H509" t="n">
        <v>0</v>
      </c>
      <c r="I509" t="n">
        <v>0</v>
      </c>
      <c r="J509" t="n">
        <v>0</v>
      </c>
      <c r="K509" t="n">
        <v>0</v>
      </c>
      <c r="L509" t="n">
        <v>0</v>
      </c>
      <c r="M509" t="n">
        <v>0</v>
      </c>
      <c r="N509" t="n">
        <v>0</v>
      </c>
      <c r="O509" t="n">
        <v>0</v>
      </c>
      <c r="P509" t="n">
        <v>0</v>
      </c>
      <c r="Q509" t="n">
        <v>0</v>
      </c>
      <c r="R509" s="2" t="inlineStr"/>
    </row>
    <row r="510" ht="15" customHeight="1">
      <c r="A510" t="inlineStr">
        <is>
          <t>A 45683-2025</t>
        </is>
      </c>
      <c r="B510" s="1" t="n">
        <v>45923.37590277778</v>
      </c>
      <c r="C510" s="1" t="n">
        <v>46161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45516-2025</t>
        </is>
      </c>
      <c r="B511" s="1" t="n">
        <v>45922</v>
      </c>
      <c r="C511" s="1" t="n">
        <v>46161</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4119-2024</t>
        </is>
      </c>
      <c r="B512" s="1" t="n">
        <v>45323.67920138889</v>
      </c>
      <c r="C512" s="1" t="n">
        <v>46161</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6835-2023</t>
        </is>
      </c>
      <c r="B513" s="1" t="n">
        <v>44967</v>
      </c>
      <c r="C513" s="1" t="n">
        <v>46161</v>
      </c>
      <c r="D513" t="inlineStr">
        <is>
          <t>SKÅNE LÄN</t>
        </is>
      </c>
      <c r="E513" t="inlineStr">
        <is>
          <t>HÄSSLEHOLM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45514-2025</t>
        </is>
      </c>
      <c r="B514" s="1" t="n">
        <v>45922</v>
      </c>
      <c r="C514" s="1" t="n">
        <v>46161</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47757-2024</t>
        </is>
      </c>
      <c r="B515" s="1" t="n">
        <v>45588.55075231481</v>
      </c>
      <c r="C515" s="1" t="n">
        <v>46161</v>
      </c>
      <c r="D515" t="inlineStr">
        <is>
          <t>SKÅNE LÄN</t>
        </is>
      </c>
      <c r="E515" t="inlineStr">
        <is>
          <t>HÄSSLEHOLM</t>
        </is>
      </c>
      <c r="G515" t="n">
        <v>5.5</v>
      </c>
      <c r="H515" t="n">
        <v>0</v>
      </c>
      <c r="I515" t="n">
        <v>0</v>
      </c>
      <c r="J515" t="n">
        <v>0</v>
      </c>
      <c r="K515" t="n">
        <v>0</v>
      </c>
      <c r="L515" t="n">
        <v>0</v>
      </c>
      <c r="M515" t="n">
        <v>0</v>
      </c>
      <c r="N515" t="n">
        <v>0</v>
      </c>
      <c r="O515" t="n">
        <v>0</v>
      </c>
      <c r="P515" t="n">
        <v>0</v>
      </c>
      <c r="Q515" t="n">
        <v>0</v>
      </c>
      <c r="R515" s="2" t="inlineStr"/>
    </row>
    <row r="516" ht="15" customHeight="1">
      <c r="A516" t="inlineStr">
        <is>
          <t>A 11121-2023</t>
        </is>
      </c>
      <c r="B516" s="1" t="n">
        <v>44986</v>
      </c>
      <c r="C516" s="1" t="n">
        <v>46161</v>
      </c>
      <c r="D516" t="inlineStr">
        <is>
          <t>SKÅNE LÄN</t>
        </is>
      </c>
      <c r="E516" t="inlineStr">
        <is>
          <t>HÄSSLEHOLM</t>
        </is>
      </c>
      <c r="F516" t="inlineStr">
        <is>
          <t>Kommuner</t>
        </is>
      </c>
      <c r="G516" t="n">
        <v>5.8</v>
      </c>
      <c r="H516" t="n">
        <v>0</v>
      </c>
      <c r="I516" t="n">
        <v>0</v>
      </c>
      <c r="J516" t="n">
        <v>0</v>
      </c>
      <c r="K516" t="n">
        <v>0</v>
      </c>
      <c r="L516" t="n">
        <v>0</v>
      </c>
      <c r="M516" t="n">
        <v>0</v>
      </c>
      <c r="N516" t="n">
        <v>0</v>
      </c>
      <c r="O516" t="n">
        <v>0</v>
      </c>
      <c r="P516" t="n">
        <v>0</v>
      </c>
      <c r="Q516" t="n">
        <v>0</v>
      </c>
      <c r="R516" s="2" t="inlineStr"/>
    </row>
    <row r="517" ht="15" customHeight="1">
      <c r="A517" t="inlineStr">
        <is>
          <t>A 16550-2025</t>
        </is>
      </c>
      <c r="B517" s="1" t="n">
        <v>45751.69412037037</v>
      </c>
      <c r="C517" s="1" t="n">
        <v>46161</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11116-2023</t>
        </is>
      </c>
      <c r="B518" s="1" t="n">
        <v>44986</v>
      </c>
      <c r="C518" s="1" t="n">
        <v>46161</v>
      </c>
      <c r="D518" t="inlineStr">
        <is>
          <t>SKÅNE LÄN</t>
        </is>
      </c>
      <c r="E518" t="inlineStr">
        <is>
          <t>HÄSSLEHOLM</t>
        </is>
      </c>
      <c r="F518" t="inlineStr">
        <is>
          <t>Kommuner</t>
        </is>
      </c>
      <c r="G518" t="n">
        <v>15.1</v>
      </c>
      <c r="H518" t="n">
        <v>0</v>
      </c>
      <c r="I518" t="n">
        <v>0</v>
      </c>
      <c r="J518" t="n">
        <v>0</v>
      </c>
      <c r="K518" t="n">
        <v>0</v>
      </c>
      <c r="L518" t="n">
        <v>0</v>
      </c>
      <c r="M518" t="n">
        <v>0</v>
      </c>
      <c r="N518" t="n">
        <v>0</v>
      </c>
      <c r="O518" t="n">
        <v>0</v>
      </c>
      <c r="P518" t="n">
        <v>0</v>
      </c>
      <c r="Q518" t="n">
        <v>0</v>
      </c>
      <c r="R518" s="2" t="inlineStr"/>
    </row>
    <row r="519" ht="15" customHeight="1">
      <c r="A519" t="inlineStr">
        <is>
          <t>A 30010-2025</t>
        </is>
      </c>
      <c r="B519" s="1" t="n">
        <v>45826</v>
      </c>
      <c r="C519" s="1" t="n">
        <v>46161</v>
      </c>
      <c r="D519" t="inlineStr">
        <is>
          <t>SKÅNE LÄN</t>
        </is>
      </c>
      <c r="E519" t="inlineStr">
        <is>
          <t>HÄSSLEHOLM</t>
        </is>
      </c>
      <c r="G519" t="n">
        <v>4.5</v>
      </c>
      <c r="H519" t="n">
        <v>0</v>
      </c>
      <c r="I519" t="n">
        <v>0</v>
      </c>
      <c r="J519" t="n">
        <v>0</v>
      </c>
      <c r="K519" t="n">
        <v>0</v>
      </c>
      <c r="L519" t="n">
        <v>0</v>
      </c>
      <c r="M519" t="n">
        <v>0</v>
      </c>
      <c r="N519" t="n">
        <v>0</v>
      </c>
      <c r="O519" t="n">
        <v>0</v>
      </c>
      <c r="P519" t="n">
        <v>0</v>
      </c>
      <c r="Q519" t="n">
        <v>0</v>
      </c>
      <c r="R519" s="2" t="inlineStr"/>
    </row>
    <row r="520" ht="15" customHeight="1">
      <c r="A520" t="inlineStr">
        <is>
          <t>A 45762-2025</t>
        </is>
      </c>
      <c r="B520" s="1" t="n">
        <v>45923.51548611111</v>
      </c>
      <c r="C520" s="1" t="n">
        <v>46161</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26536-2022</t>
        </is>
      </c>
      <c r="B521" s="1" t="n">
        <v>44739.45496527778</v>
      </c>
      <c r="C521" s="1" t="n">
        <v>46161</v>
      </c>
      <c r="D521" t="inlineStr">
        <is>
          <t>SKÅNE LÄN</t>
        </is>
      </c>
      <c r="E521" t="inlineStr">
        <is>
          <t>HÄSSLEHOLM</t>
        </is>
      </c>
      <c r="G521" t="n">
        <v>3.1</v>
      </c>
      <c r="H521" t="n">
        <v>0</v>
      </c>
      <c r="I521" t="n">
        <v>0</v>
      </c>
      <c r="J521" t="n">
        <v>0</v>
      </c>
      <c r="K521" t="n">
        <v>0</v>
      </c>
      <c r="L521" t="n">
        <v>0</v>
      </c>
      <c r="M521" t="n">
        <v>0</v>
      </c>
      <c r="N521" t="n">
        <v>0</v>
      </c>
      <c r="O521" t="n">
        <v>0</v>
      </c>
      <c r="P521" t="n">
        <v>0</v>
      </c>
      <c r="Q521" t="n">
        <v>0</v>
      </c>
      <c r="R521" s="2" t="inlineStr"/>
    </row>
    <row r="522" ht="15" customHeight="1">
      <c r="A522" t="inlineStr">
        <is>
          <t>A 25057-2024</t>
        </is>
      </c>
      <c r="B522" s="1" t="n">
        <v>45462</v>
      </c>
      <c r="C522" s="1" t="n">
        <v>46161</v>
      </c>
      <c r="D522" t="inlineStr">
        <is>
          <t>SKÅNE LÄN</t>
        </is>
      </c>
      <c r="E522" t="inlineStr">
        <is>
          <t>HÄSSLEHOLM</t>
        </is>
      </c>
      <c r="G522" t="n">
        <v>4.3</v>
      </c>
      <c r="H522" t="n">
        <v>0</v>
      </c>
      <c r="I522" t="n">
        <v>0</v>
      </c>
      <c r="J522" t="n">
        <v>0</v>
      </c>
      <c r="K522" t="n">
        <v>0</v>
      </c>
      <c r="L522" t="n">
        <v>0</v>
      </c>
      <c r="M522" t="n">
        <v>0</v>
      </c>
      <c r="N522" t="n">
        <v>0</v>
      </c>
      <c r="O522" t="n">
        <v>0</v>
      </c>
      <c r="P522" t="n">
        <v>0</v>
      </c>
      <c r="Q522" t="n">
        <v>0</v>
      </c>
      <c r="R522" s="2" t="inlineStr"/>
    </row>
    <row r="523" ht="15" customHeight="1">
      <c r="A523" t="inlineStr">
        <is>
          <t>A 7494-2023</t>
        </is>
      </c>
      <c r="B523" s="1" t="n">
        <v>44971.70835648148</v>
      </c>
      <c r="C523" s="1" t="n">
        <v>46161</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9668-2025</t>
        </is>
      </c>
      <c r="B524" s="1" t="n">
        <v>45716</v>
      </c>
      <c r="C524" s="1" t="n">
        <v>46161</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10115-2024</t>
        </is>
      </c>
      <c r="B525" s="1" t="n">
        <v>45364.55339120371</v>
      </c>
      <c r="C525" s="1" t="n">
        <v>46161</v>
      </c>
      <c r="D525" t="inlineStr">
        <is>
          <t>SKÅNE LÄN</t>
        </is>
      </c>
      <c r="E525" t="inlineStr">
        <is>
          <t>HÄSSLEHOLM</t>
        </is>
      </c>
      <c r="G525" t="n">
        <v>7</v>
      </c>
      <c r="H525" t="n">
        <v>0</v>
      </c>
      <c r="I525" t="n">
        <v>0</v>
      </c>
      <c r="J525" t="n">
        <v>0</v>
      </c>
      <c r="K525" t="n">
        <v>0</v>
      </c>
      <c r="L525" t="n">
        <v>0</v>
      </c>
      <c r="M525" t="n">
        <v>0</v>
      </c>
      <c r="N525" t="n">
        <v>0</v>
      </c>
      <c r="O525" t="n">
        <v>0</v>
      </c>
      <c r="P525" t="n">
        <v>0</v>
      </c>
      <c r="Q525" t="n">
        <v>0</v>
      </c>
      <c r="R525" s="2" t="inlineStr"/>
    </row>
    <row r="526" ht="15" customHeight="1">
      <c r="A526" t="inlineStr">
        <is>
          <t>A 9678-2025</t>
        </is>
      </c>
      <c r="B526" s="1" t="n">
        <v>45716</v>
      </c>
      <c r="C526" s="1" t="n">
        <v>46161</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21328-2023</t>
        </is>
      </c>
      <c r="B527" s="1" t="n">
        <v>45062</v>
      </c>
      <c r="C527" s="1" t="n">
        <v>46161</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31159-2025</t>
        </is>
      </c>
      <c r="B528" s="1" t="n">
        <v>45832.65322916667</v>
      </c>
      <c r="C528" s="1" t="n">
        <v>46161</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12570-2023</t>
        </is>
      </c>
      <c r="B529" s="1" t="n">
        <v>44999</v>
      </c>
      <c r="C529" s="1" t="n">
        <v>46161</v>
      </c>
      <c r="D529" t="inlineStr">
        <is>
          <t>SKÅNE LÄN</t>
        </is>
      </c>
      <c r="E529" t="inlineStr">
        <is>
          <t>HÄSSLEHOLM</t>
        </is>
      </c>
      <c r="G529" t="n">
        <v>3.4</v>
      </c>
      <c r="H529" t="n">
        <v>0</v>
      </c>
      <c r="I529" t="n">
        <v>0</v>
      </c>
      <c r="J529" t="n">
        <v>0</v>
      </c>
      <c r="K529" t="n">
        <v>0</v>
      </c>
      <c r="L529" t="n">
        <v>0</v>
      </c>
      <c r="M529" t="n">
        <v>0</v>
      </c>
      <c r="N529" t="n">
        <v>0</v>
      </c>
      <c r="O529" t="n">
        <v>0</v>
      </c>
      <c r="P529" t="n">
        <v>0</v>
      </c>
      <c r="Q529" t="n">
        <v>0</v>
      </c>
      <c r="R529" s="2" t="inlineStr"/>
    </row>
    <row r="530" ht="15" customHeight="1">
      <c r="A530" t="inlineStr">
        <is>
          <t>A 25219-2023</t>
        </is>
      </c>
      <c r="B530" s="1" t="n">
        <v>45086.60541666667</v>
      </c>
      <c r="C530" s="1" t="n">
        <v>46161</v>
      </c>
      <c r="D530" t="inlineStr">
        <is>
          <t>SKÅNE LÄN</t>
        </is>
      </c>
      <c r="E530" t="inlineStr">
        <is>
          <t>HÄSSLEHOLM</t>
        </is>
      </c>
      <c r="G530" t="n">
        <v>6.9</v>
      </c>
      <c r="H530" t="n">
        <v>0</v>
      </c>
      <c r="I530" t="n">
        <v>0</v>
      </c>
      <c r="J530" t="n">
        <v>0</v>
      </c>
      <c r="K530" t="n">
        <v>0</v>
      </c>
      <c r="L530" t="n">
        <v>0</v>
      </c>
      <c r="M530" t="n">
        <v>0</v>
      </c>
      <c r="N530" t="n">
        <v>0</v>
      </c>
      <c r="O530" t="n">
        <v>0</v>
      </c>
      <c r="P530" t="n">
        <v>0</v>
      </c>
      <c r="Q530" t="n">
        <v>0</v>
      </c>
      <c r="R530" s="2" t="inlineStr"/>
    </row>
    <row r="531" ht="15" customHeight="1">
      <c r="A531" t="inlineStr">
        <is>
          <t>A 7306-2025</t>
        </is>
      </c>
      <c r="B531" s="1" t="n">
        <v>45702</v>
      </c>
      <c r="C531" s="1" t="n">
        <v>46161</v>
      </c>
      <c r="D531" t="inlineStr">
        <is>
          <t>SKÅNE LÄN</t>
        </is>
      </c>
      <c r="E531" t="inlineStr">
        <is>
          <t>HÄSSLEHOLM</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7308-2025</t>
        </is>
      </c>
      <c r="B532" s="1" t="n">
        <v>45702</v>
      </c>
      <c r="C532" s="1" t="n">
        <v>46161</v>
      </c>
      <c r="D532" t="inlineStr">
        <is>
          <t>SKÅNE LÄN</t>
        </is>
      </c>
      <c r="E532" t="inlineStr">
        <is>
          <t>HÄSSLEHOLM</t>
        </is>
      </c>
      <c r="F532" t="inlineStr">
        <is>
          <t>Övriga Aktiebolag</t>
        </is>
      </c>
      <c r="G532" t="n">
        <v>4.8</v>
      </c>
      <c r="H532" t="n">
        <v>0</v>
      </c>
      <c r="I532" t="n">
        <v>0</v>
      </c>
      <c r="J532" t="n">
        <v>0</v>
      </c>
      <c r="K532" t="n">
        <v>0</v>
      </c>
      <c r="L532" t="n">
        <v>0</v>
      </c>
      <c r="M532" t="n">
        <v>0</v>
      </c>
      <c r="N532" t="n">
        <v>0</v>
      </c>
      <c r="O532" t="n">
        <v>0</v>
      </c>
      <c r="P532" t="n">
        <v>0</v>
      </c>
      <c r="Q532" t="n">
        <v>0</v>
      </c>
      <c r="R532" s="2" t="inlineStr"/>
    </row>
    <row r="533" ht="15" customHeight="1">
      <c r="A533" t="inlineStr">
        <is>
          <t>A 58250-2024</t>
        </is>
      </c>
      <c r="B533" s="1" t="n">
        <v>45632.55643518519</v>
      </c>
      <c r="C533" s="1" t="n">
        <v>46161</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46786-2025</t>
        </is>
      </c>
      <c r="B534" s="1" t="n">
        <v>45926.64484953704</v>
      </c>
      <c r="C534" s="1" t="n">
        <v>46161</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54671-2022</t>
        </is>
      </c>
      <c r="B535" s="1" t="n">
        <v>44883</v>
      </c>
      <c r="C535" s="1" t="n">
        <v>46161</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40739-2024</t>
        </is>
      </c>
      <c r="B536" s="1" t="n">
        <v>45558</v>
      </c>
      <c r="C536" s="1" t="n">
        <v>46161</v>
      </c>
      <c r="D536" t="inlineStr">
        <is>
          <t>SKÅNE LÄN</t>
        </is>
      </c>
      <c r="E536" t="inlineStr">
        <is>
          <t>HÄSSLEHOLM</t>
        </is>
      </c>
      <c r="G536" t="n">
        <v>1.6</v>
      </c>
      <c r="H536" t="n">
        <v>0</v>
      </c>
      <c r="I536" t="n">
        <v>0</v>
      </c>
      <c r="J536" t="n">
        <v>0</v>
      </c>
      <c r="K536" t="n">
        <v>0</v>
      </c>
      <c r="L536" t="n">
        <v>0</v>
      </c>
      <c r="M536" t="n">
        <v>0</v>
      </c>
      <c r="N536" t="n">
        <v>0</v>
      </c>
      <c r="O536" t="n">
        <v>0</v>
      </c>
      <c r="P536" t="n">
        <v>0</v>
      </c>
      <c r="Q536" t="n">
        <v>0</v>
      </c>
      <c r="R536" s="2" t="inlineStr"/>
    </row>
    <row r="537" ht="15" customHeight="1">
      <c r="A537" t="inlineStr">
        <is>
          <t>A 53020-2025</t>
        </is>
      </c>
      <c r="B537" s="1" t="n">
        <v>45957.90707175926</v>
      </c>
      <c r="C537" s="1" t="n">
        <v>46161</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53424-2025</t>
        </is>
      </c>
      <c r="B538" s="1" t="n">
        <v>45959</v>
      </c>
      <c r="C538" s="1" t="n">
        <v>46161</v>
      </c>
      <c r="D538" t="inlineStr">
        <is>
          <t>SKÅNE LÄN</t>
        </is>
      </c>
      <c r="E538" t="inlineStr">
        <is>
          <t>HÄSSLEHOLM</t>
        </is>
      </c>
      <c r="G538" t="n">
        <v>3.4</v>
      </c>
      <c r="H538" t="n">
        <v>0</v>
      </c>
      <c r="I538" t="n">
        <v>0</v>
      </c>
      <c r="J538" t="n">
        <v>0</v>
      </c>
      <c r="K538" t="n">
        <v>0</v>
      </c>
      <c r="L538" t="n">
        <v>0</v>
      </c>
      <c r="M538" t="n">
        <v>0</v>
      </c>
      <c r="N538" t="n">
        <v>0</v>
      </c>
      <c r="O538" t="n">
        <v>0</v>
      </c>
      <c r="P538" t="n">
        <v>0</v>
      </c>
      <c r="Q538" t="n">
        <v>0</v>
      </c>
      <c r="R538" s="2" t="inlineStr"/>
    </row>
    <row r="539" ht="15" customHeight="1">
      <c r="A539" t="inlineStr">
        <is>
          <t>A 53018-2025</t>
        </is>
      </c>
      <c r="B539" s="1" t="n">
        <v>45957.90064814815</v>
      </c>
      <c r="C539" s="1" t="n">
        <v>46161</v>
      </c>
      <c r="D539" t="inlineStr">
        <is>
          <t>SKÅNE LÄN</t>
        </is>
      </c>
      <c r="E539" t="inlineStr">
        <is>
          <t>HÄSSLEHOLM</t>
        </is>
      </c>
      <c r="G539" t="n">
        <v>2.2</v>
      </c>
      <c r="H539" t="n">
        <v>0</v>
      </c>
      <c r="I539" t="n">
        <v>0</v>
      </c>
      <c r="J539" t="n">
        <v>0</v>
      </c>
      <c r="K539" t="n">
        <v>0</v>
      </c>
      <c r="L539" t="n">
        <v>0</v>
      </c>
      <c r="M539" t="n">
        <v>0</v>
      </c>
      <c r="N539" t="n">
        <v>0</v>
      </c>
      <c r="O539" t="n">
        <v>0</v>
      </c>
      <c r="P539" t="n">
        <v>0</v>
      </c>
      <c r="Q539" t="n">
        <v>0</v>
      </c>
      <c r="R539" s="2" t="inlineStr"/>
    </row>
    <row r="540" ht="15" customHeight="1">
      <c r="A540" t="inlineStr">
        <is>
          <t>A 53056-2025</t>
        </is>
      </c>
      <c r="B540" s="1" t="n">
        <v>45958.36518518518</v>
      </c>
      <c r="C540" s="1" t="n">
        <v>46161</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47126-2025</t>
        </is>
      </c>
      <c r="B541" s="1" t="n">
        <v>45929.685625</v>
      </c>
      <c r="C541" s="1" t="n">
        <v>46161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47127-2025</t>
        </is>
      </c>
      <c r="B542" s="1" t="n">
        <v>45929.6893287037</v>
      </c>
      <c r="C542" s="1" t="n">
        <v>46161</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13932-2023</t>
        </is>
      </c>
      <c r="B543" s="1" t="n">
        <v>45008.43935185186</v>
      </c>
      <c r="C543" s="1" t="n">
        <v>46161</v>
      </c>
      <c r="D543" t="inlineStr">
        <is>
          <t>SKÅNE LÄN</t>
        </is>
      </c>
      <c r="E543" t="inlineStr">
        <is>
          <t>HÄSSLEHOLM</t>
        </is>
      </c>
      <c r="G543" t="n">
        <v>3.3</v>
      </c>
      <c r="H543" t="n">
        <v>0</v>
      </c>
      <c r="I543" t="n">
        <v>0</v>
      </c>
      <c r="J543" t="n">
        <v>0</v>
      </c>
      <c r="K543" t="n">
        <v>0</v>
      </c>
      <c r="L543" t="n">
        <v>0</v>
      </c>
      <c r="M543" t="n">
        <v>0</v>
      </c>
      <c r="N543" t="n">
        <v>0</v>
      </c>
      <c r="O543" t="n">
        <v>0</v>
      </c>
      <c r="P543" t="n">
        <v>0</v>
      </c>
      <c r="Q543" t="n">
        <v>0</v>
      </c>
      <c r="R543" s="2" t="inlineStr"/>
    </row>
    <row r="544" ht="15" customHeight="1">
      <c r="A544" t="inlineStr">
        <is>
          <t>A 35889-2023</t>
        </is>
      </c>
      <c r="B544" s="1" t="n">
        <v>45148</v>
      </c>
      <c r="C544" s="1" t="n">
        <v>46161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35894-2023</t>
        </is>
      </c>
      <c r="B545" s="1" t="n">
        <v>45148</v>
      </c>
      <c r="C545" s="1" t="n">
        <v>46161</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45299-2024</t>
        </is>
      </c>
      <c r="B546" s="1" t="n">
        <v>45576.40599537037</v>
      </c>
      <c r="C546" s="1" t="n">
        <v>46161</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25176-2024</t>
        </is>
      </c>
      <c r="B547" s="1" t="n">
        <v>45462.54582175926</v>
      </c>
      <c r="C547" s="1" t="n">
        <v>46161</v>
      </c>
      <c r="D547" t="inlineStr">
        <is>
          <t>SKÅNE LÄN</t>
        </is>
      </c>
      <c r="E547" t="inlineStr">
        <is>
          <t>HÄSSLEHOLM</t>
        </is>
      </c>
      <c r="G547" t="n">
        <v>3.8</v>
      </c>
      <c r="H547" t="n">
        <v>0</v>
      </c>
      <c r="I547" t="n">
        <v>0</v>
      </c>
      <c r="J547" t="n">
        <v>0</v>
      </c>
      <c r="K547" t="n">
        <v>0</v>
      </c>
      <c r="L547" t="n">
        <v>0</v>
      </c>
      <c r="M547" t="n">
        <v>0</v>
      </c>
      <c r="N547" t="n">
        <v>0</v>
      </c>
      <c r="O547" t="n">
        <v>0</v>
      </c>
      <c r="P547" t="n">
        <v>0</v>
      </c>
      <c r="Q547" t="n">
        <v>0</v>
      </c>
      <c r="R547" s="2" t="inlineStr"/>
    </row>
    <row r="548" ht="15" customHeight="1">
      <c r="A548" t="inlineStr">
        <is>
          <t>A 44741-2023</t>
        </is>
      </c>
      <c r="B548" s="1" t="n">
        <v>45190.38804398148</v>
      </c>
      <c r="C548" s="1" t="n">
        <v>46161</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7476-2025</t>
        </is>
      </c>
      <c r="B549" s="1" t="n">
        <v>45702</v>
      </c>
      <c r="C549" s="1" t="n">
        <v>46161</v>
      </c>
      <c r="D549" t="inlineStr">
        <is>
          <t>SKÅNE LÄN</t>
        </is>
      </c>
      <c r="E549" t="inlineStr">
        <is>
          <t>HÄSSLEHOLM</t>
        </is>
      </c>
      <c r="F549" t="inlineStr">
        <is>
          <t>Övriga Aktiebolag</t>
        </is>
      </c>
      <c r="G549" t="n">
        <v>2.1</v>
      </c>
      <c r="H549" t="n">
        <v>0</v>
      </c>
      <c r="I549" t="n">
        <v>0</v>
      </c>
      <c r="J549" t="n">
        <v>0</v>
      </c>
      <c r="K549" t="n">
        <v>0</v>
      </c>
      <c r="L549" t="n">
        <v>0</v>
      </c>
      <c r="M549" t="n">
        <v>0</v>
      </c>
      <c r="N549" t="n">
        <v>0</v>
      </c>
      <c r="O549" t="n">
        <v>0</v>
      </c>
      <c r="P549" t="n">
        <v>0</v>
      </c>
      <c r="Q549" t="n">
        <v>0</v>
      </c>
      <c r="R549" s="2" t="inlineStr"/>
    </row>
    <row r="550" ht="15" customHeight="1">
      <c r="A550" t="inlineStr">
        <is>
          <t>A 7513-2025</t>
        </is>
      </c>
      <c r="B550" s="1" t="n">
        <v>45702</v>
      </c>
      <c r="C550" s="1" t="n">
        <v>46161</v>
      </c>
      <c r="D550" t="inlineStr">
        <is>
          <t>SKÅNE LÄN</t>
        </is>
      </c>
      <c r="E550" t="inlineStr">
        <is>
          <t>HÄSSLEHOLM</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31161-2024</t>
        </is>
      </c>
      <c r="B551" s="1" t="n">
        <v>45503</v>
      </c>
      <c r="C551" s="1" t="n">
        <v>46161</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46761-2025</t>
        </is>
      </c>
      <c r="B552" s="1" t="n">
        <v>45926.62289351852</v>
      </c>
      <c r="C552" s="1" t="n">
        <v>46161</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46855-2025</t>
        </is>
      </c>
      <c r="B553" s="1" t="n">
        <v>45928.88497685185</v>
      </c>
      <c r="C553" s="1" t="n">
        <v>46161</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22157-2024</t>
        </is>
      </c>
      <c r="B554" s="1" t="n">
        <v>45445.85290509259</v>
      </c>
      <c r="C554" s="1" t="n">
        <v>46161</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46605-2025</t>
        </is>
      </c>
      <c r="B555" s="1" t="n">
        <v>45926.41214120371</v>
      </c>
      <c r="C555" s="1" t="n">
        <v>46161</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13316-2023</t>
        </is>
      </c>
      <c r="B556" s="1" t="n">
        <v>45005.39013888889</v>
      </c>
      <c r="C556" s="1" t="n">
        <v>46161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13358-2023</t>
        </is>
      </c>
      <c r="B557" s="1" t="n">
        <v>45005</v>
      </c>
      <c r="C557" s="1" t="n">
        <v>46161</v>
      </c>
      <c r="D557" t="inlineStr">
        <is>
          <t>SKÅNE LÄN</t>
        </is>
      </c>
      <c r="E557" t="inlineStr">
        <is>
          <t>HÄSSLEHOLM</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3245-2022</t>
        </is>
      </c>
      <c r="B558" s="1" t="n">
        <v>44583.39136574074</v>
      </c>
      <c r="C558" s="1" t="n">
        <v>46161</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38228-2021</t>
        </is>
      </c>
      <c r="B559" s="1" t="n">
        <v>44405</v>
      </c>
      <c r="C559" s="1" t="n">
        <v>46161</v>
      </c>
      <c r="D559" t="inlineStr">
        <is>
          <t>SKÅNE LÄN</t>
        </is>
      </c>
      <c r="E559" t="inlineStr">
        <is>
          <t>HÄSSLEHOLM</t>
        </is>
      </c>
      <c r="G559" t="n">
        <v>2.8</v>
      </c>
      <c r="H559" t="n">
        <v>0</v>
      </c>
      <c r="I559" t="n">
        <v>0</v>
      </c>
      <c r="J559" t="n">
        <v>0</v>
      </c>
      <c r="K559" t="n">
        <v>0</v>
      </c>
      <c r="L559" t="n">
        <v>0</v>
      </c>
      <c r="M559" t="n">
        <v>0</v>
      </c>
      <c r="N559" t="n">
        <v>0</v>
      </c>
      <c r="O559" t="n">
        <v>0</v>
      </c>
      <c r="P559" t="n">
        <v>0</v>
      </c>
      <c r="Q559" t="n">
        <v>0</v>
      </c>
      <c r="R559" s="2" t="inlineStr"/>
    </row>
    <row r="560" ht="15" customHeight="1">
      <c r="A560" t="inlineStr">
        <is>
          <t>A 3248-2022</t>
        </is>
      </c>
      <c r="B560" s="1" t="n">
        <v>44583</v>
      </c>
      <c r="C560" s="1" t="n">
        <v>46161</v>
      </c>
      <c r="D560" t="inlineStr">
        <is>
          <t>SKÅNE LÄN</t>
        </is>
      </c>
      <c r="E560" t="inlineStr">
        <is>
          <t>HÄSSLEHOLM</t>
        </is>
      </c>
      <c r="G560" t="n">
        <v>3</v>
      </c>
      <c r="H560" t="n">
        <v>0</v>
      </c>
      <c r="I560" t="n">
        <v>0</v>
      </c>
      <c r="J560" t="n">
        <v>0</v>
      </c>
      <c r="K560" t="n">
        <v>0</v>
      </c>
      <c r="L560" t="n">
        <v>0</v>
      </c>
      <c r="M560" t="n">
        <v>0</v>
      </c>
      <c r="N560" t="n">
        <v>0</v>
      </c>
      <c r="O560" t="n">
        <v>0</v>
      </c>
      <c r="P560" t="n">
        <v>0</v>
      </c>
      <c r="Q560" t="n">
        <v>0</v>
      </c>
      <c r="R560" s="2" t="inlineStr"/>
    </row>
    <row r="561" ht="15" customHeight="1">
      <c r="A561" t="inlineStr">
        <is>
          <t>A 25726-2025</t>
        </is>
      </c>
      <c r="B561" s="1" t="n">
        <v>45803</v>
      </c>
      <c r="C561" s="1" t="n">
        <v>46161</v>
      </c>
      <c r="D561" t="inlineStr">
        <is>
          <t>SKÅNE LÄN</t>
        </is>
      </c>
      <c r="E561" t="inlineStr">
        <is>
          <t>HÄSSLEHOLM</t>
        </is>
      </c>
      <c r="G561" t="n">
        <v>5.5</v>
      </c>
      <c r="H561" t="n">
        <v>0</v>
      </c>
      <c r="I561" t="n">
        <v>0</v>
      </c>
      <c r="J561" t="n">
        <v>0</v>
      </c>
      <c r="K561" t="n">
        <v>0</v>
      </c>
      <c r="L561" t="n">
        <v>0</v>
      </c>
      <c r="M561" t="n">
        <v>0</v>
      </c>
      <c r="N561" t="n">
        <v>0</v>
      </c>
      <c r="O561" t="n">
        <v>0</v>
      </c>
      <c r="P561" t="n">
        <v>0</v>
      </c>
      <c r="Q561" t="n">
        <v>0</v>
      </c>
      <c r="R561" s="2" t="inlineStr"/>
    </row>
    <row r="562" ht="15" customHeight="1">
      <c r="A562" t="inlineStr">
        <is>
          <t>A 29649-2025</t>
        </is>
      </c>
      <c r="B562" s="1" t="n">
        <v>45825.47446759259</v>
      </c>
      <c r="C562" s="1" t="n">
        <v>46161</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25538-2024</t>
        </is>
      </c>
      <c r="B563" s="1" t="n">
        <v>45463</v>
      </c>
      <c r="C563" s="1" t="n">
        <v>46161</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36733-2023</t>
        </is>
      </c>
      <c r="B564" s="1" t="n">
        <v>45153.69989583334</v>
      </c>
      <c r="C564" s="1" t="n">
        <v>46161</v>
      </c>
      <c r="D564" t="inlineStr">
        <is>
          <t>SKÅNE LÄN</t>
        </is>
      </c>
      <c r="E564" t="inlineStr">
        <is>
          <t>HÄSSLEHOLM</t>
        </is>
      </c>
      <c r="G564" t="n">
        <v>4.8</v>
      </c>
      <c r="H564" t="n">
        <v>0</v>
      </c>
      <c r="I564" t="n">
        <v>0</v>
      </c>
      <c r="J564" t="n">
        <v>0</v>
      </c>
      <c r="K564" t="n">
        <v>0</v>
      </c>
      <c r="L564" t="n">
        <v>0</v>
      </c>
      <c r="M564" t="n">
        <v>0</v>
      </c>
      <c r="N564" t="n">
        <v>0</v>
      </c>
      <c r="O564" t="n">
        <v>0</v>
      </c>
      <c r="P564" t="n">
        <v>0</v>
      </c>
      <c r="Q564" t="n">
        <v>0</v>
      </c>
      <c r="R564" s="2" t="inlineStr"/>
    </row>
    <row r="565" ht="15" customHeight="1">
      <c r="A565" t="inlineStr">
        <is>
          <t>A 60509-2023</t>
        </is>
      </c>
      <c r="B565" s="1" t="n">
        <v>45259</v>
      </c>
      <c r="C565" s="1" t="n">
        <v>46161</v>
      </c>
      <c r="D565" t="inlineStr">
        <is>
          <t>SKÅNE LÄN</t>
        </is>
      </c>
      <c r="E565" t="inlineStr">
        <is>
          <t>HÄSSLEHOLM</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1562-2023</t>
        </is>
      </c>
      <c r="B566" s="1" t="n">
        <v>44937.60450231482</v>
      </c>
      <c r="C566" s="1" t="n">
        <v>46161</v>
      </c>
      <c r="D566" t="inlineStr">
        <is>
          <t>SKÅNE LÄN</t>
        </is>
      </c>
      <c r="E566" t="inlineStr">
        <is>
          <t>HÄSSLEHOLM</t>
        </is>
      </c>
      <c r="G566" t="n">
        <v>2.7</v>
      </c>
      <c r="H566" t="n">
        <v>0</v>
      </c>
      <c r="I566" t="n">
        <v>0</v>
      </c>
      <c r="J566" t="n">
        <v>0</v>
      </c>
      <c r="K566" t="n">
        <v>0</v>
      </c>
      <c r="L566" t="n">
        <v>0</v>
      </c>
      <c r="M566" t="n">
        <v>0</v>
      </c>
      <c r="N566" t="n">
        <v>0</v>
      </c>
      <c r="O566" t="n">
        <v>0</v>
      </c>
      <c r="P566" t="n">
        <v>0</v>
      </c>
      <c r="Q566" t="n">
        <v>0</v>
      </c>
      <c r="R566" s="2" t="inlineStr"/>
    </row>
    <row r="567" ht="15" customHeight="1">
      <c r="A567" t="inlineStr">
        <is>
          <t>A 45220-2023</t>
        </is>
      </c>
      <c r="B567" s="1" t="n">
        <v>45191</v>
      </c>
      <c r="C567" s="1" t="n">
        <v>46161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32967-2023</t>
        </is>
      </c>
      <c r="B568" s="1" t="n">
        <v>45125</v>
      </c>
      <c r="C568" s="1" t="n">
        <v>46161</v>
      </c>
      <c r="D568" t="inlineStr">
        <is>
          <t>SKÅNE LÄN</t>
        </is>
      </c>
      <c r="E568" t="inlineStr">
        <is>
          <t>HÄSSLEHOLM</t>
        </is>
      </c>
      <c r="G568" t="n">
        <v>1.4</v>
      </c>
      <c r="H568" t="n">
        <v>0</v>
      </c>
      <c r="I568" t="n">
        <v>0</v>
      </c>
      <c r="J568" t="n">
        <v>0</v>
      </c>
      <c r="K568" t="n">
        <v>0</v>
      </c>
      <c r="L568" t="n">
        <v>0</v>
      </c>
      <c r="M568" t="n">
        <v>0</v>
      </c>
      <c r="N568" t="n">
        <v>0</v>
      </c>
      <c r="O568" t="n">
        <v>0</v>
      </c>
      <c r="P568" t="n">
        <v>0</v>
      </c>
      <c r="Q568" t="n">
        <v>0</v>
      </c>
      <c r="R568" s="2" t="inlineStr"/>
    </row>
    <row r="569" ht="15" customHeight="1">
      <c r="A569" t="inlineStr">
        <is>
          <t>A 32968-2023</t>
        </is>
      </c>
      <c r="B569" s="1" t="n">
        <v>45125</v>
      </c>
      <c r="C569" s="1" t="n">
        <v>46161</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10277-2023</t>
        </is>
      </c>
      <c r="B570" s="1" t="n">
        <v>44986</v>
      </c>
      <c r="C570" s="1" t="n">
        <v>46161</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10290-2023</t>
        </is>
      </c>
      <c r="B571" s="1" t="n">
        <v>44986</v>
      </c>
      <c r="C571" s="1" t="n">
        <v>46161</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32585-2025</t>
        </is>
      </c>
      <c r="B572" s="1" t="n">
        <v>45838.60021990741</v>
      </c>
      <c r="C572" s="1" t="n">
        <v>46161</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32592-2025</t>
        </is>
      </c>
      <c r="B573" s="1" t="n">
        <v>45838.61020833333</v>
      </c>
      <c r="C573" s="1" t="n">
        <v>46161</v>
      </c>
      <c r="D573" t="inlineStr">
        <is>
          <t>SKÅNE LÄN</t>
        </is>
      </c>
      <c r="E573" t="inlineStr">
        <is>
          <t>HÄSSLEHOLM</t>
        </is>
      </c>
      <c r="G573" t="n">
        <v>2.1</v>
      </c>
      <c r="H573" t="n">
        <v>0</v>
      </c>
      <c r="I573" t="n">
        <v>0</v>
      </c>
      <c r="J573" t="n">
        <v>0</v>
      </c>
      <c r="K573" t="n">
        <v>0</v>
      </c>
      <c r="L573" t="n">
        <v>0</v>
      </c>
      <c r="M573" t="n">
        <v>0</v>
      </c>
      <c r="N573" t="n">
        <v>0</v>
      </c>
      <c r="O573" t="n">
        <v>0</v>
      </c>
      <c r="P573" t="n">
        <v>0</v>
      </c>
      <c r="Q573" t="n">
        <v>0</v>
      </c>
      <c r="R573" s="2" t="inlineStr"/>
    </row>
    <row r="574" ht="15" customHeight="1">
      <c r="A574" t="inlineStr">
        <is>
          <t>A 33562-2025</t>
        </is>
      </c>
      <c r="B574" s="1" t="n">
        <v>45841.57803240741</v>
      </c>
      <c r="C574" s="1" t="n">
        <v>46161</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47161-2025</t>
        </is>
      </c>
      <c r="B575" s="1" t="n">
        <v>45929</v>
      </c>
      <c r="C575" s="1" t="n">
        <v>46161</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35237-2023</t>
        </is>
      </c>
      <c r="B576" s="1" t="n">
        <v>45145.74532407407</v>
      </c>
      <c r="C576" s="1" t="n">
        <v>46161</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33875-2025</t>
        </is>
      </c>
      <c r="B577" s="1" t="n">
        <v>45842.55300925926</v>
      </c>
      <c r="C577" s="1" t="n">
        <v>46161</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57967-2023</t>
        </is>
      </c>
      <c r="B578" s="1" t="n">
        <v>45247.57984953704</v>
      </c>
      <c r="C578" s="1" t="n">
        <v>46161</v>
      </c>
      <c r="D578" t="inlineStr">
        <is>
          <t>SKÅNE LÄN</t>
        </is>
      </c>
      <c r="E578" t="inlineStr">
        <is>
          <t>HÄSSLEHOLM</t>
        </is>
      </c>
      <c r="G578" t="n">
        <v>8.6</v>
      </c>
      <c r="H578" t="n">
        <v>0</v>
      </c>
      <c r="I578" t="n">
        <v>0</v>
      </c>
      <c r="J578" t="n">
        <v>0</v>
      </c>
      <c r="K578" t="n">
        <v>0</v>
      </c>
      <c r="L578" t="n">
        <v>0</v>
      </c>
      <c r="M578" t="n">
        <v>0</v>
      </c>
      <c r="N578" t="n">
        <v>0</v>
      </c>
      <c r="O578" t="n">
        <v>0</v>
      </c>
      <c r="P578" t="n">
        <v>0</v>
      </c>
      <c r="Q578" t="n">
        <v>0</v>
      </c>
      <c r="R578" s="2" t="inlineStr"/>
    </row>
    <row r="579" ht="15" customHeight="1">
      <c r="A579" t="inlineStr">
        <is>
          <t>A 62041-2022</t>
        </is>
      </c>
      <c r="B579" s="1" t="n">
        <v>44918.55743055556</v>
      </c>
      <c r="C579" s="1" t="n">
        <v>46161</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33877-2025</t>
        </is>
      </c>
      <c r="B580" s="1" t="n">
        <v>45842.55564814815</v>
      </c>
      <c r="C580" s="1" t="n">
        <v>46161</v>
      </c>
      <c r="D580" t="inlineStr">
        <is>
          <t>SKÅNE LÄN</t>
        </is>
      </c>
      <c r="E580" t="inlineStr">
        <is>
          <t>HÄSSLEHOLM</t>
        </is>
      </c>
      <c r="G580" t="n">
        <v>3.9</v>
      </c>
      <c r="H580" t="n">
        <v>0</v>
      </c>
      <c r="I580" t="n">
        <v>0</v>
      </c>
      <c r="J580" t="n">
        <v>0</v>
      </c>
      <c r="K580" t="n">
        <v>0</v>
      </c>
      <c r="L580" t="n">
        <v>0</v>
      </c>
      <c r="M580" t="n">
        <v>0</v>
      </c>
      <c r="N580" t="n">
        <v>0</v>
      </c>
      <c r="O580" t="n">
        <v>0</v>
      </c>
      <c r="P580" t="n">
        <v>0</v>
      </c>
      <c r="Q580" t="n">
        <v>0</v>
      </c>
      <c r="R580" s="2" t="inlineStr"/>
    </row>
    <row r="581" ht="15" customHeight="1">
      <c r="A581" t="inlineStr">
        <is>
          <t>A 33879-2025</t>
        </is>
      </c>
      <c r="B581" s="1" t="n">
        <v>45842.55766203703</v>
      </c>
      <c r="C581" s="1" t="n">
        <v>46161</v>
      </c>
      <c r="D581" t="inlineStr">
        <is>
          <t>SKÅNE LÄN</t>
        </is>
      </c>
      <c r="E581" t="inlineStr">
        <is>
          <t>HÄSSLEHOLM</t>
        </is>
      </c>
      <c r="G581" t="n">
        <v>6.1</v>
      </c>
      <c r="H581" t="n">
        <v>0</v>
      </c>
      <c r="I581" t="n">
        <v>0</v>
      </c>
      <c r="J581" t="n">
        <v>0</v>
      </c>
      <c r="K581" t="n">
        <v>0</v>
      </c>
      <c r="L581" t="n">
        <v>0</v>
      </c>
      <c r="M581" t="n">
        <v>0</v>
      </c>
      <c r="N581" t="n">
        <v>0</v>
      </c>
      <c r="O581" t="n">
        <v>0</v>
      </c>
      <c r="P581" t="n">
        <v>0</v>
      </c>
      <c r="Q581" t="n">
        <v>0</v>
      </c>
      <c r="R581" s="2" t="inlineStr"/>
    </row>
    <row r="582" ht="15" customHeight="1">
      <c r="A582" t="inlineStr">
        <is>
          <t>A 54771-2025</t>
        </is>
      </c>
      <c r="B582" s="1" t="n">
        <v>45966.60829861111</v>
      </c>
      <c r="C582" s="1" t="n">
        <v>46161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12468-2024</t>
        </is>
      </c>
      <c r="B583" s="1" t="n">
        <v>45379</v>
      </c>
      <c r="C583" s="1" t="n">
        <v>46161</v>
      </c>
      <c r="D583" t="inlineStr">
        <is>
          <t>SKÅNE LÄN</t>
        </is>
      </c>
      <c r="E583" t="inlineStr">
        <is>
          <t>HÄSSLEHOLM</t>
        </is>
      </c>
      <c r="G583" t="n">
        <v>15.5</v>
      </c>
      <c r="H583" t="n">
        <v>0</v>
      </c>
      <c r="I583" t="n">
        <v>0</v>
      </c>
      <c r="J583" t="n">
        <v>0</v>
      </c>
      <c r="K583" t="n">
        <v>0</v>
      </c>
      <c r="L583" t="n">
        <v>0</v>
      </c>
      <c r="M583" t="n">
        <v>0</v>
      </c>
      <c r="N583" t="n">
        <v>0</v>
      </c>
      <c r="O583" t="n">
        <v>0</v>
      </c>
      <c r="P583" t="n">
        <v>0</v>
      </c>
      <c r="Q583" t="n">
        <v>0</v>
      </c>
      <c r="R583" s="2" t="inlineStr"/>
    </row>
    <row r="584" ht="15" customHeight="1">
      <c r="A584" t="inlineStr">
        <is>
          <t>A 54664-2025</t>
        </is>
      </c>
      <c r="B584" s="1" t="n">
        <v>45966.40738425926</v>
      </c>
      <c r="C584" s="1" t="n">
        <v>46161</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33948-2025</t>
        </is>
      </c>
      <c r="B585" s="1" t="n">
        <v>45842.65945601852</v>
      </c>
      <c r="C585" s="1" t="n">
        <v>46161</v>
      </c>
      <c r="D585" t="inlineStr">
        <is>
          <t>SKÅNE LÄN</t>
        </is>
      </c>
      <c r="E585" t="inlineStr">
        <is>
          <t>HÄSSLEHOLM</t>
        </is>
      </c>
      <c r="G585" t="n">
        <v>8.5</v>
      </c>
      <c r="H585" t="n">
        <v>0</v>
      </c>
      <c r="I585" t="n">
        <v>0</v>
      </c>
      <c r="J585" t="n">
        <v>0</v>
      </c>
      <c r="K585" t="n">
        <v>0</v>
      </c>
      <c r="L585" t="n">
        <v>0</v>
      </c>
      <c r="M585" t="n">
        <v>0</v>
      </c>
      <c r="N585" t="n">
        <v>0</v>
      </c>
      <c r="O585" t="n">
        <v>0</v>
      </c>
      <c r="P585" t="n">
        <v>0</v>
      </c>
      <c r="Q585" t="n">
        <v>0</v>
      </c>
      <c r="R585" s="2" t="inlineStr"/>
    </row>
    <row r="586" ht="15" customHeight="1">
      <c r="A586" t="inlineStr">
        <is>
          <t>A 22678-2025</t>
        </is>
      </c>
      <c r="B586" s="1" t="n">
        <v>45789.49725694444</v>
      </c>
      <c r="C586" s="1" t="n">
        <v>46161</v>
      </c>
      <c r="D586" t="inlineStr">
        <is>
          <t>SKÅNE LÄN</t>
        </is>
      </c>
      <c r="E586" t="inlineStr">
        <is>
          <t>HÄSSLEHOLM</t>
        </is>
      </c>
      <c r="G586" t="n">
        <v>2.2</v>
      </c>
      <c r="H586" t="n">
        <v>0</v>
      </c>
      <c r="I586" t="n">
        <v>0</v>
      </c>
      <c r="J586" t="n">
        <v>0</v>
      </c>
      <c r="K586" t="n">
        <v>0</v>
      </c>
      <c r="L586" t="n">
        <v>0</v>
      </c>
      <c r="M586" t="n">
        <v>0</v>
      </c>
      <c r="N586" t="n">
        <v>0</v>
      </c>
      <c r="O586" t="n">
        <v>0</v>
      </c>
      <c r="P586" t="n">
        <v>0</v>
      </c>
      <c r="Q586" t="n">
        <v>0</v>
      </c>
      <c r="R586" s="2" t="inlineStr"/>
    </row>
    <row r="587" ht="15" customHeight="1">
      <c r="A587" t="inlineStr">
        <is>
          <t>A 32958-2023</t>
        </is>
      </c>
      <c r="B587" s="1" t="n">
        <v>45125.52142361111</v>
      </c>
      <c r="C587" s="1" t="n">
        <v>46161</v>
      </c>
      <c r="D587" t="inlineStr">
        <is>
          <t>SKÅNE LÄN</t>
        </is>
      </c>
      <c r="E587" t="inlineStr">
        <is>
          <t>HÄSSLEHOLM</t>
        </is>
      </c>
      <c r="G587" t="n">
        <v>7.9</v>
      </c>
      <c r="H587" t="n">
        <v>0</v>
      </c>
      <c r="I587" t="n">
        <v>0</v>
      </c>
      <c r="J587" t="n">
        <v>0</v>
      </c>
      <c r="K587" t="n">
        <v>0</v>
      </c>
      <c r="L587" t="n">
        <v>0</v>
      </c>
      <c r="M587" t="n">
        <v>0</v>
      </c>
      <c r="N587" t="n">
        <v>0</v>
      </c>
      <c r="O587" t="n">
        <v>0</v>
      </c>
      <c r="P587" t="n">
        <v>0</v>
      </c>
      <c r="Q587" t="n">
        <v>0</v>
      </c>
      <c r="R587" s="2" t="inlineStr"/>
    </row>
    <row r="588" ht="15" customHeight="1">
      <c r="A588" t="inlineStr">
        <is>
          <t>A 1553-2023</t>
        </is>
      </c>
      <c r="B588" s="1" t="n">
        <v>44937</v>
      </c>
      <c r="C588" s="1" t="n">
        <v>46161</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22690-2022</t>
        </is>
      </c>
      <c r="B589" s="1" t="n">
        <v>44714.5421875</v>
      </c>
      <c r="C589" s="1" t="n">
        <v>46161</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34174-2025</t>
        </is>
      </c>
      <c r="B590" s="1" t="n">
        <v>45844</v>
      </c>
      <c r="C590" s="1" t="n">
        <v>46161</v>
      </c>
      <c r="D590" t="inlineStr">
        <is>
          <t>SKÅNE LÄN</t>
        </is>
      </c>
      <c r="E590" t="inlineStr">
        <is>
          <t>HÄSSLEHOLM</t>
        </is>
      </c>
      <c r="G590" t="n">
        <v>4.7</v>
      </c>
      <c r="H590" t="n">
        <v>0</v>
      </c>
      <c r="I590" t="n">
        <v>0</v>
      </c>
      <c r="J590" t="n">
        <v>0</v>
      </c>
      <c r="K590" t="n">
        <v>0</v>
      </c>
      <c r="L590" t="n">
        <v>0</v>
      </c>
      <c r="M590" t="n">
        <v>0</v>
      </c>
      <c r="N590" t="n">
        <v>0</v>
      </c>
      <c r="O590" t="n">
        <v>0</v>
      </c>
      <c r="P590" t="n">
        <v>0</v>
      </c>
      <c r="Q590" t="n">
        <v>0</v>
      </c>
      <c r="R590" s="2" t="inlineStr"/>
    </row>
    <row r="591" ht="15" customHeight="1">
      <c r="A591" t="inlineStr">
        <is>
          <t>A 53897-2023</t>
        </is>
      </c>
      <c r="B591" s="1" t="n">
        <v>45231.53934027778</v>
      </c>
      <c r="C591" s="1" t="n">
        <v>46161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1170-2025</t>
        </is>
      </c>
      <c r="B592" s="1" t="n">
        <v>45667.29226851852</v>
      </c>
      <c r="C592" s="1" t="n">
        <v>46161</v>
      </c>
      <c r="D592" t="inlineStr">
        <is>
          <t>SKÅNE LÄN</t>
        </is>
      </c>
      <c r="E592" t="inlineStr">
        <is>
          <t>HÄSSLEHOLM</t>
        </is>
      </c>
      <c r="G592" t="n">
        <v>4.3</v>
      </c>
      <c r="H592" t="n">
        <v>0</v>
      </c>
      <c r="I592" t="n">
        <v>0</v>
      </c>
      <c r="J592" t="n">
        <v>0</v>
      </c>
      <c r="K592" t="n">
        <v>0</v>
      </c>
      <c r="L592" t="n">
        <v>0</v>
      </c>
      <c r="M592" t="n">
        <v>0</v>
      </c>
      <c r="N592" t="n">
        <v>0</v>
      </c>
      <c r="O592" t="n">
        <v>0</v>
      </c>
      <c r="P592" t="n">
        <v>0</v>
      </c>
      <c r="Q592" t="n">
        <v>0</v>
      </c>
      <c r="R592" s="2" t="inlineStr"/>
    </row>
    <row r="593" ht="15" customHeight="1">
      <c r="A593" t="inlineStr">
        <is>
          <t>A 34177-2025</t>
        </is>
      </c>
      <c r="B593" s="1" t="n">
        <v>45844</v>
      </c>
      <c r="C593" s="1" t="n">
        <v>46161</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33950-2025</t>
        </is>
      </c>
      <c r="B594" s="1" t="n">
        <v>45842</v>
      </c>
      <c r="C594" s="1" t="n">
        <v>46161</v>
      </c>
      <c r="D594" t="inlineStr">
        <is>
          <t>SKÅNE LÄN</t>
        </is>
      </c>
      <c r="E594" t="inlineStr">
        <is>
          <t>HÄSSLEHOLM</t>
        </is>
      </c>
      <c r="G594" t="n">
        <v>5.7</v>
      </c>
      <c r="H594" t="n">
        <v>0</v>
      </c>
      <c r="I594" t="n">
        <v>0</v>
      </c>
      <c r="J594" t="n">
        <v>0</v>
      </c>
      <c r="K594" t="n">
        <v>0</v>
      </c>
      <c r="L594" t="n">
        <v>0</v>
      </c>
      <c r="M594" t="n">
        <v>0</v>
      </c>
      <c r="N594" t="n">
        <v>0</v>
      </c>
      <c r="O594" t="n">
        <v>0</v>
      </c>
      <c r="P594" t="n">
        <v>0</v>
      </c>
      <c r="Q594" t="n">
        <v>0</v>
      </c>
      <c r="R594" s="2" t="inlineStr"/>
    </row>
    <row r="595" ht="15" customHeight="1">
      <c r="A595" t="inlineStr">
        <is>
          <t>A 22132-2024</t>
        </is>
      </c>
      <c r="B595" s="1" t="n">
        <v>45444.37234953704</v>
      </c>
      <c r="C595" s="1" t="n">
        <v>46161</v>
      </c>
      <c r="D595" t="inlineStr">
        <is>
          <t>SKÅNE LÄN</t>
        </is>
      </c>
      <c r="E595" t="inlineStr">
        <is>
          <t>HÄSSLEHOLM</t>
        </is>
      </c>
      <c r="G595" t="n">
        <v>3.1</v>
      </c>
      <c r="H595" t="n">
        <v>0</v>
      </c>
      <c r="I595" t="n">
        <v>0</v>
      </c>
      <c r="J595" t="n">
        <v>0</v>
      </c>
      <c r="K595" t="n">
        <v>0</v>
      </c>
      <c r="L595" t="n">
        <v>0</v>
      </c>
      <c r="M595" t="n">
        <v>0</v>
      </c>
      <c r="N595" t="n">
        <v>0</v>
      </c>
      <c r="O595" t="n">
        <v>0</v>
      </c>
      <c r="P595" t="n">
        <v>0</v>
      </c>
      <c r="Q595" t="n">
        <v>0</v>
      </c>
      <c r="R595" s="2" t="inlineStr"/>
    </row>
    <row r="596" ht="15" customHeight="1">
      <c r="A596" t="inlineStr">
        <is>
          <t>A 32210-2024</t>
        </is>
      </c>
      <c r="B596" s="1" t="n">
        <v>45511.67777777778</v>
      </c>
      <c r="C596" s="1" t="n">
        <v>46161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54763-2025</t>
        </is>
      </c>
      <c r="B597" s="1" t="n">
        <v>45966.60167824074</v>
      </c>
      <c r="C597" s="1" t="n">
        <v>46161</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2743-2023</t>
        </is>
      </c>
      <c r="B598" s="1" t="n">
        <v>44944</v>
      </c>
      <c r="C598" s="1" t="n">
        <v>46161</v>
      </c>
      <c r="D598" t="inlineStr">
        <is>
          <t>SKÅNE LÄN</t>
        </is>
      </c>
      <c r="E598" t="inlineStr">
        <is>
          <t>HÄSSLEHOLM</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8749-2024</t>
        </is>
      </c>
      <c r="B599" s="1" t="n">
        <v>45356.50387731481</v>
      </c>
      <c r="C599" s="1" t="n">
        <v>46161</v>
      </c>
      <c r="D599" t="inlineStr">
        <is>
          <t>SKÅNE LÄN</t>
        </is>
      </c>
      <c r="E599" t="inlineStr">
        <is>
          <t>HÄSSLEHOLM</t>
        </is>
      </c>
      <c r="G599" t="n">
        <v>2.9</v>
      </c>
      <c r="H599" t="n">
        <v>0</v>
      </c>
      <c r="I599" t="n">
        <v>0</v>
      </c>
      <c r="J599" t="n">
        <v>0</v>
      </c>
      <c r="K599" t="n">
        <v>0</v>
      </c>
      <c r="L599" t="n">
        <v>0</v>
      </c>
      <c r="M599" t="n">
        <v>0</v>
      </c>
      <c r="N599" t="n">
        <v>0</v>
      </c>
      <c r="O599" t="n">
        <v>0</v>
      </c>
      <c r="P599" t="n">
        <v>0</v>
      </c>
      <c r="Q599" t="n">
        <v>0</v>
      </c>
      <c r="R599" s="2" t="inlineStr"/>
    </row>
    <row r="600" ht="15" customHeight="1">
      <c r="A600" t="inlineStr">
        <is>
          <t>A 8752-2024</t>
        </is>
      </c>
      <c r="B600" s="1" t="n">
        <v>45356</v>
      </c>
      <c r="C600" s="1" t="n">
        <v>46161</v>
      </c>
      <c r="D600" t="inlineStr">
        <is>
          <t>SKÅNE LÄN</t>
        </is>
      </c>
      <c r="E600" t="inlineStr">
        <is>
          <t>HÄSSLEHOLM</t>
        </is>
      </c>
      <c r="G600" t="n">
        <v>3.4</v>
      </c>
      <c r="H600" t="n">
        <v>0</v>
      </c>
      <c r="I600" t="n">
        <v>0</v>
      </c>
      <c r="J600" t="n">
        <v>0</v>
      </c>
      <c r="K600" t="n">
        <v>0</v>
      </c>
      <c r="L600" t="n">
        <v>0</v>
      </c>
      <c r="M600" t="n">
        <v>0</v>
      </c>
      <c r="N600" t="n">
        <v>0</v>
      </c>
      <c r="O600" t="n">
        <v>0</v>
      </c>
      <c r="P600" t="n">
        <v>0</v>
      </c>
      <c r="Q600" t="n">
        <v>0</v>
      </c>
      <c r="R600" s="2" t="inlineStr"/>
    </row>
    <row r="601" ht="15" customHeight="1">
      <c r="A601" t="inlineStr">
        <is>
          <t>A 8759-2024</t>
        </is>
      </c>
      <c r="B601" s="1" t="n">
        <v>45356.52271990741</v>
      </c>
      <c r="C601" s="1" t="n">
        <v>46161</v>
      </c>
      <c r="D601" t="inlineStr">
        <is>
          <t>SKÅNE LÄN</t>
        </is>
      </c>
      <c r="E601" t="inlineStr">
        <is>
          <t>HÄSSLEHOLM</t>
        </is>
      </c>
      <c r="G601" t="n">
        <v>5.7</v>
      </c>
      <c r="H601" t="n">
        <v>0</v>
      </c>
      <c r="I601" t="n">
        <v>0</v>
      </c>
      <c r="J601" t="n">
        <v>0</v>
      </c>
      <c r="K601" t="n">
        <v>0</v>
      </c>
      <c r="L601" t="n">
        <v>0</v>
      </c>
      <c r="M601" t="n">
        <v>0</v>
      </c>
      <c r="N601" t="n">
        <v>0</v>
      </c>
      <c r="O601" t="n">
        <v>0</v>
      </c>
      <c r="P601" t="n">
        <v>0</v>
      </c>
      <c r="Q601" t="n">
        <v>0</v>
      </c>
      <c r="R601" s="2" t="inlineStr"/>
    </row>
    <row r="602" ht="15" customHeight="1">
      <c r="A602" t="inlineStr">
        <is>
          <t>A 48624-2021</t>
        </is>
      </c>
      <c r="B602" s="1" t="n">
        <v>44452</v>
      </c>
      <c r="C602" s="1" t="n">
        <v>46161</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34869-2025</t>
        </is>
      </c>
      <c r="B603" s="1" t="n">
        <v>45849</v>
      </c>
      <c r="C603" s="1" t="n">
        <v>46161</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27297-2023</t>
        </is>
      </c>
      <c r="B604" s="1" t="n">
        <v>45096</v>
      </c>
      <c r="C604" s="1" t="n">
        <v>46161</v>
      </c>
      <c r="D604" t="inlineStr">
        <is>
          <t>SKÅNE LÄN</t>
        </is>
      </c>
      <c r="E604" t="inlineStr">
        <is>
          <t>HÄSSLEHOLM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59434-2023</t>
        </is>
      </c>
      <c r="B605" s="1" t="n">
        <v>45254.30440972222</v>
      </c>
      <c r="C605" s="1" t="n">
        <v>46161</v>
      </c>
      <c r="D605" t="inlineStr">
        <is>
          <t>SKÅNE LÄN</t>
        </is>
      </c>
      <c r="E605" t="inlineStr">
        <is>
          <t>HÄSSLEHOLM</t>
        </is>
      </c>
      <c r="G605" t="n">
        <v>3.6</v>
      </c>
      <c r="H605" t="n">
        <v>0</v>
      </c>
      <c r="I605" t="n">
        <v>0</v>
      </c>
      <c r="J605" t="n">
        <v>0</v>
      </c>
      <c r="K605" t="n">
        <v>0</v>
      </c>
      <c r="L605" t="n">
        <v>0</v>
      </c>
      <c r="M605" t="n">
        <v>0</v>
      </c>
      <c r="N605" t="n">
        <v>0</v>
      </c>
      <c r="O605" t="n">
        <v>0</v>
      </c>
      <c r="P605" t="n">
        <v>0</v>
      </c>
      <c r="Q605" t="n">
        <v>0</v>
      </c>
      <c r="R605" s="2" t="inlineStr"/>
    </row>
    <row r="606" ht="15" customHeight="1">
      <c r="A606" t="inlineStr">
        <is>
          <t>A 2290-2024</t>
        </is>
      </c>
      <c r="B606" s="1" t="n">
        <v>45310</v>
      </c>
      <c r="C606" s="1" t="n">
        <v>46161</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54668-2025</t>
        </is>
      </c>
      <c r="B607" s="1" t="n">
        <v>45966.40803240741</v>
      </c>
      <c r="C607" s="1" t="n">
        <v>46161</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33067-2024</t>
        </is>
      </c>
      <c r="B608" s="1" t="n">
        <v>45517.6520949074</v>
      </c>
      <c r="C608" s="1" t="n">
        <v>46161</v>
      </c>
      <c r="D608" t="inlineStr">
        <is>
          <t>SKÅNE LÄN</t>
        </is>
      </c>
      <c r="E608" t="inlineStr">
        <is>
          <t>HÄSSLEHOLM</t>
        </is>
      </c>
      <c r="G608" t="n">
        <v>0.4</v>
      </c>
      <c r="H608" t="n">
        <v>0</v>
      </c>
      <c r="I608" t="n">
        <v>0</v>
      </c>
      <c r="J608" t="n">
        <v>0</v>
      </c>
      <c r="K608" t="n">
        <v>0</v>
      </c>
      <c r="L608" t="n">
        <v>0</v>
      </c>
      <c r="M608" t="n">
        <v>0</v>
      </c>
      <c r="N608" t="n">
        <v>0</v>
      </c>
      <c r="O608" t="n">
        <v>0</v>
      </c>
      <c r="P608" t="n">
        <v>0</v>
      </c>
      <c r="Q608" t="n">
        <v>0</v>
      </c>
      <c r="R608" s="2" t="inlineStr"/>
    </row>
    <row r="609" ht="15" customHeight="1">
      <c r="A609" t="inlineStr">
        <is>
          <t>A 9747-2024</t>
        </is>
      </c>
      <c r="B609" s="1" t="n">
        <v>45362</v>
      </c>
      <c r="C609" s="1" t="n">
        <v>46161</v>
      </c>
      <c r="D609" t="inlineStr">
        <is>
          <t>SKÅNE LÄN</t>
        </is>
      </c>
      <c r="E609" t="inlineStr">
        <is>
          <t>HÄSSLEHOLM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28236-2022</t>
        </is>
      </c>
      <c r="B610" s="1" t="n">
        <v>44746</v>
      </c>
      <c r="C610" s="1" t="n">
        <v>46161</v>
      </c>
      <c r="D610" t="inlineStr">
        <is>
          <t>SKÅNE LÄN</t>
        </is>
      </c>
      <c r="E610" t="inlineStr">
        <is>
          <t>HÄSSLEHOLM</t>
        </is>
      </c>
      <c r="G610" t="n">
        <v>3.5</v>
      </c>
      <c r="H610" t="n">
        <v>0</v>
      </c>
      <c r="I610" t="n">
        <v>0</v>
      </c>
      <c r="J610" t="n">
        <v>0</v>
      </c>
      <c r="K610" t="n">
        <v>0</v>
      </c>
      <c r="L610" t="n">
        <v>0</v>
      </c>
      <c r="M610" t="n">
        <v>0</v>
      </c>
      <c r="N610" t="n">
        <v>0</v>
      </c>
      <c r="O610" t="n">
        <v>0</v>
      </c>
      <c r="P610" t="n">
        <v>0</v>
      </c>
      <c r="Q610" t="n">
        <v>0</v>
      </c>
      <c r="R610" s="2" t="inlineStr"/>
    </row>
    <row r="611" ht="15" customHeight="1">
      <c r="A611" t="inlineStr">
        <is>
          <t>A 20970-2025</t>
        </is>
      </c>
      <c r="B611" s="1" t="n">
        <v>45777.45417824074</v>
      </c>
      <c r="C611" s="1" t="n">
        <v>46161</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61625-2022</t>
        </is>
      </c>
      <c r="B612" s="1" t="n">
        <v>44916</v>
      </c>
      <c r="C612" s="1" t="n">
        <v>46161</v>
      </c>
      <c r="D612" t="inlineStr">
        <is>
          <t>SKÅNE LÄN</t>
        </is>
      </c>
      <c r="E612" t="inlineStr">
        <is>
          <t>HÄSSLEHOLM</t>
        </is>
      </c>
      <c r="G612" t="n">
        <v>2.4</v>
      </c>
      <c r="H612" t="n">
        <v>0</v>
      </c>
      <c r="I612" t="n">
        <v>0</v>
      </c>
      <c r="J612" t="n">
        <v>0</v>
      </c>
      <c r="K612" t="n">
        <v>0</v>
      </c>
      <c r="L612" t="n">
        <v>0</v>
      </c>
      <c r="M612" t="n">
        <v>0</v>
      </c>
      <c r="N612" t="n">
        <v>0</v>
      </c>
      <c r="O612" t="n">
        <v>0</v>
      </c>
      <c r="P612" t="n">
        <v>0</v>
      </c>
      <c r="Q612" t="n">
        <v>0</v>
      </c>
      <c r="R612" s="2" t="inlineStr"/>
    </row>
    <row r="613" ht="15" customHeight="1">
      <c r="A613" t="inlineStr">
        <is>
          <t>A 35259-2025</t>
        </is>
      </c>
      <c r="B613" s="1" t="n">
        <v>45853.76912037037</v>
      </c>
      <c r="C613" s="1" t="n">
        <v>46161</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38829-2024</t>
        </is>
      </c>
      <c r="B614" s="1" t="n">
        <v>45547.57247685185</v>
      </c>
      <c r="C614" s="1" t="n">
        <v>46161</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17413-2025</t>
        </is>
      </c>
      <c r="B615" s="1" t="n">
        <v>45757.37480324074</v>
      </c>
      <c r="C615" s="1" t="n">
        <v>46161</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13890-2024</t>
        </is>
      </c>
      <c r="B616" s="1" t="n">
        <v>45391</v>
      </c>
      <c r="C616" s="1" t="n">
        <v>46161</v>
      </c>
      <c r="D616" t="inlineStr">
        <is>
          <t>SKÅNE LÄN</t>
        </is>
      </c>
      <c r="E616" t="inlineStr">
        <is>
          <t>HÄSSLEHOLM</t>
        </is>
      </c>
      <c r="F616" t="inlineStr">
        <is>
          <t>Kommuner</t>
        </is>
      </c>
      <c r="G616" t="n">
        <v>1.4</v>
      </c>
      <c r="H616" t="n">
        <v>0</v>
      </c>
      <c r="I616" t="n">
        <v>0</v>
      </c>
      <c r="J616" t="n">
        <v>0</v>
      </c>
      <c r="K616" t="n">
        <v>0</v>
      </c>
      <c r="L616" t="n">
        <v>0</v>
      </c>
      <c r="M616" t="n">
        <v>0</v>
      </c>
      <c r="N616" t="n">
        <v>0</v>
      </c>
      <c r="O616" t="n">
        <v>0</v>
      </c>
      <c r="P616" t="n">
        <v>0</v>
      </c>
      <c r="Q616" t="n">
        <v>0</v>
      </c>
      <c r="R616" s="2" t="inlineStr"/>
    </row>
    <row r="617" ht="15" customHeight="1">
      <c r="A617" t="inlineStr">
        <is>
          <t>A 55218-2023</t>
        </is>
      </c>
      <c r="B617" s="1" t="n">
        <v>45237</v>
      </c>
      <c r="C617" s="1" t="n">
        <v>46161</v>
      </c>
      <c r="D617" t="inlineStr">
        <is>
          <t>SKÅNE LÄN</t>
        </is>
      </c>
      <c r="E617" t="inlineStr">
        <is>
          <t>HÄSSLEHOLM</t>
        </is>
      </c>
      <c r="G617" t="n">
        <v>2</v>
      </c>
      <c r="H617" t="n">
        <v>0</v>
      </c>
      <c r="I617" t="n">
        <v>0</v>
      </c>
      <c r="J617" t="n">
        <v>0</v>
      </c>
      <c r="K617" t="n">
        <v>0</v>
      </c>
      <c r="L617" t="n">
        <v>0</v>
      </c>
      <c r="M617" t="n">
        <v>0</v>
      </c>
      <c r="N617" t="n">
        <v>0</v>
      </c>
      <c r="O617" t="n">
        <v>0</v>
      </c>
      <c r="P617" t="n">
        <v>0</v>
      </c>
      <c r="Q617" t="n">
        <v>0</v>
      </c>
      <c r="R617" s="2" t="inlineStr"/>
    </row>
    <row r="618" ht="15" customHeight="1">
      <c r="A618" t="inlineStr">
        <is>
          <t>A 46288-2023</t>
        </is>
      </c>
      <c r="B618" s="1" t="n">
        <v>45197.30221064815</v>
      </c>
      <c r="C618" s="1" t="n">
        <v>46161</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49106-2023</t>
        </is>
      </c>
      <c r="B619" s="1" t="n">
        <v>45210</v>
      </c>
      <c r="C619" s="1" t="n">
        <v>46161</v>
      </c>
      <c r="D619" t="inlineStr">
        <is>
          <t>SKÅNE LÄN</t>
        </is>
      </c>
      <c r="E619" t="inlineStr">
        <is>
          <t>HÄSSLEHOLM</t>
        </is>
      </c>
      <c r="G619" t="n">
        <v>0.3</v>
      </c>
      <c r="H619" t="n">
        <v>0</v>
      </c>
      <c r="I619" t="n">
        <v>0</v>
      </c>
      <c r="J619" t="n">
        <v>0</v>
      </c>
      <c r="K619" t="n">
        <v>0</v>
      </c>
      <c r="L619" t="n">
        <v>0</v>
      </c>
      <c r="M619" t="n">
        <v>0</v>
      </c>
      <c r="N619" t="n">
        <v>0</v>
      </c>
      <c r="O619" t="n">
        <v>0</v>
      </c>
      <c r="P619" t="n">
        <v>0</v>
      </c>
      <c r="Q619" t="n">
        <v>0</v>
      </c>
      <c r="R619" s="2" t="inlineStr"/>
    </row>
    <row r="620" ht="15" customHeight="1">
      <c r="A620" t="inlineStr">
        <is>
          <t>A 10409-2024</t>
        </is>
      </c>
      <c r="B620" s="1" t="n">
        <v>45365.6978125</v>
      </c>
      <c r="C620" s="1" t="n">
        <v>46161</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47248-2023</t>
        </is>
      </c>
      <c r="B621" s="1" t="n">
        <v>45202</v>
      </c>
      <c r="C621" s="1" t="n">
        <v>46161</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55268-2025</t>
        </is>
      </c>
      <c r="B622" s="1" t="n">
        <v>45968.6715625</v>
      </c>
      <c r="C622" s="1" t="n">
        <v>46161</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20990-2023</t>
        </is>
      </c>
      <c r="B623" s="1" t="n">
        <v>45061.46186342592</v>
      </c>
      <c r="C623" s="1" t="n">
        <v>46161</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55549-2025</t>
        </is>
      </c>
      <c r="B624" s="1" t="n">
        <v>45971.63805555556</v>
      </c>
      <c r="C624" s="1" t="n">
        <v>46161</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54171-2022</t>
        </is>
      </c>
      <c r="B625" s="1" t="n">
        <v>44881</v>
      </c>
      <c r="C625" s="1" t="n">
        <v>46161</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36259-2025</t>
        </is>
      </c>
      <c r="B626" s="1" t="n">
        <v>45867.59799768519</v>
      </c>
      <c r="C626" s="1" t="n">
        <v>46161</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36130-2025</t>
        </is>
      </c>
      <c r="B627" s="1" t="n">
        <v>45866.62273148148</v>
      </c>
      <c r="C627" s="1" t="n">
        <v>46161</v>
      </c>
      <c r="D627" t="inlineStr">
        <is>
          <t>SKÅNE LÄN</t>
        </is>
      </c>
      <c r="E627" t="inlineStr">
        <is>
          <t>HÄSSLEHOLM</t>
        </is>
      </c>
      <c r="G627" t="n">
        <v>4.7</v>
      </c>
      <c r="H627" t="n">
        <v>0</v>
      </c>
      <c r="I627" t="n">
        <v>0</v>
      </c>
      <c r="J627" t="n">
        <v>0</v>
      </c>
      <c r="K627" t="n">
        <v>0</v>
      </c>
      <c r="L627" t="n">
        <v>0</v>
      </c>
      <c r="M627" t="n">
        <v>0</v>
      </c>
      <c r="N627" t="n">
        <v>0</v>
      </c>
      <c r="O627" t="n">
        <v>0</v>
      </c>
      <c r="P627" t="n">
        <v>0</v>
      </c>
      <c r="Q627" t="n">
        <v>0</v>
      </c>
      <c r="R627" s="2" t="inlineStr"/>
    </row>
    <row r="628" ht="15" customHeight="1">
      <c r="A628" t="inlineStr">
        <is>
          <t>A 57277-2023</t>
        </is>
      </c>
      <c r="B628" s="1" t="n">
        <v>45245.59104166667</v>
      </c>
      <c r="C628" s="1" t="n">
        <v>46161</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55458-2025</t>
        </is>
      </c>
      <c r="B629" s="1" t="n">
        <v>45971</v>
      </c>
      <c r="C629" s="1" t="n">
        <v>46161</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19666-2025</t>
        </is>
      </c>
      <c r="B630" s="1" t="n">
        <v>45770.69326388889</v>
      </c>
      <c r="C630" s="1" t="n">
        <v>46161</v>
      </c>
      <c r="D630" t="inlineStr">
        <is>
          <t>SKÅNE LÄN</t>
        </is>
      </c>
      <c r="E630" t="inlineStr">
        <is>
          <t>HÄSSLEHOLM</t>
        </is>
      </c>
      <c r="G630" t="n">
        <v>2.4</v>
      </c>
      <c r="H630" t="n">
        <v>0</v>
      </c>
      <c r="I630" t="n">
        <v>0</v>
      </c>
      <c r="J630" t="n">
        <v>0</v>
      </c>
      <c r="K630" t="n">
        <v>0</v>
      </c>
      <c r="L630" t="n">
        <v>0</v>
      </c>
      <c r="M630" t="n">
        <v>0</v>
      </c>
      <c r="N630" t="n">
        <v>0</v>
      </c>
      <c r="O630" t="n">
        <v>0</v>
      </c>
      <c r="P630" t="n">
        <v>0</v>
      </c>
      <c r="Q630" t="n">
        <v>0</v>
      </c>
      <c r="R630" s="2" t="inlineStr"/>
    </row>
    <row r="631" ht="15" customHeight="1">
      <c r="A631" t="inlineStr">
        <is>
          <t>A 36359-2025</t>
        </is>
      </c>
      <c r="B631" s="1" t="n">
        <v>45867</v>
      </c>
      <c r="C631" s="1" t="n">
        <v>46161</v>
      </c>
      <c r="D631" t="inlineStr">
        <is>
          <t>SKÅNE LÄN</t>
        </is>
      </c>
      <c r="E631" t="inlineStr">
        <is>
          <t>HÄSSLEHOLM</t>
        </is>
      </c>
      <c r="G631" t="n">
        <v>2.2</v>
      </c>
      <c r="H631" t="n">
        <v>0</v>
      </c>
      <c r="I631" t="n">
        <v>0</v>
      </c>
      <c r="J631" t="n">
        <v>0</v>
      </c>
      <c r="K631" t="n">
        <v>0</v>
      </c>
      <c r="L631" t="n">
        <v>0</v>
      </c>
      <c r="M631" t="n">
        <v>0</v>
      </c>
      <c r="N631" t="n">
        <v>0</v>
      </c>
      <c r="O631" t="n">
        <v>0</v>
      </c>
      <c r="P631" t="n">
        <v>0</v>
      </c>
      <c r="Q631" t="n">
        <v>0</v>
      </c>
      <c r="R631" s="2" t="inlineStr"/>
    </row>
    <row r="632" ht="15" customHeight="1">
      <c r="A632" t="inlineStr">
        <is>
          <t>A 36361-2025</t>
        </is>
      </c>
      <c r="B632" s="1" t="n">
        <v>45867</v>
      </c>
      <c r="C632" s="1" t="n">
        <v>46161</v>
      </c>
      <c r="D632" t="inlineStr">
        <is>
          <t>SKÅNE LÄN</t>
        </is>
      </c>
      <c r="E632" t="inlineStr">
        <is>
          <t>HÄSSLEHOLM</t>
        </is>
      </c>
      <c r="G632" t="n">
        <v>1.1</v>
      </c>
      <c r="H632" t="n">
        <v>0</v>
      </c>
      <c r="I632" t="n">
        <v>0</v>
      </c>
      <c r="J632" t="n">
        <v>0</v>
      </c>
      <c r="K632" t="n">
        <v>0</v>
      </c>
      <c r="L632" t="n">
        <v>0</v>
      </c>
      <c r="M632" t="n">
        <v>0</v>
      </c>
      <c r="N632" t="n">
        <v>0</v>
      </c>
      <c r="O632" t="n">
        <v>0</v>
      </c>
      <c r="P632" t="n">
        <v>0</v>
      </c>
      <c r="Q632" t="n">
        <v>0</v>
      </c>
      <c r="R632" s="2" t="inlineStr"/>
    </row>
    <row r="633" ht="15" customHeight="1">
      <c r="A633" t="inlineStr">
        <is>
          <t>A 36085-2025</t>
        </is>
      </c>
      <c r="B633" s="1" t="n">
        <v>45866.46190972222</v>
      </c>
      <c r="C633" s="1" t="n">
        <v>46161</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36358-2025</t>
        </is>
      </c>
      <c r="B634" s="1" t="n">
        <v>45867</v>
      </c>
      <c r="C634" s="1" t="n">
        <v>46161</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55455-2025</t>
        </is>
      </c>
      <c r="B635" s="1" t="n">
        <v>45971</v>
      </c>
      <c r="C635" s="1" t="n">
        <v>46161</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35150-2023</t>
        </is>
      </c>
      <c r="B636" s="1" t="n">
        <v>45145</v>
      </c>
      <c r="C636" s="1" t="n">
        <v>46161</v>
      </c>
      <c r="D636" t="inlineStr">
        <is>
          <t>SKÅNE LÄN</t>
        </is>
      </c>
      <c r="E636" t="inlineStr">
        <is>
          <t>HÄSSLEHOLM</t>
        </is>
      </c>
      <c r="G636" t="n">
        <v>4.9</v>
      </c>
      <c r="H636" t="n">
        <v>0</v>
      </c>
      <c r="I636" t="n">
        <v>0</v>
      </c>
      <c r="J636" t="n">
        <v>0</v>
      </c>
      <c r="K636" t="n">
        <v>0</v>
      </c>
      <c r="L636" t="n">
        <v>0</v>
      </c>
      <c r="M636" t="n">
        <v>0</v>
      </c>
      <c r="N636" t="n">
        <v>0</v>
      </c>
      <c r="O636" t="n">
        <v>0</v>
      </c>
      <c r="P636" t="n">
        <v>0</v>
      </c>
      <c r="Q636" t="n">
        <v>0</v>
      </c>
      <c r="R636" s="2" t="inlineStr"/>
    </row>
    <row r="637" ht="15" customHeight="1">
      <c r="A637" t="inlineStr">
        <is>
          <t>A 18041-2023</t>
        </is>
      </c>
      <c r="B637" s="1" t="n">
        <v>45040</v>
      </c>
      <c r="C637" s="1" t="n">
        <v>46161</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49250-2022</t>
        </is>
      </c>
      <c r="B638" s="1" t="n">
        <v>44858</v>
      </c>
      <c r="C638" s="1" t="n">
        <v>46161</v>
      </c>
      <c r="D638" t="inlineStr">
        <is>
          <t>SKÅNE LÄN</t>
        </is>
      </c>
      <c r="E638" t="inlineStr">
        <is>
          <t>HÄSSLEHOLM</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8209-2025</t>
        </is>
      </c>
      <c r="B639" s="1" t="n">
        <v>45708.44244212963</v>
      </c>
      <c r="C639" s="1" t="n">
        <v>46161</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27197-2021</t>
        </is>
      </c>
      <c r="B640" s="1" t="n">
        <v>44350</v>
      </c>
      <c r="C640" s="1" t="n">
        <v>46161</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45222-2023</t>
        </is>
      </c>
      <c r="B641" s="1" t="n">
        <v>45191</v>
      </c>
      <c r="C641" s="1" t="n">
        <v>46161</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35890-2023</t>
        </is>
      </c>
      <c r="B642" s="1" t="n">
        <v>45148</v>
      </c>
      <c r="C642" s="1" t="n">
        <v>46161</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35895-2023</t>
        </is>
      </c>
      <c r="B643" s="1" t="n">
        <v>45148</v>
      </c>
      <c r="C643" s="1" t="n">
        <v>46161</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61569-2023</t>
        </is>
      </c>
      <c r="B644" s="1" t="n">
        <v>45265</v>
      </c>
      <c r="C644" s="1" t="n">
        <v>46161</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52235-2021</t>
        </is>
      </c>
      <c r="B645" s="1" t="n">
        <v>44463.60085648148</v>
      </c>
      <c r="C645" s="1" t="n">
        <v>46161</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36938-2025</t>
        </is>
      </c>
      <c r="B646" s="1" t="n">
        <v>45874.58476851852</v>
      </c>
      <c r="C646" s="1" t="n">
        <v>46161</v>
      </c>
      <c r="D646" t="inlineStr">
        <is>
          <t>SKÅNE LÄN</t>
        </is>
      </c>
      <c r="E646" t="inlineStr">
        <is>
          <t>HÄSSLEHOLM</t>
        </is>
      </c>
      <c r="G646" t="n">
        <v>3.7</v>
      </c>
      <c r="H646" t="n">
        <v>0</v>
      </c>
      <c r="I646" t="n">
        <v>0</v>
      </c>
      <c r="J646" t="n">
        <v>0</v>
      </c>
      <c r="K646" t="n">
        <v>0</v>
      </c>
      <c r="L646" t="n">
        <v>0</v>
      </c>
      <c r="M646" t="n">
        <v>0</v>
      </c>
      <c r="N646" t="n">
        <v>0</v>
      </c>
      <c r="O646" t="n">
        <v>0</v>
      </c>
      <c r="P646" t="n">
        <v>0</v>
      </c>
      <c r="Q646" t="n">
        <v>0</v>
      </c>
      <c r="R646" s="2" t="inlineStr"/>
    </row>
    <row r="647" ht="15" customHeight="1">
      <c r="A647" t="inlineStr">
        <is>
          <t>A 54471-2023</t>
        </is>
      </c>
      <c r="B647" s="1" t="n">
        <v>45233.4640162037</v>
      </c>
      <c r="C647" s="1" t="n">
        <v>46161</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56667-2025</t>
        </is>
      </c>
      <c r="B648" s="1" t="n">
        <v>45975.68508101852</v>
      </c>
      <c r="C648" s="1" t="n">
        <v>46161</v>
      </c>
      <c r="D648" t="inlineStr">
        <is>
          <t>SKÅNE LÄN</t>
        </is>
      </c>
      <c r="E648" t="inlineStr">
        <is>
          <t>HÄSSLEHOLM</t>
        </is>
      </c>
      <c r="G648" t="n">
        <v>4.4</v>
      </c>
      <c r="H648" t="n">
        <v>0</v>
      </c>
      <c r="I648" t="n">
        <v>0</v>
      </c>
      <c r="J648" t="n">
        <v>0</v>
      </c>
      <c r="K648" t="n">
        <v>0</v>
      </c>
      <c r="L648" t="n">
        <v>0</v>
      </c>
      <c r="M648" t="n">
        <v>0</v>
      </c>
      <c r="N648" t="n">
        <v>0</v>
      </c>
      <c r="O648" t="n">
        <v>0</v>
      </c>
      <c r="P648" t="n">
        <v>0</v>
      </c>
      <c r="Q648" t="n">
        <v>0</v>
      </c>
      <c r="R648" s="2" t="inlineStr"/>
    </row>
    <row r="649" ht="15" customHeight="1">
      <c r="A649" t="inlineStr">
        <is>
          <t>A 37286-2025</t>
        </is>
      </c>
      <c r="B649" s="1" t="n">
        <v>45876.50116898148</v>
      </c>
      <c r="C649" s="1" t="n">
        <v>46161</v>
      </c>
      <c r="D649" t="inlineStr">
        <is>
          <t>SKÅNE LÄN</t>
        </is>
      </c>
      <c r="E649" t="inlineStr">
        <is>
          <t>HÄSSLEHOLM</t>
        </is>
      </c>
      <c r="G649" t="n">
        <v>2.9</v>
      </c>
      <c r="H649" t="n">
        <v>0</v>
      </c>
      <c r="I649" t="n">
        <v>0</v>
      </c>
      <c r="J649" t="n">
        <v>0</v>
      </c>
      <c r="K649" t="n">
        <v>0</v>
      </c>
      <c r="L649" t="n">
        <v>0</v>
      </c>
      <c r="M649" t="n">
        <v>0</v>
      </c>
      <c r="N649" t="n">
        <v>0</v>
      </c>
      <c r="O649" t="n">
        <v>0</v>
      </c>
      <c r="P649" t="n">
        <v>0</v>
      </c>
      <c r="Q649" t="n">
        <v>0</v>
      </c>
      <c r="R649" s="2" t="inlineStr"/>
    </row>
    <row r="650" ht="15" customHeight="1">
      <c r="A650" t="inlineStr">
        <is>
          <t>A 50607-2023</t>
        </is>
      </c>
      <c r="B650" s="1" t="n">
        <v>45210</v>
      </c>
      <c r="C650" s="1" t="n">
        <v>46161</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37271-2025</t>
        </is>
      </c>
      <c r="B651" s="1" t="n">
        <v>45876.47828703704</v>
      </c>
      <c r="C651" s="1" t="n">
        <v>46161</v>
      </c>
      <c r="D651" t="inlineStr">
        <is>
          <t>SKÅNE LÄN</t>
        </is>
      </c>
      <c r="E651" t="inlineStr">
        <is>
          <t>HÄSSLEHOLM</t>
        </is>
      </c>
      <c r="G651" t="n">
        <v>4.1</v>
      </c>
      <c r="H651" t="n">
        <v>0</v>
      </c>
      <c r="I651" t="n">
        <v>0</v>
      </c>
      <c r="J651" t="n">
        <v>0</v>
      </c>
      <c r="K651" t="n">
        <v>0</v>
      </c>
      <c r="L651" t="n">
        <v>0</v>
      </c>
      <c r="M651" t="n">
        <v>0</v>
      </c>
      <c r="N651" t="n">
        <v>0</v>
      </c>
      <c r="O651" t="n">
        <v>0</v>
      </c>
      <c r="P651" t="n">
        <v>0</v>
      </c>
      <c r="Q651" t="n">
        <v>0</v>
      </c>
      <c r="R651" s="2" t="inlineStr"/>
    </row>
    <row r="652" ht="15" customHeight="1">
      <c r="A652" t="inlineStr">
        <is>
          <t>A 38148-2022</t>
        </is>
      </c>
      <c r="B652" s="1" t="n">
        <v>44811</v>
      </c>
      <c r="C652" s="1" t="n">
        <v>46161</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31944-2023</t>
        </is>
      </c>
      <c r="B653" s="1" t="n">
        <v>45119.34895833334</v>
      </c>
      <c r="C653" s="1" t="n">
        <v>46161</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1706-2025</t>
        </is>
      </c>
      <c r="B654" s="1" t="n">
        <v>45670</v>
      </c>
      <c r="C654" s="1" t="n">
        <v>46161</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32981-2025</t>
        </is>
      </c>
      <c r="B655" s="1" t="n">
        <v>45839.86820601852</v>
      </c>
      <c r="C655" s="1" t="n">
        <v>46161</v>
      </c>
      <c r="D655" t="inlineStr">
        <is>
          <t>SKÅNE LÄN</t>
        </is>
      </c>
      <c r="E655" t="inlineStr">
        <is>
          <t>HÄSSLEHOLM</t>
        </is>
      </c>
      <c r="G655" t="n">
        <v>2.7</v>
      </c>
      <c r="H655" t="n">
        <v>0</v>
      </c>
      <c r="I655" t="n">
        <v>0</v>
      </c>
      <c r="J655" t="n">
        <v>0</v>
      </c>
      <c r="K655" t="n">
        <v>0</v>
      </c>
      <c r="L655" t="n">
        <v>0</v>
      </c>
      <c r="M655" t="n">
        <v>0</v>
      </c>
      <c r="N655" t="n">
        <v>0</v>
      </c>
      <c r="O655" t="n">
        <v>0</v>
      </c>
      <c r="P655" t="n">
        <v>0</v>
      </c>
      <c r="Q655" t="n">
        <v>0</v>
      </c>
      <c r="R655" s="2" t="inlineStr"/>
    </row>
    <row r="656" ht="15" customHeight="1">
      <c r="A656" t="inlineStr">
        <is>
          <t>A 56797-2025</t>
        </is>
      </c>
      <c r="B656" s="1" t="n">
        <v>45978.43273148148</v>
      </c>
      <c r="C656" s="1" t="n">
        <v>46161</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56798-2025</t>
        </is>
      </c>
      <c r="B657" s="1" t="n">
        <v>45978.43378472222</v>
      </c>
      <c r="C657" s="1" t="n">
        <v>46161</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16862-2025</t>
        </is>
      </c>
      <c r="B658" s="1" t="n">
        <v>45751</v>
      </c>
      <c r="C658" s="1" t="n">
        <v>46161</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18109-2025</t>
        </is>
      </c>
      <c r="B659" s="1" t="n">
        <v>45761</v>
      </c>
      <c r="C659" s="1" t="n">
        <v>46161</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55056-2021</t>
        </is>
      </c>
      <c r="B660" s="1" t="n">
        <v>44474.62072916667</v>
      </c>
      <c r="C660" s="1" t="n">
        <v>46161</v>
      </c>
      <c r="D660" t="inlineStr">
        <is>
          <t>SKÅNE LÄN</t>
        </is>
      </c>
      <c r="E660" t="inlineStr">
        <is>
          <t>HÄSSLEHOLM</t>
        </is>
      </c>
      <c r="G660" t="n">
        <v>2.5</v>
      </c>
      <c r="H660" t="n">
        <v>0</v>
      </c>
      <c r="I660" t="n">
        <v>0</v>
      </c>
      <c r="J660" t="n">
        <v>0</v>
      </c>
      <c r="K660" t="n">
        <v>0</v>
      </c>
      <c r="L660" t="n">
        <v>0</v>
      </c>
      <c r="M660" t="n">
        <v>0</v>
      </c>
      <c r="N660" t="n">
        <v>0</v>
      </c>
      <c r="O660" t="n">
        <v>0</v>
      </c>
      <c r="P660" t="n">
        <v>0</v>
      </c>
      <c r="Q660" t="n">
        <v>0</v>
      </c>
      <c r="R660" s="2" t="inlineStr"/>
    </row>
    <row r="661" ht="15" customHeight="1">
      <c r="A661" t="inlineStr">
        <is>
          <t>A 13544-2025</t>
        </is>
      </c>
      <c r="B661" s="1" t="n">
        <v>45736</v>
      </c>
      <c r="C661" s="1" t="n">
        <v>46161</v>
      </c>
      <c r="D661" t="inlineStr">
        <is>
          <t>SKÅNE LÄN</t>
        </is>
      </c>
      <c r="E661" t="inlineStr">
        <is>
          <t>HÄSSLEHOLM</t>
        </is>
      </c>
      <c r="G661" t="n">
        <v>2.5</v>
      </c>
      <c r="H661" t="n">
        <v>0</v>
      </c>
      <c r="I661" t="n">
        <v>0</v>
      </c>
      <c r="J661" t="n">
        <v>0</v>
      </c>
      <c r="K661" t="n">
        <v>0</v>
      </c>
      <c r="L661" t="n">
        <v>0</v>
      </c>
      <c r="M661" t="n">
        <v>0</v>
      </c>
      <c r="N661" t="n">
        <v>0</v>
      </c>
      <c r="O661" t="n">
        <v>0</v>
      </c>
      <c r="P661" t="n">
        <v>0</v>
      </c>
      <c r="Q661" t="n">
        <v>0</v>
      </c>
      <c r="R661" s="2" t="inlineStr"/>
    </row>
    <row r="662" ht="15" customHeight="1">
      <c r="A662" t="inlineStr">
        <is>
          <t>A 8755-2024</t>
        </is>
      </c>
      <c r="B662" s="1" t="n">
        <v>45356</v>
      </c>
      <c r="C662" s="1" t="n">
        <v>46161</v>
      </c>
      <c r="D662" t="inlineStr">
        <is>
          <t>SKÅNE LÄN</t>
        </is>
      </c>
      <c r="E662" t="inlineStr">
        <is>
          <t>HÄSSLEHOLM</t>
        </is>
      </c>
      <c r="G662" t="n">
        <v>1.4</v>
      </c>
      <c r="H662" t="n">
        <v>0</v>
      </c>
      <c r="I662" t="n">
        <v>0</v>
      </c>
      <c r="J662" t="n">
        <v>0</v>
      </c>
      <c r="K662" t="n">
        <v>0</v>
      </c>
      <c r="L662" t="n">
        <v>0</v>
      </c>
      <c r="M662" t="n">
        <v>0</v>
      </c>
      <c r="N662" t="n">
        <v>0</v>
      </c>
      <c r="O662" t="n">
        <v>0</v>
      </c>
      <c r="P662" t="n">
        <v>0</v>
      </c>
      <c r="Q662" t="n">
        <v>0</v>
      </c>
      <c r="R662" s="2" t="inlineStr"/>
    </row>
    <row r="663" ht="15" customHeight="1">
      <c r="A663" t="inlineStr">
        <is>
          <t>A 8760-2024</t>
        </is>
      </c>
      <c r="B663" s="1" t="n">
        <v>45356.53420138889</v>
      </c>
      <c r="C663" s="1" t="n">
        <v>46161</v>
      </c>
      <c r="D663" t="inlineStr">
        <is>
          <t>SKÅNE LÄN</t>
        </is>
      </c>
      <c r="E663" t="inlineStr">
        <is>
          <t>HÄSSLEHOLM</t>
        </is>
      </c>
      <c r="G663" t="n">
        <v>6.1</v>
      </c>
      <c r="H663" t="n">
        <v>0</v>
      </c>
      <c r="I663" t="n">
        <v>0</v>
      </c>
      <c r="J663" t="n">
        <v>0</v>
      </c>
      <c r="K663" t="n">
        <v>0</v>
      </c>
      <c r="L663" t="n">
        <v>0</v>
      </c>
      <c r="M663" t="n">
        <v>0</v>
      </c>
      <c r="N663" t="n">
        <v>0</v>
      </c>
      <c r="O663" t="n">
        <v>0</v>
      </c>
      <c r="P663" t="n">
        <v>0</v>
      </c>
      <c r="Q663" t="n">
        <v>0</v>
      </c>
      <c r="R663" s="2" t="inlineStr"/>
    </row>
    <row r="664" ht="15" customHeight="1">
      <c r="A664" t="inlineStr">
        <is>
          <t>A 33257-2024</t>
        </is>
      </c>
      <c r="B664" s="1" t="n">
        <v>45518</v>
      </c>
      <c r="C664" s="1" t="n">
        <v>46161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56794-2025</t>
        </is>
      </c>
      <c r="B665" s="1" t="n">
        <v>45978.43039351852</v>
      </c>
      <c r="C665" s="1" t="n">
        <v>46161</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55569-2025</t>
        </is>
      </c>
      <c r="B666" s="1" t="n">
        <v>45971</v>
      </c>
      <c r="C666" s="1" t="n">
        <v>46161</v>
      </c>
      <c r="D666" t="inlineStr">
        <is>
          <t>SKÅNE LÄN</t>
        </is>
      </c>
      <c r="E666" t="inlineStr">
        <is>
          <t>HÄSSLEHOLM</t>
        </is>
      </c>
      <c r="G666" t="n">
        <v>4.2</v>
      </c>
      <c r="H666" t="n">
        <v>0</v>
      </c>
      <c r="I666" t="n">
        <v>0</v>
      </c>
      <c r="J666" t="n">
        <v>0</v>
      </c>
      <c r="K666" t="n">
        <v>0</v>
      </c>
      <c r="L666" t="n">
        <v>0</v>
      </c>
      <c r="M666" t="n">
        <v>0</v>
      </c>
      <c r="N666" t="n">
        <v>0</v>
      </c>
      <c r="O666" t="n">
        <v>0</v>
      </c>
      <c r="P666" t="n">
        <v>0</v>
      </c>
      <c r="Q666" t="n">
        <v>0</v>
      </c>
      <c r="R666" s="2" t="inlineStr"/>
    </row>
    <row r="667" ht="15" customHeight="1">
      <c r="A667" t="inlineStr">
        <is>
          <t>A 57817-2025</t>
        </is>
      </c>
      <c r="B667" s="1" t="n">
        <v>45981.59475694445</v>
      </c>
      <c r="C667" s="1" t="n">
        <v>46161</v>
      </c>
      <c r="D667" t="inlineStr">
        <is>
          <t>SKÅNE LÄN</t>
        </is>
      </c>
      <c r="E667" t="inlineStr">
        <is>
          <t>HÄSSLEHOLM</t>
        </is>
      </c>
      <c r="G667" t="n">
        <v>3.8</v>
      </c>
      <c r="H667" t="n">
        <v>0</v>
      </c>
      <c r="I667" t="n">
        <v>0</v>
      </c>
      <c r="J667" t="n">
        <v>0</v>
      </c>
      <c r="K667" t="n">
        <v>0</v>
      </c>
      <c r="L667" t="n">
        <v>0</v>
      </c>
      <c r="M667" t="n">
        <v>0</v>
      </c>
      <c r="N667" t="n">
        <v>0</v>
      </c>
      <c r="O667" t="n">
        <v>0</v>
      </c>
      <c r="P667" t="n">
        <v>0</v>
      </c>
      <c r="Q667" t="n">
        <v>0</v>
      </c>
      <c r="R667" s="2" t="inlineStr"/>
    </row>
    <row r="668" ht="15" customHeight="1">
      <c r="A668" t="inlineStr">
        <is>
          <t>A 24865-2024</t>
        </is>
      </c>
      <c r="B668" s="1" t="n">
        <v>45461.48974537037</v>
      </c>
      <c r="C668" s="1" t="n">
        <v>46161</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30092-2025</t>
        </is>
      </c>
      <c r="B669" s="1" t="n">
        <v>45826</v>
      </c>
      <c r="C669" s="1" t="n">
        <v>46161</v>
      </c>
      <c r="D669" t="inlineStr">
        <is>
          <t>SKÅNE LÄN</t>
        </is>
      </c>
      <c r="E669" t="inlineStr">
        <is>
          <t>HÄSSLEHOLM</t>
        </is>
      </c>
      <c r="G669" t="n">
        <v>1.4</v>
      </c>
      <c r="H669" t="n">
        <v>0</v>
      </c>
      <c r="I669" t="n">
        <v>0</v>
      </c>
      <c r="J669" t="n">
        <v>0</v>
      </c>
      <c r="K669" t="n">
        <v>0</v>
      </c>
      <c r="L669" t="n">
        <v>0</v>
      </c>
      <c r="M669" t="n">
        <v>0</v>
      </c>
      <c r="N669" t="n">
        <v>0</v>
      </c>
      <c r="O669" t="n">
        <v>0</v>
      </c>
      <c r="P669" t="n">
        <v>0</v>
      </c>
      <c r="Q669" t="n">
        <v>0</v>
      </c>
      <c r="R669" s="2" t="inlineStr"/>
    </row>
    <row r="670" ht="15" customHeight="1">
      <c r="A670" t="inlineStr">
        <is>
          <t>A 30109-2025</t>
        </is>
      </c>
      <c r="B670" s="1" t="n">
        <v>45826</v>
      </c>
      <c r="C670" s="1" t="n">
        <v>46161</v>
      </c>
      <c r="D670" t="inlineStr">
        <is>
          <t>SKÅNE LÄN</t>
        </is>
      </c>
      <c r="E670" t="inlineStr">
        <is>
          <t>HÄSSLEHOLM</t>
        </is>
      </c>
      <c r="G670" t="n">
        <v>2.4</v>
      </c>
      <c r="H670" t="n">
        <v>0</v>
      </c>
      <c r="I670" t="n">
        <v>0</v>
      </c>
      <c r="J670" t="n">
        <v>0</v>
      </c>
      <c r="K670" t="n">
        <v>0</v>
      </c>
      <c r="L670" t="n">
        <v>0</v>
      </c>
      <c r="M670" t="n">
        <v>0</v>
      </c>
      <c r="N670" t="n">
        <v>0</v>
      </c>
      <c r="O670" t="n">
        <v>0</v>
      </c>
      <c r="P670" t="n">
        <v>0</v>
      </c>
      <c r="Q670" t="n">
        <v>0</v>
      </c>
      <c r="R670" s="2" t="inlineStr"/>
    </row>
    <row r="671" ht="15" customHeight="1">
      <c r="A671" t="inlineStr">
        <is>
          <t>A 58272-2024</t>
        </is>
      </c>
      <c r="B671" s="1" t="n">
        <v>45632.57025462963</v>
      </c>
      <c r="C671" s="1" t="n">
        <v>46161</v>
      </c>
      <c r="D671" t="inlineStr">
        <is>
          <t>SKÅNE LÄN</t>
        </is>
      </c>
      <c r="E671" t="inlineStr">
        <is>
          <t>HÄSSLEHOLM</t>
        </is>
      </c>
      <c r="G671" t="n">
        <v>2.3</v>
      </c>
      <c r="H671" t="n">
        <v>0</v>
      </c>
      <c r="I671" t="n">
        <v>0</v>
      </c>
      <c r="J671" t="n">
        <v>0</v>
      </c>
      <c r="K671" t="n">
        <v>0</v>
      </c>
      <c r="L671" t="n">
        <v>0</v>
      </c>
      <c r="M671" t="n">
        <v>0</v>
      </c>
      <c r="N671" t="n">
        <v>0</v>
      </c>
      <c r="O671" t="n">
        <v>0</v>
      </c>
      <c r="P671" t="n">
        <v>0</v>
      </c>
      <c r="Q671" t="n">
        <v>0</v>
      </c>
      <c r="R671" s="2" t="inlineStr"/>
    </row>
    <row r="672" ht="15" customHeight="1">
      <c r="A672" t="inlineStr">
        <is>
          <t>A 18580-2023</t>
        </is>
      </c>
      <c r="B672" s="1" t="n">
        <v>45043.37037037037</v>
      </c>
      <c r="C672" s="1" t="n">
        <v>46161</v>
      </c>
      <c r="D672" t="inlineStr">
        <is>
          <t>SKÅNE LÄN</t>
        </is>
      </c>
      <c r="E672" t="inlineStr">
        <is>
          <t>HÄSSLEHOLM</t>
        </is>
      </c>
      <c r="G672" t="n">
        <v>1.5</v>
      </c>
      <c r="H672" t="n">
        <v>0</v>
      </c>
      <c r="I672" t="n">
        <v>0</v>
      </c>
      <c r="J672" t="n">
        <v>0</v>
      </c>
      <c r="K672" t="n">
        <v>0</v>
      </c>
      <c r="L672" t="n">
        <v>0</v>
      </c>
      <c r="M672" t="n">
        <v>0</v>
      </c>
      <c r="N672" t="n">
        <v>0</v>
      </c>
      <c r="O672" t="n">
        <v>0</v>
      </c>
      <c r="P672" t="n">
        <v>0</v>
      </c>
      <c r="Q672" t="n">
        <v>0</v>
      </c>
      <c r="R672" s="2" t="inlineStr"/>
    </row>
    <row r="673" ht="15" customHeight="1">
      <c r="A673" t="inlineStr">
        <is>
          <t>A 9611-2025</t>
        </is>
      </c>
      <c r="B673" s="1" t="n">
        <v>45715</v>
      </c>
      <c r="C673" s="1" t="n">
        <v>46161</v>
      </c>
      <c r="D673" t="inlineStr">
        <is>
          <t>SKÅNE LÄN</t>
        </is>
      </c>
      <c r="E673" t="inlineStr">
        <is>
          <t>HÄSSLEHOLM</t>
        </is>
      </c>
      <c r="G673" t="n">
        <v>2.1</v>
      </c>
      <c r="H673" t="n">
        <v>0</v>
      </c>
      <c r="I673" t="n">
        <v>0</v>
      </c>
      <c r="J673" t="n">
        <v>0</v>
      </c>
      <c r="K673" t="n">
        <v>0</v>
      </c>
      <c r="L673" t="n">
        <v>0</v>
      </c>
      <c r="M673" t="n">
        <v>0</v>
      </c>
      <c r="N673" t="n">
        <v>0</v>
      </c>
      <c r="O673" t="n">
        <v>0</v>
      </c>
      <c r="P673" t="n">
        <v>0</v>
      </c>
      <c r="Q673" t="n">
        <v>0</v>
      </c>
      <c r="R673" s="2" t="inlineStr"/>
    </row>
    <row r="674" ht="15" customHeight="1">
      <c r="A674" t="inlineStr">
        <is>
          <t>A 58241-2025</t>
        </is>
      </c>
      <c r="B674" s="1" t="n">
        <v>45985.38797453704</v>
      </c>
      <c r="C674" s="1" t="n">
        <v>46161</v>
      </c>
      <c r="D674" t="inlineStr">
        <is>
          <t>SKÅNE LÄN</t>
        </is>
      </c>
      <c r="E674" t="inlineStr">
        <is>
          <t>HÄSSLEHOLM</t>
        </is>
      </c>
      <c r="G674" t="n">
        <v>3.6</v>
      </c>
      <c r="H674" t="n">
        <v>0</v>
      </c>
      <c r="I674" t="n">
        <v>0</v>
      </c>
      <c r="J674" t="n">
        <v>0</v>
      </c>
      <c r="K674" t="n">
        <v>0</v>
      </c>
      <c r="L674" t="n">
        <v>0</v>
      </c>
      <c r="M674" t="n">
        <v>0</v>
      </c>
      <c r="N674" t="n">
        <v>0</v>
      </c>
      <c r="O674" t="n">
        <v>0</v>
      </c>
      <c r="P674" t="n">
        <v>0</v>
      </c>
      <c r="Q674" t="n">
        <v>0</v>
      </c>
      <c r="R674" s="2" t="inlineStr"/>
    </row>
    <row r="675" ht="15" customHeight="1">
      <c r="A675" t="inlineStr">
        <is>
          <t>A 24906-2022</t>
        </is>
      </c>
      <c r="B675" s="1" t="n">
        <v>44728</v>
      </c>
      <c r="C675" s="1" t="n">
        <v>46161</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3890-2024</t>
        </is>
      </c>
      <c r="B676" s="1" t="n">
        <v>45322.45366898148</v>
      </c>
      <c r="C676" s="1" t="n">
        <v>46161</v>
      </c>
      <c r="D676" t="inlineStr">
        <is>
          <t>SKÅNE LÄN</t>
        </is>
      </c>
      <c r="E676" t="inlineStr">
        <is>
          <t>HÄSSLEHOLM</t>
        </is>
      </c>
      <c r="G676" t="n">
        <v>3</v>
      </c>
      <c r="H676" t="n">
        <v>0</v>
      </c>
      <c r="I676" t="n">
        <v>0</v>
      </c>
      <c r="J676" t="n">
        <v>0</v>
      </c>
      <c r="K676" t="n">
        <v>0</v>
      </c>
      <c r="L676" t="n">
        <v>0</v>
      </c>
      <c r="M676" t="n">
        <v>0</v>
      </c>
      <c r="N676" t="n">
        <v>0</v>
      </c>
      <c r="O676" t="n">
        <v>0</v>
      </c>
      <c r="P676" t="n">
        <v>0</v>
      </c>
      <c r="Q676" t="n">
        <v>0</v>
      </c>
      <c r="R676" s="2" t="inlineStr"/>
    </row>
    <row r="677" ht="15" customHeight="1">
      <c r="A677" t="inlineStr">
        <is>
          <t>A 15800-2025</t>
        </is>
      </c>
      <c r="B677" s="1" t="n">
        <v>45748.64831018518</v>
      </c>
      <c r="C677" s="1" t="n">
        <v>46161</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13897-2024</t>
        </is>
      </c>
      <c r="B678" s="1" t="n">
        <v>45391</v>
      </c>
      <c r="C678" s="1" t="n">
        <v>46161</v>
      </c>
      <c r="D678" t="inlineStr">
        <is>
          <t>SKÅNE LÄN</t>
        </is>
      </c>
      <c r="E678" t="inlineStr">
        <is>
          <t>HÄSSLEHOLM</t>
        </is>
      </c>
      <c r="F678" t="inlineStr">
        <is>
          <t>Kommuner</t>
        </is>
      </c>
      <c r="G678" t="n">
        <v>4</v>
      </c>
      <c r="H678" t="n">
        <v>0</v>
      </c>
      <c r="I678" t="n">
        <v>0</v>
      </c>
      <c r="J678" t="n">
        <v>0</v>
      </c>
      <c r="K678" t="n">
        <v>0</v>
      </c>
      <c r="L678" t="n">
        <v>0</v>
      </c>
      <c r="M678" t="n">
        <v>0</v>
      </c>
      <c r="N678" t="n">
        <v>0</v>
      </c>
      <c r="O678" t="n">
        <v>0</v>
      </c>
      <c r="P678" t="n">
        <v>0</v>
      </c>
      <c r="Q678" t="n">
        <v>0</v>
      </c>
      <c r="R678" s="2" t="inlineStr"/>
    </row>
    <row r="679" ht="15" customHeight="1">
      <c r="A679" t="inlineStr">
        <is>
          <t>A 56355-2023</t>
        </is>
      </c>
      <c r="B679" s="1" t="n">
        <v>45243.3702662037</v>
      </c>
      <c r="C679" s="1" t="n">
        <v>46161</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11753-2025</t>
        </is>
      </c>
      <c r="B680" s="1" t="n">
        <v>45727</v>
      </c>
      <c r="C680" s="1" t="n">
        <v>46161</v>
      </c>
      <c r="D680" t="inlineStr">
        <is>
          <t>SKÅNE LÄN</t>
        </is>
      </c>
      <c r="E680" t="inlineStr">
        <is>
          <t>HÄSSLEHOLM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58933-2025</t>
        </is>
      </c>
      <c r="B681" s="1" t="n">
        <v>45987.56107638889</v>
      </c>
      <c r="C681" s="1" t="n">
        <v>46161</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59246-2024</t>
        </is>
      </c>
      <c r="B682" s="1" t="n">
        <v>45636</v>
      </c>
      <c r="C682" s="1" t="n">
        <v>46161</v>
      </c>
      <c r="D682" t="inlineStr">
        <is>
          <t>SKÅNE LÄN</t>
        </is>
      </c>
      <c r="E682" t="inlineStr">
        <is>
          <t>HÄSSLEHOLM</t>
        </is>
      </c>
      <c r="G682" t="n">
        <v>2.6</v>
      </c>
      <c r="H682" t="n">
        <v>0</v>
      </c>
      <c r="I682" t="n">
        <v>0</v>
      </c>
      <c r="J682" t="n">
        <v>0</v>
      </c>
      <c r="K682" t="n">
        <v>0</v>
      </c>
      <c r="L682" t="n">
        <v>0</v>
      </c>
      <c r="M682" t="n">
        <v>0</v>
      </c>
      <c r="N682" t="n">
        <v>0</v>
      </c>
      <c r="O682" t="n">
        <v>0</v>
      </c>
      <c r="P682" t="n">
        <v>0</v>
      </c>
      <c r="Q682" t="n">
        <v>0</v>
      </c>
      <c r="R682" s="2" t="inlineStr"/>
    </row>
    <row r="683" ht="15" customHeight="1">
      <c r="A683" t="inlineStr">
        <is>
          <t>A 20800-2023</t>
        </is>
      </c>
      <c r="B683" s="1" t="n">
        <v>45058.61640046296</v>
      </c>
      <c r="C683" s="1" t="n">
        <v>46161</v>
      </c>
      <c r="D683" t="inlineStr">
        <is>
          <t>SKÅNE LÄN</t>
        </is>
      </c>
      <c r="E683" t="inlineStr">
        <is>
          <t>HÄSSLEHOLM</t>
        </is>
      </c>
      <c r="G683" t="n">
        <v>0.4</v>
      </c>
      <c r="H683" t="n">
        <v>0</v>
      </c>
      <c r="I683" t="n">
        <v>0</v>
      </c>
      <c r="J683" t="n">
        <v>0</v>
      </c>
      <c r="K683" t="n">
        <v>0</v>
      </c>
      <c r="L683" t="n">
        <v>0</v>
      </c>
      <c r="M683" t="n">
        <v>0</v>
      </c>
      <c r="N683" t="n">
        <v>0</v>
      </c>
      <c r="O683" t="n">
        <v>0</v>
      </c>
      <c r="P683" t="n">
        <v>0</v>
      </c>
      <c r="Q683" t="n">
        <v>0</v>
      </c>
      <c r="R683" s="2" t="inlineStr"/>
    </row>
    <row r="684" ht="15" customHeight="1">
      <c r="A684" t="inlineStr">
        <is>
          <t>A 11019-2025</t>
        </is>
      </c>
      <c r="B684" s="1" t="n">
        <v>45723</v>
      </c>
      <c r="C684" s="1" t="n">
        <v>46161</v>
      </c>
      <c r="D684" t="inlineStr">
        <is>
          <t>SKÅNE LÄN</t>
        </is>
      </c>
      <c r="E684" t="inlineStr">
        <is>
          <t>HÄSSLEHOLM</t>
        </is>
      </c>
      <c r="G684" t="n">
        <v>3.2</v>
      </c>
      <c r="H684" t="n">
        <v>0</v>
      </c>
      <c r="I684" t="n">
        <v>0</v>
      </c>
      <c r="J684" t="n">
        <v>0</v>
      </c>
      <c r="K684" t="n">
        <v>0</v>
      </c>
      <c r="L684" t="n">
        <v>0</v>
      </c>
      <c r="M684" t="n">
        <v>0</v>
      </c>
      <c r="N684" t="n">
        <v>0</v>
      </c>
      <c r="O684" t="n">
        <v>0</v>
      </c>
      <c r="P684" t="n">
        <v>0</v>
      </c>
      <c r="Q684" t="n">
        <v>0</v>
      </c>
      <c r="R684" s="2" t="inlineStr"/>
    </row>
    <row r="685" ht="15" customHeight="1">
      <c r="A685" t="inlineStr">
        <is>
          <t>A 11681-2023</t>
        </is>
      </c>
      <c r="B685" s="1" t="n">
        <v>44992</v>
      </c>
      <c r="C685" s="1" t="n">
        <v>46161</v>
      </c>
      <c r="D685" t="inlineStr">
        <is>
          <t>SKÅNE LÄN</t>
        </is>
      </c>
      <c r="E685" t="inlineStr">
        <is>
          <t>HÄSSLEHOLM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33927-2021</t>
        </is>
      </c>
      <c r="B686" s="1" t="n">
        <v>44378</v>
      </c>
      <c r="C686" s="1" t="n">
        <v>46161</v>
      </c>
      <c r="D686" t="inlineStr">
        <is>
          <t>SKÅNE LÄN</t>
        </is>
      </c>
      <c r="E686" t="inlineStr">
        <is>
          <t>HÄSSLEHOLM</t>
        </is>
      </c>
      <c r="G686" t="n">
        <v>16.7</v>
      </c>
      <c r="H686" t="n">
        <v>0</v>
      </c>
      <c r="I686" t="n">
        <v>0</v>
      </c>
      <c r="J686" t="n">
        <v>0</v>
      </c>
      <c r="K686" t="n">
        <v>0</v>
      </c>
      <c r="L686" t="n">
        <v>0</v>
      </c>
      <c r="M686" t="n">
        <v>0</v>
      </c>
      <c r="N686" t="n">
        <v>0</v>
      </c>
      <c r="O686" t="n">
        <v>0</v>
      </c>
      <c r="P686" t="n">
        <v>0</v>
      </c>
      <c r="Q686" t="n">
        <v>0</v>
      </c>
      <c r="R686" s="2" t="inlineStr"/>
    </row>
    <row r="687" ht="15" customHeight="1">
      <c r="A687" t="inlineStr">
        <is>
          <t>A 7305-2025</t>
        </is>
      </c>
      <c r="B687" s="1" t="n">
        <v>45702</v>
      </c>
      <c r="C687" s="1" t="n">
        <v>46161</v>
      </c>
      <c r="D687" t="inlineStr">
        <is>
          <t>SKÅNE LÄN</t>
        </is>
      </c>
      <c r="E687" t="inlineStr">
        <is>
          <t>HÄSSLEHOLM</t>
        </is>
      </c>
      <c r="F687" t="inlineStr">
        <is>
          <t>Övriga Aktiebolag</t>
        </is>
      </c>
      <c r="G687" t="n">
        <v>2.2</v>
      </c>
      <c r="H687" t="n">
        <v>0</v>
      </c>
      <c r="I687" t="n">
        <v>0</v>
      </c>
      <c r="J687" t="n">
        <v>0</v>
      </c>
      <c r="K687" t="n">
        <v>0</v>
      </c>
      <c r="L687" t="n">
        <v>0</v>
      </c>
      <c r="M687" t="n">
        <v>0</v>
      </c>
      <c r="N687" t="n">
        <v>0</v>
      </c>
      <c r="O687" t="n">
        <v>0</v>
      </c>
      <c r="P687" t="n">
        <v>0</v>
      </c>
      <c r="Q687" t="n">
        <v>0</v>
      </c>
      <c r="R687" s="2" t="inlineStr"/>
    </row>
    <row r="688" ht="15" customHeight="1">
      <c r="A688" t="inlineStr">
        <is>
          <t>A 5116-2023</t>
        </is>
      </c>
      <c r="B688" s="1" t="n">
        <v>44958.67546296296</v>
      </c>
      <c r="C688" s="1" t="n">
        <v>46161</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42364-2023</t>
        </is>
      </c>
      <c r="B689" s="1" t="n">
        <v>45180.54754629629</v>
      </c>
      <c r="C689" s="1" t="n">
        <v>46161</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54408-2024</t>
        </is>
      </c>
      <c r="B690" s="1" t="n">
        <v>45617.47263888889</v>
      </c>
      <c r="C690" s="1" t="n">
        <v>46161</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5780-2024</t>
        </is>
      </c>
      <c r="B691" s="1" t="n">
        <v>45335.41983796296</v>
      </c>
      <c r="C691" s="1" t="n">
        <v>46161</v>
      </c>
      <c r="D691" t="inlineStr">
        <is>
          <t>SKÅNE LÄN</t>
        </is>
      </c>
      <c r="E691" t="inlineStr">
        <is>
          <t>HÄSSLEHOLM</t>
        </is>
      </c>
      <c r="G691" t="n">
        <v>2.5</v>
      </c>
      <c r="H691" t="n">
        <v>0</v>
      </c>
      <c r="I691" t="n">
        <v>0</v>
      </c>
      <c r="J691" t="n">
        <v>0</v>
      </c>
      <c r="K691" t="n">
        <v>0</v>
      </c>
      <c r="L691" t="n">
        <v>0</v>
      </c>
      <c r="M691" t="n">
        <v>0</v>
      </c>
      <c r="N691" t="n">
        <v>0</v>
      </c>
      <c r="O691" t="n">
        <v>0</v>
      </c>
      <c r="P691" t="n">
        <v>0</v>
      </c>
      <c r="Q691" t="n">
        <v>0</v>
      </c>
      <c r="R691" s="2" t="inlineStr"/>
    </row>
    <row r="692" ht="15" customHeight="1">
      <c r="A692" t="inlineStr">
        <is>
          <t>A 7481-2023</t>
        </is>
      </c>
      <c r="B692" s="1" t="n">
        <v>44971</v>
      </c>
      <c r="C692" s="1" t="n">
        <v>46161</v>
      </c>
      <c r="D692" t="inlineStr">
        <is>
          <t>SKÅNE LÄN</t>
        </is>
      </c>
      <c r="E692" t="inlineStr">
        <is>
          <t>HÄSSLEHOLM</t>
        </is>
      </c>
      <c r="G692" t="n">
        <v>1.4</v>
      </c>
      <c r="H692" t="n">
        <v>0</v>
      </c>
      <c r="I692" t="n">
        <v>0</v>
      </c>
      <c r="J692" t="n">
        <v>0</v>
      </c>
      <c r="K692" t="n">
        <v>0</v>
      </c>
      <c r="L692" t="n">
        <v>0</v>
      </c>
      <c r="M692" t="n">
        <v>0</v>
      </c>
      <c r="N692" t="n">
        <v>0</v>
      </c>
      <c r="O692" t="n">
        <v>0</v>
      </c>
      <c r="P692" t="n">
        <v>0</v>
      </c>
      <c r="Q692" t="n">
        <v>0</v>
      </c>
      <c r="R692" s="2" t="inlineStr"/>
    </row>
    <row r="693" ht="15" customHeight="1">
      <c r="A693" t="inlineStr">
        <is>
          <t>A 59728-2022</t>
        </is>
      </c>
      <c r="B693" s="1" t="n">
        <v>44900</v>
      </c>
      <c r="C693" s="1" t="n">
        <v>46161</v>
      </c>
      <c r="D693" t="inlineStr">
        <is>
          <t>SKÅNE LÄN</t>
        </is>
      </c>
      <c r="E693" t="inlineStr">
        <is>
          <t>HÄSSLEHOLM</t>
        </is>
      </c>
      <c r="G693" t="n">
        <v>0.3</v>
      </c>
      <c r="H693" t="n">
        <v>0</v>
      </c>
      <c r="I693" t="n">
        <v>0</v>
      </c>
      <c r="J693" t="n">
        <v>0</v>
      </c>
      <c r="K693" t="n">
        <v>0</v>
      </c>
      <c r="L693" t="n">
        <v>0</v>
      </c>
      <c r="M693" t="n">
        <v>0</v>
      </c>
      <c r="N693" t="n">
        <v>0</v>
      </c>
      <c r="O693" t="n">
        <v>0</v>
      </c>
      <c r="P693" t="n">
        <v>0</v>
      </c>
      <c r="Q693" t="n">
        <v>0</v>
      </c>
      <c r="R693" s="2" t="inlineStr"/>
    </row>
    <row r="694" ht="15" customHeight="1">
      <c r="A694" t="inlineStr">
        <is>
          <t>A 59722-2025</t>
        </is>
      </c>
      <c r="B694" s="1" t="n">
        <v>45992.5474537037</v>
      </c>
      <c r="C694" s="1" t="n">
        <v>46161</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1616-2025</t>
        </is>
      </c>
      <c r="B695" s="1" t="n">
        <v>45670</v>
      </c>
      <c r="C695" s="1" t="n">
        <v>46161</v>
      </c>
      <c r="D695" t="inlineStr">
        <is>
          <t>SKÅNE LÄN</t>
        </is>
      </c>
      <c r="E695" t="inlineStr">
        <is>
          <t>HÄSSLEHOLM</t>
        </is>
      </c>
      <c r="G695" t="n">
        <v>3.6</v>
      </c>
      <c r="H695" t="n">
        <v>0</v>
      </c>
      <c r="I695" t="n">
        <v>0</v>
      </c>
      <c r="J695" t="n">
        <v>0</v>
      </c>
      <c r="K695" t="n">
        <v>0</v>
      </c>
      <c r="L695" t="n">
        <v>0</v>
      </c>
      <c r="M695" t="n">
        <v>0</v>
      </c>
      <c r="N695" t="n">
        <v>0</v>
      </c>
      <c r="O695" t="n">
        <v>0</v>
      </c>
      <c r="P695" t="n">
        <v>0</v>
      </c>
      <c r="Q695" t="n">
        <v>0</v>
      </c>
      <c r="R695" s="2" t="inlineStr"/>
    </row>
    <row r="696" ht="15" customHeight="1">
      <c r="A696" t="inlineStr">
        <is>
          <t>A 53055-2021</t>
        </is>
      </c>
      <c r="B696" s="1" t="n">
        <v>44467</v>
      </c>
      <c r="C696" s="1" t="n">
        <v>46161</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23683-2023</t>
        </is>
      </c>
      <c r="B697" s="1" t="n">
        <v>45077</v>
      </c>
      <c r="C697" s="1" t="n">
        <v>46161</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2663-2023</t>
        </is>
      </c>
      <c r="B698" s="1" t="n">
        <v>44942</v>
      </c>
      <c r="C698" s="1" t="n">
        <v>46161</v>
      </c>
      <c r="D698" t="inlineStr">
        <is>
          <t>SKÅNE LÄN</t>
        </is>
      </c>
      <c r="E698" t="inlineStr">
        <is>
          <t>HÄSSLEHOLM</t>
        </is>
      </c>
      <c r="F698" t="inlineStr">
        <is>
          <t>Kyrkan</t>
        </is>
      </c>
      <c r="G698" t="n">
        <v>0.8</v>
      </c>
      <c r="H698" t="n">
        <v>0</v>
      </c>
      <c r="I698" t="n">
        <v>0</v>
      </c>
      <c r="J698" t="n">
        <v>0</v>
      </c>
      <c r="K698" t="n">
        <v>0</v>
      </c>
      <c r="L698" t="n">
        <v>0</v>
      </c>
      <c r="M698" t="n">
        <v>0</v>
      </c>
      <c r="N698" t="n">
        <v>0</v>
      </c>
      <c r="O698" t="n">
        <v>0</v>
      </c>
      <c r="P698" t="n">
        <v>0</v>
      </c>
      <c r="Q698" t="n">
        <v>0</v>
      </c>
      <c r="R698" s="2" t="inlineStr"/>
    </row>
    <row r="699" ht="15" customHeight="1">
      <c r="A699" t="inlineStr">
        <is>
          <t>A 23172-2022</t>
        </is>
      </c>
      <c r="B699" s="1" t="n">
        <v>44719</v>
      </c>
      <c r="C699" s="1" t="n">
        <v>46161</v>
      </c>
      <c r="D699" t="inlineStr">
        <is>
          <t>SKÅNE LÄN</t>
        </is>
      </c>
      <c r="E699" t="inlineStr">
        <is>
          <t>HÄSSLEHOLM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23173-2022</t>
        </is>
      </c>
      <c r="B700" s="1" t="n">
        <v>44719.72155092593</v>
      </c>
      <c r="C700" s="1" t="n">
        <v>46161</v>
      </c>
      <c r="D700" t="inlineStr">
        <is>
          <t>SKÅNE LÄN</t>
        </is>
      </c>
      <c r="E700" t="inlineStr">
        <is>
          <t>HÄSSLEHOLM</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17492-2025</t>
        </is>
      </c>
      <c r="B701" s="1" t="n">
        <v>45747</v>
      </c>
      <c r="C701" s="1" t="n">
        <v>46161</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50664-2023</t>
        </is>
      </c>
      <c r="B702" s="1" t="n">
        <v>45217</v>
      </c>
      <c r="C702" s="1" t="n">
        <v>46161</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42428-2022</t>
        </is>
      </c>
      <c r="B703" s="1" t="n">
        <v>44831</v>
      </c>
      <c r="C703" s="1" t="n">
        <v>46161</v>
      </c>
      <c r="D703" t="inlineStr">
        <is>
          <t>SKÅNE LÄN</t>
        </is>
      </c>
      <c r="E703" t="inlineStr">
        <is>
          <t>HÄSSLEHOLM</t>
        </is>
      </c>
      <c r="G703" t="n">
        <v>2.8</v>
      </c>
      <c r="H703" t="n">
        <v>0</v>
      </c>
      <c r="I703" t="n">
        <v>0</v>
      </c>
      <c r="J703" t="n">
        <v>0</v>
      </c>
      <c r="K703" t="n">
        <v>0</v>
      </c>
      <c r="L703" t="n">
        <v>0</v>
      </c>
      <c r="M703" t="n">
        <v>0</v>
      </c>
      <c r="N703" t="n">
        <v>0</v>
      </c>
      <c r="O703" t="n">
        <v>0</v>
      </c>
      <c r="P703" t="n">
        <v>0</v>
      </c>
      <c r="Q703" t="n">
        <v>0</v>
      </c>
      <c r="R703" s="2" t="inlineStr"/>
    </row>
    <row r="704" ht="15" customHeight="1">
      <c r="A704" t="inlineStr">
        <is>
          <t>A 62171-2022</t>
        </is>
      </c>
      <c r="B704" s="1" t="n">
        <v>44915</v>
      </c>
      <c r="C704" s="1" t="n">
        <v>46161</v>
      </c>
      <c r="D704" t="inlineStr">
        <is>
          <t>SKÅNE LÄN</t>
        </is>
      </c>
      <c r="E704" t="inlineStr">
        <is>
          <t>HÄSSLEHOLM</t>
        </is>
      </c>
      <c r="F704" t="inlineStr">
        <is>
          <t>Kyrkan</t>
        </is>
      </c>
      <c r="G704" t="n">
        <v>9</v>
      </c>
      <c r="H704" t="n">
        <v>0</v>
      </c>
      <c r="I704" t="n">
        <v>0</v>
      </c>
      <c r="J704" t="n">
        <v>0</v>
      </c>
      <c r="K704" t="n">
        <v>0</v>
      </c>
      <c r="L704" t="n">
        <v>0</v>
      </c>
      <c r="M704" t="n">
        <v>0</v>
      </c>
      <c r="N704" t="n">
        <v>0</v>
      </c>
      <c r="O704" t="n">
        <v>0</v>
      </c>
      <c r="P704" t="n">
        <v>0</v>
      </c>
      <c r="Q704" t="n">
        <v>0</v>
      </c>
      <c r="R704" s="2" t="inlineStr"/>
    </row>
    <row r="705" ht="15" customHeight="1">
      <c r="A705" t="inlineStr">
        <is>
          <t>A 56956-2024</t>
        </is>
      </c>
      <c r="B705" s="1" t="n">
        <v>45626</v>
      </c>
      <c r="C705" s="1" t="n">
        <v>46161</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35711-2024</t>
        </is>
      </c>
      <c r="B706" s="1" t="n">
        <v>45532</v>
      </c>
      <c r="C706" s="1" t="n">
        <v>46161</v>
      </c>
      <c r="D706" t="inlineStr">
        <is>
          <t>SKÅNE LÄN</t>
        </is>
      </c>
      <c r="E706" t="inlineStr">
        <is>
          <t>HÄSSLEHOLM</t>
        </is>
      </c>
      <c r="G706" t="n">
        <v>1.4</v>
      </c>
      <c r="H706" t="n">
        <v>0</v>
      </c>
      <c r="I706" t="n">
        <v>0</v>
      </c>
      <c r="J706" t="n">
        <v>0</v>
      </c>
      <c r="K706" t="n">
        <v>0</v>
      </c>
      <c r="L706" t="n">
        <v>0</v>
      </c>
      <c r="M706" t="n">
        <v>0</v>
      </c>
      <c r="N706" t="n">
        <v>0</v>
      </c>
      <c r="O706" t="n">
        <v>0</v>
      </c>
      <c r="P706" t="n">
        <v>0</v>
      </c>
      <c r="Q706" t="n">
        <v>0</v>
      </c>
      <c r="R706" s="2" t="inlineStr"/>
    </row>
    <row r="707" ht="15" customHeight="1">
      <c r="A707" t="inlineStr">
        <is>
          <t>A 56490-2021</t>
        </is>
      </c>
      <c r="B707" s="1" t="n">
        <v>44480</v>
      </c>
      <c r="C707" s="1" t="n">
        <v>46161</v>
      </c>
      <c r="D707" t="inlineStr">
        <is>
          <t>SKÅNE LÄN</t>
        </is>
      </c>
      <c r="E707" t="inlineStr">
        <is>
          <t>HÄSSLEHOLM</t>
        </is>
      </c>
      <c r="F707" t="inlineStr">
        <is>
          <t>Kyrkan</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61322-2025</t>
        </is>
      </c>
      <c r="B708" s="1" t="n">
        <v>46000</v>
      </c>
      <c r="C708" s="1" t="n">
        <v>46161</v>
      </c>
      <c r="D708" t="inlineStr">
        <is>
          <t>SKÅNE LÄN</t>
        </is>
      </c>
      <c r="E708" t="inlineStr">
        <is>
          <t>HÄSSLEHOLM</t>
        </is>
      </c>
      <c r="G708" t="n">
        <v>2.2</v>
      </c>
      <c r="H708" t="n">
        <v>0</v>
      </c>
      <c r="I708" t="n">
        <v>0</v>
      </c>
      <c r="J708" t="n">
        <v>0</v>
      </c>
      <c r="K708" t="n">
        <v>0</v>
      </c>
      <c r="L708" t="n">
        <v>0</v>
      </c>
      <c r="M708" t="n">
        <v>0</v>
      </c>
      <c r="N708" t="n">
        <v>0</v>
      </c>
      <c r="O708" t="n">
        <v>0</v>
      </c>
      <c r="P708" t="n">
        <v>0</v>
      </c>
      <c r="Q708" t="n">
        <v>0</v>
      </c>
      <c r="R708" s="2" t="inlineStr"/>
    </row>
    <row r="709" ht="15" customHeight="1">
      <c r="A709" t="inlineStr">
        <is>
          <t>A 61680-2022</t>
        </is>
      </c>
      <c r="B709" s="1" t="n">
        <v>44917.36372685185</v>
      </c>
      <c r="C709" s="1" t="n">
        <v>46161</v>
      </c>
      <c r="D709" t="inlineStr">
        <is>
          <t>SKÅNE LÄN</t>
        </is>
      </c>
      <c r="E709" t="inlineStr">
        <is>
          <t>HÄSSLEHOLM</t>
        </is>
      </c>
      <c r="G709" t="n">
        <v>2.4</v>
      </c>
      <c r="H709" t="n">
        <v>0</v>
      </c>
      <c r="I709" t="n">
        <v>0</v>
      </c>
      <c r="J709" t="n">
        <v>0</v>
      </c>
      <c r="K709" t="n">
        <v>0</v>
      </c>
      <c r="L709" t="n">
        <v>0</v>
      </c>
      <c r="M709" t="n">
        <v>0</v>
      </c>
      <c r="N709" t="n">
        <v>0</v>
      </c>
      <c r="O709" t="n">
        <v>0</v>
      </c>
      <c r="P709" t="n">
        <v>0</v>
      </c>
      <c r="Q709" t="n">
        <v>0</v>
      </c>
      <c r="R709" s="2" t="inlineStr"/>
    </row>
    <row r="710" ht="15" customHeight="1">
      <c r="A710" t="inlineStr">
        <is>
          <t>A 61489-2024</t>
        </is>
      </c>
      <c r="B710" s="1" t="n">
        <v>45646.54875</v>
      </c>
      <c r="C710" s="1" t="n">
        <v>46161</v>
      </c>
      <c r="D710" t="inlineStr">
        <is>
          <t>SKÅNE LÄN</t>
        </is>
      </c>
      <c r="E710" t="inlineStr">
        <is>
          <t>HÄSSLEHOLM</t>
        </is>
      </c>
      <c r="G710" t="n">
        <v>1.9</v>
      </c>
      <c r="H710" t="n">
        <v>0</v>
      </c>
      <c r="I710" t="n">
        <v>0</v>
      </c>
      <c r="J710" t="n">
        <v>0</v>
      </c>
      <c r="K710" t="n">
        <v>0</v>
      </c>
      <c r="L710" t="n">
        <v>0</v>
      </c>
      <c r="M710" t="n">
        <v>0</v>
      </c>
      <c r="N710" t="n">
        <v>0</v>
      </c>
      <c r="O710" t="n">
        <v>0</v>
      </c>
      <c r="P710" t="n">
        <v>0</v>
      </c>
      <c r="Q710" t="n">
        <v>0</v>
      </c>
      <c r="R710" s="2" t="inlineStr"/>
    </row>
    <row r="711" ht="15" customHeight="1">
      <c r="A711" t="inlineStr">
        <is>
          <t>A 61474-2025</t>
        </is>
      </c>
      <c r="B711" s="1" t="n">
        <v>46001.61886574074</v>
      </c>
      <c r="C711" s="1" t="n">
        <v>46161</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17699-2024</t>
        </is>
      </c>
      <c r="B712" s="1" t="n">
        <v>45418.46094907408</v>
      </c>
      <c r="C712" s="1" t="n">
        <v>46161</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17702-2024</t>
        </is>
      </c>
      <c r="B713" s="1" t="n">
        <v>45418.46534722222</v>
      </c>
      <c r="C713" s="1" t="n">
        <v>46161</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6101-2022</t>
        </is>
      </c>
      <c r="B714" s="1" t="n">
        <v>44599.63016203704</v>
      </c>
      <c r="C714" s="1" t="n">
        <v>46161</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16951-2025</t>
        </is>
      </c>
      <c r="B715" s="1" t="n">
        <v>45755</v>
      </c>
      <c r="C715" s="1" t="n">
        <v>46161</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16614-2025</t>
        </is>
      </c>
      <c r="B716" s="1" t="n">
        <v>45754.283125</v>
      </c>
      <c r="C716" s="1" t="n">
        <v>46161</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3888-2024</t>
        </is>
      </c>
      <c r="B717" s="1" t="n">
        <v>45322.45089120371</v>
      </c>
      <c r="C717" s="1" t="n">
        <v>46161</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3889-2024</t>
        </is>
      </c>
      <c r="B718" s="1" t="n">
        <v>45322.45234953704</v>
      </c>
      <c r="C718" s="1" t="n">
        <v>46161</v>
      </c>
      <c r="D718" t="inlineStr">
        <is>
          <t>SKÅNE LÄN</t>
        </is>
      </c>
      <c r="E718" t="inlineStr">
        <is>
          <t>HÄSSLEHOLM</t>
        </is>
      </c>
      <c r="G718" t="n">
        <v>1.4</v>
      </c>
      <c r="H718" t="n">
        <v>0</v>
      </c>
      <c r="I718" t="n">
        <v>0</v>
      </c>
      <c r="J718" t="n">
        <v>0</v>
      </c>
      <c r="K718" t="n">
        <v>0</v>
      </c>
      <c r="L718" t="n">
        <v>0</v>
      </c>
      <c r="M718" t="n">
        <v>0</v>
      </c>
      <c r="N718" t="n">
        <v>0</v>
      </c>
      <c r="O718" t="n">
        <v>0</v>
      </c>
      <c r="P718" t="n">
        <v>0</v>
      </c>
      <c r="Q718" t="n">
        <v>0</v>
      </c>
      <c r="R718" s="2" t="inlineStr"/>
    </row>
    <row r="719" ht="15" customHeight="1">
      <c r="A719" t="inlineStr">
        <is>
          <t>A 3294-2025</t>
        </is>
      </c>
      <c r="B719" s="1" t="n">
        <v>45679.64125</v>
      </c>
      <c r="C719" s="1" t="n">
        <v>46161</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9669-2025</t>
        </is>
      </c>
      <c r="B720" s="1" t="n">
        <v>45716.32921296296</v>
      </c>
      <c r="C720" s="1" t="n">
        <v>46161</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31995-2023</t>
        </is>
      </c>
      <c r="B721" s="1" t="n">
        <v>45107</v>
      </c>
      <c r="C721" s="1" t="n">
        <v>46161</v>
      </c>
      <c r="D721" t="inlineStr">
        <is>
          <t>SKÅNE LÄN</t>
        </is>
      </c>
      <c r="E721" t="inlineStr">
        <is>
          <t>HÄSSLEHOLM</t>
        </is>
      </c>
      <c r="G721" t="n">
        <v>7.3</v>
      </c>
      <c r="H721" t="n">
        <v>0</v>
      </c>
      <c r="I721" t="n">
        <v>0</v>
      </c>
      <c r="J721" t="n">
        <v>0</v>
      </c>
      <c r="K721" t="n">
        <v>0</v>
      </c>
      <c r="L721" t="n">
        <v>0</v>
      </c>
      <c r="M721" t="n">
        <v>0</v>
      </c>
      <c r="N721" t="n">
        <v>0</v>
      </c>
      <c r="O721" t="n">
        <v>0</v>
      </c>
      <c r="P721" t="n">
        <v>0</v>
      </c>
      <c r="Q721" t="n">
        <v>0</v>
      </c>
      <c r="R721" s="2" t="inlineStr"/>
    </row>
    <row r="722" ht="15" customHeight="1">
      <c r="A722" t="inlineStr">
        <is>
          <t>A 31998-2023</t>
        </is>
      </c>
      <c r="B722" s="1" t="n">
        <v>45119</v>
      </c>
      <c r="C722" s="1" t="n">
        <v>46161</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7150-2025</t>
        </is>
      </c>
      <c r="B723" s="1" t="n">
        <v>45702.38239583333</v>
      </c>
      <c r="C723" s="1" t="n">
        <v>46161</v>
      </c>
      <c r="D723" t="inlineStr">
        <is>
          <t>SKÅNE LÄN</t>
        </is>
      </c>
      <c r="E723" t="inlineStr">
        <is>
          <t>HÄSSLEHOLM</t>
        </is>
      </c>
      <c r="G723" t="n">
        <v>2.3</v>
      </c>
      <c r="H723" t="n">
        <v>0</v>
      </c>
      <c r="I723" t="n">
        <v>0</v>
      </c>
      <c r="J723" t="n">
        <v>0</v>
      </c>
      <c r="K723" t="n">
        <v>0</v>
      </c>
      <c r="L723" t="n">
        <v>0</v>
      </c>
      <c r="M723" t="n">
        <v>0</v>
      </c>
      <c r="N723" t="n">
        <v>0</v>
      </c>
      <c r="O723" t="n">
        <v>0</v>
      </c>
      <c r="P723" t="n">
        <v>0</v>
      </c>
      <c r="Q723" t="n">
        <v>0</v>
      </c>
      <c r="R723" s="2" t="inlineStr"/>
    </row>
    <row r="724" ht="15" customHeight="1">
      <c r="A724" t="inlineStr">
        <is>
          <t>A 20185-2023</t>
        </is>
      </c>
      <c r="B724" s="1" t="n">
        <v>45055.56795138889</v>
      </c>
      <c r="C724" s="1" t="n">
        <v>46161</v>
      </c>
      <c r="D724" t="inlineStr">
        <is>
          <t>SKÅNE LÄN</t>
        </is>
      </c>
      <c r="E724" t="inlineStr">
        <is>
          <t>HÄSSLEHOLM</t>
        </is>
      </c>
      <c r="G724" t="n">
        <v>3.5</v>
      </c>
      <c r="H724" t="n">
        <v>0</v>
      </c>
      <c r="I724" t="n">
        <v>0</v>
      </c>
      <c r="J724" t="n">
        <v>0</v>
      </c>
      <c r="K724" t="n">
        <v>0</v>
      </c>
      <c r="L724" t="n">
        <v>0</v>
      </c>
      <c r="M724" t="n">
        <v>0</v>
      </c>
      <c r="N724" t="n">
        <v>0</v>
      </c>
      <c r="O724" t="n">
        <v>0</v>
      </c>
      <c r="P724" t="n">
        <v>0</v>
      </c>
      <c r="Q724" t="n">
        <v>0</v>
      </c>
      <c r="R724" s="2" t="inlineStr"/>
    </row>
    <row r="725" ht="15" customHeight="1">
      <c r="A725" t="inlineStr">
        <is>
          <t>A 61170-2022</t>
        </is>
      </c>
      <c r="B725" s="1" t="n">
        <v>44915.48543981482</v>
      </c>
      <c r="C725" s="1" t="n">
        <v>46161</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62376-2025</t>
        </is>
      </c>
      <c r="B726" s="1" t="n">
        <v>46006</v>
      </c>
      <c r="C726" s="1" t="n">
        <v>46161</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62271-2025</t>
        </is>
      </c>
      <c r="B727" s="1" t="n">
        <v>46006.62256944444</v>
      </c>
      <c r="C727" s="1" t="n">
        <v>46161</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62264-2025</t>
        </is>
      </c>
      <c r="B728" s="1" t="n">
        <v>46006.61644675926</v>
      </c>
      <c r="C728" s="1" t="n">
        <v>46161</v>
      </c>
      <c r="D728" t="inlineStr">
        <is>
          <t>SKÅNE LÄN</t>
        </is>
      </c>
      <c r="E728" t="inlineStr">
        <is>
          <t>HÄSSLEHOLM</t>
        </is>
      </c>
      <c r="G728" t="n">
        <v>7.5</v>
      </c>
      <c r="H728" t="n">
        <v>0</v>
      </c>
      <c r="I728" t="n">
        <v>0</v>
      </c>
      <c r="J728" t="n">
        <v>0</v>
      </c>
      <c r="K728" t="n">
        <v>0</v>
      </c>
      <c r="L728" t="n">
        <v>0</v>
      </c>
      <c r="M728" t="n">
        <v>0</v>
      </c>
      <c r="N728" t="n">
        <v>0</v>
      </c>
      <c r="O728" t="n">
        <v>0</v>
      </c>
      <c r="P728" t="n">
        <v>0</v>
      </c>
      <c r="Q728" t="n">
        <v>0</v>
      </c>
      <c r="R728" s="2" t="inlineStr"/>
    </row>
    <row r="729" ht="15" customHeight="1">
      <c r="A729" t="inlineStr">
        <is>
          <t>A 46813-2024</t>
        </is>
      </c>
      <c r="B729" s="1" t="n">
        <v>45583</v>
      </c>
      <c r="C729" s="1" t="n">
        <v>46161</v>
      </c>
      <c r="D729" t="inlineStr">
        <is>
          <t>SKÅNE LÄN</t>
        </is>
      </c>
      <c r="E729" t="inlineStr">
        <is>
          <t>HÄSSLEHOLM</t>
        </is>
      </c>
      <c r="G729" t="n">
        <v>14.9</v>
      </c>
      <c r="H729" t="n">
        <v>0</v>
      </c>
      <c r="I729" t="n">
        <v>0</v>
      </c>
      <c r="J729" t="n">
        <v>0</v>
      </c>
      <c r="K729" t="n">
        <v>0</v>
      </c>
      <c r="L729" t="n">
        <v>0</v>
      </c>
      <c r="M729" t="n">
        <v>0</v>
      </c>
      <c r="N729" t="n">
        <v>0</v>
      </c>
      <c r="O729" t="n">
        <v>0</v>
      </c>
      <c r="P729" t="n">
        <v>0</v>
      </c>
      <c r="Q729" t="n">
        <v>0</v>
      </c>
      <c r="R729" s="2" t="inlineStr"/>
    </row>
    <row r="730" ht="15" customHeight="1">
      <c r="A730" t="inlineStr">
        <is>
          <t>A 43629-2023</t>
        </is>
      </c>
      <c r="B730" s="1" t="n">
        <v>45184</v>
      </c>
      <c r="C730" s="1" t="n">
        <v>46161</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13990-2022</t>
        </is>
      </c>
      <c r="B731" s="1" t="n">
        <v>44650</v>
      </c>
      <c r="C731" s="1" t="n">
        <v>46161</v>
      </c>
      <c r="D731" t="inlineStr">
        <is>
          <t>SKÅNE LÄN</t>
        </is>
      </c>
      <c r="E731" t="inlineStr">
        <is>
          <t>HÄSSLEHOLM</t>
        </is>
      </c>
      <c r="G731" t="n">
        <v>3.6</v>
      </c>
      <c r="H731" t="n">
        <v>0</v>
      </c>
      <c r="I731" t="n">
        <v>0</v>
      </c>
      <c r="J731" t="n">
        <v>0</v>
      </c>
      <c r="K731" t="n">
        <v>0</v>
      </c>
      <c r="L731" t="n">
        <v>0</v>
      </c>
      <c r="M731" t="n">
        <v>0</v>
      </c>
      <c r="N731" t="n">
        <v>0</v>
      </c>
      <c r="O731" t="n">
        <v>0</v>
      </c>
      <c r="P731" t="n">
        <v>0</v>
      </c>
      <c r="Q731" t="n">
        <v>0</v>
      </c>
      <c r="R731" s="2" t="inlineStr"/>
    </row>
    <row r="732" ht="15" customHeight="1">
      <c r="A732" t="inlineStr">
        <is>
          <t>A 50564-2023</t>
        </is>
      </c>
      <c r="B732" s="1" t="n">
        <v>45217.37957175926</v>
      </c>
      <c r="C732" s="1" t="n">
        <v>46161</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43061-2024</t>
        </is>
      </c>
      <c r="B733" s="1" t="n">
        <v>45567</v>
      </c>
      <c r="C733" s="1" t="n">
        <v>46161</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62417-2025</t>
        </is>
      </c>
      <c r="B734" s="1" t="n">
        <v>46007</v>
      </c>
      <c r="C734" s="1" t="n">
        <v>46161</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54171-2021</t>
        </is>
      </c>
      <c r="B735" s="1" t="n">
        <v>44470</v>
      </c>
      <c r="C735" s="1" t="n">
        <v>46161</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24640-2023</t>
        </is>
      </c>
      <c r="B736" s="1" t="n">
        <v>45084.43181712963</v>
      </c>
      <c r="C736" s="1" t="n">
        <v>46161</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51618-2024</t>
        </is>
      </c>
      <c r="B737" s="1" t="n">
        <v>45604.82615740741</v>
      </c>
      <c r="C737" s="1" t="n">
        <v>46161</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27349-2025</t>
        </is>
      </c>
      <c r="B738" s="1" t="n">
        <v>45812</v>
      </c>
      <c r="C738" s="1" t="n">
        <v>46161</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63415-2025</t>
        </is>
      </c>
      <c r="B739" s="1" t="n">
        <v>46013.32163194445</v>
      </c>
      <c r="C739" s="1" t="n">
        <v>46161</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63416-2025</t>
        </is>
      </c>
      <c r="B740" s="1" t="n">
        <v>46013.3232175926</v>
      </c>
      <c r="C740" s="1" t="n">
        <v>46161</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63510-2025</t>
        </is>
      </c>
      <c r="B741" s="1" t="n">
        <v>46013.49172453704</v>
      </c>
      <c r="C741" s="1" t="n">
        <v>46161</v>
      </c>
      <c r="D741" t="inlineStr">
        <is>
          <t>SKÅNE LÄN</t>
        </is>
      </c>
      <c r="E741" t="inlineStr">
        <is>
          <t>HÄSSLEHOLM</t>
        </is>
      </c>
      <c r="F741" t="inlineStr">
        <is>
          <t>Kommuner</t>
        </is>
      </c>
      <c r="G741" t="n">
        <v>2</v>
      </c>
      <c r="H741" t="n">
        <v>0</v>
      </c>
      <c r="I741" t="n">
        <v>0</v>
      </c>
      <c r="J741" t="n">
        <v>0</v>
      </c>
      <c r="K741" t="n">
        <v>0</v>
      </c>
      <c r="L741" t="n">
        <v>0</v>
      </c>
      <c r="M741" t="n">
        <v>0</v>
      </c>
      <c r="N741" t="n">
        <v>0</v>
      </c>
      <c r="O741" t="n">
        <v>0</v>
      </c>
      <c r="P741" t="n">
        <v>0</v>
      </c>
      <c r="Q741" t="n">
        <v>0</v>
      </c>
      <c r="R741" s="2" t="inlineStr"/>
    </row>
    <row r="742" ht="15" customHeight="1">
      <c r="A742" t="inlineStr">
        <is>
          <t>A 63354-2025</t>
        </is>
      </c>
      <c r="B742" s="1" t="n">
        <v>46010.66957175926</v>
      </c>
      <c r="C742" s="1" t="n">
        <v>46161</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63487-2025</t>
        </is>
      </c>
      <c r="B743" s="1" t="n">
        <v>46013.46878472222</v>
      </c>
      <c r="C743" s="1" t="n">
        <v>46161</v>
      </c>
      <c r="D743" t="inlineStr">
        <is>
          <t>SKÅNE LÄN</t>
        </is>
      </c>
      <c r="E743" t="inlineStr">
        <is>
          <t>HÄSSLEHOLM</t>
        </is>
      </c>
      <c r="F743" t="inlineStr">
        <is>
          <t>Kommuner</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8249-2023</t>
        </is>
      </c>
      <c r="B744" s="1" t="n">
        <v>44974</v>
      </c>
      <c r="C744" s="1" t="n">
        <v>46161</v>
      </c>
      <c r="D744" t="inlineStr">
        <is>
          <t>SKÅNE LÄN</t>
        </is>
      </c>
      <c r="E744" t="inlineStr">
        <is>
          <t>HÄSSLEHOLM</t>
        </is>
      </c>
      <c r="G744" t="n">
        <v>5.8</v>
      </c>
      <c r="H744" t="n">
        <v>0</v>
      </c>
      <c r="I744" t="n">
        <v>0</v>
      </c>
      <c r="J744" t="n">
        <v>0</v>
      </c>
      <c r="K744" t="n">
        <v>0</v>
      </c>
      <c r="L744" t="n">
        <v>0</v>
      </c>
      <c r="M744" t="n">
        <v>0</v>
      </c>
      <c r="N744" t="n">
        <v>0</v>
      </c>
      <c r="O744" t="n">
        <v>0</v>
      </c>
      <c r="P744" t="n">
        <v>0</v>
      </c>
      <c r="Q744" t="n">
        <v>0</v>
      </c>
      <c r="R744" s="2" t="inlineStr"/>
    </row>
    <row r="745" ht="15" customHeight="1">
      <c r="A745" t="inlineStr">
        <is>
          <t>A 63414-2025</t>
        </is>
      </c>
      <c r="B745" s="1" t="n">
        <v>46013.32008101852</v>
      </c>
      <c r="C745" s="1" t="n">
        <v>46161</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63284-2025</t>
        </is>
      </c>
      <c r="B746" s="1" t="n">
        <v>46010</v>
      </c>
      <c r="C746" s="1" t="n">
        <v>46161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63710-2025</t>
        </is>
      </c>
      <c r="B747" s="1" t="n">
        <v>46014.62143518519</v>
      </c>
      <c r="C747" s="1" t="n">
        <v>46161</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47840-2023</t>
        </is>
      </c>
      <c r="B748" s="1" t="n">
        <v>45204</v>
      </c>
      <c r="C748" s="1" t="n">
        <v>46161</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63712-2025</t>
        </is>
      </c>
      <c r="B749" s="1" t="n">
        <v>46014.63092592593</v>
      </c>
      <c r="C749" s="1" t="n">
        <v>46161</v>
      </c>
      <c r="D749" t="inlineStr">
        <is>
          <t>SKÅNE LÄN</t>
        </is>
      </c>
      <c r="E749" t="inlineStr">
        <is>
          <t>HÄSSLEHOLM</t>
        </is>
      </c>
      <c r="G749" t="n">
        <v>3.9</v>
      </c>
      <c r="H749" t="n">
        <v>0</v>
      </c>
      <c r="I749" t="n">
        <v>0</v>
      </c>
      <c r="J749" t="n">
        <v>0</v>
      </c>
      <c r="K749" t="n">
        <v>0</v>
      </c>
      <c r="L749" t="n">
        <v>0</v>
      </c>
      <c r="M749" t="n">
        <v>0</v>
      </c>
      <c r="N749" t="n">
        <v>0</v>
      </c>
      <c r="O749" t="n">
        <v>0</v>
      </c>
      <c r="P749" t="n">
        <v>0</v>
      </c>
      <c r="Q749" t="n">
        <v>0</v>
      </c>
      <c r="R749" s="2" t="inlineStr"/>
    </row>
    <row r="750" ht="15" customHeight="1">
      <c r="A750" t="inlineStr">
        <is>
          <t>A 62277-2023</t>
        </is>
      </c>
      <c r="B750" s="1" t="n">
        <v>45266</v>
      </c>
      <c r="C750" s="1" t="n">
        <v>46161</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63709-2025</t>
        </is>
      </c>
      <c r="B751" s="1" t="n">
        <v>46014.61700231482</v>
      </c>
      <c r="C751" s="1" t="n">
        <v>46161</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34369-2023</t>
        </is>
      </c>
      <c r="B752" s="1" t="n">
        <v>45139.47817129629</v>
      </c>
      <c r="C752" s="1" t="n">
        <v>46161</v>
      </c>
      <c r="D752" t="inlineStr">
        <is>
          <t>SKÅNE LÄN</t>
        </is>
      </c>
      <c r="E752" t="inlineStr">
        <is>
          <t>HÄSSLEHOLM</t>
        </is>
      </c>
      <c r="G752" t="n">
        <v>2</v>
      </c>
      <c r="H752" t="n">
        <v>0</v>
      </c>
      <c r="I752" t="n">
        <v>0</v>
      </c>
      <c r="J752" t="n">
        <v>0</v>
      </c>
      <c r="K752" t="n">
        <v>0</v>
      </c>
      <c r="L752" t="n">
        <v>0</v>
      </c>
      <c r="M752" t="n">
        <v>0</v>
      </c>
      <c r="N752" t="n">
        <v>0</v>
      </c>
      <c r="O752" t="n">
        <v>0</v>
      </c>
      <c r="P752" t="n">
        <v>0</v>
      </c>
      <c r="Q752" t="n">
        <v>0</v>
      </c>
      <c r="R752" s="2" t="inlineStr"/>
    </row>
    <row r="753" ht="15" customHeight="1">
      <c r="A753" t="inlineStr">
        <is>
          <t>A 8160-2024</t>
        </is>
      </c>
      <c r="B753" s="1" t="n">
        <v>45351</v>
      </c>
      <c r="C753" s="1" t="n">
        <v>46161</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34834-2023</t>
        </is>
      </c>
      <c r="B754" s="1" t="n">
        <v>45141.7199537037</v>
      </c>
      <c r="C754" s="1" t="n">
        <v>46161</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48627-2023</t>
        </is>
      </c>
      <c r="B755" s="1" t="n">
        <v>45208.57371527778</v>
      </c>
      <c r="C755" s="1" t="n">
        <v>46161</v>
      </c>
      <c r="D755" t="inlineStr">
        <is>
          <t>SKÅNE LÄN</t>
        </is>
      </c>
      <c r="E755" t="inlineStr">
        <is>
          <t>HÄSSLEHOLM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11607-2025</t>
        </is>
      </c>
      <c r="B756" s="1" t="n">
        <v>45727</v>
      </c>
      <c r="C756" s="1" t="n">
        <v>46161</v>
      </c>
      <c r="D756" t="inlineStr">
        <is>
          <t>SKÅNE LÄN</t>
        </is>
      </c>
      <c r="E756" t="inlineStr">
        <is>
          <t>HÄSSLEHOLM</t>
        </is>
      </c>
      <c r="G756" t="n">
        <v>4.1</v>
      </c>
      <c r="H756" t="n">
        <v>0</v>
      </c>
      <c r="I756" t="n">
        <v>0</v>
      </c>
      <c r="J756" t="n">
        <v>0</v>
      </c>
      <c r="K756" t="n">
        <v>0</v>
      </c>
      <c r="L756" t="n">
        <v>0</v>
      </c>
      <c r="M756" t="n">
        <v>0</v>
      </c>
      <c r="N756" t="n">
        <v>0</v>
      </c>
      <c r="O756" t="n">
        <v>0</v>
      </c>
      <c r="P756" t="n">
        <v>0</v>
      </c>
      <c r="Q756" t="n">
        <v>0</v>
      </c>
      <c r="R756" s="2" t="inlineStr"/>
    </row>
    <row r="757" ht="15" customHeight="1">
      <c r="A757" t="inlineStr">
        <is>
          <t>A 6316-2026</t>
        </is>
      </c>
      <c r="B757" s="1" t="n">
        <v>46055</v>
      </c>
      <c r="C757" s="1" t="n">
        <v>46161</v>
      </c>
      <c r="D757" t="inlineStr">
        <is>
          <t>SKÅNE LÄN</t>
        </is>
      </c>
      <c r="E757" t="inlineStr">
        <is>
          <t>HÄSSLEHOLM</t>
        </is>
      </c>
      <c r="G757" t="n">
        <v>2.3</v>
      </c>
      <c r="H757" t="n">
        <v>0</v>
      </c>
      <c r="I757" t="n">
        <v>0</v>
      </c>
      <c r="J757" t="n">
        <v>0</v>
      </c>
      <c r="K757" t="n">
        <v>0</v>
      </c>
      <c r="L757" t="n">
        <v>0</v>
      </c>
      <c r="M757" t="n">
        <v>0</v>
      </c>
      <c r="N757" t="n">
        <v>0</v>
      </c>
      <c r="O757" t="n">
        <v>0</v>
      </c>
      <c r="P757" t="n">
        <v>0</v>
      </c>
      <c r="Q757" t="n">
        <v>0</v>
      </c>
      <c r="R757" s="2" t="inlineStr"/>
    </row>
    <row r="758" ht="15" customHeight="1">
      <c r="A758" t="inlineStr">
        <is>
          <t>A 6328-2026</t>
        </is>
      </c>
      <c r="B758" s="1" t="n">
        <v>46055</v>
      </c>
      <c r="C758" s="1" t="n">
        <v>46161</v>
      </c>
      <c r="D758" t="inlineStr">
        <is>
          <t>SKÅNE LÄN</t>
        </is>
      </c>
      <c r="E758" t="inlineStr">
        <is>
          <t>HÄSSLEHOLM</t>
        </is>
      </c>
      <c r="G758" t="n">
        <v>1.9</v>
      </c>
      <c r="H758" t="n">
        <v>0</v>
      </c>
      <c r="I758" t="n">
        <v>0</v>
      </c>
      <c r="J758" t="n">
        <v>0</v>
      </c>
      <c r="K758" t="n">
        <v>0</v>
      </c>
      <c r="L758" t="n">
        <v>0</v>
      </c>
      <c r="M758" t="n">
        <v>0</v>
      </c>
      <c r="N758" t="n">
        <v>0</v>
      </c>
      <c r="O758" t="n">
        <v>0</v>
      </c>
      <c r="P758" t="n">
        <v>0</v>
      </c>
      <c r="Q758" t="n">
        <v>0</v>
      </c>
      <c r="R758" s="2" t="inlineStr"/>
    </row>
    <row r="759" ht="15" customHeight="1">
      <c r="A759" t="inlineStr">
        <is>
          <t>A 720-2025</t>
        </is>
      </c>
      <c r="B759" s="1" t="n">
        <v>45665.3744212963</v>
      </c>
      <c r="C759" s="1" t="n">
        <v>46161</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12182-2025</t>
        </is>
      </c>
      <c r="B760" s="1" t="n">
        <v>45729</v>
      </c>
      <c r="C760" s="1" t="n">
        <v>46161</v>
      </c>
      <c r="D760" t="inlineStr">
        <is>
          <t>SKÅNE LÄN</t>
        </is>
      </c>
      <c r="E760" t="inlineStr">
        <is>
          <t>HÄSSLEHOLM</t>
        </is>
      </c>
      <c r="G760" t="n">
        <v>1.8</v>
      </c>
      <c r="H760" t="n">
        <v>0</v>
      </c>
      <c r="I760" t="n">
        <v>0</v>
      </c>
      <c r="J760" t="n">
        <v>0</v>
      </c>
      <c r="K760" t="n">
        <v>0</v>
      </c>
      <c r="L760" t="n">
        <v>0</v>
      </c>
      <c r="M760" t="n">
        <v>0</v>
      </c>
      <c r="N760" t="n">
        <v>0</v>
      </c>
      <c r="O760" t="n">
        <v>0</v>
      </c>
      <c r="P760" t="n">
        <v>0</v>
      </c>
      <c r="Q760" t="n">
        <v>0</v>
      </c>
      <c r="R760" s="2" t="inlineStr"/>
    </row>
    <row r="761" ht="15" customHeight="1">
      <c r="A761" t="inlineStr">
        <is>
          <t>A 60848-2022</t>
        </is>
      </c>
      <c r="B761" s="1" t="n">
        <v>44914</v>
      </c>
      <c r="C761" s="1" t="n">
        <v>46161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6164-2023</t>
        </is>
      </c>
      <c r="B762" s="1" t="n">
        <v>44964.66871527778</v>
      </c>
      <c r="C762" s="1" t="n">
        <v>46161</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45392-2024</t>
        </is>
      </c>
      <c r="B763" s="1" t="n">
        <v>45576.55008101852</v>
      </c>
      <c r="C763" s="1" t="n">
        <v>46161</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16454-2023</t>
        </is>
      </c>
      <c r="B764" s="1" t="n">
        <v>45029.48425925926</v>
      </c>
      <c r="C764" s="1" t="n">
        <v>46161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17335-2024</t>
        </is>
      </c>
      <c r="B765" s="1" t="n">
        <v>45414.5687962963</v>
      </c>
      <c r="C765" s="1" t="n">
        <v>46161</v>
      </c>
      <c r="D765" t="inlineStr">
        <is>
          <t>SKÅNE LÄN</t>
        </is>
      </c>
      <c r="E765" t="inlineStr">
        <is>
          <t>HÄSSLEHOLM</t>
        </is>
      </c>
      <c r="G765" t="n">
        <v>1.5</v>
      </c>
      <c r="H765" t="n">
        <v>0</v>
      </c>
      <c r="I765" t="n">
        <v>0</v>
      </c>
      <c r="J765" t="n">
        <v>0</v>
      </c>
      <c r="K765" t="n">
        <v>0</v>
      </c>
      <c r="L765" t="n">
        <v>0</v>
      </c>
      <c r="M765" t="n">
        <v>0</v>
      </c>
      <c r="N765" t="n">
        <v>0</v>
      </c>
      <c r="O765" t="n">
        <v>0</v>
      </c>
      <c r="P765" t="n">
        <v>0</v>
      </c>
      <c r="Q765" t="n">
        <v>0</v>
      </c>
      <c r="R765" s="2" t="inlineStr"/>
    </row>
    <row r="766" ht="15" customHeight="1">
      <c r="A766" t="inlineStr">
        <is>
          <t>A 24246-2023</t>
        </is>
      </c>
      <c r="B766" s="1" t="n">
        <v>45079</v>
      </c>
      <c r="C766" s="1" t="n">
        <v>46161</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24249-2023</t>
        </is>
      </c>
      <c r="B767" s="1" t="n">
        <v>45079.62466435185</v>
      </c>
      <c r="C767" s="1" t="n">
        <v>46161</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31989-2024</t>
        </is>
      </c>
      <c r="B768" s="1" t="n">
        <v>45510.58085648148</v>
      </c>
      <c r="C768" s="1" t="n">
        <v>46161</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1120-2024</t>
        </is>
      </c>
      <c r="B769" s="1" t="n">
        <v>45302.4452662037</v>
      </c>
      <c r="C769" s="1" t="n">
        <v>46161</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60973-2024</t>
        </is>
      </c>
      <c r="B770" s="1" t="n">
        <v>45644</v>
      </c>
      <c r="C770" s="1" t="n">
        <v>46161</v>
      </c>
      <c r="D770" t="inlineStr">
        <is>
          <t>SKÅNE LÄN</t>
        </is>
      </c>
      <c r="E770" t="inlineStr">
        <is>
          <t>HÄSSLEHOLM</t>
        </is>
      </c>
      <c r="G770" t="n">
        <v>3.6</v>
      </c>
      <c r="H770" t="n">
        <v>0</v>
      </c>
      <c r="I770" t="n">
        <v>0</v>
      </c>
      <c r="J770" t="n">
        <v>0</v>
      </c>
      <c r="K770" t="n">
        <v>0</v>
      </c>
      <c r="L770" t="n">
        <v>0</v>
      </c>
      <c r="M770" t="n">
        <v>0</v>
      </c>
      <c r="N770" t="n">
        <v>0</v>
      </c>
      <c r="O770" t="n">
        <v>0</v>
      </c>
      <c r="P770" t="n">
        <v>0</v>
      </c>
      <c r="Q770" t="n">
        <v>0</v>
      </c>
      <c r="R770" s="2" t="inlineStr"/>
    </row>
    <row r="771" ht="15" customHeight="1">
      <c r="A771" t="inlineStr">
        <is>
          <t>A 706-2026</t>
        </is>
      </c>
      <c r="B771" s="1" t="n">
        <v>46029.61739583333</v>
      </c>
      <c r="C771" s="1" t="n">
        <v>46161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27478-2023</t>
        </is>
      </c>
      <c r="B772" s="1" t="n">
        <v>45092</v>
      </c>
      <c r="C772" s="1" t="n">
        <v>46161</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37898-2021</t>
        </is>
      </c>
      <c r="B773" s="1" t="n">
        <v>44403</v>
      </c>
      <c r="C773" s="1" t="n">
        <v>46161</v>
      </c>
      <c r="D773" t="inlineStr">
        <is>
          <t>SKÅNE LÄN</t>
        </is>
      </c>
      <c r="E773" t="inlineStr">
        <is>
          <t>HÄSSLEHOLM</t>
        </is>
      </c>
      <c r="F773" t="inlineStr">
        <is>
          <t>Kommuner</t>
        </is>
      </c>
      <c r="G773" t="n">
        <v>8.4</v>
      </c>
      <c r="H773" t="n">
        <v>0</v>
      </c>
      <c r="I773" t="n">
        <v>0</v>
      </c>
      <c r="J773" t="n">
        <v>0</v>
      </c>
      <c r="K773" t="n">
        <v>0</v>
      </c>
      <c r="L773" t="n">
        <v>0</v>
      </c>
      <c r="M773" t="n">
        <v>0</v>
      </c>
      <c r="N773" t="n">
        <v>0</v>
      </c>
      <c r="O773" t="n">
        <v>0</v>
      </c>
      <c r="P773" t="n">
        <v>0</v>
      </c>
      <c r="Q773" t="n">
        <v>0</v>
      </c>
      <c r="R773" s="2" t="inlineStr"/>
    </row>
    <row r="774" ht="15" customHeight="1">
      <c r="A774" t="inlineStr">
        <is>
          <t>A 26641-2023</t>
        </is>
      </c>
      <c r="B774" s="1" t="n">
        <v>45092.89619212963</v>
      </c>
      <c r="C774" s="1" t="n">
        <v>46161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16397-2022</t>
        </is>
      </c>
      <c r="B775" s="1" t="n">
        <v>44671</v>
      </c>
      <c r="C775" s="1" t="n">
        <v>46161</v>
      </c>
      <c r="D775" t="inlineStr">
        <is>
          <t>SKÅNE LÄN</t>
        </is>
      </c>
      <c r="E775" t="inlineStr">
        <is>
          <t>HÄSSLEHOLM</t>
        </is>
      </c>
      <c r="G775" t="n">
        <v>2.7</v>
      </c>
      <c r="H775" t="n">
        <v>0</v>
      </c>
      <c r="I775" t="n">
        <v>0</v>
      </c>
      <c r="J775" t="n">
        <v>0</v>
      </c>
      <c r="K775" t="n">
        <v>0</v>
      </c>
      <c r="L775" t="n">
        <v>0</v>
      </c>
      <c r="M775" t="n">
        <v>0</v>
      </c>
      <c r="N775" t="n">
        <v>0</v>
      </c>
      <c r="O775" t="n">
        <v>0</v>
      </c>
      <c r="P775" t="n">
        <v>0</v>
      </c>
      <c r="Q775" t="n">
        <v>0</v>
      </c>
      <c r="R775" s="2" t="inlineStr"/>
    </row>
    <row r="776" ht="15" customHeight="1">
      <c r="A776" t="inlineStr">
        <is>
          <t>A 16398-2022</t>
        </is>
      </c>
      <c r="B776" s="1" t="n">
        <v>44671</v>
      </c>
      <c r="C776" s="1" t="n">
        <v>46161</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4512-2024</t>
        </is>
      </c>
      <c r="B777" s="1" t="n">
        <v>45327.6312962963</v>
      </c>
      <c r="C777" s="1" t="n">
        <v>46161</v>
      </c>
      <c r="D777" t="inlineStr">
        <is>
          <t>SKÅNE LÄN</t>
        </is>
      </c>
      <c r="E777" t="inlineStr">
        <is>
          <t>HÄSSLEHOLM</t>
        </is>
      </c>
      <c r="G777" t="n">
        <v>2</v>
      </c>
      <c r="H777" t="n">
        <v>0</v>
      </c>
      <c r="I777" t="n">
        <v>0</v>
      </c>
      <c r="J777" t="n">
        <v>0</v>
      </c>
      <c r="K777" t="n">
        <v>0</v>
      </c>
      <c r="L777" t="n">
        <v>0</v>
      </c>
      <c r="M777" t="n">
        <v>0</v>
      </c>
      <c r="N777" t="n">
        <v>0</v>
      </c>
      <c r="O777" t="n">
        <v>0</v>
      </c>
      <c r="P777" t="n">
        <v>0</v>
      </c>
      <c r="Q777" t="n">
        <v>0</v>
      </c>
      <c r="R777" s="2" t="inlineStr"/>
    </row>
    <row r="778" ht="15" customHeight="1">
      <c r="A778" t="inlineStr">
        <is>
          <t>A 15512-2025</t>
        </is>
      </c>
      <c r="B778" s="1" t="n">
        <v>45747</v>
      </c>
      <c r="C778" s="1" t="n">
        <v>46161</v>
      </c>
      <c r="D778" t="inlineStr">
        <is>
          <t>SKÅNE LÄN</t>
        </is>
      </c>
      <c r="E778" t="inlineStr">
        <is>
          <t>HÄSSLEHOLM</t>
        </is>
      </c>
      <c r="G778" t="n">
        <v>3.5</v>
      </c>
      <c r="H778" t="n">
        <v>0</v>
      </c>
      <c r="I778" t="n">
        <v>0</v>
      </c>
      <c r="J778" t="n">
        <v>0</v>
      </c>
      <c r="K778" t="n">
        <v>0</v>
      </c>
      <c r="L778" t="n">
        <v>0</v>
      </c>
      <c r="M778" t="n">
        <v>0</v>
      </c>
      <c r="N778" t="n">
        <v>0</v>
      </c>
      <c r="O778" t="n">
        <v>0</v>
      </c>
      <c r="P778" t="n">
        <v>0</v>
      </c>
      <c r="Q778" t="n">
        <v>0</v>
      </c>
      <c r="R778" s="2" t="inlineStr"/>
    </row>
    <row r="779" ht="15" customHeight="1">
      <c r="A779" t="inlineStr">
        <is>
          <t>A 39044-2024</t>
        </is>
      </c>
      <c r="B779" s="1" t="n">
        <v>45548.47707175926</v>
      </c>
      <c r="C779" s="1" t="n">
        <v>46161</v>
      </c>
      <c r="D779" t="inlineStr">
        <is>
          <t>SKÅNE LÄN</t>
        </is>
      </c>
      <c r="E779" t="inlineStr">
        <is>
          <t>HÄSSLEHOLM</t>
        </is>
      </c>
      <c r="G779" t="n">
        <v>2.8</v>
      </c>
      <c r="H779" t="n">
        <v>0</v>
      </c>
      <c r="I779" t="n">
        <v>0</v>
      </c>
      <c r="J779" t="n">
        <v>0</v>
      </c>
      <c r="K779" t="n">
        <v>0</v>
      </c>
      <c r="L779" t="n">
        <v>0</v>
      </c>
      <c r="M779" t="n">
        <v>0</v>
      </c>
      <c r="N779" t="n">
        <v>0</v>
      </c>
      <c r="O779" t="n">
        <v>0</v>
      </c>
      <c r="P779" t="n">
        <v>0</v>
      </c>
      <c r="Q779" t="n">
        <v>0</v>
      </c>
      <c r="R779" s="2" t="inlineStr"/>
    </row>
    <row r="780" ht="15" customHeight="1">
      <c r="A780" t="inlineStr">
        <is>
          <t>A 931-2026</t>
        </is>
      </c>
      <c r="B780" s="1" t="n">
        <v>46030.51495370371</v>
      </c>
      <c r="C780" s="1" t="n">
        <v>46161</v>
      </c>
      <c r="D780" t="inlineStr">
        <is>
          <t>SKÅNE LÄN</t>
        </is>
      </c>
      <c r="E780" t="inlineStr">
        <is>
          <t>HÄSSLEHOLM</t>
        </is>
      </c>
      <c r="F780" t="inlineStr">
        <is>
          <t>Övriga Aktiebolag</t>
        </is>
      </c>
      <c r="G780" t="n">
        <v>2.3</v>
      </c>
      <c r="H780" t="n">
        <v>0</v>
      </c>
      <c r="I780" t="n">
        <v>0</v>
      </c>
      <c r="J780" t="n">
        <v>0</v>
      </c>
      <c r="K780" t="n">
        <v>0</v>
      </c>
      <c r="L780" t="n">
        <v>0</v>
      </c>
      <c r="M780" t="n">
        <v>0</v>
      </c>
      <c r="N780" t="n">
        <v>0</v>
      </c>
      <c r="O780" t="n">
        <v>0</v>
      </c>
      <c r="P780" t="n">
        <v>0</v>
      </c>
      <c r="Q780" t="n">
        <v>0</v>
      </c>
      <c r="R780" s="2" t="inlineStr"/>
    </row>
    <row r="781" ht="15" customHeight="1">
      <c r="A781" t="inlineStr">
        <is>
          <t>A 19020-2024</t>
        </is>
      </c>
      <c r="B781" s="1" t="n">
        <v>45427.66167824074</v>
      </c>
      <c r="C781" s="1" t="n">
        <v>46161</v>
      </c>
      <c r="D781" t="inlineStr">
        <is>
          <t>SKÅNE LÄN</t>
        </is>
      </c>
      <c r="E781" t="inlineStr">
        <is>
          <t>HÄSSLEHOLM</t>
        </is>
      </c>
      <c r="G781" t="n">
        <v>2.3</v>
      </c>
      <c r="H781" t="n">
        <v>0</v>
      </c>
      <c r="I781" t="n">
        <v>0</v>
      </c>
      <c r="J781" t="n">
        <v>0</v>
      </c>
      <c r="K781" t="n">
        <v>0</v>
      </c>
      <c r="L781" t="n">
        <v>0</v>
      </c>
      <c r="M781" t="n">
        <v>0</v>
      </c>
      <c r="N781" t="n">
        <v>0</v>
      </c>
      <c r="O781" t="n">
        <v>0</v>
      </c>
      <c r="P781" t="n">
        <v>0</v>
      </c>
      <c r="Q781" t="n">
        <v>0</v>
      </c>
      <c r="R781" s="2" t="inlineStr"/>
    </row>
    <row r="782" ht="15" customHeight="1">
      <c r="A782" t="inlineStr">
        <is>
          <t>A 40734-2024</t>
        </is>
      </c>
      <c r="B782" s="1" t="n">
        <v>45558</v>
      </c>
      <c r="C782" s="1" t="n">
        <v>46161</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40738-2024</t>
        </is>
      </c>
      <c r="B783" s="1" t="n">
        <v>45558</v>
      </c>
      <c r="C783" s="1" t="n">
        <v>46161</v>
      </c>
      <c r="D783" t="inlineStr">
        <is>
          <t>SKÅNE LÄN</t>
        </is>
      </c>
      <c r="E783" t="inlineStr">
        <is>
          <t>HÄSSLEHOLM</t>
        </is>
      </c>
      <c r="G783" t="n">
        <v>2.6</v>
      </c>
      <c r="H783" t="n">
        <v>0</v>
      </c>
      <c r="I783" t="n">
        <v>0</v>
      </c>
      <c r="J783" t="n">
        <v>0</v>
      </c>
      <c r="K783" t="n">
        <v>0</v>
      </c>
      <c r="L783" t="n">
        <v>0</v>
      </c>
      <c r="M783" t="n">
        <v>0</v>
      </c>
      <c r="N783" t="n">
        <v>0</v>
      </c>
      <c r="O783" t="n">
        <v>0</v>
      </c>
      <c r="P783" t="n">
        <v>0</v>
      </c>
      <c r="Q783" t="n">
        <v>0</v>
      </c>
      <c r="R783" s="2" t="inlineStr"/>
    </row>
    <row r="784" ht="15" customHeight="1">
      <c r="A784" t="inlineStr">
        <is>
          <t>A 49199-2024</t>
        </is>
      </c>
      <c r="B784" s="1" t="n">
        <v>45595</v>
      </c>
      <c r="C784" s="1" t="n">
        <v>46161</v>
      </c>
      <c r="D784" t="inlineStr">
        <is>
          <t>SKÅNE LÄN</t>
        </is>
      </c>
      <c r="E784" t="inlineStr">
        <is>
          <t>HÄSSLEHOLM</t>
        </is>
      </c>
      <c r="G784" t="n">
        <v>5.2</v>
      </c>
      <c r="H784" t="n">
        <v>0</v>
      </c>
      <c r="I784" t="n">
        <v>0</v>
      </c>
      <c r="J784" t="n">
        <v>0</v>
      </c>
      <c r="K784" t="n">
        <v>0</v>
      </c>
      <c r="L784" t="n">
        <v>0</v>
      </c>
      <c r="M784" t="n">
        <v>0</v>
      </c>
      <c r="N784" t="n">
        <v>0</v>
      </c>
      <c r="O784" t="n">
        <v>0</v>
      </c>
      <c r="P784" t="n">
        <v>0</v>
      </c>
      <c r="Q784" t="n">
        <v>0</v>
      </c>
      <c r="R784" s="2" t="inlineStr"/>
    </row>
    <row r="785" ht="15" customHeight="1">
      <c r="A785" t="inlineStr">
        <is>
          <t>A 1645-2026</t>
        </is>
      </c>
      <c r="B785" s="1" t="n">
        <v>46034.5069212963</v>
      </c>
      <c r="C785" s="1" t="n">
        <v>46161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2712-2024</t>
        </is>
      </c>
      <c r="B786" s="1" t="n">
        <v>45314</v>
      </c>
      <c r="C786" s="1" t="n">
        <v>46161</v>
      </c>
      <c r="D786" t="inlineStr">
        <is>
          <t>SKÅNE LÄN</t>
        </is>
      </c>
      <c r="E786" t="inlineStr">
        <is>
          <t>HÄSSLEHOLM</t>
        </is>
      </c>
      <c r="G786" t="n">
        <v>11.3</v>
      </c>
      <c r="H786" t="n">
        <v>0</v>
      </c>
      <c r="I786" t="n">
        <v>0</v>
      </c>
      <c r="J786" t="n">
        <v>0</v>
      </c>
      <c r="K786" t="n">
        <v>0</v>
      </c>
      <c r="L786" t="n">
        <v>0</v>
      </c>
      <c r="M786" t="n">
        <v>0</v>
      </c>
      <c r="N786" t="n">
        <v>0</v>
      </c>
      <c r="O786" t="n">
        <v>0</v>
      </c>
      <c r="P786" t="n">
        <v>0</v>
      </c>
      <c r="Q786" t="n">
        <v>0</v>
      </c>
      <c r="R786" s="2" t="inlineStr"/>
    </row>
    <row r="787" ht="15" customHeight="1">
      <c r="A787" t="inlineStr">
        <is>
          <t>A 1659-2026</t>
        </is>
      </c>
      <c r="B787" s="1" t="n">
        <v>46034.55335648148</v>
      </c>
      <c r="C787" s="1" t="n">
        <v>46161</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2306-2026</t>
        </is>
      </c>
      <c r="B788" s="1" t="n">
        <v>46034</v>
      </c>
      <c r="C788" s="1" t="n">
        <v>46161</v>
      </c>
      <c r="D788" t="inlineStr">
        <is>
          <t>SKÅNE LÄN</t>
        </is>
      </c>
      <c r="E788" t="inlineStr">
        <is>
          <t>HÄSSLEHOLM</t>
        </is>
      </c>
      <c r="G788" t="n">
        <v>3.4</v>
      </c>
      <c r="H788" t="n">
        <v>0</v>
      </c>
      <c r="I788" t="n">
        <v>0</v>
      </c>
      <c r="J788" t="n">
        <v>0</v>
      </c>
      <c r="K788" t="n">
        <v>0</v>
      </c>
      <c r="L788" t="n">
        <v>0</v>
      </c>
      <c r="M788" t="n">
        <v>0</v>
      </c>
      <c r="N788" t="n">
        <v>0</v>
      </c>
      <c r="O788" t="n">
        <v>0</v>
      </c>
      <c r="P788" t="n">
        <v>0</v>
      </c>
      <c r="Q788" t="n">
        <v>0</v>
      </c>
      <c r="R788" s="2" t="inlineStr"/>
    </row>
    <row r="789" ht="15" customHeight="1">
      <c r="A789" t="inlineStr">
        <is>
          <t>A 56986-2024</t>
        </is>
      </c>
      <c r="B789" s="1" t="n">
        <v>45626</v>
      </c>
      <c r="C789" s="1" t="n">
        <v>46161</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46222-2022</t>
        </is>
      </c>
      <c r="B790" s="1" t="n">
        <v>44847.58725694445</v>
      </c>
      <c r="C790" s="1" t="n">
        <v>46161</v>
      </c>
      <c r="D790" t="inlineStr">
        <is>
          <t>SKÅNE LÄN</t>
        </is>
      </c>
      <c r="E790" t="inlineStr">
        <is>
          <t>HÄSSLEHOLM</t>
        </is>
      </c>
      <c r="G790" t="n">
        <v>6.3</v>
      </c>
      <c r="H790" t="n">
        <v>0</v>
      </c>
      <c r="I790" t="n">
        <v>0</v>
      </c>
      <c r="J790" t="n">
        <v>0</v>
      </c>
      <c r="K790" t="n">
        <v>0</v>
      </c>
      <c r="L790" t="n">
        <v>0</v>
      </c>
      <c r="M790" t="n">
        <v>0</v>
      </c>
      <c r="N790" t="n">
        <v>0</v>
      </c>
      <c r="O790" t="n">
        <v>0</v>
      </c>
      <c r="P790" t="n">
        <v>0</v>
      </c>
      <c r="Q790" t="n">
        <v>0</v>
      </c>
      <c r="R790" s="2" t="inlineStr"/>
    </row>
    <row r="791" ht="15" customHeight="1">
      <c r="A791" t="inlineStr">
        <is>
          <t>A 2567-2024</t>
        </is>
      </c>
      <c r="B791" s="1" t="n">
        <v>45313.62460648148</v>
      </c>
      <c r="C791" s="1" t="n">
        <v>46161</v>
      </c>
      <c r="D791" t="inlineStr">
        <is>
          <t>SKÅNE LÄN</t>
        </is>
      </c>
      <c r="E791" t="inlineStr">
        <is>
          <t>HÄSSLEHOLM</t>
        </is>
      </c>
      <c r="G791" t="n">
        <v>1.1</v>
      </c>
      <c r="H791" t="n">
        <v>0</v>
      </c>
      <c r="I791" t="n">
        <v>0</v>
      </c>
      <c r="J791" t="n">
        <v>0</v>
      </c>
      <c r="K791" t="n">
        <v>0</v>
      </c>
      <c r="L791" t="n">
        <v>0</v>
      </c>
      <c r="M791" t="n">
        <v>0</v>
      </c>
      <c r="N791" t="n">
        <v>0</v>
      </c>
      <c r="O791" t="n">
        <v>0</v>
      </c>
      <c r="P791" t="n">
        <v>0</v>
      </c>
      <c r="Q791" t="n">
        <v>0</v>
      </c>
      <c r="R791" s="2" t="inlineStr"/>
    </row>
    <row r="792" ht="15" customHeight="1">
      <c r="A792" t="inlineStr">
        <is>
          <t>A 1640-2026</t>
        </is>
      </c>
      <c r="B792" s="1" t="n">
        <v>46034.4961574074</v>
      </c>
      <c r="C792" s="1" t="n">
        <v>46161</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1656-2026</t>
        </is>
      </c>
      <c r="B793" s="1" t="n">
        <v>46034.54035879629</v>
      </c>
      <c r="C793" s="1" t="n">
        <v>46161</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2617-2026</t>
        </is>
      </c>
      <c r="B794" s="1" t="n">
        <v>46035</v>
      </c>
      <c r="C794" s="1" t="n">
        <v>46161</v>
      </c>
      <c r="D794" t="inlineStr">
        <is>
          <t>SKÅNE LÄN</t>
        </is>
      </c>
      <c r="E794" t="inlineStr">
        <is>
          <t>HÄSSLEHOLM</t>
        </is>
      </c>
      <c r="F794" t="inlineStr">
        <is>
          <t>Kyrkan</t>
        </is>
      </c>
      <c r="G794" t="n">
        <v>5.5</v>
      </c>
      <c r="H794" t="n">
        <v>0</v>
      </c>
      <c r="I794" t="n">
        <v>0</v>
      </c>
      <c r="J794" t="n">
        <v>0</v>
      </c>
      <c r="K794" t="n">
        <v>0</v>
      </c>
      <c r="L794" t="n">
        <v>0</v>
      </c>
      <c r="M794" t="n">
        <v>0</v>
      </c>
      <c r="N794" t="n">
        <v>0</v>
      </c>
      <c r="O794" t="n">
        <v>0</v>
      </c>
      <c r="P794" t="n">
        <v>0</v>
      </c>
      <c r="Q794" t="n">
        <v>0</v>
      </c>
      <c r="R794" s="2" t="inlineStr"/>
    </row>
    <row r="795" ht="15" customHeight="1">
      <c r="A795" t="inlineStr">
        <is>
          <t>A 28632-2024</t>
        </is>
      </c>
      <c r="B795" s="1" t="n">
        <v>45478</v>
      </c>
      <c r="C795" s="1" t="n">
        <v>46161</v>
      </c>
      <c r="D795" t="inlineStr">
        <is>
          <t>SKÅNE LÄN</t>
        </is>
      </c>
      <c r="E795" t="inlineStr">
        <is>
          <t>HÄSSLEHOLM</t>
        </is>
      </c>
      <c r="G795" t="n">
        <v>4</v>
      </c>
      <c r="H795" t="n">
        <v>0</v>
      </c>
      <c r="I795" t="n">
        <v>0</v>
      </c>
      <c r="J795" t="n">
        <v>0</v>
      </c>
      <c r="K795" t="n">
        <v>0</v>
      </c>
      <c r="L795" t="n">
        <v>0</v>
      </c>
      <c r="M795" t="n">
        <v>0</v>
      </c>
      <c r="N795" t="n">
        <v>0</v>
      </c>
      <c r="O795" t="n">
        <v>0</v>
      </c>
      <c r="P795" t="n">
        <v>0</v>
      </c>
      <c r="Q795" t="n">
        <v>0</v>
      </c>
      <c r="R795" s="2" t="inlineStr"/>
    </row>
    <row r="796" ht="15" customHeight="1">
      <c r="A796" t="inlineStr">
        <is>
          <t>A 2618-2026</t>
        </is>
      </c>
      <c r="B796" s="1" t="n">
        <v>46035</v>
      </c>
      <c r="C796" s="1" t="n">
        <v>46161</v>
      </c>
      <c r="D796" t="inlineStr">
        <is>
          <t>SKÅNE LÄN</t>
        </is>
      </c>
      <c r="E796" t="inlineStr">
        <is>
          <t>HÄSSLEHOLM</t>
        </is>
      </c>
      <c r="F796" t="inlineStr">
        <is>
          <t>Kyrkan</t>
        </is>
      </c>
      <c r="G796" t="n">
        <v>4.8</v>
      </c>
      <c r="H796" t="n">
        <v>0</v>
      </c>
      <c r="I796" t="n">
        <v>0</v>
      </c>
      <c r="J796" t="n">
        <v>0</v>
      </c>
      <c r="K796" t="n">
        <v>0</v>
      </c>
      <c r="L796" t="n">
        <v>0</v>
      </c>
      <c r="M796" t="n">
        <v>0</v>
      </c>
      <c r="N796" t="n">
        <v>0</v>
      </c>
      <c r="O796" t="n">
        <v>0</v>
      </c>
      <c r="P796" t="n">
        <v>0</v>
      </c>
      <c r="Q796" t="n">
        <v>0</v>
      </c>
      <c r="R796" s="2" t="inlineStr"/>
    </row>
    <row r="797" ht="15" customHeight="1">
      <c r="A797" t="inlineStr">
        <is>
          <t>A 11708-2025</t>
        </is>
      </c>
      <c r="B797" s="1" t="n">
        <v>45727.58626157408</v>
      </c>
      <c r="C797" s="1" t="n">
        <v>46161</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69357-2021</t>
        </is>
      </c>
      <c r="B798" s="1" t="n">
        <v>44531</v>
      </c>
      <c r="C798" s="1" t="n">
        <v>46161</v>
      </c>
      <c r="D798" t="inlineStr">
        <is>
          <t>SKÅNE LÄN</t>
        </is>
      </c>
      <c r="E798" t="inlineStr">
        <is>
          <t>HÄSSLEHOLM</t>
        </is>
      </c>
      <c r="G798" t="n">
        <v>1.6</v>
      </c>
      <c r="H798" t="n">
        <v>0</v>
      </c>
      <c r="I798" t="n">
        <v>0</v>
      </c>
      <c r="J798" t="n">
        <v>0</v>
      </c>
      <c r="K798" t="n">
        <v>0</v>
      </c>
      <c r="L798" t="n">
        <v>0</v>
      </c>
      <c r="M798" t="n">
        <v>0</v>
      </c>
      <c r="N798" t="n">
        <v>0</v>
      </c>
      <c r="O798" t="n">
        <v>0</v>
      </c>
      <c r="P798" t="n">
        <v>0</v>
      </c>
      <c r="Q798" t="n">
        <v>0</v>
      </c>
      <c r="R798" s="2" t="inlineStr"/>
    </row>
    <row r="799" ht="15" customHeight="1">
      <c r="A799" t="inlineStr">
        <is>
          <t>A 3855-2023</t>
        </is>
      </c>
      <c r="B799" s="1" t="n">
        <v>44951.69708333333</v>
      </c>
      <c r="C799" s="1" t="n">
        <v>46161</v>
      </c>
      <c r="D799" t="inlineStr">
        <is>
          <t>SKÅNE LÄN</t>
        </is>
      </c>
      <c r="E799" t="inlineStr">
        <is>
          <t>HÄSSLEHOLM</t>
        </is>
      </c>
      <c r="G799" t="n">
        <v>2.3</v>
      </c>
      <c r="H799" t="n">
        <v>0</v>
      </c>
      <c r="I799" t="n">
        <v>0</v>
      </c>
      <c r="J799" t="n">
        <v>0</v>
      </c>
      <c r="K799" t="n">
        <v>0</v>
      </c>
      <c r="L799" t="n">
        <v>0</v>
      </c>
      <c r="M799" t="n">
        <v>0</v>
      </c>
      <c r="N799" t="n">
        <v>0</v>
      </c>
      <c r="O799" t="n">
        <v>0</v>
      </c>
      <c r="P799" t="n">
        <v>0</v>
      </c>
      <c r="Q799" t="n">
        <v>0</v>
      </c>
      <c r="R799" s="2" t="inlineStr"/>
    </row>
    <row r="800" ht="15" customHeight="1">
      <c r="A800" t="inlineStr">
        <is>
          <t>A 33481-2024</t>
        </is>
      </c>
      <c r="B800" s="1" t="n">
        <v>45519</v>
      </c>
      <c r="C800" s="1" t="n">
        <v>46161</v>
      </c>
      <c r="D800" t="inlineStr">
        <is>
          <t>SKÅNE LÄN</t>
        </is>
      </c>
      <c r="E800" t="inlineStr">
        <is>
          <t>HÄSSLEHOLM</t>
        </is>
      </c>
      <c r="G800" t="n">
        <v>3</v>
      </c>
      <c r="H800" t="n">
        <v>0</v>
      </c>
      <c r="I800" t="n">
        <v>0</v>
      </c>
      <c r="J800" t="n">
        <v>0</v>
      </c>
      <c r="K800" t="n">
        <v>0</v>
      </c>
      <c r="L800" t="n">
        <v>0</v>
      </c>
      <c r="M800" t="n">
        <v>0</v>
      </c>
      <c r="N800" t="n">
        <v>0</v>
      </c>
      <c r="O800" t="n">
        <v>0</v>
      </c>
      <c r="P800" t="n">
        <v>0</v>
      </c>
      <c r="Q800" t="n">
        <v>0</v>
      </c>
      <c r="R800" s="2" t="inlineStr"/>
    </row>
    <row r="801" ht="15" customHeight="1">
      <c r="A801" t="inlineStr">
        <is>
          <t>A 1289-2024</t>
        </is>
      </c>
      <c r="B801" s="1" t="n">
        <v>45303.32234953704</v>
      </c>
      <c r="C801" s="1" t="n">
        <v>46161</v>
      </c>
      <c r="D801" t="inlineStr">
        <is>
          <t>SKÅNE LÄN</t>
        </is>
      </c>
      <c r="E801" t="inlineStr">
        <is>
          <t>HÄSSLEHOLM</t>
        </is>
      </c>
      <c r="G801" t="n">
        <v>4.6</v>
      </c>
      <c r="H801" t="n">
        <v>0</v>
      </c>
      <c r="I801" t="n">
        <v>0</v>
      </c>
      <c r="J801" t="n">
        <v>0</v>
      </c>
      <c r="K801" t="n">
        <v>0</v>
      </c>
      <c r="L801" t="n">
        <v>0</v>
      </c>
      <c r="M801" t="n">
        <v>0</v>
      </c>
      <c r="N801" t="n">
        <v>0</v>
      </c>
      <c r="O801" t="n">
        <v>0</v>
      </c>
      <c r="P801" t="n">
        <v>0</v>
      </c>
      <c r="Q801" t="n">
        <v>0</v>
      </c>
      <c r="R801" s="2" t="inlineStr"/>
    </row>
    <row r="802" ht="15" customHeight="1">
      <c r="A802" t="inlineStr">
        <is>
          <t>A 54176-2022</t>
        </is>
      </c>
      <c r="B802" s="1" t="n">
        <v>44881</v>
      </c>
      <c r="C802" s="1" t="n">
        <v>46161</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7152-2025</t>
        </is>
      </c>
      <c r="B803" s="1" t="n">
        <v>45702.3837037037</v>
      </c>
      <c r="C803" s="1" t="n">
        <v>46161</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7160-2025</t>
        </is>
      </c>
      <c r="B804" s="1" t="n">
        <v>45702.3875462963</v>
      </c>
      <c r="C804" s="1" t="n">
        <v>46161</v>
      </c>
      <c r="D804" t="inlineStr">
        <is>
          <t>SKÅNE LÄN</t>
        </is>
      </c>
      <c r="E804" t="inlineStr">
        <is>
          <t>HÄSSLEHOLM</t>
        </is>
      </c>
      <c r="G804" t="n">
        <v>2.5</v>
      </c>
      <c r="H804" t="n">
        <v>0</v>
      </c>
      <c r="I804" t="n">
        <v>0</v>
      </c>
      <c r="J804" t="n">
        <v>0</v>
      </c>
      <c r="K804" t="n">
        <v>0</v>
      </c>
      <c r="L804" t="n">
        <v>0</v>
      </c>
      <c r="M804" t="n">
        <v>0</v>
      </c>
      <c r="N804" t="n">
        <v>0</v>
      </c>
      <c r="O804" t="n">
        <v>0</v>
      </c>
      <c r="P804" t="n">
        <v>0</v>
      </c>
      <c r="Q804" t="n">
        <v>0</v>
      </c>
      <c r="R804" s="2" t="inlineStr"/>
    </row>
    <row r="805" ht="15" customHeight="1">
      <c r="A805" t="inlineStr">
        <is>
          <t>A 27291-2023</t>
        </is>
      </c>
      <c r="B805" s="1" t="n">
        <v>45096</v>
      </c>
      <c r="C805" s="1" t="n">
        <v>46161</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3298-2026</t>
        </is>
      </c>
      <c r="B806" s="1" t="n">
        <v>46041</v>
      </c>
      <c r="C806" s="1" t="n">
        <v>46161</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441-2022</t>
        </is>
      </c>
      <c r="B807" s="1" t="n">
        <v>44565.97125</v>
      </c>
      <c r="C807" s="1" t="n">
        <v>46161</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5887-2025</t>
        </is>
      </c>
      <c r="B808" s="1" t="n">
        <v>45695.37925925926</v>
      </c>
      <c r="C808" s="1" t="n">
        <v>46161</v>
      </c>
      <c r="D808" t="inlineStr">
        <is>
          <t>SKÅNE LÄN</t>
        </is>
      </c>
      <c r="E808" t="inlineStr">
        <is>
          <t>HÄSSLEHOLM</t>
        </is>
      </c>
      <c r="G808" t="n">
        <v>4.8</v>
      </c>
      <c r="H808" t="n">
        <v>0</v>
      </c>
      <c r="I808" t="n">
        <v>0</v>
      </c>
      <c r="J808" t="n">
        <v>0</v>
      </c>
      <c r="K808" t="n">
        <v>0</v>
      </c>
      <c r="L808" t="n">
        <v>0</v>
      </c>
      <c r="M808" t="n">
        <v>0</v>
      </c>
      <c r="N808" t="n">
        <v>0</v>
      </c>
      <c r="O808" t="n">
        <v>0</v>
      </c>
      <c r="P808" t="n">
        <v>0</v>
      </c>
      <c r="Q808" t="n">
        <v>0</v>
      </c>
      <c r="R808" s="2" t="inlineStr"/>
    </row>
    <row r="809" ht="15" customHeight="1">
      <c r="A809" t="inlineStr">
        <is>
          <t>A 3904-2026</t>
        </is>
      </c>
      <c r="B809" s="1" t="n">
        <v>46043.69711805556</v>
      </c>
      <c r="C809" s="1" t="n">
        <v>46161</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54874-2022</t>
        </is>
      </c>
      <c r="B810" s="1" t="n">
        <v>44881</v>
      </c>
      <c r="C810" s="1" t="n">
        <v>46161</v>
      </c>
      <c r="D810" t="inlineStr">
        <is>
          <t>SKÅNE LÄN</t>
        </is>
      </c>
      <c r="E810" t="inlineStr">
        <is>
          <t>HÄSSLEHOLM</t>
        </is>
      </c>
      <c r="G810" t="n">
        <v>8.1</v>
      </c>
      <c r="H810" t="n">
        <v>0</v>
      </c>
      <c r="I810" t="n">
        <v>0</v>
      </c>
      <c r="J810" t="n">
        <v>0</v>
      </c>
      <c r="K810" t="n">
        <v>0</v>
      </c>
      <c r="L810" t="n">
        <v>0</v>
      </c>
      <c r="M810" t="n">
        <v>0</v>
      </c>
      <c r="N810" t="n">
        <v>0</v>
      </c>
      <c r="O810" t="n">
        <v>0</v>
      </c>
      <c r="P810" t="n">
        <v>0</v>
      </c>
      <c r="Q810" t="n">
        <v>0</v>
      </c>
      <c r="R810" s="2" t="inlineStr"/>
    </row>
    <row r="811" ht="15" customHeight="1">
      <c r="A811" t="inlineStr">
        <is>
          <t>A 3715-2026</t>
        </is>
      </c>
      <c r="B811" s="1" t="n">
        <v>46043.48746527778</v>
      </c>
      <c r="C811" s="1" t="n">
        <v>46161</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17152-2025</t>
        </is>
      </c>
      <c r="B812" s="1" t="n">
        <v>45756.33318287037</v>
      </c>
      <c r="C812" s="1" t="n">
        <v>46161</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3862-2026</t>
        </is>
      </c>
      <c r="B813" s="1" t="n">
        <v>46043.62646990741</v>
      </c>
      <c r="C813" s="1" t="n">
        <v>46161</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34301-2024</t>
        </is>
      </c>
      <c r="B814" s="1" t="n">
        <v>45524</v>
      </c>
      <c r="C814" s="1" t="n">
        <v>46161</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27242-2022</t>
        </is>
      </c>
      <c r="B815" s="1" t="n">
        <v>44741</v>
      </c>
      <c r="C815" s="1" t="n">
        <v>46161</v>
      </c>
      <c r="D815" t="inlineStr">
        <is>
          <t>SKÅNE LÄN</t>
        </is>
      </c>
      <c r="E815" t="inlineStr">
        <is>
          <t>HÄSSLEHOLM</t>
        </is>
      </c>
      <c r="G815" t="n">
        <v>1.9</v>
      </c>
      <c r="H815" t="n">
        <v>0</v>
      </c>
      <c r="I815" t="n">
        <v>0</v>
      </c>
      <c r="J815" t="n">
        <v>0</v>
      </c>
      <c r="K815" t="n">
        <v>0</v>
      </c>
      <c r="L815" t="n">
        <v>0</v>
      </c>
      <c r="M815" t="n">
        <v>0</v>
      </c>
      <c r="N815" t="n">
        <v>0</v>
      </c>
      <c r="O815" t="n">
        <v>0</v>
      </c>
      <c r="P815" t="n">
        <v>0</v>
      </c>
      <c r="Q815" t="n">
        <v>0</v>
      </c>
      <c r="R815" s="2" t="inlineStr"/>
    </row>
    <row r="816" ht="15" customHeight="1">
      <c r="A816" t="inlineStr">
        <is>
          <t>A 61158-2022</t>
        </is>
      </c>
      <c r="B816" s="1" t="n">
        <v>44915.47112268519</v>
      </c>
      <c r="C816" s="1" t="n">
        <v>46161</v>
      </c>
      <c r="D816" t="inlineStr">
        <is>
          <t>SKÅNE LÄN</t>
        </is>
      </c>
      <c r="E816" t="inlineStr">
        <is>
          <t>HÄSSLEHOLM</t>
        </is>
      </c>
      <c r="G816" t="n">
        <v>8.4</v>
      </c>
      <c r="H816" t="n">
        <v>0</v>
      </c>
      <c r="I816" t="n">
        <v>0</v>
      </c>
      <c r="J816" t="n">
        <v>0</v>
      </c>
      <c r="K816" t="n">
        <v>0</v>
      </c>
      <c r="L816" t="n">
        <v>0</v>
      </c>
      <c r="M816" t="n">
        <v>0</v>
      </c>
      <c r="N816" t="n">
        <v>0</v>
      </c>
      <c r="O816" t="n">
        <v>0</v>
      </c>
      <c r="P816" t="n">
        <v>0</v>
      </c>
      <c r="Q816" t="n">
        <v>0</v>
      </c>
      <c r="R816" s="2" t="inlineStr"/>
    </row>
    <row r="817" ht="15" customHeight="1">
      <c r="A817" t="inlineStr">
        <is>
          <t>A 61186-2022</t>
        </is>
      </c>
      <c r="B817" s="1" t="n">
        <v>44915.50745370371</v>
      </c>
      <c r="C817" s="1" t="n">
        <v>46161</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62055-2023</t>
        </is>
      </c>
      <c r="B818" s="1" t="n">
        <v>45266.70287037037</v>
      </c>
      <c r="C818" s="1" t="n">
        <v>46161</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33465-2024</t>
        </is>
      </c>
      <c r="B819" s="1" t="n">
        <v>45519.59619212963</v>
      </c>
      <c r="C819" s="1" t="n">
        <v>46161</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26642-2023</t>
        </is>
      </c>
      <c r="B820" s="1" t="n">
        <v>45092.8975</v>
      </c>
      <c r="C820" s="1" t="n">
        <v>46161</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66321-2021</t>
        </is>
      </c>
      <c r="B821" s="1" t="n">
        <v>44518</v>
      </c>
      <c r="C821" s="1" t="n">
        <v>46161</v>
      </c>
      <c r="D821" t="inlineStr">
        <is>
          <t>SKÅNE LÄN</t>
        </is>
      </c>
      <c r="E821" t="inlineStr">
        <is>
          <t>HÄSSLEHOLM</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16668-2025</t>
        </is>
      </c>
      <c r="B822" s="1" t="n">
        <v>45754.43009259259</v>
      </c>
      <c r="C822" s="1" t="n">
        <v>46161</v>
      </c>
      <c r="D822" t="inlineStr">
        <is>
          <t>SKÅNE LÄN</t>
        </is>
      </c>
      <c r="E822" t="inlineStr">
        <is>
          <t>HÄSSLEHOLM</t>
        </is>
      </c>
      <c r="G822" t="n">
        <v>4</v>
      </c>
      <c r="H822" t="n">
        <v>0</v>
      </c>
      <c r="I822" t="n">
        <v>0</v>
      </c>
      <c r="J822" t="n">
        <v>0</v>
      </c>
      <c r="K822" t="n">
        <v>0</v>
      </c>
      <c r="L822" t="n">
        <v>0</v>
      </c>
      <c r="M822" t="n">
        <v>0</v>
      </c>
      <c r="N822" t="n">
        <v>0</v>
      </c>
      <c r="O822" t="n">
        <v>0</v>
      </c>
      <c r="P822" t="n">
        <v>0</v>
      </c>
      <c r="Q822" t="n">
        <v>0</v>
      </c>
      <c r="R822" s="2" t="inlineStr"/>
    </row>
    <row r="823" ht="15" customHeight="1">
      <c r="A823" t="inlineStr">
        <is>
          <t>A 23857-2024</t>
        </is>
      </c>
      <c r="B823" s="1" t="n">
        <v>45455</v>
      </c>
      <c r="C823" s="1" t="n">
        <v>46161</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31268-2024</t>
        </is>
      </c>
      <c r="B824" s="1" t="n">
        <v>45504</v>
      </c>
      <c r="C824" s="1" t="n">
        <v>46161</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51287-2022</t>
        </is>
      </c>
      <c r="B825" s="1" t="n">
        <v>44868.83146990741</v>
      </c>
      <c r="C825" s="1" t="n">
        <v>46161</v>
      </c>
      <c r="D825" t="inlineStr">
        <is>
          <t>SKÅNE LÄN</t>
        </is>
      </c>
      <c r="E825" t="inlineStr">
        <is>
          <t>HÄSSLEHOLM</t>
        </is>
      </c>
      <c r="G825" t="n">
        <v>2.2</v>
      </c>
      <c r="H825" t="n">
        <v>0</v>
      </c>
      <c r="I825" t="n">
        <v>0</v>
      </c>
      <c r="J825" t="n">
        <v>0</v>
      </c>
      <c r="K825" t="n">
        <v>0</v>
      </c>
      <c r="L825" t="n">
        <v>0</v>
      </c>
      <c r="M825" t="n">
        <v>0</v>
      </c>
      <c r="N825" t="n">
        <v>0</v>
      </c>
      <c r="O825" t="n">
        <v>0</v>
      </c>
      <c r="P825" t="n">
        <v>0</v>
      </c>
      <c r="Q825" t="n">
        <v>0</v>
      </c>
      <c r="R825" s="2" t="inlineStr"/>
    </row>
    <row r="826" ht="15" customHeight="1">
      <c r="A826" t="inlineStr">
        <is>
          <t>A 20494-2024</t>
        </is>
      </c>
      <c r="B826" s="1" t="n">
        <v>45435</v>
      </c>
      <c r="C826" s="1" t="n">
        <v>46161</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55454-2021</t>
        </is>
      </c>
      <c r="B827" s="1" t="n">
        <v>44475</v>
      </c>
      <c r="C827" s="1" t="n">
        <v>46161</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31572-2022</t>
        </is>
      </c>
      <c r="B828" s="1" t="n">
        <v>44775</v>
      </c>
      <c r="C828" s="1" t="n">
        <v>46161</v>
      </c>
      <c r="D828" t="inlineStr">
        <is>
          <t>SKÅNE LÄN</t>
        </is>
      </c>
      <c r="E828" t="inlineStr">
        <is>
          <t>HÄSSLEHOLM</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4356-2024</t>
        </is>
      </c>
      <c r="B829" s="1" t="n">
        <v>45325.36195601852</v>
      </c>
      <c r="C829" s="1" t="n">
        <v>46161</v>
      </c>
      <c r="D829" t="inlineStr">
        <is>
          <t>SKÅNE LÄN</t>
        </is>
      </c>
      <c r="E829" t="inlineStr">
        <is>
          <t>HÄSSLEHOLM</t>
        </is>
      </c>
      <c r="G829" t="n">
        <v>3.2</v>
      </c>
      <c r="H829" t="n">
        <v>0</v>
      </c>
      <c r="I829" t="n">
        <v>0</v>
      </c>
      <c r="J829" t="n">
        <v>0</v>
      </c>
      <c r="K829" t="n">
        <v>0</v>
      </c>
      <c r="L829" t="n">
        <v>0</v>
      </c>
      <c r="M829" t="n">
        <v>0</v>
      </c>
      <c r="N829" t="n">
        <v>0</v>
      </c>
      <c r="O829" t="n">
        <v>0</v>
      </c>
      <c r="P829" t="n">
        <v>0</v>
      </c>
      <c r="Q829" t="n">
        <v>0</v>
      </c>
      <c r="R829" s="2" t="inlineStr"/>
    </row>
    <row r="830" ht="15" customHeight="1">
      <c r="A830" t="inlineStr">
        <is>
          <t>A 5103-2026</t>
        </is>
      </c>
      <c r="B830" s="1" t="n">
        <v>46049.56725694444</v>
      </c>
      <c r="C830" s="1" t="n">
        <v>46161</v>
      </c>
      <c r="D830" t="inlineStr">
        <is>
          <t>SKÅNE LÄN</t>
        </is>
      </c>
      <c r="E830" t="inlineStr">
        <is>
          <t>HÄSSLEHOLM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3480-2024</t>
        </is>
      </c>
      <c r="B831" s="1" t="n">
        <v>45320.43998842593</v>
      </c>
      <c r="C831" s="1" t="n">
        <v>46161</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5980-2024</t>
        </is>
      </c>
      <c r="B832" s="1" t="n">
        <v>45335</v>
      </c>
      <c r="C832" s="1" t="n">
        <v>46161</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4981-2026</t>
        </is>
      </c>
      <c r="B833" s="1" t="n">
        <v>46049.37100694444</v>
      </c>
      <c r="C833" s="1" t="n">
        <v>46161</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10802-2024</t>
        </is>
      </c>
      <c r="B834" s="1" t="n">
        <v>45369</v>
      </c>
      <c r="C834" s="1" t="n">
        <v>46161</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4994-2026</t>
        </is>
      </c>
      <c r="B835" s="1" t="n">
        <v>46049</v>
      </c>
      <c r="C835" s="1" t="n">
        <v>46161</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45653-2024</t>
        </is>
      </c>
      <c r="B836" s="1" t="n">
        <v>45579.48872685185</v>
      </c>
      <c r="C836" s="1" t="n">
        <v>46161</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5757-2026</t>
        </is>
      </c>
      <c r="B837" s="1" t="n">
        <v>46051.61309027778</v>
      </c>
      <c r="C837" s="1" t="n">
        <v>46161</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9322-2025</t>
        </is>
      </c>
      <c r="B838" s="1" t="n">
        <v>45714.72241898148</v>
      </c>
      <c r="C838" s="1" t="n">
        <v>46161</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58632-2025</t>
        </is>
      </c>
      <c r="B839" s="1" t="n">
        <v>45986</v>
      </c>
      <c r="C839" s="1" t="n">
        <v>46161</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5497-2026</t>
        </is>
      </c>
      <c r="B840" s="1" t="n">
        <v>46050.61875</v>
      </c>
      <c r="C840" s="1" t="n">
        <v>46161</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5503-2026</t>
        </is>
      </c>
      <c r="B841" s="1" t="n">
        <v>46050.62509259259</v>
      </c>
      <c r="C841" s="1" t="n">
        <v>46161</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260-2024</t>
        </is>
      </c>
      <c r="B842" s="1" t="n">
        <v>45294</v>
      </c>
      <c r="C842" s="1" t="n">
        <v>46161</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40780-2022</t>
        </is>
      </c>
      <c r="B843" s="1" t="n">
        <v>44820</v>
      </c>
      <c r="C843" s="1" t="n">
        <v>46161</v>
      </c>
      <c r="D843" t="inlineStr">
        <is>
          <t>SKÅNE LÄN</t>
        </is>
      </c>
      <c r="E843" t="inlineStr">
        <is>
          <t>HÄSSLEHOLM</t>
        </is>
      </c>
      <c r="G843" t="n">
        <v>7.4</v>
      </c>
      <c r="H843" t="n">
        <v>0</v>
      </c>
      <c r="I843" t="n">
        <v>0</v>
      </c>
      <c r="J843" t="n">
        <v>0</v>
      </c>
      <c r="K843" t="n">
        <v>0</v>
      </c>
      <c r="L843" t="n">
        <v>0</v>
      </c>
      <c r="M843" t="n">
        <v>0</v>
      </c>
      <c r="N843" t="n">
        <v>0</v>
      </c>
      <c r="O843" t="n">
        <v>0</v>
      </c>
      <c r="P843" t="n">
        <v>0</v>
      </c>
      <c r="Q843" t="n">
        <v>0</v>
      </c>
      <c r="R843" s="2" t="inlineStr"/>
    </row>
    <row r="844" ht="15" customHeight="1">
      <c r="A844" t="inlineStr">
        <is>
          <t>A 5516-2026</t>
        </is>
      </c>
      <c r="B844" s="1" t="n">
        <v>46050.64197916666</v>
      </c>
      <c r="C844" s="1" t="n">
        <v>46161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5759-2026</t>
        </is>
      </c>
      <c r="B845" s="1" t="n">
        <v>46051.61814814815</v>
      </c>
      <c r="C845" s="1" t="n">
        <v>46161</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5316-2023</t>
        </is>
      </c>
      <c r="B846" s="1" t="n">
        <v>44959</v>
      </c>
      <c r="C846" s="1" t="n">
        <v>46161</v>
      </c>
      <c r="D846" t="inlineStr">
        <is>
          <t>SKÅNE LÄN</t>
        </is>
      </c>
      <c r="E846" t="inlineStr">
        <is>
          <t>HÄSSLEHOLM</t>
        </is>
      </c>
      <c r="G846" t="n">
        <v>2.1</v>
      </c>
      <c r="H846" t="n">
        <v>0</v>
      </c>
      <c r="I846" t="n">
        <v>0</v>
      </c>
      <c r="J846" t="n">
        <v>0</v>
      </c>
      <c r="K846" t="n">
        <v>0</v>
      </c>
      <c r="L846" t="n">
        <v>0</v>
      </c>
      <c r="M846" t="n">
        <v>0</v>
      </c>
      <c r="N846" t="n">
        <v>0</v>
      </c>
      <c r="O846" t="n">
        <v>0</v>
      </c>
      <c r="P846" t="n">
        <v>0</v>
      </c>
      <c r="Q846" t="n">
        <v>0</v>
      </c>
      <c r="R846" s="2" t="inlineStr"/>
    </row>
    <row r="847" ht="15" customHeight="1">
      <c r="A847" t="inlineStr">
        <is>
          <t>A 6309-2026</t>
        </is>
      </c>
      <c r="B847" s="1" t="n">
        <v>46055.57369212963</v>
      </c>
      <c r="C847" s="1" t="n">
        <v>46161</v>
      </c>
      <c r="D847" t="inlineStr">
        <is>
          <t>SKÅNE LÄN</t>
        </is>
      </c>
      <c r="E847" t="inlineStr">
        <is>
          <t>HÄSSLEHOLM</t>
        </is>
      </c>
      <c r="G847" t="n">
        <v>3.5</v>
      </c>
      <c r="H847" t="n">
        <v>0</v>
      </c>
      <c r="I847" t="n">
        <v>0</v>
      </c>
      <c r="J847" t="n">
        <v>0</v>
      </c>
      <c r="K847" t="n">
        <v>0</v>
      </c>
      <c r="L847" t="n">
        <v>0</v>
      </c>
      <c r="M847" t="n">
        <v>0</v>
      </c>
      <c r="N847" t="n">
        <v>0</v>
      </c>
      <c r="O847" t="n">
        <v>0</v>
      </c>
      <c r="P847" t="n">
        <v>0</v>
      </c>
      <c r="Q847" t="n">
        <v>0</v>
      </c>
      <c r="R847" s="2" t="inlineStr"/>
    </row>
    <row r="848" ht="15" customHeight="1">
      <c r="A848" t="inlineStr">
        <is>
          <t>A 64884-2023</t>
        </is>
      </c>
      <c r="B848" s="1" t="n">
        <v>45282.57809027778</v>
      </c>
      <c r="C848" s="1" t="n">
        <v>46161</v>
      </c>
      <c r="D848" t="inlineStr">
        <is>
          <t>SKÅNE LÄN</t>
        </is>
      </c>
      <c r="E848" t="inlineStr">
        <is>
          <t>HÄSSLEHOLM</t>
        </is>
      </c>
      <c r="G848" t="n">
        <v>4.6</v>
      </c>
      <c r="H848" t="n">
        <v>0</v>
      </c>
      <c r="I848" t="n">
        <v>0</v>
      </c>
      <c r="J848" t="n">
        <v>0</v>
      </c>
      <c r="K848" t="n">
        <v>0</v>
      </c>
      <c r="L848" t="n">
        <v>0</v>
      </c>
      <c r="M848" t="n">
        <v>0</v>
      </c>
      <c r="N848" t="n">
        <v>0</v>
      </c>
      <c r="O848" t="n">
        <v>0</v>
      </c>
      <c r="P848" t="n">
        <v>0</v>
      </c>
      <c r="Q848" t="n">
        <v>0</v>
      </c>
      <c r="R848" s="2" t="inlineStr"/>
    </row>
    <row r="849" ht="15" customHeight="1">
      <c r="A849" t="inlineStr">
        <is>
          <t>A 6299-2026</t>
        </is>
      </c>
      <c r="B849" s="1" t="n">
        <v>46055.56623842593</v>
      </c>
      <c r="C849" s="1" t="n">
        <v>46161</v>
      </c>
      <c r="D849" t="inlineStr">
        <is>
          <t>SKÅNE LÄN</t>
        </is>
      </c>
      <c r="E849" t="inlineStr">
        <is>
          <t>HÄSSLEHOLM</t>
        </is>
      </c>
      <c r="G849" t="n">
        <v>5.2</v>
      </c>
      <c r="H849" t="n">
        <v>0</v>
      </c>
      <c r="I849" t="n">
        <v>0</v>
      </c>
      <c r="J849" t="n">
        <v>0</v>
      </c>
      <c r="K849" t="n">
        <v>0</v>
      </c>
      <c r="L849" t="n">
        <v>0</v>
      </c>
      <c r="M849" t="n">
        <v>0</v>
      </c>
      <c r="N849" t="n">
        <v>0</v>
      </c>
      <c r="O849" t="n">
        <v>0</v>
      </c>
      <c r="P849" t="n">
        <v>0</v>
      </c>
      <c r="Q849" t="n">
        <v>0</v>
      </c>
      <c r="R849" s="2" t="inlineStr"/>
    </row>
    <row r="850" ht="15" customHeight="1">
      <c r="A850" t="inlineStr">
        <is>
          <t>A 48112-2024</t>
        </is>
      </c>
      <c r="B850" s="1" t="n">
        <v>45589.6295949074</v>
      </c>
      <c r="C850" s="1" t="n">
        <v>46161</v>
      </c>
      <c r="D850" t="inlineStr">
        <is>
          <t>SKÅNE LÄN</t>
        </is>
      </c>
      <c r="E850" t="inlineStr">
        <is>
          <t>HÄSSLEHOLM</t>
        </is>
      </c>
      <c r="G850" t="n">
        <v>1.1</v>
      </c>
      <c r="H850" t="n">
        <v>0</v>
      </c>
      <c r="I850" t="n">
        <v>0</v>
      </c>
      <c r="J850" t="n">
        <v>0</v>
      </c>
      <c r="K850" t="n">
        <v>0</v>
      </c>
      <c r="L850" t="n">
        <v>0</v>
      </c>
      <c r="M850" t="n">
        <v>0</v>
      </c>
      <c r="N850" t="n">
        <v>0</v>
      </c>
      <c r="O850" t="n">
        <v>0</v>
      </c>
      <c r="P850" t="n">
        <v>0</v>
      </c>
      <c r="Q850" t="n">
        <v>0</v>
      </c>
      <c r="R850" s="2" t="inlineStr"/>
    </row>
    <row r="851" ht="15" customHeight="1">
      <c r="A851" t="inlineStr">
        <is>
          <t>A 6310-2025</t>
        </is>
      </c>
      <c r="B851" s="1" t="n">
        <v>45698</v>
      </c>
      <c r="C851" s="1" t="n">
        <v>46161</v>
      </c>
      <c r="D851" t="inlineStr">
        <is>
          <t>SKÅNE LÄN</t>
        </is>
      </c>
      <c r="E851" t="inlineStr">
        <is>
          <t>HÄSSLEHOLM</t>
        </is>
      </c>
      <c r="G851" t="n">
        <v>2.7</v>
      </c>
      <c r="H851" t="n">
        <v>0</v>
      </c>
      <c r="I851" t="n">
        <v>0</v>
      </c>
      <c r="J851" t="n">
        <v>0</v>
      </c>
      <c r="K851" t="n">
        <v>0</v>
      </c>
      <c r="L851" t="n">
        <v>0</v>
      </c>
      <c r="M851" t="n">
        <v>0</v>
      </c>
      <c r="N851" t="n">
        <v>0</v>
      </c>
      <c r="O851" t="n">
        <v>0</v>
      </c>
      <c r="P851" t="n">
        <v>0</v>
      </c>
      <c r="Q851" t="n">
        <v>0</v>
      </c>
      <c r="R851" s="2" t="inlineStr"/>
    </row>
    <row r="852" ht="15" customHeight="1">
      <c r="A852" t="inlineStr">
        <is>
          <t>A 6295-2026</t>
        </is>
      </c>
      <c r="B852" s="1" t="n">
        <v>46055.56115740741</v>
      </c>
      <c r="C852" s="1" t="n">
        <v>46161</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6363-2026</t>
        </is>
      </c>
      <c r="B853" s="1" t="n">
        <v>46055.62319444444</v>
      </c>
      <c r="C853" s="1" t="n">
        <v>46161</v>
      </c>
      <c r="D853" t="inlineStr">
        <is>
          <t>SKÅNE LÄN</t>
        </is>
      </c>
      <c r="E853" t="inlineStr">
        <is>
          <t>HÄSSLEHOLM</t>
        </is>
      </c>
      <c r="G853" t="n">
        <v>4.4</v>
      </c>
      <c r="H853" t="n">
        <v>0</v>
      </c>
      <c r="I853" t="n">
        <v>0</v>
      </c>
      <c r="J853" t="n">
        <v>0</v>
      </c>
      <c r="K853" t="n">
        <v>0</v>
      </c>
      <c r="L853" t="n">
        <v>0</v>
      </c>
      <c r="M853" t="n">
        <v>0</v>
      </c>
      <c r="N853" t="n">
        <v>0</v>
      </c>
      <c r="O853" t="n">
        <v>0</v>
      </c>
      <c r="P853" t="n">
        <v>0</v>
      </c>
      <c r="Q853" t="n">
        <v>0</v>
      </c>
      <c r="R853" s="2" t="inlineStr"/>
    </row>
    <row r="854" ht="15" customHeight="1">
      <c r="A854" t="inlineStr">
        <is>
          <t>A 16474-2025</t>
        </is>
      </c>
      <c r="B854" s="1" t="n">
        <v>45751.56834490741</v>
      </c>
      <c r="C854" s="1" t="n">
        <v>46161</v>
      </c>
      <c r="D854" t="inlineStr">
        <is>
          <t>SKÅNE LÄN</t>
        </is>
      </c>
      <c r="E854" t="inlineStr">
        <is>
          <t>HÄSSLEHOLM</t>
        </is>
      </c>
      <c r="G854" t="n">
        <v>5.9</v>
      </c>
      <c r="H854" t="n">
        <v>0</v>
      </c>
      <c r="I854" t="n">
        <v>0</v>
      </c>
      <c r="J854" t="n">
        <v>0</v>
      </c>
      <c r="K854" t="n">
        <v>0</v>
      </c>
      <c r="L854" t="n">
        <v>0</v>
      </c>
      <c r="M854" t="n">
        <v>0</v>
      </c>
      <c r="N854" t="n">
        <v>0</v>
      </c>
      <c r="O854" t="n">
        <v>0</v>
      </c>
      <c r="P854" t="n">
        <v>0</v>
      </c>
      <c r="Q854" t="n">
        <v>0</v>
      </c>
      <c r="R854" s="2" t="inlineStr"/>
    </row>
    <row r="855" ht="15" customHeight="1">
      <c r="A855" t="inlineStr">
        <is>
          <t>A 6877-2026</t>
        </is>
      </c>
      <c r="B855" s="1" t="n">
        <v>46057.45768518518</v>
      </c>
      <c r="C855" s="1" t="n">
        <v>46161</v>
      </c>
      <c r="D855" t="inlineStr">
        <is>
          <t>SKÅNE LÄN</t>
        </is>
      </c>
      <c r="E855" t="inlineStr">
        <is>
          <t>HÄSSLEHOLM</t>
        </is>
      </c>
      <c r="G855" t="n">
        <v>1.3</v>
      </c>
      <c r="H855" t="n">
        <v>0</v>
      </c>
      <c r="I855" t="n">
        <v>0</v>
      </c>
      <c r="J855" t="n">
        <v>0</v>
      </c>
      <c r="K855" t="n">
        <v>0</v>
      </c>
      <c r="L855" t="n">
        <v>0</v>
      </c>
      <c r="M855" t="n">
        <v>0</v>
      </c>
      <c r="N855" t="n">
        <v>0</v>
      </c>
      <c r="O855" t="n">
        <v>0</v>
      </c>
      <c r="P855" t="n">
        <v>0</v>
      </c>
      <c r="Q855" t="n">
        <v>0</v>
      </c>
      <c r="R855" s="2" t="inlineStr"/>
    </row>
    <row r="856" ht="15" customHeight="1">
      <c r="A856" t="inlineStr">
        <is>
          <t>A 48097-2024</t>
        </is>
      </c>
      <c r="B856" s="1" t="n">
        <v>45589.61413194444</v>
      </c>
      <c r="C856" s="1" t="n">
        <v>46161</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60846-2022</t>
        </is>
      </c>
      <c r="B857" s="1" t="n">
        <v>44914</v>
      </c>
      <c r="C857" s="1" t="n">
        <v>46161</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42776-2021</t>
        </is>
      </c>
      <c r="B858" s="1" t="n">
        <v>44428</v>
      </c>
      <c r="C858" s="1" t="n">
        <v>46161</v>
      </c>
      <c r="D858" t="inlineStr">
        <is>
          <t>SKÅNE LÄN</t>
        </is>
      </c>
      <c r="E858" t="inlineStr">
        <is>
          <t>HÄSSLEHOLM</t>
        </is>
      </c>
      <c r="G858" t="n">
        <v>3.2</v>
      </c>
      <c r="H858" t="n">
        <v>0</v>
      </c>
      <c r="I858" t="n">
        <v>0</v>
      </c>
      <c r="J858" t="n">
        <v>0</v>
      </c>
      <c r="K858" t="n">
        <v>0</v>
      </c>
      <c r="L858" t="n">
        <v>0</v>
      </c>
      <c r="M858" t="n">
        <v>0</v>
      </c>
      <c r="N858" t="n">
        <v>0</v>
      </c>
      <c r="O858" t="n">
        <v>0</v>
      </c>
      <c r="P858" t="n">
        <v>0</v>
      </c>
      <c r="Q858" t="n">
        <v>0</v>
      </c>
      <c r="R858" s="2" t="inlineStr"/>
    </row>
    <row r="859" ht="15" customHeight="1">
      <c r="A859" t="inlineStr">
        <is>
          <t>A 6449-2026</t>
        </is>
      </c>
      <c r="B859" s="1" t="n">
        <v>46055.87239583334</v>
      </c>
      <c r="C859" s="1" t="n">
        <v>46161</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14700-2023</t>
        </is>
      </c>
      <c r="B860" s="1" t="n">
        <v>45014.38376157408</v>
      </c>
      <c r="C860" s="1" t="n">
        <v>46161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7244-2026</t>
        </is>
      </c>
      <c r="B861" s="1" t="n">
        <v>46058.58646990741</v>
      </c>
      <c r="C861" s="1" t="n">
        <v>46161</v>
      </c>
      <c r="D861" t="inlineStr">
        <is>
          <t>SKÅNE LÄN</t>
        </is>
      </c>
      <c r="E861" t="inlineStr">
        <is>
          <t>HÄSSLEHOLM</t>
        </is>
      </c>
      <c r="G861" t="n">
        <v>7</v>
      </c>
      <c r="H861" t="n">
        <v>0</v>
      </c>
      <c r="I861" t="n">
        <v>0</v>
      </c>
      <c r="J861" t="n">
        <v>0</v>
      </c>
      <c r="K861" t="n">
        <v>0</v>
      </c>
      <c r="L861" t="n">
        <v>0</v>
      </c>
      <c r="M861" t="n">
        <v>0</v>
      </c>
      <c r="N861" t="n">
        <v>0</v>
      </c>
      <c r="O861" t="n">
        <v>0</v>
      </c>
      <c r="P861" t="n">
        <v>0</v>
      </c>
      <c r="Q861" t="n">
        <v>0</v>
      </c>
      <c r="R861" s="2" t="inlineStr"/>
    </row>
    <row r="862" ht="15" customHeight="1">
      <c r="A862" t="inlineStr">
        <is>
          <t>A 7721-2026</t>
        </is>
      </c>
      <c r="B862" s="1" t="n">
        <v>46059</v>
      </c>
      <c r="C862" s="1" t="n">
        <v>46161</v>
      </c>
      <c r="D862" t="inlineStr">
        <is>
          <t>SKÅNE LÄN</t>
        </is>
      </c>
      <c r="E862" t="inlineStr">
        <is>
          <t>HÄSSLEHOLM</t>
        </is>
      </c>
      <c r="G862" t="n">
        <v>3.3</v>
      </c>
      <c r="H862" t="n">
        <v>0</v>
      </c>
      <c r="I862" t="n">
        <v>0</v>
      </c>
      <c r="J862" t="n">
        <v>0</v>
      </c>
      <c r="K862" t="n">
        <v>0</v>
      </c>
      <c r="L862" t="n">
        <v>0</v>
      </c>
      <c r="M862" t="n">
        <v>0</v>
      </c>
      <c r="N862" t="n">
        <v>0</v>
      </c>
      <c r="O862" t="n">
        <v>0</v>
      </c>
      <c r="P862" t="n">
        <v>0</v>
      </c>
      <c r="Q862" t="n">
        <v>0</v>
      </c>
      <c r="R862" s="2" t="inlineStr"/>
    </row>
    <row r="863" ht="15" customHeight="1">
      <c r="A863" t="inlineStr">
        <is>
          <t>A 39915-2023</t>
        </is>
      </c>
      <c r="B863" s="1" t="n">
        <v>45168.4684375</v>
      </c>
      <c r="C863" s="1" t="n">
        <v>46161</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20058-2023</t>
        </is>
      </c>
      <c r="B864" s="1" t="n">
        <v>45054.68476851852</v>
      </c>
      <c r="C864" s="1" t="n">
        <v>46161</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8619-2023</t>
        </is>
      </c>
      <c r="B865" s="1" t="n">
        <v>44977.81979166667</v>
      </c>
      <c r="C865" s="1" t="n">
        <v>46161</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9543-2025</t>
        </is>
      </c>
      <c r="B866" s="1" t="n">
        <v>45715</v>
      </c>
      <c r="C866" s="1" t="n">
        <v>46161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14981-2026</t>
        </is>
      </c>
      <c r="B867" s="1" t="n">
        <v>46104</v>
      </c>
      <c r="C867" s="1" t="n">
        <v>46161</v>
      </c>
      <c r="D867" t="inlineStr">
        <is>
          <t>SKÅNE LÄN</t>
        </is>
      </c>
      <c r="E867" t="inlineStr">
        <is>
          <t>HÄSSLEHOLM</t>
        </is>
      </c>
      <c r="G867" t="n">
        <v>7.7</v>
      </c>
      <c r="H867" t="n">
        <v>0</v>
      </c>
      <c r="I867" t="n">
        <v>0</v>
      </c>
      <c r="J867" t="n">
        <v>0</v>
      </c>
      <c r="K867" t="n">
        <v>0</v>
      </c>
      <c r="L867" t="n">
        <v>0</v>
      </c>
      <c r="M867" t="n">
        <v>0</v>
      </c>
      <c r="N867" t="n">
        <v>0</v>
      </c>
      <c r="O867" t="n">
        <v>0</v>
      </c>
      <c r="P867" t="n">
        <v>0</v>
      </c>
      <c r="Q867" t="n">
        <v>0</v>
      </c>
      <c r="R867" s="2" t="inlineStr"/>
    </row>
    <row r="868" ht="15" customHeight="1">
      <c r="A868" t="inlineStr">
        <is>
          <t>A 53067-2022</t>
        </is>
      </c>
      <c r="B868" s="1" t="n">
        <v>44873</v>
      </c>
      <c r="C868" s="1" t="n">
        <v>46161</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7785-2026</t>
        </is>
      </c>
      <c r="B869" s="1" t="n">
        <v>46062.58422453704</v>
      </c>
      <c r="C869" s="1" t="n">
        <v>46161</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3349-2023</t>
        </is>
      </c>
      <c r="B870" s="1" t="n">
        <v>44949</v>
      </c>
      <c r="C870" s="1" t="n">
        <v>46161</v>
      </c>
      <c r="D870" t="inlineStr">
        <is>
          <t>SKÅNE LÄN</t>
        </is>
      </c>
      <c r="E870" t="inlineStr">
        <is>
          <t>HÄSSLEHOLM</t>
        </is>
      </c>
      <c r="G870" t="n">
        <v>2.3</v>
      </c>
      <c r="H870" t="n">
        <v>0</v>
      </c>
      <c r="I870" t="n">
        <v>0</v>
      </c>
      <c r="J870" t="n">
        <v>0</v>
      </c>
      <c r="K870" t="n">
        <v>0</v>
      </c>
      <c r="L870" t="n">
        <v>0</v>
      </c>
      <c r="M870" t="n">
        <v>0</v>
      </c>
      <c r="N870" t="n">
        <v>0</v>
      </c>
      <c r="O870" t="n">
        <v>0</v>
      </c>
      <c r="P870" t="n">
        <v>0</v>
      </c>
      <c r="Q870" t="n">
        <v>0</v>
      </c>
      <c r="R870" s="2" t="inlineStr"/>
    </row>
    <row r="871" ht="15" customHeight="1">
      <c r="A871" t="inlineStr">
        <is>
          <t>A 46185-2022</t>
        </is>
      </c>
      <c r="B871" s="1" t="n">
        <v>44847</v>
      </c>
      <c r="C871" s="1" t="n">
        <v>46161</v>
      </c>
      <c r="D871" t="inlineStr">
        <is>
          <t>SKÅNE LÄN</t>
        </is>
      </c>
      <c r="E871" t="inlineStr">
        <is>
          <t>HÄSSLEHOLM</t>
        </is>
      </c>
      <c r="G871" t="n">
        <v>16.8</v>
      </c>
      <c r="H871" t="n">
        <v>0</v>
      </c>
      <c r="I871" t="n">
        <v>0</v>
      </c>
      <c r="J871" t="n">
        <v>0</v>
      </c>
      <c r="K871" t="n">
        <v>0</v>
      </c>
      <c r="L871" t="n">
        <v>0</v>
      </c>
      <c r="M871" t="n">
        <v>0</v>
      </c>
      <c r="N871" t="n">
        <v>0</v>
      </c>
      <c r="O871" t="n">
        <v>0</v>
      </c>
      <c r="P871" t="n">
        <v>0</v>
      </c>
      <c r="Q871" t="n">
        <v>0</v>
      </c>
      <c r="R871" s="2" t="inlineStr"/>
    </row>
    <row r="872" ht="15" customHeight="1">
      <c r="A872" t="inlineStr">
        <is>
          <t>A 63473-2025</t>
        </is>
      </c>
      <c r="B872" s="1" t="n">
        <v>46013.44364583334</v>
      </c>
      <c r="C872" s="1" t="n">
        <v>46161</v>
      </c>
      <c r="D872" t="inlineStr">
        <is>
          <t>SKÅNE LÄN</t>
        </is>
      </c>
      <c r="E872" t="inlineStr">
        <is>
          <t>HÄSSLEHOLM</t>
        </is>
      </c>
      <c r="F872" t="inlineStr">
        <is>
          <t>Kommuner</t>
        </is>
      </c>
      <c r="G872" t="n">
        <v>5.9</v>
      </c>
      <c r="H872" t="n">
        <v>0</v>
      </c>
      <c r="I872" t="n">
        <v>0</v>
      </c>
      <c r="J872" t="n">
        <v>0</v>
      </c>
      <c r="K872" t="n">
        <v>0</v>
      </c>
      <c r="L872" t="n">
        <v>0</v>
      </c>
      <c r="M872" t="n">
        <v>0</v>
      </c>
      <c r="N872" t="n">
        <v>0</v>
      </c>
      <c r="O872" t="n">
        <v>0</v>
      </c>
      <c r="P872" t="n">
        <v>0</v>
      </c>
      <c r="Q872" t="n">
        <v>0</v>
      </c>
      <c r="R872" s="2" t="inlineStr"/>
    </row>
    <row r="873" ht="15" customHeight="1">
      <c r="A873" t="inlineStr">
        <is>
          <t>A 18623-2023</t>
        </is>
      </c>
      <c r="B873" s="1" t="n">
        <v>45043</v>
      </c>
      <c r="C873" s="1" t="n">
        <v>46161</v>
      </c>
      <c r="D873" t="inlineStr">
        <is>
          <t>SKÅNE LÄN</t>
        </is>
      </c>
      <c r="E873" t="inlineStr">
        <is>
          <t>HÄSSLEHOLM</t>
        </is>
      </c>
      <c r="G873" t="n">
        <v>3.2</v>
      </c>
      <c r="H873" t="n">
        <v>0</v>
      </c>
      <c r="I873" t="n">
        <v>0</v>
      </c>
      <c r="J873" t="n">
        <v>0</v>
      </c>
      <c r="K873" t="n">
        <v>0</v>
      </c>
      <c r="L873" t="n">
        <v>0</v>
      </c>
      <c r="M873" t="n">
        <v>0</v>
      </c>
      <c r="N873" t="n">
        <v>0</v>
      </c>
      <c r="O873" t="n">
        <v>0</v>
      </c>
      <c r="P873" t="n">
        <v>0</v>
      </c>
      <c r="Q873" t="n">
        <v>0</v>
      </c>
      <c r="R873" s="2" t="inlineStr"/>
    </row>
    <row r="874" ht="15" customHeight="1">
      <c r="A874" t="inlineStr">
        <is>
          <t>A 33873-2021</t>
        </is>
      </c>
      <c r="B874" s="1" t="n">
        <v>44378</v>
      </c>
      <c r="C874" s="1" t="n">
        <v>46161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15053-2023</t>
        </is>
      </c>
      <c r="B875" s="1" t="n">
        <v>45015</v>
      </c>
      <c r="C875" s="1" t="n">
        <v>46161</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8538-2026</t>
        </is>
      </c>
      <c r="B876" s="1" t="n">
        <v>46064</v>
      </c>
      <c r="C876" s="1" t="n">
        <v>46161</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9302-2025</t>
        </is>
      </c>
      <c r="B877" s="1" t="n">
        <v>45714.67233796296</v>
      </c>
      <c r="C877" s="1" t="n">
        <v>46161</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47907-2021</t>
        </is>
      </c>
      <c r="B878" s="1" t="n">
        <v>44448</v>
      </c>
      <c r="C878" s="1" t="n">
        <v>46161</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1197-2024</t>
        </is>
      </c>
      <c r="B879" s="1" t="n">
        <v>45302</v>
      </c>
      <c r="C879" s="1" t="n">
        <v>46161</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13712-2025</t>
        </is>
      </c>
      <c r="B880" s="1" t="n">
        <v>45737</v>
      </c>
      <c r="C880" s="1" t="n">
        <v>46161</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8539-2026</t>
        </is>
      </c>
      <c r="B881" s="1" t="n">
        <v>46064</v>
      </c>
      <c r="C881" s="1" t="n">
        <v>46161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49950-2023</t>
        </is>
      </c>
      <c r="B882" s="1" t="n">
        <v>45215</v>
      </c>
      <c r="C882" s="1" t="n">
        <v>46161</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41694-2024</t>
        </is>
      </c>
      <c r="B883" s="1" t="n">
        <v>45560.68341435185</v>
      </c>
      <c r="C883" s="1" t="n">
        <v>46161</v>
      </c>
      <c r="D883" t="inlineStr">
        <is>
          <t>SKÅNE LÄN</t>
        </is>
      </c>
      <c r="E883" t="inlineStr">
        <is>
          <t>HÄSSLEHOLM</t>
        </is>
      </c>
      <c r="G883" t="n">
        <v>0.4</v>
      </c>
      <c r="H883" t="n">
        <v>0</v>
      </c>
      <c r="I883" t="n">
        <v>0</v>
      </c>
      <c r="J883" t="n">
        <v>0</v>
      </c>
      <c r="K883" t="n">
        <v>0</v>
      </c>
      <c r="L883" t="n">
        <v>0</v>
      </c>
      <c r="M883" t="n">
        <v>0</v>
      </c>
      <c r="N883" t="n">
        <v>0</v>
      </c>
      <c r="O883" t="n">
        <v>0</v>
      </c>
      <c r="P883" t="n">
        <v>0</v>
      </c>
      <c r="Q883" t="n">
        <v>0</v>
      </c>
      <c r="R883" s="2" t="inlineStr"/>
    </row>
    <row r="884" ht="15" customHeight="1">
      <c r="A884" t="inlineStr">
        <is>
          <t>A 8367-2026</t>
        </is>
      </c>
      <c r="B884" s="1" t="n">
        <v>46064</v>
      </c>
      <c r="C884" s="1" t="n">
        <v>46161</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36795-2023</t>
        </is>
      </c>
      <c r="B885" s="1" t="n">
        <v>45154.38245370371</v>
      </c>
      <c r="C885" s="1" t="n">
        <v>46161</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46942-2024</t>
        </is>
      </c>
      <c r="B886" s="1" t="n">
        <v>45585.6684375</v>
      </c>
      <c r="C886" s="1" t="n">
        <v>46161</v>
      </c>
      <c r="D886" t="inlineStr">
        <is>
          <t>SKÅNE LÄN</t>
        </is>
      </c>
      <c r="E886" t="inlineStr">
        <is>
          <t>HÄSSLEHOLM</t>
        </is>
      </c>
      <c r="G886" t="n">
        <v>1.8</v>
      </c>
      <c r="H886" t="n">
        <v>0</v>
      </c>
      <c r="I886" t="n">
        <v>0</v>
      </c>
      <c r="J886" t="n">
        <v>0</v>
      </c>
      <c r="K886" t="n">
        <v>0</v>
      </c>
      <c r="L886" t="n">
        <v>0</v>
      </c>
      <c r="M886" t="n">
        <v>0</v>
      </c>
      <c r="N886" t="n">
        <v>0</v>
      </c>
      <c r="O886" t="n">
        <v>0</v>
      </c>
      <c r="P886" t="n">
        <v>0</v>
      </c>
      <c r="Q886" t="n">
        <v>0</v>
      </c>
      <c r="R886" s="2" t="inlineStr"/>
    </row>
    <row r="887" ht="15" customHeight="1">
      <c r="A887" t="inlineStr">
        <is>
          <t>A 8674-2026</t>
        </is>
      </c>
      <c r="B887" s="1" t="n">
        <v>46066.4059837963</v>
      </c>
      <c r="C887" s="1" t="n">
        <v>46161</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43696-2024</t>
        </is>
      </c>
      <c r="B888" s="1" t="n">
        <v>45569.58855324074</v>
      </c>
      <c r="C888" s="1" t="n">
        <v>46161</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36706-2022</t>
        </is>
      </c>
      <c r="B889" s="1" t="n">
        <v>44805.32891203704</v>
      </c>
      <c r="C889" s="1" t="n">
        <v>46161</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22594-2024</t>
        </is>
      </c>
      <c r="B890" s="1" t="n">
        <v>45447.60892361111</v>
      </c>
      <c r="C890" s="1" t="n">
        <v>46161</v>
      </c>
      <c r="D890" t="inlineStr">
        <is>
          <t>SKÅNE LÄN</t>
        </is>
      </c>
      <c r="E890" t="inlineStr">
        <is>
          <t>HÄSSLEHOLM</t>
        </is>
      </c>
      <c r="G890" t="n">
        <v>1.1</v>
      </c>
      <c r="H890" t="n">
        <v>0</v>
      </c>
      <c r="I890" t="n">
        <v>0</v>
      </c>
      <c r="J890" t="n">
        <v>0</v>
      </c>
      <c r="K890" t="n">
        <v>0</v>
      </c>
      <c r="L890" t="n">
        <v>0</v>
      </c>
      <c r="M890" t="n">
        <v>0</v>
      </c>
      <c r="N890" t="n">
        <v>0</v>
      </c>
      <c r="O890" t="n">
        <v>0</v>
      </c>
      <c r="P890" t="n">
        <v>0</v>
      </c>
      <c r="Q890" t="n">
        <v>0</v>
      </c>
      <c r="R890" s="2" t="inlineStr"/>
    </row>
    <row r="891" ht="15" customHeight="1">
      <c r="A891" t="inlineStr">
        <is>
          <t>A 8852-2026</t>
        </is>
      </c>
      <c r="B891" s="1" t="n">
        <v>46066.66105324074</v>
      </c>
      <c r="C891" s="1" t="n">
        <v>46161</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25213-2023</t>
        </is>
      </c>
      <c r="B892" s="1" t="n">
        <v>45086.60010416667</v>
      </c>
      <c r="C892" s="1" t="n">
        <v>46161</v>
      </c>
      <c r="D892" t="inlineStr">
        <is>
          <t>SKÅNE LÄN</t>
        </is>
      </c>
      <c r="E892" t="inlineStr">
        <is>
          <t>HÄSSLEHOLM</t>
        </is>
      </c>
      <c r="G892" t="n">
        <v>7.2</v>
      </c>
      <c r="H892" t="n">
        <v>0</v>
      </c>
      <c r="I892" t="n">
        <v>0</v>
      </c>
      <c r="J892" t="n">
        <v>0</v>
      </c>
      <c r="K892" t="n">
        <v>0</v>
      </c>
      <c r="L892" t="n">
        <v>0</v>
      </c>
      <c r="M892" t="n">
        <v>0</v>
      </c>
      <c r="N892" t="n">
        <v>0</v>
      </c>
      <c r="O892" t="n">
        <v>0</v>
      </c>
      <c r="P892" t="n">
        <v>0</v>
      </c>
      <c r="Q892" t="n">
        <v>0</v>
      </c>
      <c r="R892" s="2" t="inlineStr"/>
    </row>
    <row r="893" ht="15" customHeight="1">
      <c r="A893" t="inlineStr">
        <is>
          <t>A 18063-2023</t>
        </is>
      </c>
      <c r="B893" s="1" t="n">
        <v>45040.62850694444</v>
      </c>
      <c r="C893" s="1" t="n">
        <v>46161</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61524-2022</t>
        </is>
      </c>
      <c r="B894" s="1" t="n">
        <v>44910</v>
      </c>
      <c r="C894" s="1" t="n">
        <v>46161</v>
      </c>
      <c r="D894" t="inlineStr">
        <is>
          <t>SKÅNE LÄN</t>
        </is>
      </c>
      <c r="E894" t="inlineStr">
        <is>
          <t>HÄSSLEHOLM</t>
        </is>
      </c>
      <c r="F894" t="inlineStr">
        <is>
          <t>Kyrkan</t>
        </is>
      </c>
      <c r="G894" t="n">
        <v>2.1</v>
      </c>
      <c r="H894" t="n">
        <v>0</v>
      </c>
      <c r="I894" t="n">
        <v>0</v>
      </c>
      <c r="J894" t="n">
        <v>0</v>
      </c>
      <c r="K894" t="n">
        <v>0</v>
      </c>
      <c r="L894" t="n">
        <v>0</v>
      </c>
      <c r="M894" t="n">
        <v>0</v>
      </c>
      <c r="N894" t="n">
        <v>0</v>
      </c>
      <c r="O894" t="n">
        <v>0</v>
      </c>
      <c r="P894" t="n">
        <v>0</v>
      </c>
      <c r="Q894" t="n">
        <v>0</v>
      </c>
      <c r="R894" s="2" t="inlineStr"/>
    </row>
    <row r="895" ht="15" customHeight="1">
      <c r="A895" t="inlineStr">
        <is>
          <t>A 61578-2023</t>
        </is>
      </c>
      <c r="B895" s="1" t="n">
        <v>45265.47399305556</v>
      </c>
      <c r="C895" s="1" t="n">
        <v>46161</v>
      </c>
      <c r="D895" t="inlineStr">
        <is>
          <t>SKÅNE LÄN</t>
        </is>
      </c>
      <c r="E895" t="inlineStr">
        <is>
          <t>HÄSSLEHOLM</t>
        </is>
      </c>
      <c r="G895" t="n">
        <v>1.2</v>
      </c>
      <c r="H895" t="n">
        <v>0</v>
      </c>
      <c r="I895" t="n">
        <v>0</v>
      </c>
      <c r="J895" t="n">
        <v>0</v>
      </c>
      <c r="K895" t="n">
        <v>0</v>
      </c>
      <c r="L895" t="n">
        <v>0</v>
      </c>
      <c r="M895" t="n">
        <v>0</v>
      </c>
      <c r="N895" t="n">
        <v>0</v>
      </c>
      <c r="O895" t="n">
        <v>0</v>
      </c>
      <c r="P895" t="n">
        <v>0</v>
      </c>
      <c r="Q895" t="n">
        <v>0</v>
      </c>
      <c r="R895" s="2" t="inlineStr"/>
    </row>
    <row r="896" ht="15" customHeight="1">
      <c r="A896" t="inlineStr">
        <is>
          <t>A 25542-2024</t>
        </is>
      </c>
      <c r="B896" s="1" t="n">
        <v>45463</v>
      </c>
      <c r="C896" s="1" t="n">
        <v>46161</v>
      </c>
      <c r="D896" t="inlineStr">
        <is>
          <t>SKÅNE LÄN</t>
        </is>
      </c>
      <c r="E896" t="inlineStr">
        <is>
          <t>HÄSSLEHOLM</t>
        </is>
      </c>
      <c r="G896" t="n">
        <v>6.9</v>
      </c>
      <c r="H896" t="n">
        <v>0</v>
      </c>
      <c r="I896" t="n">
        <v>0</v>
      </c>
      <c r="J896" t="n">
        <v>0</v>
      </c>
      <c r="K896" t="n">
        <v>0</v>
      </c>
      <c r="L896" t="n">
        <v>0</v>
      </c>
      <c r="M896" t="n">
        <v>0</v>
      </c>
      <c r="N896" t="n">
        <v>0</v>
      </c>
      <c r="O896" t="n">
        <v>0</v>
      </c>
      <c r="P896" t="n">
        <v>0</v>
      </c>
      <c r="Q896" t="n">
        <v>0</v>
      </c>
      <c r="R896" s="2" t="inlineStr"/>
    </row>
    <row r="897" ht="15" customHeight="1">
      <c r="A897" t="inlineStr">
        <is>
          <t>A 58689-2025</t>
        </is>
      </c>
      <c r="B897" s="1" t="n">
        <v>45986</v>
      </c>
      <c r="C897" s="1" t="n">
        <v>46161</v>
      </c>
      <c r="D897" t="inlineStr">
        <is>
          <t>SKÅNE LÄN</t>
        </is>
      </c>
      <c r="E897" t="inlineStr">
        <is>
          <t>HÄSSLEHOLM</t>
        </is>
      </c>
      <c r="G897" t="n">
        <v>3.9</v>
      </c>
      <c r="H897" t="n">
        <v>0</v>
      </c>
      <c r="I897" t="n">
        <v>0</v>
      </c>
      <c r="J897" t="n">
        <v>0</v>
      </c>
      <c r="K897" t="n">
        <v>0</v>
      </c>
      <c r="L897" t="n">
        <v>0</v>
      </c>
      <c r="M897" t="n">
        <v>0</v>
      </c>
      <c r="N897" t="n">
        <v>0</v>
      </c>
      <c r="O897" t="n">
        <v>0</v>
      </c>
      <c r="P897" t="n">
        <v>0</v>
      </c>
      <c r="Q897" t="n">
        <v>0</v>
      </c>
      <c r="R897" s="2" t="inlineStr"/>
    </row>
    <row r="898" ht="15" customHeight="1">
      <c r="A898" t="inlineStr">
        <is>
          <t>A 42370-2023</t>
        </is>
      </c>
      <c r="B898" s="1" t="n">
        <v>45180</v>
      </c>
      <c r="C898" s="1" t="n">
        <v>46161</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11422-2025</t>
        </is>
      </c>
      <c r="B899" s="1" t="n">
        <v>45726</v>
      </c>
      <c r="C899" s="1" t="n">
        <v>46161</v>
      </c>
      <c r="D899" t="inlineStr">
        <is>
          <t>SKÅNE LÄN</t>
        </is>
      </c>
      <c r="E899" t="inlineStr">
        <is>
          <t>HÄSSLEHOLM</t>
        </is>
      </c>
      <c r="G899" t="n">
        <v>14.9</v>
      </c>
      <c r="H899" t="n">
        <v>0</v>
      </c>
      <c r="I899" t="n">
        <v>0</v>
      </c>
      <c r="J899" t="n">
        <v>0</v>
      </c>
      <c r="K899" t="n">
        <v>0</v>
      </c>
      <c r="L899" t="n">
        <v>0</v>
      </c>
      <c r="M899" t="n">
        <v>0</v>
      </c>
      <c r="N899" t="n">
        <v>0</v>
      </c>
      <c r="O899" t="n">
        <v>0</v>
      </c>
      <c r="P899" t="n">
        <v>0</v>
      </c>
      <c r="Q899" t="n">
        <v>0</v>
      </c>
      <c r="R899" s="2" t="inlineStr"/>
    </row>
    <row r="900" ht="15" customHeight="1">
      <c r="A900" t="inlineStr">
        <is>
          <t>A 7604-2024</t>
        </is>
      </c>
      <c r="B900" s="1" t="n">
        <v>45348</v>
      </c>
      <c r="C900" s="1" t="n">
        <v>46161</v>
      </c>
      <c r="D900" t="inlineStr">
        <is>
          <t>SKÅNE LÄN</t>
        </is>
      </c>
      <c r="E900" t="inlineStr">
        <is>
          <t>HÄSSLEHOLM</t>
        </is>
      </c>
      <c r="G900" t="n">
        <v>11.1</v>
      </c>
      <c r="H900" t="n">
        <v>0</v>
      </c>
      <c r="I900" t="n">
        <v>0</v>
      </c>
      <c r="J900" t="n">
        <v>0</v>
      </c>
      <c r="K900" t="n">
        <v>0</v>
      </c>
      <c r="L900" t="n">
        <v>0</v>
      </c>
      <c r="M900" t="n">
        <v>0</v>
      </c>
      <c r="N900" t="n">
        <v>0</v>
      </c>
      <c r="O900" t="n">
        <v>0</v>
      </c>
      <c r="P900" t="n">
        <v>0</v>
      </c>
      <c r="Q900" t="n">
        <v>0</v>
      </c>
      <c r="R900" s="2" t="inlineStr"/>
    </row>
    <row r="901" ht="15" customHeight="1">
      <c r="A901" t="inlineStr">
        <is>
          <t>A 29853-2024</t>
        </is>
      </c>
      <c r="B901" s="1" t="n">
        <v>45485.65844907407</v>
      </c>
      <c r="C901" s="1" t="n">
        <v>46161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26857-2025</t>
        </is>
      </c>
      <c r="B902" s="1" t="n">
        <v>45810</v>
      </c>
      <c r="C902" s="1" t="n">
        <v>46161</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29287-2023</t>
        </is>
      </c>
      <c r="B903" s="1" t="n">
        <v>45098</v>
      </c>
      <c r="C903" s="1" t="n">
        <v>46161</v>
      </c>
      <c r="D903" t="inlineStr">
        <is>
          <t>SKÅNE LÄN</t>
        </is>
      </c>
      <c r="E903" t="inlineStr">
        <is>
          <t>HÄSSLEHOLM</t>
        </is>
      </c>
      <c r="G903" t="n">
        <v>5.7</v>
      </c>
      <c r="H903" t="n">
        <v>0</v>
      </c>
      <c r="I903" t="n">
        <v>0</v>
      </c>
      <c r="J903" t="n">
        <v>0</v>
      </c>
      <c r="K903" t="n">
        <v>0</v>
      </c>
      <c r="L903" t="n">
        <v>0</v>
      </c>
      <c r="M903" t="n">
        <v>0</v>
      </c>
      <c r="N903" t="n">
        <v>0</v>
      </c>
      <c r="O903" t="n">
        <v>0</v>
      </c>
      <c r="P903" t="n">
        <v>0</v>
      </c>
      <c r="Q903" t="n">
        <v>0</v>
      </c>
      <c r="R903" s="2" t="inlineStr"/>
    </row>
    <row r="904" ht="15" customHeight="1">
      <c r="A904" t="inlineStr">
        <is>
          <t>A 5992-2022</t>
        </is>
      </c>
      <c r="B904" s="1" t="n">
        <v>44599</v>
      </c>
      <c r="C904" s="1" t="n">
        <v>46161</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32154-2024</t>
        </is>
      </c>
      <c r="B905" s="1" t="n">
        <v>45511</v>
      </c>
      <c r="C905" s="1" t="n">
        <v>46161</v>
      </c>
      <c r="D905" t="inlineStr">
        <is>
          <t>SKÅNE LÄN</t>
        </is>
      </c>
      <c r="E905" t="inlineStr">
        <is>
          <t>HÄSSLEHOLM</t>
        </is>
      </c>
      <c r="G905" t="n">
        <v>6.4</v>
      </c>
      <c r="H905" t="n">
        <v>0</v>
      </c>
      <c r="I905" t="n">
        <v>0</v>
      </c>
      <c r="J905" t="n">
        <v>0</v>
      </c>
      <c r="K905" t="n">
        <v>0</v>
      </c>
      <c r="L905" t="n">
        <v>0</v>
      </c>
      <c r="M905" t="n">
        <v>0</v>
      </c>
      <c r="N905" t="n">
        <v>0</v>
      </c>
      <c r="O905" t="n">
        <v>0</v>
      </c>
      <c r="P905" t="n">
        <v>0</v>
      </c>
      <c r="Q905" t="n">
        <v>0</v>
      </c>
      <c r="R905" s="2" t="inlineStr"/>
    </row>
    <row r="906" ht="15" customHeight="1">
      <c r="A906" t="inlineStr">
        <is>
          <t>A 25324-2024</t>
        </is>
      </c>
      <c r="B906" s="1" t="n">
        <v>45462.804375</v>
      </c>
      <c r="C906" s="1" t="n">
        <v>46161</v>
      </c>
      <c r="D906" t="inlineStr">
        <is>
          <t>SKÅNE LÄN</t>
        </is>
      </c>
      <c r="E906" t="inlineStr">
        <is>
          <t>HÄSSLEHOLM</t>
        </is>
      </c>
      <c r="G906" t="n">
        <v>0.2</v>
      </c>
      <c r="H906" t="n">
        <v>0</v>
      </c>
      <c r="I906" t="n">
        <v>0</v>
      </c>
      <c r="J906" t="n">
        <v>0</v>
      </c>
      <c r="K906" t="n">
        <v>0</v>
      </c>
      <c r="L906" t="n">
        <v>0</v>
      </c>
      <c r="M906" t="n">
        <v>0</v>
      </c>
      <c r="N906" t="n">
        <v>0</v>
      </c>
      <c r="O906" t="n">
        <v>0</v>
      </c>
      <c r="P906" t="n">
        <v>0</v>
      </c>
      <c r="Q906" t="n">
        <v>0</v>
      </c>
      <c r="R906" s="2" t="inlineStr"/>
    </row>
    <row r="907" ht="15" customHeight="1">
      <c r="A907" t="inlineStr">
        <is>
          <t>A 8803-2023</t>
        </is>
      </c>
      <c r="B907" s="1" t="n">
        <v>44978.61712962963</v>
      </c>
      <c r="C907" s="1" t="n">
        <v>46161</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4809-2025</t>
        </is>
      </c>
      <c r="B908" s="1" t="n">
        <v>45688.60148148148</v>
      </c>
      <c r="C908" s="1" t="n">
        <v>46161</v>
      </c>
      <c r="D908" t="inlineStr">
        <is>
          <t>SKÅNE LÄN</t>
        </is>
      </c>
      <c r="E908" t="inlineStr">
        <is>
          <t>HÄSSLEHOLM</t>
        </is>
      </c>
      <c r="G908" t="n">
        <v>0.7</v>
      </c>
      <c r="H908" t="n">
        <v>0</v>
      </c>
      <c r="I908" t="n">
        <v>0</v>
      </c>
      <c r="J908" t="n">
        <v>0</v>
      </c>
      <c r="K908" t="n">
        <v>0</v>
      </c>
      <c r="L908" t="n">
        <v>0</v>
      </c>
      <c r="M908" t="n">
        <v>0</v>
      </c>
      <c r="N908" t="n">
        <v>0</v>
      </c>
      <c r="O908" t="n">
        <v>0</v>
      </c>
      <c r="P908" t="n">
        <v>0</v>
      </c>
      <c r="Q908" t="n">
        <v>0</v>
      </c>
      <c r="R908" s="2" t="inlineStr"/>
    </row>
    <row r="909" ht="15" customHeight="1">
      <c r="A909" t="inlineStr">
        <is>
          <t>A 12780-2024</t>
        </is>
      </c>
      <c r="B909" s="1" t="n">
        <v>45384.59726851852</v>
      </c>
      <c r="C909" s="1" t="n">
        <v>46161</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9375-2023</t>
        </is>
      </c>
      <c r="B910" s="1" t="n">
        <v>44981</v>
      </c>
      <c r="C910" s="1" t="n">
        <v>46161</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10051-2026</t>
        </is>
      </c>
      <c r="B911" s="1" t="n">
        <v>46073</v>
      </c>
      <c r="C911" s="1" t="n">
        <v>46161</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30006-2023</t>
        </is>
      </c>
      <c r="B912" s="1" t="n">
        <v>45109.79962962963</v>
      </c>
      <c r="C912" s="1" t="n">
        <v>46161</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49167-2022</t>
        </is>
      </c>
      <c r="B913" s="1" t="n">
        <v>44860</v>
      </c>
      <c r="C913" s="1" t="n">
        <v>46161</v>
      </c>
      <c r="D913" t="inlineStr">
        <is>
          <t>SKÅNE LÄN</t>
        </is>
      </c>
      <c r="E913" t="inlineStr">
        <is>
          <t>HÄSSLEHOLM</t>
        </is>
      </c>
      <c r="G913" t="n">
        <v>1.3</v>
      </c>
      <c r="H913" t="n">
        <v>0</v>
      </c>
      <c r="I913" t="n">
        <v>0</v>
      </c>
      <c r="J913" t="n">
        <v>0</v>
      </c>
      <c r="K913" t="n">
        <v>0</v>
      </c>
      <c r="L913" t="n">
        <v>0</v>
      </c>
      <c r="M913" t="n">
        <v>0</v>
      </c>
      <c r="N913" t="n">
        <v>0</v>
      </c>
      <c r="O913" t="n">
        <v>0</v>
      </c>
      <c r="P913" t="n">
        <v>0</v>
      </c>
      <c r="Q913" t="n">
        <v>0</v>
      </c>
      <c r="R913" s="2" t="inlineStr"/>
    </row>
    <row r="914" ht="15" customHeight="1">
      <c r="A914" t="inlineStr">
        <is>
          <t>A 57963-2023</t>
        </is>
      </c>
      <c r="B914" s="1" t="n">
        <v>45247.57732638889</v>
      </c>
      <c r="C914" s="1" t="n">
        <v>46161</v>
      </c>
      <c r="D914" t="inlineStr">
        <is>
          <t>SKÅNE LÄN</t>
        </is>
      </c>
      <c r="E914" t="inlineStr">
        <is>
          <t>HÄSSLEHOLM</t>
        </is>
      </c>
      <c r="G914" t="n">
        <v>4.6</v>
      </c>
      <c r="H914" t="n">
        <v>0</v>
      </c>
      <c r="I914" t="n">
        <v>0</v>
      </c>
      <c r="J914" t="n">
        <v>0</v>
      </c>
      <c r="K914" t="n">
        <v>0</v>
      </c>
      <c r="L914" t="n">
        <v>0</v>
      </c>
      <c r="M914" t="n">
        <v>0</v>
      </c>
      <c r="N914" t="n">
        <v>0</v>
      </c>
      <c r="O914" t="n">
        <v>0</v>
      </c>
      <c r="P914" t="n">
        <v>0</v>
      </c>
      <c r="Q914" t="n">
        <v>0</v>
      </c>
      <c r="R914" s="2" t="inlineStr"/>
    </row>
    <row r="915" ht="15" customHeight="1">
      <c r="A915" t="inlineStr">
        <is>
          <t>A 57033-2022</t>
        </is>
      </c>
      <c r="B915" s="1" t="n">
        <v>44895.31270833333</v>
      </c>
      <c r="C915" s="1" t="n">
        <v>46161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35845-2022</t>
        </is>
      </c>
      <c r="B916" s="1" t="n">
        <v>44802</v>
      </c>
      <c r="C916" s="1" t="n">
        <v>46161</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22140-2023</t>
        </is>
      </c>
      <c r="B917" s="1" t="n">
        <v>45065</v>
      </c>
      <c r="C917" s="1" t="n">
        <v>46161</v>
      </c>
      <c r="D917" t="inlineStr">
        <is>
          <t>SKÅNE LÄN</t>
        </is>
      </c>
      <c r="E917" t="inlineStr">
        <is>
          <t>HÄSSLEHOLM</t>
        </is>
      </c>
      <c r="G917" t="n">
        <v>6.7</v>
      </c>
      <c r="H917" t="n">
        <v>0</v>
      </c>
      <c r="I917" t="n">
        <v>0</v>
      </c>
      <c r="J917" t="n">
        <v>0</v>
      </c>
      <c r="K917" t="n">
        <v>0</v>
      </c>
      <c r="L917" t="n">
        <v>0</v>
      </c>
      <c r="M917" t="n">
        <v>0</v>
      </c>
      <c r="N917" t="n">
        <v>0</v>
      </c>
      <c r="O917" t="n">
        <v>0</v>
      </c>
      <c r="P917" t="n">
        <v>0</v>
      </c>
      <c r="Q917" t="n">
        <v>0</v>
      </c>
      <c r="R917" s="2" t="inlineStr"/>
    </row>
    <row r="918" ht="15" customHeight="1">
      <c r="A918" t="inlineStr">
        <is>
          <t>A 7653-2024</t>
        </is>
      </c>
      <c r="B918" s="1" t="n">
        <v>45348.69043981482</v>
      </c>
      <c r="C918" s="1" t="n">
        <v>46161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24679-2023</t>
        </is>
      </c>
      <c r="B919" s="1" t="n">
        <v>45084</v>
      </c>
      <c r="C919" s="1" t="n">
        <v>46161</v>
      </c>
      <c r="D919" t="inlineStr">
        <is>
          <t>SKÅNE LÄN</t>
        </is>
      </c>
      <c r="E919" t="inlineStr">
        <is>
          <t>HÄSSLEHOLM</t>
        </is>
      </c>
      <c r="G919" t="n">
        <v>7.1</v>
      </c>
      <c r="H919" t="n">
        <v>0</v>
      </c>
      <c r="I919" t="n">
        <v>0</v>
      </c>
      <c r="J919" t="n">
        <v>0</v>
      </c>
      <c r="K919" t="n">
        <v>0</v>
      </c>
      <c r="L919" t="n">
        <v>0</v>
      </c>
      <c r="M919" t="n">
        <v>0</v>
      </c>
      <c r="N919" t="n">
        <v>0</v>
      </c>
      <c r="O919" t="n">
        <v>0</v>
      </c>
      <c r="P919" t="n">
        <v>0</v>
      </c>
      <c r="Q919" t="n">
        <v>0</v>
      </c>
      <c r="R919" s="2" t="inlineStr"/>
    </row>
    <row r="920" ht="15" customHeight="1">
      <c r="A920" t="inlineStr">
        <is>
          <t>A 49219-2021</t>
        </is>
      </c>
      <c r="B920" s="1" t="n">
        <v>44454</v>
      </c>
      <c r="C920" s="1" t="n">
        <v>46161</v>
      </c>
      <c r="D920" t="inlineStr">
        <is>
          <t>SKÅNE LÄN</t>
        </is>
      </c>
      <c r="E920" t="inlineStr">
        <is>
          <t>HÄSSLEHOLM</t>
        </is>
      </c>
      <c r="G920" t="n">
        <v>7.8</v>
      </c>
      <c r="H920" t="n">
        <v>0</v>
      </c>
      <c r="I920" t="n">
        <v>0</v>
      </c>
      <c r="J920" t="n">
        <v>0</v>
      </c>
      <c r="K920" t="n">
        <v>0</v>
      </c>
      <c r="L920" t="n">
        <v>0</v>
      </c>
      <c r="M920" t="n">
        <v>0</v>
      </c>
      <c r="N920" t="n">
        <v>0</v>
      </c>
      <c r="O920" t="n">
        <v>0</v>
      </c>
      <c r="P920" t="n">
        <v>0</v>
      </c>
      <c r="Q920" t="n">
        <v>0</v>
      </c>
      <c r="R920" s="2" t="inlineStr"/>
    </row>
    <row r="921" ht="15" customHeight="1">
      <c r="A921" t="inlineStr">
        <is>
          <t>A 5890-2023</t>
        </is>
      </c>
      <c r="B921" s="1" t="n">
        <v>44963.64527777778</v>
      </c>
      <c r="C921" s="1" t="n">
        <v>46161</v>
      </c>
      <c r="D921" t="inlineStr">
        <is>
          <t>SKÅNE LÄN</t>
        </is>
      </c>
      <c r="E921" t="inlineStr">
        <is>
          <t>HÄSSLEHOLM</t>
        </is>
      </c>
      <c r="G921" t="n">
        <v>1.6</v>
      </c>
      <c r="H921" t="n">
        <v>0</v>
      </c>
      <c r="I921" t="n">
        <v>0</v>
      </c>
      <c r="J921" t="n">
        <v>0</v>
      </c>
      <c r="K921" t="n">
        <v>0</v>
      </c>
      <c r="L921" t="n">
        <v>0</v>
      </c>
      <c r="M921" t="n">
        <v>0</v>
      </c>
      <c r="N921" t="n">
        <v>0</v>
      </c>
      <c r="O921" t="n">
        <v>0</v>
      </c>
      <c r="P921" t="n">
        <v>0</v>
      </c>
      <c r="Q921" t="n">
        <v>0</v>
      </c>
      <c r="R921" s="2" t="inlineStr"/>
    </row>
    <row r="922" ht="15" customHeight="1">
      <c r="A922" t="inlineStr">
        <is>
          <t>A 12936-2025</t>
        </is>
      </c>
      <c r="B922" s="1" t="n">
        <v>45734</v>
      </c>
      <c r="C922" s="1" t="n">
        <v>46161</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56062-2024</t>
        </is>
      </c>
      <c r="B923" s="1" t="n">
        <v>45624.37105324074</v>
      </c>
      <c r="C923" s="1" t="n">
        <v>46161</v>
      </c>
      <c r="D923" t="inlineStr">
        <is>
          <t>SKÅNE LÄN</t>
        </is>
      </c>
      <c r="E923" t="inlineStr">
        <is>
          <t>HÄSSLEHOLM</t>
        </is>
      </c>
      <c r="F923" t="inlineStr">
        <is>
          <t>Övriga Aktiebolag</t>
        </is>
      </c>
      <c r="G923" t="n">
        <v>0.6</v>
      </c>
      <c r="H923" t="n">
        <v>0</v>
      </c>
      <c r="I923" t="n">
        <v>0</v>
      </c>
      <c r="J923" t="n">
        <v>0</v>
      </c>
      <c r="K923" t="n">
        <v>0</v>
      </c>
      <c r="L923" t="n">
        <v>0</v>
      </c>
      <c r="M923" t="n">
        <v>0</v>
      </c>
      <c r="N923" t="n">
        <v>0</v>
      </c>
      <c r="O923" t="n">
        <v>0</v>
      </c>
      <c r="P923" t="n">
        <v>0</v>
      </c>
      <c r="Q923" t="n">
        <v>0</v>
      </c>
      <c r="R923" s="2" t="inlineStr"/>
    </row>
    <row r="924" ht="15" customHeight="1">
      <c r="A924" t="inlineStr">
        <is>
          <t>A 41209-2023</t>
        </is>
      </c>
      <c r="B924" s="1" t="n">
        <v>45174.43481481481</v>
      </c>
      <c r="C924" s="1" t="n">
        <v>46161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57275-2023</t>
        </is>
      </c>
      <c r="B925" s="1" t="n">
        <v>45245.58886574074</v>
      </c>
      <c r="C925" s="1" t="n">
        <v>46161</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53302-2022</t>
        </is>
      </c>
      <c r="B926" s="1" t="n">
        <v>44877</v>
      </c>
      <c r="C926" s="1" t="n">
        <v>46161</v>
      </c>
      <c r="D926" t="inlineStr">
        <is>
          <t>SKÅNE LÄN</t>
        </is>
      </c>
      <c r="E926" t="inlineStr">
        <is>
          <t>HÄSSLEHOLM</t>
        </is>
      </c>
      <c r="G926" t="n">
        <v>0.1</v>
      </c>
      <c r="H926" t="n">
        <v>0</v>
      </c>
      <c r="I926" t="n">
        <v>0</v>
      </c>
      <c r="J926" t="n">
        <v>0</v>
      </c>
      <c r="K926" t="n">
        <v>0</v>
      </c>
      <c r="L926" t="n">
        <v>0</v>
      </c>
      <c r="M926" t="n">
        <v>0</v>
      </c>
      <c r="N926" t="n">
        <v>0</v>
      </c>
      <c r="O926" t="n">
        <v>0</v>
      </c>
      <c r="P926" t="n">
        <v>0</v>
      </c>
      <c r="Q926" t="n">
        <v>0</v>
      </c>
      <c r="R926" s="2" t="inlineStr"/>
    </row>
    <row r="927" ht="15" customHeight="1">
      <c r="A927" t="inlineStr">
        <is>
          <t>A 27991-2024</t>
        </is>
      </c>
      <c r="B927" s="1" t="n">
        <v>45476</v>
      </c>
      <c r="C927" s="1" t="n">
        <v>46161</v>
      </c>
      <c r="D927" t="inlineStr">
        <is>
          <t>SKÅNE LÄN</t>
        </is>
      </c>
      <c r="E927" t="inlineStr">
        <is>
          <t>HÄSSLEHOLM</t>
        </is>
      </c>
      <c r="G927" t="n">
        <v>5.8</v>
      </c>
      <c r="H927" t="n">
        <v>0</v>
      </c>
      <c r="I927" t="n">
        <v>0</v>
      </c>
      <c r="J927" t="n">
        <v>0</v>
      </c>
      <c r="K927" t="n">
        <v>0</v>
      </c>
      <c r="L927" t="n">
        <v>0</v>
      </c>
      <c r="M927" t="n">
        <v>0</v>
      </c>
      <c r="N927" t="n">
        <v>0</v>
      </c>
      <c r="O927" t="n">
        <v>0</v>
      </c>
      <c r="P927" t="n">
        <v>0</v>
      </c>
      <c r="Q927" t="n">
        <v>0</v>
      </c>
      <c r="R927" s="2" t="inlineStr"/>
    </row>
    <row r="928" ht="15" customHeight="1">
      <c r="A928" t="inlineStr">
        <is>
          <t>A 31946-2023</t>
        </is>
      </c>
      <c r="B928" s="1" t="n">
        <v>45119.35158564815</v>
      </c>
      <c r="C928" s="1" t="n">
        <v>46161</v>
      </c>
      <c r="D928" t="inlineStr">
        <is>
          <t>SKÅNE LÄN</t>
        </is>
      </c>
      <c r="E928" t="inlineStr">
        <is>
          <t>HÄSSLEHOLM</t>
        </is>
      </c>
      <c r="G928" t="n">
        <v>0.3</v>
      </c>
      <c r="H928" t="n">
        <v>0</v>
      </c>
      <c r="I928" t="n">
        <v>0</v>
      </c>
      <c r="J928" t="n">
        <v>0</v>
      </c>
      <c r="K928" t="n">
        <v>0</v>
      </c>
      <c r="L928" t="n">
        <v>0</v>
      </c>
      <c r="M928" t="n">
        <v>0</v>
      </c>
      <c r="N928" t="n">
        <v>0</v>
      </c>
      <c r="O928" t="n">
        <v>0</v>
      </c>
      <c r="P928" t="n">
        <v>0</v>
      </c>
      <c r="Q928" t="n">
        <v>0</v>
      </c>
      <c r="R928" s="2" t="inlineStr"/>
    </row>
    <row r="929" ht="15" customHeight="1">
      <c r="A929" t="inlineStr">
        <is>
          <t>A 48798-2023</t>
        </is>
      </c>
      <c r="B929" s="1" t="n">
        <v>45209.25318287037</v>
      </c>
      <c r="C929" s="1" t="n">
        <v>46161</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48844-2023</t>
        </is>
      </c>
      <c r="B930" s="1" t="n">
        <v>45209</v>
      </c>
      <c r="C930" s="1" t="n">
        <v>46161</v>
      </c>
      <c r="D930" t="inlineStr">
        <is>
          <t>SKÅNE LÄN</t>
        </is>
      </c>
      <c r="E930" t="inlineStr">
        <is>
          <t>HÄSSLEHOLM</t>
        </is>
      </c>
      <c r="G930" t="n">
        <v>4</v>
      </c>
      <c r="H930" t="n">
        <v>0</v>
      </c>
      <c r="I930" t="n">
        <v>0</v>
      </c>
      <c r="J930" t="n">
        <v>0</v>
      </c>
      <c r="K930" t="n">
        <v>0</v>
      </c>
      <c r="L930" t="n">
        <v>0</v>
      </c>
      <c r="M930" t="n">
        <v>0</v>
      </c>
      <c r="N930" t="n">
        <v>0</v>
      </c>
      <c r="O930" t="n">
        <v>0</v>
      </c>
      <c r="P930" t="n">
        <v>0</v>
      </c>
      <c r="Q930" t="n">
        <v>0</v>
      </c>
      <c r="R930" s="2" t="inlineStr"/>
    </row>
    <row r="931" ht="15" customHeight="1">
      <c r="A931" t="inlineStr">
        <is>
          <t>A 48877-2024</t>
        </is>
      </c>
      <c r="B931" s="1" t="n">
        <v>45594.31729166667</v>
      </c>
      <c r="C931" s="1" t="n">
        <v>46161</v>
      </c>
      <c r="D931" t="inlineStr">
        <is>
          <t>SKÅNE LÄN</t>
        </is>
      </c>
      <c r="E931" t="inlineStr">
        <is>
          <t>HÄSSLEHOLM</t>
        </is>
      </c>
      <c r="G931" t="n">
        <v>1.8</v>
      </c>
      <c r="H931" t="n">
        <v>0</v>
      </c>
      <c r="I931" t="n">
        <v>0</v>
      </c>
      <c r="J931" t="n">
        <v>0</v>
      </c>
      <c r="K931" t="n">
        <v>0</v>
      </c>
      <c r="L931" t="n">
        <v>0</v>
      </c>
      <c r="M931" t="n">
        <v>0</v>
      </c>
      <c r="N931" t="n">
        <v>0</v>
      </c>
      <c r="O931" t="n">
        <v>0</v>
      </c>
      <c r="P931" t="n">
        <v>0</v>
      </c>
      <c r="Q931" t="n">
        <v>0</v>
      </c>
      <c r="R931" s="2" t="inlineStr"/>
    </row>
    <row r="932" ht="15" customHeight="1">
      <c r="A932" t="inlineStr">
        <is>
          <t>A 45984-2021</t>
        </is>
      </c>
      <c r="B932" s="1" t="n">
        <v>44441</v>
      </c>
      <c r="C932" s="1" t="n">
        <v>46161</v>
      </c>
      <c r="D932" t="inlineStr">
        <is>
          <t>SKÅNE LÄN</t>
        </is>
      </c>
      <c r="E932" t="inlineStr">
        <is>
          <t>HÄSSLEHOLM</t>
        </is>
      </c>
      <c r="G932" t="n">
        <v>2.1</v>
      </c>
      <c r="H932" t="n">
        <v>0</v>
      </c>
      <c r="I932" t="n">
        <v>0</v>
      </c>
      <c r="J932" t="n">
        <v>0</v>
      </c>
      <c r="K932" t="n">
        <v>0</v>
      </c>
      <c r="L932" t="n">
        <v>0</v>
      </c>
      <c r="M932" t="n">
        <v>0</v>
      </c>
      <c r="N932" t="n">
        <v>0</v>
      </c>
      <c r="O932" t="n">
        <v>0</v>
      </c>
      <c r="P932" t="n">
        <v>0</v>
      </c>
      <c r="Q932" t="n">
        <v>0</v>
      </c>
      <c r="R932" s="2" t="inlineStr"/>
    </row>
    <row r="933" ht="15" customHeight="1">
      <c r="A933" t="inlineStr">
        <is>
          <t>A 8378-2023</t>
        </is>
      </c>
      <c r="B933" s="1" t="n">
        <v>44971</v>
      </c>
      <c r="C933" s="1" t="n">
        <v>46161</v>
      </c>
      <c r="D933" t="inlineStr">
        <is>
          <t>SKÅNE LÄN</t>
        </is>
      </c>
      <c r="E933" t="inlineStr">
        <is>
          <t>HÄSSLEHOLM</t>
        </is>
      </c>
      <c r="G933" t="n">
        <v>1.2</v>
      </c>
      <c r="H933" t="n">
        <v>0</v>
      </c>
      <c r="I933" t="n">
        <v>0</v>
      </c>
      <c r="J933" t="n">
        <v>0</v>
      </c>
      <c r="K933" t="n">
        <v>0</v>
      </c>
      <c r="L933" t="n">
        <v>0</v>
      </c>
      <c r="M933" t="n">
        <v>0</v>
      </c>
      <c r="N933" t="n">
        <v>0</v>
      </c>
      <c r="O933" t="n">
        <v>0</v>
      </c>
      <c r="P933" t="n">
        <v>0</v>
      </c>
      <c r="Q933" t="n">
        <v>0</v>
      </c>
      <c r="R933" s="2" t="inlineStr"/>
    </row>
    <row r="934" ht="15" customHeight="1">
      <c r="A934" t="inlineStr">
        <is>
          <t>A 56065-2025</t>
        </is>
      </c>
      <c r="B934" s="1" t="n">
        <v>45973</v>
      </c>
      <c r="C934" s="1" t="n">
        <v>46161</v>
      </c>
      <c r="D934" t="inlineStr">
        <is>
          <t>SKÅNE LÄN</t>
        </is>
      </c>
      <c r="E934" t="inlineStr">
        <is>
          <t>HÄSSLEHOLM</t>
        </is>
      </c>
      <c r="G934" t="n">
        <v>1.6</v>
      </c>
      <c r="H934" t="n">
        <v>0</v>
      </c>
      <c r="I934" t="n">
        <v>0</v>
      </c>
      <c r="J934" t="n">
        <v>0</v>
      </c>
      <c r="K934" t="n">
        <v>0</v>
      </c>
      <c r="L934" t="n">
        <v>0</v>
      </c>
      <c r="M934" t="n">
        <v>0</v>
      </c>
      <c r="N934" t="n">
        <v>0</v>
      </c>
      <c r="O934" t="n">
        <v>0</v>
      </c>
      <c r="P934" t="n">
        <v>0</v>
      </c>
      <c r="Q934" t="n">
        <v>0</v>
      </c>
      <c r="R934" s="2" t="inlineStr"/>
    </row>
    <row r="935" ht="15" customHeight="1">
      <c r="A935" t="inlineStr">
        <is>
          <t>A 17835-2026</t>
        </is>
      </c>
      <c r="B935" s="1" t="n">
        <v>46121</v>
      </c>
      <c r="C935" s="1" t="n">
        <v>46161</v>
      </c>
      <c r="D935" t="inlineStr">
        <is>
          <t>SKÅNE LÄN</t>
        </is>
      </c>
      <c r="E935" t="inlineStr">
        <is>
          <t>HÄSSLEHOLM</t>
        </is>
      </c>
      <c r="G935" t="n">
        <v>12.6</v>
      </c>
      <c r="H935" t="n">
        <v>0</v>
      </c>
      <c r="I935" t="n">
        <v>0</v>
      </c>
      <c r="J935" t="n">
        <v>0</v>
      </c>
      <c r="K935" t="n">
        <v>0</v>
      </c>
      <c r="L935" t="n">
        <v>0</v>
      </c>
      <c r="M935" t="n">
        <v>0</v>
      </c>
      <c r="N935" t="n">
        <v>0</v>
      </c>
      <c r="O935" t="n">
        <v>0</v>
      </c>
      <c r="P935" t="n">
        <v>0</v>
      </c>
      <c r="Q935" t="n">
        <v>0</v>
      </c>
      <c r="R935" s="2" t="inlineStr"/>
    </row>
    <row r="936" ht="15" customHeight="1">
      <c r="A936" t="inlineStr">
        <is>
          <t>A 17844-2026</t>
        </is>
      </c>
      <c r="B936" s="1" t="n">
        <v>46121</v>
      </c>
      <c r="C936" s="1" t="n">
        <v>46161</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41680-2024</t>
        </is>
      </c>
      <c r="B937" s="1" t="n">
        <v>45560</v>
      </c>
      <c r="C937" s="1" t="n">
        <v>46161</v>
      </c>
      <c r="D937" t="inlineStr">
        <is>
          <t>SKÅNE LÄN</t>
        </is>
      </c>
      <c r="E937" t="inlineStr">
        <is>
          <t>HÄSSLEHOLM</t>
        </is>
      </c>
      <c r="G937" t="n">
        <v>0.2</v>
      </c>
      <c r="H937" t="n">
        <v>0</v>
      </c>
      <c r="I937" t="n">
        <v>0</v>
      </c>
      <c r="J937" t="n">
        <v>0</v>
      </c>
      <c r="K937" t="n">
        <v>0</v>
      </c>
      <c r="L937" t="n">
        <v>0</v>
      </c>
      <c r="M937" t="n">
        <v>0</v>
      </c>
      <c r="N937" t="n">
        <v>0</v>
      </c>
      <c r="O937" t="n">
        <v>0</v>
      </c>
      <c r="P937" t="n">
        <v>0</v>
      </c>
      <c r="Q937" t="n">
        <v>0</v>
      </c>
      <c r="R937" s="2" t="inlineStr"/>
    </row>
    <row r="938" ht="15" customHeight="1">
      <c r="A938" t="inlineStr">
        <is>
          <t>A 45398-2024</t>
        </is>
      </c>
      <c r="B938" s="1" t="n">
        <v>45576.56260416667</v>
      </c>
      <c r="C938" s="1" t="n">
        <v>46161</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63476-2025</t>
        </is>
      </c>
      <c r="B939" s="1" t="n">
        <v>46013.44621527778</v>
      </c>
      <c r="C939" s="1" t="n">
        <v>46161</v>
      </c>
      <c r="D939" t="inlineStr">
        <is>
          <t>SKÅNE LÄN</t>
        </is>
      </c>
      <c r="E939" t="inlineStr">
        <is>
          <t>HÄSSLEHOLM</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4140-2023</t>
        </is>
      </c>
      <c r="B940" s="1" t="n">
        <v>44953</v>
      </c>
      <c r="C940" s="1" t="n">
        <v>46161</v>
      </c>
      <c r="D940" t="inlineStr">
        <is>
          <t>SKÅNE LÄN</t>
        </is>
      </c>
      <c r="E940" t="inlineStr">
        <is>
          <t>HÄSSLEHOLM</t>
        </is>
      </c>
      <c r="G940" t="n">
        <v>10.6</v>
      </c>
      <c r="H940" t="n">
        <v>0</v>
      </c>
      <c r="I940" t="n">
        <v>0</v>
      </c>
      <c r="J940" t="n">
        <v>0</v>
      </c>
      <c r="K940" t="n">
        <v>0</v>
      </c>
      <c r="L940" t="n">
        <v>0</v>
      </c>
      <c r="M940" t="n">
        <v>0</v>
      </c>
      <c r="N940" t="n">
        <v>0</v>
      </c>
      <c r="O940" t="n">
        <v>0</v>
      </c>
      <c r="P940" t="n">
        <v>0</v>
      </c>
      <c r="Q940" t="n">
        <v>0</v>
      </c>
      <c r="R940" s="2" t="inlineStr"/>
    </row>
    <row r="941" ht="15" customHeight="1">
      <c r="A941" t="inlineStr">
        <is>
          <t>A 50000-2023</t>
        </is>
      </c>
      <c r="B941" s="1" t="n">
        <v>45215.4434837963</v>
      </c>
      <c r="C941" s="1" t="n">
        <v>46161</v>
      </c>
      <c r="D941" t="inlineStr">
        <is>
          <t>SKÅNE LÄN</t>
        </is>
      </c>
      <c r="E941" t="inlineStr">
        <is>
          <t>HÄSSLEHOLM</t>
        </is>
      </c>
      <c r="G941" t="n">
        <v>1.6</v>
      </c>
      <c r="H941" t="n">
        <v>0</v>
      </c>
      <c r="I941" t="n">
        <v>0</v>
      </c>
      <c r="J941" t="n">
        <v>0</v>
      </c>
      <c r="K941" t="n">
        <v>0</v>
      </c>
      <c r="L941" t="n">
        <v>0</v>
      </c>
      <c r="M941" t="n">
        <v>0</v>
      </c>
      <c r="N941" t="n">
        <v>0</v>
      </c>
      <c r="O941" t="n">
        <v>0</v>
      </c>
      <c r="P941" t="n">
        <v>0</v>
      </c>
      <c r="Q941" t="n">
        <v>0</v>
      </c>
      <c r="R941" s="2" t="inlineStr"/>
    </row>
    <row r="942" ht="15" customHeight="1">
      <c r="A942" t="inlineStr">
        <is>
          <t>A 417-2022</t>
        </is>
      </c>
      <c r="B942" s="1" t="n">
        <v>44565.84615740741</v>
      </c>
      <c r="C942" s="1" t="n">
        <v>46161</v>
      </c>
      <c r="D942" t="inlineStr">
        <is>
          <t>SKÅNE LÄN</t>
        </is>
      </c>
      <c r="E942" t="inlineStr">
        <is>
          <t>HÄSSLEHOLM</t>
        </is>
      </c>
      <c r="G942" t="n">
        <v>0</v>
      </c>
      <c r="H942" t="n">
        <v>0</v>
      </c>
      <c r="I942" t="n">
        <v>0</v>
      </c>
      <c r="J942" t="n">
        <v>0</v>
      </c>
      <c r="K942" t="n">
        <v>0</v>
      </c>
      <c r="L942" t="n">
        <v>0</v>
      </c>
      <c r="M942" t="n">
        <v>0</v>
      </c>
      <c r="N942" t="n">
        <v>0</v>
      </c>
      <c r="O942" t="n">
        <v>0</v>
      </c>
      <c r="P942" t="n">
        <v>0</v>
      </c>
      <c r="Q942" t="n">
        <v>0</v>
      </c>
      <c r="R942" s="2" t="inlineStr"/>
    </row>
    <row r="943" ht="15" customHeight="1">
      <c r="A943" t="inlineStr">
        <is>
          <t>A 51040-2024</t>
        </is>
      </c>
      <c r="B943" s="1" t="n">
        <v>45603.43222222223</v>
      </c>
      <c r="C943" s="1" t="n">
        <v>46161</v>
      </c>
      <c r="D943" t="inlineStr">
        <is>
          <t>SKÅNE LÄN</t>
        </is>
      </c>
      <c r="E943" t="inlineStr">
        <is>
          <t>HÄSSLEHOLM</t>
        </is>
      </c>
      <c r="G943" t="n">
        <v>2.7</v>
      </c>
      <c r="H943" t="n">
        <v>0</v>
      </c>
      <c r="I943" t="n">
        <v>0</v>
      </c>
      <c r="J943" t="n">
        <v>0</v>
      </c>
      <c r="K943" t="n">
        <v>0</v>
      </c>
      <c r="L943" t="n">
        <v>0</v>
      </c>
      <c r="M943" t="n">
        <v>0</v>
      </c>
      <c r="N943" t="n">
        <v>0</v>
      </c>
      <c r="O943" t="n">
        <v>0</v>
      </c>
      <c r="P943" t="n">
        <v>0</v>
      </c>
      <c r="Q943" t="n">
        <v>0</v>
      </c>
      <c r="R943" s="2" t="inlineStr"/>
    </row>
    <row r="944" ht="15" customHeight="1">
      <c r="A944" t="inlineStr">
        <is>
          <t>A 50249-2024</t>
        </is>
      </c>
      <c r="B944" s="1" t="n">
        <v>45600.56866898148</v>
      </c>
      <c r="C944" s="1" t="n">
        <v>46161</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54326-2022</t>
        </is>
      </c>
      <c r="B945" s="1" t="n">
        <v>44882.42965277778</v>
      </c>
      <c r="C945" s="1" t="n">
        <v>46161</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17996-2026</t>
        </is>
      </c>
      <c r="B946" s="1" t="n">
        <v>46124.87434027778</v>
      </c>
      <c r="C946" s="1" t="n">
        <v>46161</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54174-2022</t>
        </is>
      </c>
      <c r="B947" s="1" t="n">
        <v>44881</v>
      </c>
      <c r="C947" s="1" t="n">
        <v>46161</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38376-2022</t>
        </is>
      </c>
      <c r="B948" s="1" t="n">
        <v>44812</v>
      </c>
      <c r="C948" s="1" t="n">
        <v>46161</v>
      </c>
      <c r="D948" t="inlineStr">
        <is>
          <t>SKÅNE LÄN</t>
        </is>
      </c>
      <c r="E948" t="inlineStr">
        <is>
          <t>HÄSSLEHOLM</t>
        </is>
      </c>
      <c r="G948" t="n">
        <v>1.9</v>
      </c>
      <c r="H948" t="n">
        <v>0</v>
      </c>
      <c r="I948" t="n">
        <v>0</v>
      </c>
      <c r="J948" t="n">
        <v>0</v>
      </c>
      <c r="K948" t="n">
        <v>0</v>
      </c>
      <c r="L948" t="n">
        <v>0</v>
      </c>
      <c r="M948" t="n">
        <v>0</v>
      </c>
      <c r="N948" t="n">
        <v>0</v>
      </c>
      <c r="O948" t="n">
        <v>0</v>
      </c>
      <c r="P948" t="n">
        <v>0</v>
      </c>
      <c r="Q948" t="n">
        <v>0</v>
      </c>
      <c r="R948" s="2" t="inlineStr"/>
    </row>
    <row r="949" ht="15" customHeight="1">
      <c r="A949" t="inlineStr">
        <is>
          <t>A 18398-2026</t>
        </is>
      </c>
      <c r="B949" s="1" t="n">
        <v>46126.66273148148</v>
      </c>
      <c r="C949" s="1" t="n">
        <v>46161</v>
      </c>
      <c r="D949" t="inlineStr">
        <is>
          <t>SKÅNE LÄN</t>
        </is>
      </c>
      <c r="E949" t="inlineStr">
        <is>
          <t>HÄSSLEHOLM</t>
        </is>
      </c>
      <c r="G949" t="n">
        <v>1.9</v>
      </c>
      <c r="H949" t="n">
        <v>0</v>
      </c>
      <c r="I949" t="n">
        <v>0</v>
      </c>
      <c r="J949" t="n">
        <v>0</v>
      </c>
      <c r="K949" t="n">
        <v>0</v>
      </c>
      <c r="L949" t="n">
        <v>0</v>
      </c>
      <c r="M949" t="n">
        <v>0</v>
      </c>
      <c r="N949" t="n">
        <v>0</v>
      </c>
      <c r="O949" t="n">
        <v>0</v>
      </c>
      <c r="P949" t="n">
        <v>0</v>
      </c>
      <c r="Q949" t="n">
        <v>0</v>
      </c>
      <c r="R949" s="2" t="inlineStr"/>
    </row>
    <row r="950" ht="15" customHeight="1">
      <c r="A950" t="inlineStr">
        <is>
          <t>A 54659-2023</t>
        </is>
      </c>
      <c r="B950" s="1" t="n">
        <v>45235</v>
      </c>
      <c r="C950" s="1" t="n">
        <v>46161</v>
      </c>
      <c r="D950" t="inlineStr">
        <is>
          <t>SKÅNE LÄN</t>
        </is>
      </c>
      <c r="E950" t="inlineStr">
        <is>
          <t>HÄSSLEHOLM</t>
        </is>
      </c>
      <c r="G950" t="n">
        <v>5</v>
      </c>
      <c r="H950" t="n">
        <v>0</v>
      </c>
      <c r="I950" t="n">
        <v>0</v>
      </c>
      <c r="J950" t="n">
        <v>0</v>
      </c>
      <c r="K950" t="n">
        <v>0</v>
      </c>
      <c r="L950" t="n">
        <v>0</v>
      </c>
      <c r="M950" t="n">
        <v>0</v>
      </c>
      <c r="N950" t="n">
        <v>0</v>
      </c>
      <c r="O950" t="n">
        <v>0</v>
      </c>
      <c r="P950" t="n">
        <v>0</v>
      </c>
      <c r="Q950" t="n">
        <v>0</v>
      </c>
      <c r="R950" s="2" t="inlineStr"/>
    </row>
    <row r="951" ht="15" customHeight="1">
      <c r="A951" t="inlineStr">
        <is>
          <t>A 15036-2024</t>
        </is>
      </c>
      <c r="B951" s="1" t="n">
        <v>45399.48100694444</v>
      </c>
      <c r="C951" s="1" t="n">
        <v>46161</v>
      </c>
      <c r="D951" t="inlineStr">
        <is>
          <t>SKÅNE LÄN</t>
        </is>
      </c>
      <c r="E951" t="inlineStr">
        <is>
          <t>HÄSSLEHOLM</t>
        </is>
      </c>
      <c r="G951" t="n">
        <v>1.6</v>
      </c>
      <c r="H951" t="n">
        <v>0</v>
      </c>
      <c r="I951" t="n">
        <v>0</v>
      </c>
      <c r="J951" t="n">
        <v>0</v>
      </c>
      <c r="K951" t="n">
        <v>0</v>
      </c>
      <c r="L951" t="n">
        <v>0</v>
      </c>
      <c r="M951" t="n">
        <v>0</v>
      </c>
      <c r="N951" t="n">
        <v>0</v>
      </c>
      <c r="O951" t="n">
        <v>0</v>
      </c>
      <c r="P951" t="n">
        <v>0</v>
      </c>
      <c r="Q951" t="n">
        <v>0</v>
      </c>
      <c r="R951" s="2" t="inlineStr"/>
    </row>
    <row r="952" ht="15" customHeight="1">
      <c r="A952" t="inlineStr">
        <is>
          <t>A 18483-2026</t>
        </is>
      </c>
      <c r="B952" s="1" t="n">
        <v>46127.44652777778</v>
      </c>
      <c r="C952" s="1" t="n">
        <v>46161</v>
      </c>
      <c r="D952" t="inlineStr">
        <is>
          <t>SKÅNE LÄN</t>
        </is>
      </c>
      <c r="E952" t="inlineStr">
        <is>
          <t>HÄSSLEHOLM</t>
        </is>
      </c>
      <c r="G952" t="n">
        <v>2.9</v>
      </c>
      <c r="H952" t="n">
        <v>0</v>
      </c>
      <c r="I952" t="n">
        <v>0</v>
      </c>
      <c r="J952" t="n">
        <v>0</v>
      </c>
      <c r="K952" t="n">
        <v>0</v>
      </c>
      <c r="L952" t="n">
        <v>0</v>
      </c>
      <c r="M952" t="n">
        <v>0</v>
      </c>
      <c r="N952" t="n">
        <v>0</v>
      </c>
      <c r="O952" t="n">
        <v>0</v>
      </c>
      <c r="P952" t="n">
        <v>0</v>
      </c>
      <c r="Q952" t="n">
        <v>0</v>
      </c>
      <c r="R952" s="2" t="inlineStr"/>
    </row>
    <row r="953" ht="15" customHeight="1">
      <c r="A953" t="inlineStr">
        <is>
          <t>A 18484-2026</t>
        </is>
      </c>
      <c r="B953" s="1" t="n">
        <v>46126</v>
      </c>
      <c r="C953" s="1" t="n">
        <v>46161</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9709-2023</t>
        </is>
      </c>
      <c r="B954" s="1" t="n">
        <v>44984.48376157408</v>
      </c>
      <c r="C954" s="1" t="n">
        <v>46161</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9615-2025</t>
        </is>
      </c>
      <c r="B955" s="1" t="n">
        <v>45715</v>
      </c>
      <c r="C955" s="1" t="n">
        <v>46161</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8524-2024</t>
        </is>
      </c>
      <c r="B956" s="1" t="n">
        <v>45355.48570601852</v>
      </c>
      <c r="C956" s="1" t="n">
        <v>46161</v>
      </c>
      <c r="D956" t="inlineStr">
        <is>
          <t>SKÅNE LÄN</t>
        </is>
      </c>
      <c r="E956" t="inlineStr">
        <is>
          <t>HÄSSLEHOLM</t>
        </is>
      </c>
      <c r="G956" t="n">
        <v>4</v>
      </c>
      <c r="H956" t="n">
        <v>0</v>
      </c>
      <c r="I956" t="n">
        <v>0</v>
      </c>
      <c r="J956" t="n">
        <v>0</v>
      </c>
      <c r="K956" t="n">
        <v>0</v>
      </c>
      <c r="L956" t="n">
        <v>0</v>
      </c>
      <c r="M956" t="n">
        <v>0</v>
      </c>
      <c r="N956" t="n">
        <v>0</v>
      </c>
      <c r="O956" t="n">
        <v>0</v>
      </c>
      <c r="P956" t="n">
        <v>0</v>
      </c>
      <c r="Q956" t="n">
        <v>0</v>
      </c>
      <c r="R956" s="2" t="inlineStr"/>
    </row>
    <row r="957" ht="15" customHeight="1">
      <c r="A957" t="inlineStr">
        <is>
          <t>A 23987-2024</t>
        </is>
      </c>
      <c r="B957" s="1" t="n">
        <v>45456</v>
      </c>
      <c r="C957" s="1" t="n">
        <v>46161</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4042-2023</t>
        </is>
      </c>
      <c r="B958" s="1" t="n">
        <v>44952.59950231481</v>
      </c>
      <c r="C958" s="1" t="n">
        <v>46161</v>
      </c>
      <c r="D958" t="inlineStr">
        <is>
          <t>SKÅNE LÄN</t>
        </is>
      </c>
      <c r="E958" t="inlineStr">
        <is>
          <t>HÄSSLEHOLM</t>
        </is>
      </c>
      <c r="G958" t="n">
        <v>2.7</v>
      </c>
      <c r="H958" t="n">
        <v>0</v>
      </c>
      <c r="I958" t="n">
        <v>0</v>
      </c>
      <c r="J958" t="n">
        <v>0</v>
      </c>
      <c r="K958" t="n">
        <v>0</v>
      </c>
      <c r="L958" t="n">
        <v>0</v>
      </c>
      <c r="M958" t="n">
        <v>0</v>
      </c>
      <c r="N958" t="n">
        <v>0</v>
      </c>
      <c r="O958" t="n">
        <v>0</v>
      </c>
      <c r="P958" t="n">
        <v>0</v>
      </c>
      <c r="Q958" t="n">
        <v>0</v>
      </c>
      <c r="R958" s="2" t="inlineStr"/>
    </row>
    <row r="959" ht="15" customHeight="1">
      <c r="A959" t="inlineStr">
        <is>
          <t>A 11999-2026</t>
        </is>
      </c>
      <c r="B959" s="1" t="n">
        <v>46085</v>
      </c>
      <c r="C959" s="1" t="n">
        <v>46161</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11998-2026</t>
        </is>
      </c>
      <c r="B960" s="1" t="n">
        <v>46085</v>
      </c>
      <c r="C960" s="1" t="n">
        <v>46161</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31160-2024</t>
        </is>
      </c>
      <c r="B961" s="1" t="n">
        <v>45503</v>
      </c>
      <c r="C961" s="1" t="n">
        <v>46161</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5054-2022</t>
        </is>
      </c>
      <c r="B962" s="1" t="n">
        <v>44593.69065972222</v>
      </c>
      <c r="C962" s="1" t="n">
        <v>46161</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56767-2025</t>
        </is>
      </c>
      <c r="B963" s="1" t="n">
        <v>45978.38178240741</v>
      </c>
      <c r="C963" s="1" t="n">
        <v>46161</v>
      </c>
      <c r="D963" t="inlineStr">
        <is>
          <t>SKÅNE LÄN</t>
        </is>
      </c>
      <c r="E963" t="inlineStr">
        <is>
          <t>HÄSSLEHOLM</t>
        </is>
      </c>
      <c r="G963" t="n">
        <v>1.7</v>
      </c>
      <c r="H963" t="n">
        <v>0</v>
      </c>
      <c r="I963" t="n">
        <v>0</v>
      </c>
      <c r="J963" t="n">
        <v>0</v>
      </c>
      <c r="K963" t="n">
        <v>0</v>
      </c>
      <c r="L963" t="n">
        <v>0</v>
      </c>
      <c r="M963" t="n">
        <v>0</v>
      </c>
      <c r="N963" t="n">
        <v>0</v>
      </c>
      <c r="O963" t="n">
        <v>0</v>
      </c>
      <c r="P963" t="n">
        <v>0</v>
      </c>
      <c r="Q963" t="n">
        <v>0</v>
      </c>
      <c r="R963" s="2" t="inlineStr"/>
    </row>
    <row r="964" ht="15" customHeight="1">
      <c r="A964" t="inlineStr">
        <is>
          <t>A 56769-2025</t>
        </is>
      </c>
      <c r="B964" s="1" t="n">
        <v>45978.38429398148</v>
      </c>
      <c r="C964" s="1" t="n">
        <v>46161</v>
      </c>
      <c r="D964" t="inlineStr">
        <is>
          <t>SKÅNE LÄN</t>
        </is>
      </c>
      <c r="E964" t="inlineStr">
        <is>
          <t>HÄSSLEHOLM</t>
        </is>
      </c>
      <c r="G964" t="n">
        <v>1.1</v>
      </c>
      <c r="H964" t="n">
        <v>0</v>
      </c>
      <c r="I964" t="n">
        <v>0</v>
      </c>
      <c r="J964" t="n">
        <v>0</v>
      </c>
      <c r="K964" t="n">
        <v>0</v>
      </c>
      <c r="L964" t="n">
        <v>0</v>
      </c>
      <c r="M964" t="n">
        <v>0</v>
      </c>
      <c r="N964" t="n">
        <v>0</v>
      </c>
      <c r="O964" t="n">
        <v>0</v>
      </c>
      <c r="P964" t="n">
        <v>0</v>
      </c>
      <c r="Q964" t="n">
        <v>0</v>
      </c>
      <c r="R964" s="2" t="inlineStr"/>
    </row>
    <row r="965" ht="15" customHeight="1">
      <c r="A965" t="inlineStr">
        <is>
          <t>A 31391-2023</t>
        </is>
      </c>
      <c r="B965" s="1" t="n">
        <v>45114.56143518518</v>
      </c>
      <c r="C965" s="1" t="n">
        <v>46161</v>
      </c>
      <c r="D965" t="inlineStr">
        <is>
          <t>SKÅNE LÄN</t>
        </is>
      </c>
      <c r="E965" t="inlineStr">
        <is>
          <t>HÄSSLEHOLM</t>
        </is>
      </c>
      <c r="G965" t="n">
        <v>3.1</v>
      </c>
      <c r="H965" t="n">
        <v>0</v>
      </c>
      <c r="I965" t="n">
        <v>0</v>
      </c>
      <c r="J965" t="n">
        <v>0</v>
      </c>
      <c r="K965" t="n">
        <v>0</v>
      </c>
      <c r="L965" t="n">
        <v>0</v>
      </c>
      <c r="M965" t="n">
        <v>0</v>
      </c>
      <c r="N965" t="n">
        <v>0</v>
      </c>
      <c r="O965" t="n">
        <v>0</v>
      </c>
      <c r="P965" t="n">
        <v>0</v>
      </c>
      <c r="Q965" t="n">
        <v>0</v>
      </c>
      <c r="R965" s="2" t="inlineStr"/>
    </row>
    <row r="966" ht="15" customHeight="1">
      <c r="A966" t="inlineStr">
        <is>
          <t>A 12493-2026</t>
        </is>
      </c>
      <c r="B966" s="1" t="n">
        <v>46090</v>
      </c>
      <c r="C966" s="1" t="n">
        <v>46161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23723-2023</t>
        </is>
      </c>
      <c r="B967" s="1" t="n">
        <v>45077</v>
      </c>
      <c r="C967" s="1" t="n">
        <v>46161</v>
      </c>
      <c r="D967" t="inlineStr">
        <is>
          <t>SKÅNE LÄN</t>
        </is>
      </c>
      <c r="E967" t="inlineStr">
        <is>
          <t>HÄSSLEHOLM</t>
        </is>
      </c>
      <c r="G967" t="n">
        <v>3.9</v>
      </c>
      <c r="H967" t="n">
        <v>0</v>
      </c>
      <c r="I967" t="n">
        <v>0</v>
      </c>
      <c r="J967" t="n">
        <v>0</v>
      </c>
      <c r="K967" t="n">
        <v>0</v>
      </c>
      <c r="L967" t="n">
        <v>0</v>
      </c>
      <c r="M967" t="n">
        <v>0</v>
      </c>
      <c r="N967" t="n">
        <v>0</v>
      </c>
      <c r="O967" t="n">
        <v>0</v>
      </c>
      <c r="P967" t="n">
        <v>0</v>
      </c>
      <c r="Q967" t="n">
        <v>0</v>
      </c>
      <c r="R967" s="2" t="inlineStr"/>
    </row>
    <row r="968" ht="15" customHeight="1">
      <c r="A968" t="inlineStr">
        <is>
          <t>A 19003-2026</t>
        </is>
      </c>
      <c r="B968" s="1" t="n">
        <v>46129.86017361111</v>
      </c>
      <c r="C968" s="1" t="n">
        <v>46161</v>
      </c>
      <c r="D968" t="inlineStr">
        <is>
          <t>SKÅNE LÄN</t>
        </is>
      </c>
      <c r="E968" t="inlineStr">
        <is>
          <t>HÄSSLEHOLM</t>
        </is>
      </c>
      <c r="G968" t="n">
        <v>9</v>
      </c>
      <c r="H968" t="n">
        <v>0</v>
      </c>
      <c r="I968" t="n">
        <v>0</v>
      </c>
      <c r="J968" t="n">
        <v>0</v>
      </c>
      <c r="K968" t="n">
        <v>0</v>
      </c>
      <c r="L968" t="n">
        <v>0</v>
      </c>
      <c r="M968" t="n">
        <v>0</v>
      </c>
      <c r="N968" t="n">
        <v>0</v>
      </c>
      <c r="O968" t="n">
        <v>0</v>
      </c>
      <c r="P968" t="n">
        <v>0</v>
      </c>
      <c r="Q968" t="n">
        <v>0</v>
      </c>
      <c r="R968" s="2" t="inlineStr"/>
    </row>
    <row r="969" ht="15" customHeight="1">
      <c r="A969" t="inlineStr">
        <is>
          <t>A 31933-2024</t>
        </is>
      </c>
      <c r="B969" s="1" t="n">
        <v>45510.41123842593</v>
      </c>
      <c r="C969" s="1" t="n">
        <v>46161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31581-2023</t>
        </is>
      </c>
      <c r="B970" s="1" t="n">
        <v>45117.45165509259</v>
      </c>
      <c r="C970" s="1" t="n">
        <v>46161</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55303-2024</t>
        </is>
      </c>
      <c r="B971" s="1" t="n">
        <v>45621.6434837963</v>
      </c>
      <c r="C971" s="1" t="n">
        <v>46161</v>
      </c>
      <c r="D971" t="inlineStr">
        <is>
          <t>SKÅNE LÄN</t>
        </is>
      </c>
      <c r="E971" t="inlineStr">
        <is>
          <t>HÄSSLEHOLM</t>
        </is>
      </c>
      <c r="G971" t="n">
        <v>3.3</v>
      </c>
      <c r="H971" t="n">
        <v>0</v>
      </c>
      <c r="I971" t="n">
        <v>0</v>
      </c>
      <c r="J971" t="n">
        <v>0</v>
      </c>
      <c r="K971" t="n">
        <v>0</v>
      </c>
      <c r="L971" t="n">
        <v>0</v>
      </c>
      <c r="M971" t="n">
        <v>0</v>
      </c>
      <c r="N971" t="n">
        <v>0</v>
      </c>
      <c r="O971" t="n">
        <v>0</v>
      </c>
      <c r="P971" t="n">
        <v>0</v>
      </c>
      <c r="Q971" t="n">
        <v>0</v>
      </c>
      <c r="R971" s="2" t="inlineStr"/>
    </row>
    <row r="972" ht="15" customHeight="1">
      <c r="A972" t="inlineStr">
        <is>
          <t>A 19101-2026</t>
        </is>
      </c>
      <c r="B972" s="1" t="n">
        <v>46132.43923611111</v>
      </c>
      <c r="C972" s="1" t="n">
        <v>46161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40202-2022</t>
        </is>
      </c>
      <c r="B973" s="1" t="n">
        <v>44820.60614583334</v>
      </c>
      <c r="C973" s="1" t="n">
        <v>46161</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4382-2023</t>
        </is>
      </c>
      <c r="B974" s="1" t="n">
        <v>44955.61152777778</v>
      </c>
      <c r="C974" s="1" t="n">
        <v>46161</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52608-2023</t>
        </is>
      </c>
      <c r="B975" s="1" t="n">
        <v>45219</v>
      </c>
      <c r="C975" s="1" t="n">
        <v>46161</v>
      </c>
      <c r="D975" t="inlineStr">
        <is>
          <t>SKÅNE LÄN</t>
        </is>
      </c>
      <c r="E975" t="inlineStr">
        <is>
          <t>HÄSSLEHOLM</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19318-2026</t>
        </is>
      </c>
      <c r="B976" s="1" t="n">
        <v>46133.39378472222</v>
      </c>
      <c r="C976" s="1" t="n">
        <v>46161</v>
      </c>
      <c r="D976" t="inlineStr">
        <is>
          <t>SKÅNE LÄN</t>
        </is>
      </c>
      <c r="E976" t="inlineStr">
        <is>
          <t>HÄSSLEHOLM</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27954-2022</t>
        </is>
      </c>
      <c r="B977" s="1" t="n">
        <v>44743</v>
      </c>
      <c r="C977" s="1" t="n">
        <v>46161</v>
      </c>
      <c r="D977" t="inlineStr">
        <is>
          <t>SKÅNE LÄN</t>
        </is>
      </c>
      <c r="E977" t="inlineStr">
        <is>
          <t>HÄSSLEHOLM</t>
        </is>
      </c>
      <c r="G977" t="n">
        <v>9.4</v>
      </c>
      <c r="H977" t="n">
        <v>0</v>
      </c>
      <c r="I977" t="n">
        <v>0</v>
      </c>
      <c r="J977" t="n">
        <v>0</v>
      </c>
      <c r="K977" t="n">
        <v>0</v>
      </c>
      <c r="L977" t="n">
        <v>0</v>
      </c>
      <c r="M977" t="n">
        <v>0</v>
      </c>
      <c r="N977" t="n">
        <v>0</v>
      </c>
      <c r="O977" t="n">
        <v>0</v>
      </c>
      <c r="P977" t="n">
        <v>0</v>
      </c>
      <c r="Q977" t="n">
        <v>0</v>
      </c>
      <c r="R977" s="2" t="inlineStr"/>
    </row>
    <row r="978" ht="15" customHeight="1">
      <c r="A978" t="inlineStr">
        <is>
          <t>A 20493-2024</t>
        </is>
      </c>
      <c r="B978" s="1" t="n">
        <v>45435</v>
      </c>
      <c r="C978" s="1" t="n">
        <v>46161</v>
      </c>
      <c r="D978" t="inlineStr">
        <is>
          <t>SKÅNE LÄN</t>
        </is>
      </c>
      <c r="E978" t="inlineStr">
        <is>
          <t>HÄSSLEHOLM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41873-2023</t>
        </is>
      </c>
      <c r="B979" s="1" t="n">
        <v>45176</v>
      </c>
      <c r="C979" s="1" t="n">
        <v>46161</v>
      </c>
      <c r="D979" t="inlineStr">
        <is>
          <t>SKÅNE LÄN</t>
        </is>
      </c>
      <c r="E979" t="inlineStr">
        <is>
          <t>HÄSSLEHOLM</t>
        </is>
      </c>
      <c r="G979" t="n">
        <v>2.8</v>
      </c>
      <c r="H979" t="n">
        <v>0</v>
      </c>
      <c r="I979" t="n">
        <v>0</v>
      </c>
      <c r="J979" t="n">
        <v>0</v>
      </c>
      <c r="K979" t="n">
        <v>0</v>
      </c>
      <c r="L979" t="n">
        <v>0</v>
      </c>
      <c r="M979" t="n">
        <v>0</v>
      </c>
      <c r="N979" t="n">
        <v>0</v>
      </c>
      <c r="O979" t="n">
        <v>0</v>
      </c>
      <c r="P979" t="n">
        <v>0</v>
      </c>
      <c r="Q979" t="n">
        <v>0</v>
      </c>
      <c r="R979" s="2" t="inlineStr"/>
    </row>
    <row r="980" ht="15" customHeight="1">
      <c r="A980" t="inlineStr">
        <is>
          <t>A 19642-2026</t>
        </is>
      </c>
      <c r="B980" s="1" t="n">
        <v>46134.57986111111</v>
      </c>
      <c r="C980" s="1" t="n">
        <v>46161</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41998-2021</t>
        </is>
      </c>
      <c r="B981" s="1" t="n">
        <v>44425</v>
      </c>
      <c r="C981" s="1" t="n">
        <v>46161</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35712-2024</t>
        </is>
      </c>
      <c r="B982" s="1" t="n">
        <v>45532</v>
      </c>
      <c r="C982" s="1" t="n">
        <v>46161</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61691-2021</t>
        </is>
      </c>
      <c r="B983" s="1" t="n">
        <v>44501</v>
      </c>
      <c r="C983" s="1" t="n">
        <v>46161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47394-2025</t>
        </is>
      </c>
      <c r="B984" s="1" t="n">
        <v>45930</v>
      </c>
      <c r="C984" s="1" t="n">
        <v>46161</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57647-2024</t>
        </is>
      </c>
      <c r="B985" s="1" t="n">
        <v>45630</v>
      </c>
      <c r="C985" s="1" t="n">
        <v>46161</v>
      </c>
      <c r="D985" t="inlineStr">
        <is>
          <t>SKÅNE LÄN</t>
        </is>
      </c>
      <c r="E985" t="inlineStr">
        <is>
          <t>HÄSSLEHOLM</t>
        </is>
      </c>
      <c r="G985" t="n">
        <v>2.9</v>
      </c>
      <c r="H985" t="n">
        <v>0</v>
      </c>
      <c r="I985" t="n">
        <v>0</v>
      </c>
      <c r="J985" t="n">
        <v>0</v>
      </c>
      <c r="K985" t="n">
        <v>0</v>
      </c>
      <c r="L985" t="n">
        <v>0</v>
      </c>
      <c r="M985" t="n">
        <v>0</v>
      </c>
      <c r="N985" t="n">
        <v>0</v>
      </c>
      <c r="O985" t="n">
        <v>0</v>
      </c>
      <c r="P985" t="n">
        <v>0</v>
      </c>
      <c r="Q985" t="n">
        <v>0</v>
      </c>
      <c r="R985" s="2" t="inlineStr"/>
    </row>
    <row r="986" ht="15" customHeight="1">
      <c r="A986" t="inlineStr">
        <is>
          <t>A 20564-2023</t>
        </is>
      </c>
      <c r="B986" s="1" t="n">
        <v>45057</v>
      </c>
      <c r="C986" s="1" t="n">
        <v>46161</v>
      </c>
      <c r="D986" t="inlineStr">
        <is>
          <t>SKÅNE LÄN</t>
        </is>
      </c>
      <c r="E986" t="inlineStr">
        <is>
          <t>HÄSSLEHOLM</t>
        </is>
      </c>
      <c r="G986" t="n">
        <v>2.6</v>
      </c>
      <c r="H986" t="n">
        <v>0</v>
      </c>
      <c r="I986" t="n">
        <v>0</v>
      </c>
      <c r="J986" t="n">
        <v>0</v>
      </c>
      <c r="K986" t="n">
        <v>0</v>
      </c>
      <c r="L986" t="n">
        <v>0</v>
      </c>
      <c r="M986" t="n">
        <v>0</v>
      </c>
      <c r="N986" t="n">
        <v>0</v>
      </c>
      <c r="O986" t="n">
        <v>0</v>
      </c>
      <c r="P986" t="n">
        <v>0</v>
      </c>
      <c r="Q986" t="n">
        <v>0</v>
      </c>
      <c r="R986" s="2" t="inlineStr"/>
    </row>
    <row r="987" ht="15" customHeight="1">
      <c r="A987" t="inlineStr">
        <is>
          <t>A 46641-2023</t>
        </is>
      </c>
      <c r="B987" s="1" t="n">
        <v>45198.44523148148</v>
      </c>
      <c r="C987" s="1" t="n">
        <v>46161</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8239-2025</t>
        </is>
      </c>
      <c r="B988" s="1" t="n">
        <v>45708.47984953703</v>
      </c>
      <c r="C988" s="1" t="n">
        <v>46161</v>
      </c>
      <c r="D988" t="inlineStr">
        <is>
          <t>SKÅNE LÄN</t>
        </is>
      </c>
      <c r="E988" t="inlineStr">
        <is>
          <t>HÄSSLEHOLM</t>
        </is>
      </c>
      <c r="G988" t="n">
        <v>2.7</v>
      </c>
      <c r="H988" t="n">
        <v>0</v>
      </c>
      <c r="I988" t="n">
        <v>0</v>
      </c>
      <c r="J988" t="n">
        <v>0</v>
      </c>
      <c r="K988" t="n">
        <v>0</v>
      </c>
      <c r="L988" t="n">
        <v>0</v>
      </c>
      <c r="M988" t="n">
        <v>0</v>
      </c>
      <c r="N988" t="n">
        <v>0</v>
      </c>
      <c r="O988" t="n">
        <v>0</v>
      </c>
      <c r="P988" t="n">
        <v>0</v>
      </c>
      <c r="Q988" t="n">
        <v>0</v>
      </c>
      <c r="R988" s="2" t="inlineStr"/>
    </row>
    <row r="989" ht="15" customHeight="1">
      <c r="A989" t="inlineStr">
        <is>
          <t>A 46645-2023</t>
        </is>
      </c>
      <c r="B989" s="1" t="n">
        <v>45198.44686342592</v>
      </c>
      <c r="C989" s="1" t="n">
        <v>46161</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31986-2023</t>
        </is>
      </c>
      <c r="B990" s="1" t="n">
        <v>45119</v>
      </c>
      <c r="C990" s="1" t="n">
        <v>46161</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62044-2022</t>
        </is>
      </c>
      <c r="B991" s="1" t="n">
        <v>44918.55976851852</v>
      </c>
      <c r="C991" s="1" t="n">
        <v>46161</v>
      </c>
      <c r="D991" t="inlineStr">
        <is>
          <t>SKÅNE LÄN</t>
        </is>
      </c>
      <c r="E991" t="inlineStr">
        <is>
          <t>HÄSSLEHOLM</t>
        </is>
      </c>
      <c r="G991" t="n">
        <v>2.1</v>
      </c>
      <c r="H991" t="n">
        <v>0</v>
      </c>
      <c r="I991" t="n">
        <v>0</v>
      </c>
      <c r="J991" t="n">
        <v>0</v>
      </c>
      <c r="K991" t="n">
        <v>0</v>
      </c>
      <c r="L991" t="n">
        <v>0</v>
      </c>
      <c r="M991" t="n">
        <v>0</v>
      </c>
      <c r="N991" t="n">
        <v>0</v>
      </c>
      <c r="O991" t="n">
        <v>0</v>
      </c>
      <c r="P991" t="n">
        <v>0</v>
      </c>
      <c r="Q991" t="n">
        <v>0</v>
      </c>
      <c r="R991" s="2" t="inlineStr"/>
    </row>
    <row r="992" ht="15" customHeight="1">
      <c r="A992" t="inlineStr">
        <is>
          <t>A 6619-2024</t>
        </is>
      </c>
      <c r="B992" s="1" t="n">
        <v>45341.6021412037</v>
      </c>
      <c r="C992" s="1" t="n">
        <v>46161</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13199-2026</t>
        </is>
      </c>
      <c r="B993" s="1" t="n">
        <v>46093</v>
      </c>
      <c r="C993" s="1" t="n">
        <v>46161</v>
      </c>
      <c r="D993" t="inlineStr">
        <is>
          <t>SKÅNE LÄN</t>
        </is>
      </c>
      <c r="E993" t="inlineStr">
        <is>
          <t>HÄSSLEHOLM</t>
        </is>
      </c>
      <c r="G993" t="n">
        <v>1.4</v>
      </c>
      <c r="H993" t="n">
        <v>0</v>
      </c>
      <c r="I993" t="n">
        <v>0</v>
      </c>
      <c r="J993" t="n">
        <v>0</v>
      </c>
      <c r="K993" t="n">
        <v>0</v>
      </c>
      <c r="L993" t="n">
        <v>0</v>
      </c>
      <c r="M993" t="n">
        <v>0</v>
      </c>
      <c r="N993" t="n">
        <v>0</v>
      </c>
      <c r="O993" t="n">
        <v>0</v>
      </c>
      <c r="P993" t="n">
        <v>0</v>
      </c>
      <c r="Q993" t="n">
        <v>0</v>
      </c>
      <c r="R993" s="2" t="inlineStr"/>
    </row>
    <row r="994" ht="15" customHeight="1">
      <c r="A994" t="inlineStr">
        <is>
          <t>A 13280-2026</t>
        </is>
      </c>
      <c r="B994" s="1" t="n">
        <v>46093.74789351852</v>
      </c>
      <c r="C994" s="1" t="n">
        <v>46161</v>
      </c>
      <c r="D994" t="inlineStr">
        <is>
          <t>SKÅNE LÄN</t>
        </is>
      </c>
      <c r="E994" t="inlineStr">
        <is>
          <t>HÄSSLEHOLM</t>
        </is>
      </c>
      <c r="G994" t="n">
        <v>4.4</v>
      </c>
      <c r="H994" t="n">
        <v>0</v>
      </c>
      <c r="I994" t="n">
        <v>0</v>
      </c>
      <c r="J994" t="n">
        <v>0</v>
      </c>
      <c r="K994" t="n">
        <v>0</v>
      </c>
      <c r="L994" t="n">
        <v>0</v>
      </c>
      <c r="M994" t="n">
        <v>0</v>
      </c>
      <c r="N994" t="n">
        <v>0</v>
      </c>
      <c r="O994" t="n">
        <v>0</v>
      </c>
      <c r="P994" t="n">
        <v>0</v>
      </c>
      <c r="Q994" t="n">
        <v>0</v>
      </c>
      <c r="R994" s="2" t="inlineStr"/>
    </row>
    <row r="995" ht="15" customHeight="1">
      <c r="A995" t="inlineStr">
        <is>
          <t>A 52341-2023</t>
        </is>
      </c>
      <c r="B995" s="1" t="n">
        <v>45224.67006944444</v>
      </c>
      <c r="C995" s="1" t="n">
        <v>46161</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13282-2026</t>
        </is>
      </c>
      <c r="B996" s="1" t="n">
        <v>46093.75166666666</v>
      </c>
      <c r="C996" s="1" t="n">
        <v>46161</v>
      </c>
      <c r="D996" t="inlineStr">
        <is>
          <t>SKÅNE LÄN</t>
        </is>
      </c>
      <c r="E996" t="inlineStr">
        <is>
          <t>HÄSSLEHOLM</t>
        </is>
      </c>
      <c r="G996" t="n">
        <v>1.8</v>
      </c>
      <c r="H996" t="n">
        <v>0</v>
      </c>
      <c r="I996" t="n">
        <v>0</v>
      </c>
      <c r="J996" t="n">
        <v>0</v>
      </c>
      <c r="K996" t="n">
        <v>0</v>
      </c>
      <c r="L996" t="n">
        <v>0</v>
      </c>
      <c r="M996" t="n">
        <v>0</v>
      </c>
      <c r="N996" t="n">
        <v>0</v>
      </c>
      <c r="O996" t="n">
        <v>0</v>
      </c>
      <c r="P996" t="n">
        <v>0</v>
      </c>
      <c r="Q996" t="n">
        <v>0</v>
      </c>
      <c r="R996" s="2" t="inlineStr"/>
    </row>
    <row r="997" ht="15" customHeight="1">
      <c r="A997" t="inlineStr">
        <is>
          <t>A 27464-2022</t>
        </is>
      </c>
      <c r="B997" s="1" t="n">
        <v>44742.58704861111</v>
      </c>
      <c r="C997" s="1" t="n">
        <v>46161</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6798-2025</t>
        </is>
      </c>
      <c r="B998" s="1" t="n">
        <v>45700.668125</v>
      </c>
      <c r="C998" s="1" t="n">
        <v>46161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10752-2025</t>
        </is>
      </c>
      <c r="B999" s="1" t="n">
        <v>45722</v>
      </c>
      <c r="C999" s="1" t="n">
        <v>46161</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14008-2023</t>
        </is>
      </c>
      <c r="B1000" s="1" t="n">
        <v>45008.56725694444</v>
      </c>
      <c r="C1000" s="1" t="n">
        <v>46161</v>
      </c>
      <c r="D1000" t="inlineStr">
        <is>
          <t>SKÅNE LÄN</t>
        </is>
      </c>
      <c r="E1000" t="inlineStr">
        <is>
          <t>HÄSSLEHOLM</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20381-2026</t>
        </is>
      </c>
      <c r="B1001" s="1" t="n">
        <v>46139</v>
      </c>
      <c r="C1001" s="1" t="n">
        <v>46161</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315-2022</t>
        </is>
      </c>
      <c r="B1002" s="1" t="n">
        <v>44565.55630787037</v>
      </c>
      <c r="C1002" s="1" t="n">
        <v>46161</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42372-2024</t>
        </is>
      </c>
      <c r="B1003" s="1" t="n">
        <v>45564.5127199074</v>
      </c>
      <c r="C1003" s="1" t="n">
        <v>46161</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13910-2026</t>
        </is>
      </c>
      <c r="B1004" s="1" t="n">
        <v>46098</v>
      </c>
      <c r="C1004" s="1" t="n">
        <v>46161</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17138-2025</t>
        </is>
      </c>
      <c r="B1005" s="1" t="n">
        <v>45755.80378472222</v>
      </c>
      <c r="C1005" s="1" t="n">
        <v>46161</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20382-2026</t>
        </is>
      </c>
      <c r="B1006" s="1" t="n">
        <v>46139</v>
      </c>
      <c r="C1006" s="1" t="n">
        <v>46161</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57695-2023</t>
        </is>
      </c>
      <c r="B1007" s="1" t="n">
        <v>45246</v>
      </c>
      <c r="C1007" s="1" t="n">
        <v>46161</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13842-2026</t>
        </is>
      </c>
      <c r="B1008" s="1" t="n">
        <v>46098.37758101852</v>
      </c>
      <c r="C1008" s="1" t="n">
        <v>46161</v>
      </c>
      <c r="D1008" t="inlineStr">
        <is>
          <t>SKÅNE LÄN</t>
        </is>
      </c>
      <c r="E1008" t="inlineStr">
        <is>
          <t>HÄSSLEHOLM</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13886-2026</t>
        </is>
      </c>
      <c r="B1009" s="1" t="n">
        <v>46098</v>
      </c>
      <c r="C1009" s="1" t="n">
        <v>46161</v>
      </c>
      <c r="D1009" t="inlineStr">
        <is>
          <t>SKÅNE LÄN</t>
        </is>
      </c>
      <c r="E1009" t="inlineStr">
        <is>
          <t>HÄSSLEHOLM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12162-2023</t>
        </is>
      </c>
      <c r="B1010" s="1" t="n">
        <v>44998.49619212963</v>
      </c>
      <c r="C1010" s="1" t="n">
        <v>46161</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13588-2026</t>
        </is>
      </c>
      <c r="B1011" s="1" t="n">
        <v>46095.80452546296</v>
      </c>
      <c r="C1011" s="1" t="n">
        <v>46161</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13347-2025</t>
        </is>
      </c>
      <c r="B1012" s="1" t="n">
        <v>45735.63175925926</v>
      </c>
      <c r="C1012" s="1" t="n">
        <v>46161</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4916-2024</t>
        </is>
      </c>
      <c r="B1013" s="1" t="n">
        <v>45329</v>
      </c>
      <c r="C1013" s="1" t="n">
        <v>46161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27175-2024</t>
        </is>
      </c>
      <c r="B1014" s="1" t="n">
        <v>45471.57111111111</v>
      </c>
      <c r="C1014" s="1" t="n">
        <v>46161</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13906-2026</t>
        </is>
      </c>
      <c r="B1015" s="1" t="n">
        <v>46098</v>
      </c>
      <c r="C1015" s="1" t="n">
        <v>46161</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54658-2023</t>
        </is>
      </c>
      <c r="B1016" s="1" t="n">
        <v>45235</v>
      </c>
      <c r="C1016" s="1" t="n">
        <v>46161</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19240-2026</t>
        </is>
      </c>
      <c r="B1017" s="1" t="n">
        <v>46132</v>
      </c>
      <c r="C1017" s="1" t="n">
        <v>46161</v>
      </c>
      <c r="D1017" t="inlineStr">
        <is>
          <t>SKÅNE LÄN</t>
        </is>
      </c>
      <c r="E1017" t="inlineStr">
        <is>
          <t>HÄSSLEHOLM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23666-2023</t>
        </is>
      </c>
      <c r="B1018" s="1" t="n">
        <v>45077</v>
      </c>
      <c r="C1018" s="1" t="n">
        <v>46161</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3726-2024</t>
        </is>
      </c>
      <c r="B1019" s="1" t="n">
        <v>45321</v>
      </c>
      <c r="C1019" s="1" t="n">
        <v>46161</v>
      </c>
      <c r="D1019" t="inlineStr">
        <is>
          <t>SKÅNE LÄN</t>
        </is>
      </c>
      <c r="E1019" t="inlineStr">
        <is>
          <t>HÄSSLEHOLM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53085-2022</t>
        </is>
      </c>
      <c r="B1020" s="1" t="n">
        <v>44873</v>
      </c>
      <c r="C1020" s="1" t="n">
        <v>46161</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28211-2022</t>
        </is>
      </c>
      <c r="B1021" s="1" t="n">
        <v>44746</v>
      </c>
      <c r="C1021" s="1" t="n">
        <v>46161</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47432-2025</t>
        </is>
      </c>
      <c r="B1022" s="1" t="n">
        <v>45930</v>
      </c>
      <c r="C1022" s="1" t="n">
        <v>46161</v>
      </c>
      <c r="D1022" t="inlineStr">
        <is>
          <t>SKÅNE LÄN</t>
        </is>
      </c>
      <c r="E1022" t="inlineStr">
        <is>
          <t>HÄSSLEHOLM</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14541-2026</t>
        </is>
      </c>
      <c r="B1023" s="1" t="n">
        <v>46100.67851851852</v>
      </c>
      <c r="C1023" s="1" t="n">
        <v>46161</v>
      </c>
      <c r="D1023" t="inlineStr">
        <is>
          <t>SKÅNE LÄN</t>
        </is>
      </c>
      <c r="E1023" t="inlineStr">
        <is>
          <t>HÄSSLEHOLM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47422-2025</t>
        </is>
      </c>
      <c r="B1024" s="1" t="n">
        <v>45930</v>
      </c>
      <c r="C1024" s="1" t="n">
        <v>46161</v>
      </c>
      <c r="D1024" t="inlineStr">
        <is>
          <t>SKÅNE LÄN</t>
        </is>
      </c>
      <c r="E1024" t="inlineStr">
        <is>
          <t>HÄSSLEHOLM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15990-2023</t>
        </is>
      </c>
      <c r="B1025" s="1" t="n">
        <v>45023.39584490741</v>
      </c>
      <c r="C1025" s="1" t="n">
        <v>46161</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14538-2026</t>
        </is>
      </c>
      <c r="B1026" s="1" t="n">
        <v>46100.67711805556</v>
      </c>
      <c r="C1026" s="1" t="n">
        <v>46161</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26207-2021</t>
        </is>
      </c>
      <c r="B1027" s="1" t="n">
        <v>44347</v>
      </c>
      <c r="C1027" s="1" t="n">
        <v>46161</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62199-2022</t>
        </is>
      </c>
      <c r="B1028" s="1" t="n">
        <v>44915</v>
      </c>
      <c r="C1028" s="1" t="n">
        <v>46161</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14191-2026</t>
        </is>
      </c>
      <c r="B1029" s="1" t="n">
        <v>46099.528125</v>
      </c>
      <c r="C1029" s="1" t="n">
        <v>46161</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9098-2022</t>
        </is>
      </c>
      <c r="B1030" s="1" t="n">
        <v>44615</v>
      </c>
      <c r="C1030" s="1" t="n">
        <v>46161</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19151-2023</t>
        </is>
      </c>
      <c r="B1031" s="1" t="n">
        <v>45044</v>
      </c>
      <c r="C1031" s="1" t="n">
        <v>46161</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19831-2026</t>
        </is>
      </c>
      <c r="B1032" s="1" t="n">
        <v>46135</v>
      </c>
      <c r="C1032" s="1" t="n">
        <v>46161</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2688-2024</t>
        </is>
      </c>
      <c r="B1033" s="1" t="n">
        <v>45314</v>
      </c>
      <c r="C1033" s="1" t="n">
        <v>46161</v>
      </c>
      <c r="D1033" t="inlineStr">
        <is>
          <t>SKÅNE LÄN</t>
        </is>
      </c>
      <c r="E1033" t="inlineStr">
        <is>
          <t>HÄSSLEHOLM</t>
        </is>
      </c>
      <c r="F1033" t="inlineStr">
        <is>
          <t>Övriga Aktiebolag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29850-2024</t>
        </is>
      </c>
      <c r="B1034" s="1" t="n">
        <v>45485.64620370371</v>
      </c>
      <c r="C1034" s="1" t="n">
        <v>46161</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30007-2023</t>
        </is>
      </c>
      <c r="B1035" s="1" t="n">
        <v>45109.80349537037</v>
      </c>
      <c r="C1035" s="1" t="n">
        <v>46161</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4187-2023</t>
        </is>
      </c>
      <c r="B1036" s="1" t="n">
        <v>44953</v>
      </c>
      <c r="C1036" s="1" t="n">
        <v>46161</v>
      </c>
      <c r="D1036" t="inlineStr">
        <is>
          <t>SKÅNE LÄN</t>
        </is>
      </c>
      <c r="E1036" t="inlineStr">
        <is>
          <t>HÄSSLEHOLM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42231-2022</t>
        </is>
      </c>
      <c r="B1037" s="1" t="n">
        <v>44830.77003472222</v>
      </c>
      <c r="C1037" s="1" t="n">
        <v>46161</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14471-2026</t>
        </is>
      </c>
      <c r="B1038" s="1" t="n">
        <v>46100.56711805556</v>
      </c>
      <c r="C1038" s="1" t="n">
        <v>46161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14540-2026</t>
        </is>
      </c>
      <c r="B1039" s="1" t="n">
        <v>46100.67826388889</v>
      </c>
      <c r="C1039" s="1" t="n">
        <v>46161</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47450-2025</t>
        </is>
      </c>
      <c r="B1040" s="1" t="n">
        <v>45930</v>
      </c>
      <c r="C1040" s="1" t="n">
        <v>46161</v>
      </c>
      <c r="D1040" t="inlineStr">
        <is>
          <t>SKÅNE LÄN</t>
        </is>
      </c>
      <c r="E1040" t="inlineStr">
        <is>
          <t>HÄSSLEHOLM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14549-2026</t>
        </is>
      </c>
      <c r="B1041" s="1" t="n">
        <v>46100</v>
      </c>
      <c r="C1041" s="1" t="n">
        <v>46161</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59390-2021</t>
        </is>
      </c>
      <c r="B1042" s="1" t="n">
        <v>44490</v>
      </c>
      <c r="C1042" s="1" t="n">
        <v>46161</v>
      </c>
      <c r="D1042" t="inlineStr">
        <is>
          <t>SKÅNE LÄN</t>
        </is>
      </c>
      <c r="E1042" t="inlineStr">
        <is>
          <t>HÄSSLEHOLM</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14965-2026</t>
        </is>
      </c>
      <c r="B1043" s="1" t="n">
        <v>46104.56096064814</v>
      </c>
      <c r="C1043" s="1" t="n">
        <v>46161</v>
      </c>
      <c r="D1043" t="inlineStr">
        <is>
          <t>SKÅNE LÄN</t>
        </is>
      </c>
      <c r="E1043" t="inlineStr">
        <is>
          <t>HÄSSLEHOLM</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14971-2026</t>
        </is>
      </c>
      <c r="B1044" s="1" t="n">
        <v>46104.56393518519</v>
      </c>
      <c r="C1044" s="1" t="n">
        <v>46161</v>
      </c>
      <c r="D1044" t="inlineStr">
        <is>
          <t>SKÅNE LÄN</t>
        </is>
      </c>
      <c r="E1044" t="inlineStr">
        <is>
          <t>HÄSSLEHOLM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32008-2024</t>
        </is>
      </c>
      <c r="B1045" s="1" t="n">
        <v>45510</v>
      </c>
      <c r="C1045" s="1" t="n">
        <v>46161</v>
      </c>
      <c r="D1045" t="inlineStr">
        <is>
          <t>SKÅNE LÄN</t>
        </is>
      </c>
      <c r="E1045" t="inlineStr">
        <is>
          <t>HÄSSLEHOLM</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3452-2023</t>
        </is>
      </c>
      <c r="B1046" s="1" t="n">
        <v>44949</v>
      </c>
      <c r="C1046" s="1" t="n">
        <v>46161</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50525-2024</t>
        </is>
      </c>
      <c r="B1047" s="1" t="n">
        <v>45601</v>
      </c>
      <c r="C1047" s="1" t="n">
        <v>46161</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260-2024</t>
        </is>
      </c>
      <c r="B1048" s="1" t="n">
        <v>45294</v>
      </c>
      <c r="C1048" s="1" t="n">
        <v>46161</v>
      </c>
      <c r="D1048" t="inlineStr">
        <is>
          <t>SKÅNE LÄN</t>
        </is>
      </c>
      <c r="E1048" t="inlineStr">
        <is>
          <t>HÄSSLEHOLM</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5016-2024</t>
        </is>
      </c>
      <c r="B1049" s="1" t="n">
        <v>45329</v>
      </c>
      <c r="C1049" s="1" t="n">
        <v>46161</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11603-2025</t>
        </is>
      </c>
      <c r="B1050" s="1" t="n">
        <v>45727</v>
      </c>
      <c r="C1050" s="1" t="n">
        <v>46161</v>
      </c>
      <c r="D1050" t="inlineStr">
        <is>
          <t>SKÅNE LÄN</t>
        </is>
      </c>
      <c r="E1050" t="inlineStr">
        <is>
          <t>HÄSSLEHOLM</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54807-2025</t>
        </is>
      </c>
      <c r="B1051" s="1" t="n">
        <v>45966</v>
      </c>
      <c r="C1051" s="1" t="n">
        <v>46161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25206-2023</t>
        </is>
      </c>
      <c r="B1052" s="1" t="n">
        <v>45086.59318287037</v>
      </c>
      <c r="C1052" s="1" t="n">
        <v>46161</v>
      </c>
      <c r="D1052" t="inlineStr">
        <is>
          <t>SKÅNE LÄN</t>
        </is>
      </c>
      <c r="E1052" t="inlineStr">
        <is>
          <t>HÄSSLEHOLM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25221-2023</t>
        </is>
      </c>
      <c r="B1053" s="1" t="n">
        <v>45086.60842592592</v>
      </c>
      <c r="C1053" s="1" t="n">
        <v>46161</v>
      </c>
      <c r="D1053" t="inlineStr">
        <is>
          <t>SKÅNE LÄN</t>
        </is>
      </c>
      <c r="E1053" t="inlineStr">
        <is>
          <t>HÄSSLEHOLM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54426-2025</t>
        </is>
      </c>
      <c r="B1054" s="1" t="n">
        <v>45965</v>
      </c>
      <c r="C1054" s="1" t="n">
        <v>46161</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57272-2023</t>
        </is>
      </c>
      <c r="B1055" s="1" t="n">
        <v>45245</v>
      </c>
      <c r="C1055" s="1" t="n">
        <v>46161</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13856-2025</t>
        </is>
      </c>
      <c r="B1056" s="1" t="n">
        <v>45737.57289351852</v>
      </c>
      <c r="C1056" s="1" t="n">
        <v>46161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21668-2026</t>
        </is>
      </c>
      <c r="B1057" s="1" t="n">
        <v>46149.47572916667</v>
      </c>
      <c r="C1057" s="1" t="n">
        <v>46161</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21658-2026</t>
        </is>
      </c>
      <c r="B1058" s="1" t="n">
        <v>46149.45797453704</v>
      </c>
      <c r="C1058" s="1" t="n">
        <v>46161</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21674-2026</t>
        </is>
      </c>
      <c r="B1059" s="1" t="n">
        <v>46149.4872337963</v>
      </c>
      <c r="C1059" s="1" t="n">
        <v>46161</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15881-2026</t>
        </is>
      </c>
      <c r="B1060" s="1" t="n">
        <v>46107</v>
      </c>
      <c r="C1060" s="1" t="n">
        <v>46161</v>
      </c>
      <c r="D1060" t="inlineStr">
        <is>
          <t>SKÅNE LÄN</t>
        </is>
      </c>
      <c r="E1060" t="inlineStr">
        <is>
          <t>HÄSSLEHOLM</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48889-2024</t>
        </is>
      </c>
      <c r="B1061" s="1" t="n">
        <v>45594.33754629629</v>
      </c>
      <c r="C1061" s="1" t="n">
        <v>46161</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8263-2025</t>
        </is>
      </c>
      <c r="B1062" s="1" t="n">
        <v>45708.50398148148</v>
      </c>
      <c r="C1062" s="1" t="n">
        <v>46161</v>
      </c>
      <c r="D1062" t="inlineStr">
        <is>
          <t>SKÅNE LÄN</t>
        </is>
      </c>
      <c r="E1062" t="inlineStr">
        <is>
          <t>HÄSSLEHOLM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15979-2026</t>
        </is>
      </c>
      <c r="B1063" s="1" t="n">
        <v>46108.35431712963</v>
      </c>
      <c r="C1063" s="1" t="n">
        <v>46161</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29275-2023</t>
        </is>
      </c>
      <c r="B1064" s="1" t="n">
        <v>45105</v>
      </c>
      <c r="C1064" s="1" t="n">
        <v>46161</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13018-2024</t>
        </is>
      </c>
      <c r="B1065" s="1" t="n">
        <v>45385.58274305556</v>
      </c>
      <c r="C1065" s="1" t="n">
        <v>46161</v>
      </c>
      <c r="D1065" t="inlineStr">
        <is>
          <t>SKÅNE LÄN</t>
        </is>
      </c>
      <c r="E1065" t="inlineStr">
        <is>
          <t>HÄSSLEHOLM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21613-2026</t>
        </is>
      </c>
      <c r="B1066" s="1" t="n">
        <v>46149.40085648148</v>
      </c>
      <c r="C1066" s="1" t="n">
        <v>46161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22595-2024</t>
        </is>
      </c>
      <c r="B1067" s="1" t="n">
        <v>45447.61053240741</v>
      </c>
      <c r="C1067" s="1" t="n">
        <v>46161</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47352-2025</t>
        </is>
      </c>
      <c r="B1068" s="1" t="n">
        <v>45930</v>
      </c>
      <c r="C1068" s="1" t="n">
        <v>46161</v>
      </c>
      <c r="D1068" t="inlineStr">
        <is>
          <t>SKÅNE LÄN</t>
        </is>
      </c>
      <c r="E1068" t="inlineStr">
        <is>
          <t>HÄSSLEHOLM</t>
        </is>
      </c>
      <c r="G1068" t="n">
        <v>15.9</v>
      </c>
      <c r="H1068" t="n">
        <v>0</v>
      </c>
      <c r="I1068" t="n">
        <v>0</v>
      </c>
      <c r="J1068" t="n">
        <v>0</v>
      </c>
      <c r="K1068" t="n">
        <v>0</v>
      </c>
      <c r="L1068" t="n">
        <v>0</v>
      </c>
      <c r="M1068" t="n">
        <v>0</v>
      </c>
      <c r="N1068" t="n">
        <v>0</v>
      </c>
      <c r="O1068" t="n">
        <v>0</v>
      </c>
      <c r="P1068" t="n">
        <v>0</v>
      </c>
      <c r="Q1068" t="n">
        <v>0</v>
      </c>
      <c r="R1068" s="2" t="inlineStr"/>
    </row>
    <row r="1069" ht="15" customHeight="1">
      <c r="A1069" t="inlineStr">
        <is>
          <t>A 60704-2023</t>
        </is>
      </c>
      <c r="B1069" s="1" t="n">
        <v>45260.51340277777</v>
      </c>
      <c r="C1069" s="1" t="n">
        <v>46161</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21807-2026</t>
        </is>
      </c>
      <c r="B1070" s="1" t="n">
        <v>46148</v>
      </c>
      <c r="C1070" s="1" t="n">
        <v>46161</v>
      </c>
      <c r="D1070" t="inlineStr">
        <is>
          <t>SKÅNE LÄN</t>
        </is>
      </c>
      <c r="E1070" t="inlineStr">
        <is>
          <t>HÄSSLEHOLM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54798-2025</t>
        </is>
      </c>
      <c r="B1071" s="1" t="n">
        <v>45966</v>
      </c>
      <c r="C1071" s="1" t="n">
        <v>46161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15882-2026</t>
        </is>
      </c>
      <c r="B1072" s="1" t="n">
        <v>46107</v>
      </c>
      <c r="C1072" s="1" t="n">
        <v>46161</v>
      </c>
      <c r="D1072" t="inlineStr">
        <is>
          <t>SKÅNE LÄN</t>
        </is>
      </c>
      <c r="E1072" t="inlineStr">
        <is>
          <t>HÄSSLEHOLM</t>
        </is>
      </c>
      <c r="F1072" t="inlineStr">
        <is>
          <t>Kyrkan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20279-2025</t>
        </is>
      </c>
      <c r="B1073" s="1" t="n">
        <v>45774.38643518519</v>
      </c>
      <c r="C1073" s="1" t="n">
        <v>46161</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59431-2023</t>
        </is>
      </c>
      <c r="B1074" s="1" t="n">
        <v>45254.29207175926</v>
      </c>
      <c r="C1074" s="1" t="n">
        <v>46161</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59433-2023</t>
        </is>
      </c>
      <c r="B1075" s="1" t="n">
        <v>45254.29768518519</v>
      </c>
      <c r="C1075" s="1" t="n">
        <v>46161</v>
      </c>
      <c r="D1075" t="inlineStr">
        <is>
          <t>SKÅNE LÄN</t>
        </is>
      </c>
      <c r="E1075" t="inlineStr">
        <is>
          <t>HÄSSLEHOLM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21673-2026</t>
        </is>
      </c>
      <c r="B1076" s="1" t="n">
        <v>46149.48615740741</v>
      </c>
      <c r="C1076" s="1" t="n">
        <v>46161</v>
      </c>
      <c r="D1076" t="inlineStr">
        <is>
          <t>SKÅNE LÄN</t>
        </is>
      </c>
      <c r="E1076" t="inlineStr">
        <is>
          <t>HÄSSLEHOLM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55416-2021</t>
        </is>
      </c>
      <c r="B1077" s="1" t="n">
        <v>44475</v>
      </c>
      <c r="C1077" s="1" t="n">
        <v>46161</v>
      </c>
      <c r="D1077" t="inlineStr">
        <is>
          <t>SKÅNE LÄN</t>
        </is>
      </c>
      <c r="E1077" t="inlineStr">
        <is>
          <t>HÄSSLEHOLM</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21615-2026</t>
        </is>
      </c>
      <c r="B1078" s="1" t="n">
        <v>46149.40331018518</v>
      </c>
      <c r="C1078" s="1" t="n">
        <v>46161</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4579-2025</t>
        </is>
      </c>
      <c r="B1079" s="1" t="n">
        <v>45687.5009375</v>
      </c>
      <c r="C1079" s="1" t="n">
        <v>46161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21141-2024</t>
        </is>
      </c>
      <c r="B1080" s="1" t="n">
        <v>45440.39012731481</v>
      </c>
      <c r="C1080" s="1" t="n">
        <v>46161</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49379-2021</t>
        </is>
      </c>
      <c r="B1081" s="1" t="n">
        <v>44454</v>
      </c>
      <c r="C1081" s="1" t="n">
        <v>46161</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45150.89295138889</v>
      </c>
      <c r="C1082" s="1" t="n">
        <v>46161</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13851-2025</t>
        </is>
      </c>
      <c r="B1083" s="1" t="n">
        <v>45737.56777777777</v>
      </c>
      <c r="C1083" s="1" t="n">
        <v>46161</v>
      </c>
      <c r="D1083" t="inlineStr">
        <is>
          <t>SKÅNE LÄN</t>
        </is>
      </c>
      <c r="E1083" t="inlineStr">
        <is>
          <t>HÄSSLEHOLM</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16470-2026</t>
        </is>
      </c>
      <c r="B1084" s="1" t="n">
        <v>46112.37516203704</v>
      </c>
      <c r="C1084" s="1" t="n">
        <v>46161</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12469-2023</t>
        </is>
      </c>
      <c r="B1085" s="1" t="n">
        <v>44999.62109953703</v>
      </c>
      <c r="C1085" s="1" t="n">
        <v>46161</v>
      </c>
      <c r="D1085" t="inlineStr">
        <is>
          <t>SKÅNE LÄN</t>
        </is>
      </c>
      <c r="E1085" t="inlineStr">
        <is>
          <t>HÄSSLEHOLM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45400-2022</t>
        </is>
      </c>
      <c r="B1086" s="1" t="n">
        <v>44844.713125</v>
      </c>
      <c r="C1086" s="1" t="n">
        <v>46161</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16476-2026</t>
        </is>
      </c>
      <c r="B1087" s="1" t="n">
        <v>46112.38662037037</v>
      </c>
      <c r="C1087" s="1" t="n">
        <v>46161</v>
      </c>
      <c r="D1087" t="inlineStr">
        <is>
          <t>SKÅNE LÄN</t>
        </is>
      </c>
      <c r="E1087" t="inlineStr">
        <is>
          <t>HÄSSLEHOLM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13961-2023</t>
        </is>
      </c>
      <c r="B1088" s="1" t="n">
        <v>45008</v>
      </c>
      <c r="C1088" s="1" t="n">
        <v>46161</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7581-2023</t>
        </is>
      </c>
      <c r="B1089" s="1" t="n">
        <v>44972.39556712963</v>
      </c>
      <c r="C1089" s="1" t="n">
        <v>46161</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48191-2021</t>
        </is>
      </c>
      <c r="B1090" s="1" t="n">
        <v>44449</v>
      </c>
      <c r="C1090" s="1" t="n">
        <v>46161</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5282-2023</t>
        </is>
      </c>
      <c r="B1091" s="1" t="n">
        <v>44959.50471064815</v>
      </c>
      <c r="C1091" s="1" t="n">
        <v>46161</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52548-2023</t>
        </is>
      </c>
      <c r="B1092" s="1" t="n">
        <v>45218</v>
      </c>
      <c r="C1092" s="1" t="n">
        <v>46161</v>
      </c>
      <c r="D1092" t="inlineStr">
        <is>
          <t>SKÅNE LÄN</t>
        </is>
      </c>
      <c r="E1092" t="inlineStr">
        <is>
          <t>HÄSSLEHOLM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12503-2022</t>
        </is>
      </c>
      <c r="B1093" s="1" t="n">
        <v>44638</v>
      </c>
      <c r="C1093" s="1" t="n">
        <v>46161</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9485-2023</t>
        </is>
      </c>
      <c r="B1094" s="1" t="n">
        <v>44981.60901620371</v>
      </c>
      <c r="C1094" s="1" t="n">
        <v>46161</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54777-2022</t>
        </is>
      </c>
      <c r="B1095" s="1" t="n">
        <v>44883</v>
      </c>
      <c r="C1095" s="1" t="n">
        <v>46161</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61929-2023</t>
        </is>
      </c>
      <c r="B1096" s="1" t="n">
        <v>45266</v>
      </c>
      <c r="C1096" s="1" t="n">
        <v>46161</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13555-2025</t>
        </is>
      </c>
      <c r="B1097" s="1" t="n">
        <v>45736</v>
      </c>
      <c r="C1097" s="1" t="n">
        <v>46161</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44940-2023</t>
        </is>
      </c>
      <c r="B1098" s="1" t="n">
        <v>45190.68653935185</v>
      </c>
      <c r="C1098" s="1" t="n">
        <v>46161</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25533-2024</t>
        </is>
      </c>
      <c r="B1099" s="1" t="n">
        <v>45463</v>
      </c>
      <c r="C1099" s="1" t="n">
        <v>46161</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61498-2022</t>
        </is>
      </c>
      <c r="B1100" s="1" t="n">
        <v>44910</v>
      </c>
      <c r="C1100" s="1" t="n">
        <v>46161</v>
      </c>
      <c r="D1100" t="inlineStr">
        <is>
          <t>SKÅNE LÄN</t>
        </is>
      </c>
      <c r="E1100" t="inlineStr">
        <is>
          <t>HÄSSLEHOLM</t>
        </is>
      </c>
      <c r="F1100" t="inlineStr">
        <is>
          <t>Kyrkan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22696-2023</t>
        </is>
      </c>
      <c r="B1101" s="1" t="n">
        <v>45071.69464120371</v>
      </c>
      <c r="C1101" s="1" t="n">
        <v>46161</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52337-2023</t>
        </is>
      </c>
      <c r="B1102" s="1" t="n">
        <v>45224.66359953704</v>
      </c>
      <c r="C1102" s="1" t="n">
        <v>46161</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23955-2023</t>
        </is>
      </c>
      <c r="B1103" s="1" t="n">
        <v>45078.62217592593</v>
      </c>
      <c r="C1103" s="1" t="n">
        <v>46161</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10897-2023</t>
        </is>
      </c>
      <c r="B1104" s="1" t="n">
        <v>44985</v>
      </c>
      <c r="C1104" s="1" t="n">
        <v>46161</v>
      </c>
      <c r="D1104" t="inlineStr">
        <is>
          <t>SKÅNE LÄN</t>
        </is>
      </c>
      <c r="E1104" t="inlineStr">
        <is>
          <t>HÄSSLEHOLM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50571-2023</t>
        </is>
      </c>
      <c r="B1105" s="1" t="n">
        <v>45217.38359953704</v>
      </c>
      <c r="C1105" s="1" t="n">
        <v>46161</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18908-2023</t>
        </is>
      </c>
      <c r="B1106" s="1" t="n">
        <v>45044</v>
      </c>
      <c r="C1106" s="1" t="n">
        <v>46161</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10028-2024</t>
        </is>
      </c>
      <c r="B1107" s="1" t="n">
        <v>45363.97292824074</v>
      </c>
      <c r="C1107" s="1" t="n">
        <v>46161</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13084-2025</t>
        </is>
      </c>
      <c r="B1108" s="1" t="n">
        <v>45734</v>
      </c>
      <c r="C1108" s="1" t="n">
        <v>46161</v>
      </c>
      <c r="D1108" t="inlineStr">
        <is>
          <t>SKÅNE LÄN</t>
        </is>
      </c>
      <c r="E1108" t="inlineStr">
        <is>
          <t>HÄSSLEHOLM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16285-2025</t>
        </is>
      </c>
      <c r="B1109" s="1" t="n">
        <v>45751.30045138889</v>
      </c>
      <c r="C1109" s="1" t="n">
        <v>46161</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46000-2021</t>
        </is>
      </c>
      <c r="B1110" s="1" t="n">
        <v>44441</v>
      </c>
      <c r="C1110" s="1" t="n">
        <v>46161</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4009-2024</t>
        </is>
      </c>
      <c r="B1111" s="1" t="n">
        <v>45323</v>
      </c>
      <c r="C1111" s="1" t="n">
        <v>46161</v>
      </c>
      <c r="D1111" t="inlineStr">
        <is>
          <t>SKÅNE LÄN</t>
        </is>
      </c>
      <c r="E1111" t="inlineStr">
        <is>
          <t>HÄSSLEHOLM</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10928-2024</t>
        </is>
      </c>
      <c r="B1112" s="1" t="n">
        <v>45370</v>
      </c>
      <c r="C1112" s="1" t="n">
        <v>46161</v>
      </c>
      <c r="D1112" t="inlineStr">
        <is>
          <t>SKÅNE LÄN</t>
        </is>
      </c>
      <c r="E1112" t="inlineStr">
        <is>
          <t>HÄSSLEHOLM</t>
        </is>
      </c>
      <c r="F1112" t="inlineStr">
        <is>
          <t>Övriga Aktiebolag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10944-2024</t>
        </is>
      </c>
      <c r="B1113" s="1" t="n">
        <v>45370</v>
      </c>
      <c r="C1113" s="1" t="n">
        <v>46161</v>
      </c>
      <c r="D1113" t="inlineStr">
        <is>
          <t>SKÅNE LÄN</t>
        </is>
      </c>
      <c r="E1113" t="inlineStr">
        <is>
          <t>HÄSSLEHOLM</t>
        </is>
      </c>
      <c r="F1113" t="inlineStr">
        <is>
          <t>Övriga Aktiebolag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6087-2025</t>
        </is>
      </c>
      <c r="B1114" s="1" t="n">
        <v>45697.69782407407</v>
      </c>
      <c r="C1114" s="1" t="n">
        <v>46161</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33466-2024</t>
        </is>
      </c>
      <c r="B1115" s="1" t="n">
        <v>45519</v>
      </c>
      <c r="C1115" s="1" t="n">
        <v>46161</v>
      </c>
      <c r="D1115" t="inlineStr">
        <is>
          <t>SKÅNE LÄN</t>
        </is>
      </c>
      <c r="E1115" t="inlineStr">
        <is>
          <t>HÄSSLEHOLM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6612-2024</t>
        </is>
      </c>
      <c r="B1116" s="1" t="n">
        <v>45341.58859953703</v>
      </c>
      <c r="C1116" s="1" t="n">
        <v>46161</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26879-2024</t>
        </is>
      </c>
      <c r="B1117" s="1" t="n">
        <v>45470</v>
      </c>
      <c r="C1117" s="1" t="n">
        <v>46161</v>
      </c>
      <c r="D1117" t="inlineStr">
        <is>
          <t>SKÅNE LÄN</t>
        </is>
      </c>
      <c r="E1117" t="inlineStr">
        <is>
          <t>HÄSSLEHOLM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54473-2023</t>
        </is>
      </c>
      <c r="B1118" s="1" t="n">
        <v>45233</v>
      </c>
      <c r="C1118" s="1" t="n">
        <v>46161</v>
      </c>
      <c r="D1118" t="inlineStr">
        <is>
          <t>SKÅNE LÄN</t>
        </is>
      </c>
      <c r="E1118" t="inlineStr">
        <is>
          <t>HÄSSLEHOLM</t>
        </is>
      </c>
      <c r="G1118" t="n">
        <v>24.5</v>
      </c>
      <c r="H1118" t="n">
        <v>0</v>
      </c>
      <c r="I1118" t="n">
        <v>0</v>
      </c>
      <c r="J1118" t="n">
        <v>0</v>
      </c>
      <c r="K1118" t="n">
        <v>0</v>
      </c>
      <c r="L1118" t="n">
        <v>0</v>
      </c>
      <c r="M1118" t="n">
        <v>0</v>
      </c>
      <c r="N1118" t="n">
        <v>0</v>
      </c>
      <c r="O1118" t="n">
        <v>0</v>
      </c>
      <c r="P1118" t="n">
        <v>0</v>
      </c>
      <c r="Q1118" t="n">
        <v>0</v>
      </c>
      <c r="R1118" s="2" t="inlineStr"/>
    </row>
    <row r="1119" ht="15" customHeight="1">
      <c r="A1119" t="inlineStr">
        <is>
          <t>A 11240-2023</t>
        </is>
      </c>
      <c r="B1119" s="1" t="n">
        <v>44992</v>
      </c>
      <c r="C1119" s="1" t="n">
        <v>46161</v>
      </c>
      <c r="D1119" t="inlineStr">
        <is>
          <t>SKÅNE LÄN</t>
        </is>
      </c>
      <c r="E1119" t="inlineStr">
        <is>
          <t>HÄSSLEHOLM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16108-2025</t>
        </is>
      </c>
      <c r="B1120" s="1" t="n">
        <v>45750.34667824074</v>
      </c>
      <c r="C1120" s="1" t="n">
        <v>46161</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46161</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54518-2022</t>
        </is>
      </c>
      <c r="B1122" s="1" t="n">
        <v>44882</v>
      </c>
      <c r="C1122" s="1" t="n">
        <v>46161</v>
      </c>
      <c r="D1122" t="inlineStr">
        <is>
          <t>SKÅNE LÄN</t>
        </is>
      </c>
      <c r="E1122" t="inlineStr">
        <is>
          <t>HÄSSLEHOLM</t>
        </is>
      </c>
      <c r="F1122" t="inlineStr">
        <is>
          <t>Övriga Aktiebolag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57491-2024</t>
        </is>
      </c>
      <c r="B1123" s="1" t="n">
        <v>45629</v>
      </c>
      <c r="C1123" s="1" t="n">
        <v>46161</v>
      </c>
      <c r="D1123" t="inlineStr">
        <is>
          <t>SKÅNE LÄN</t>
        </is>
      </c>
      <c r="E1123" t="inlineStr">
        <is>
          <t>HÄSSLEHOLM</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52912-2022</t>
        </is>
      </c>
      <c r="B1124" s="1" t="n">
        <v>44872</v>
      </c>
      <c r="C1124" s="1" t="n">
        <v>46161</v>
      </c>
      <c r="D1124" t="inlineStr">
        <is>
          <t>SKÅNE LÄN</t>
        </is>
      </c>
      <c r="E1124" t="inlineStr">
        <is>
          <t>HÄSSLEHOLM</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16950-2025</t>
        </is>
      </c>
      <c r="B1125" s="1" t="n">
        <v>45755</v>
      </c>
      <c r="C1125" s="1" t="n">
        <v>46161</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27502-2023</t>
        </is>
      </c>
      <c r="B1126" s="1" t="n">
        <v>45092</v>
      </c>
      <c r="C1126" s="1" t="n">
        <v>46161</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6836-2023</t>
        </is>
      </c>
      <c r="B1127" s="1" t="n">
        <v>44967</v>
      </c>
      <c r="C1127" s="1" t="n">
        <v>46161</v>
      </c>
      <c r="D1127" t="inlineStr">
        <is>
          <t>SKÅNE LÄN</t>
        </is>
      </c>
      <c r="E1127" t="inlineStr">
        <is>
          <t>HÄSSLEHOLM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6845-2023</t>
        </is>
      </c>
      <c r="B1128" s="1" t="n">
        <v>44967</v>
      </c>
      <c r="C1128" s="1" t="n">
        <v>46161</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53887-2023</t>
        </is>
      </c>
      <c r="B1129" s="1" t="n">
        <v>45231.52675925926</v>
      </c>
      <c r="C1129" s="1" t="n">
        <v>46161</v>
      </c>
      <c r="D1129" t="inlineStr">
        <is>
          <t>SKÅNE LÄN</t>
        </is>
      </c>
      <c r="E1129" t="inlineStr">
        <is>
          <t>HÄSSLEHOLM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21329-2023</t>
        </is>
      </c>
      <c r="B1130" s="1" t="n">
        <v>45062</v>
      </c>
      <c r="C1130" s="1" t="n">
        <v>46161</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1543-2024</t>
        </is>
      </c>
      <c r="B1131" s="1" t="n">
        <v>45306</v>
      </c>
      <c r="C1131" s="1" t="n">
        <v>46161</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18800-2023</t>
        </is>
      </c>
      <c r="B1132" s="1" t="n">
        <v>45044</v>
      </c>
      <c r="C1132" s="1" t="n">
        <v>46161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25077-2024</t>
        </is>
      </c>
      <c r="B1133" s="1" t="n">
        <v>45462</v>
      </c>
      <c r="C1133" s="1" t="n">
        <v>46161</v>
      </c>
      <c r="D1133" t="inlineStr">
        <is>
          <t>SKÅNE LÄN</t>
        </is>
      </c>
      <c r="E1133" t="inlineStr">
        <is>
          <t>HÄSSLEHOLM</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22535-2024</t>
        </is>
      </c>
      <c r="B1134" s="1" t="n">
        <v>45447</v>
      </c>
      <c r="C1134" s="1" t="n">
        <v>46161</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15060-2023</t>
        </is>
      </c>
      <c r="B1135" s="1" t="n">
        <v>45015.69832175926</v>
      </c>
      <c r="C1135" s="1" t="n">
        <v>46161</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4787-2023</t>
        </is>
      </c>
      <c r="B1136" s="1" t="n">
        <v>44957.60079861111</v>
      </c>
      <c r="C1136" s="1" t="n">
        <v>46161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4788-2023</t>
        </is>
      </c>
      <c r="B1137" s="1" t="n">
        <v>44957.60130787037</v>
      </c>
      <c r="C1137" s="1" t="n">
        <v>46161</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34348-2022</t>
        </is>
      </c>
      <c r="B1138" s="1" t="n">
        <v>44792</v>
      </c>
      <c r="C1138" s="1" t="n">
        <v>46161</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45399-2022</t>
        </is>
      </c>
      <c r="B1139" s="1" t="n">
        <v>44844.70513888889</v>
      </c>
      <c r="C1139" s="1" t="n">
        <v>46161</v>
      </c>
      <c r="D1139" t="inlineStr">
        <is>
          <t>SKÅNE LÄN</t>
        </is>
      </c>
      <c r="E1139" t="inlineStr">
        <is>
          <t>HÄSSLEHOLM</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35640-2023</t>
        </is>
      </c>
      <c r="B1140" s="1" t="n">
        <v>45147</v>
      </c>
      <c r="C1140" s="1" t="n">
        <v>46161</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2681-2024</t>
        </is>
      </c>
      <c r="B1141" s="1" t="n">
        <v>45314</v>
      </c>
      <c r="C1141" s="1" t="n">
        <v>46161</v>
      </c>
      <c r="D1141" t="inlineStr">
        <is>
          <t>SKÅNE LÄN</t>
        </is>
      </c>
      <c r="E1141" t="inlineStr">
        <is>
          <t>HÄSSLEHOLM</t>
        </is>
      </c>
      <c r="F1141" t="inlineStr">
        <is>
          <t>Övriga Aktiebolag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27177-2024</t>
        </is>
      </c>
      <c r="B1142" s="1" t="n">
        <v>45471.57201388889</v>
      </c>
      <c r="C1142" s="1" t="n">
        <v>46161</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49219-2024</t>
        </is>
      </c>
      <c r="B1143" s="1" t="n">
        <v>45595.40923611111</v>
      </c>
      <c r="C1143" s="1" t="n">
        <v>46161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13646-2024</t>
        </is>
      </c>
      <c r="B1144" s="1" t="n">
        <v>45387</v>
      </c>
      <c r="C1144" s="1" t="n">
        <v>46161</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4750-2024</t>
        </is>
      </c>
      <c r="B1145" s="1" t="n">
        <v>45328</v>
      </c>
      <c r="C1145" s="1" t="n">
        <v>46161</v>
      </c>
      <c r="D1145" t="inlineStr">
        <is>
          <t>SKÅNE LÄN</t>
        </is>
      </c>
      <c r="E1145" t="inlineStr">
        <is>
          <t>HÄSSLEHOLM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58891-2022</t>
        </is>
      </c>
      <c r="B1146" s="1" t="n">
        <v>44896</v>
      </c>
      <c r="C1146" s="1" t="n">
        <v>46161</v>
      </c>
      <c r="D1146" t="inlineStr">
        <is>
          <t>SKÅNE LÄN</t>
        </is>
      </c>
      <c r="E1146" t="inlineStr">
        <is>
          <t>HÄSSLEHOLM</t>
        </is>
      </c>
      <c r="F1146" t="inlineStr">
        <is>
          <t>Kyrkan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36568-2024</t>
        </is>
      </c>
      <c r="B1147" s="1" t="n">
        <v>45537</v>
      </c>
      <c r="C1147" s="1" t="n">
        <v>46161</v>
      </c>
      <c r="D1147" t="inlineStr">
        <is>
          <t>SKÅNE LÄN</t>
        </is>
      </c>
      <c r="E1147" t="inlineStr">
        <is>
          <t>HÄSSLEHOLM</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9323-2025</t>
        </is>
      </c>
      <c r="B1148" s="1" t="n">
        <v>45714.73532407408</v>
      </c>
      <c r="C1148" s="1" t="n">
        <v>46161</v>
      </c>
      <c r="D1148" t="inlineStr">
        <is>
          <t>SKÅNE LÄN</t>
        </is>
      </c>
      <c r="E1148" t="inlineStr">
        <is>
          <t>HÄSSLEHOLM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19593-2023</t>
        </is>
      </c>
      <c r="B1149" s="1" t="n">
        <v>45050.75895833333</v>
      </c>
      <c r="C1149" s="1" t="n">
        <v>46161</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16017-2023</t>
        </is>
      </c>
      <c r="B1150" s="1" t="n">
        <v>45026</v>
      </c>
      <c r="C1150" s="1" t="n">
        <v>46161</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524-2024</t>
        </is>
      </c>
      <c r="B1151" s="1" t="n">
        <v>45299</v>
      </c>
      <c r="C1151" s="1" t="n">
        <v>46161</v>
      </c>
      <c r="D1151" t="inlineStr">
        <is>
          <t>SKÅNE LÄN</t>
        </is>
      </c>
      <c r="E1151" t="inlineStr">
        <is>
          <t>HÄSSLEHOLM</t>
        </is>
      </c>
      <c r="G1151" t="n">
        <v>29.4</v>
      </c>
      <c r="H1151" t="n">
        <v>0</v>
      </c>
      <c r="I1151" t="n">
        <v>0</v>
      </c>
      <c r="J1151" t="n">
        <v>0</v>
      </c>
      <c r="K1151" t="n">
        <v>0</v>
      </c>
      <c r="L1151" t="n">
        <v>0</v>
      </c>
      <c r="M1151" t="n">
        <v>0</v>
      </c>
      <c r="N1151" t="n">
        <v>0</v>
      </c>
      <c r="O1151" t="n">
        <v>0</v>
      </c>
      <c r="P1151" t="n">
        <v>0</v>
      </c>
      <c r="Q1151" t="n">
        <v>0</v>
      </c>
      <c r="R1151" s="2" t="inlineStr"/>
    </row>
    <row r="1152" ht="15" customHeight="1">
      <c r="A1152" t="inlineStr">
        <is>
          <t>A 9394-2025</t>
        </is>
      </c>
      <c r="B1152" s="1" t="n">
        <v>45715.36387731481</v>
      </c>
      <c r="C1152" s="1" t="n">
        <v>46161</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39223-2024</t>
        </is>
      </c>
      <c r="B1153" s="1" t="n">
        <v>45550</v>
      </c>
      <c r="C1153" s="1" t="n">
        <v>46161</v>
      </c>
      <c r="D1153" t="inlineStr">
        <is>
          <t>SKÅNE LÄN</t>
        </is>
      </c>
      <c r="E1153" t="inlineStr">
        <is>
          <t>HÄSSLEHOLM</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27304-2023</t>
        </is>
      </c>
      <c r="B1154" s="1" t="n">
        <v>45096.65199074074</v>
      </c>
      <c r="C1154" s="1" t="n">
        <v>46161</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22693-2022</t>
        </is>
      </c>
      <c r="B1155" s="1" t="n">
        <v>44714.54729166667</v>
      </c>
      <c r="C1155" s="1" t="n">
        <v>46161</v>
      </c>
      <c r="D1155" t="inlineStr">
        <is>
          <t>SKÅNE LÄN</t>
        </is>
      </c>
      <c r="E1155" t="inlineStr">
        <is>
          <t>HÄSSLEHOLM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15104-2023</t>
        </is>
      </c>
      <c r="B1156" s="1" t="n">
        <v>45016.40576388889</v>
      </c>
      <c r="C1156" s="1" t="n">
        <v>46161</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12507-2022</t>
        </is>
      </c>
      <c r="B1157" s="1" t="n">
        <v>44638</v>
      </c>
      <c r="C1157" s="1" t="n">
        <v>46161</v>
      </c>
      <c r="D1157" t="inlineStr">
        <is>
          <t>SKÅNE LÄN</t>
        </is>
      </c>
      <c r="E1157" t="inlineStr">
        <is>
          <t>HÄSSLEHOLM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2597-2024</t>
        </is>
      </c>
      <c r="B1158" s="1" t="n">
        <v>45313</v>
      </c>
      <c r="C1158" s="1" t="n">
        <v>46161</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3531-2023</t>
        </is>
      </c>
      <c r="B1159" s="1" t="n">
        <v>44950</v>
      </c>
      <c r="C1159" s="1" t="n">
        <v>46161</v>
      </c>
      <c r="D1159" t="inlineStr">
        <is>
          <t>SKÅNE LÄN</t>
        </is>
      </c>
      <c r="E1159" t="inlineStr">
        <is>
          <t>HÄSSLEHOLM</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15417-2022</t>
        </is>
      </c>
      <c r="B1160" s="1" t="n">
        <v>44659</v>
      </c>
      <c r="C1160" s="1" t="n">
        <v>46161</v>
      </c>
      <c r="D1160" t="inlineStr">
        <is>
          <t>SKÅNE LÄN</t>
        </is>
      </c>
      <c r="E1160" t="inlineStr">
        <is>
          <t>HÄSSLEHOLM</t>
        </is>
      </c>
      <c r="F1160" t="inlineStr">
        <is>
          <t>Kyrkan</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44262-2021</t>
        </is>
      </c>
      <c r="B1161" s="1" t="n">
        <v>44434</v>
      </c>
      <c r="C1161" s="1" t="n">
        <v>46161</v>
      </c>
      <c r="D1161" t="inlineStr">
        <is>
          <t>SKÅNE LÄN</t>
        </is>
      </c>
      <c r="E1161" t="inlineStr">
        <is>
          <t>HÄSSLEHOLM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50659-2023</t>
        </is>
      </c>
      <c r="B1162" s="1" t="n">
        <v>45217</v>
      </c>
      <c r="C1162" s="1" t="n">
        <v>46161</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67801-2021</t>
        </is>
      </c>
      <c r="B1163" s="1" t="n">
        <v>44525</v>
      </c>
      <c r="C1163" s="1" t="n">
        <v>46161</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2144-2023</t>
        </is>
      </c>
      <c r="B1164" s="1" t="n">
        <v>44940.79054398148</v>
      </c>
      <c r="C1164" s="1" t="n">
        <v>46161</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37141-2021</t>
        </is>
      </c>
      <c r="B1165" s="1" t="n">
        <v>44396</v>
      </c>
      <c r="C1165" s="1" t="n">
        <v>46161</v>
      </c>
      <c r="D1165" t="inlineStr">
        <is>
          <t>SKÅNE LÄN</t>
        </is>
      </c>
      <c r="E1165" t="inlineStr">
        <is>
          <t>HÄSSLEHOLM</t>
        </is>
      </c>
      <c r="G1165" t="n">
        <v>12.8</v>
      </c>
      <c r="H1165" t="n">
        <v>0</v>
      </c>
      <c r="I1165" t="n">
        <v>0</v>
      </c>
      <c r="J1165" t="n">
        <v>0</v>
      </c>
      <c r="K1165" t="n">
        <v>0</v>
      </c>
      <c r="L1165" t="n">
        <v>0</v>
      </c>
      <c r="M1165" t="n">
        <v>0</v>
      </c>
      <c r="N1165" t="n">
        <v>0</v>
      </c>
      <c r="O1165" t="n">
        <v>0</v>
      </c>
      <c r="P1165" t="n">
        <v>0</v>
      </c>
      <c r="Q1165" t="n">
        <v>0</v>
      </c>
      <c r="R1165" s="2" t="inlineStr"/>
    </row>
    <row r="1166" ht="15" customHeight="1">
      <c r="A1166" t="inlineStr">
        <is>
          <t>A 7202-2022</t>
        </is>
      </c>
      <c r="B1166" s="1" t="n">
        <v>44606</v>
      </c>
      <c r="C1166" s="1" t="n">
        <v>46161</v>
      </c>
      <c r="D1166" t="inlineStr">
        <is>
          <t>SKÅNE LÄN</t>
        </is>
      </c>
      <c r="E1166" t="inlineStr">
        <is>
          <t>HÄSSLEHOLM</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21494-2023</t>
        </is>
      </c>
      <c r="B1167" s="1" t="n">
        <v>45063</v>
      </c>
      <c r="C1167" s="1" t="n">
        <v>46161</v>
      </c>
      <c r="D1167" t="inlineStr">
        <is>
          <t>SKÅNE LÄN</t>
        </is>
      </c>
      <c r="E1167" t="inlineStr">
        <is>
          <t>HÄSSLEHOLM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21495-2023</t>
        </is>
      </c>
      <c r="B1168" s="1" t="n">
        <v>45063</v>
      </c>
      <c r="C1168" s="1" t="n">
        <v>46161</v>
      </c>
      <c r="D1168" t="inlineStr">
        <is>
          <t>SKÅNE LÄN</t>
        </is>
      </c>
      <c r="E1168" t="inlineStr">
        <is>
          <t>HÄSSLEHOLM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62167-2022</t>
        </is>
      </c>
      <c r="B1169" s="1" t="n">
        <v>44915</v>
      </c>
      <c r="C1169" s="1" t="n">
        <v>46161</v>
      </c>
      <c r="D1169" t="inlineStr">
        <is>
          <t>SKÅNE LÄN</t>
        </is>
      </c>
      <c r="E1169" t="inlineStr">
        <is>
          <t>HÄSSLEHOLM</t>
        </is>
      </c>
      <c r="F1169" t="inlineStr">
        <is>
          <t>Kyrkan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62234-2022</t>
        </is>
      </c>
      <c r="B1170" s="1" t="n">
        <v>44922</v>
      </c>
      <c r="C1170" s="1" t="n">
        <v>46161</v>
      </c>
      <c r="D1170" t="inlineStr">
        <is>
          <t>SKÅNE LÄN</t>
        </is>
      </c>
      <c r="E1170" t="inlineStr">
        <is>
          <t>HÄSSLEHOLM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34299-2024</t>
        </is>
      </c>
      <c r="B1171" s="1" t="n">
        <v>45524</v>
      </c>
      <c r="C1171" s="1" t="n">
        <v>46161</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9697-2023</t>
        </is>
      </c>
      <c r="B1172" s="1" t="n">
        <v>44984</v>
      </c>
      <c r="C1172" s="1" t="n">
        <v>46161</v>
      </c>
      <c r="D1172" t="inlineStr">
        <is>
          <t>SKÅNE LÄN</t>
        </is>
      </c>
      <c r="E1172" t="inlineStr">
        <is>
          <t>HÄSSLEHOLM</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42232-2022</t>
        </is>
      </c>
      <c r="B1173" s="1" t="n">
        <v>44830.77591435185</v>
      </c>
      <c r="C1173" s="1" t="n">
        <v>46161</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37038-2022</t>
        </is>
      </c>
      <c r="B1174" s="1" t="n">
        <v>44806.44232638889</v>
      </c>
      <c r="C1174" s="1" t="n">
        <v>46161</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5894-2023</t>
        </is>
      </c>
      <c r="B1175" s="1" t="n">
        <v>44963.65148148148</v>
      </c>
      <c r="C1175" s="1" t="n">
        <v>46161</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9502-2023</t>
        </is>
      </c>
      <c r="B1176" s="1" t="n">
        <v>44981.63278935185</v>
      </c>
      <c r="C1176" s="1" t="n">
        <v>46161</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48046-2023</t>
        </is>
      </c>
      <c r="B1177" s="1" t="n">
        <v>45204.85201388889</v>
      </c>
      <c r="C1177" s="1" t="n">
        <v>46161</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46161</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1538-2024</t>
        </is>
      </c>
      <c r="B1179" s="1" t="n">
        <v>45306</v>
      </c>
      <c r="C1179" s="1" t="n">
        <v>46161</v>
      </c>
      <c r="D1179" t="inlineStr">
        <is>
          <t>SKÅNE LÄN</t>
        </is>
      </c>
      <c r="E1179" t="inlineStr">
        <is>
          <t>HÄSSLEHOLM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3135-2023</t>
        </is>
      </c>
      <c r="B1180" s="1" t="n">
        <v>44946.51672453704</v>
      </c>
      <c r="C1180" s="1" t="n">
        <v>46161</v>
      </c>
      <c r="D1180" t="inlineStr">
        <is>
          <t>SKÅNE LÄN</t>
        </is>
      </c>
      <c r="E1180" t="inlineStr">
        <is>
          <t>HÄSSLEHOLM</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34342-2021</t>
        </is>
      </c>
      <c r="B1181" s="1" t="n">
        <v>44379</v>
      </c>
      <c r="C1181" s="1" t="n">
        <v>46161</v>
      </c>
      <c r="D1181" t="inlineStr">
        <is>
          <t>SKÅNE LÄN</t>
        </is>
      </c>
      <c r="E1181" t="inlineStr">
        <is>
          <t>HÄSSLEHOLM</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3507-2024</t>
        </is>
      </c>
      <c r="B1182" s="1" t="n">
        <v>45320.4906712963</v>
      </c>
      <c r="C1182" s="1" t="n">
        <v>46161</v>
      </c>
      <c r="D1182" t="inlineStr">
        <is>
          <t>SKÅNE LÄN</t>
        </is>
      </c>
      <c r="E1182" t="inlineStr">
        <is>
          <t>HÄSSLEHOLM</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49111-2023</t>
        </is>
      </c>
      <c r="B1183" s="1" t="n">
        <v>45210.44464120371</v>
      </c>
      <c r="C1183" s="1" t="n">
        <v>46161</v>
      </c>
      <c r="D1183" t="inlineStr">
        <is>
          <t>SKÅNE LÄN</t>
        </is>
      </c>
      <c r="E1183" t="inlineStr">
        <is>
          <t>HÄSSLEHOLM</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61178-2022</t>
        </is>
      </c>
      <c r="B1184" s="1" t="n">
        <v>44915</v>
      </c>
      <c r="C1184" s="1" t="n">
        <v>46161</v>
      </c>
      <c r="D1184" t="inlineStr">
        <is>
          <t>SKÅNE LÄN</t>
        </is>
      </c>
      <c r="E1184" t="inlineStr">
        <is>
          <t>HÄSSLEHOLM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61185-2022</t>
        </is>
      </c>
      <c r="B1185" s="1" t="n">
        <v>44915</v>
      </c>
      <c r="C1185" s="1" t="n">
        <v>46161</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58915-2023</t>
        </is>
      </c>
      <c r="B1186" s="1" t="n">
        <v>45250</v>
      </c>
      <c r="C1186" s="1" t="n">
        <v>46161</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15508-2023</t>
        </is>
      </c>
      <c r="B1187" s="1" t="n">
        <v>45020.50045138889</v>
      </c>
      <c r="C1187" s="1" t="n">
        <v>46161</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61934-2023</t>
        </is>
      </c>
      <c r="B1188" s="1" t="n">
        <v>45266.54125</v>
      </c>
      <c r="C1188" s="1" t="n">
        <v>46161</v>
      </c>
      <c r="D1188" t="inlineStr">
        <is>
          <t>SKÅNE LÄN</t>
        </is>
      </c>
      <c r="E1188" t="inlineStr">
        <is>
          <t>HÄSSLEHOLM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11715-2023</t>
        </is>
      </c>
      <c r="B1189" s="1" t="n">
        <v>44992</v>
      </c>
      <c r="C1189" s="1" t="n">
        <v>46161</v>
      </c>
      <c r="D1189" t="inlineStr">
        <is>
          <t>SKÅNE LÄN</t>
        </is>
      </c>
      <c r="E1189" t="inlineStr">
        <is>
          <t>HÄSSLEHOLM</t>
        </is>
      </c>
      <c r="F1189" t="inlineStr">
        <is>
          <t>Övriga Aktiebolag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38888-2023</t>
        </is>
      </c>
      <c r="B1190" s="1" t="n">
        <v>45161</v>
      </c>
      <c r="C1190" s="1" t="n">
        <v>46161</v>
      </c>
      <c r="D1190" t="inlineStr">
        <is>
          <t>SKÅNE LÄN</t>
        </is>
      </c>
      <c r="E1190" t="inlineStr">
        <is>
          <t>HÄSSLEHOLM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59030-2024</t>
        </is>
      </c>
      <c r="B1191" s="1" t="n">
        <v>45636.68916666666</v>
      </c>
      <c r="C1191" s="1" t="n">
        <v>46161</v>
      </c>
      <c r="D1191" t="inlineStr">
        <is>
          <t>SKÅNE LÄN</t>
        </is>
      </c>
      <c r="E1191" t="inlineStr">
        <is>
          <t>HÄSSLEHOLM</t>
        </is>
      </c>
      <c r="G1191" t="n">
        <v>1.5</v>
      </c>
      <c r="H1191" t="n">
        <v>0</v>
      </c>
      <c r="I1191" t="n">
        <v>0</v>
      </c>
      <c r="J1191" t="n">
        <v>0</v>
      </c>
      <c r="K1191" t="n">
        <v>0</v>
      </c>
      <c r="L1191" t="n">
        <v>0</v>
      </c>
      <c r="M1191" t="n">
        <v>0</v>
      </c>
      <c r="N1191" t="n">
        <v>0</v>
      </c>
      <c r="O1191" t="n">
        <v>0</v>
      </c>
      <c r="P1191" t="n">
        <v>0</v>
      </c>
      <c r="Q1191" t="n">
        <v>0</v>
      </c>
      <c r="R1191" s="2" t="inlineStr"/>
    </row>
    <row r="1192">
      <c r="A1192" t="inlineStr">
        <is>
          <t>A 48663-2024</t>
        </is>
      </c>
      <c r="B1192" s="1" t="n">
        <v>45593.48892361111</v>
      </c>
      <c r="C1192" s="1" t="n">
        <v>46161</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2026-05-19T10:57:26Z</dcterms:created>
  <dcterms:modified xmlns:dcterms="http://purl.org/dc/terms/" xmlns:xsi="http://www.w3.org/2001/XMLSchema-instance" xsi:type="dcterms:W3CDTF">2026-05-19T10:57:27Z</dcterms:modified>
</cp:coreProperties>
</file>