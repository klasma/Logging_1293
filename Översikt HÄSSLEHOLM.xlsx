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45922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45922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45922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45922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45922</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45922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45922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45922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28736-2025</t>
        </is>
      </c>
      <c r="B15" s="1" t="n">
        <v>45820.3816087963</v>
      </c>
      <c r="C15" s="1" t="n">
        <v>45922</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45922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45922</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2194-2025</t>
        </is>
      </c>
      <c r="B18" s="1" t="n">
        <v>45673.380625</v>
      </c>
      <c r="C18" s="1" t="n">
        <v>45922</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13705-2022</t>
        </is>
      </c>
      <c r="B19" s="1" t="n">
        <v>44648</v>
      </c>
      <c r="C19" s="1" t="n">
        <v>45922</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45922</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54523-2024</t>
        </is>
      </c>
      <c r="B21" s="1" t="n">
        <v>45617</v>
      </c>
      <c r="C21" s="1" t="n">
        <v>45922</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9289-2025</t>
        </is>
      </c>
      <c r="B22" s="1" t="n">
        <v>45714</v>
      </c>
      <c r="C22" s="1" t="n">
        <v>45922</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27390-2025</t>
        </is>
      </c>
      <c r="B23" s="1" t="n">
        <v>45812.67840277778</v>
      </c>
      <c r="C23" s="1" t="n">
        <v>45922</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4619-2025</t>
        </is>
      </c>
      <c r="B24" s="1" t="n">
        <v>45687</v>
      </c>
      <c r="C24" s="1" t="n">
        <v>45922</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7862-2024</t>
        </is>
      </c>
      <c r="B25" s="1" t="n">
        <v>45348</v>
      </c>
      <c r="C25" s="1" t="n">
        <v>45922</v>
      </c>
      <c r="D25" t="inlineStr">
        <is>
          <t>SKÅNE LÄN</t>
        </is>
      </c>
      <c r="E25" t="inlineStr">
        <is>
          <t>HÄSSLEHOLM</t>
        </is>
      </c>
      <c r="G25" t="n">
        <v>5</v>
      </c>
      <c r="H25" t="n">
        <v>0</v>
      </c>
      <c r="I25" t="n">
        <v>1</v>
      </c>
      <c r="J25" t="n">
        <v>0</v>
      </c>
      <c r="K25" t="n">
        <v>0</v>
      </c>
      <c r="L25" t="n">
        <v>0</v>
      </c>
      <c r="M25" t="n">
        <v>0</v>
      </c>
      <c r="N25" t="n">
        <v>0</v>
      </c>
      <c r="O25" t="n">
        <v>0</v>
      </c>
      <c r="P25" t="n">
        <v>0</v>
      </c>
      <c r="Q25" t="n">
        <v>1</v>
      </c>
      <c r="R25" s="2" t="inlineStr">
        <is>
          <t>Stor revmossa</t>
        </is>
      </c>
      <c r="S25">
        <f>HYPERLINK("https://klasma.github.io/Logging_1293/artfynd/A 7862-2024 artfynd.xlsx", "A 7862-2024")</f>
        <v/>
      </c>
      <c r="T25">
        <f>HYPERLINK("https://klasma.github.io/Logging_1293/kartor/A 7862-2024 karta.png", "A 7862-2024")</f>
        <v/>
      </c>
      <c r="V25">
        <f>HYPERLINK("https://klasma.github.io/Logging_1293/klagomål/A 7862-2024 FSC-klagomål.docx", "A 7862-2024")</f>
        <v/>
      </c>
      <c r="W25">
        <f>HYPERLINK("https://klasma.github.io/Logging_1293/klagomålsmail/A 7862-2024 FSC-klagomål mail.docx", "A 7862-2024")</f>
        <v/>
      </c>
      <c r="X25">
        <f>HYPERLINK("https://klasma.github.io/Logging_1293/tillsyn/A 7862-2024 tillsynsbegäran.docx", "A 7862-2024")</f>
        <v/>
      </c>
      <c r="Y25">
        <f>HYPERLINK("https://klasma.github.io/Logging_1293/tillsynsmail/A 7862-2024 tillsynsbegäran mail.docx", "A 7862-2024")</f>
        <v/>
      </c>
    </row>
    <row r="26" ht="15" customHeight="1">
      <c r="A26" t="inlineStr">
        <is>
          <t>A 8223-2025</t>
        </is>
      </c>
      <c r="B26" s="1" t="n">
        <v>45708.46127314815</v>
      </c>
      <c r="C26" s="1" t="n">
        <v>45922</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49572-2022</t>
        </is>
      </c>
      <c r="B27" s="1" t="n">
        <v>44862.335</v>
      </c>
      <c r="C27" s="1" t="n">
        <v>45922</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29272-2023</t>
        </is>
      </c>
      <c r="B28" s="1" t="n">
        <v>45105</v>
      </c>
      <c r="C28" s="1" t="n">
        <v>45922</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4725-2025</t>
        </is>
      </c>
      <c r="B29" s="1" t="n">
        <v>45688.42583333333</v>
      </c>
      <c r="C29" s="1" t="n">
        <v>45922</v>
      </c>
      <c r="D29" t="inlineStr">
        <is>
          <t>SKÅNE LÄN</t>
        </is>
      </c>
      <c r="E29" t="inlineStr">
        <is>
          <t>HÄSSLEHOLM</t>
        </is>
      </c>
      <c r="G29" t="n">
        <v>5.5</v>
      </c>
      <c r="H29" t="n">
        <v>1</v>
      </c>
      <c r="I29" t="n">
        <v>0</v>
      </c>
      <c r="J29" t="n">
        <v>0</v>
      </c>
      <c r="K29" t="n">
        <v>0</v>
      </c>
      <c r="L29" t="n">
        <v>0</v>
      </c>
      <c r="M29" t="n">
        <v>0</v>
      </c>
      <c r="N29" t="n">
        <v>0</v>
      </c>
      <c r="O29" t="n">
        <v>0</v>
      </c>
      <c r="P29" t="n">
        <v>0</v>
      </c>
      <c r="Q29" t="n">
        <v>1</v>
      </c>
      <c r="R29" s="2" t="inlineStr">
        <is>
          <t>Grönvit nattviol</t>
        </is>
      </c>
      <c r="S29">
        <f>HYPERLINK("https://klasma.github.io/Logging_1293/artfynd/A 4725-2025 artfynd.xlsx", "A 4725-2025")</f>
        <v/>
      </c>
      <c r="T29">
        <f>HYPERLINK("https://klasma.github.io/Logging_1293/kartor/A 4725-2025 karta.png", "A 4725-2025")</f>
        <v/>
      </c>
      <c r="V29">
        <f>HYPERLINK("https://klasma.github.io/Logging_1293/klagomål/A 4725-2025 FSC-klagomål.docx", "A 4725-2025")</f>
        <v/>
      </c>
      <c r="W29">
        <f>HYPERLINK("https://klasma.github.io/Logging_1293/klagomålsmail/A 4725-2025 FSC-klagomål mail.docx", "A 4725-2025")</f>
        <v/>
      </c>
      <c r="X29">
        <f>HYPERLINK("https://klasma.github.io/Logging_1293/tillsyn/A 4725-2025 tillsynsbegäran.docx", "A 4725-2025")</f>
        <v/>
      </c>
      <c r="Y29">
        <f>HYPERLINK("https://klasma.github.io/Logging_1293/tillsynsmail/A 4725-2025 tillsynsbegäran mail.docx", "A 4725-2025")</f>
        <v/>
      </c>
    </row>
    <row r="30" ht="15" customHeight="1">
      <c r="A30" t="inlineStr">
        <is>
          <t>A 14933-2023</t>
        </is>
      </c>
      <c r="B30" s="1" t="n">
        <v>45014</v>
      </c>
      <c r="C30" s="1" t="n">
        <v>45922</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40613-2025</t>
        </is>
      </c>
      <c r="B31" s="1" t="n">
        <v>45896</v>
      </c>
      <c r="C31" s="1" t="n">
        <v>45922</v>
      </c>
      <c r="D31" t="inlineStr">
        <is>
          <t>SKÅNE LÄN</t>
        </is>
      </c>
      <c r="E31" t="inlineStr">
        <is>
          <t>HÄSSLEHOLM</t>
        </is>
      </c>
      <c r="F31" t="inlineStr">
        <is>
          <t>Kyrkan</t>
        </is>
      </c>
      <c r="G31" t="n">
        <v>3.4</v>
      </c>
      <c r="H31" t="n">
        <v>1</v>
      </c>
      <c r="I31" t="n">
        <v>0</v>
      </c>
      <c r="J31" t="n">
        <v>0</v>
      </c>
      <c r="K31" t="n">
        <v>0</v>
      </c>
      <c r="L31" t="n">
        <v>0</v>
      </c>
      <c r="M31" t="n">
        <v>0</v>
      </c>
      <c r="N31" t="n">
        <v>0</v>
      </c>
      <c r="O31" t="n">
        <v>0</v>
      </c>
      <c r="P31" t="n">
        <v>0</v>
      </c>
      <c r="Q31" t="n">
        <v>1</v>
      </c>
      <c r="R31" s="2" t="inlineStr">
        <is>
          <t>Revlummer</t>
        </is>
      </c>
      <c r="S31">
        <f>HYPERLINK("https://klasma.github.io/Logging_1293/artfynd/A 40613-2025 artfynd.xlsx", "A 40613-2025")</f>
        <v/>
      </c>
      <c r="T31">
        <f>HYPERLINK("https://klasma.github.io/Logging_1293/kartor/A 40613-2025 karta.png", "A 40613-2025")</f>
        <v/>
      </c>
      <c r="V31">
        <f>HYPERLINK("https://klasma.github.io/Logging_1293/klagomål/A 40613-2025 FSC-klagomål.docx", "A 40613-2025")</f>
        <v/>
      </c>
      <c r="W31">
        <f>HYPERLINK("https://klasma.github.io/Logging_1293/klagomålsmail/A 40613-2025 FSC-klagomål mail.docx", "A 40613-2025")</f>
        <v/>
      </c>
      <c r="X31">
        <f>HYPERLINK("https://klasma.github.io/Logging_1293/tillsyn/A 40613-2025 tillsynsbegäran.docx", "A 40613-2025")</f>
        <v/>
      </c>
      <c r="Y31">
        <f>HYPERLINK("https://klasma.github.io/Logging_1293/tillsynsmail/A 40613-2025 tillsynsbegäran mail.docx", "A 40613-2025")</f>
        <v/>
      </c>
    </row>
    <row r="32" ht="15" customHeight="1">
      <c r="A32" t="inlineStr">
        <is>
          <t>A 20280-2025</t>
        </is>
      </c>
      <c r="B32" s="1" t="n">
        <v>45774.38790509259</v>
      </c>
      <c r="C32" s="1" t="n">
        <v>45922</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16107-2025</t>
        </is>
      </c>
      <c r="B33" s="1" t="n">
        <v>45750.34537037037</v>
      </c>
      <c r="C33" s="1" t="n">
        <v>45922</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36690-2025</t>
        </is>
      </c>
      <c r="B34" s="1" t="n">
        <v>45873.42915509259</v>
      </c>
      <c r="C34" s="1" t="n">
        <v>45922</v>
      </c>
      <c r="D34" t="inlineStr">
        <is>
          <t>SKÅNE LÄN</t>
        </is>
      </c>
      <c r="E34" t="inlineStr">
        <is>
          <t>HÄSSLEHOLM</t>
        </is>
      </c>
      <c r="G34" t="n">
        <v>3.6</v>
      </c>
      <c r="H34" t="n">
        <v>0</v>
      </c>
      <c r="I34" t="n">
        <v>0</v>
      </c>
      <c r="J34" t="n">
        <v>0</v>
      </c>
      <c r="K34" t="n">
        <v>0</v>
      </c>
      <c r="L34" t="n">
        <v>1</v>
      </c>
      <c r="M34" t="n">
        <v>0</v>
      </c>
      <c r="N34" t="n">
        <v>0</v>
      </c>
      <c r="O34" t="n">
        <v>1</v>
      </c>
      <c r="P34" t="n">
        <v>1</v>
      </c>
      <c r="Q34" t="n">
        <v>1</v>
      </c>
      <c r="R34" s="2" t="inlineStr">
        <is>
          <t>Ask</t>
        </is>
      </c>
      <c r="S34">
        <f>HYPERLINK("https://klasma.github.io/Logging_1293/artfynd/A 36690-2025 artfynd.xlsx", "A 36690-2025")</f>
        <v/>
      </c>
      <c r="T34">
        <f>HYPERLINK("https://klasma.github.io/Logging_1293/kartor/A 36690-2025 karta.png", "A 36690-2025")</f>
        <v/>
      </c>
      <c r="V34">
        <f>HYPERLINK("https://klasma.github.io/Logging_1293/klagomål/A 36690-2025 FSC-klagomål.docx", "A 36690-2025")</f>
        <v/>
      </c>
      <c r="W34">
        <f>HYPERLINK("https://klasma.github.io/Logging_1293/klagomålsmail/A 36690-2025 FSC-klagomål mail.docx", "A 36690-2025")</f>
        <v/>
      </c>
      <c r="X34">
        <f>HYPERLINK("https://klasma.github.io/Logging_1293/tillsyn/A 36690-2025 tillsynsbegäran.docx", "A 36690-2025")</f>
        <v/>
      </c>
      <c r="Y34">
        <f>HYPERLINK("https://klasma.github.io/Logging_1293/tillsynsmail/A 36690-2025 tillsynsbegäran mail.docx", "A 36690-2025")</f>
        <v/>
      </c>
    </row>
    <row r="35" ht="15" customHeight="1">
      <c r="A35" t="inlineStr">
        <is>
          <t>A 46602-2023</t>
        </is>
      </c>
      <c r="B35" s="1" t="n">
        <v>45194</v>
      </c>
      <c r="C35" s="1" t="n">
        <v>45922</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45922</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45922</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45922</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45922</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45922</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45922</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45922</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45922</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45922</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45922</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45922</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54081-2020</t>
        </is>
      </c>
      <c r="B47" s="1" t="n">
        <v>44125.61782407408</v>
      </c>
      <c r="C47" s="1" t="n">
        <v>45922</v>
      </c>
      <c r="D47" t="inlineStr">
        <is>
          <t>SKÅNE LÄN</t>
        </is>
      </c>
      <c r="E47" t="inlineStr">
        <is>
          <t>HÄSSLEHOLM</t>
        </is>
      </c>
      <c r="G47" t="n">
        <v>0.2</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45922</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45922</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45922</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45922</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45922</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45922</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45922</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45922</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45922</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45922</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45922</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45922</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1445-2021</t>
        </is>
      </c>
      <c r="B60" s="1" t="n">
        <v>44208</v>
      </c>
      <c r="C60" s="1" t="n">
        <v>45922</v>
      </c>
      <c r="D60" t="inlineStr">
        <is>
          <t>SKÅNE LÄN</t>
        </is>
      </c>
      <c r="E60" t="inlineStr">
        <is>
          <t>HÄSSLEHOLM</t>
        </is>
      </c>
      <c r="G60" t="n">
        <v>4.6</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45922</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74476-2021</t>
        </is>
      </c>
      <c r="B62" s="1" t="n">
        <v>44560.55796296296</v>
      </c>
      <c r="C62" s="1" t="n">
        <v>45922</v>
      </c>
      <c r="D62" t="inlineStr">
        <is>
          <t>SKÅNE LÄN</t>
        </is>
      </c>
      <c r="E62" t="inlineStr">
        <is>
          <t>HÄSSLEHOLM</t>
        </is>
      </c>
      <c r="G62" t="n">
        <v>0.4</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45922</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45922</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45922</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45922</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45922</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3483-2021</t>
        </is>
      </c>
      <c r="B68" s="1" t="n">
        <v>44218</v>
      </c>
      <c r="C68" s="1" t="n">
        <v>45922</v>
      </c>
      <c r="D68" t="inlineStr">
        <is>
          <t>SKÅNE LÄN</t>
        </is>
      </c>
      <c r="E68" t="inlineStr">
        <is>
          <t>HÄSSLEHOLM</t>
        </is>
      </c>
      <c r="G68" t="n">
        <v>2.1</v>
      </c>
      <c r="H68" t="n">
        <v>0</v>
      </c>
      <c r="I68" t="n">
        <v>0</v>
      </c>
      <c r="J68" t="n">
        <v>0</v>
      </c>
      <c r="K68" t="n">
        <v>0</v>
      </c>
      <c r="L68" t="n">
        <v>0</v>
      </c>
      <c r="M68" t="n">
        <v>0</v>
      </c>
      <c r="N68" t="n">
        <v>0</v>
      </c>
      <c r="O68" t="n">
        <v>0</v>
      </c>
      <c r="P68" t="n">
        <v>0</v>
      </c>
      <c r="Q68" t="n">
        <v>0</v>
      </c>
      <c r="R68" s="2" t="inlineStr"/>
    </row>
    <row r="69" ht="15" customHeight="1">
      <c r="A69" t="inlineStr">
        <is>
          <t>A 35727-2022</t>
        </is>
      </c>
      <c r="B69" s="1" t="n">
        <v>44799.71708333334</v>
      </c>
      <c r="C69" s="1" t="n">
        <v>45922</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45922</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45922</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45922</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45922</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24496-2021</t>
        </is>
      </c>
      <c r="B74" s="1" t="n">
        <v>44337</v>
      </c>
      <c r="C74" s="1" t="n">
        <v>45922</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45922</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45922</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45922</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45922</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23826-2021</t>
        </is>
      </c>
      <c r="B79" s="1" t="n">
        <v>44335</v>
      </c>
      <c r="C79" s="1" t="n">
        <v>45922</v>
      </c>
      <c r="D79" t="inlineStr">
        <is>
          <t>SKÅNE LÄN</t>
        </is>
      </c>
      <c r="E79" t="inlineStr">
        <is>
          <t>HÄSSLEHOLM</t>
        </is>
      </c>
      <c r="G79" t="n">
        <v>6.5</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45922</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58566-2021</t>
        </is>
      </c>
      <c r="B81" s="1" t="n">
        <v>44488.85538194444</v>
      </c>
      <c r="C81" s="1" t="n">
        <v>45922</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58564-2021</t>
        </is>
      </c>
      <c r="B82" s="1" t="n">
        <v>44488.84940972222</v>
      </c>
      <c r="C82" s="1" t="n">
        <v>45922</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56502-2021</t>
        </is>
      </c>
      <c r="B83" s="1" t="n">
        <v>44480</v>
      </c>
      <c r="C83" s="1" t="n">
        <v>45922</v>
      </c>
      <c r="D83" t="inlineStr">
        <is>
          <t>SKÅNE LÄN</t>
        </is>
      </c>
      <c r="E83" t="inlineStr">
        <is>
          <t>HÄSSLEHOLM</t>
        </is>
      </c>
      <c r="F83" t="inlineStr">
        <is>
          <t>Kyrkan</t>
        </is>
      </c>
      <c r="G83" t="n">
        <v>13.8</v>
      </c>
      <c r="H83" t="n">
        <v>0</v>
      </c>
      <c r="I83" t="n">
        <v>0</v>
      </c>
      <c r="J83" t="n">
        <v>0</v>
      </c>
      <c r="K83" t="n">
        <v>0</v>
      </c>
      <c r="L83" t="n">
        <v>0</v>
      </c>
      <c r="M83" t="n">
        <v>0</v>
      </c>
      <c r="N83" t="n">
        <v>0</v>
      </c>
      <c r="O83" t="n">
        <v>0</v>
      </c>
      <c r="P83" t="n">
        <v>0</v>
      </c>
      <c r="Q83" t="n">
        <v>0</v>
      </c>
      <c r="R83" s="2" t="inlineStr"/>
    </row>
    <row r="84" ht="15" customHeight="1">
      <c r="A84" t="inlineStr">
        <is>
          <t>A 45284-2021</t>
        </is>
      </c>
      <c r="B84" s="1" t="n">
        <v>44439.65418981481</v>
      </c>
      <c r="C84" s="1" t="n">
        <v>45922</v>
      </c>
      <c r="D84" t="inlineStr">
        <is>
          <t>SKÅNE LÄN</t>
        </is>
      </c>
      <c r="E84" t="inlineStr">
        <is>
          <t>HÄSSLEHOLM</t>
        </is>
      </c>
      <c r="G84" t="n">
        <v>1.6</v>
      </c>
      <c r="H84" t="n">
        <v>0</v>
      </c>
      <c r="I84" t="n">
        <v>0</v>
      </c>
      <c r="J84" t="n">
        <v>0</v>
      </c>
      <c r="K84" t="n">
        <v>0</v>
      </c>
      <c r="L84" t="n">
        <v>0</v>
      </c>
      <c r="M84" t="n">
        <v>0</v>
      </c>
      <c r="N84" t="n">
        <v>0</v>
      </c>
      <c r="O84" t="n">
        <v>0</v>
      </c>
      <c r="P84" t="n">
        <v>0</v>
      </c>
      <c r="Q84" t="n">
        <v>0</v>
      </c>
      <c r="R84" s="2" t="inlineStr"/>
    </row>
    <row r="85" ht="15" customHeight="1">
      <c r="A85" t="inlineStr">
        <is>
          <t>A 8204-2022</t>
        </is>
      </c>
      <c r="B85" s="1" t="n">
        <v>44609.73251157408</v>
      </c>
      <c r="C85" s="1" t="n">
        <v>45922</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48553-2021</t>
        </is>
      </c>
      <c r="B86" s="1" t="n">
        <v>44452.45701388889</v>
      </c>
      <c r="C86" s="1" t="n">
        <v>45922</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3855-2022</t>
        </is>
      </c>
      <c r="B87" s="1" t="n">
        <v>44587</v>
      </c>
      <c r="C87" s="1" t="n">
        <v>45922</v>
      </c>
      <c r="D87" t="inlineStr">
        <is>
          <t>SKÅNE LÄN</t>
        </is>
      </c>
      <c r="E87" t="inlineStr">
        <is>
          <t>HÄSSLEHOLM</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45922</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55364-2022</t>
        </is>
      </c>
      <c r="B89" s="1" t="n">
        <v>44887.50657407408</v>
      </c>
      <c r="C89" s="1" t="n">
        <v>45922</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50618-2021</t>
        </is>
      </c>
      <c r="B90" s="1" t="n">
        <v>44459</v>
      </c>
      <c r="C90" s="1" t="n">
        <v>45922</v>
      </c>
      <c r="D90" t="inlineStr">
        <is>
          <t>SKÅNE LÄN</t>
        </is>
      </c>
      <c r="E90" t="inlineStr">
        <is>
          <t>HÄSSLEHOLM</t>
        </is>
      </c>
      <c r="F90" t="inlineStr">
        <is>
          <t>Kyrkan</t>
        </is>
      </c>
      <c r="G90" t="n">
        <v>15.1</v>
      </c>
      <c r="H90" t="n">
        <v>0</v>
      </c>
      <c r="I90" t="n">
        <v>0</v>
      </c>
      <c r="J90" t="n">
        <v>0</v>
      </c>
      <c r="K90" t="n">
        <v>0</v>
      </c>
      <c r="L90" t="n">
        <v>0</v>
      </c>
      <c r="M90" t="n">
        <v>0</v>
      </c>
      <c r="N90" t="n">
        <v>0</v>
      </c>
      <c r="O90" t="n">
        <v>0</v>
      </c>
      <c r="P90" t="n">
        <v>0</v>
      </c>
      <c r="Q90" t="n">
        <v>0</v>
      </c>
      <c r="R90" s="2" t="inlineStr"/>
    </row>
    <row r="91" ht="15" customHeight="1">
      <c r="A91" t="inlineStr">
        <is>
          <t>A 69419-2021</t>
        </is>
      </c>
      <c r="B91" s="1" t="n">
        <v>44531</v>
      </c>
      <c r="C91" s="1" t="n">
        <v>45922</v>
      </c>
      <c r="D91" t="inlineStr">
        <is>
          <t>SKÅNE LÄN</t>
        </is>
      </c>
      <c r="E91" t="inlineStr">
        <is>
          <t>HÄSSLEHOLM</t>
        </is>
      </c>
      <c r="G91" t="n">
        <v>0.6</v>
      </c>
      <c r="H91" t="n">
        <v>0</v>
      </c>
      <c r="I91" t="n">
        <v>0</v>
      </c>
      <c r="J91" t="n">
        <v>0</v>
      </c>
      <c r="K91" t="n">
        <v>0</v>
      </c>
      <c r="L91" t="n">
        <v>0</v>
      </c>
      <c r="M91" t="n">
        <v>0</v>
      </c>
      <c r="N91" t="n">
        <v>0</v>
      </c>
      <c r="O91" t="n">
        <v>0</v>
      </c>
      <c r="P91" t="n">
        <v>0</v>
      </c>
      <c r="Q91" t="n">
        <v>0</v>
      </c>
      <c r="R91" s="2" t="inlineStr"/>
    </row>
    <row r="92" ht="15" customHeight="1">
      <c r="A92" t="inlineStr">
        <is>
          <t>A 26387-2022</t>
        </is>
      </c>
      <c r="B92" s="1" t="n">
        <v>44735.68328703703</v>
      </c>
      <c r="C92" s="1" t="n">
        <v>45922</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25379-2021</t>
        </is>
      </c>
      <c r="B93" s="1" t="n">
        <v>44342</v>
      </c>
      <c r="C93" s="1" t="n">
        <v>45922</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40764-2022</t>
        </is>
      </c>
      <c r="B94" s="1" t="n">
        <v>44820</v>
      </c>
      <c r="C94" s="1" t="n">
        <v>45922</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48486-2020</t>
        </is>
      </c>
      <c r="B95" s="1" t="n">
        <v>44103.30351851852</v>
      </c>
      <c r="C95" s="1" t="n">
        <v>45922</v>
      </c>
      <c r="D95" t="inlineStr">
        <is>
          <t>SKÅNE LÄN</t>
        </is>
      </c>
      <c r="E95" t="inlineStr">
        <is>
          <t>HÄSSLEHOLM</t>
        </is>
      </c>
      <c r="G95" t="n">
        <v>1.5</v>
      </c>
      <c r="H95" t="n">
        <v>0</v>
      </c>
      <c r="I95" t="n">
        <v>0</v>
      </c>
      <c r="J95" t="n">
        <v>0</v>
      </c>
      <c r="K95" t="n">
        <v>0</v>
      </c>
      <c r="L95" t="n">
        <v>0</v>
      </c>
      <c r="M95" t="n">
        <v>0</v>
      </c>
      <c r="N95" t="n">
        <v>0</v>
      </c>
      <c r="O95" t="n">
        <v>0</v>
      </c>
      <c r="P95" t="n">
        <v>0</v>
      </c>
      <c r="Q95" t="n">
        <v>0</v>
      </c>
      <c r="R95" s="2" t="inlineStr"/>
    </row>
    <row r="96" ht="15" customHeight="1">
      <c r="A96" t="inlineStr">
        <is>
          <t>A 30992-2021</t>
        </is>
      </c>
      <c r="B96" s="1" t="n">
        <v>44366.36262731482</v>
      </c>
      <c r="C96" s="1" t="n">
        <v>45922</v>
      </c>
      <c r="D96" t="inlineStr">
        <is>
          <t>SKÅNE LÄN</t>
        </is>
      </c>
      <c r="E96" t="inlineStr">
        <is>
          <t>HÄSSLEHOLM</t>
        </is>
      </c>
      <c r="G96" t="n">
        <v>3.1</v>
      </c>
      <c r="H96" t="n">
        <v>0</v>
      </c>
      <c r="I96" t="n">
        <v>0</v>
      </c>
      <c r="J96" t="n">
        <v>0</v>
      </c>
      <c r="K96" t="n">
        <v>0</v>
      </c>
      <c r="L96" t="n">
        <v>0</v>
      </c>
      <c r="M96" t="n">
        <v>0</v>
      </c>
      <c r="N96" t="n">
        <v>0</v>
      </c>
      <c r="O96" t="n">
        <v>0</v>
      </c>
      <c r="P96" t="n">
        <v>0</v>
      </c>
      <c r="Q96" t="n">
        <v>0</v>
      </c>
      <c r="R96" s="2" t="inlineStr"/>
    </row>
    <row r="97" ht="15" customHeight="1">
      <c r="A97" t="inlineStr">
        <is>
          <t>A 38160-2021</t>
        </is>
      </c>
      <c r="B97" s="1" t="n">
        <v>44405.42719907407</v>
      </c>
      <c r="C97" s="1" t="n">
        <v>45922</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64361-2020</t>
        </is>
      </c>
      <c r="B98" s="1" t="n">
        <v>44168</v>
      </c>
      <c r="C98" s="1" t="n">
        <v>45922</v>
      </c>
      <c r="D98" t="inlineStr">
        <is>
          <t>SKÅNE LÄN</t>
        </is>
      </c>
      <c r="E98" t="inlineStr">
        <is>
          <t>HÄSSLEHOLM</t>
        </is>
      </c>
      <c r="G98" t="n">
        <v>5.4</v>
      </c>
      <c r="H98" t="n">
        <v>0</v>
      </c>
      <c r="I98" t="n">
        <v>0</v>
      </c>
      <c r="J98" t="n">
        <v>0</v>
      </c>
      <c r="K98" t="n">
        <v>0</v>
      </c>
      <c r="L98" t="n">
        <v>0</v>
      </c>
      <c r="M98" t="n">
        <v>0</v>
      </c>
      <c r="N98" t="n">
        <v>0</v>
      </c>
      <c r="O98" t="n">
        <v>0</v>
      </c>
      <c r="P98" t="n">
        <v>0</v>
      </c>
      <c r="Q98" t="n">
        <v>0</v>
      </c>
      <c r="R98" s="2" t="inlineStr"/>
    </row>
    <row r="99" ht="15" customHeight="1">
      <c r="A99" t="inlineStr">
        <is>
          <t>A 44755-2021</t>
        </is>
      </c>
      <c r="B99" s="1" t="n">
        <v>44438</v>
      </c>
      <c r="C99" s="1" t="n">
        <v>45922</v>
      </c>
      <c r="D99" t="inlineStr">
        <is>
          <t>SKÅNE LÄN</t>
        </is>
      </c>
      <c r="E99" t="inlineStr">
        <is>
          <t>HÄSSLEHOLM</t>
        </is>
      </c>
      <c r="G99" t="n">
        <v>0.3</v>
      </c>
      <c r="H99" t="n">
        <v>0</v>
      </c>
      <c r="I99" t="n">
        <v>0</v>
      </c>
      <c r="J99" t="n">
        <v>0</v>
      </c>
      <c r="K99" t="n">
        <v>0</v>
      </c>
      <c r="L99" t="n">
        <v>0</v>
      </c>
      <c r="M99" t="n">
        <v>0</v>
      </c>
      <c r="N99" t="n">
        <v>0</v>
      </c>
      <c r="O99" t="n">
        <v>0</v>
      </c>
      <c r="P99" t="n">
        <v>0</v>
      </c>
      <c r="Q99" t="n">
        <v>0</v>
      </c>
      <c r="R99" s="2" t="inlineStr"/>
    </row>
    <row r="100" ht="15" customHeight="1">
      <c r="A100" t="inlineStr">
        <is>
          <t>A 44770-2021</t>
        </is>
      </c>
      <c r="B100" s="1" t="n">
        <v>44438</v>
      </c>
      <c r="C100" s="1" t="n">
        <v>45922</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61073-2021</t>
        </is>
      </c>
      <c r="B101" s="1" t="n">
        <v>44497.83447916667</v>
      </c>
      <c r="C101" s="1" t="n">
        <v>45922</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45922</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45922</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45922</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45922</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7857-2022</t>
        </is>
      </c>
      <c r="B106" s="1" t="n">
        <v>44607</v>
      </c>
      <c r="C106" s="1" t="n">
        <v>45922</v>
      </c>
      <c r="D106" t="inlineStr">
        <is>
          <t>SKÅNE LÄN</t>
        </is>
      </c>
      <c r="E106" t="inlineStr">
        <is>
          <t>HÄSSLEHOLM</t>
        </is>
      </c>
      <c r="F106" t="inlineStr">
        <is>
          <t>Kyrkan</t>
        </is>
      </c>
      <c r="G106" t="n">
        <v>12.2</v>
      </c>
      <c r="H106" t="n">
        <v>0</v>
      </c>
      <c r="I106" t="n">
        <v>0</v>
      </c>
      <c r="J106" t="n">
        <v>0</v>
      </c>
      <c r="K106" t="n">
        <v>0</v>
      </c>
      <c r="L106" t="n">
        <v>0</v>
      </c>
      <c r="M106" t="n">
        <v>0</v>
      </c>
      <c r="N106" t="n">
        <v>0</v>
      </c>
      <c r="O106" t="n">
        <v>0</v>
      </c>
      <c r="P106" t="n">
        <v>0</v>
      </c>
      <c r="Q106" t="n">
        <v>0</v>
      </c>
      <c r="R106" s="2" t="inlineStr"/>
    </row>
    <row r="107" ht="15" customHeight="1">
      <c r="A107" t="inlineStr">
        <is>
          <t>A 61072-2021</t>
        </is>
      </c>
      <c r="B107" s="1" t="n">
        <v>44497.83344907407</v>
      </c>
      <c r="C107" s="1" t="n">
        <v>45922</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34982-2022</t>
        </is>
      </c>
      <c r="B108" s="1" t="n">
        <v>44796.69055555556</v>
      </c>
      <c r="C108" s="1" t="n">
        <v>45922</v>
      </c>
      <c r="D108" t="inlineStr">
        <is>
          <t>SKÅNE LÄN</t>
        </is>
      </c>
      <c r="E108" t="inlineStr">
        <is>
          <t>HÄSSLEHOLM</t>
        </is>
      </c>
      <c r="F108" t="inlineStr">
        <is>
          <t>Kyrkan</t>
        </is>
      </c>
      <c r="G108" t="n">
        <v>3.4</v>
      </c>
      <c r="H108" t="n">
        <v>0</v>
      </c>
      <c r="I108" t="n">
        <v>0</v>
      </c>
      <c r="J108" t="n">
        <v>0</v>
      </c>
      <c r="K108" t="n">
        <v>0</v>
      </c>
      <c r="L108" t="n">
        <v>0</v>
      </c>
      <c r="M108" t="n">
        <v>0</v>
      </c>
      <c r="N108" t="n">
        <v>0</v>
      </c>
      <c r="O108" t="n">
        <v>0</v>
      </c>
      <c r="P108" t="n">
        <v>0</v>
      </c>
      <c r="Q108" t="n">
        <v>0</v>
      </c>
      <c r="R108" s="2" t="inlineStr"/>
    </row>
    <row r="109" ht="15" customHeight="1">
      <c r="A109" t="inlineStr">
        <is>
          <t>A 37170-2022</t>
        </is>
      </c>
      <c r="B109" s="1" t="n">
        <v>44806.61038194445</v>
      </c>
      <c r="C109" s="1" t="n">
        <v>45922</v>
      </c>
      <c r="D109" t="inlineStr">
        <is>
          <t>SKÅNE LÄN</t>
        </is>
      </c>
      <c r="E109" t="inlineStr">
        <is>
          <t>HÄSSLEHOLM</t>
        </is>
      </c>
      <c r="F109" t="inlineStr">
        <is>
          <t>Kyrkan</t>
        </is>
      </c>
      <c r="G109" t="n">
        <v>4.5</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45922</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54493-2020</t>
        </is>
      </c>
      <c r="B111" s="1" t="n">
        <v>44126</v>
      </c>
      <c r="C111" s="1" t="n">
        <v>45922</v>
      </c>
      <c r="D111" t="inlineStr">
        <is>
          <t>SKÅNE LÄN</t>
        </is>
      </c>
      <c r="E111" t="inlineStr">
        <is>
          <t>HÄSSLEHOLM</t>
        </is>
      </c>
      <c r="F111" t="inlineStr">
        <is>
          <t>Kyrkan</t>
        </is>
      </c>
      <c r="G111" t="n">
        <v>4.4</v>
      </c>
      <c r="H111" t="n">
        <v>0</v>
      </c>
      <c r="I111" t="n">
        <v>0</v>
      </c>
      <c r="J111" t="n">
        <v>0</v>
      </c>
      <c r="K111" t="n">
        <v>0</v>
      </c>
      <c r="L111" t="n">
        <v>0</v>
      </c>
      <c r="M111" t="n">
        <v>0</v>
      </c>
      <c r="N111" t="n">
        <v>0</v>
      </c>
      <c r="O111" t="n">
        <v>0</v>
      </c>
      <c r="P111" t="n">
        <v>0</v>
      </c>
      <c r="Q111" t="n">
        <v>0</v>
      </c>
      <c r="R111" s="2" t="inlineStr"/>
    </row>
    <row r="112" ht="15" customHeight="1">
      <c r="A112" t="inlineStr">
        <is>
          <t>A 59295-2020</t>
        </is>
      </c>
      <c r="B112" s="1" t="n">
        <v>44147</v>
      </c>
      <c r="C112" s="1" t="n">
        <v>45922</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69103-2020</t>
        </is>
      </c>
      <c r="B113" s="1" t="n">
        <v>44188</v>
      </c>
      <c r="C113" s="1" t="n">
        <v>45922</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45922</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22320-2021</t>
        </is>
      </c>
      <c r="B115" s="1" t="n">
        <v>44323</v>
      </c>
      <c r="C115" s="1" t="n">
        <v>45922</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45922</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6962-2021</t>
        </is>
      </c>
      <c r="B117" s="1" t="n">
        <v>44237</v>
      </c>
      <c r="C117" s="1" t="n">
        <v>45922</v>
      </c>
      <c r="D117" t="inlineStr">
        <is>
          <t>SKÅNE LÄN</t>
        </is>
      </c>
      <c r="E117" t="inlineStr">
        <is>
          <t>HÄSSLEHOLM</t>
        </is>
      </c>
      <c r="G117" t="n">
        <v>4.2</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45922</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44584.41274305555</v>
      </c>
      <c r="C119" s="1" t="n">
        <v>45922</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7522-2021</t>
        </is>
      </c>
      <c r="B120" s="1" t="n">
        <v>44238</v>
      </c>
      <c r="C120" s="1" t="n">
        <v>45922</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8278-2021</t>
        </is>
      </c>
      <c r="B121" s="1" t="n">
        <v>44244</v>
      </c>
      <c r="C121" s="1" t="n">
        <v>45922</v>
      </c>
      <c r="D121" t="inlineStr">
        <is>
          <t>SKÅNE LÄN</t>
        </is>
      </c>
      <c r="E121" t="inlineStr">
        <is>
          <t>HÄSSLEHOLM</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69201-2020</t>
        </is>
      </c>
      <c r="B122" s="1" t="n">
        <v>44191</v>
      </c>
      <c r="C122" s="1" t="n">
        <v>45922</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14054-2021</t>
        </is>
      </c>
      <c r="B123" s="1" t="n">
        <v>44277</v>
      </c>
      <c r="C123" s="1" t="n">
        <v>45922</v>
      </c>
      <c r="D123" t="inlineStr">
        <is>
          <t>SKÅNE LÄN</t>
        </is>
      </c>
      <c r="E123" t="inlineStr">
        <is>
          <t>HÄSSLEHOLM</t>
        </is>
      </c>
      <c r="G123" t="n">
        <v>2</v>
      </c>
      <c r="H123" t="n">
        <v>0</v>
      </c>
      <c r="I123" t="n">
        <v>0</v>
      </c>
      <c r="J123" t="n">
        <v>0</v>
      </c>
      <c r="K123" t="n">
        <v>0</v>
      </c>
      <c r="L123" t="n">
        <v>0</v>
      </c>
      <c r="M123" t="n">
        <v>0</v>
      </c>
      <c r="N123" t="n">
        <v>0</v>
      </c>
      <c r="O123" t="n">
        <v>0</v>
      </c>
      <c r="P123" t="n">
        <v>0</v>
      </c>
      <c r="Q123" t="n">
        <v>0</v>
      </c>
      <c r="R123" s="2" t="inlineStr"/>
    </row>
    <row r="124" ht="15" customHeight="1">
      <c r="A124" t="inlineStr">
        <is>
          <t>A 9257-2021</t>
        </is>
      </c>
      <c r="B124" s="1" t="n">
        <v>44250</v>
      </c>
      <c r="C124" s="1" t="n">
        <v>45922</v>
      </c>
      <c r="D124" t="inlineStr">
        <is>
          <t>SKÅNE LÄN</t>
        </is>
      </c>
      <c r="E124" t="inlineStr">
        <is>
          <t>HÄSSLEHOLM</t>
        </is>
      </c>
      <c r="G124" t="n">
        <v>2.2</v>
      </c>
      <c r="H124" t="n">
        <v>0</v>
      </c>
      <c r="I124" t="n">
        <v>0</v>
      </c>
      <c r="J124" t="n">
        <v>0</v>
      </c>
      <c r="K124" t="n">
        <v>0</v>
      </c>
      <c r="L124" t="n">
        <v>0</v>
      </c>
      <c r="M124" t="n">
        <v>0</v>
      </c>
      <c r="N124" t="n">
        <v>0</v>
      </c>
      <c r="O124" t="n">
        <v>0</v>
      </c>
      <c r="P124" t="n">
        <v>0</v>
      </c>
      <c r="Q124" t="n">
        <v>0</v>
      </c>
      <c r="R124" s="2" t="inlineStr"/>
    </row>
    <row r="125" ht="15" customHeight="1">
      <c r="A125" t="inlineStr">
        <is>
          <t>A 4156-2022</t>
        </is>
      </c>
      <c r="B125" s="1" t="n">
        <v>44588</v>
      </c>
      <c r="C125" s="1" t="n">
        <v>45922</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19449-2021</t>
        </is>
      </c>
      <c r="B126" s="1" t="n">
        <v>44310.88846064815</v>
      </c>
      <c r="C126" s="1" t="n">
        <v>45922</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41581-2021</t>
        </is>
      </c>
      <c r="B127" s="1" t="n">
        <v>44425.40167824074</v>
      </c>
      <c r="C127" s="1" t="n">
        <v>45922</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45922</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45922</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45922</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45922</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45349-2022</t>
        </is>
      </c>
      <c r="B132" s="1" t="n">
        <v>44844.6118287037</v>
      </c>
      <c r="C132" s="1" t="n">
        <v>45922</v>
      </c>
      <c r="D132" t="inlineStr">
        <is>
          <t>SKÅNE LÄN</t>
        </is>
      </c>
      <c r="E132" t="inlineStr">
        <is>
          <t>HÄSSLEHOLM</t>
        </is>
      </c>
      <c r="G132" t="n">
        <v>6.2</v>
      </c>
      <c r="H132" t="n">
        <v>0</v>
      </c>
      <c r="I132" t="n">
        <v>0</v>
      </c>
      <c r="J132" t="n">
        <v>0</v>
      </c>
      <c r="K132" t="n">
        <v>0</v>
      </c>
      <c r="L132" t="n">
        <v>0</v>
      </c>
      <c r="M132" t="n">
        <v>0</v>
      </c>
      <c r="N132" t="n">
        <v>0</v>
      </c>
      <c r="O132" t="n">
        <v>0</v>
      </c>
      <c r="P132" t="n">
        <v>0</v>
      </c>
      <c r="Q132" t="n">
        <v>0</v>
      </c>
      <c r="R132" s="2" t="inlineStr"/>
    </row>
    <row r="133" ht="15" customHeight="1">
      <c r="A133" t="inlineStr">
        <is>
          <t>A 15118-2022</t>
        </is>
      </c>
      <c r="B133" s="1" t="n">
        <v>44659</v>
      </c>
      <c r="C133" s="1" t="n">
        <v>45922</v>
      </c>
      <c r="D133" t="inlineStr">
        <is>
          <t>SKÅNE LÄN</t>
        </is>
      </c>
      <c r="E133" t="inlineStr">
        <is>
          <t>HÄSSLEHOLM</t>
        </is>
      </c>
      <c r="F133" t="inlineStr">
        <is>
          <t>Kyrkan</t>
        </is>
      </c>
      <c r="G133" t="n">
        <v>0.7</v>
      </c>
      <c r="H133" t="n">
        <v>0</v>
      </c>
      <c r="I133" t="n">
        <v>0</v>
      </c>
      <c r="J133" t="n">
        <v>0</v>
      </c>
      <c r="K133" t="n">
        <v>0</v>
      </c>
      <c r="L133" t="n">
        <v>0</v>
      </c>
      <c r="M133" t="n">
        <v>0</v>
      </c>
      <c r="N133" t="n">
        <v>0</v>
      </c>
      <c r="O133" t="n">
        <v>0</v>
      </c>
      <c r="P133" t="n">
        <v>0</v>
      </c>
      <c r="Q133" t="n">
        <v>0</v>
      </c>
      <c r="R133" s="2" t="inlineStr"/>
    </row>
    <row r="134" ht="15" customHeight="1">
      <c r="A134" t="inlineStr">
        <is>
          <t>A 43639-2021</t>
        </is>
      </c>
      <c r="B134" s="1" t="n">
        <v>44433</v>
      </c>
      <c r="C134" s="1" t="n">
        <v>45922</v>
      </c>
      <c r="D134" t="inlineStr">
        <is>
          <t>SKÅNE LÄN</t>
        </is>
      </c>
      <c r="E134" t="inlineStr">
        <is>
          <t>HÄSSLEHOLM</t>
        </is>
      </c>
      <c r="G134" t="n">
        <v>0.4</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45922</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3276-2022</t>
        </is>
      </c>
      <c r="B136" s="1" t="n">
        <v>44584.40916666666</v>
      </c>
      <c r="C136" s="1" t="n">
        <v>45922</v>
      </c>
      <c r="D136" t="inlineStr">
        <is>
          <t>SKÅNE LÄN</t>
        </is>
      </c>
      <c r="E136" t="inlineStr">
        <is>
          <t>HÄSSLEHOLM</t>
        </is>
      </c>
      <c r="G136" t="n">
        <v>0.2</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45922</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52461-2021</t>
        </is>
      </c>
      <c r="B138" s="1" t="n">
        <v>44466</v>
      </c>
      <c r="C138" s="1" t="n">
        <v>45922</v>
      </c>
      <c r="D138" t="inlineStr">
        <is>
          <t>SKÅNE LÄN</t>
        </is>
      </c>
      <c r="E138" t="inlineStr">
        <is>
          <t>HÄSSLEHOLM</t>
        </is>
      </c>
      <c r="G138" t="n">
        <v>2.7</v>
      </c>
      <c r="H138" t="n">
        <v>0</v>
      </c>
      <c r="I138" t="n">
        <v>0</v>
      </c>
      <c r="J138" t="n">
        <v>0</v>
      </c>
      <c r="K138" t="n">
        <v>0</v>
      </c>
      <c r="L138" t="n">
        <v>0</v>
      </c>
      <c r="M138" t="n">
        <v>0</v>
      </c>
      <c r="N138" t="n">
        <v>0</v>
      </c>
      <c r="O138" t="n">
        <v>0</v>
      </c>
      <c r="P138" t="n">
        <v>0</v>
      </c>
      <c r="Q138" t="n">
        <v>0</v>
      </c>
      <c r="R138" s="2" t="inlineStr"/>
    </row>
    <row r="139" ht="15" customHeight="1">
      <c r="A139" t="inlineStr">
        <is>
          <t>A 48212-2020</t>
        </is>
      </c>
      <c r="B139" s="1" t="n">
        <v>44102</v>
      </c>
      <c r="C139" s="1" t="n">
        <v>45922</v>
      </c>
      <c r="D139" t="inlineStr">
        <is>
          <t>SKÅNE LÄN</t>
        </is>
      </c>
      <c r="E139" t="inlineStr">
        <is>
          <t>HÄSSLEHOLM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49786-2020</t>
        </is>
      </c>
      <c r="B140" s="1" t="n">
        <v>44103</v>
      </c>
      <c r="C140" s="1" t="n">
        <v>45922</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2952-2021</t>
        </is>
      </c>
      <c r="B141" s="1" t="n">
        <v>44216</v>
      </c>
      <c r="C141" s="1" t="n">
        <v>45922</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52852-2020</t>
        </is>
      </c>
      <c r="B142" s="1" t="n">
        <v>44119</v>
      </c>
      <c r="C142" s="1" t="n">
        <v>45922</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5564-2022</t>
        </is>
      </c>
      <c r="B143" s="1" t="n">
        <v>44595</v>
      </c>
      <c r="C143" s="1" t="n">
        <v>45922</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37334-2021</t>
        </is>
      </c>
      <c r="B144" s="1" t="n">
        <v>44397.57800925926</v>
      </c>
      <c r="C144" s="1" t="n">
        <v>45922</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20659-2021</t>
        </is>
      </c>
      <c r="B145" s="1" t="n">
        <v>44316</v>
      </c>
      <c r="C145" s="1" t="n">
        <v>45922</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21535-2021</t>
        </is>
      </c>
      <c r="B146" s="1" t="n">
        <v>44321</v>
      </c>
      <c r="C146" s="1" t="n">
        <v>45922</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34027-2021</t>
        </is>
      </c>
      <c r="B147" s="1" t="n">
        <v>44379</v>
      </c>
      <c r="C147" s="1" t="n">
        <v>45922</v>
      </c>
      <c r="D147" t="inlineStr">
        <is>
          <t>SKÅNE LÄN</t>
        </is>
      </c>
      <c r="E147" t="inlineStr">
        <is>
          <t>HÄSSLEHOLM</t>
        </is>
      </c>
      <c r="G147" t="n">
        <v>0.8</v>
      </c>
      <c r="H147" t="n">
        <v>0</v>
      </c>
      <c r="I147" t="n">
        <v>0</v>
      </c>
      <c r="J147" t="n">
        <v>0</v>
      </c>
      <c r="K147" t="n">
        <v>0</v>
      </c>
      <c r="L147" t="n">
        <v>0</v>
      </c>
      <c r="M147" t="n">
        <v>0</v>
      </c>
      <c r="N147" t="n">
        <v>0</v>
      </c>
      <c r="O147" t="n">
        <v>0</v>
      </c>
      <c r="P147" t="n">
        <v>0</v>
      </c>
      <c r="Q147" t="n">
        <v>0</v>
      </c>
      <c r="R147" s="2" t="inlineStr"/>
    </row>
    <row r="148" ht="15" customHeight="1">
      <c r="A148" t="inlineStr">
        <is>
          <t>A 32792-2021</t>
        </is>
      </c>
      <c r="B148" s="1" t="n">
        <v>44375</v>
      </c>
      <c r="C148" s="1" t="n">
        <v>45922</v>
      </c>
      <c r="D148" t="inlineStr">
        <is>
          <t>SKÅNE LÄN</t>
        </is>
      </c>
      <c r="E148" t="inlineStr">
        <is>
          <t>HÄSSLEHOLM</t>
        </is>
      </c>
      <c r="G148" t="n">
        <v>1</v>
      </c>
      <c r="H148" t="n">
        <v>0</v>
      </c>
      <c r="I148" t="n">
        <v>0</v>
      </c>
      <c r="J148" t="n">
        <v>0</v>
      </c>
      <c r="K148" t="n">
        <v>0</v>
      </c>
      <c r="L148" t="n">
        <v>0</v>
      </c>
      <c r="M148" t="n">
        <v>0</v>
      </c>
      <c r="N148" t="n">
        <v>0</v>
      </c>
      <c r="O148" t="n">
        <v>0</v>
      </c>
      <c r="P148" t="n">
        <v>0</v>
      </c>
      <c r="Q148" t="n">
        <v>0</v>
      </c>
      <c r="R148" s="2" t="inlineStr"/>
    </row>
    <row r="149" ht="15" customHeight="1">
      <c r="A149" t="inlineStr">
        <is>
          <t>A 3167-2022</t>
        </is>
      </c>
      <c r="B149" s="1" t="n">
        <v>44582</v>
      </c>
      <c r="C149" s="1" t="n">
        <v>45922</v>
      </c>
      <c r="D149" t="inlineStr">
        <is>
          <t>SKÅNE LÄN</t>
        </is>
      </c>
      <c r="E149" t="inlineStr">
        <is>
          <t>HÄSSLEHOLM</t>
        </is>
      </c>
      <c r="F149" t="inlineStr">
        <is>
          <t>Kommuner</t>
        </is>
      </c>
      <c r="G149" t="n">
        <v>1.5</v>
      </c>
      <c r="H149" t="n">
        <v>0</v>
      </c>
      <c r="I149" t="n">
        <v>0</v>
      </c>
      <c r="J149" t="n">
        <v>0</v>
      </c>
      <c r="K149" t="n">
        <v>0</v>
      </c>
      <c r="L149" t="n">
        <v>0</v>
      </c>
      <c r="M149" t="n">
        <v>0</v>
      </c>
      <c r="N149" t="n">
        <v>0</v>
      </c>
      <c r="O149" t="n">
        <v>0</v>
      </c>
      <c r="P149" t="n">
        <v>0</v>
      </c>
      <c r="Q149" t="n">
        <v>0</v>
      </c>
      <c r="R149" s="2" t="inlineStr"/>
    </row>
    <row r="150" ht="15" customHeight="1">
      <c r="A150" t="inlineStr">
        <is>
          <t>A 33736-2021</t>
        </is>
      </c>
      <c r="B150" s="1" t="n">
        <v>44378</v>
      </c>
      <c r="C150" s="1" t="n">
        <v>45922</v>
      </c>
      <c r="D150" t="inlineStr">
        <is>
          <t>SKÅNE LÄN</t>
        </is>
      </c>
      <c r="E150" t="inlineStr">
        <is>
          <t>HÄSSLEHOLM</t>
        </is>
      </c>
      <c r="G150" t="n">
        <v>7.6</v>
      </c>
      <c r="H150" t="n">
        <v>0</v>
      </c>
      <c r="I150" t="n">
        <v>0</v>
      </c>
      <c r="J150" t="n">
        <v>0</v>
      </c>
      <c r="K150" t="n">
        <v>0</v>
      </c>
      <c r="L150" t="n">
        <v>0</v>
      </c>
      <c r="M150" t="n">
        <v>0</v>
      </c>
      <c r="N150" t="n">
        <v>0</v>
      </c>
      <c r="O150" t="n">
        <v>0</v>
      </c>
      <c r="P150" t="n">
        <v>0</v>
      </c>
      <c r="Q150" t="n">
        <v>0</v>
      </c>
      <c r="R150" s="2" t="inlineStr"/>
    </row>
    <row r="151" ht="15" customHeight="1">
      <c r="A151" t="inlineStr">
        <is>
          <t>A 34679-2021</t>
        </is>
      </c>
      <c r="B151" s="1" t="n">
        <v>44382</v>
      </c>
      <c r="C151" s="1" t="n">
        <v>45922</v>
      </c>
      <c r="D151" t="inlineStr">
        <is>
          <t>SKÅNE LÄN</t>
        </is>
      </c>
      <c r="E151" t="inlineStr">
        <is>
          <t>HÄSSLEHOLM</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64211-2020</t>
        </is>
      </c>
      <c r="B152" s="1" t="n">
        <v>44168</v>
      </c>
      <c r="C152" s="1" t="n">
        <v>45922</v>
      </c>
      <c r="D152" t="inlineStr">
        <is>
          <t>SKÅNE LÄN</t>
        </is>
      </c>
      <c r="E152" t="inlineStr">
        <is>
          <t>HÄSSLEHOLM</t>
        </is>
      </c>
      <c r="G152" t="n">
        <v>4.1</v>
      </c>
      <c r="H152" t="n">
        <v>0</v>
      </c>
      <c r="I152" t="n">
        <v>0</v>
      </c>
      <c r="J152" t="n">
        <v>0</v>
      </c>
      <c r="K152" t="n">
        <v>0</v>
      </c>
      <c r="L152" t="n">
        <v>0</v>
      </c>
      <c r="M152" t="n">
        <v>0</v>
      </c>
      <c r="N152" t="n">
        <v>0</v>
      </c>
      <c r="O152" t="n">
        <v>0</v>
      </c>
      <c r="P152" t="n">
        <v>0</v>
      </c>
      <c r="Q152" t="n">
        <v>0</v>
      </c>
      <c r="R152" s="2" t="inlineStr"/>
    </row>
    <row r="153" ht="15" customHeight="1">
      <c r="A153" t="inlineStr">
        <is>
          <t>A 4161-2022</t>
        </is>
      </c>
      <c r="B153" s="1" t="n">
        <v>44588</v>
      </c>
      <c r="C153" s="1" t="n">
        <v>45922</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40702-2021</t>
        </is>
      </c>
      <c r="B154" s="1" t="n">
        <v>44420.61719907408</v>
      </c>
      <c r="C154" s="1" t="n">
        <v>45922</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45922</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1535-2022</t>
        </is>
      </c>
      <c r="B156" s="1" t="n">
        <v>44573</v>
      </c>
      <c r="C156" s="1" t="n">
        <v>45922</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45922</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13982-2021</t>
        </is>
      </c>
      <c r="B158" s="1" t="n">
        <v>44277.57800925926</v>
      </c>
      <c r="C158" s="1" t="n">
        <v>45922</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66474-2020</t>
        </is>
      </c>
      <c r="B159" s="1" t="n">
        <v>44177</v>
      </c>
      <c r="C159" s="1" t="n">
        <v>45922</v>
      </c>
      <c r="D159" t="inlineStr">
        <is>
          <t>SKÅNE LÄN</t>
        </is>
      </c>
      <c r="E159" t="inlineStr">
        <is>
          <t>HÄSSLEHOLM</t>
        </is>
      </c>
      <c r="G159" t="n">
        <v>2.8</v>
      </c>
      <c r="H159" t="n">
        <v>0</v>
      </c>
      <c r="I159" t="n">
        <v>0</v>
      </c>
      <c r="J159" t="n">
        <v>0</v>
      </c>
      <c r="K159" t="n">
        <v>0</v>
      </c>
      <c r="L159" t="n">
        <v>0</v>
      </c>
      <c r="M159" t="n">
        <v>0</v>
      </c>
      <c r="N159" t="n">
        <v>0</v>
      </c>
      <c r="O159" t="n">
        <v>0</v>
      </c>
      <c r="P159" t="n">
        <v>0</v>
      </c>
      <c r="Q159" t="n">
        <v>0</v>
      </c>
      <c r="R159" s="2" t="inlineStr"/>
    </row>
    <row r="160" ht="15" customHeight="1">
      <c r="A160" t="inlineStr">
        <is>
          <t>A 18515-2021</t>
        </is>
      </c>
      <c r="B160" s="1" t="n">
        <v>44305</v>
      </c>
      <c r="C160" s="1" t="n">
        <v>45922</v>
      </c>
      <c r="D160" t="inlineStr">
        <is>
          <t>SKÅNE LÄN</t>
        </is>
      </c>
      <c r="E160" t="inlineStr">
        <is>
          <t>HÄSSLEHOLM</t>
        </is>
      </c>
      <c r="F160" t="inlineStr">
        <is>
          <t>Övriga Aktiebolag</t>
        </is>
      </c>
      <c r="G160" t="n">
        <v>0.5</v>
      </c>
      <c r="H160" t="n">
        <v>0</v>
      </c>
      <c r="I160" t="n">
        <v>0</v>
      </c>
      <c r="J160" t="n">
        <v>0</v>
      </c>
      <c r="K160" t="n">
        <v>0</v>
      </c>
      <c r="L160" t="n">
        <v>0</v>
      </c>
      <c r="M160" t="n">
        <v>0</v>
      </c>
      <c r="N160" t="n">
        <v>0</v>
      </c>
      <c r="O160" t="n">
        <v>0</v>
      </c>
      <c r="P160" t="n">
        <v>0</v>
      </c>
      <c r="Q160" t="n">
        <v>0</v>
      </c>
      <c r="R160" s="2" t="inlineStr"/>
    </row>
    <row r="161" ht="15" customHeight="1">
      <c r="A161" t="inlineStr">
        <is>
          <t>A 18523-2021</t>
        </is>
      </c>
      <c r="B161" s="1" t="n">
        <v>44305</v>
      </c>
      <c r="C161" s="1" t="n">
        <v>45922</v>
      </c>
      <c r="D161" t="inlineStr">
        <is>
          <t>SKÅNE LÄN</t>
        </is>
      </c>
      <c r="E161" t="inlineStr">
        <is>
          <t>HÄSSLEHOLM</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12617-2021</t>
        </is>
      </c>
      <c r="B162" s="1" t="n">
        <v>44270.45030092593</v>
      </c>
      <c r="C162" s="1" t="n">
        <v>45922</v>
      </c>
      <c r="D162" t="inlineStr">
        <is>
          <t>SKÅNE LÄN</t>
        </is>
      </c>
      <c r="E162" t="inlineStr">
        <is>
          <t>HÄSSLEHOLM</t>
        </is>
      </c>
      <c r="G162" t="n">
        <v>1.2</v>
      </c>
      <c r="H162" t="n">
        <v>0</v>
      </c>
      <c r="I162" t="n">
        <v>0</v>
      </c>
      <c r="J162" t="n">
        <v>0</v>
      </c>
      <c r="K162" t="n">
        <v>0</v>
      </c>
      <c r="L162" t="n">
        <v>0</v>
      </c>
      <c r="M162" t="n">
        <v>0</v>
      </c>
      <c r="N162" t="n">
        <v>0</v>
      </c>
      <c r="O162" t="n">
        <v>0</v>
      </c>
      <c r="P162" t="n">
        <v>0</v>
      </c>
      <c r="Q162" t="n">
        <v>0</v>
      </c>
      <c r="R162" s="2" t="inlineStr"/>
    </row>
    <row r="163" ht="15" customHeight="1">
      <c r="A163" t="inlineStr">
        <is>
          <t>A 2631-2022</t>
        </is>
      </c>
      <c r="B163" s="1" t="n">
        <v>44580</v>
      </c>
      <c r="C163" s="1" t="n">
        <v>45922</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15423-2022</t>
        </is>
      </c>
      <c r="B164" s="1" t="n">
        <v>44659</v>
      </c>
      <c r="C164" s="1" t="n">
        <v>45922</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50371-2020</t>
        </is>
      </c>
      <c r="B165" s="1" t="n">
        <v>44110.44322916667</v>
      </c>
      <c r="C165" s="1" t="n">
        <v>45922</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56989-2021</t>
        </is>
      </c>
      <c r="B166" s="1" t="n">
        <v>44482</v>
      </c>
      <c r="C166" s="1" t="n">
        <v>45922</v>
      </c>
      <c r="D166" t="inlineStr">
        <is>
          <t>SKÅNE LÄN</t>
        </is>
      </c>
      <c r="E166" t="inlineStr">
        <is>
          <t>HÄSSLEHOLM</t>
        </is>
      </c>
      <c r="G166" t="n">
        <v>1.1</v>
      </c>
      <c r="H166" t="n">
        <v>0</v>
      </c>
      <c r="I166" t="n">
        <v>0</v>
      </c>
      <c r="J166" t="n">
        <v>0</v>
      </c>
      <c r="K166" t="n">
        <v>0</v>
      </c>
      <c r="L166" t="n">
        <v>0</v>
      </c>
      <c r="M166" t="n">
        <v>0</v>
      </c>
      <c r="N166" t="n">
        <v>0</v>
      </c>
      <c r="O166" t="n">
        <v>0</v>
      </c>
      <c r="P166" t="n">
        <v>0</v>
      </c>
      <c r="Q166" t="n">
        <v>0</v>
      </c>
      <c r="R166" s="2" t="inlineStr"/>
    </row>
    <row r="167" ht="15" customHeight="1">
      <c r="A167" t="inlineStr">
        <is>
          <t>A 51159-2021</t>
        </is>
      </c>
      <c r="B167" s="1" t="n">
        <v>44461</v>
      </c>
      <c r="C167" s="1" t="n">
        <v>45922</v>
      </c>
      <c r="D167" t="inlineStr">
        <is>
          <t>SKÅNE LÄN</t>
        </is>
      </c>
      <c r="E167" t="inlineStr">
        <is>
          <t>HÄSSLEHOLM</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25383-2021</t>
        </is>
      </c>
      <c r="B168" s="1" t="n">
        <v>44342</v>
      </c>
      <c r="C168" s="1" t="n">
        <v>45922</v>
      </c>
      <c r="D168" t="inlineStr">
        <is>
          <t>SKÅNE LÄN</t>
        </is>
      </c>
      <c r="E168" t="inlineStr">
        <is>
          <t>HÄSSLEHOLM</t>
        </is>
      </c>
      <c r="G168" t="n">
        <v>0.7</v>
      </c>
      <c r="H168" t="n">
        <v>0</v>
      </c>
      <c r="I168" t="n">
        <v>0</v>
      </c>
      <c r="J168" t="n">
        <v>0</v>
      </c>
      <c r="K168" t="n">
        <v>0</v>
      </c>
      <c r="L168" t="n">
        <v>0</v>
      </c>
      <c r="M168" t="n">
        <v>0</v>
      </c>
      <c r="N168" t="n">
        <v>0</v>
      </c>
      <c r="O168" t="n">
        <v>0</v>
      </c>
      <c r="P168" t="n">
        <v>0</v>
      </c>
      <c r="Q168" t="n">
        <v>0</v>
      </c>
      <c r="R168" s="2" t="inlineStr"/>
    </row>
    <row r="169" ht="15" customHeight="1">
      <c r="A169" t="inlineStr">
        <is>
          <t>A 27330-2021</t>
        </is>
      </c>
      <c r="B169" s="1" t="n">
        <v>44351</v>
      </c>
      <c r="C169" s="1" t="n">
        <v>45922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59302-2020</t>
        </is>
      </c>
      <c r="B170" s="1" t="n">
        <v>44147</v>
      </c>
      <c r="C170" s="1" t="n">
        <v>45922</v>
      </c>
      <c r="D170" t="inlineStr">
        <is>
          <t>SKÅNE LÄN</t>
        </is>
      </c>
      <c r="E170" t="inlineStr">
        <is>
          <t>HÄSSLEHOLM</t>
        </is>
      </c>
      <c r="G170" t="n">
        <v>11.2</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45922</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7262-2022</t>
        </is>
      </c>
      <c r="B172" s="1" t="n">
        <v>44606</v>
      </c>
      <c r="C172" s="1" t="n">
        <v>45922</v>
      </c>
      <c r="D172" t="inlineStr">
        <is>
          <t>SKÅNE LÄN</t>
        </is>
      </c>
      <c r="E172" t="inlineStr">
        <is>
          <t>HÄSSLEHOLM</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29143-2021</t>
        </is>
      </c>
      <c r="B173" s="1" t="n">
        <v>44358.6319212963</v>
      </c>
      <c r="C173" s="1" t="n">
        <v>45922</v>
      </c>
      <c r="D173" t="inlineStr">
        <is>
          <t>SKÅNE LÄN</t>
        </is>
      </c>
      <c r="E173" t="inlineStr">
        <is>
          <t>HÄSSLEHOLM</t>
        </is>
      </c>
      <c r="G173" t="n">
        <v>2.9</v>
      </c>
      <c r="H173" t="n">
        <v>0</v>
      </c>
      <c r="I173" t="n">
        <v>0</v>
      </c>
      <c r="J173" t="n">
        <v>0</v>
      </c>
      <c r="K173" t="n">
        <v>0</v>
      </c>
      <c r="L173" t="n">
        <v>0</v>
      </c>
      <c r="M173" t="n">
        <v>0</v>
      </c>
      <c r="N173" t="n">
        <v>0</v>
      </c>
      <c r="O173" t="n">
        <v>0</v>
      </c>
      <c r="P173" t="n">
        <v>0</v>
      </c>
      <c r="Q173" t="n">
        <v>0</v>
      </c>
      <c r="R173" s="2" t="inlineStr"/>
    </row>
    <row r="174" ht="15" customHeight="1">
      <c r="A174" t="inlineStr">
        <is>
          <t>A 66520-2020</t>
        </is>
      </c>
      <c r="B174" s="1" t="n">
        <v>44179</v>
      </c>
      <c r="C174" s="1" t="n">
        <v>45922</v>
      </c>
      <c r="D174" t="inlineStr">
        <is>
          <t>SKÅNE LÄN</t>
        </is>
      </c>
      <c r="E174" t="inlineStr">
        <is>
          <t>HÄSSLEHOLM</t>
        </is>
      </c>
      <c r="G174" t="n">
        <v>0.4</v>
      </c>
      <c r="H174" t="n">
        <v>0</v>
      </c>
      <c r="I174" t="n">
        <v>0</v>
      </c>
      <c r="J174" t="n">
        <v>0</v>
      </c>
      <c r="K174" t="n">
        <v>0</v>
      </c>
      <c r="L174" t="n">
        <v>0</v>
      </c>
      <c r="M174" t="n">
        <v>0</v>
      </c>
      <c r="N174" t="n">
        <v>0</v>
      </c>
      <c r="O174" t="n">
        <v>0</v>
      </c>
      <c r="P174" t="n">
        <v>0</v>
      </c>
      <c r="Q174" t="n">
        <v>0</v>
      </c>
      <c r="R174" s="2" t="inlineStr"/>
    </row>
    <row r="175" ht="15" customHeight="1">
      <c r="A175" t="inlineStr">
        <is>
          <t>A 45357-2022</t>
        </is>
      </c>
      <c r="B175" s="1" t="n">
        <v>44844.61952546296</v>
      </c>
      <c r="C175" s="1" t="n">
        <v>45922</v>
      </c>
      <c r="D175" t="inlineStr">
        <is>
          <t>SKÅNE LÄN</t>
        </is>
      </c>
      <c r="E175" t="inlineStr">
        <is>
          <t>HÄSSLEHOLM</t>
        </is>
      </c>
      <c r="G175" t="n">
        <v>5.8</v>
      </c>
      <c r="H175" t="n">
        <v>0</v>
      </c>
      <c r="I175" t="n">
        <v>0</v>
      </c>
      <c r="J175" t="n">
        <v>0</v>
      </c>
      <c r="K175" t="n">
        <v>0</v>
      </c>
      <c r="L175" t="n">
        <v>0</v>
      </c>
      <c r="M175" t="n">
        <v>0</v>
      </c>
      <c r="N175" t="n">
        <v>0</v>
      </c>
      <c r="O175" t="n">
        <v>0</v>
      </c>
      <c r="P175" t="n">
        <v>0</v>
      </c>
      <c r="Q175" t="n">
        <v>0</v>
      </c>
      <c r="R175" s="2" t="inlineStr"/>
    </row>
    <row r="176" ht="15" customHeight="1">
      <c r="A176" t="inlineStr">
        <is>
          <t>A 45989-2021</t>
        </is>
      </c>
      <c r="B176" s="1" t="n">
        <v>44441.74627314815</v>
      </c>
      <c r="C176" s="1" t="n">
        <v>45922</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44669-2022</t>
        </is>
      </c>
      <c r="B177" s="1" t="n">
        <v>44840</v>
      </c>
      <c r="C177" s="1" t="n">
        <v>45922</v>
      </c>
      <c r="D177" t="inlineStr">
        <is>
          <t>SKÅNE LÄN</t>
        </is>
      </c>
      <c r="E177" t="inlineStr">
        <is>
          <t>HÄSSLEHOLM</t>
        </is>
      </c>
      <c r="G177" t="n">
        <v>1.2</v>
      </c>
      <c r="H177" t="n">
        <v>0</v>
      </c>
      <c r="I177" t="n">
        <v>0</v>
      </c>
      <c r="J177" t="n">
        <v>0</v>
      </c>
      <c r="K177" t="n">
        <v>0</v>
      </c>
      <c r="L177" t="n">
        <v>0</v>
      </c>
      <c r="M177" t="n">
        <v>0</v>
      </c>
      <c r="N177" t="n">
        <v>0</v>
      </c>
      <c r="O177" t="n">
        <v>0</v>
      </c>
      <c r="P177" t="n">
        <v>0</v>
      </c>
      <c r="Q177" t="n">
        <v>0</v>
      </c>
      <c r="R177" s="2" t="inlineStr"/>
    </row>
    <row r="178" ht="15" customHeight="1">
      <c r="A178" t="inlineStr">
        <is>
          <t>A 354-2022</t>
        </is>
      </c>
      <c r="B178" s="1" t="n">
        <v>44565.62510416667</v>
      </c>
      <c r="C178" s="1" t="n">
        <v>45922</v>
      </c>
      <c r="D178" t="inlineStr">
        <is>
          <t>SKÅNE LÄN</t>
        </is>
      </c>
      <c r="E178" t="inlineStr">
        <is>
          <t>HÄSSLEHOLM</t>
        </is>
      </c>
      <c r="G178" t="n">
        <v>2.4</v>
      </c>
      <c r="H178" t="n">
        <v>0</v>
      </c>
      <c r="I178" t="n">
        <v>0</v>
      </c>
      <c r="J178" t="n">
        <v>0</v>
      </c>
      <c r="K178" t="n">
        <v>0</v>
      </c>
      <c r="L178" t="n">
        <v>0</v>
      </c>
      <c r="M178" t="n">
        <v>0</v>
      </c>
      <c r="N178" t="n">
        <v>0</v>
      </c>
      <c r="O178" t="n">
        <v>0</v>
      </c>
      <c r="P178" t="n">
        <v>0</v>
      </c>
      <c r="Q178" t="n">
        <v>0</v>
      </c>
      <c r="R178" s="2" t="inlineStr"/>
    </row>
    <row r="179" ht="15" customHeight="1">
      <c r="A179" t="inlineStr">
        <is>
          <t>A 26386-2022</t>
        </is>
      </c>
      <c r="B179" s="1" t="n">
        <v>44735.6803125</v>
      </c>
      <c r="C179" s="1" t="n">
        <v>45922</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7248-2021</t>
        </is>
      </c>
      <c r="B180" s="1" t="n">
        <v>44236</v>
      </c>
      <c r="C180" s="1" t="n">
        <v>45922</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32892-2021</t>
        </is>
      </c>
      <c r="B181" s="1" t="n">
        <v>44375</v>
      </c>
      <c r="C181" s="1" t="n">
        <v>45922</v>
      </c>
      <c r="D181" t="inlineStr">
        <is>
          <t>SKÅNE LÄN</t>
        </is>
      </c>
      <c r="E181" t="inlineStr">
        <is>
          <t>HÄSSLEHOLM</t>
        </is>
      </c>
      <c r="G181" t="n">
        <v>2.9</v>
      </c>
      <c r="H181" t="n">
        <v>0</v>
      </c>
      <c r="I181" t="n">
        <v>0</v>
      </c>
      <c r="J181" t="n">
        <v>0</v>
      </c>
      <c r="K181" t="n">
        <v>0</v>
      </c>
      <c r="L181" t="n">
        <v>0</v>
      </c>
      <c r="M181" t="n">
        <v>0</v>
      </c>
      <c r="N181" t="n">
        <v>0</v>
      </c>
      <c r="O181" t="n">
        <v>0</v>
      </c>
      <c r="P181" t="n">
        <v>0</v>
      </c>
      <c r="Q181" t="n">
        <v>0</v>
      </c>
      <c r="R181" s="2" t="inlineStr"/>
    </row>
    <row r="182" ht="15" customHeight="1">
      <c r="A182" t="inlineStr">
        <is>
          <t>A 25469-2022</t>
        </is>
      </c>
      <c r="B182" s="1" t="n">
        <v>44732</v>
      </c>
      <c r="C182" s="1" t="n">
        <v>45922</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73513-2021</t>
        </is>
      </c>
      <c r="B183" s="1" t="n">
        <v>44551.69012731482</v>
      </c>
      <c r="C183" s="1" t="n">
        <v>45922</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45922</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69198-2020</t>
        </is>
      </c>
      <c r="B185" s="1" t="n">
        <v>44191</v>
      </c>
      <c r="C185" s="1" t="n">
        <v>45922</v>
      </c>
      <c r="D185" t="inlineStr">
        <is>
          <t>SKÅNE LÄN</t>
        </is>
      </c>
      <c r="E185" t="inlineStr">
        <is>
          <t>HÄSSLEHOLM</t>
        </is>
      </c>
      <c r="G185" t="n">
        <v>6.6</v>
      </c>
      <c r="H185" t="n">
        <v>0</v>
      </c>
      <c r="I185" t="n">
        <v>0</v>
      </c>
      <c r="J185" t="n">
        <v>0</v>
      </c>
      <c r="K185" t="n">
        <v>0</v>
      </c>
      <c r="L185" t="n">
        <v>0</v>
      </c>
      <c r="M185" t="n">
        <v>0</v>
      </c>
      <c r="N185" t="n">
        <v>0</v>
      </c>
      <c r="O185" t="n">
        <v>0</v>
      </c>
      <c r="P185" t="n">
        <v>0</v>
      </c>
      <c r="Q185" t="n">
        <v>0</v>
      </c>
      <c r="R185" s="2" t="inlineStr"/>
    </row>
    <row r="186" ht="15" customHeight="1">
      <c r="A186" t="inlineStr">
        <is>
          <t>A 1461-2021</t>
        </is>
      </c>
      <c r="B186" s="1" t="n">
        <v>44208</v>
      </c>
      <c r="C186" s="1" t="n">
        <v>45922</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39102-2022</t>
        </is>
      </c>
      <c r="B187" s="1" t="n">
        <v>44817.43260416666</v>
      </c>
      <c r="C187" s="1" t="n">
        <v>45922</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47112-2021</t>
        </is>
      </c>
      <c r="B188" s="1" t="n">
        <v>44446</v>
      </c>
      <c r="C188" s="1" t="n">
        <v>45922</v>
      </c>
      <c r="D188" t="inlineStr">
        <is>
          <t>SKÅNE LÄN</t>
        </is>
      </c>
      <c r="E188" t="inlineStr">
        <is>
          <t>HÄSSLEHOLM</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20510-2021</t>
        </is>
      </c>
      <c r="B189" s="1" t="n">
        <v>44315</v>
      </c>
      <c r="C189" s="1" t="n">
        <v>45922</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54362-2020</t>
        </is>
      </c>
      <c r="B190" s="1" t="n">
        <v>44126</v>
      </c>
      <c r="C190" s="1" t="n">
        <v>45922</v>
      </c>
      <c r="D190" t="inlineStr">
        <is>
          <t>SKÅNE LÄN</t>
        </is>
      </c>
      <c r="E190" t="inlineStr">
        <is>
          <t>HÄSSLEHOLM</t>
        </is>
      </c>
      <c r="G190" t="n">
        <v>4.5</v>
      </c>
      <c r="H190" t="n">
        <v>0</v>
      </c>
      <c r="I190" t="n">
        <v>0</v>
      </c>
      <c r="J190" t="n">
        <v>0</v>
      </c>
      <c r="K190" t="n">
        <v>0</v>
      </c>
      <c r="L190" t="n">
        <v>0</v>
      </c>
      <c r="M190" t="n">
        <v>0</v>
      </c>
      <c r="N190" t="n">
        <v>0</v>
      </c>
      <c r="O190" t="n">
        <v>0</v>
      </c>
      <c r="P190" t="n">
        <v>0</v>
      </c>
      <c r="Q190" t="n">
        <v>0</v>
      </c>
      <c r="R190" s="2" t="inlineStr"/>
    </row>
    <row r="191" ht="15" customHeight="1">
      <c r="A191" t="inlineStr">
        <is>
          <t>A 64826-2021</t>
        </is>
      </c>
      <c r="B191" s="1" t="n">
        <v>44512.55935185185</v>
      </c>
      <c r="C191" s="1" t="n">
        <v>45922</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48792-2020</t>
        </is>
      </c>
      <c r="B192" s="1" t="n">
        <v>44103</v>
      </c>
      <c r="C192" s="1" t="n">
        <v>45922</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50372-2020</t>
        </is>
      </c>
      <c r="B193" s="1" t="n">
        <v>44110</v>
      </c>
      <c r="C193" s="1" t="n">
        <v>45922</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6414-2022</t>
        </is>
      </c>
      <c r="B194" s="1" t="n">
        <v>44600</v>
      </c>
      <c r="C194" s="1" t="n">
        <v>45922</v>
      </c>
      <c r="D194" t="inlineStr">
        <is>
          <t>SKÅNE LÄN</t>
        </is>
      </c>
      <c r="E194" t="inlineStr">
        <is>
          <t>HÄSSLEHOLM</t>
        </is>
      </c>
      <c r="G194" t="n">
        <v>2.9</v>
      </c>
      <c r="H194" t="n">
        <v>0</v>
      </c>
      <c r="I194" t="n">
        <v>0</v>
      </c>
      <c r="J194" t="n">
        <v>0</v>
      </c>
      <c r="K194" t="n">
        <v>0</v>
      </c>
      <c r="L194" t="n">
        <v>0</v>
      </c>
      <c r="M194" t="n">
        <v>0</v>
      </c>
      <c r="N194" t="n">
        <v>0</v>
      </c>
      <c r="O194" t="n">
        <v>0</v>
      </c>
      <c r="P194" t="n">
        <v>0</v>
      </c>
      <c r="Q194" t="n">
        <v>0</v>
      </c>
      <c r="R194" s="2" t="inlineStr"/>
    </row>
    <row r="195" ht="15" customHeight="1">
      <c r="A195" t="inlineStr">
        <is>
          <t>A 54079-2020</t>
        </is>
      </c>
      <c r="B195" s="1" t="n">
        <v>44125.61570601852</v>
      </c>
      <c r="C195" s="1" t="n">
        <v>45922</v>
      </c>
      <c r="D195" t="inlineStr">
        <is>
          <t>SKÅNE LÄN</t>
        </is>
      </c>
      <c r="E195" t="inlineStr">
        <is>
          <t>HÄSSLEHOLM</t>
        </is>
      </c>
      <c r="G195" t="n">
        <v>0.3</v>
      </c>
      <c r="H195" t="n">
        <v>0</v>
      </c>
      <c r="I195" t="n">
        <v>0</v>
      </c>
      <c r="J195" t="n">
        <v>0</v>
      </c>
      <c r="K195" t="n">
        <v>0</v>
      </c>
      <c r="L195" t="n">
        <v>0</v>
      </c>
      <c r="M195" t="n">
        <v>0</v>
      </c>
      <c r="N195" t="n">
        <v>0</v>
      </c>
      <c r="O195" t="n">
        <v>0</v>
      </c>
      <c r="P195" t="n">
        <v>0</v>
      </c>
      <c r="Q195" t="n">
        <v>0</v>
      </c>
      <c r="R195" s="2" t="inlineStr"/>
    </row>
    <row r="196" ht="15" customHeight="1">
      <c r="A196" t="inlineStr">
        <is>
          <t>A 2858-2022</t>
        </is>
      </c>
      <c r="B196" s="1" t="n">
        <v>44581</v>
      </c>
      <c r="C196" s="1" t="n">
        <v>45922</v>
      </c>
      <c r="D196" t="inlineStr">
        <is>
          <t>SKÅNE LÄN</t>
        </is>
      </c>
      <c r="E196" t="inlineStr">
        <is>
          <t>HÄSSLEHOLM</t>
        </is>
      </c>
      <c r="F196" t="inlineStr">
        <is>
          <t>Övriga Aktiebolag</t>
        </is>
      </c>
      <c r="G196" t="n">
        <v>1.3</v>
      </c>
      <c r="H196" t="n">
        <v>0</v>
      </c>
      <c r="I196" t="n">
        <v>0</v>
      </c>
      <c r="J196" t="n">
        <v>0</v>
      </c>
      <c r="K196" t="n">
        <v>0</v>
      </c>
      <c r="L196" t="n">
        <v>0</v>
      </c>
      <c r="M196" t="n">
        <v>0</v>
      </c>
      <c r="N196" t="n">
        <v>0</v>
      </c>
      <c r="O196" t="n">
        <v>0</v>
      </c>
      <c r="P196" t="n">
        <v>0</v>
      </c>
      <c r="Q196" t="n">
        <v>0</v>
      </c>
      <c r="R196" s="2" t="inlineStr"/>
    </row>
    <row r="197" ht="15" customHeight="1">
      <c r="A197" t="inlineStr">
        <is>
          <t>A 23967-2022</t>
        </is>
      </c>
      <c r="B197" s="1" t="n">
        <v>44722.74079861111</v>
      </c>
      <c r="C197" s="1" t="n">
        <v>45922</v>
      </c>
      <c r="D197" t="inlineStr">
        <is>
          <t>SKÅNE LÄN</t>
        </is>
      </c>
      <c r="E197" t="inlineStr">
        <is>
          <t>HÄSSLEHOLM</t>
        </is>
      </c>
      <c r="F197" t="inlineStr">
        <is>
          <t>Kyrkan</t>
        </is>
      </c>
      <c r="G197" t="n">
        <v>12.4</v>
      </c>
      <c r="H197" t="n">
        <v>0</v>
      </c>
      <c r="I197" t="n">
        <v>0</v>
      </c>
      <c r="J197" t="n">
        <v>0</v>
      </c>
      <c r="K197" t="n">
        <v>0</v>
      </c>
      <c r="L197" t="n">
        <v>0</v>
      </c>
      <c r="M197" t="n">
        <v>0</v>
      </c>
      <c r="N197" t="n">
        <v>0</v>
      </c>
      <c r="O197" t="n">
        <v>0</v>
      </c>
      <c r="P197" t="n">
        <v>0</v>
      </c>
      <c r="Q197" t="n">
        <v>0</v>
      </c>
      <c r="R197" s="2" t="inlineStr"/>
    </row>
    <row r="198" ht="15" customHeight="1">
      <c r="A198" t="inlineStr">
        <is>
          <t>A 56431-2021</t>
        </is>
      </c>
      <c r="B198" s="1" t="n">
        <v>44480</v>
      </c>
      <c r="C198" s="1" t="n">
        <v>45922</v>
      </c>
      <c r="D198" t="inlineStr">
        <is>
          <t>SKÅNE LÄN</t>
        </is>
      </c>
      <c r="E198" t="inlineStr">
        <is>
          <t>HÄSSLEHOLM</t>
        </is>
      </c>
      <c r="F198" t="inlineStr">
        <is>
          <t>Kyrkan</t>
        </is>
      </c>
      <c r="G198" t="n">
        <v>0.9</v>
      </c>
      <c r="H198" t="n">
        <v>0</v>
      </c>
      <c r="I198" t="n">
        <v>0</v>
      </c>
      <c r="J198" t="n">
        <v>0</v>
      </c>
      <c r="K198" t="n">
        <v>0</v>
      </c>
      <c r="L198" t="n">
        <v>0</v>
      </c>
      <c r="M198" t="n">
        <v>0</v>
      </c>
      <c r="N198" t="n">
        <v>0</v>
      </c>
      <c r="O198" t="n">
        <v>0</v>
      </c>
      <c r="P198" t="n">
        <v>0</v>
      </c>
      <c r="Q198" t="n">
        <v>0</v>
      </c>
      <c r="R198" s="2" t="inlineStr"/>
    </row>
    <row r="199" ht="15" customHeight="1">
      <c r="A199" t="inlineStr">
        <is>
          <t>A 27959-2022</t>
        </is>
      </c>
      <c r="B199" s="1" t="n">
        <v>44744</v>
      </c>
      <c r="C199" s="1" t="n">
        <v>45922</v>
      </c>
      <c r="D199" t="inlineStr">
        <is>
          <t>SKÅNE LÄN</t>
        </is>
      </c>
      <c r="E199" t="inlineStr">
        <is>
          <t>HÄSSLEHOLM</t>
        </is>
      </c>
      <c r="G199" t="n">
        <v>3</v>
      </c>
      <c r="H199" t="n">
        <v>0</v>
      </c>
      <c r="I199" t="n">
        <v>0</v>
      </c>
      <c r="J199" t="n">
        <v>0</v>
      </c>
      <c r="K199" t="n">
        <v>0</v>
      </c>
      <c r="L199" t="n">
        <v>0</v>
      </c>
      <c r="M199" t="n">
        <v>0</v>
      </c>
      <c r="N199" t="n">
        <v>0</v>
      </c>
      <c r="O199" t="n">
        <v>0</v>
      </c>
      <c r="P199" t="n">
        <v>0</v>
      </c>
      <c r="Q199" t="n">
        <v>0</v>
      </c>
      <c r="R199" s="2" t="inlineStr"/>
    </row>
    <row r="200" ht="15" customHeight="1">
      <c r="A200" t="inlineStr">
        <is>
          <t>A 48397-2020</t>
        </is>
      </c>
      <c r="B200" s="1" t="n">
        <v>44097</v>
      </c>
      <c r="C200" s="1" t="n">
        <v>45922</v>
      </c>
      <c r="D200" t="inlineStr">
        <is>
          <t>SKÅNE LÄN</t>
        </is>
      </c>
      <c r="E200" t="inlineStr">
        <is>
          <t>HÄSSLEHOLM</t>
        </is>
      </c>
      <c r="G200" t="n">
        <v>8</v>
      </c>
      <c r="H200" t="n">
        <v>0</v>
      </c>
      <c r="I200" t="n">
        <v>0</v>
      </c>
      <c r="J200" t="n">
        <v>0</v>
      </c>
      <c r="K200" t="n">
        <v>0</v>
      </c>
      <c r="L200" t="n">
        <v>0</v>
      </c>
      <c r="M200" t="n">
        <v>0</v>
      </c>
      <c r="N200" t="n">
        <v>0</v>
      </c>
      <c r="O200" t="n">
        <v>0</v>
      </c>
      <c r="P200" t="n">
        <v>0</v>
      </c>
      <c r="Q200" t="n">
        <v>0</v>
      </c>
      <c r="R200" s="2" t="inlineStr"/>
    </row>
    <row r="201" ht="15" customHeight="1">
      <c r="A201" t="inlineStr">
        <is>
          <t>A 13811-2021</t>
        </is>
      </c>
      <c r="B201" s="1" t="n">
        <v>44276</v>
      </c>
      <c r="C201" s="1" t="n">
        <v>45922</v>
      </c>
      <c r="D201" t="inlineStr">
        <is>
          <t>SKÅNE LÄN</t>
        </is>
      </c>
      <c r="E201" t="inlineStr">
        <is>
          <t>HÄSSLEHOLM</t>
        </is>
      </c>
      <c r="G201" t="n">
        <v>8</v>
      </c>
      <c r="H201" t="n">
        <v>0</v>
      </c>
      <c r="I201" t="n">
        <v>0</v>
      </c>
      <c r="J201" t="n">
        <v>0</v>
      </c>
      <c r="K201" t="n">
        <v>0</v>
      </c>
      <c r="L201" t="n">
        <v>0</v>
      </c>
      <c r="M201" t="n">
        <v>0</v>
      </c>
      <c r="N201" t="n">
        <v>0</v>
      </c>
      <c r="O201" t="n">
        <v>0</v>
      </c>
      <c r="P201" t="n">
        <v>0</v>
      </c>
      <c r="Q201" t="n">
        <v>0</v>
      </c>
      <c r="R201" s="2" t="inlineStr"/>
    </row>
    <row r="202" ht="15" customHeight="1">
      <c r="A202" t="inlineStr">
        <is>
          <t>A 52567-2021</t>
        </is>
      </c>
      <c r="B202" s="1" t="n">
        <v>44466</v>
      </c>
      <c r="C202" s="1" t="n">
        <v>45922</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62782-2020</t>
        </is>
      </c>
      <c r="B203" s="1" t="n">
        <v>44161</v>
      </c>
      <c r="C203" s="1" t="n">
        <v>45922</v>
      </c>
      <c r="D203" t="inlineStr">
        <is>
          <t>SKÅNE LÄN</t>
        </is>
      </c>
      <c r="E203" t="inlineStr">
        <is>
          <t>HÄSSLEHOLM</t>
        </is>
      </c>
      <c r="F203" t="inlineStr">
        <is>
          <t>Kyrkan</t>
        </is>
      </c>
      <c r="G203" t="n">
        <v>1.6</v>
      </c>
      <c r="H203" t="n">
        <v>0</v>
      </c>
      <c r="I203" t="n">
        <v>0</v>
      </c>
      <c r="J203" t="n">
        <v>0</v>
      </c>
      <c r="K203" t="n">
        <v>0</v>
      </c>
      <c r="L203" t="n">
        <v>0</v>
      </c>
      <c r="M203" t="n">
        <v>0</v>
      </c>
      <c r="N203" t="n">
        <v>0</v>
      </c>
      <c r="O203" t="n">
        <v>0</v>
      </c>
      <c r="P203" t="n">
        <v>0</v>
      </c>
      <c r="Q203" t="n">
        <v>0</v>
      </c>
      <c r="R203" s="2" t="inlineStr"/>
    </row>
    <row r="204" ht="15" customHeight="1">
      <c r="A204" t="inlineStr">
        <is>
          <t>A 62802-2020</t>
        </is>
      </c>
      <c r="B204" s="1" t="n">
        <v>44161</v>
      </c>
      <c r="C204" s="1" t="n">
        <v>45922</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57807-2020</t>
        </is>
      </c>
      <c r="B205" s="1" t="n">
        <v>44141</v>
      </c>
      <c r="C205" s="1" t="n">
        <v>45922</v>
      </c>
      <c r="D205" t="inlineStr">
        <is>
          <t>SKÅNE LÄN</t>
        </is>
      </c>
      <c r="E205" t="inlineStr">
        <is>
          <t>HÄSSLEHOLM</t>
        </is>
      </c>
      <c r="G205" t="n">
        <v>1.9</v>
      </c>
      <c r="H205" t="n">
        <v>0</v>
      </c>
      <c r="I205" t="n">
        <v>0</v>
      </c>
      <c r="J205" t="n">
        <v>0</v>
      </c>
      <c r="K205" t="n">
        <v>0</v>
      </c>
      <c r="L205" t="n">
        <v>0</v>
      </c>
      <c r="M205" t="n">
        <v>0</v>
      </c>
      <c r="N205" t="n">
        <v>0</v>
      </c>
      <c r="O205" t="n">
        <v>0</v>
      </c>
      <c r="P205" t="n">
        <v>0</v>
      </c>
      <c r="Q205" t="n">
        <v>0</v>
      </c>
      <c r="R205" s="2" t="inlineStr"/>
    </row>
    <row r="206" ht="15" customHeight="1">
      <c r="A206" t="inlineStr">
        <is>
          <t>A 74297-2021</t>
        </is>
      </c>
      <c r="B206" s="1" t="n">
        <v>44558</v>
      </c>
      <c r="C206" s="1" t="n">
        <v>45922</v>
      </c>
      <c r="D206" t="inlineStr">
        <is>
          <t>SKÅNE LÄN</t>
        </is>
      </c>
      <c r="E206" t="inlineStr">
        <is>
          <t>HÄSSLEHOLM</t>
        </is>
      </c>
      <c r="F206" t="inlineStr">
        <is>
          <t>Kyrkan</t>
        </is>
      </c>
      <c r="G206" t="n">
        <v>3.8</v>
      </c>
      <c r="H206" t="n">
        <v>0</v>
      </c>
      <c r="I206" t="n">
        <v>0</v>
      </c>
      <c r="J206" t="n">
        <v>0</v>
      </c>
      <c r="K206" t="n">
        <v>0</v>
      </c>
      <c r="L206" t="n">
        <v>0</v>
      </c>
      <c r="M206" t="n">
        <v>0</v>
      </c>
      <c r="N206" t="n">
        <v>0</v>
      </c>
      <c r="O206" t="n">
        <v>0</v>
      </c>
      <c r="P206" t="n">
        <v>0</v>
      </c>
      <c r="Q206" t="n">
        <v>0</v>
      </c>
      <c r="R206" s="2" t="inlineStr"/>
    </row>
    <row r="207" ht="15" customHeight="1">
      <c r="A207" t="inlineStr">
        <is>
          <t>A 2514-2021</t>
        </is>
      </c>
      <c r="B207" s="1" t="n">
        <v>44214</v>
      </c>
      <c r="C207" s="1" t="n">
        <v>45922</v>
      </c>
      <c r="D207" t="inlineStr">
        <is>
          <t>SKÅNE LÄN</t>
        </is>
      </c>
      <c r="E207" t="inlineStr">
        <is>
          <t>HÄSSLEHOLM</t>
        </is>
      </c>
      <c r="G207" t="n">
        <v>2.3</v>
      </c>
      <c r="H207" t="n">
        <v>0</v>
      </c>
      <c r="I207" t="n">
        <v>0</v>
      </c>
      <c r="J207" t="n">
        <v>0</v>
      </c>
      <c r="K207" t="n">
        <v>0</v>
      </c>
      <c r="L207" t="n">
        <v>0</v>
      </c>
      <c r="M207" t="n">
        <v>0</v>
      </c>
      <c r="N207" t="n">
        <v>0</v>
      </c>
      <c r="O207" t="n">
        <v>0</v>
      </c>
      <c r="P207" t="n">
        <v>0</v>
      </c>
      <c r="Q207" t="n">
        <v>0</v>
      </c>
      <c r="R207" s="2" t="inlineStr"/>
    </row>
    <row r="208" ht="15" customHeight="1">
      <c r="A208" t="inlineStr">
        <is>
          <t>A 61216-2020</t>
        </is>
      </c>
      <c r="B208" s="1" t="n">
        <v>44155</v>
      </c>
      <c r="C208" s="1" t="n">
        <v>45922</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52295-2021</t>
        </is>
      </c>
      <c r="B209" s="1" t="n">
        <v>44463</v>
      </c>
      <c r="C209" s="1" t="n">
        <v>45922</v>
      </c>
      <c r="D209" t="inlineStr">
        <is>
          <t>SKÅNE LÄN</t>
        </is>
      </c>
      <c r="E209" t="inlineStr">
        <is>
          <t>HÄSSLEHOLM</t>
        </is>
      </c>
      <c r="G209" t="n">
        <v>0.3</v>
      </c>
      <c r="H209" t="n">
        <v>0</v>
      </c>
      <c r="I209" t="n">
        <v>0</v>
      </c>
      <c r="J209" t="n">
        <v>0</v>
      </c>
      <c r="K209" t="n">
        <v>0</v>
      </c>
      <c r="L209" t="n">
        <v>0</v>
      </c>
      <c r="M209" t="n">
        <v>0</v>
      </c>
      <c r="N209" t="n">
        <v>0</v>
      </c>
      <c r="O209" t="n">
        <v>0</v>
      </c>
      <c r="P209" t="n">
        <v>0</v>
      </c>
      <c r="Q209" t="n">
        <v>0</v>
      </c>
      <c r="R209" s="2" t="inlineStr"/>
    </row>
    <row r="210" ht="15" customHeight="1">
      <c r="A210" t="inlineStr">
        <is>
          <t>A 6973-2021</t>
        </is>
      </c>
      <c r="B210" s="1" t="n">
        <v>44237</v>
      </c>
      <c r="C210" s="1" t="n">
        <v>45922</v>
      </c>
      <c r="D210" t="inlineStr">
        <is>
          <t>SKÅNE LÄN</t>
        </is>
      </c>
      <c r="E210" t="inlineStr">
        <is>
          <t>HÄSSLEHOLM</t>
        </is>
      </c>
      <c r="G210" t="n">
        <v>0.4</v>
      </c>
      <c r="H210" t="n">
        <v>0</v>
      </c>
      <c r="I210" t="n">
        <v>0</v>
      </c>
      <c r="J210" t="n">
        <v>0</v>
      </c>
      <c r="K210" t="n">
        <v>0</v>
      </c>
      <c r="L210" t="n">
        <v>0</v>
      </c>
      <c r="M210" t="n">
        <v>0</v>
      </c>
      <c r="N210" t="n">
        <v>0</v>
      </c>
      <c r="O210" t="n">
        <v>0</v>
      </c>
      <c r="P210" t="n">
        <v>0</v>
      </c>
      <c r="Q210" t="n">
        <v>0</v>
      </c>
      <c r="R210" s="2" t="inlineStr"/>
    </row>
    <row r="211" ht="15" customHeight="1">
      <c r="A211" t="inlineStr">
        <is>
          <t>A 68909-2021</t>
        </is>
      </c>
      <c r="B211" s="1" t="n">
        <v>44530.46730324074</v>
      </c>
      <c r="C211" s="1" t="n">
        <v>45922</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6967-2021</t>
        </is>
      </c>
      <c r="B212" s="1" t="n">
        <v>44237</v>
      </c>
      <c r="C212" s="1" t="n">
        <v>45922</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69505-2020</t>
        </is>
      </c>
      <c r="B213" s="1" t="n">
        <v>44194</v>
      </c>
      <c r="C213" s="1" t="n">
        <v>45922</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418-2022</t>
        </is>
      </c>
      <c r="B214" s="1" t="n">
        <v>44565.84958333334</v>
      </c>
      <c r="C214" s="1" t="n">
        <v>45922</v>
      </c>
      <c r="D214" t="inlineStr">
        <is>
          <t>SKÅNE LÄN</t>
        </is>
      </c>
      <c r="E214" t="inlineStr">
        <is>
          <t>HÄSSLEHOLM</t>
        </is>
      </c>
      <c r="G214" t="n">
        <v>0</v>
      </c>
      <c r="H214" t="n">
        <v>0</v>
      </c>
      <c r="I214" t="n">
        <v>0</v>
      </c>
      <c r="J214" t="n">
        <v>0</v>
      </c>
      <c r="K214" t="n">
        <v>0</v>
      </c>
      <c r="L214" t="n">
        <v>0</v>
      </c>
      <c r="M214" t="n">
        <v>0</v>
      </c>
      <c r="N214" t="n">
        <v>0</v>
      </c>
      <c r="O214" t="n">
        <v>0</v>
      </c>
      <c r="P214" t="n">
        <v>0</v>
      </c>
      <c r="Q214" t="n">
        <v>0</v>
      </c>
      <c r="R214" s="2" t="inlineStr"/>
    </row>
    <row r="215" ht="15" customHeight="1">
      <c r="A215" t="inlineStr">
        <is>
          <t>A 60597-2020</t>
        </is>
      </c>
      <c r="B215" s="1" t="n">
        <v>44152</v>
      </c>
      <c r="C215" s="1" t="n">
        <v>45922</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7904-2022</t>
        </is>
      </c>
      <c r="B216" s="1" t="n">
        <v>44607</v>
      </c>
      <c r="C216" s="1" t="n">
        <v>45922</v>
      </c>
      <c r="D216" t="inlineStr">
        <is>
          <t>SKÅNE LÄN</t>
        </is>
      </c>
      <c r="E216" t="inlineStr">
        <is>
          <t>HÄSSLEHOLM</t>
        </is>
      </c>
      <c r="F216" t="inlineStr">
        <is>
          <t>Kyrkan</t>
        </is>
      </c>
      <c r="G216" t="n">
        <v>3.9</v>
      </c>
      <c r="H216" t="n">
        <v>0</v>
      </c>
      <c r="I216" t="n">
        <v>0</v>
      </c>
      <c r="J216" t="n">
        <v>0</v>
      </c>
      <c r="K216" t="n">
        <v>0</v>
      </c>
      <c r="L216" t="n">
        <v>0</v>
      </c>
      <c r="M216" t="n">
        <v>0</v>
      </c>
      <c r="N216" t="n">
        <v>0</v>
      </c>
      <c r="O216" t="n">
        <v>0</v>
      </c>
      <c r="P216" t="n">
        <v>0</v>
      </c>
      <c r="Q216" t="n">
        <v>0</v>
      </c>
      <c r="R216" s="2" t="inlineStr"/>
    </row>
    <row r="217" ht="15" customHeight="1">
      <c r="A217" t="inlineStr">
        <is>
          <t>A 69504-2020</t>
        </is>
      </c>
      <c r="B217" s="1" t="n">
        <v>44194</v>
      </c>
      <c r="C217" s="1" t="n">
        <v>45922</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9453-2021</t>
        </is>
      </c>
      <c r="B218" s="1" t="n">
        <v>44251</v>
      </c>
      <c r="C218" s="1" t="n">
        <v>45922</v>
      </c>
      <c r="D218" t="inlineStr">
        <is>
          <t>SKÅNE LÄN</t>
        </is>
      </c>
      <c r="E218" t="inlineStr">
        <is>
          <t>HÄSSLEHOLM</t>
        </is>
      </c>
      <c r="G218" t="n">
        <v>1.4</v>
      </c>
      <c r="H218" t="n">
        <v>0</v>
      </c>
      <c r="I218" t="n">
        <v>0</v>
      </c>
      <c r="J218" t="n">
        <v>0</v>
      </c>
      <c r="K218" t="n">
        <v>0</v>
      </c>
      <c r="L218" t="n">
        <v>0</v>
      </c>
      <c r="M218" t="n">
        <v>0</v>
      </c>
      <c r="N218" t="n">
        <v>0</v>
      </c>
      <c r="O218" t="n">
        <v>0</v>
      </c>
      <c r="P218" t="n">
        <v>0</v>
      </c>
      <c r="Q218" t="n">
        <v>0</v>
      </c>
      <c r="R218" s="2" t="inlineStr"/>
    </row>
    <row r="219" ht="15" customHeight="1">
      <c r="A219" t="inlineStr">
        <is>
          <t>A 7250-2022</t>
        </is>
      </c>
      <c r="B219" s="1" t="n">
        <v>44606</v>
      </c>
      <c r="C219" s="1" t="n">
        <v>45922</v>
      </c>
      <c r="D219" t="inlineStr">
        <is>
          <t>SKÅNE LÄN</t>
        </is>
      </c>
      <c r="E219" t="inlineStr">
        <is>
          <t>HÄSSLEHOLM</t>
        </is>
      </c>
      <c r="F219" t="inlineStr">
        <is>
          <t>Övriga Aktiebolag</t>
        </is>
      </c>
      <c r="G219" t="n">
        <v>2.6</v>
      </c>
      <c r="H219" t="n">
        <v>0</v>
      </c>
      <c r="I219" t="n">
        <v>0</v>
      </c>
      <c r="J219" t="n">
        <v>0</v>
      </c>
      <c r="K219" t="n">
        <v>0</v>
      </c>
      <c r="L219" t="n">
        <v>0</v>
      </c>
      <c r="M219" t="n">
        <v>0</v>
      </c>
      <c r="N219" t="n">
        <v>0</v>
      </c>
      <c r="O219" t="n">
        <v>0</v>
      </c>
      <c r="P219" t="n">
        <v>0</v>
      </c>
      <c r="Q219" t="n">
        <v>0</v>
      </c>
      <c r="R219" s="2" t="inlineStr"/>
    </row>
    <row r="220" ht="15" customHeight="1">
      <c r="A220" t="inlineStr">
        <is>
          <t>A 51895-2021</t>
        </is>
      </c>
      <c r="B220" s="1" t="n">
        <v>44462</v>
      </c>
      <c r="C220" s="1" t="n">
        <v>45922</v>
      </c>
      <c r="D220" t="inlineStr">
        <is>
          <t>SKÅNE LÄN</t>
        </is>
      </c>
      <c r="E220" t="inlineStr">
        <is>
          <t>HÄSSLEHOLM</t>
        </is>
      </c>
      <c r="G220" t="n">
        <v>5.7</v>
      </c>
      <c r="H220" t="n">
        <v>0</v>
      </c>
      <c r="I220" t="n">
        <v>0</v>
      </c>
      <c r="J220" t="n">
        <v>0</v>
      </c>
      <c r="K220" t="n">
        <v>0</v>
      </c>
      <c r="L220" t="n">
        <v>0</v>
      </c>
      <c r="M220" t="n">
        <v>0</v>
      </c>
      <c r="N220" t="n">
        <v>0</v>
      </c>
      <c r="O220" t="n">
        <v>0</v>
      </c>
      <c r="P220" t="n">
        <v>0</v>
      </c>
      <c r="Q220" t="n">
        <v>0</v>
      </c>
      <c r="R220" s="2" t="inlineStr"/>
    </row>
    <row r="221" ht="15" customHeight="1">
      <c r="A221" t="inlineStr">
        <is>
          <t>A 219-2022</t>
        </is>
      </c>
      <c r="B221" s="1" t="n">
        <v>44564</v>
      </c>
      <c r="C221" s="1" t="n">
        <v>45922</v>
      </c>
      <c r="D221" t="inlineStr">
        <is>
          <t>SKÅNE LÄN</t>
        </is>
      </c>
      <c r="E221" t="inlineStr">
        <is>
          <t>HÄSSLEHOLM</t>
        </is>
      </c>
      <c r="G221" t="n">
        <v>0.8</v>
      </c>
      <c r="H221" t="n">
        <v>0</v>
      </c>
      <c r="I221" t="n">
        <v>0</v>
      </c>
      <c r="J221" t="n">
        <v>0</v>
      </c>
      <c r="K221" t="n">
        <v>0</v>
      </c>
      <c r="L221" t="n">
        <v>0</v>
      </c>
      <c r="M221" t="n">
        <v>0</v>
      </c>
      <c r="N221" t="n">
        <v>0</v>
      </c>
      <c r="O221" t="n">
        <v>0</v>
      </c>
      <c r="P221" t="n">
        <v>0</v>
      </c>
      <c r="Q221" t="n">
        <v>0</v>
      </c>
      <c r="R221" s="2" t="inlineStr"/>
    </row>
    <row r="222" ht="15" customHeight="1">
      <c r="A222" t="inlineStr">
        <is>
          <t>A 6048-2022</t>
        </is>
      </c>
      <c r="B222" s="1" t="n">
        <v>44599.5174537037</v>
      </c>
      <c r="C222" s="1" t="n">
        <v>45922</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8177-2022</t>
        </is>
      </c>
      <c r="B223" s="1" t="n">
        <v>44607</v>
      </c>
      <c r="C223" s="1" t="n">
        <v>45922</v>
      </c>
      <c r="D223" t="inlineStr">
        <is>
          <t>SKÅNE LÄN</t>
        </is>
      </c>
      <c r="E223" t="inlineStr">
        <is>
          <t>HÄSSLEHOLM</t>
        </is>
      </c>
      <c r="F223" t="inlineStr">
        <is>
          <t>Kyrkan</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25464-2022</t>
        </is>
      </c>
      <c r="B224" s="1" t="n">
        <v>44729</v>
      </c>
      <c r="C224" s="1" t="n">
        <v>45922</v>
      </c>
      <c r="D224" t="inlineStr">
        <is>
          <t>SKÅNE LÄN</t>
        </is>
      </c>
      <c r="E224" t="inlineStr">
        <is>
          <t>HÄSSLEHOLM</t>
        </is>
      </c>
      <c r="G224" t="n">
        <v>21</v>
      </c>
      <c r="H224" t="n">
        <v>0</v>
      </c>
      <c r="I224" t="n">
        <v>0</v>
      </c>
      <c r="J224" t="n">
        <v>0</v>
      </c>
      <c r="K224" t="n">
        <v>0</v>
      </c>
      <c r="L224" t="n">
        <v>0</v>
      </c>
      <c r="M224" t="n">
        <v>0</v>
      </c>
      <c r="N224" t="n">
        <v>0</v>
      </c>
      <c r="O224" t="n">
        <v>0</v>
      </c>
      <c r="P224" t="n">
        <v>0</v>
      </c>
      <c r="Q224" t="n">
        <v>0</v>
      </c>
      <c r="R224" s="2" t="inlineStr"/>
    </row>
    <row r="225" ht="15" customHeight="1">
      <c r="A225" t="inlineStr">
        <is>
          <t>A 46479-2020</t>
        </is>
      </c>
      <c r="B225" s="1" t="n">
        <v>44095</v>
      </c>
      <c r="C225" s="1" t="n">
        <v>45922</v>
      </c>
      <c r="D225" t="inlineStr">
        <is>
          <t>SKÅNE LÄN</t>
        </is>
      </c>
      <c r="E225" t="inlineStr">
        <is>
          <t>HÄSSLEHOLM</t>
        </is>
      </c>
      <c r="F225" t="inlineStr">
        <is>
          <t>Kyrkan</t>
        </is>
      </c>
      <c r="G225" t="n">
        <v>1.5</v>
      </c>
      <c r="H225" t="n">
        <v>0</v>
      </c>
      <c r="I225" t="n">
        <v>0</v>
      </c>
      <c r="J225" t="n">
        <v>0</v>
      </c>
      <c r="K225" t="n">
        <v>0</v>
      </c>
      <c r="L225" t="n">
        <v>0</v>
      </c>
      <c r="M225" t="n">
        <v>0</v>
      </c>
      <c r="N225" t="n">
        <v>0</v>
      </c>
      <c r="O225" t="n">
        <v>0</v>
      </c>
      <c r="P225" t="n">
        <v>0</v>
      </c>
      <c r="Q225" t="n">
        <v>0</v>
      </c>
      <c r="R225" s="2" t="inlineStr"/>
    </row>
    <row r="226" ht="15" customHeight="1">
      <c r="A226" t="inlineStr">
        <is>
          <t>A 55412-2022</t>
        </is>
      </c>
      <c r="B226" s="1" t="n">
        <v>44882</v>
      </c>
      <c r="C226" s="1" t="n">
        <v>45922</v>
      </c>
      <c r="D226" t="inlineStr">
        <is>
          <t>SKÅNE LÄN</t>
        </is>
      </c>
      <c r="E226" t="inlineStr">
        <is>
          <t>HÄSSLEHOLM</t>
        </is>
      </c>
      <c r="F226" t="inlineStr">
        <is>
          <t>Övriga Aktiebolag</t>
        </is>
      </c>
      <c r="G226" t="n">
        <v>4</v>
      </c>
      <c r="H226" t="n">
        <v>0</v>
      </c>
      <c r="I226" t="n">
        <v>0</v>
      </c>
      <c r="J226" t="n">
        <v>0</v>
      </c>
      <c r="K226" t="n">
        <v>0</v>
      </c>
      <c r="L226" t="n">
        <v>0</v>
      </c>
      <c r="M226" t="n">
        <v>0</v>
      </c>
      <c r="N226" t="n">
        <v>0</v>
      </c>
      <c r="O226" t="n">
        <v>0</v>
      </c>
      <c r="P226" t="n">
        <v>0</v>
      </c>
      <c r="Q226" t="n">
        <v>0</v>
      </c>
      <c r="R226" s="2" t="inlineStr"/>
    </row>
    <row r="227" ht="15" customHeight="1">
      <c r="A227" t="inlineStr">
        <is>
          <t>A 53576-2022</t>
        </is>
      </c>
      <c r="B227" s="1" t="n">
        <v>44875</v>
      </c>
      <c r="C227" s="1" t="n">
        <v>45922</v>
      </c>
      <c r="D227" t="inlineStr">
        <is>
          <t>SKÅNE LÄN</t>
        </is>
      </c>
      <c r="E227" t="inlineStr">
        <is>
          <t>HÄSSLEHOLM</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6253-2022</t>
        </is>
      </c>
      <c r="B228" s="1" t="n">
        <v>44600</v>
      </c>
      <c r="C228" s="1" t="n">
        <v>45922</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6965-2021</t>
        </is>
      </c>
      <c r="B229" s="1" t="n">
        <v>44237</v>
      </c>
      <c r="C229" s="1" t="n">
        <v>45922</v>
      </c>
      <c r="D229" t="inlineStr">
        <is>
          <t>SKÅNE LÄN</t>
        </is>
      </c>
      <c r="E229" t="inlineStr">
        <is>
          <t>HÄSSLEHOLM</t>
        </is>
      </c>
      <c r="G229" t="n">
        <v>0.3</v>
      </c>
      <c r="H229" t="n">
        <v>0</v>
      </c>
      <c r="I229" t="n">
        <v>0</v>
      </c>
      <c r="J229" t="n">
        <v>0</v>
      </c>
      <c r="K229" t="n">
        <v>0</v>
      </c>
      <c r="L229" t="n">
        <v>0</v>
      </c>
      <c r="M229" t="n">
        <v>0</v>
      </c>
      <c r="N229" t="n">
        <v>0</v>
      </c>
      <c r="O229" t="n">
        <v>0</v>
      </c>
      <c r="P229" t="n">
        <v>0</v>
      </c>
      <c r="Q229" t="n">
        <v>0</v>
      </c>
      <c r="R229" s="2" t="inlineStr"/>
    </row>
    <row r="230" ht="15" customHeight="1">
      <c r="A230" t="inlineStr">
        <is>
          <t>A 30344-2022</t>
        </is>
      </c>
      <c r="B230" s="1" t="n">
        <v>44760.50783564815</v>
      </c>
      <c r="C230" s="1" t="n">
        <v>45922</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58509-2020</t>
        </is>
      </c>
      <c r="B231" s="1" t="n">
        <v>44144</v>
      </c>
      <c r="C231" s="1" t="n">
        <v>45922</v>
      </c>
      <c r="D231" t="inlineStr">
        <is>
          <t>SKÅNE LÄN</t>
        </is>
      </c>
      <c r="E231" t="inlineStr">
        <is>
          <t>HÄSSLEHOLM</t>
        </is>
      </c>
      <c r="G231" t="n">
        <v>8.5</v>
      </c>
      <c r="H231" t="n">
        <v>0</v>
      </c>
      <c r="I231" t="n">
        <v>0</v>
      </c>
      <c r="J231" t="n">
        <v>0</v>
      </c>
      <c r="K231" t="n">
        <v>0</v>
      </c>
      <c r="L231" t="n">
        <v>0</v>
      </c>
      <c r="M231" t="n">
        <v>0</v>
      </c>
      <c r="N231" t="n">
        <v>0</v>
      </c>
      <c r="O231" t="n">
        <v>0</v>
      </c>
      <c r="P231" t="n">
        <v>0</v>
      </c>
      <c r="Q231" t="n">
        <v>0</v>
      </c>
      <c r="R231" s="2" t="inlineStr"/>
    </row>
    <row r="232" ht="15" customHeight="1">
      <c r="A232" t="inlineStr">
        <is>
          <t>A 25788-2021</t>
        </is>
      </c>
      <c r="B232" s="1" t="n">
        <v>44343</v>
      </c>
      <c r="C232" s="1" t="n">
        <v>45922</v>
      </c>
      <c r="D232" t="inlineStr">
        <is>
          <t>SKÅNE LÄN</t>
        </is>
      </c>
      <c r="E232" t="inlineStr">
        <is>
          <t>HÄSSLEHOLM</t>
        </is>
      </c>
      <c r="G232" t="n">
        <v>4.8</v>
      </c>
      <c r="H232" t="n">
        <v>0</v>
      </c>
      <c r="I232" t="n">
        <v>0</v>
      </c>
      <c r="J232" t="n">
        <v>0</v>
      </c>
      <c r="K232" t="n">
        <v>0</v>
      </c>
      <c r="L232" t="n">
        <v>0</v>
      </c>
      <c r="M232" t="n">
        <v>0</v>
      </c>
      <c r="N232" t="n">
        <v>0</v>
      </c>
      <c r="O232" t="n">
        <v>0</v>
      </c>
      <c r="P232" t="n">
        <v>0</v>
      </c>
      <c r="Q232" t="n">
        <v>0</v>
      </c>
      <c r="R232" s="2" t="inlineStr"/>
    </row>
    <row r="233" ht="15" customHeight="1">
      <c r="A233" t="inlineStr">
        <is>
          <t>A 56527-2021</t>
        </is>
      </c>
      <c r="B233" s="1" t="n">
        <v>44480</v>
      </c>
      <c r="C233" s="1" t="n">
        <v>45922</v>
      </c>
      <c r="D233" t="inlineStr">
        <is>
          <t>SKÅNE LÄN</t>
        </is>
      </c>
      <c r="E233" t="inlineStr">
        <is>
          <t>HÄSSLEHOLM</t>
        </is>
      </c>
      <c r="F233" t="inlineStr">
        <is>
          <t>Kyrkan</t>
        </is>
      </c>
      <c r="G233" t="n">
        <v>2.7</v>
      </c>
      <c r="H233" t="n">
        <v>0</v>
      </c>
      <c r="I233" t="n">
        <v>0</v>
      </c>
      <c r="J233" t="n">
        <v>0</v>
      </c>
      <c r="K233" t="n">
        <v>0</v>
      </c>
      <c r="L233" t="n">
        <v>0</v>
      </c>
      <c r="M233" t="n">
        <v>0</v>
      </c>
      <c r="N233" t="n">
        <v>0</v>
      </c>
      <c r="O233" t="n">
        <v>0</v>
      </c>
      <c r="P233" t="n">
        <v>0</v>
      </c>
      <c r="Q233" t="n">
        <v>0</v>
      </c>
      <c r="R233" s="2" t="inlineStr"/>
    </row>
    <row r="234" ht="15" customHeight="1">
      <c r="A234" t="inlineStr">
        <is>
          <t>A 62347-2020</t>
        </is>
      </c>
      <c r="B234" s="1" t="n">
        <v>44159</v>
      </c>
      <c r="C234" s="1" t="n">
        <v>45922</v>
      </c>
      <c r="D234" t="inlineStr">
        <is>
          <t>SKÅNE LÄN</t>
        </is>
      </c>
      <c r="E234" t="inlineStr">
        <is>
          <t>HÄSSLEHOLM</t>
        </is>
      </c>
      <c r="G234" t="n">
        <v>4</v>
      </c>
      <c r="H234" t="n">
        <v>0</v>
      </c>
      <c r="I234" t="n">
        <v>0</v>
      </c>
      <c r="J234" t="n">
        <v>0</v>
      </c>
      <c r="K234" t="n">
        <v>0</v>
      </c>
      <c r="L234" t="n">
        <v>0</v>
      </c>
      <c r="M234" t="n">
        <v>0</v>
      </c>
      <c r="N234" t="n">
        <v>0</v>
      </c>
      <c r="O234" t="n">
        <v>0</v>
      </c>
      <c r="P234" t="n">
        <v>0</v>
      </c>
      <c r="Q234" t="n">
        <v>0</v>
      </c>
      <c r="R234" s="2" t="inlineStr"/>
    </row>
    <row r="235" ht="15" customHeight="1">
      <c r="A235" t="inlineStr">
        <is>
          <t>A 47121-2020</t>
        </is>
      </c>
      <c r="B235" s="1" t="n">
        <v>44096</v>
      </c>
      <c r="C235" s="1" t="n">
        <v>45922</v>
      </c>
      <c r="D235" t="inlineStr">
        <is>
          <t>SKÅNE LÄN</t>
        </is>
      </c>
      <c r="E235" t="inlineStr">
        <is>
          <t>HÄSSLEHOLM</t>
        </is>
      </c>
      <c r="G235" t="n">
        <v>3.6</v>
      </c>
      <c r="H235" t="n">
        <v>0</v>
      </c>
      <c r="I235" t="n">
        <v>0</v>
      </c>
      <c r="J235" t="n">
        <v>0</v>
      </c>
      <c r="K235" t="n">
        <v>0</v>
      </c>
      <c r="L235" t="n">
        <v>0</v>
      </c>
      <c r="M235" t="n">
        <v>0</v>
      </c>
      <c r="N235" t="n">
        <v>0</v>
      </c>
      <c r="O235" t="n">
        <v>0</v>
      </c>
      <c r="P235" t="n">
        <v>0</v>
      </c>
      <c r="Q235" t="n">
        <v>0</v>
      </c>
      <c r="R235" s="2" t="inlineStr"/>
    </row>
    <row r="236" ht="15" customHeight="1">
      <c r="A236" t="inlineStr">
        <is>
          <t>A 23003-2021</t>
        </is>
      </c>
      <c r="B236" s="1" t="n">
        <v>44328</v>
      </c>
      <c r="C236" s="1" t="n">
        <v>45922</v>
      </c>
      <c r="D236" t="inlineStr">
        <is>
          <t>SKÅNE LÄN</t>
        </is>
      </c>
      <c r="E236" t="inlineStr">
        <is>
          <t>HÄSSLEHOLM</t>
        </is>
      </c>
      <c r="G236" t="n">
        <v>4.4</v>
      </c>
      <c r="H236" t="n">
        <v>0</v>
      </c>
      <c r="I236" t="n">
        <v>0</v>
      </c>
      <c r="J236" t="n">
        <v>0</v>
      </c>
      <c r="K236" t="n">
        <v>0</v>
      </c>
      <c r="L236" t="n">
        <v>0</v>
      </c>
      <c r="M236" t="n">
        <v>0</v>
      </c>
      <c r="N236" t="n">
        <v>0</v>
      </c>
      <c r="O236" t="n">
        <v>0</v>
      </c>
      <c r="P236" t="n">
        <v>0</v>
      </c>
      <c r="Q236" t="n">
        <v>0</v>
      </c>
      <c r="R236" s="2" t="inlineStr"/>
    </row>
    <row r="237" ht="15" customHeight="1">
      <c r="A237" t="inlineStr">
        <is>
          <t>A 3992-2022</t>
        </is>
      </c>
      <c r="B237" s="1" t="n">
        <v>44587</v>
      </c>
      <c r="C237" s="1" t="n">
        <v>45922</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57811-2020</t>
        </is>
      </c>
      <c r="B238" s="1" t="n">
        <v>44141</v>
      </c>
      <c r="C238" s="1" t="n">
        <v>45922</v>
      </c>
      <c r="D238" t="inlineStr">
        <is>
          <t>SKÅNE LÄN</t>
        </is>
      </c>
      <c r="E238" t="inlineStr">
        <is>
          <t>HÄSSLEHOLM</t>
        </is>
      </c>
      <c r="G238" t="n">
        <v>2</v>
      </c>
      <c r="H238" t="n">
        <v>0</v>
      </c>
      <c r="I238" t="n">
        <v>0</v>
      </c>
      <c r="J238" t="n">
        <v>0</v>
      </c>
      <c r="K238" t="n">
        <v>0</v>
      </c>
      <c r="L238" t="n">
        <v>0</v>
      </c>
      <c r="M238" t="n">
        <v>0</v>
      </c>
      <c r="N238" t="n">
        <v>0</v>
      </c>
      <c r="O238" t="n">
        <v>0</v>
      </c>
      <c r="P238" t="n">
        <v>0</v>
      </c>
      <c r="Q238" t="n">
        <v>0</v>
      </c>
      <c r="R238" s="2" t="inlineStr"/>
    </row>
    <row r="239" ht="15" customHeight="1">
      <c r="A239" t="inlineStr">
        <is>
          <t>A 25955-2022</t>
        </is>
      </c>
      <c r="B239" s="1" t="n">
        <v>44734</v>
      </c>
      <c r="C239" s="1" t="n">
        <v>45922</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59542-2020</t>
        </is>
      </c>
      <c r="B240" s="1" t="n">
        <v>44148</v>
      </c>
      <c r="C240" s="1" t="n">
        <v>45922</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23830-2021</t>
        </is>
      </c>
      <c r="B241" s="1" t="n">
        <v>44335</v>
      </c>
      <c r="C241" s="1" t="n">
        <v>45922</v>
      </c>
      <c r="D241" t="inlineStr">
        <is>
          <t>SKÅNE LÄN</t>
        </is>
      </c>
      <c r="E241" t="inlineStr">
        <is>
          <t>HÄSSLEHOLM</t>
        </is>
      </c>
      <c r="G241" t="n">
        <v>18.7</v>
      </c>
      <c r="H241" t="n">
        <v>0</v>
      </c>
      <c r="I241" t="n">
        <v>0</v>
      </c>
      <c r="J241" t="n">
        <v>0</v>
      </c>
      <c r="K241" t="n">
        <v>0</v>
      </c>
      <c r="L241" t="n">
        <v>0</v>
      </c>
      <c r="M241" t="n">
        <v>0</v>
      </c>
      <c r="N241" t="n">
        <v>0</v>
      </c>
      <c r="O241" t="n">
        <v>0</v>
      </c>
      <c r="P241" t="n">
        <v>0</v>
      </c>
      <c r="Q241" t="n">
        <v>0</v>
      </c>
      <c r="R241" s="2" t="inlineStr"/>
    </row>
    <row r="242" ht="15" customHeight="1">
      <c r="A242" t="inlineStr">
        <is>
          <t>A 5091-2022</t>
        </is>
      </c>
      <c r="B242" s="1" t="n">
        <v>44593.85114583333</v>
      </c>
      <c r="C242" s="1" t="n">
        <v>45922</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7729-2021</t>
        </is>
      </c>
      <c r="B243" s="1" t="n">
        <v>44242</v>
      </c>
      <c r="C243" s="1" t="n">
        <v>45922</v>
      </c>
      <c r="D243" t="inlineStr">
        <is>
          <t>SKÅNE LÄN</t>
        </is>
      </c>
      <c r="E243" t="inlineStr">
        <is>
          <t>HÄSSLEHOLM</t>
        </is>
      </c>
      <c r="G243" t="n">
        <v>0.8</v>
      </c>
      <c r="H243" t="n">
        <v>0</v>
      </c>
      <c r="I243" t="n">
        <v>0</v>
      </c>
      <c r="J243" t="n">
        <v>0</v>
      </c>
      <c r="K243" t="n">
        <v>0</v>
      </c>
      <c r="L243" t="n">
        <v>0</v>
      </c>
      <c r="M243" t="n">
        <v>0</v>
      </c>
      <c r="N243" t="n">
        <v>0</v>
      </c>
      <c r="O243" t="n">
        <v>0</v>
      </c>
      <c r="P243" t="n">
        <v>0</v>
      </c>
      <c r="Q243" t="n">
        <v>0</v>
      </c>
      <c r="R243" s="2" t="inlineStr"/>
    </row>
    <row r="244" ht="15" customHeight="1">
      <c r="A244" t="inlineStr">
        <is>
          <t>A 197-2021</t>
        </is>
      </c>
      <c r="B244" s="1" t="n">
        <v>44200</v>
      </c>
      <c r="C244" s="1" t="n">
        <v>45922</v>
      </c>
      <c r="D244" t="inlineStr">
        <is>
          <t>SKÅNE LÄN</t>
        </is>
      </c>
      <c r="E244" t="inlineStr">
        <is>
          <t>HÄSSLEHOLM</t>
        </is>
      </c>
      <c r="G244" t="n">
        <v>12.9</v>
      </c>
      <c r="H244" t="n">
        <v>0</v>
      </c>
      <c r="I244" t="n">
        <v>0</v>
      </c>
      <c r="J244" t="n">
        <v>0</v>
      </c>
      <c r="K244" t="n">
        <v>0</v>
      </c>
      <c r="L244" t="n">
        <v>0</v>
      </c>
      <c r="M244" t="n">
        <v>0</v>
      </c>
      <c r="N244" t="n">
        <v>0</v>
      </c>
      <c r="O244" t="n">
        <v>0</v>
      </c>
      <c r="P244" t="n">
        <v>0</v>
      </c>
      <c r="Q244" t="n">
        <v>0</v>
      </c>
      <c r="R244" s="2" t="inlineStr"/>
    </row>
    <row r="245" ht="15" customHeight="1">
      <c r="A245" t="inlineStr">
        <is>
          <t>A 20657-2022</t>
        </is>
      </c>
      <c r="B245" s="1" t="n">
        <v>44700</v>
      </c>
      <c r="C245" s="1" t="n">
        <v>45922</v>
      </c>
      <c r="D245" t="inlineStr">
        <is>
          <t>SKÅNE LÄN</t>
        </is>
      </c>
      <c r="E245" t="inlineStr">
        <is>
          <t>HÄSSLEHOLM</t>
        </is>
      </c>
      <c r="G245" t="n">
        <v>3.8</v>
      </c>
      <c r="H245" t="n">
        <v>0</v>
      </c>
      <c r="I245" t="n">
        <v>0</v>
      </c>
      <c r="J245" t="n">
        <v>0</v>
      </c>
      <c r="K245" t="n">
        <v>0</v>
      </c>
      <c r="L245" t="n">
        <v>0</v>
      </c>
      <c r="M245" t="n">
        <v>0</v>
      </c>
      <c r="N245" t="n">
        <v>0</v>
      </c>
      <c r="O245" t="n">
        <v>0</v>
      </c>
      <c r="P245" t="n">
        <v>0</v>
      </c>
      <c r="Q245" t="n">
        <v>0</v>
      </c>
      <c r="R245" s="2" t="inlineStr"/>
    </row>
    <row r="246" ht="15" customHeight="1">
      <c r="A246" t="inlineStr">
        <is>
          <t>A 60260-2021</t>
        </is>
      </c>
      <c r="B246" s="1" t="n">
        <v>44495</v>
      </c>
      <c r="C246" s="1" t="n">
        <v>45922</v>
      </c>
      <c r="D246" t="inlineStr">
        <is>
          <t>SKÅNE LÄN</t>
        </is>
      </c>
      <c r="E246" t="inlineStr">
        <is>
          <t>HÄSSLEHOLM</t>
        </is>
      </c>
      <c r="G246" t="n">
        <v>2.1</v>
      </c>
      <c r="H246" t="n">
        <v>0</v>
      </c>
      <c r="I246" t="n">
        <v>0</v>
      </c>
      <c r="J246" t="n">
        <v>0</v>
      </c>
      <c r="K246" t="n">
        <v>0</v>
      </c>
      <c r="L246" t="n">
        <v>0</v>
      </c>
      <c r="M246" t="n">
        <v>0</v>
      </c>
      <c r="N246" t="n">
        <v>0</v>
      </c>
      <c r="O246" t="n">
        <v>0</v>
      </c>
      <c r="P246" t="n">
        <v>0</v>
      </c>
      <c r="Q246" t="n">
        <v>0</v>
      </c>
      <c r="R246" s="2" t="inlineStr"/>
    </row>
    <row r="247" ht="15" customHeight="1">
      <c r="A247" t="inlineStr">
        <is>
          <t>A 11616-2021</t>
        </is>
      </c>
      <c r="B247" s="1" t="n">
        <v>44264.63064814815</v>
      </c>
      <c r="C247" s="1" t="n">
        <v>45922</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15986-2022</t>
        </is>
      </c>
      <c r="B248" s="1" t="n">
        <v>44664</v>
      </c>
      <c r="C248" s="1" t="n">
        <v>45922</v>
      </c>
      <c r="D248" t="inlineStr">
        <is>
          <t>SKÅNE LÄN</t>
        </is>
      </c>
      <c r="E248" t="inlineStr">
        <is>
          <t>HÄSSLEHOLM</t>
        </is>
      </c>
      <c r="F248" t="inlineStr">
        <is>
          <t>Kyrkan</t>
        </is>
      </c>
      <c r="G248" t="n">
        <v>6</v>
      </c>
      <c r="H248" t="n">
        <v>0</v>
      </c>
      <c r="I248" t="n">
        <v>0</v>
      </c>
      <c r="J248" t="n">
        <v>0</v>
      </c>
      <c r="K248" t="n">
        <v>0</v>
      </c>
      <c r="L248" t="n">
        <v>0</v>
      </c>
      <c r="M248" t="n">
        <v>0</v>
      </c>
      <c r="N248" t="n">
        <v>0</v>
      </c>
      <c r="O248" t="n">
        <v>0</v>
      </c>
      <c r="P248" t="n">
        <v>0</v>
      </c>
      <c r="Q248" t="n">
        <v>0</v>
      </c>
      <c r="R248" s="2" t="inlineStr"/>
    </row>
    <row r="249" ht="15" customHeight="1">
      <c r="A249" t="inlineStr">
        <is>
          <t>A 51893-2021</t>
        </is>
      </c>
      <c r="B249" s="1" t="n">
        <v>44462</v>
      </c>
      <c r="C249" s="1" t="n">
        <v>45922</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51888-2021</t>
        </is>
      </c>
      <c r="B250" s="1" t="n">
        <v>44462</v>
      </c>
      <c r="C250" s="1" t="n">
        <v>45922</v>
      </c>
      <c r="D250" t="inlineStr">
        <is>
          <t>SKÅNE LÄN</t>
        </is>
      </c>
      <c r="E250" t="inlineStr">
        <is>
          <t>HÄSSLEHOLM</t>
        </is>
      </c>
      <c r="G250" t="n">
        <v>5.6</v>
      </c>
      <c r="H250" t="n">
        <v>0</v>
      </c>
      <c r="I250" t="n">
        <v>0</v>
      </c>
      <c r="J250" t="n">
        <v>0</v>
      </c>
      <c r="K250" t="n">
        <v>0</v>
      </c>
      <c r="L250" t="n">
        <v>0</v>
      </c>
      <c r="M250" t="n">
        <v>0</v>
      </c>
      <c r="N250" t="n">
        <v>0</v>
      </c>
      <c r="O250" t="n">
        <v>0</v>
      </c>
      <c r="P250" t="n">
        <v>0</v>
      </c>
      <c r="Q250" t="n">
        <v>0</v>
      </c>
      <c r="R250" s="2" t="inlineStr"/>
    </row>
    <row r="251" ht="15" customHeight="1">
      <c r="A251" t="inlineStr">
        <is>
          <t>A 55394-2022</t>
        </is>
      </c>
      <c r="B251" s="1" t="n">
        <v>44887.57112268519</v>
      </c>
      <c r="C251" s="1" t="n">
        <v>45922</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3930-2021</t>
        </is>
      </c>
      <c r="B252" s="1" t="n">
        <v>44222</v>
      </c>
      <c r="C252" s="1" t="n">
        <v>45922</v>
      </c>
      <c r="D252" t="inlineStr">
        <is>
          <t>SKÅNE LÄN</t>
        </is>
      </c>
      <c r="E252" t="inlineStr">
        <is>
          <t>HÄSSLEHOLM</t>
        </is>
      </c>
      <c r="G252" t="n">
        <v>3.4</v>
      </c>
      <c r="H252" t="n">
        <v>0</v>
      </c>
      <c r="I252" t="n">
        <v>0</v>
      </c>
      <c r="J252" t="n">
        <v>0</v>
      </c>
      <c r="K252" t="n">
        <v>0</v>
      </c>
      <c r="L252" t="n">
        <v>0</v>
      </c>
      <c r="M252" t="n">
        <v>0</v>
      </c>
      <c r="N252" t="n">
        <v>0</v>
      </c>
      <c r="O252" t="n">
        <v>0</v>
      </c>
      <c r="P252" t="n">
        <v>0</v>
      </c>
      <c r="Q252" t="n">
        <v>0</v>
      </c>
      <c r="R252" s="2" t="inlineStr"/>
    </row>
    <row r="253" ht="15" customHeight="1">
      <c r="A253" t="inlineStr">
        <is>
          <t>A 23956-2023</t>
        </is>
      </c>
      <c r="B253" s="1" t="n">
        <v>45078.62302083334</v>
      </c>
      <c r="C253" s="1" t="n">
        <v>45922</v>
      </c>
      <c r="D253" t="inlineStr">
        <is>
          <t>SKÅNE LÄN</t>
        </is>
      </c>
      <c r="E253" t="inlineStr">
        <is>
          <t>HÄSSLEHOLM</t>
        </is>
      </c>
      <c r="G253" t="n">
        <v>0.1</v>
      </c>
      <c r="H253" t="n">
        <v>0</v>
      </c>
      <c r="I253" t="n">
        <v>0</v>
      </c>
      <c r="J253" t="n">
        <v>0</v>
      </c>
      <c r="K253" t="n">
        <v>0</v>
      </c>
      <c r="L253" t="n">
        <v>0</v>
      </c>
      <c r="M253" t="n">
        <v>0</v>
      </c>
      <c r="N253" t="n">
        <v>0</v>
      </c>
      <c r="O253" t="n">
        <v>0</v>
      </c>
      <c r="P253" t="n">
        <v>0</v>
      </c>
      <c r="Q253" t="n">
        <v>0</v>
      </c>
      <c r="R253" s="2" t="inlineStr"/>
    </row>
    <row r="254" ht="15" customHeight="1">
      <c r="A254" t="inlineStr">
        <is>
          <t>A 58268-2024</t>
        </is>
      </c>
      <c r="B254" s="1" t="n">
        <v>45632.56893518518</v>
      </c>
      <c r="C254" s="1" t="n">
        <v>45922</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24985-2025</t>
        </is>
      </c>
      <c r="B255" s="1" t="n">
        <v>45799.60256944445</v>
      </c>
      <c r="C255" s="1" t="n">
        <v>45922</v>
      </c>
      <c r="D255" t="inlineStr">
        <is>
          <t>SKÅNE LÄN</t>
        </is>
      </c>
      <c r="E255" t="inlineStr">
        <is>
          <t>HÄSSLEHOLM</t>
        </is>
      </c>
      <c r="G255" t="n">
        <v>2.3</v>
      </c>
      <c r="H255" t="n">
        <v>0</v>
      </c>
      <c r="I255" t="n">
        <v>0</v>
      </c>
      <c r="J255" t="n">
        <v>0</v>
      </c>
      <c r="K255" t="n">
        <v>0</v>
      </c>
      <c r="L255" t="n">
        <v>0</v>
      </c>
      <c r="M255" t="n">
        <v>0</v>
      </c>
      <c r="N255" t="n">
        <v>0</v>
      </c>
      <c r="O255" t="n">
        <v>0</v>
      </c>
      <c r="P255" t="n">
        <v>0</v>
      </c>
      <c r="Q255" t="n">
        <v>0</v>
      </c>
      <c r="R255" s="2" t="inlineStr"/>
    </row>
    <row r="256" ht="15" customHeight="1">
      <c r="A256" t="inlineStr">
        <is>
          <t>A 10562-2025</t>
        </is>
      </c>
      <c r="B256" s="1" t="n">
        <v>45721.52913194444</v>
      </c>
      <c r="C256" s="1" t="n">
        <v>45922</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48798-2023</t>
        </is>
      </c>
      <c r="B257" s="1" t="n">
        <v>45209.25318287037</v>
      </c>
      <c r="C257" s="1" t="n">
        <v>45922</v>
      </c>
      <c r="D257" t="inlineStr">
        <is>
          <t>SKÅNE LÄN</t>
        </is>
      </c>
      <c r="E257" t="inlineStr">
        <is>
          <t>HÄSSLEHOLM</t>
        </is>
      </c>
      <c r="G257" t="n">
        <v>2.1</v>
      </c>
      <c r="H257" t="n">
        <v>0</v>
      </c>
      <c r="I257" t="n">
        <v>0</v>
      </c>
      <c r="J257" t="n">
        <v>0</v>
      </c>
      <c r="K257" t="n">
        <v>0</v>
      </c>
      <c r="L257" t="n">
        <v>0</v>
      </c>
      <c r="M257" t="n">
        <v>0</v>
      </c>
      <c r="N257" t="n">
        <v>0</v>
      </c>
      <c r="O257" t="n">
        <v>0</v>
      </c>
      <c r="P257" t="n">
        <v>0</v>
      </c>
      <c r="Q257" t="n">
        <v>0</v>
      </c>
      <c r="R257" s="2" t="inlineStr"/>
    </row>
    <row r="258" ht="15" customHeight="1">
      <c r="A258" t="inlineStr">
        <is>
          <t>A 48844-2023</t>
        </is>
      </c>
      <c r="B258" s="1" t="n">
        <v>45209</v>
      </c>
      <c r="C258" s="1" t="n">
        <v>45922</v>
      </c>
      <c r="D258" t="inlineStr">
        <is>
          <t>SKÅNE LÄN</t>
        </is>
      </c>
      <c r="E258" t="inlineStr">
        <is>
          <t>HÄSSLEHOLM</t>
        </is>
      </c>
      <c r="G258" t="n">
        <v>4</v>
      </c>
      <c r="H258" t="n">
        <v>0</v>
      </c>
      <c r="I258" t="n">
        <v>0</v>
      </c>
      <c r="J258" t="n">
        <v>0</v>
      </c>
      <c r="K258" t="n">
        <v>0</v>
      </c>
      <c r="L258" t="n">
        <v>0</v>
      </c>
      <c r="M258" t="n">
        <v>0</v>
      </c>
      <c r="N258" t="n">
        <v>0</v>
      </c>
      <c r="O258" t="n">
        <v>0</v>
      </c>
      <c r="P258" t="n">
        <v>0</v>
      </c>
      <c r="Q258" t="n">
        <v>0</v>
      </c>
      <c r="R258" s="2" t="inlineStr"/>
    </row>
    <row r="259" ht="15" customHeight="1">
      <c r="A259" t="inlineStr">
        <is>
          <t>A 48877-2024</t>
        </is>
      </c>
      <c r="B259" s="1" t="n">
        <v>45594.31729166667</v>
      </c>
      <c r="C259" s="1" t="n">
        <v>45922</v>
      </c>
      <c r="D259" t="inlineStr">
        <is>
          <t>SKÅNE LÄN</t>
        </is>
      </c>
      <c r="E259" t="inlineStr">
        <is>
          <t>HÄSSLEHOLM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45984-2021</t>
        </is>
      </c>
      <c r="B260" s="1" t="n">
        <v>44441</v>
      </c>
      <c r="C260" s="1" t="n">
        <v>45922</v>
      </c>
      <c r="D260" t="inlineStr">
        <is>
          <t>SKÅNE LÄN</t>
        </is>
      </c>
      <c r="E260" t="inlineStr">
        <is>
          <t>HÄSSLEHOLM</t>
        </is>
      </c>
      <c r="G260" t="n">
        <v>2.1</v>
      </c>
      <c r="H260" t="n">
        <v>0</v>
      </c>
      <c r="I260" t="n">
        <v>0</v>
      </c>
      <c r="J260" t="n">
        <v>0</v>
      </c>
      <c r="K260" t="n">
        <v>0</v>
      </c>
      <c r="L260" t="n">
        <v>0</v>
      </c>
      <c r="M260" t="n">
        <v>0</v>
      </c>
      <c r="N260" t="n">
        <v>0</v>
      </c>
      <c r="O260" t="n">
        <v>0</v>
      </c>
      <c r="P260" t="n">
        <v>0</v>
      </c>
      <c r="Q260" t="n">
        <v>0</v>
      </c>
      <c r="R260" s="2" t="inlineStr"/>
    </row>
    <row r="261" ht="15" customHeight="1">
      <c r="A261" t="inlineStr">
        <is>
          <t>A 8378-2023</t>
        </is>
      </c>
      <c r="B261" s="1" t="n">
        <v>44971</v>
      </c>
      <c r="C261" s="1" t="n">
        <v>45922</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14674-2025</t>
        </is>
      </c>
      <c r="B262" s="1" t="n">
        <v>45742.55548611111</v>
      </c>
      <c r="C262" s="1" t="n">
        <v>45922</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14702-2025</t>
        </is>
      </c>
      <c r="B263" s="1" t="n">
        <v>45742.60403935185</v>
      </c>
      <c r="C263" s="1" t="n">
        <v>45922</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29847-2024</t>
        </is>
      </c>
      <c r="B264" s="1" t="n">
        <v>45485.6278587963</v>
      </c>
      <c r="C264" s="1" t="n">
        <v>45922</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16388-2025</t>
        </is>
      </c>
      <c r="B265" s="1" t="n">
        <v>45751.42787037037</v>
      </c>
      <c r="C265" s="1" t="n">
        <v>45922</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26403-2024</t>
        </is>
      </c>
      <c r="B266" s="1" t="n">
        <v>45469.44505787037</v>
      </c>
      <c r="C266" s="1" t="n">
        <v>45922</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23950-2023</t>
        </is>
      </c>
      <c r="B267" s="1" t="n">
        <v>45078.61771990741</v>
      </c>
      <c r="C267" s="1" t="n">
        <v>45922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23952-2023</t>
        </is>
      </c>
      <c r="B268" s="1" t="n">
        <v>45078.62064814815</v>
      </c>
      <c r="C268" s="1" t="n">
        <v>45922</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35974-2022</t>
        </is>
      </c>
      <c r="B269" s="1" t="n">
        <v>44802</v>
      </c>
      <c r="C269" s="1" t="n">
        <v>45922</v>
      </c>
      <c r="D269" t="inlineStr">
        <is>
          <t>SKÅNE LÄN</t>
        </is>
      </c>
      <c r="E269" t="inlineStr">
        <is>
          <t>HÄSSLEHOLM</t>
        </is>
      </c>
      <c r="G269" t="n">
        <v>3.8</v>
      </c>
      <c r="H269" t="n">
        <v>0</v>
      </c>
      <c r="I269" t="n">
        <v>0</v>
      </c>
      <c r="J269" t="n">
        <v>0</v>
      </c>
      <c r="K269" t="n">
        <v>0</v>
      </c>
      <c r="L269" t="n">
        <v>0</v>
      </c>
      <c r="M269" t="n">
        <v>0</v>
      </c>
      <c r="N269" t="n">
        <v>0</v>
      </c>
      <c r="O269" t="n">
        <v>0</v>
      </c>
      <c r="P269" t="n">
        <v>0</v>
      </c>
      <c r="Q269" t="n">
        <v>0</v>
      </c>
      <c r="R269" s="2" t="inlineStr"/>
    </row>
    <row r="270" ht="15" customHeight="1">
      <c r="A270" t="inlineStr">
        <is>
          <t>A 24776-2025</t>
        </is>
      </c>
      <c r="B270" s="1" t="n">
        <v>45799.40640046296</v>
      </c>
      <c r="C270" s="1" t="n">
        <v>45922</v>
      </c>
      <c r="D270" t="inlineStr">
        <is>
          <t>SKÅNE LÄN</t>
        </is>
      </c>
      <c r="E270" t="inlineStr">
        <is>
          <t>HÄSSLEHOLM</t>
        </is>
      </c>
      <c r="G270" t="n">
        <v>5.4</v>
      </c>
      <c r="H270" t="n">
        <v>0</v>
      </c>
      <c r="I270" t="n">
        <v>0</v>
      </c>
      <c r="J270" t="n">
        <v>0</v>
      </c>
      <c r="K270" t="n">
        <v>0</v>
      </c>
      <c r="L270" t="n">
        <v>0</v>
      </c>
      <c r="M270" t="n">
        <v>0</v>
      </c>
      <c r="N270" t="n">
        <v>0</v>
      </c>
      <c r="O270" t="n">
        <v>0</v>
      </c>
      <c r="P270" t="n">
        <v>0</v>
      </c>
      <c r="Q270" t="n">
        <v>0</v>
      </c>
      <c r="R270" s="2" t="inlineStr"/>
    </row>
    <row r="271" ht="15" customHeight="1">
      <c r="A271" t="inlineStr">
        <is>
          <t>A 1619-2022</t>
        </is>
      </c>
      <c r="B271" s="1" t="n">
        <v>44573</v>
      </c>
      <c r="C271" s="1" t="n">
        <v>45922</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41874-2024</t>
        </is>
      </c>
      <c r="B272" s="1" t="n">
        <v>45561</v>
      </c>
      <c r="C272" s="1" t="n">
        <v>45922</v>
      </c>
      <c r="D272" t="inlineStr">
        <is>
          <t>SKÅNE LÄN</t>
        </is>
      </c>
      <c r="E272" t="inlineStr">
        <is>
          <t>HÄSSLEHOLM</t>
        </is>
      </c>
      <c r="G272" t="n">
        <v>1</v>
      </c>
      <c r="H272" t="n">
        <v>0</v>
      </c>
      <c r="I272" t="n">
        <v>0</v>
      </c>
      <c r="J272" t="n">
        <v>0</v>
      </c>
      <c r="K272" t="n">
        <v>0</v>
      </c>
      <c r="L272" t="n">
        <v>0</v>
      </c>
      <c r="M272" t="n">
        <v>0</v>
      </c>
      <c r="N272" t="n">
        <v>0</v>
      </c>
      <c r="O272" t="n">
        <v>0</v>
      </c>
      <c r="P272" t="n">
        <v>0</v>
      </c>
      <c r="Q272" t="n">
        <v>0</v>
      </c>
      <c r="R272" s="2" t="inlineStr"/>
    </row>
    <row r="273" ht="15" customHeight="1">
      <c r="A273" t="inlineStr">
        <is>
          <t>A 55284-2023</t>
        </is>
      </c>
      <c r="B273" s="1" t="n">
        <v>45237.74259259259</v>
      </c>
      <c r="C273" s="1" t="n">
        <v>45922</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24658-2025</t>
        </is>
      </c>
      <c r="B274" s="1" t="n">
        <v>45798.64134259259</v>
      </c>
      <c r="C274" s="1" t="n">
        <v>45922</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22384-2024</t>
        </is>
      </c>
      <c r="B275" s="1" t="n">
        <v>45446.65592592592</v>
      </c>
      <c r="C275" s="1" t="n">
        <v>45922</v>
      </c>
      <c r="D275" t="inlineStr">
        <is>
          <t>SKÅNE LÄN</t>
        </is>
      </c>
      <c r="E275" t="inlineStr">
        <is>
          <t>HÄSSLEHOLM</t>
        </is>
      </c>
      <c r="G275" t="n">
        <v>2.4</v>
      </c>
      <c r="H275" t="n">
        <v>0</v>
      </c>
      <c r="I275" t="n">
        <v>0</v>
      </c>
      <c r="J275" t="n">
        <v>0</v>
      </c>
      <c r="K275" t="n">
        <v>0</v>
      </c>
      <c r="L275" t="n">
        <v>0</v>
      </c>
      <c r="M275" t="n">
        <v>0</v>
      </c>
      <c r="N275" t="n">
        <v>0</v>
      </c>
      <c r="O275" t="n">
        <v>0</v>
      </c>
      <c r="P275" t="n">
        <v>0</v>
      </c>
      <c r="Q275" t="n">
        <v>0</v>
      </c>
      <c r="R275" s="2" t="inlineStr"/>
    </row>
    <row r="276" ht="15" customHeight="1">
      <c r="A276" t="inlineStr">
        <is>
          <t>A 25372-2025</t>
        </is>
      </c>
      <c r="B276" s="1" t="n">
        <v>45799</v>
      </c>
      <c r="C276" s="1" t="n">
        <v>45922</v>
      </c>
      <c r="D276" t="inlineStr">
        <is>
          <t>SKÅNE LÄN</t>
        </is>
      </c>
      <c r="E276" t="inlineStr">
        <is>
          <t>HÄSSLEHOLM</t>
        </is>
      </c>
      <c r="G276" t="n">
        <v>3.1</v>
      </c>
      <c r="H276" t="n">
        <v>0</v>
      </c>
      <c r="I276" t="n">
        <v>0</v>
      </c>
      <c r="J276" t="n">
        <v>0</v>
      </c>
      <c r="K276" t="n">
        <v>0</v>
      </c>
      <c r="L276" t="n">
        <v>0</v>
      </c>
      <c r="M276" t="n">
        <v>0</v>
      </c>
      <c r="N276" t="n">
        <v>0</v>
      </c>
      <c r="O276" t="n">
        <v>0</v>
      </c>
      <c r="P276" t="n">
        <v>0</v>
      </c>
      <c r="Q276" t="n">
        <v>0</v>
      </c>
      <c r="R276" s="2" t="inlineStr"/>
    </row>
    <row r="277" ht="15" customHeight="1">
      <c r="A277" t="inlineStr">
        <is>
          <t>A 9399-2025</t>
        </is>
      </c>
      <c r="B277" s="1" t="n">
        <v>45715.37861111111</v>
      </c>
      <c r="C277" s="1" t="n">
        <v>45922</v>
      </c>
      <c r="D277" t="inlineStr">
        <is>
          <t>SKÅNE LÄN</t>
        </is>
      </c>
      <c r="E277" t="inlineStr">
        <is>
          <t>HÄSSLEHOLM</t>
        </is>
      </c>
      <c r="G277" t="n">
        <v>5.2</v>
      </c>
      <c r="H277" t="n">
        <v>0</v>
      </c>
      <c r="I277" t="n">
        <v>0</v>
      </c>
      <c r="J277" t="n">
        <v>0</v>
      </c>
      <c r="K277" t="n">
        <v>0</v>
      </c>
      <c r="L277" t="n">
        <v>0</v>
      </c>
      <c r="M277" t="n">
        <v>0</v>
      </c>
      <c r="N277" t="n">
        <v>0</v>
      </c>
      <c r="O277" t="n">
        <v>0</v>
      </c>
      <c r="P277" t="n">
        <v>0</v>
      </c>
      <c r="Q277" t="n">
        <v>0</v>
      </c>
      <c r="R277" s="2" t="inlineStr"/>
    </row>
    <row r="278" ht="15" customHeight="1">
      <c r="A278" t="inlineStr">
        <is>
          <t>A 7890-2024</t>
        </is>
      </c>
      <c r="B278" s="1" t="n">
        <v>45350.40780092592</v>
      </c>
      <c r="C278" s="1" t="n">
        <v>45922</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9668-2025</t>
        </is>
      </c>
      <c r="B279" s="1" t="n">
        <v>45716.3278587963</v>
      </c>
      <c r="C279" s="1" t="n">
        <v>45922</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45398-2024</t>
        </is>
      </c>
      <c r="B280" s="1" t="n">
        <v>45576.56260416667</v>
      </c>
      <c r="C280" s="1" t="n">
        <v>45922</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24241-2023</t>
        </is>
      </c>
      <c r="B281" s="1" t="n">
        <v>45079.61476851852</v>
      </c>
      <c r="C281" s="1" t="n">
        <v>45922</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259-2024</t>
        </is>
      </c>
      <c r="B282" s="1" t="n">
        <v>45294</v>
      </c>
      <c r="C282" s="1" t="n">
        <v>45922</v>
      </c>
      <c r="D282" t="inlineStr">
        <is>
          <t>SKÅNE LÄN</t>
        </is>
      </c>
      <c r="E282" t="inlineStr">
        <is>
          <t>HÄSSLEHOLM</t>
        </is>
      </c>
      <c r="G282" t="n">
        <v>8</v>
      </c>
      <c r="H282" t="n">
        <v>0</v>
      </c>
      <c r="I282" t="n">
        <v>0</v>
      </c>
      <c r="J282" t="n">
        <v>0</v>
      </c>
      <c r="K282" t="n">
        <v>0</v>
      </c>
      <c r="L282" t="n">
        <v>0</v>
      </c>
      <c r="M282" t="n">
        <v>0</v>
      </c>
      <c r="N282" t="n">
        <v>0</v>
      </c>
      <c r="O282" t="n">
        <v>0</v>
      </c>
      <c r="P282" t="n">
        <v>0</v>
      </c>
      <c r="Q282" t="n">
        <v>0</v>
      </c>
      <c r="R282" s="2" t="inlineStr"/>
    </row>
    <row r="283" ht="15" customHeight="1">
      <c r="A283" t="inlineStr">
        <is>
          <t>A 29659-2024</t>
        </is>
      </c>
      <c r="B283" s="1" t="n">
        <v>45484.92587962963</v>
      </c>
      <c r="C283" s="1" t="n">
        <v>45922</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27837-2024</t>
        </is>
      </c>
      <c r="B284" s="1" t="n">
        <v>45475</v>
      </c>
      <c r="C284" s="1" t="n">
        <v>45922</v>
      </c>
      <c r="D284" t="inlineStr">
        <is>
          <t>SKÅNE LÄN</t>
        </is>
      </c>
      <c r="E284" t="inlineStr">
        <is>
          <t>HÄSSLEHOLM</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1679-2022</t>
        </is>
      </c>
      <c r="B285" s="1" t="n">
        <v>44573</v>
      </c>
      <c r="C285" s="1" t="n">
        <v>45922</v>
      </c>
      <c r="D285" t="inlineStr">
        <is>
          <t>SKÅNE LÄN</t>
        </is>
      </c>
      <c r="E285" t="inlineStr">
        <is>
          <t>HÄSSLEHOLM</t>
        </is>
      </c>
      <c r="F285" t="inlineStr">
        <is>
          <t>Kyrkan</t>
        </is>
      </c>
      <c r="G285" t="n">
        <v>4.3</v>
      </c>
      <c r="H285" t="n">
        <v>0</v>
      </c>
      <c r="I285" t="n">
        <v>0</v>
      </c>
      <c r="J285" t="n">
        <v>0</v>
      </c>
      <c r="K285" t="n">
        <v>0</v>
      </c>
      <c r="L285" t="n">
        <v>0</v>
      </c>
      <c r="M285" t="n">
        <v>0</v>
      </c>
      <c r="N285" t="n">
        <v>0</v>
      </c>
      <c r="O285" t="n">
        <v>0</v>
      </c>
      <c r="P285" t="n">
        <v>0</v>
      </c>
      <c r="Q285" t="n">
        <v>0</v>
      </c>
      <c r="R285" s="2" t="inlineStr"/>
    </row>
    <row r="286" ht="15" customHeight="1">
      <c r="A286" t="inlineStr">
        <is>
          <t>A 4140-2023</t>
        </is>
      </c>
      <c r="B286" s="1" t="n">
        <v>44953</v>
      </c>
      <c r="C286" s="1" t="n">
        <v>45922</v>
      </c>
      <c r="D286" t="inlineStr">
        <is>
          <t>SKÅNE LÄN</t>
        </is>
      </c>
      <c r="E286" t="inlineStr">
        <is>
          <t>HÄSSLEHOLM</t>
        </is>
      </c>
      <c r="G286" t="n">
        <v>10.6</v>
      </c>
      <c r="H286" t="n">
        <v>0</v>
      </c>
      <c r="I286" t="n">
        <v>0</v>
      </c>
      <c r="J286" t="n">
        <v>0</v>
      </c>
      <c r="K286" t="n">
        <v>0</v>
      </c>
      <c r="L286" t="n">
        <v>0</v>
      </c>
      <c r="M286" t="n">
        <v>0</v>
      </c>
      <c r="N286" t="n">
        <v>0</v>
      </c>
      <c r="O286" t="n">
        <v>0</v>
      </c>
      <c r="P286" t="n">
        <v>0</v>
      </c>
      <c r="Q286" t="n">
        <v>0</v>
      </c>
      <c r="R286" s="2" t="inlineStr"/>
    </row>
    <row r="287" ht="15" customHeight="1">
      <c r="A287" t="inlineStr">
        <is>
          <t>A 49865-2020</t>
        </is>
      </c>
      <c r="B287" s="1" t="n">
        <v>44107</v>
      </c>
      <c r="C287" s="1" t="n">
        <v>45922</v>
      </c>
      <c r="D287" t="inlineStr">
        <is>
          <t>SKÅNE LÄN</t>
        </is>
      </c>
      <c r="E287" t="inlineStr">
        <is>
          <t>HÄSSLEHOLM</t>
        </is>
      </c>
      <c r="G287" t="n">
        <v>1.4</v>
      </c>
      <c r="H287" t="n">
        <v>0</v>
      </c>
      <c r="I287" t="n">
        <v>0</v>
      </c>
      <c r="J287" t="n">
        <v>0</v>
      </c>
      <c r="K287" t="n">
        <v>0</v>
      </c>
      <c r="L287" t="n">
        <v>0</v>
      </c>
      <c r="M287" t="n">
        <v>0</v>
      </c>
      <c r="N287" t="n">
        <v>0</v>
      </c>
      <c r="O287" t="n">
        <v>0</v>
      </c>
      <c r="P287" t="n">
        <v>0</v>
      </c>
      <c r="Q287" t="n">
        <v>0</v>
      </c>
      <c r="R287" s="2" t="inlineStr"/>
    </row>
    <row r="288" ht="15" customHeight="1">
      <c r="A288" t="inlineStr">
        <is>
          <t>A 21310-2022</t>
        </is>
      </c>
      <c r="B288" s="1" t="n">
        <v>44705</v>
      </c>
      <c r="C288" s="1" t="n">
        <v>45922</v>
      </c>
      <c r="D288" t="inlineStr">
        <is>
          <t>SKÅNE LÄN</t>
        </is>
      </c>
      <c r="E288" t="inlineStr">
        <is>
          <t>HÄSSLEHOLM</t>
        </is>
      </c>
      <c r="G288" t="n">
        <v>1</v>
      </c>
      <c r="H288" t="n">
        <v>0</v>
      </c>
      <c r="I288" t="n">
        <v>0</v>
      </c>
      <c r="J288" t="n">
        <v>0</v>
      </c>
      <c r="K288" t="n">
        <v>0</v>
      </c>
      <c r="L288" t="n">
        <v>0</v>
      </c>
      <c r="M288" t="n">
        <v>0</v>
      </c>
      <c r="N288" t="n">
        <v>0</v>
      </c>
      <c r="O288" t="n">
        <v>0</v>
      </c>
      <c r="P288" t="n">
        <v>0</v>
      </c>
      <c r="Q288" t="n">
        <v>0</v>
      </c>
      <c r="R288" s="2" t="inlineStr"/>
    </row>
    <row r="289" ht="15" customHeight="1">
      <c r="A289" t="inlineStr">
        <is>
          <t>A 50000-2023</t>
        </is>
      </c>
      <c r="B289" s="1" t="n">
        <v>45215.4434837963</v>
      </c>
      <c r="C289" s="1" t="n">
        <v>45922</v>
      </c>
      <c r="D289" t="inlineStr">
        <is>
          <t>SKÅNE LÄN</t>
        </is>
      </c>
      <c r="E289" t="inlineStr">
        <is>
          <t>HÄSSLEHOLM</t>
        </is>
      </c>
      <c r="G289" t="n">
        <v>1.6</v>
      </c>
      <c r="H289" t="n">
        <v>0</v>
      </c>
      <c r="I289" t="n">
        <v>0</v>
      </c>
      <c r="J289" t="n">
        <v>0</v>
      </c>
      <c r="K289" t="n">
        <v>0</v>
      </c>
      <c r="L289" t="n">
        <v>0</v>
      </c>
      <c r="M289" t="n">
        <v>0</v>
      </c>
      <c r="N289" t="n">
        <v>0</v>
      </c>
      <c r="O289" t="n">
        <v>0</v>
      </c>
      <c r="P289" t="n">
        <v>0</v>
      </c>
      <c r="Q289" t="n">
        <v>0</v>
      </c>
      <c r="R289" s="2" t="inlineStr"/>
    </row>
    <row r="290" ht="15" customHeight="1">
      <c r="A290" t="inlineStr">
        <is>
          <t>A 3500-2024</t>
        </is>
      </c>
      <c r="B290" s="1" t="n">
        <v>45320</v>
      </c>
      <c r="C290" s="1" t="n">
        <v>45922</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51565-2023</t>
        </is>
      </c>
      <c r="B291" s="1" t="n">
        <v>45222</v>
      </c>
      <c r="C291" s="1" t="n">
        <v>45922</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58815-2023</t>
        </is>
      </c>
      <c r="B292" s="1" t="n">
        <v>45247</v>
      </c>
      <c r="C292" s="1" t="n">
        <v>45922</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417-2022</t>
        </is>
      </c>
      <c r="B293" s="1" t="n">
        <v>44565.84615740741</v>
      </c>
      <c r="C293" s="1" t="n">
        <v>45922</v>
      </c>
      <c r="D293" t="inlineStr">
        <is>
          <t>SKÅNE LÄN</t>
        </is>
      </c>
      <c r="E293" t="inlineStr">
        <is>
          <t>HÄSSLEHOLM</t>
        </is>
      </c>
      <c r="G293" t="n">
        <v>0</v>
      </c>
      <c r="H293" t="n">
        <v>0</v>
      </c>
      <c r="I293" t="n">
        <v>0</v>
      </c>
      <c r="J293" t="n">
        <v>0</v>
      </c>
      <c r="K293" t="n">
        <v>0</v>
      </c>
      <c r="L293" t="n">
        <v>0</v>
      </c>
      <c r="M293" t="n">
        <v>0</v>
      </c>
      <c r="N293" t="n">
        <v>0</v>
      </c>
      <c r="O293" t="n">
        <v>0</v>
      </c>
      <c r="P293" t="n">
        <v>0</v>
      </c>
      <c r="Q293" t="n">
        <v>0</v>
      </c>
      <c r="R293" s="2" t="inlineStr"/>
    </row>
    <row r="294" ht="15" customHeight="1">
      <c r="A294" t="inlineStr">
        <is>
          <t>A 51040-2024</t>
        </is>
      </c>
      <c r="B294" s="1" t="n">
        <v>45603.43222222223</v>
      </c>
      <c r="C294" s="1" t="n">
        <v>45922</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51571-2023</t>
        </is>
      </c>
      <c r="B295" s="1" t="n">
        <v>45222</v>
      </c>
      <c r="C295" s="1" t="n">
        <v>45922</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33597-2023</t>
        </is>
      </c>
      <c r="B296" s="1" t="n">
        <v>45132</v>
      </c>
      <c r="C296" s="1" t="n">
        <v>45922</v>
      </c>
      <c r="D296" t="inlineStr">
        <is>
          <t>SKÅNE LÄN</t>
        </is>
      </c>
      <c r="E296" t="inlineStr">
        <is>
          <t>HÄSSLEHOLM</t>
        </is>
      </c>
      <c r="G296" t="n">
        <v>3.9</v>
      </c>
      <c r="H296" t="n">
        <v>0</v>
      </c>
      <c r="I296" t="n">
        <v>0</v>
      </c>
      <c r="J296" t="n">
        <v>0</v>
      </c>
      <c r="K296" t="n">
        <v>0</v>
      </c>
      <c r="L296" t="n">
        <v>0</v>
      </c>
      <c r="M296" t="n">
        <v>0</v>
      </c>
      <c r="N296" t="n">
        <v>0</v>
      </c>
      <c r="O296" t="n">
        <v>0</v>
      </c>
      <c r="P296" t="n">
        <v>0</v>
      </c>
      <c r="Q296" t="n">
        <v>0</v>
      </c>
      <c r="R296" s="2" t="inlineStr"/>
    </row>
    <row r="297" ht="15" customHeight="1">
      <c r="A297" t="inlineStr">
        <is>
          <t>A 33599-2023</t>
        </is>
      </c>
      <c r="B297" s="1" t="n">
        <v>45132</v>
      </c>
      <c r="C297" s="1" t="n">
        <v>45922</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50249-2024</t>
        </is>
      </c>
      <c r="B298" s="1" t="n">
        <v>45600.56866898148</v>
      </c>
      <c r="C298" s="1" t="n">
        <v>45922</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27173-2024</t>
        </is>
      </c>
      <c r="B299" s="1" t="n">
        <v>45471.57048611111</v>
      </c>
      <c r="C299" s="1" t="n">
        <v>45922</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25615-2025</t>
        </is>
      </c>
      <c r="B300" s="1" t="n">
        <v>45803</v>
      </c>
      <c r="C300" s="1" t="n">
        <v>45922</v>
      </c>
      <c r="D300" t="inlineStr">
        <is>
          <t>SKÅNE LÄN</t>
        </is>
      </c>
      <c r="E300" t="inlineStr">
        <is>
          <t>HÄSSLEHOLM</t>
        </is>
      </c>
      <c r="G300" t="n">
        <v>2.6</v>
      </c>
      <c r="H300" t="n">
        <v>0</v>
      </c>
      <c r="I300" t="n">
        <v>0</v>
      </c>
      <c r="J300" t="n">
        <v>0</v>
      </c>
      <c r="K300" t="n">
        <v>0</v>
      </c>
      <c r="L300" t="n">
        <v>0</v>
      </c>
      <c r="M300" t="n">
        <v>0</v>
      </c>
      <c r="N300" t="n">
        <v>0</v>
      </c>
      <c r="O300" t="n">
        <v>0</v>
      </c>
      <c r="P300" t="n">
        <v>0</v>
      </c>
      <c r="Q300" t="n">
        <v>0</v>
      </c>
      <c r="R300" s="2" t="inlineStr"/>
    </row>
    <row r="301" ht="15" customHeight="1">
      <c r="A301" t="inlineStr">
        <is>
          <t>A 10020-2024</t>
        </is>
      </c>
      <c r="B301" s="1" t="n">
        <v>45363.96944444445</v>
      </c>
      <c r="C301" s="1" t="n">
        <v>45922</v>
      </c>
      <c r="D301" t="inlineStr">
        <is>
          <t>SKÅNE LÄN</t>
        </is>
      </c>
      <c r="E301" t="inlineStr">
        <is>
          <t>HÄSSLEHOLM</t>
        </is>
      </c>
      <c r="G301" t="n">
        <v>5.3</v>
      </c>
      <c r="H301" t="n">
        <v>0</v>
      </c>
      <c r="I301" t="n">
        <v>0</v>
      </c>
      <c r="J301" t="n">
        <v>0</v>
      </c>
      <c r="K301" t="n">
        <v>0</v>
      </c>
      <c r="L301" t="n">
        <v>0</v>
      </c>
      <c r="M301" t="n">
        <v>0</v>
      </c>
      <c r="N301" t="n">
        <v>0</v>
      </c>
      <c r="O301" t="n">
        <v>0</v>
      </c>
      <c r="P301" t="n">
        <v>0</v>
      </c>
      <c r="Q301" t="n">
        <v>0</v>
      </c>
      <c r="R301" s="2" t="inlineStr"/>
    </row>
    <row r="302" ht="15" customHeight="1">
      <c r="A302" t="inlineStr">
        <is>
          <t>A 11412-2025</t>
        </is>
      </c>
      <c r="B302" s="1" t="n">
        <v>45726</v>
      </c>
      <c r="C302" s="1" t="n">
        <v>45922</v>
      </c>
      <c r="D302" t="inlineStr">
        <is>
          <t>SKÅNE LÄN</t>
        </is>
      </c>
      <c r="E302" t="inlineStr">
        <is>
          <t>HÄSSLEHOLM</t>
        </is>
      </c>
      <c r="G302" t="n">
        <v>2.1</v>
      </c>
      <c r="H302" t="n">
        <v>0</v>
      </c>
      <c r="I302" t="n">
        <v>0</v>
      </c>
      <c r="J302" t="n">
        <v>0</v>
      </c>
      <c r="K302" t="n">
        <v>0</v>
      </c>
      <c r="L302" t="n">
        <v>0</v>
      </c>
      <c r="M302" t="n">
        <v>0</v>
      </c>
      <c r="N302" t="n">
        <v>0</v>
      </c>
      <c r="O302" t="n">
        <v>0</v>
      </c>
      <c r="P302" t="n">
        <v>0</v>
      </c>
      <c r="Q302" t="n">
        <v>0</v>
      </c>
      <c r="R302" s="2" t="inlineStr"/>
    </row>
    <row r="303" ht="15" customHeight="1">
      <c r="A303" t="inlineStr">
        <is>
          <t>A 25430-2025</t>
        </is>
      </c>
      <c r="B303" s="1" t="n">
        <v>45800.78212962963</v>
      </c>
      <c r="C303" s="1" t="n">
        <v>45922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54326-2022</t>
        </is>
      </c>
      <c r="B304" s="1" t="n">
        <v>44882.42965277778</v>
      </c>
      <c r="C304" s="1" t="n">
        <v>45922</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49181-2024</t>
        </is>
      </c>
      <c r="B305" s="1" t="n">
        <v>45595</v>
      </c>
      <c r="C305" s="1" t="n">
        <v>45922</v>
      </c>
      <c r="D305" t="inlineStr">
        <is>
          <t>SKÅNE LÄN</t>
        </is>
      </c>
      <c r="E305" t="inlineStr">
        <is>
          <t>HÄSSLEHOLM</t>
        </is>
      </c>
      <c r="G305" t="n">
        <v>0.7</v>
      </c>
      <c r="H305" t="n">
        <v>0</v>
      </c>
      <c r="I305" t="n">
        <v>0</v>
      </c>
      <c r="J305" t="n">
        <v>0</v>
      </c>
      <c r="K305" t="n">
        <v>0</v>
      </c>
      <c r="L305" t="n">
        <v>0</v>
      </c>
      <c r="M305" t="n">
        <v>0</v>
      </c>
      <c r="N305" t="n">
        <v>0</v>
      </c>
      <c r="O305" t="n">
        <v>0</v>
      </c>
      <c r="P305" t="n">
        <v>0</v>
      </c>
      <c r="Q305" t="n">
        <v>0</v>
      </c>
      <c r="R305" s="2" t="inlineStr"/>
    </row>
    <row r="306" ht="15" customHeight="1">
      <c r="A306" t="inlineStr">
        <is>
          <t>A 9678-2025</t>
        </is>
      </c>
      <c r="B306" s="1" t="n">
        <v>45716.34403935185</v>
      </c>
      <c r="C306" s="1" t="n">
        <v>45922</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11466-2025</t>
        </is>
      </c>
      <c r="B307" s="1" t="n">
        <v>45726</v>
      </c>
      <c r="C307" s="1" t="n">
        <v>45922</v>
      </c>
      <c r="D307" t="inlineStr">
        <is>
          <t>SKÅNE LÄN</t>
        </is>
      </c>
      <c r="E307" t="inlineStr">
        <is>
          <t>HÄSSLEHOLM</t>
        </is>
      </c>
      <c r="G307" t="n">
        <v>3.2</v>
      </c>
      <c r="H307" t="n">
        <v>0</v>
      </c>
      <c r="I307" t="n">
        <v>0</v>
      </c>
      <c r="J307" t="n">
        <v>0</v>
      </c>
      <c r="K307" t="n">
        <v>0</v>
      </c>
      <c r="L307" t="n">
        <v>0</v>
      </c>
      <c r="M307" t="n">
        <v>0</v>
      </c>
      <c r="N307" t="n">
        <v>0</v>
      </c>
      <c r="O307" t="n">
        <v>0</v>
      </c>
      <c r="P307" t="n">
        <v>0</v>
      </c>
      <c r="Q307" t="n">
        <v>0</v>
      </c>
      <c r="R307" s="2" t="inlineStr"/>
    </row>
    <row r="308" ht="15" customHeight="1">
      <c r="A308" t="inlineStr">
        <is>
          <t>A 54174-2022</t>
        </is>
      </c>
      <c r="B308" s="1" t="n">
        <v>44881</v>
      </c>
      <c r="C308" s="1" t="n">
        <v>45922</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32794-2023</t>
        </is>
      </c>
      <c r="B309" s="1" t="n">
        <v>45124.40446759259</v>
      </c>
      <c r="C309" s="1" t="n">
        <v>45922</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70087-2021</t>
        </is>
      </c>
      <c r="B310" s="1" t="n">
        <v>44533</v>
      </c>
      <c r="C310" s="1" t="n">
        <v>45922</v>
      </c>
      <c r="D310" t="inlineStr">
        <is>
          <t>SKÅNE LÄN</t>
        </is>
      </c>
      <c r="E310" t="inlineStr">
        <is>
          <t>HÄSSLEHOLM</t>
        </is>
      </c>
      <c r="G310" t="n">
        <v>5</v>
      </c>
      <c r="H310" t="n">
        <v>0</v>
      </c>
      <c r="I310" t="n">
        <v>0</v>
      </c>
      <c r="J310" t="n">
        <v>0</v>
      </c>
      <c r="K310" t="n">
        <v>0</v>
      </c>
      <c r="L310" t="n">
        <v>0</v>
      </c>
      <c r="M310" t="n">
        <v>0</v>
      </c>
      <c r="N310" t="n">
        <v>0</v>
      </c>
      <c r="O310" t="n">
        <v>0</v>
      </c>
      <c r="P310" t="n">
        <v>0</v>
      </c>
      <c r="Q310" t="n">
        <v>0</v>
      </c>
      <c r="R310" s="2" t="inlineStr"/>
    </row>
    <row r="311" ht="15" customHeight="1">
      <c r="A311" t="inlineStr">
        <is>
          <t>A 61436-2024</t>
        </is>
      </c>
      <c r="B311" s="1" t="n">
        <v>45646.46329861111</v>
      </c>
      <c r="C311" s="1" t="n">
        <v>45922</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25431-2025</t>
        </is>
      </c>
      <c r="B312" s="1" t="n">
        <v>45800.78340277778</v>
      </c>
      <c r="C312" s="1" t="n">
        <v>45922</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25432-2025</t>
        </is>
      </c>
      <c r="B313" s="1" t="n">
        <v>45800.7847800926</v>
      </c>
      <c r="C313" s="1" t="n">
        <v>45922</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11470-2025</t>
        </is>
      </c>
      <c r="B314" s="1" t="n">
        <v>45726</v>
      </c>
      <c r="C314" s="1" t="n">
        <v>45922</v>
      </c>
      <c r="D314" t="inlineStr">
        <is>
          <t>SKÅNE LÄN</t>
        </is>
      </c>
      <c r="E314" t="inlineStr">
        <is>
          <t>HÄSSLEHOLM</t>
        </is>
      </c>
      <c r="G314" t="n">
        <v>0.4</v>
      </c>
      <c r="H314" t="n">
        <v>0</v>
      </c>
      <c r="I314" t="n">
        <v>0</v>
      </c>
      <c r="J314" t="n">
        <v>0</v>
      </c>
      <c r="K314" t="n">
        <v>0</v>
      </c>
      <c r="L314" t="n">
        <v>0</v>
      </c>
      <c r="M314" t="n">
        <v>0</v>
      </c>
      <c r="N314" t="n">
        <v>0</v>
      </c>
      <c r="O314" t="n">
        <v>0</v>
      </c>
      <c r="P314" t="n">
        <v>0</v>
      </c>
      <c r="Q314" t="n">
        <v>0</v>
      </c>
      <c r="R314" s="2" t="inlineStr"/>
    </row>
    <row r="315" ht="15" customHeight="1">
      <c r="A315" t="inlineStr">
        <is>
          <t>A 37300-2023</t>
        </is>
      </c>
      <c r="B315" s="1" t="n">
        <v>45156</v>
      </c>
      <c r="C315" s="1" t="n">
        <v>45922</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35644-2023</t>
        </is>
      </c>
      <c r="B316" s="1" t="n">
        <v>45147</v>
      </c>
      <c r="C316" s="1" t="n">
        <v>45922</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38376-2022</t>
        </is>
      </c>
      <c r="B317" s="1" t="n">
        <v>44812</v>
      </c>
      <c r="C317" s="1" t="n">
        <v>45922</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21867-2023</t>
        </is>
      </c>
      <c r="B318" s="1" t="n">
        <v>45063</v>
      </c>
      <c r="C318" s="1" t="n">
        <v>45922</v>
      </c>
      <c r="D318" t="inlineStr">
        <is>
          <t>SKÅNE LÄN</t>
        </is>
      </c>
      <c r="E318" t="inlineStr">
        <is>
          <t>HÄSSLEHOLM</t>
        </is>
      </c>
      <c r="G318" t="n">
        <v>7.6</v>
      </c>
      <c r="H318" t="n">
        <v>0</v>
      </c>
      <c r="I318" t="n">
        <v>0</v>
      </c>
      <c r="J318" t="n">
        <v>0</v>
      </c>
      <c r="K318" t="n">
        <v>0</v>
      </c>
      <c r="L318" t="n">
        <v>0</v>
      </c>
      <c r="M318" t="n">
        <v>0</v>
      </c>
      <c r="N318" t="n">
        <v>0</v>
      </c>
      <c r="O318" t="n">
        <v>0</v>
      </c>
      <c r="P318" t="n">
        <v>0</v>
      </c>
      <c r="Q318" t="n">
        <v>0</v>
      </c>
      <c r="R318" s="2" t="inlineStr"/>
    </row>
    <row r="319" ht="15" customHeight="1">
      <c r="A319" t="inlineStr">
        <is>
          <t>A 54659-2023</t>
        </is>
      </c>
      <c r="B319" s="1" t="n">
        <v>45235</v>
      </c>
      <c r="C319" s="1" t="n">
        <v>45922</v>
      </c>
      <c r="D319" t="inlineStr">
        <is>
          <t>SKÅNE LÄN</t>
        </is>
      </c>
      <c r="E319" t="inlineStr">
        <is>
          <t>HÄSSLEHOLM</t>
        </is>
      </c>
      <c r="G319" t="n">
        <v>5</v>
      </c>
      <c r="H319" t="n">
        <v>0</v>
      </c>
      <c r="I319" t="n">
        <v>0</v>
      </c>
      <c r="J319" t="n">
        <v>0</v>
      </c>
      <c r="K319" t="n">
        <v>0</v>
      </c>
      <c r="L319" t="n">
        <v>0</v>
      </c>
      <c r="M319" t="n">
        <v>0</v>
      </c>
      <c r="N319" t="n">
        <v>0</v>
      </c>
      <c r="O319" t="n">
        <v>0</v>
      </c>
      <c r="P319" t="n">
        <v>0</v>
      </c>
      <c r="Q319" t="n">
        <v>0</v>
      </c>
      <c r="R319" s="2" t="inlineStr"/>
    </row>
    <row r="320" ht="15" customHeight="1">
      <c r="A320" t="inlineStr">
        <is>
          <t>A 15036-2024</t>
        </is>
      </c>
      <c r="B320" s="1" t="n">
        <v>45399.48100694444</v>
      </c>
      <c r="C320" s="1" t="n">
        <v>45922</v>
      </c>
      <c r="D320" t="inlineStr">
        <is>
          <t>SKÅNE LÄN</t>
        </is>
      </c>
      <c r="E320" t="inlineStr">
        <is>
          <t>HÄSSLEHOLM</t>
        </is>
      </c>
      <c r="G320" t="n">
        <v>1.6</v>
      </c>
      <c r="H320" t="n">
        <v>0</v>
      </c>
      <c r="I320" t="n">
        <v>0</v>
      </c>
      <c r="J320" t="n">
        <v>0</v>
      </c>
      <c r="K320" t="n">
        <v>0</v>
      </c>
      <c r="L320" t="n">
        <v>0</v>
      </c>
      <c r="M320" t="n">
        <v>0</v>
      </c>
      <c r="N320" t="n">
        <v>0</v>
      </c>
      <c r="O320" t="n">
        <v>0</v>
      </c>
      <c r="P320" t="n">
        <v>0</v>
      </c>
      <c r="Q320" t="n">
        <v>0</v>
      </c>
      <c r="R320" s="2" t="inlineStr"/>
    </row>
    <row r="321" ht="15" customHeight="1">
      <c r="A321" t="inlineStr">
        <is>
          <t>A 3123-2023</t>
        </is>
      </c>
      <c r="B321" s="1" t="n">
        <v>44946.4925</v>
      </c>
      <c r="C321" s="1" t="n">
        <v>45922</v>
      </c>
      <c r="D321" t="inlineStr">
        <is>
          <t>SKÅNE LÄN</t>
        </is>
      </c>
      <c r="E321" t="inlineStr">
        <is>
          <t>HÄSSLEHOLM</t>
        </is>
      </c>
      <c r="G321" t="n">
        <v>3.5</v>
      </c>
      <c r="H321" t="n">
        <v>0</v>
      </c>
      <c r="I321" t="n">
        <v>0</v>
      </c>
      <c r="J321" t="n">
        <v>0</v>
      </c>
      <c r="K321" t="n">
        <v>0</v>
      </c>
      <c r="L321" t="n">
        <v>0</v>
      </c>
      <c r="M321" t="n">
        <v>0</v>
      </c>
      <c r="N321" t="n">
        <v>0</v>
      </c>
      <c r="O321" t="n">
        <v>0</v>
      </c>
      <c r="P321" t="n">
        <v>0</v>
      </c>
      <c r="Q321" t="n">
        <v>0</v>
      </c>
      <c r="R321" s="2" t="inlineStr"/>
    </row>
    <row r="322" ht="15" customHeight="1">
      <c r="A322" t="inlineStr">
        <is>
          <t>A 3126-2023</t>
        </is>
      </c>
      <c r="B322" s="1" t="n">
        <v>44946.49570601852</v>
      </c>
      <c r="C322" s="1" t="n">
        <v>45922</v>
      </c>
      <c r="D322" t="inlineStr">
        <is>
          <t>SKÅNE LÄN</t>
        </is>
      </c>
      <c r="E322" t="inlineStr">
        <is>
          <t>HÄSSLEHOLM</t>
        </is>
      </c>
      <c r="G322" t="n">
        <v>2.2</v>
      </c>
      <c r="H322" t="n">
        <v>0</v>
      </c>
      <c r="I322" t="n">
        <v>0</v>
      </c>
      <c r="J322" t="n">
        <v>0</v>
      </c>
      <c r="K322" t="n">
        <v>0</v>
      </c>
      <c r="L322" t="n">
        <v>0</v>
      </c>
      <c r="M322" t="n">
        <v>0</v>
      </c>
      <c r="N322" t="n">
        <v>0</v>
      </c>
      <c r="O322" t="n">
        <v>0</v>
      </c>
      <c r="P322" t="n">
        <v>0</v>
      </c>
      <c r="Q322" t="n">
        <v>0</v>
      </c>
      <c r="R322" s="2" t="inlineStr"/>
    </row>
    <row r="323" ht="15" customHeight="1">
      <c r="A323" t="inlineStr">
        <is>
          <t>A 5284-2023</t>
        </is>
      </c>
      <c r="B323" s="1" t="n">
        <v>44959.50608796296</v>
      </c>
      <c r="C323" s="1" t="n">
        <v>45922</v>
      </c>
      <c r="D323" t="inlineStr">
        <is>
          <t>SKÅNE LÄN</t>
        </is>
      </c>
      <c r="E323" t="inlineStr">
        <is>
          <t>HÄSSLEHOLM</t>
        </is>
      </c>
      <c r="G323" t="n">
        <v>0.4</v>
      </c>
      <c r="H323" t="n">
        <v>0</v>
      </c>
      <c r="I323" t="n">
        <v>0</v>
      </c>
      <c r="J323" t="n">
        <v>0</v>
      </c>
      <c r="K323" t="n">
        <v>0</v>
      </c>
      <c r="L323" t="n">
        <v>0</v>
      </c>
      <c r="M323" t="n">
        <v>0</v>
      </c>
      <c r="N323" t="n">
        <v>0</v>
      </c>
      <c r="O323" t="n">
        <v>0</v>
      </c>
      <c r="P323" t="n">
        <v>0</v>
      </c>
      <c r="Q323" t="n">
        <v>0</v>
      </c>
      <c r="R323" s="2" t="inlineStr"/>
    </row>
    <row r="324" ht="15" customHeight="1">
      <c r="A324" t="inlineStr">
        <is>
          <t>A 5285-2023</t>
        </is>
      </c>
      <c r="B324" s="1" t="n">
        <v>44959.50783564815</v>
      </c>
      <c r="C324" s="1" t="n">
        <v>45922</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34888-2023</t>
        </is>
      </c>
      <c r="B325" s="1" t="n">
        <v>45142.388125</v>
      </c>
      <c r="C325" s="1" t="n">
        <v>45922</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9709-2023</t>
        </is>
      </c>
      <c r="B326" s="1" t="n">
        <v>44984.48376157408</v>
      </c>
      <c r="C326" s="1" t="n">
        <v>45922</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37318-2024</t>
        </is>
      </c>
      <c r="B327" s="1" t="n">
        <v>45540</v>
      </c>
      <c r="C327" s="1" t="n">
        <v>45922</v>
      </c>
      <c r="D327" t="inlineStr">
        <is>
          <t>SKÅNE LÄN</t>
        </is>
      </c>
      <c r="E327" t="inlineStr">
        <is>
          <t>HÄSSLEHOLM</t>
        </is>
      </c>
      <c r="G327" t="n">
        <v>3.9</v>
      </c>
      <c r="H327" t="n">
        <v>0</v>
      </c>
      <c r="I327" t="n">
        <v>0</v>
      </c>
      <c r="J327" t="n">
        <v>0</v>
      </c>
      <c r="K327" t="n">
        <v>0</v>
      </c>
      <c r="L327" t="n">
        <v>0</v>
      </c>
      <c r="M327" t="n">
        <v>0</v>
      </c>
      <c r="N327" t="n">
        <v>0</v>
      </c>
      <c r="O327" t="n">
        <v>0</v>
      </c>
      <c r="P327" t="n">
        <v>0</v>
      </c>
      <c r="Q327" t="n">
        <v>0</v>
      </c>
      <c r="R327" s="2" t="inlineStr"/>
    </row>
    <row r="328" ht="15" customHeight="1">
      <c r="A328" t="inlineStr">
        <is>
          <t>A 37324-2024</t>
        </is>
      </c>
      <c r="B328" s="1" t="n">
        <v>45540.50104166667</v>
      </c>
      <c r="C328" s="1" t="n">
        <v>45922</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54435-2024</t>
        </is>
      </c>
      <c r="B329" s="1" t="n">
        <v>45617.49494212963</v>
      </c>
      <c r="C329" s="1" t="n">
        <v>45922</v>
      </c>
      <c r="D329" t="inlineStr">
        <is>
          <t>SKÅNE LÄN</t>
        </is>
      </c>
      <c r="E329" t="inlineStr">
        <is>
          <t>HÄSSLEHOLM</t>
        </is>
      </c>
      <c r="G329" t="n">
        <v>2.3</v>
      </c>
      <c r="H329" t="n">
        <v>0</v>
      </c>
      <c r="I329" t="n">
        <v>0</v>
      </c>
      <c r="J329" t="n">
        <v>0</v>
      </c>
      <c r="K329" t="n">
        <v>0</v>
      </c>
      <c r="L329" t="n">
        <v>0</v>
      </c>
      <c r="M329" t="n">
        <v>0</v>
      </c>
      <c r="N329" t="n">
        <v>0</v>
      </c>
      <c r="O329" t="n">
        <v>0</v>
      </c>
      <c r="P329" t="n">
        <v>0</v>
      </c>
      <c r="Q329" t="n">
        <v>0</v>
      </c>
      <c r="R329" s="2" t="inlineStr"/>
    </row>
    <row r="330" ht="15" customHeight="1">
      <c r="A330" t="inlineStr">
        <is>
          <t>A 58886-2024</t>
        </is>
      </c>
      <c r="B330" s="1" t="n">
        <v>45636.45380787037</v>
      </c>
      <c r="C330" s="1" t="n">
        <v>45922</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13087-2023</t>
        </is>
      </c>
      <c r="B331" s="1" t="n">
        <v>45001</v>
      </c>
      <c r="C331" s="1" t="n">
        <v>45922</v>
      </c>
      <c r="D331" t="inlineStr">
        <is>
          <t>SKÅNE LÄN</t>
        </is>
      </c>
      <c r="E331" t="inlineStr">
        <is>
          <t>HÄSSLEHOLM</t>
        </is>
      </c>
      <c r="G331" t="n">
        <v>3.8</v>
      </c>
      <c r="H331" t="n">
        <v>0</v>
      </c>
      <c r="I331" t="n">
        <v>0</v>
      </c>
      <c r="J331" t="n">
        <v>0</v>
      </c>
      <c r="K331" t="n">
        <v>0</v>
      </c>
      <c r="L331" t="n">
        <v>0</v>
      </c>
      <c r="M331" t="n">
        <v>0</v>
      </c>
      <c r="N331" t="n">
        <v>0</v>
      </c>
      <c r="O331" t="n">
        <v>0</v>
      </c>
      <c r="P331" t="n">
        <v>0</v>
      </c>
      <c r="Q331" t="n">
        <v>0</v>
      </c>
      <c r="R331" s="2" t="inlineStr"/>
    </row>
    <row r="332" ht="15" customHeight="1">
      <c r="A332" t="inlineStr">
        <is>
          <t>A 6583-2021</t>
        </is>
      </c>
      <c r="B332" s="1" t="n">
        <v>44236</v>
      </c>
      <c r="C332" s="1" t="n">
        <v>45922</v>
      </c>
      <c r="D332" t="inlineStr">
        <is>
          <t>SKÅNE LÄN</t>
        </is>
      </c>
      <c r="E332" t="inlineStr">
        <is>
          <t>HÄSSLEHOLM</t>
        </is>
      </c>
      <c r="G332" t="n">
        <v>1.6</v>
      </c>
      <c r="H332" t="n">
        <v>0</v>
      </c>
      <c r="I332" t="n">
        <v>0</v>
      </c>
      <c r="J332" t="n">
        <v>0</v>
      </c>
      <c r="K332" t="n">
        <v>0</v>
      </c>
      <c r="L332" t="n">
        <v>0</v>
      </c>
      <c r="M332" t="n">
        <v>0</v>
      </c>
      <c r="N332" t="n">
        <v>0</v>
      </c>
      <c r="O332" t="n">
        <v>0</v>
      </c>
      <c r="P332" t="n">
        <v>0</v>
      </c>
      <c r="Q332" t="n">
        <v>0</v>
      </c>
      <c r="R332" s="2" t="inlineStr"/>
    </row>
    <row r="333" ht="15" customHeight="1">
      <c r="A333" t="inlineStr">
        <is>
          <t>A 9615-2025</t>
        </is>
      </c>
      <c r="B333" s="1" t="n">
        <v>45715</v>
      </c>
      <c r="C333" s="1" t="n">
        <v>45922</v>
      </c>
      <c r="D333" t="inlineStr">
        <is>
          <t>SKÅNE LÄN</t>
        </is>
      </c>
      <c r="E333" t="inlineStr">
        <is>
          <t>HÄSSLEHOLM</t>
        </is>
      </c>
      <c r="G333" t="n">
        <v>1.8</v>
      </c>
      <c r="H333" t="n">
        <v>0</v>
      </c>
      <c r="I333" t="n">
        <v>0</v>
      </c>
      <c r="J333" t="n">
        <v>0</v>
      </c>
      <c r="K333" t="n">
        <v>0</v>
      </c>
      <c r="L333" t="n">
        <v>0</v>
      </c>
      <c r="M333" t="n">
        <v>0</v>
      </c>
      <c r="N333" t="n">
        <v>0</v>
      </c>
      <c r="O333" t="n">
        <v>0</v>
      </c>
      <c r="P333" t="n">
        <v>0</v>
      </c>
      <c r="Q333" t="n">
        <v>0</v>
      </c>
      <c r="R333" s="2" t="inlineStr"/>
    </row>
    <row r="334" ht="15" customHeight="1">
      <c r="A334" t="inlineStr">
        <is>
          <t>A 26232-2025</t>
        </is>
      </c>
      <c r="B334" s="1" t="n">
        <v>45805.56642361111</v>
      </c>
      <c r="C334" s="1" t="n">
        <v>45922</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57656-2022</t>
        </is>
      </c>
      <c r="B335" s="1" t="n">
        <v>44897.4325925926</v>
      </c>
      <c r="C335" s="1" t="n">
        <v>45922</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32881-2024</t>
        </is>
      </c>
      <c r="B336" s="1" t="n">
        <v>45516</v>
      </c>
      <c r="C336" s="1" t="n">
        <v>45922</v>
      </c>
      <c r="D336" t="inlineStr">
        <is>
          <t>SKÅNE LÄN</t>
        </is>
      </c>
      <c r="E336" t="inlineStr">
        <is>
          <t>HÄSSLEHOLM</t>
        </is>
      </c>
      <c r="G336" t="n">
        <v>6.3</v>
      </c>
      <c r="H336" t="n">
        <v>0</v>
      </c>
      <c r="I336" t="n">
        <v>0</v>
      </c>
      <c r="J336" t="n">
        <v>0</v>
      </c>
      <c r="K336" t="n">
        <v>0</v>
      </c>
      <c r="L336" t="n">
        <v>0</v>
      </c>
      <c r="M336" t="n">
        <v>0</v>
      </c>
      <c r="N336" t="n">
        <v>0</v>
      </c>
      <c r="O336" t="n">
        <v>0</v>
      </c>
      <c r="P336" t="n">
        <v>0</v>
      </c>
      <c r="Q336" t="n">
        <v>0</v>
      </c>
      <c r="R336" s="2" t="inlineStr"/>
    </row>
    <row r="337" ht="15" customHeight="1">
      <c r="A337" t="inlineStr">
        <is>
          <t>A 8524-2024</t>
        </is>
      </c>
      <c r="B337" s="1" t="n">
        <v>45355.48570601852</v>
      </c>
      <c r="C337" s="1" t="n">
        <v>45922</v>
      </c>
      <c r="D337" t="inlineStr">
        <is>
          <t>SKÅNE LÄN</t>
        </is>
      </c>
      <c r="E337" t="inlineStr">
        <is>
          <t>HÄSSLEHOLM</t>
        </is>
      </c>
      <c r="G337" t="n">
        <v>4</v>
      </c>
      <c r="H337" t="n">
        <v>0</v>
      </c>
      <c r="I337" t="n">
        <v>0</v>
      </c>
      <c r="J337" t="n">
        <v>0</v>
      </c>
      <c r="K337" t="n">
        <v>0</v>
      </c>
      <c r="L337" t="n">
        <v>0</v>
      </c>
      <c r="M337" t="n">
        <v>0</v>
      </c>
      <c r="N337" t="n">
        <v>0</v>
      </c>
      <c r="O337" t="n">
        <v>0</v>
      </c>
      <c r="P337" t="n">
        <v>0</v>
      </c>
      <c r="Q337" t="n">
        <v>0</v>
      </c>
      <c r="R337" s="2" t="inlineStr"/>
    </row>
    <row r="338" ht="15" customHeight="1">
      <c r="A338" t="inlineStr">
        <is>
          <t>A 20666-2023</t>
        </is>
      </c>
      <c r="B338" s="1" t="n">
        <v>45058.35664351852</v>
      </c>
      <c r="C338" s="1" t="n">
        <v>45922</v>
      </c>
      <c r="D338" t="inlineStr">
        <is>
          <t>SKÅNE LÄN</t>
        </is>
      </c>
      <c r="E338" t="inlineStr">
        <is>
          <t>HÄSSLEHOLM</t>
        </is>
      </c>
      <c r="F338" t="inlineStr">
        <is>
          <t>Kyrkan</t>
        </is>
      </c>
      <c r="G338" t="n">
        <v>1.3</v>
      </c>
      <c r="H338" t="n">
        <v>0</v>
      </c>
      <c r="I338" t="n">
        <v>0</v>
      </c>
      <c r="J338" t="n">
        <v>0</v>
      </c>
      <c r="K338" t="n">
        <v>0</v>
      </c>
      <c r="L338" t="n">
        <v>0</v>
      </c>
      <c r="M338" t="n">
        <v>0</v>
      </c>
      <c r="N338" t="n">
        <v>0</v>
      </c>
      <c r="O338" t="n">
        <v>0</v>
      </c>
      <c r="P338" t="n">
        <v>0</v>
      </c>
      <c r="Q338" t="n">
        <v>0</v>
      </c>
      <c r="R338" s="2" t="inlineStr"/>
    </row>
    <row r="339" ht="15" customHeight="1">
      <c r="A339" t="inlineStr">
        <is>
          <t>A 59028-2023</t>
        </is>
      </c>
      <c r="B339" s="1" t="n">
        <v>45252.67900462963</v>
      </c>
      <c r="C339" s="1" t="n">
        <v>45922</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23860-2024</t>
        </is>
      </c>
      <c r="B340" s="1" t="n">
        <v>45455</v>
      </c>
      <c r="C340" s="1" t="n">
        <v>45922</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23864-2024</t>
        </is>
      </c>
      <c r="B341" s="1" t="n">
        <v>45455</v>
      </c>
      <c r="C341" s="1" t="n">
        <v>45922</v>
      </c>
      <c r="D341" t="inlineStr">
        <is>
          <t>SKÅNE LÄN</t>
        </is>
      </c>
      <c r="E341" t="inlineStr">
        <is>
          <t>HÄSSLEHOLM</t>
        </is>
      </c>
      <c r="G341" t="n">
        <v>6.2</v>
      </c>
      <c r="H341" t="n">
        <v>0</v>
      </c>
      <c r="I341" t="n">
        <v>0</v>
      </c>
      <c r="J341" t="n">
        <v>0</v>
      </c>
      <c r="K341" t="n">
        <v>0</v>
      </c>
      <c r="L341" t="n">
        <v>0</v>
      </c>
      <c r="M341" t="n">
        <v>0</v>
      </c>
      <c r="N341" t="n">
        <v>0</v>
      </c>
      <c r="O341" t="n">
        <v>0</v>
      </c>
      <c r="P341" t="n">
        <v>0</v>
      </c>
      <c r="Q341" t="n">
        <v>0</v>
      </c>
      <c r="R341" s="2" t="inlineStr"/>
    </row>
    <row r="342" ht="15" customHeight="1">
      <c r="A342" t="inlineStr">
        <is>
          <t>A 26244-2025</t>
        </is>
      </c>
      <c r="B342" s="1" t="n">
        <v>45805.57364583333</v>
      </c>
      <c r="C342" s="1" t="n">
        <v>45922</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8250-2023</t>
        </is>
      </c>
      <c r="B343" s="1" t="n">
        <v>44974</v>
      </c>
      <c r="C343" s="1" t="n">
        <v>45922</v>
      </c>
      <c r="D343" t="inlineStr">
        <is>
          <t>SKÅNE LÄN</t>
        </is>
      </c>
      <c r="E343" t="inlineStr">
        <is>
          <t>HÄSSLEHOLM</t>
        </is>
      </c>
      <c r="G343" t="n">
        <v>3</v>
      </c>
      <c r="H343" t="n">
        <v>0</v>
      </c>
      <c r="I343" t="n">
        <v>0</v>
      </c>
      <c r="J343" t="n">
        <v>0</v>
      </c>
      <c r="K343" t="n">
        <v>0</v>
      </c>
      <c r="L343" t="n">
        <v>0</v>
      </c>
      <c r="M343" t="n">
        <v>0</v>
      </c>
      <c r="N343" t="n">
        <v>0</v>
      </c>
      <c r="O343" t="n">
        <v>0</v>
      </c>
      <c r="P343" t="n">
        <v>0</v>
      </c>
      <c r="Q343" t="n">
        <v>0</v>
      </c>
      <c r="R343" s="2" t="inlineStr"/>
    </row>
    <row r="344" ht="15" customHeight="1">
      <c r="A344" t="inlineStr">
        <is>
          <t>A 57079-2022</t>
        </is>
      </c>
      <c r="B344" s="1" t="n">
        <v>44895</v>
      </c>
      <c r="C344" s="1" t="n">
        <v>45922</v>
      </c>
      <c r="D344" t="inlineStr">
        <is>
          <t>SKÅNE LÄN</t>
        </is>
      </c>
      <c r="E344" t="inlineStr">
        <is>
          <t>HÄSSLEHOLM</t>
        </is>
      </c>
      <c r="G344" t="n">
        <v>2.6</v>
      </c>
      <c r="H344" t="n">
        <v>0</v>
      </c>
      <c r="I344" t="n">
        <v>0</v>
      </c>
      <c r="J344" t="n">
        <v>0</v>
      </c>
      <c r="K344" t="n">
        <v>0</v>
      </c>
      <c r="L344" t="n">
        <v>0</v>
      </c>
      <c r="M344" t="n">
        <v>0</v>
      </c>
      <c r="N344" t="n">
        <v>0</v>
      </c>
      <c r="O344" t="n">
        <v>0</v>
      </c>
      <c r="P344" t="n">
        <v>0</v>
      </c>
      <c r="Q344" t="n">
        <v>0</v>
      </c>
      <c r="R344" s="2" t="inlineStr"/>
    </row>
    <row r="345" ht="15" customHeight="1">
      <c r="A345" t="inlineStr">
        <is>
          <t>A 15698-2023</t>
        </is>
      </c>
      <c r="B345" s="1" t="n">
        <v>45021</v>
      </c>
      <c r="C345" s="1" t="n">
        <v>45922</v>
      </c>
      <c r="D345" t="inlineStr">
        <is>
          <t>SKÅNE LÄN</t>
        </is>
      </c>
      <c r="E345" t="inlineStr">
        <is>
          <t>HÄSSLEHOLM</t>
        </is>
      </c>
      <c r="F345" t="inlineStr">
        <is>
          <t>Kommuner</t>
        </is>
      </c>
      <c r="G345" t="n">
        <v>5.5</v>
      </c>
      <c r="H345" t="n">
        <v>0</v>
      </c>
      <c r="I345" t="n">
        <v>0</v>
      </c>
      <c r="J345" t="n">
        <v>0</v>
      </c>
      <c r="K345" t="n">
        <v>0</v>
      </c>
      <c r="L345" t="n">
        <v>0</v>
      </c>
      <c r="M345" t="n">
        <v>0</v>
      </c>
      <c r="N345" t="n">
        <v>0</v>
      </c>
      <c r="O345" t="n">
        <v>0</v>
      </c>
      <c r="P345" t="n">
        <v>0</v>
      </c>
      <c r="Q345" t="n">
        <v>0</v>
      </c>
      <c r="R345" s="2" t="inlineStr"/>
    </row>
    <row r="346" ht="15" customHeight="1">
      <c r="A346" t="inlineStr">
        <is>
          <t>A 20566-2023</t>
        </is>
      </c>
      <c r="B346" s="1" t="n">
        <v>45057</v>
      </c>
      <c r="C346" s="1" t="n">
        <v>45922</v>
      </c>
      <c r="D346" t="inlineStr">
        <is>
          <t>SKÅNE LÄN</t>
        </is>
      </c>
      <c r="E346" t="inlineStr">
        <is>
          <t>HÄSSLEHOLM</t>
        </is>
      </c>
      <c r="G346" t="n">
        <v>5.2</v>
      </c>
      <c r="H346" t="n">
        <v>0</v>
      </c>
      <c r="I346" t="n">
        <v>0</v>
      </c>
      <c r="J346" t="n">
        <v>0</v>
      </c>
      <c r="K346" t="n">
        <v>0</v>
      </c>
      <c r="L346" t="n">
        <v>0</v>
      </c>
      <c r="M346" t="n">
        <v>0</v>
      </c>
      <c r="N346" t="n">
        <v>0</v>
      </c>
      <c r="O346" t="n">
        <v>0</v>
      </c>
      <c r="P346" t="n">
        <v>0</v>
      </c>
      <c r="Q346" t="n">
        <v>0</v>
      </c>
      <c r="R346" s="2" t="inlineStr"/>
    </row>
    <row r="347" ht="15" customHeight="1">
      <c r="A347" t="inlineStr">
        <is>
          <t>A 7192-2025</t>
        </is>
      </c>
      <c r="B347" s="1" t="n">
        <v>45702.44746527778</v>
      </c>
      <c r="C347" s="1" t="n">
        <v>45922</v>
      </c>
      <c r="D347" t="inlineStr">
        <is>
          <t>SKÅNE LÄN</t>
        </is>
      </c>
      <c r="E347" t="inlineStr">
        <is>
          <t>HÄSSLEHOLM</t>
        </is>
      </c>
      <c r="G347" t="n">
        <v>1.2</v>
      </c>
      <c r="H347" t="n">
        <v>0</v>
      </c>
      <c r="I347" t="n">
        <v>0</v>
      </c>
      <c r="J347" t="n">
        <v>0</v>
      </c>
      <c r="K347" t="n">
        <v>0</v>
      </c>
      <c r="L347" t="n">
        <v>0</v>
      </c>
      <c r="M347" t="n">
        <v>0</v>
      </c>
      <c r="N347" t="n">
        <v>0</v>
      </c>
      <c r="O347" t="n">
        <v>0</v>
      </c>
      <c r="P347" t="n">
        <v>0</v>
      </c>
      <c r="Q347" t="n">
        <v>0</v>
      </c>
      <c r="R347" s="2" t="inlineStr"/>
    </row>
    <row r="348" ht="15" customHeight="1">
      <c r="A348" t="inlineStr">
        <is>
          <t>A 23987-2024</t>
        </is>
      </c>
      <c r="B348" s="1" t="n">
        <v>45456</v>
      </c>
      <c r="C348" s="1" t="n">
        <v>45922</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4042-2023</t>
        </is>
      </c>
      <c r="B349" s="1" t="n">
        <v>44952.59950231481</v>
      </c>
      <c r="C349" s="1" t="n">
        <v>45922</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34886-2023</t>
        </is>
      </c>
      <c r="B350" s="1" t="n">
        <v>45142.38450231482</v>
      </c>
      <c r="C350" s="1" t="n">
        <v>45922</v>
      </c>
      <c r="D350" t="inlineStr">
        <is>
          <t>SKÅNE LÄN</t>
        </is>
      </c>
      <c r="E350" t="inlineStr">
        <is>
          <t>HÄSSLEHOLM</t>
        </is>
      </c>
      <c r="G350" t="n">
        <v>1.3</v>
      </c>
      <c r="H350" t="n">
        <v>0</v>
      </c>
      <c r="I350" t="n">
        <v>0</v>
      </c>
      <c r="J350" t="n">
        <v>0</v>
      </c>
      <c r="K350" t="n">
        <v>0</v>
      </c>
      <c r="L350" t="n">
        <v>0</v>
      </c>
      <c r="M350" t="n">
        <v>0</v>
      </c>
      <c r="N350" t="n">
        <v>0</v>
      </c>
      <c r="O350" t="n">
        <v>0</v>
      </c>
      <c r="P350" t="n">
        <v>0</v>
      </c>
      <c r="Q350" t="n">
        <v>0</v>
      </c>
      <c r="R350" s="2" t="inlineStr"/>
    </row>
    <row r="351" ht="15" customHeight="1">
      <c r="A351" t="inlineStr">
        <is>
          <t>A 11798-2022</t>
        </is>
      </c>
      <c r="B351" s="1" t="n">
        <v>44634.64900462963</v>
      </c>
      <c r="C351" s="1" t="n">
        <v>45922</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56881-2021</t>
        </is>
      </c>
      <c r="B352" s="1" t="n">
        <v>44481</v>
      </c>
      <c r="C352" s="1" t="n">
        <v>45922</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13673-2023</t>
        </is>
      </c>
      <c r="B353" s="1" t="n">
        <v>45006.87957175926</v>
      </c>
      <c r="C353" s="1" t="n">
        <v>45922</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38306-2022</t>
        </is>
      </c>
      <c r="B354" s="1" t="n">
        <v>44812.57515046297</v>
      </c>
      <c r="C354" s="1" t="n">
        <v>45922</v>
      </c>
      <c r="D354" t="inlineStr">
        <is>
          <t>SKÅNE LÄN</t>
        </is>
      </c>
      <c r="E354" t="inlineStr">
        <is>
          <t>HÄSSLEHOLM</t>
        </is>
      </c>
      <c r="G354" t="n">
        <v>2.2</v>
      </c>
      <c r="H354" t="n">
        <v>0</v>
      </c>
      <c r="I354" t="n">
        <v>0</v>
      </c>
      <c r="J354" t="n">
        <v>0</v>
      </c>
      <c r="K354" t="n">
        <v>0</v>
      </c>
      <c r="L354" t="n">
        <v>0</v>
      </c>
      <c r="M354" t="n">
        <v>0</v>
      </c>
      <c r="N354" t="n">
        <v>0</v>
      </c>
      <c r="O354" t="n">
        <v>0</v>
      </c>
      <c r="P354" t="n">
        <v>0</v>
      </c>
      <c r="Q354" t="n">
        <v>0</v>
      </c>
      <c r="R354" s="2" t="inlineStr"/>
    </row>
    <row r="355" ht="15" customHeight="1">
      <c r="A355" t="inlineStr">
        <is>
          <t>A 31160-2024</t>
        </is>
      </c>
      <c r="B355" s="1" t="n">
        <v>45503</v>
      </c>
      <c r="C355" s="1" t="n">
        <v>45922</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5054-2022</t>
        </is>
      </c>
      <c r="B356" s="1" t="n">
        <v>44593.69065972222</v>
      </c>
      <c r="C356" s="1" t="n">
        <v>45922</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38712-2024</t>
        </is>
      </c>
      <c r="B357" s="1" t="n">
        <v>45547</v>
      </c>
      <c r="C357" s="1" t="n">
        <v>45922</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13310-2025</t>
        </is>
      </c>
      <c r="B358" s="1" t="n">
        <v>45735.58814814815</v>
      </c>
      <c r="C358" s="1" t="n">
        <v>45922</v>
      </c>
      <c r="D358" t="inlineStr">
        <is>
          <t>SKÅNE LÄN</t>
        </is>
      </c>
      <c r="E358" t="inlineStr">
        <is>
          <t>HÄSSLEHOLM</t>
        </is>
      </c>
      <c r="G358" t="n">
        <v>2</v>
      </c>
      <c r="H358" t="n">
        <v>0</v>
      </c>
      <c r="I358" t="n">
        <v>0</v>
      </c>
      <c r="J358" t="n">
        <v>0</v>
      </c>
      <c r="K358" t="n">
        <v>0</v>
      </c>
      <c r="L358" t="n">
        <v>0</v>
      </c>
      <c r="M358" t="n">
        <v>0</v>
      </c>
      <c r="N358" t="n">
        <v>0</v>
      </c>
      <c r="O358" t="n">
        <v>0</v>
      </c>
      <c r="P358" t="n">
        <v>0</v>
      </c>
      <c r="Q358" t="n">
        <v>0</v>
      </c>
      <c r="R358" s="2" t="inlineStr"/>
    </row>
    <row r="359" ht="15" customHeight="1">
      <c r="A359" t="inlineStr">
        <is>
          <t>A 3746-2024</t>
        </is>
      </c>
      <c r="B359" s="1" t="n">
        <v>45321.50745370371</v>
      </c>
      <c r="C359" s="1" t="n">
        <v>45922</v>
      </c>
      <c r="D359" t="inlineStr">
        <is>
          <t>SKÅNE LÄN</t>
        </is>
      </c>
      <c r="E359" t="inlineStr">
        <is>
          <t>HÄSSLEHOLM</t>
        </is>
      </c>
      <c r="G359" t="n">
        <v>3.4</v>
      </c>
      <c r="H359" t="n">
        <v>0</v>
      </c>
      <c r="I359" t="n">
        <v>0</v>
      </c>
      <c r="J359" t="n">
        <v>0</v>
      </c>
      <c r="K359" t="n">
        <v>0</v>
      </c>
      <c r="L359" t="n">
        <v>0</v>
      </c>
      <c r="M359" t="n">
        <v>0</v>
      </c>
      <c r="N359" t="n">
        <v>0</v>
      </c>
      <c r="O359" t="n">
        <v>0</v>
      </c>
      <c r="P359" t="n">
        <v>0</v>
      </c>
      <c r="Q359" t="n">
        <v>0</v>
      </c>
      <c r="R359" s="2" t="inlineStr"/>
    </row>
    <row r="360" ht="15" customHeight="1">
      <c r="A360" t="inlineStr">
        <is>
          <t>A 31391-2023</t>
        </is>
      </c>
      <c r="B360" s="1" t="n">
        <v>45114.56143518518</v>
      </c>
      <c r="C360" s="1" t="n">
        <v>45922</v>
      </c>
      <c r="D360" t="inlineStr">
        <is>
          <t>SKÅNE LÄN</t>
        </is>
      </c>
      <c r="E360" t="inlineStr">
        <is>
          <t>HÄSSLEHOLM</t>
        </is>
      </c>
      <c r="G360" t="n">
        <v>3.1</v>
      </c>
      <c r="H360" t="n">
        <v>0</v>
      </c>
      <c r="I360" t="n">
        <v>0</v>
      </c>
      <c r="J360" t="n">
        <v>0</v>
      </c>
      <c r="K360" t="n">
        <v>0</v>
      </c>
      <c r="L360" t="n">
        <v>0</v>
      </c>
      <c r="M360" t="n">
        <v>0</v>
      </c>
      <c r="N360" t="n">
        <v>0</v>
      </c>
      <c r="O360" t="n">
        <v>0</v>
      </c>
      <c r="P360" t="n">
        <v>0</v>
      </c>
      <c r="Q360" t="n">
        <v>0</v>
      </c>
      <c r="R360" s="2" t="inlineStr"/>
    </row>
    <row r="361" ht="15" customHeight="1">
      <c r="A361" t="inlineStr">
        <is>
          <t>A 57649-2022</t>
        </is>
      </c>
      <c r="B361" s="1" t="n">
        <v>44897.42755787037</v>
      </c>
      <c r="C361" s="1" t="n">
        <v>45922</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57665-2022</t>
        </is>
      </c>
      <c r="B362" s="1" t="n">
        <v>44897.4494212963</v>
      </c>
      <c r="C362" s="1" t="n">
        <v>45922</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57676-2022</t>
        </is>
      </c>
      <c r="B363" s="1" t="n">
        <v>44897</v>
      </c>
      <c r="C363" s="1" t="n">
        <v>45922</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14145-2023</t>
        </is>
      </c>
      <c r="B364" s="1" t="n">
        <v>45009</v>
      </c>
      <c r="C364" s="1" t="n">
        <v>45922</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8244-2023</t>
        </is>
      </c>
      <c r="B365" s="1" t="n">
        <v>44974</v>
      </c>
      <c r="C365" s="1" t="n">
        <v>45922</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8246-2023</t>
        </is>
      </c>
      <c r="B366" s="1" t="n">
        <v>44974</v>
      </c>
      <c r="C366" s="1" t="n">
        <v>45922</v>
      </c>
      <c r="D366" t="inlineStr">
        <is>
          <t>SKÅNE LÄN</t>
        </is>
      </c>
      <c r="E366" t="inlineStr">
        <is>
          <t>HÄSSLEHOLM</t>
        </is>
      </c>
      <c r="G366" t="n">
        <v>1.6</v>
      </c>
      <c r="H366" t="n">
        <v>0</v>
      </c>
      <c r="I366" t="n">
        <v>0</v>
      </c>
      <c r="J366" t="n">
        <v>0</v>
      </c>
      <c r="K366" t="n">
        <v>0</v>
      </c>
      <c r="L366" t="n">
        <v>0</v>
      </c>
      <c r="M366" t="n">
        <v>0</v>
      </c>
      <c r="N366" t="n">
        <v>0</v>
      </c>
      <c r="O366" t="n">
        <v>0</v>
      </c>
      <c r="P366" t="n">
        <v>0</v>
      </c>
      <c r="Q366" t="n">
        <v>0</v>
      </c>
      <c r="R366" s="2" t="inlineStr"/>
    </row>
    <row r="367" ht="15" customHeight="1">
      <c r="A367" t="inlineStr">
        <is>
          <t>A 12584-2025</t>
        </is>
      </c>
      <c r="B367" s="1" t="n">
        <v>45732</v>
      </c>
      <c r="C367" s="1" t="n">
        <v>45922</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25606-2024</t>
        </is>
      </c>
      <c r="B368" s="1" t="n">
        <v>45463.63179398148</v>
      </c>
      <c r="C368" s="1" t="n">
        <v>45922</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14670-2025</t>
        </is>
      </c>
      <c r="B369" s="1" t="n">
        <v>45742.55079861111</v>
      </c>
      <c r="C369" s="1" t="n">
        <v>45922</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23723-2023</t>
        </is>
      </c>
      <c r="B370" s="1" t="n">
        <v>45077</v>
      </c>
      <c r="C370" s="1" t="n">
        <v>45922</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69500-2020</t>
        </is>
      </c>
      <c r="B371" s="1" t="n">
        <v>44194</v>
      </c>
      <c r="C371" s="1" t="n">
        <v>45922</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14939-2023</t>
        </is>
      </c>
      <c r="B372" s="1" t="n">
        <v>45014</v>
      </c>
      <c r="C372" s="1" t="n">
        <v>45922</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13345-2025</t>
        </is>
      </c>
      <c r="B373" s="1" t="n">
        <v>45735.63017361111</v>
      </c>
      <c r="C373" s="1" t="n">
        <v>45922</v>
      </c>
      <c r="D373" t="inlineStr">
        <is>
          <t>SKÅNE LÄN</t>
        </is>
      </c>
      <c r="E373" t="inlineStr">
        <is>
          <t>HÄSSLEHOLM</t>
        </is>
      </c>
      <c r="G373" t="n">
        <v>1.3</v>
      </c>
      <c r="H373" t="n">
        <v>0</v>
      </c>
      <c r="I373" t="n">
        <v>0</v>
      </c>
      <c r="J373" t="n">
        <v>0</v>
      </c>
      <c r="K373" t="n">
        <v>0</v>
      </c>
      <c r="L373" t="n">
        <v>0</v>
      </c>
      <c r="M373" t="n">
        <v>0</v>
      </c>
      <c r="N373" t="n">
        <v>0</v>
      </c>
      <c r="O373" t="n">
        <v>0</v>
      </c>
      <c r="P373" t="n">
        <v>0</v>
      </c>
      <c r="Q373" t="n">
        <v>0</v>
      </c>
      <c r="R373" s="2" t="inlineStr"/>
    </row>
    <row r="374" ht="15" customHeight="1">
      <c r="A374" t="inlineStr">
        <is>
          <t>A 2596-2024</t>
        </is>
      </c>
      <c r="B374" s="1" t="n">
        <v>45313.69969907407</v>
      </c>
      <c r="C374" s="1" t="n">
        <v>45922</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4945-2022</t>
        </is>
      </c>
      <c r="B375" s="1" t="n">
        <v>44593</v>
      </c>
      <c r="C375" s="1" t="n">
        <v>45922</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6842-2023</t>
        </is>
      </c>
      <c r="B376" s="1" t="n">
        <v>44967</v>
      </c>
      <c r="C376" s="1" t="n">
        <v>45922</v>
      </c>
      <c r="D376" t="inlineStr">
        <is>
          <t>SKÅNE LÄN</t>
        </is>
      </c>
      <c r="E376" t="inlineStr">
        <is>
          <t>HÄSSLEHOLM</t>
        </is>
      </c>
      <c r="G376" t="n">
        <v>1.9</v>
      </c>
      <c r="H376" t="n">
        <v>0</v>
      </c>
      <c r="I376" t="n">
        <v>0</v>
      </c>
      <c r="J376" t="n">
        <v>0</v>
      </c>
      <c r="K376" t="n">
        <v>0</v>
      </c>
      <c r="L376" t="n">
        <v>0</v>
      </c>
      <c r="M376" t="n">
        <v>0</v>
      </c>
      <c r="N376" t="n">
        <v>0</v>
      </c>
      <c r="O376" t="n">
        <v>0</v>
      </c>
      <c r="P376" t="n">
        <v>0</v>
      </c>
      <c r="Q376" t="n">
        <v>0</v>
      </c>
      <c r="R376" s="2" t="inlineStr"/>
    </row>
    <row r="377" ht="15" customHeight="1">
      <c r="A377" t="inlineStr">
        <is>
          <t>A 48747-2022</t>
        </is>
      </c>
      <c r="B377" s="1" t="n">
        <v>44859</v>
      </c>
      <c r="C377" s="1" t="n">
        <v>45922</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31933-2024</t>
        </is>
      </c>
      <c r="B378" s="1" t="n">
        <v>45510.41123842593</v>
      </c>
      <c r="C378" s="1" t="n">
        <v>45922</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12558-2023</t>
        </is>
      </c>
      <c r="B379" s="1" t="n">
        <v>45000.36103009259</v>
      </c>
      <c r="C379" s="1" t="n">
        <v>45922</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31581-2023</t>
        </is>
      </c>
      <c r="B380" s="1" t="n">
        <v>45117.45165509259</v>
      </c>
      <c r="C380" s="1" t="n">
        <v>45922</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4119-2024</t>
        </is>
      </c>
      <c r="B381" s="1" t="n">
        <v>45323.67920138889</v>
      </c>
      <c r="C381" s="1" t="n">
        <v>45922</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6835-2023</t>
        </is>
      </c>
      <c r="B382" s="1" t="n">
        <v>44967</v>
      </c>
      <c r="C382" s="1" t="n">
        <v>45922</v>
      </c>
      <c r="D382" t="inlineStr">
        <is>
          <t>SKÅNE LÄN</t>
        </is>
      </c>
      <c r="E382" t="inlineStr">
        <is>
          <t>HÄSSLEHOLM</t>
        </is>
      </c>
      <c r="G382" t="n">
        <v>4.8</v>
      </c>
      <c r="H382" t="n">
        <v>0</v>
      </c>
      <c r="I382" t="n">
        <v>0</v>
      </c>
      <c r="J382" t="n">
        <v>0</v>
      </c>
      <c r="K382" t="n">
        <v>0</v>
      </c>
      <c r="L382" t="n">
        <v>0</v>
      </c>
      <c r="M382" t="n">
        <v>0</v>
      </c>
      <c r="N382" t="n">
        <v>0</v>
      </c>
      <c r="O382" t="n">
        <v>0</v>
      </c>
      <c r="P382" t="n">
        <v>0</v>
      </c>
      <c r="Q382" t="n">
        <v>0</v>
      </c>
      <c r="R382" s="2" t="inlineStr"/>
    </row>
    <row r="383" ht="15" customHeight="1">
      <c r="A383" t="inlineStr">
        <is>
          <t>A 47757-2024</t>
        </is>
      </c>
      <c r="B383" s="1" t="n">
        <v>45588.55075231481</v>
      </c>
      <c r="C383" s="1" t="n">
        <v>45922</v>
      </c>
      <c r="D383" t="inlineStr">
        <is>
          <t>SKÅNE LÄN</t>
        </is>
      </c>
      <c r="E383" t="inlineStr">
        <is>
          <t>HÄSSLEHOLM</t>
        </is>
      </c>
      <c r="G383" t="n">
        <v>5.5</v>
      </c>
      <c r="H383" t="n">
        <v>0</v>
      </c>
      <c r="I383" t="n">
        <v>0</v>
      </c>
      <c r="J383" t="n">
        <v>0</v>
      </c>
      <c r="K383" t="n">
        <v>0</v>
      </c>
      <c r="L383" t="n">
        <v>0</v>
      </c>
      <c r="M383" t="n">
        <v>0</v>
      </c>
      <c r="N383" t="n">
        <v>0</v>
      </c>
      <c r="O383" t="n">
        <v>0</v>
      </c>
      <c r="P383" t="n">
        <v>0</v>
      </c>
      <c r="Q383" t="n">
        <v>0</v>
      </c>
      <c r="R383" s="2" t="inlineStr"/>
    </row>
    <row r="384" ht="15" customHeight="1">
      <c r="A384" t="inlineStr">
        <is>
          <t>A 16550-2025</t>
        </is>
      </c>
      <c r="B384" s="1" t="n">
        <v>45751.69412037037</v>
      </c>
      <c r="C384" s="1" t="n">
        <v>45922</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26536-2022</t>
        </is>
      </c>
      <c r="B385" s="1" t="n">
        <v>44739.45496527778</v>
      </c>
      <c r="C385" s="1" t="n">
        <v>45922</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49824-2024</t>
        </is>
      </c>
      <c r="B386" s="1" t="n">
        <v>45597</v>
      </c>
      <c r="C386" s="1" t="n">
        <v>45922</v>
      </c>
      <c r="D386" t="inlineStr">
        <is>
          <t>SKÅNE LÄN</t>
        </is>
      </c>
      <c r="E386" t="inlineStr">
        <is>
          <t>HÄSSLEHOLM</t>
        </is>
      </c>
      <c r="G386" t="n">
        <v>1.3</v>
      </c>
      <c r="H386" t="n">
        <v>0</v>
      </c>
      <c r="I386" t="n">
        <v>0</v>
      </c>
      <c r="J386" t="n">
        <v>0</v>
      </c>
      <c r="K386" t="n">
        <v>0</v>
      </c>
      <c r="L386" t="n">
        <v>0</v>
      </c>
      <c r="M386" t="n">
        <v>0</v>
      </c>
      <c r="N386" t="n">
        <v>0</v>
      </c>
      <c r="O386" t="n">
        <v>0</v>
      </c>
      <c r="P386" t="n">
        <v>0</v>
      </c>
      <c r="Q386" t="n">
        <v>0</v>
      </c>
      <c r="R386" s="2" t="inlineStr"/>
    </row>
    <row r="387" ht="15" customHeight="1">
      <c r="A387" t="inlineStr">
        <is>
          <t>A 50899-2024</t>
        </is>
      </c>
      <c r="B387" s="1" t="n">
        <v>45602.68584490741</v>
      </c>
      <c r="C387" s="1" t="n">
        <v>45922</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25057-2024</t>
        </is>
      </c>
      <c r="B388" s="1" t="n">
        <v>45462</v>
      </c>
      <c r="C388" s="1" t="n">
        <v>45922</v>
      </c>
      <c r="D388" t="inlineStr">
        <is>
          <t>SKÅNE LÄN</t>
        </is>
      </c>
      <c r="E388" t="inlineStr">
        <is>
          <t>HÄSSLEHOLM</t>
        </is>
      </c>
      <c r="G388" t="n">
        <v>4.3</v>
      </c>
      <c r="H388" t="n">
        <v>0</v>
      </c>
      <c r="I388" t="n">
        <v>0</v>
      </c>
      <c r="J388" t="n">
        <v>0</v>
      </c>
      <c r="K388" t="n">
        <v>0</v>
      </c>
      <c r="L388" t="n">
        <v>0</v>
      </c>
      <c r="M388" t="n">
        <v>0</v>
      </c>
      <c r="N388" t="n">
        <v>0</v>
      </c>
      <c r="O388" t="n">
        <v>0</v>
      </c>
      <c r="P388" t="n">
        <v>0</v>
      </c>
      <c r="Q388" t="n">
        <v>0</v>
      </c>
      <c r="R388" s="2" t="inlineStr"/>
    </row>
    <row r="389" ht="15" customHeight="1">
      <c r="A389" t="inlineStr">
        <is>
          <t>A 55303-2024</t>
        </is>
      </c>
      <c r="B389" s="1" t="n">
        <v>45621.6434837963</v>
      </c>
      <c r="C389" s="1" t="n">
        <v>45922</v>
      </c>
      <c r="D389" t="inlineStr">
        <is>
          <t>SKÅNE LÄN</t>
        </is>
      </c>
      <c r="E389" t="inlineStr">
        <is>
          <t>HÄSSLEHOLM</t>
        </is>
      </c>
      <c r="G389" t="n">
        <v>3.3</v>
      </c>
      <c r="H389" t="n">
        <v>0</v>
      </c>
      <c r="I389" t="n">
        <v>0</v>
      </c>
      <c r="J389" t="n">
        <v>0</v>
      </c>
      <c r="K389" t="n">
        <v>0</v>
      </c>
      <c r="L389" t="n">
        <v>0</v>
      </c>
      <c r="M389" t="n">
        <v>0</v>
      </c>
      <c r="N389" t="n">
        <v>0</v>
      </c>
      <c r="O389" t="n">
        <v>0</v>
      </c>
      <c r="P389" t="n">
        <v>0</v>
      </c>
      <c r="Q389" t="n">
        <v>0</v>
      </c>
      <c r="R389" s="2" t="inlineStr"/>
    </row>
    <row r="390" ht="15" customHeight="1">
      <c r="A390" t="inlineStr">
        <is>
          <t>A 13198-2025</t>
        </is>
      </c>
      <c r="B390" s="1" t="n">
        <v>45735</v>
      </c>
      <c r="C390" s="1" t="n">
        <v>45922</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7494-2023</t>
        </is>
      </c>
      <c r="B391" s="1" t="n">
        <v>44971.70835648148</v>
      </c>
      <c r="C391" s="1" t="n">
        <v>45922</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10115-2024</t>
        </is>
      </c>
      <c r="B392" s="1" t="n">
        <v>45364.55339120371</v>
      </c>
      <c r="C392" s="1" t="n">
        <v>45922</v>
      </c>
      <c r="D392" t="inlineStr">
        <is>
          <t>SKÅNE LÄN</t>
        </is>
      </c>
      <c r="E392" t="inlineStr">
        <is>
          <t>HÄSSLEHOLM</t>
        </is>
      </c>
      <c r="G392" t="n">
        <v>7</v>
      </c>
      <c r="H392" t="n">
        <v>0</v>
      </c>
      <c r="I392" t="n">
        <v>0</v>
      </c>
      <c r="J392" t="n">
        <v>0</v>
      </c>
      <c r="K392" t="n">
        <v>0</v>
      </c>
      <c r="L392" t="n">
        <v>0</v>
      </c>
      <c r="M392" t="n">
        <v>0</v>
      </c>
      <c r="N392" t="n">
        <v>0</v>
      </c>
      <c r="O392" t="n">
        <v>0</v>
      </c>
      <c r="P392" t="n">
        <v>0</v>
      </c>
      <c r="Q392" t="n">
        <v>0</v>
      </c>
      <c r="R392" s="2" t="inlineStr"/>
    </row>
    <row r="393" ht="15" customHeight="1">
      <c r="A393" t="inlineStr">
        <is>
          <t>A 21328-2023</t>
        </is>
      </c>
      <c r="B393" s="1" t="n">
        <v>45062</v>
      </c>
      <c r="C393" s="1" t="n">
        <v>45922</v>
      </c>
      <c r="D393" t="inlineStr">
        <is>
          <t>SKÅNE LÄN</t>
        </is>
      </c>
      <c r="E393" t="inlineStr">
        <is>
          <t>HÄSSLEHOLM</t>
        </is>
      </c>
      <c r="G393" t="n">
        <v>2.1</v>
      </c>
      <c r="H393" t="n">
        <v>0</v>
      </c>
      <c r="I393" t="n">
        <v>0</v>
      </c>
      <c r="J393" t="n">
        <v>0</v>
      </c>
      <c r="K393" t="n">
        <v>0</v>
      </c>
      <c r="L393" t="n">
        <v>0</v>
      </c>
      <c r="M393" t="n">
        <v>0</v>
      </c>
      <c r="N393" t="n">
        <v>0</v>
      </c>
      <c r="O393" t="n">
        <v>0</v>
      </c>
      <c r="P393" t="n">
        <v>0</v>
      </c>
      <c r="Q393" t="n">
        <v>0</v>
      </c>
      <c r="R393" s="2" t="inlineStr"/>
    </row>
    <row r="394" ht="15" customHeight="1">
      <c r="A394" t="inlineStr">
        <is>
          <t>A 3925-2021</t>
        </is>
      </c>
      <c r="B394" s="1" t="n">
        <v>44222</v>
      </c>
      <c r="C394" s="1" t="n">
        <v>45922</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12570-2023</t>
        </is>
      </c>
      <c r="B395" s="1" t="n">
        <v>44999</v>
      </c>
      <c r="C395" s="1" t="n">
        <v>45922</v>
      </c>
      <c r="D395" t="inlineStr">
        <is>
          <t>SKÅNE LÄN</t>
        </is>
      </c>
      <c r="E395" t="inlineStr">
        <is>
          <t>HÄSSLEHOLM</t>
        </is>
      </c>
      <c r="G395" t="n">
        <v>3.4</v>
      </c>
      <c r="H395" t="n">
        <v>0</v>
      </c>
      <c r="I395" t="n">
        <v>0</v>
      </c>
      <c r="J395" t="n">
        <v>0</v>
      </c>
      <c r="K395" t="n">
        <v>0</v>
      </c>
      <c r="L395" t="n">
        <v>0</v>
      </c>
      <c r="M395" t="n">
        <v>0</v>
      </c>
      <c r="N395" t="n">
        <v>0</v>
      </c>
      <c r="O395" t="n">
        <v>0</v>
      </c>
      <c r="P395" t="n">
        <v>0</v>
      </c>
      <c r="Q395" t="n">
        <v>0</v>
      </c>
      <c r="R395" s="2" t="inlineStr"/>
    </row>
    <row r="396" ht="15" customHeight="1">
      <c r="A396" t="inlineStr">
        <is>
          <t>A 20435-2021</t>
        </is>
      </c>
      <c r="B396" s="1" t="n">
        <v>44315.5793287037</v>
      </c>
      <c r="C396" s="1" t="n">
        <v>45922</v>
      </c>
      <c r="D396" t="inlineStr">
        <is>
          <t>SKÅNE LÄN</t>
        </is>
      </c>
      <c r="E396" t="inlineStr">
        <is>
          <t>HÄSSLEHOLM</t>
        </is>
      </c>
      <c r="G396" t="n">
        <v>4.8</v>
      </c>
      <c r="H396" t="n">
        <v>0</v>
      </c>
      <c r="I396" t="n">
        <v>0</v>
      </c>
      <c r="J396" t="n">
        <v>0</v>
      </c>
      <c r="K396" t="n">
        <v>0</v>
      </c>
      <c r="L396" t="n">
        <v>0</v>
      </c>
      <c r="M396" t="n">
        <v>0</v>
      </c>
      <c r="N396" t="n">
        <v>0</v>
      </c>
      <c r="O396" t="n">
        <v>0</v>
      </c>
      <c r="P396" t="n">
        <v>0</v>
      </c>
      <c r="Q396" t="n">
        <v>0</v>
      </c>
      <c r="R396" s="2" t="inlineStr"/>
    </row>
    <row r="397" ht="15" customHeight="1">
      <c r="A397" t="inlineStr">
        <is>
          <t>A 25219-2023</t>
        </is>
      </c>
      <c r="B397" s="1" t="n">
        <v>45086.60541666667</v>
      </c>
      <c r="C397" s="1" t="n">
        <v>45922</v>
      </c>
      <c r="D397" t="inlineStr">
        <is>
          <t>SKÅNE LÄN</t>
        </is>
      </c>
      <c r="E397" t="inlineStr">
        <is>
          <t>HÄSSLEHOLM</t>
        </is>
      </c>
      <c r="G397" t="n">
        <v>6.9</v>
      </c>
      <c r="H397" t="n">
        <v>0</v>
      </c>
      <c r="I397" t="n">
        <v>0</v>
      </c>
      <c r="J397" t="n">
        <v>0</v>
      </c>
      <c r="K397" t="n">
        <v>0</v>
      </c>
      <c r="L397" t="n">
        <v>0</v>
      </c>
      <c r="M397" t="n">
        <v>0</v>
      </c>
      <c r="N397" t="n">
        <v>0</v>
      </c>
      <c r="O397" t="n">
        <v>0</v>
      </c>
      <c r="P397" t="n">
        <v>0</v>
      </c>
      <c r="Q397" t="n">
        <v>0</v>
      </c>
      <c r="R397" s="2" t="inlineStr"/>
    </row>
    <row r="398" ht="15" customHeight="1">
      <c r="A398" t="inlineStr">
        <is>
          <t>A 16121-2025</t>
        </is>
      </c>
      <c r="B398" s="1" t="n">
        <v>45750.40384259259</v>
      </c>
      <c r="C398" s="1" t="n">
        <v>45922</v>
      </c>
      <c r="D398" t="inlineStr">
        <is>
          <t>SKÅNE LÄN</t>
        </is>
      </c>
      <c r="E398" t="inlineStr">
        <is>
          <t>HÄSSLEHOLM</t>
        </is>
      </c>
      <c r="G398" t="n">
        <v>1.6</v>
      </c>
      <c r="H398" t="n">
        <v>0</v>
      </c>
      <c r="I398" t="n">
        <v>0</v>
      </c>
      <c r="J398" t="n">
        <v>0</v>
      </c>
      <c r="K398" t="n">
        <v>0</v>
      </c>
      <c r="L398" t="n">
        <v>0</v>
      </c>
      <c r="M398" t="n">
        <v>0</v>
      </c>
      <c r="N398" t="n">
        <v>0</v>
      </c>
      <c r="O398" t="n">
        <v>0</v>
      </c>
      <c r="P398" t="n">
        <v>0</v>
      </c>
      <c r="Q398" t="n">
        <v>0</v>
      </c>
      <c r="R398" s="2" t="inlineStr"/>
    </row>
    <row r="399" ht="15" customHeight="1">
      <c r="A399" t="inlineStr">
        <is>
          <t>A 7306-2025</t>
        </is>
      </c>
      <c r="B399" s="1" t="n">
        <v>45702</v>
      </c>
      <c r="C399" s="1" t="n">
        <v>45922</v>
      </c>
      <c r="D399" t="inlineStr">
        <is>
          <t>SKÅNE LÄN</t>
        </is>
      </c>
      <c r="E399" t="inlineStr">
        <is>
          <t>HÄSSLEHOLM</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7308-2025</t>
        </is>
      </c>
      <c r="B400" s="1" t="n">
        <v>45702</v>
      </c>
      <c r="C400" s="1" t="n">
        <v>45922</v>
      </c>
      <c r="D400" t="inlineStr">
        <is>
          <t>SKÅNE LÄN</t>
        </is>
      </c>
      <c r="E400" t="inlineStr">
        <is>
          <t>HÄSSLEHOLM</t>
        </is>
      </c>
      <c r="F400" t="inlineStr">
        <is>
          <t>Övriga Aktiebolag</t>
        </is>
      </c>
      <c r="G400" t="n">
        <v>4.8</v>
      </c>
      <c r="H400" t="n">
        <v>0</v>
      </c>
      <c r="I400" t="n">
        <v>0</v>
      </c>
      <c r="J400" t="n">
        <v>0</v>
      </c>
      <c r="K400" t="n">
        <v>0</v>
      </c>
      <c r="L400" t="n">
        <v>0</v>
      </c>
      <c r="M400" t="n">
        <v>0</v>
      </c>
      <c r="N400" t="n">
        <v>0</v>
      </c>
      <c r="O400" t="n">
        <v>0</v>
      </c>
      <c r="P400" t="n">
        <v>0</v>
      </c>
      <c r="Q400" t="n">
        <v>0</v>
      </c>
      <c r="R400" s="2" t="inlineStr"/>
    </row>
    <row r="401" ht="15" customHeight="1">
      <c r="A401" t="inlineStr">
        <is>
          <t>A 58250-2024</t>
        </is>
      </c>
      <c r="B401" s="1" t="n">
        <v>45632.55643518519</v>
      </c>
      <c r="C401" s="1" t="n">
        <v>45922</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54671-2022</t>
        </is>
      </c>
      <c r="B402" s="1" t="n">
        <v>44883</v>
      </c>
      <c r="C402" s="1" t="n">
        <v>45922</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40739-2024</t>
        </is>
      </c>
      <c r="B403" s="1" t="n">
        <v>45558</v>
      </c>
      <c r="C403" s="1" t="n">
        <v>45922</v>
      </c>
      <c r="D403" t="inlineStr">
        <is>
          <t>SKÅNE LÄN</t>
        </is>
      </c>
      <c r="E403" t="inlineStr">
        <is>
          <t>HÄSSLEHOLM</t>
        </is>
      </c>
      <c r="G403" t="n">
        <v>1.6</v>
      </c>
      <c r="H403" t="n">
        <v>0</v>
      </c>
      <c r="I403" t="n">
        <v>0</v>
      </c>
      <c r="J403" t="n">
        <v>0</v>
      </c>
      <c r="K403" t="n">
        <v>0</v>
      </c>
      <c r="L403" t="n">
        <v>0</v>
      </c>
      <c r="M403" t="n">
        <v>0</v>
      </c>
      <c r="N403" t="n">
        <v>0</v>
      </c>
      <c r="O403" t="n">
        <v>0</v>
      </c>
      <c r="P403" t="n">
        <v>0</v>
      </c>
      <c r="Q403" t="n">
        <v>0</v>
      </c>
      <c r="R403" s="2" t="inlineStr"/>
    </row>
    <row r="404" ht="15" customHeight="1">
      <c r="A404" t="inlineStr">
        <is>
          <t>A 50616-2023</t>
        </is>
      </c>
      <c r="B404" s="1" t="n">
        <v>45210</v>
      </c>
      <c r="C404" s="1" t="n">
        <v>45922</v>
      </c>
      <c r="D404" t="inlineStr">
        <is>
          <t>SKÅNE LÄN</t>
        </is>
      </c>
      <c r="E404" t="inlineStr">
        <is>
          <t>HÄSSLEHOLM</t>
        </is>
      </c>
      <c r="G404" t="n">
        <v>1.1</v>
      </c>
      <c r="H404" t="n">
        <v>0</v>
      </c>
      <c r="I404" t="n">
        <v>0</v>
      </c>
      <c r="J404" t="n">
        <v>0</v>
      </c>
      <c r="K404" t="n">
        <v>0</v>
      </c>
      <c r="L404" t="n">
        <v>0</v>
      </c>
      <c r="M404" t="n">
        <v>0</v>
      </c>
      <c r="N404" t="n">
        <v>0</v>
      </c>
      <c r="O404" t="n">
        <v>0</v>
      </c>
      <c r="P404" t="n">
        <v>0</v>
      </c>
      <c r="Q404" t="n">
        <v>0</v>
      </c>
      <c r="R404" s="2" t="inlineStr"/>
    </row>
    <row r="405" ht="15" customHeight="1">
      <c r="A405" t="inlineStr">
        <is>
          <t>A 45361-2023</t>
        </is>
      </c>
      <c r="B405" s="1" t="n">
        <v>45192.49068287037</v>
      </c>
      <c r="C405" s="1" t="n">
        <v>45922</v>
      </c>
      <c r="D405" t="inlineStr">
        <is>
          <t>SKÅNE LÄN</t>
        </is>
      </c>
      <c r="E405" t="inlineStr">
        <is>
          <t>HÄSSLEHOLM</t>
        </is>
      </c>
      <c r="G405" t="n">
        <v>1.9</v>
      </c>
      <c r="H405" t="n">
        <v>0</v>
      </c>
      <c r="I405" t="n">
        <v>0</v>
      </c>
      <c r="J405" t="n">
        <v>0</v>
      </c>
      <c r="K405" t="n">
        <v>0</v>
      </c>
      <c r="L405" t="n">
        <v>0</v>
      </c>
      <c r="M405" t="n">
        <v>0</v>
      </c>
      <c r="N405" t="n">
        <v>0</v>
      </c>
      <c r="O405" t="n">
        <v>0</v>
      </c>
      <c r="P405" t="n">
        <v>0</v>
      </c>
      <c r="Q405" t="n">
        <v>0</v>
      </c>
      <c r="R405" s="2" t="inlineStr"/>
    </row>
    <row r="406" ht="15" customHeight="1">
      <c r="A406" t="inlineStr">
        <is>
          <t>A 38358-2024</t>
        </is>
      </c>
      <c r="B406" s="1" t="n">
        <v>45545.79068287037</v>
      </c>
      <c r="C406" s="1" t="n">
        <v>45922</v>
      </c>
      <c r="D406" t="inlineStr">
        <is>
          <t>SKÅNE LÄN</t>
        </is>
      </c>
      <c r="E406" t="inlineStr">
        <is>
          <t>HÄSSLEHOLM</t>
        </is>
      </c>
      <c r="G406" t="n">
        <v>9</v>
      </c>
      <c r="H406" t="n">
        <v>0</v>
      </c>
      <c r="I406" t="n">
        <v>0</v>
      </c>
      <c r="J406" t="n">
        <v>0</v>
      </c>
      <c r="K406" t="n">
        <v>0</v>
      </c>
      <c r="L406" t="n">
        <v>0</v>
      </c>
      <c r="M406" t="n">
        <v>0</v>
      </c>
      <c r="N406" t="n">
        <v>0</v>
      </c>
      <c r="O406" t="n">
        <v>0</v>
      </c>
      <c r="P406" t="n">
        <v>0</v>
      </c>
      <c r="Q406" t="n">
        <v>0</v>
      </c>
      <c r="R406" s="2" t="inlineStr"/>
    </row>
    <row r="407" ht="15" customHeight="1">
      <c r="A407" t="inlineStr">
        <is>
          <t>A 13932-2023</t>
        </is>
      </c>
      <c r="B407" s="1" t="n">
        <v>45008.43935185186</v>
      </c>
      <c r="C407" s="1" t="n">
        <v>45922</v>
      </c>
      <c r="D407" t="inlineStr">
        <is>
          <t>SKÅNE LÄN</t>
        </is>
      </c>
      <c r="E407" t="inlineStr">
        <is>
          <t>HÄSSLEHOLM</t>
        </is>
      </c>
      <c r="G407" t="n">
        <v>3.3</v>
      </c>
      <c r="H407" t="n">
        <v>0</v>
      </c>
      <c r="I407" t="n">
        <v>0</v>
      </c>
      <c r="J407" t="n">
        <v>0</v>
      </c>
      <c r="K407" t="n">
        <v>0</v>
      </c>
      <c r="L407" t="n">
        <v>0</v>
      </c>
      <c r="M407" t="n">
        <v>0</v>
      </c>
      <c r="N407" t="n">
        <v>0</v>
      </c>
      <c r="O407" t="n">
        <v>0</v>
      </c>
      <c r="P407" t="n">
        <v>0</v>
      </c>
      <c r="Q407" t="n">
        <v>0</v>
      </c>
      <c r="R407" s="2" t="inlineStr"/>
    </row>
    <row r="408" ht="15" customHeight="1">
      <c r="A408" t="inlineStr">
        <is>
          <t>A 35889-2023</t>
        </is>
      </c>
      <c r="B408" s="1" t="n">
        <v>45148</v>
      </c>
      <c r="C408" s="1" t="n">
        <v>45922</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35894-2023</t>
        </is>
      </c>
      <c r="B409" s="1" t="n">
        <v>45148</v>
      </c>
      <c r="C409" s="1" t="n">
        <v>45922</v>
      </c>
      <c r="D409" t="inlineStr">
        <is>
          <t>SKÅNE LÄN</t>
        </is>
      </c>
      <c r="E409" t="inlineStr">
        <is>
          <t>HÄSSLEHOLM</t>
        </is>
      </c>
      <c r="G409" t="n">
        <v>1.5</v>
      </c>
      <c r="H409" t="n">
        <v>0</v>
      </c>
      <c r="I409" t="n">
        <v>0</v>
      </c>
      <c r="J409" t="n">
        <v>0</v>
      </c>
      <c r="K409" t="n">
        <v>0</v>
      </c>
      <c r="L409" t="n">
        <v>0</v>
      </c>
      <c r="M409" t="n">
        <v>0</v>
      </c>
      <c r="N409" t="n">
        <v>0</v>
      </c>
      <c r="O409" t="n">
        <v>0</v>
      </c>
      <c r="P409" t="n">
        <v>0</v>
      </c>
      <c r="Q409" t="n">
        <v>0</v>
      </c>
      <c r="R409" s="2" t="inlineStr"/>
    </row>
    <row r="410" ht="15" customHeight="1">
      <c r="A410" t="inlineStr">
        <is>
          <t>A 45299-2024</t>
        </is>
      </c>
      <c r="B410" s="1" t="n">
        <v>45576.40599537037</v>
      </c>
      <c r="C410" s="1" t="n">
        <v>45922</v>
      </c>
      <c r="D410" t="inlineStr">
        <is>
          <t>SKÅNE LÄN</t>
        </is>
      </c>
      <c r="E410" t="inlineStr">
        <is>
          <t>HÄSSLEHOLM</t>
        </is>
      </c>
      <c r="G410" t="n">
        <v>1.3</v>
      </c>
      <c r="H410" t="n">
        <v>0</v>
      </c>
      <c r="I410" t="n">
        <v>0</v>
      </c>
      <c r="J410" t="n">
        <v>0</v>
      </c>
      <c r="K410" t="n">
        <v>0</v>
      </c>
      <c r="L410" t="n">
        <v>0</v>
      </c>
      <c r="M410" t="n">
        <v>0</v>
      </c>
      <c r="N410" t="n">
        <v>0</v>
      </c>
      <c r="O410" t="n">
        <v>0</v>
      </c>
      <c r="P410" t="n">
        <v>0</v>
      </c>
      <c r="Q410" t="n">
        <v>0</v>
      </c>
      <c r="R410" s="2" t="inlineStr"/>
    </row>
    <row r="411" ht="15" customHeight="1">
      <c r="A411" t="inlineStr">
        <is>
          <t>A 25176-2024</t>
        </is>
      </c>
      <c r="B411" s="1" t="n">
        <v>45462.54582175926</v>
      </c>
      <c r="C411" s="1" t="n">
        <v>45922</v>
      </c>
      <c r="D411" t="inlineStr">
        <is>
          <t>SKÅNE LÄN</t>
        </is>
      </c>
      <c r="E411" t="inlineStr">
        <is>
          <t>HÄSSLEHOLM</t>
        </is>
      </c>
      <c r="G411" t="n">
        <v>3.8</v>
      </c>
      <c r="H411" t="n">
        <v>0</v>
      </c>
      <c r="I411" t="n">
        <v>0</v>
      </c>
      <c r="J411" t="n">
        <v>0</v>
      </c>
      <c r="K411" t="n">
        <v>0</v>
      </c>
      <c r="L411" t="n">
        <v>0</v>
      </c>
      <c r="M411" t="n">
        <v>0</v>
      </c>
      <c r="N411" t="n">
        <v>0</v>
      </c>
      <c r="O411" t="n">
        <v>0</v>
      </c>
      <c r="P411" t="n">
        <v>0</v>
      </c>
      <c r="Q411" t="n">
        <v>0</v>
      </c>
      <c r="R411" s="2" t="inlineStr"/>
    </row>
    <row r="412" ht="15" customHeight="1">
      <c r="A412" t="inlineStr">
        <is>
          <t>A 7771-2021</t>
        </is>
      </c>
      <c r="B412" s="1" t="n">
        <v>44242</v>
      </c>
      <c r="C412" s="1" t="n">
        <v>45922</v>
      </c>
      <c r="D412" t="inlineStr">
        <is>
          <t>SKÅNE LÄN</t>
        </is>
      </c>
      <c r="E412" t="inlineStr">
        <is>
          <t>HÄSSLEHOLM</t>
        </is>
      </c>
      <c r="G412" t="n">
        <v>4.2</v>
      </c>
      <c r="H412" t="n">
        <v>0</v>
      </c>
      <c r="I412" t="n">
        <v>0</v>
      </c>
      <c r="J412" t="n">
        <v>0</v>
      </c>
      <c r="K412" t="n">
        <v>0</v>
      </c>
      <c r="L412" t="n">
        <v>0</v>
      </c>
      <c r="M412" t="n">
        <v>0</v>
      </c>
      <c r="N412" t="n">
        <v>0</v>
      </c>
      <c r="O412" t="n">
        <v>0</v>
      </c>
      <c r="P412" t="n">
        <v>0</v>
      </c>
      <c r="Q412" t="n">
        <v>0</v>
      </c>
      <c r="R412" s="2" t="inlineStr"/>
    </row>
    <row r="413" ht="15" customHeight="1">
      <c r="A413" t="inlineStr">
        <is>
          <t>A 44741-2023</t>
        </is>
      </c>
      <c r="B413" s="1" t="n">
        <v>45190.38804398148</v>
      </c>
      <c r="C413" s="1" t="n">
        <v>45922</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7476-2025</t>
        </is>
      </c>
      <c r="B414" s="1" t="n">
        <v>45702</v>
      </c>
      <c r="C414" s="1" t="n">
        <v>45922</v>
      </c>
      <c r="D414" t="inlineStr">
        <is>
          <t>SKÅNE LÄN</t>
        </is>
      </c>
      <c r="E414" t="inlineStr">
        <is>
          <t>HÄSSLEHOLM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7513-2025</t>
        </is>
      </c>
      <c r="B415" s="1" t="n">
        <v>45702</v>
      </c>
      <c r="C415" s="1" t="n">
        <v>45922</v>
      </c>
      <c r="D415" t="inlineStr">
        <is>
          <t>SKÅNE LÄN</t>
        </is>
      </c>
      <c r="E415" t="inlineStr">
        <is>
          <t>HÄSSLEHOLM</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31161-2024</t>
        </is>
      </c>
      <c r="B416" s="1" t="n">
        <v>45503</v>
      </c>
      <c r="C416" s="1" t="n">
        <v>45922</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22157-2024</t>
        </is>
      </c>
      <c r="B417" s="1" t="n">
        <v>45445.85290509259</v>
      </c>
      <c r="C417" s="1" t="n">
        <v>45922</v>
      </c>
      <c r="D417" t="inlineStr">
        <is>
          <t>SKÅNE LÄN</t>
        </is>
      </c>
      <c r="E417" t="inlineStr">
        <is>
          <t>HÄSSLEHOLM</t>
        </is>
      </c>
      <c r="G417" t="n">
        <v>1</v>
      </c>
      <c r="H417" t="n">
        <v>0</v>
      </c>
      <c r="I417" t="n">
        <v>0</v>
      </c>
      <c r="J417" t="n">
        <v>0</v>
      </c>
      <c r="K417" t="n">
        <v>0</v>
      </c>
      <c r="L417" t="n">
        <v>0</v>
      </c>
      <c r="M417" t="n">
        <v>0</v>
      </c>
      <c r="N417" t="n">
        <v>0</v>
      </c>
      <c r="O417" t="n">
        <v>0</v>
      </c>
      <c r="P417" t="n">
        <v>0</v>
      </c>
      <c r="Q417" t="n">
        <v>0</v>
      </c>
      <c r="R417" s="2" t="inlineStr"/>
    </row>
    <row r="418" ht="15" customHeight="1">
      <c r="A418" t="inlineStr">
        <is>
          <t>A 13316-2023</t>
        </is>
      </c>
      <c r="B418" s="1" t="n">
        <v>45005.39013888889</v>
      </c>
      <c r="C418" s="1" t="n">
        <v>45922</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13358-2023</t>
        </is>
      </c>
      <c r="B419" s="1" t="n">
        <v>45005</v>
      </c>
      <c r="C419" s="1" t="n">
        <v>45922</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27393-2025</t>
        </is>
      </c>
      <c r="B420" s="1" t="n">
        <v>45812.68295138889</v>
      </c>
      <c r="C420" s="1" t="n">
        <v>45922</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3245-2022</t>
        </is>
      </c>
      <c r="B421" s="1" t="n">
        <v>44583.39136574074</v>
      </c>
      <c r="C421" s="1" t="n">
        <v>45922</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9747-2024</t>
        </is>
      </c>
      <c r="B422" s="1" t="n">
        <v>45362</v>
      </c>
      <c r="C422" s="1" t="n">
        <v>45922</v>
      </c>
      <c r="D422" t="inlineStr">
        <is>
          <t>SKÅNE LÄN</t>
        </is>
      </c>
      <c r="E422" t="inlineStr">
        <is>
          <t>HÄSSLEHOLM</t>
        </is>
      </c>
      <c r="G422" t="n">
        <v>1.8</v>
      </c>
      <c r="H422" t="n">
        <v>0</v>
      </c>
      <c r="I422" t="n">
        <v>0</v>
      </c>
      <c r="J422" t="n">
        <v>0</v>
      </c>
      <c r="K422" t="n">
        <v>0</v>
      </c>
      <c r="L422" t="n">
        <v>0</v>
      </c>
      <c r="M422" t="n">
        <v>0</v>
      </c>
      <c r="N422" t="n">
        <v>0</v>
      </c>
      <c r="O422" t="n">
        <v>0</v>
      </c>
      <c r="P422" t="n">
        <v>0</v>
      </c>
      <c r="Q422" t="n">
        <v>0</v>
      </c>
      <c r="R422" s="2" t="inlineStr"/>
    </row>
    <row r="423" ht="15" customHeight="1">
      <c r="A423" t="inlineStr">
        <is>
          <t>A 38228-2021</t>
        </is>
      </c>
      <c r="B423" s="1" t="n">
        <v>44405</v>
      </c>
      <c r="C423" s="1" t="n">
        <v>45922</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40202-2022</t>
        </is>
      </c>
      <c r="B424" s="1" t="n">
        <v>44820.60614583334</v>
      </c>
      <c r="C424" s="1" t="n">
        <v>45922</v>
      </c>
      <c r="D424" t="inlineStr">
        <is>
          <t>SKÅNE LÄN</t>
        </is>
      </c>
      <c r="E424" t="inlineStr">
        <is>
          <t>HÄSSLEHOLM</t>
        </is>
      </c>
      <c r="G424" t="n">
        <v>1.1</v>
      </c>
      <c r="H424" t="n">
        <v>0</v>
      </c>
      <c r="I424" t="n">
        <v>0</v>
      </c>
      <c r="J424" t="n">
        <v>0</v>
      </c>
      <c r="K424" t="n">
        <v>0</v>
      </c>
      <c r="L424" t="n">
        <v>0</v>
      </c>
      <c r="M424" t="n">
        <v>0</v>
      </c>
      <c r="N424" t="n">
        <v>0</v>
      </c>
      <c r="O424" t="n">
        <v>0</v>
      </c>
      <c r="P424" t="n">
        <v>0</v>
      </c>
      <c r="Q424" t="n">
        <v>0</v>
      </c>
      <c r="R424" s="2" t="inlineStr"/>
    </row>
    <row r="425" ht="15" customHeight="1">
      <c r="A425" t="inlineStr">
        <is>
          <t>A 3248-2022</t>
        </is>
      </c>
      <c r="B425" s="1" t="n">
        <v>44583</v>
      </c>
      <c r="C425" s="1" t="n">
        <v>45922</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25538-2024</t>
        </is>
      </c>
      <c r="B426" s="1" t="n">
        <v>45463</v>
      </c>
      <c r="C426" s="1" t="n">
        <v>45922</v>
      </c>
      <c r="D426" t="inlineStr">
        <is>
          <t>SKÅNE LÄN</t>
        </is>
      </c>
      <c r="E426" t="inlineStr">
        <is>
          <t>HÄSSLEHOLM</t>
        </is>
      </c>
      <c r="G426" t="n">
        <v>1.6</v>
      </c>
      <c r="H426" t="n">
        <v>0</v>
      </c>
      <c r="I426" t="n">
        <v>0</v>
      </c>
      <c r="J426" t="n">
        <v>0</v>
      </c>
      <c r="K426" t="n">
        <v>0</v>
      </c>
      <c r="L426" t="n">
        <v>0</v>
      </c>
      <c r="M426" t="n">
        <v>0</v>
      </c>
      <c r="N426" t="n">
        <v>0</v>
      </c>
      <c r="O426" t="n">
        <v>0</v>
      </c>
      <c r="P426" t="n">
        <v>0</v>
      </c>
      <c r="Q426" t="n">
        <v>0</v>
      </c>
      <c r="R426" s="2" t="inlineStr"/>
    </row>
    <row r="427" ht="15" customHeight="1">
      <c r="A427" t="inlineStr">
        <is>
          <t>A 36733-2023</t>
        </is>
      </c>
      <c r="B427" s="1" t="n">
        <v>45153.69989583334</v>
      </c>
      <c r="C427" s="1" t="n">
        <v>45922</v>
      </c>
      <c r="D427" t="inlineStr">
        <is>
          <t>SKÅNE LÄN</t>
        </is>
      </c>
      <c r="E427" t="inlineStr">
        <is>
          <t>HÄSSLEHOLM</t>
        </is>
      </c>
      <c r="G427" t="n">
        <v>4.8</v>
      </c>
      <c r="H427" t="n">
        <v>0</v>
      </c>
      <c r="I427" t="n">
        <v>0</v>
      </c>
      <c r="J427" t="n">
        <v>0</v>
      </c>
      <c r="K427" t="n">
        <v>0</v>
      </c>
      <c r="L427" t="n">
        <v>0</v>
      </c>
      <c r="M427" t="n">
        <v>0</v>
      </c>
      <c r="N427" t="n">
        <v>0</v>
      </c>
      <c r="O427" t="n">
        <v>0</v>
      </c>
      <c r="P427" t="n">
        <v>0</v>
      </c>
      <c r="Q427" t="n">
        <v>0</v>
      </c>
      <c r="R427" s="2" t="inlineStr"/>
    </row>
    <row r="428" ht="15" customHeight="1">
      <c r="A428" t="inlineStr">
        <is>
          <t>A 49107-2023</t>
        </is>
      </c>
      <c r="B428" s="1" t="n">
        <v>45210.44337962963</v>
      </c>
      <c r="C428" s="1" t="n">
        <v>45922</v>
      </c>
      <c r="D428" t="inlineStr">
        <is>
          <t>SKÅNE LÄN</t>
        </is>
      </c>
      <c r="E428" t="inlineStr">
        <is>
          <t>HÄSSLEHOLM</t>
        </is>
      </c>
      <c r="G428" t="n">
        <v>0.3</v>
      </c>
      <c r="H428" t="n">
        <v>0</v>
      </c>
      <c r="I428" t="n">
        <v>0</v>
      </c>
      <c r="J428" t="n">
        <v>0</v>
      </c>
      <c r="K428" t="n">
        <v>0</v>
      </c>
      <c r="L428" t="n">
        <v>0</v>
      </c>
      <c r="M428" t="n">
        <v>0</v>
      </c>
      <c r="N428" t="n">
        <v>0</v>
      </c>
      <c r="O428" t="n">
        <v>0</v>
      </c>
      <c r="P428" t="n">
        <v>0</v>
      </c>
      <c r="Q428" t="n">
        <v>0</v>
      </c>
      <c r="R428" s="2" t="inlineStr"/>
    </row>
    <row r="429" ht="15" customHeight="1">
      <c r="A429" t="inlineStr">
        <is>
          <t>A 60509-2023</t>
        </is>
      </c>
      <c r="B429" s="1" t="n">
        <v>45259</v>
      </c>
      <c r="C429" s="1" t="n">
        <v>45922</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1562-2023</t>
        </is>
      </c>
      <c r="B430" s="1" t="n">
        <v>44937.60450231482</v>
      </c>
      <c r="C430" s="1" t="n">
        <v>45922</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45220-2023</t>
        </is>
      </c>
      <c r="B431" s="1" t="n">
        <v>45191</v>
      </c>
      <c r="C431" s="1" t="n">
        <v>45922</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32967-2023</t>
        </is>
      </c>
      <c r="B432" s="1" t="n">
        <v>45125</v>
      </c>
      <c r="C432" s="1" t="n">
        <v>45922</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32968-2023</t>
        </is>
      </c>
      <c r="B433" s="1" t="n">
        <v>45125</v>
      </c>
      <c r="C433" s="1" t="n">
        <v>45922</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10277-2023</t>
        </is>
      </c>
      <c r="B434" s="1" t="n">
        <v>44986</v>
      </c>
      <c r="C434" s="1" t="n">
        <v>45922</v>
      </c>
      <c r="D434" t="inlineStr">
        <is>
          <t>SKÅNE LÄN</t>
        </is>
      </c>
      <c r="E434" t="inlineStr">
        <is>
          <t>HÄSSLEHOLM</t>
        </is>
      </c>
      <c r="G434" t="n">
        <v>0.6</v>
      </c>
      <c r="H434" t="n">
        <v>0</v>
      </c>
      <c r="I434" t="n">
        <v>0</v>
      </c>
      <c r="J434" t="n">
        <v>0</v>
      </c>
      <c r="K434" t="n">
        <v>0</v>
      </c>
      <c r="L434" t="n">
        <v>0</v>
      </c>
      <c r="M434" t="n">
        <v>0</v>
      </c>
      <c r="N434" t="n">
        <v>0</v>
      </c>
      <c r="O434" t="n">
        <v>0</v>
      </c>
      <c r="P434" t="n">
        <v>0</v>
      </c>
      <c r="Q434" t="n">
        <v>0</v>
      </c>
      <c r="R434" s="2" t="inlineStr"/>
    </row>
    <row r="435" ht="15" customHeight="1">
      <c r="A435" t="inlineStr">
        <is>
          <t>A 10290-2023</t>
        </is>
      </c>
      <c r="B435" s="1" t="n">
        <v>44986</v>
      </c>
      <c r="C435" s="1" t="n">
        <v>45922</v>
      </c>
      <c r="D435" t="inlineStr">
        <is>
          <t>SKÅNE LÄN</t>
        </is>
      </c>
      <c r="E435" t="inlineStr">
        <is>
          <t>HÄSSLEHOLM</t>
        </is>
      </c>
      <c r="G435" t="n">
        <v>1</v>
      </c>
      <c r="H435" t="n">
        <v>0</v>
      </c>
      <c r="I435" t="n">
        <v>0</v>
      </c>
      <c r="J435" t="n">
        <v>0</v>
      </c>
      <c r="K435" t="n">
        <v>0</v>
      </c>
      <c r="L435" t="n">
        <v>0</v>
      </c>
      <c r="M435" t="n">
        <v>0</v>
      </c>
      <c r="N435" t="n">
        <v>0</v>
      </c>
      <c r="O435" t="n">
        <v>0</v>
      </c>
      <c r="P435" t="n">
        <v>0</v>
      </c>
      <c r="Q435" t="n">
        <v>0</v>
      </c>
      <c r="R435" s="2" t="inlineStr"/>
    </row>
    <row r="436" ht="15" customHeight="1">
      <c r="A436" t="inlineStr">
        <is>
          <t>A 4382-2023</t>
        </is>
      </c>
      <c r="B436" s="1" t="n">
        <v>44955.61152777778</v>
      </c>
      <c r="C436" s="1" t="n">
        <v>45922</v>
      </c>
      <c r="D436" t="inlineStr">
        <is>
          <t>SKÅNE LÄN</t>
        </is>
      </c>
      <c r="E436" t="inlineStr">
        <is>
          <t>HÄSSLEHOLM</t>
        </is>
      </c>
      <c r="G436" t="n">
        <v>0.3</v>
      </c>
      <c r="H436" t="n">
        <v>0</v>
      </c>
      <c r="I436" t="n">
        <v>0</v>
      </c>
      <c r="J436" t="n">
        <v>0</v>
      </c>
      <c r="K436" t="n">
        <v>0</v>
      </c>
      <c r="L436" t="n">
        <v>0</v>
      </c>
      <c r="M436" t="n">
        <v>0</v>
      </c>
      <c r="N436" t="n">
        <v>0</v>
      </c>
      <c r="O436" t="n">
        <v>0</v>
      </c>
      <c r="P436" t="n">
        <v>0</v>
      </c>
      <c r="Q436" t="n">
        <v>0</v>
      </c>
      <c r="R436" s="2" t="inlineStr"/>
    </row>
    <row r="437" ht="15" customHeight="1">
      <c r="A437" t="inlineStr">
        <is>
          <t>A 52608-2023</t>
        </is>
      </c>
      <c r="B437" s="1" t="n">
        <v>45219</v>
      </c>
      <c r="C437" s="1" t="n">
        <v>45922</v>
      </c>
      <c r="D437" t="inlineStr">
        <is>
          <t>SKÅNE LÄN</t>
        </is>
      </c>
      <c r="E437" t="inlineStr">
        <is>
          <t>HÄSSLEHOLM</t>
        </is>
      </c>
      <c r="F437" t="inlineStr">
        <is>
          <t>Övriga Aktiebolag</t>
        </is>
      </c>
      <c r="G437" t="n">
        <v>2.1</v>
      </c>
      <c r="H437" t="n">
        <v>0</v>
      </c>
      <c r="I437" t="n">
        <v>0</v>
      </c>
      <c r="J437" t="n">
        <v>0</v>
      </c>
      <c r="K437" t="n">
        <v>0</v>
      </c>
      <c r="L437" t="n">
        <v>0</v>
      </c>
      <c r="M437" t="n">
        <v>0</v>
      </c>
      <c r="N437" t="n">
        <v>0</v>
      </c>
      <c r="O437" t="n">
        <v>0</v>
      </c>
      <c r="P437" t="n">
        <v>0</v>
      </c>
      <c r="Q437" t="n">
        <v>0</v>
      </c>
      <c r="R437" s="2" t="inlineStr"/>
    </row>
    <row r="438" ht="15" customHeight="1">
      <c r="A438" t="inlineStr">
        <is>
          <t>A 35237-2023</t>
        </is>
      </c>
      <c r="B438" s="1" t="n">
        <v>45145.74532407407</v>
      </c>
      <c r="C438" s="1" t="n">
        <v>45922</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32008-2024</t>
        </is>
      </c>
      <c r="B439" s="1" t="n">
        <v>45510</v>
      </c>
      <c r="C439" s="1" t="n">
        <v>45922</v>
      </c>
      <c r="D439" t="inlineStr">
        <is>
          <t>SKÅNE LÄN</t>
        </is>
      </c>
      <c r="E439" t="inlineStr">
        <is>
          <t>HÄSSLEHOLM</t>
        </is>
      </c>
      <c r="G439" t="n">
        <v>5.1</v>
      </c>
      <c r="H439" t="n">
        <v>0</v>
      </c>
      <c r="I439" t="n">
        <v>0</v>
      </c>
      <c r="J439" t="n">
        <v>0</v>
      </c>
      <c r="K439" t="n">
        <v>0</v>
      </c>
      <c r="L439" t="n">
        <v>0</v>
      </c>
      <c r="M439" t="n">
        <v>0</v>
      </c>
      <c r="N439" t="n">
        <v>0</v>
      </c>
      <c r="O439" t="n">
        <v>0</v>
      </c>
      <c r="P439" t="n">
        <v>0</v>
      </c>
      <c r="Q439" t="n">
        <v>0</v>
      </c>
      <c r="R439" s="2" t="inlineStr"/>
    </row>
    <row r="440" ht="15" customHeight="1">
      <c r="A440" t="inlineStr">
        <is>
          <t>A 57967-2023</t>
        </is>
      </c>
      <c r="B440" s="1" t="n">
        <v>45247.57984953704</v>
      </c>
      <c r="C440" s="1" t="n">
        <v>45922</v>
      </c>
      <c r="D440" t="inlineStr">
        <is>
          <t>SKÅNE LÄN</t>
        </is>
      </c>
      <c r="E440" t="inlineStr">
        <is>
          <t>HÄSSLEHOLM</t>
        </is>
      </c>
      <c r="G440" t="n">
        <v>8.6</v>
      </c>
      <c r="H440" t="n">
        <v>0</v>
      </c>
      <c r="I440" t="n">
        <v>0</v>
      </c>
      <c r="J440" t="n">
        <v>0</v>
      </c>
      <c r="K440" t="n">
        <v>0</v>
      </c>
      <c r="L440" t="n">
        <v>0</v>
      </c>
      <c r="M440" t="n">
        <v>0</v>
      </c>
      <c r="N440" t="n">
        <v>0</v>
      </c>
      <c r="O440" t="n">
        <v>0</v>
      </c>
      <c r="P440" t="n">
        <v>0</v>
      </c>
      <c r="Q440" t="n">
        <v>0</v>
      </c>
      <c r="R440" s="2" t="inlineStr"/>
    </row>
    <row r="441" ht="15" customHeight="1">
      <c r="A441" t="inlineStr">
        <is>
          <t>A 16368-2025</t>
        </is>
      </c>
      <c r="B441" s="1" t="n">
        <v>45751</v>
      </c>
      <c r="C441" s="1" t="n">
        <v>45922</v>
      </c>
      <c r="D441" t="inlineStr">
        <is>
          <t>SKÅNE LÄN</t>
        </is>
      </c>
      <c r="E441" t="inlineStr">
        <is>
          <t>HÄSSLEHOLM</t>
        </is>
      </c>
      <c r="G441" t="n">
        <v>5</v>
      </c>
      <c r="H441" t="n">
        <v>0</v>
      </c>
      <c r="I441" t="n">
        <v>0</v>
      </c>
      <c r="J441" t="n">
        <v>0</v>
      </c>
      <c r="K441" t="n">
        <v>0</v>
      </c>
      <c r="L441" t="n">
        <v>0</v>
      </c>
      <c r="M441" t="n">
        <v>0</v>
      </c>
      <c r="N441" t="n">
        <v>0</v>
      </c>
      <c r="O441" t="n">
        <v>0</v>
      </c>
      <c r="P441" t="n">
        <v>0</v>
      </c>
      <c r="Q441" t="n">
        <v>0</v>
      </c>
      <c r="R441" s="2" t="inlineStr"/>
    </row>
    <row r="442" ht="15" customHeight="1">
      <c r="A442" t="inlineStr">
        <is>
          <t>A 27349-2025</t>
        </is>
      </c>
      <c r="B442" s="1" t="n">
        <v>45812</v>
      </c>
      <c r="C442" s="1" t="n">
        <v>45922</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62041-2022</t>
        </is>
      </c>
      <c r="B443" s="1" t="n">
        <v>44918.55743055556</v>
      </c>
      <c r="C443" s="1" t="n">
        <v>45922</v>
      </c>
      <c r="D443" t="inlineStr">
        <is>
          <t>SKÅNE LÄN</t>
        </is>
      </c>
      <c r="E443" t="inlineStr">
        <is>
          <t>HÄSSLEHOLM</t>
        </is>
      </c>
      <c r="G443" t="n">
        <v>2.8</v>
      </c>
      <c r="H443" t="n">
        <v>0</v>
      </c>
      <c r="I443" t="n">
        <v>0</v>
      </c>
      <c r="J443" t="n">
        <v>0</v>
      </c>
      <c r="K443" t="n">
        <v>0</v>
      </c>
      <c r="L443" t="n">
        <v>0</v>
      </c>
      <c r="M443" t="n">
        <v>0</v>
      </c>
      <c r="N443" t="n">
        <v>0</v>
      </c>
      <c r="O443" t="n">
        <v>0</v>
      </c>
      <c r="P443" t="n">
        <v>0</v>
      </c>
      <c r="Q443" t="n">
        <v>0</v>
      </c>
      <c r="R443" s="2" t="inlineStr"/>
    </row>
    <row r="444" ht="15" customHeight="1">
      <c r="A444" t="inlineStr">
        <is>
          <t>A 12468-2024</t>
        </is>
      </c>
      <c r="B444" s="1" t="n">
        <v>45379</v>
      </c>
      <c r="C444" s="1" t="n">
        <v>45922</v>
      </c>
      <c r="D444" t="inlineStr">
        <is>
          <t>SKÅNE LÄN</t>
        </is>
      </c>
      <c r="E444" t="inlineStr">
        <is>
          <t>HÄSSLEHOLM</t>
        </is>
      </c>
      <c r="G444" t="n">
        <v>15.5</v>
      </c>
      <c r="H444" t="n">
        <v>0</v>
      </c>
      <c r="I444" t="n">
        <v>0</v>
      </c>
      <c r="J444" t="n">
        <v>0</v>
      </c>
      <c r="K444" t="n">
        <v>0</v>
      </c>
      <c r="L444" t="n">
        <v>0</v>
      </c>
      <c r="M444" t="n">
        <v>0</v>
      </c>
      <c r="N444" t="n">
        <v>0</v>
      </c>
      <c r="O444" t="n">
        <v>0</v>
      </c>
      <c r="P444" t="n">
        <v>0</v>
      </c>
      <c r="Q444" t="n">
        <v>0</v>
      </c>
      <c r="R444" s="2" t="inlineStr"/>
    </row>
    <row r="445" ht="15" customHeight="1">
      <c r="A445" t="inlineStr">
        <is>
          <t>A 1553-2023</t>
        </is>
      </c>
      <c r="B445" s="1" t="n">
        <v>44937</v>
      </c>
      <c r="C445" s="1" t="n">
        <v>45922</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22690-2022</t>
        </is>
      </c>
      <c r="B446" s="1" t="n">
        <v>44714.5421875</v>
      </c>
      <c r="C446" s="1" t="n">
        <v>45922</v>
      </c>
      <c r="D446" t="inlineStr">
        <is>
          <t>SKÅNE LÄN</t>
        </is>
      </c>
      <c r="E446" t="inlineStr">
        <is>
          <t>HÄSSLEHOLM</t>
        </is>
      </c>
      <c r="G446" t="n">
        <v>1.7</v>
      </c>
      <c r="H446" t="n">
        <v>0</v>
      </c>
      <c r="I446" t="n">
        <v>0</v>
      </c>
      <c r="J446" t="n">
        <v>0</v>
      </c>
      <c r="K446" t="n">
        <v>0</v>
      </c>
      <c r="L446" t="n">
        <v>0</v>
      </c>
      <c r="M446" t="n">
        <v>0</v>
      </c>
      <c r="N446" t="n">
        <v>0</v>
      </c>
      <c r="O446" t="n">
        <v>0</v>
      </c>
      <c r="P446" t="n">
        <v>0</v>
      </c>
      <c r="Q446" t="n">
        <v>0</v>
      </c>
      <c r="R446" s="2" t="inlineStr"/>
    </row>
    <row r="447" ht="15" customHeight="1">
      <c r="A447" t="inlineStr">
        <is>
          <t>A 53897-2023</t>
        </is>
      </c>
      <c r="B447" s="1" t="n">
        <v>45231.53934027778</v>
      </c>
      <c r="C447" s="1" t="n">
        <v>45922</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1170-2025</t>
        </is>
      </c>
      <c r="B448" s="1" t="n">
        <v>45667.29226851852</v>
      </c>
      <c r="C448" s="1" t="n">
        <v>45922</v>
      </c>
      <c r="D448" t="inlineStr">
        <is>
          <t>SKÅNE LÄN</t>
        </is>
      </c>
      <c r="E448" t="inlineStr">
        <is>
          <t>HÄSSLEHOLM</t>
        </is>
      </c>
      <c r="G448" t="n">
        <v>4.3</v>
      </c>
      <c r="H448" t="n">
        <v>0</v>
      </c>
      <c r="I448" t="n">
        <v>0</v>
      </c>
      <c r="J448" t="n">
        <v>0</v>
      </c>
      <c r="K448" t="n">
        <v>0</v>
      </c>
      <c r="L448" t="n">
        <v>0</v>
      </c>
      <c r="M448" t="n">
        <v>0</v>
      </c>
      <c r="N448" t="n">
        <v>0</v>
      </c>
      <c r="O448" t="n">
        <v>0</v>
      </c>
      <c r="P448" t="n">
        <v>0</v>
      </c>
      <c r="Q448" t="n">
        <v>0</v>
      </c>
      <c r="R448" s="2" t="inlineStr"/>
    </row>
    <row r="449" ht="15" customHeight="1">
      <c r="A449" t="inlineStr">
        <is>
          <t>A 22132-2024</t>
        </is>
      </c>
      <c r="B449" s="1" t="n">
        <v>45444.37234953704</v>
      </c>
      <c r="C449" s="1" t="n">
        <v>45922</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32210-2024</t>
        </is>
      </c>
      <c r="B450" s="1" t="n">
        <v>45511.67777777778</v>
      </c>
      <c r="C450" s="1" t="n">
        <v>45922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67974-2020</t>
        </is>
      </c>
      <c r="B451" s="1" t="n">
        <v>44182</v>
      </c>
      <c r="C451" s="1" t="n">
        <v>45922</v>
      </c>
      <c r="D451" t="inlineStr">
        <is>
          <t>SKÅNE LÄN</t>
        </is>
      </c>
      <c r="E451" t="inlineStr">
        <is>
          <t>HÄSSLEHOLM</t>
        </is>
      </c>
      <c r="G451" t="n">
        <v>9</v>
      </c>
      <c r="H451" t="n">
        <v>0</v>
      </c>
      <c r="I451" t="n">
        <v>0</v>
      </c>
      <c r="J451" t="n">
        <v>0</v>
      </c>
      <c r="K451" t="n">
        <v>0</v>
      </c>
      <c r="L451" t="n">
        <v>0</v>
      </c>
      <c r="M451" t="n">
        <v>0</v>
      </c>
      <c r="N451" t="n">
        <v>0</v>
      </c>
      <c r="O451" t="n">
        <v>0</v>
      </c>
      <c r="P451" t="n">
        <v>0</v>
      </c>
      <c r="Q451" t="n">
        <v>0</v>
      </c>
      <c r="R451" s="2" t="inlineStr"/>
    </row>
    <row r="452" ht="15" customHeight="1">
      <c r="A452" t="inlineStr">
        <is>
          <t>A 2743-2023</t>
        </is>
      </c>
      <c r="B452" s="1" t="n">
        <v>44944</v>
      </c>
      <c r="C452" s="1" t="n">
        <v>45922</v>
      </c>
      <c r="D452" t="inlineStr">
        <is>
          <t>SKÅNE LÄN</t>
        </is>
      </c>
      <c r="E452" t="inlineStr">
        <is>
          <t>HÄSSLEHOLM</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27954-2022</t>
        </is>
      </c>
      <c r="B453" s="1" t="n">
        <v>44743</v>
      </c>
      <c r="C453" s="1" t="n">
        <v>45922</v>
      </c>
      <c r="D453" t="inlineStr">
        <is>
          <t>SKÅNE LÄN</t>
        </is>
      </c>
      <c r="E453" t="inlineStr">
        <is>
          <t>HÄSSLEHOLM</t>
        </is>
      </c>
      <c r="G453" t="n">
        <v>9.4</v>
      </c>
      <c r="H453" t="n">
        <v>0</v>
      </c>
      <c r="I453" t="n">
        <v>0</v>
      </c>
      <c r="J453" t="n">
        <v>0</v>
      </c>
      <c r="K453" t="n">
        <v>0</v>
      </c>
      <c r="L453" t="n">
        <v>0</v>
      </c>
      <c r="M453" t="n">
        <v>0</v>
      </c>
      <c r="N453" t="n">
        <v>0</v>
      </c>
      <c r="O453" t="n">
        <v>0</v>
      </c>
      <c r="P453" t="n">
        <v>0</v>
      </c>
      <c r="Q453" t="n">
        <v>0</v>
      </c>
      <c r="R453" s="2" t="inlineStr"/>
    </row>
    <row r="454" ht="15" customHeight="1">
      <c r="A454" t="inlineStr">
        <is>
          <t>A 20493-2024</t>
        </is>
      </c>
      <c r="B454" s="1" t="n">
        <v>45435</v>
      </c>
      <c r="C454" s="1" t="n">
        <v>45922</v>
      </c>
      <c r="D454" t="inlineStr">
        <is>
          <t>SKÅNE LÄN</t>
        </is>
      </c>
      <c r="E454" t="inlineStr">
        <is>
          <t>HÄSSLEHOLM</t>
        </is>
      </c>
      <c r="G454" t="n">
        <v>1.2</v>
      </c>
      <c r="H454" t="n">
        <v>0</v>
      </c>
      <c r="I454" t="n">
        <v>0</v>
      </c>
      <c r="J454" t="n">
        <v>0</v>
      </c>
      <c r="K454" t="n">
        <v>0</v>
      </c>
      <c r="L454" t="n">
        <v>0</v>
      </c>
      <c r="M454" t="n">
        <v>0</v>
      </c>
      <c r="N454" t="n">
        <v>0</v>
      </c>
      <c r="O454" t="n">
        <v>0</v>
      </c>
      <c r="P454" t="n">
        <v>0</v>
      </c>
      <c r="Q454" t="n">
        <v>0</v>
      </c>
      <c r="R454" s="2" t="inlineStr"/>
    </row>
    <row r="455" ht="15" customHeight="1">
      <c r="A455" t="inlineStr">
        <is>
          <t>A 8749-2024</t>
        </is>
      </c>
      <c r="B455" s="1" t="n">
        <v>45356.50387731481</v>
      </c>
      <c r="C455" s="1" t="n">
        <v>45922</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8752-2024</t>
        </is>
      </c>
      <c r="B456" s="1" t="n">
        <v>45356</v>
      </c>
      <c r="C456" s="1" t="n">
        <v>45922</v>
      </c>
      <c r="D456" t="inlineStr">
        <is>
          <t>SKÅNE LÄN</t>
        </is>
      </c>
      <c r="E456" t="inlineStr">
        <is>
          <t>HÄSSLEHOLM</t>
        </is>
      </c>
      <c r="G456" t="n">
        <v>3.4</v>
      </c>
      <c r="H456" t="n">
        <v>0</v>
      </c>
      <c r="I456" t="n">
        <v>0</v>
      </c>
      <c r="J456" t="n">
        <v>0</v>
      </c>
      <c r="K456" t="n">
        <v>0</v>
      </c>
      <c r="L456" t="n">
        <v>0</v>
      </c>
      <c r="M456" t="n">
        <v>0</v>
      </c>
      <c r="N456" t="n">
        <v>0</v>
      </c>
      <c r="O456" t="n">
        <v>0</v>
      </c>
      <c r="P456" t="n">
        <v>0</v>
      </c>
      <c r="Q456" t="n">
        <v>0</v>
      </c>
      <c r="R456" s="2" t="inlineStr"/>
    </row>
    <row r="457" ht="15" customHeight="1">
      <c r="A457" t="inlineStr">
        <is>
          <t>A 8759-2024</t>
        </is>
      </c>
      <c r="B457" s="1" t="n">
        <v>45356.52271990741</v>
      </c>
      <c r="C457" s="1" t="n">
        <v>45922</v>
      </c>
      <c r="D457" t="inlineStr">
        <is>
          <t>SKÅNE LÄN</t>
        </is>
      </c>
      <c r="E457" t="inlineStr">
        <is>
          <t>HÄSSLEHOLM</t>
        </is>
      </c>
      <c r="G457" t="n">
        <v>5.7</v>
      </c>
      <c r="H457" t="n">
        <v>0</v>
      </c>
      <c r="I457" t="n">
        <v>0</v>
      </c>
      <c r="J457" t="n">
        <v>0</v>
      </c>
      <c r="K457" t="n">
        <v>0</v>
      </c>
      <c r="L457" t="n">
        <v>0</v>
      </c>
      <c r="M457" t="n">
        <v>0</v>
      </c>
      <c r="N457" t="n">
        <v>0</v>
      </c>
      <c r="O457" t="n">
        <v>0</v>
      </c>
      <c r="P457" t="n">
        <v>0</v>
      </c>
      <c r="Q457" t="n">
        <v>0</v>
      </c>
      <c r="R457" s="2" t="inlineStr"/>
    </row>
    <row r="458" ht="15" customHeight="1">
      <c r="A458" t="inlineStr">
        <is>
          <t>A 48624-2021</t>
        </is>
      </c>
      <c r="B458" s="1" t="n">
        <v>44452</v>
      </c>
      <c r="C458" s="1" t="n">
        <v>45922</v>
      </c>
      <c r="D458" t="inlineStr">
        <is>
          <t>SKÅNE LÄN</t>
        </is>
      </c>
      <c r="E458" t="inlineStr">
        <is>
          <t>HÄSSLEHOLM</t>
        </is>
      </c>
      <c r="G458" t="n">
        <v>2.2</v>
      </c>
      <c r="H458" t="n">
        <v>0</v>
      </c>
      <c r="I458" t="n">
        <v>0</v>
      </c>
      <c r="J458" t="n">
        <v>0</v>
      </c>
      <c r="K458" t="n">
        <v>0</v>
      </c>
      <c r="L458" t="n">
        <v>0</v>
      </c>
      <c r="M458" t="n">
        <v>0</v>
      </c>
      <c r="N458" t="n">
        <v>0</v>
      </c>
      <c r="O458" t="n">
        <v>0</v>
      </c>
      <c r="P458" t="n">
        <v>0</v>
      </c>
      <c r="Q458" t="n">
        <v>0</v>
      </c>
      <c r="R458" s="2" t="inlineStr"/>
    </row>
    <row r="459" ht="15" customHeight="1">
      <c r="A459" t="inlineStr">
        <is>
          <t>A 65235-2021</t>
        </is>
      </c>
      <c r="B459" s="1" t="n">
        <v>44515</v>
      </c>
      <c r="C459" s="1" t="n">
        <v>45922</v>
      </c>
      <c r="D459" t="inlineStr">
        <is>
          <t>SKÅNE LÄN</t>
        </is>
      </c>
      <c r="E459" t="inlineStr">
        <is>
          <t>HÄSSLEHOLM</t>
        </is>
      </c>
      <c r="G459" t="n">
        <v>2.5</v>
      </c>
      <c r="H459" t="n">
        <v>0</v>
      </c>
      <c r="I459" t="n">
        <v>0</v>
      </c>
      <c r="J459" t="n">
        <v>0</v>
      </c>
      <c r="K459" t="n">
        <v>0</v>
      </c>
      <c r="L459" t="n">
        <v>0</v>
      </c>
      <c r="M459" t="n">
        <v>0</v>
      </c>
      <c r="N459" t="n">
        <v>0</v>
      </c>
      <c r="O459" t="n">
        <v>0</v>
      </c>
      <c r="P459" t="n">
        <v>0</v>
      </c>
      <c r="Q459" t="n">
        <v>0</v>
      </c>
      <c r="R459" s="2" t="inlineStr"/>
    </row>
    <row r="460" ht="15" customHeight="1">
      <c r="A460" t="inlineStr">
        <is>
          <t>A 59434-2023</t>
        </is>
      </c>
      <c r="B460" s="1" t="n">
        <v>45254.30440972222</v>
      </c>
      <c r="C460" s="1" t="n">
        <v>45922</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41873-2023</t>
        </is>
      </c>
      <c r="B461" s="1" t="n">
        <v>45176</v>
      </c>
      <c r="C461" s="1" t="n">
        <v>45922</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41998-2021</t>
        </is>
      </c>
      <c r="B462" s="1" t="n">
        <v>44425</v>
      </c>
      <c r="C462" s="1" t="n">
        <v>45922</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13549-2025</t>
        </is>
      </c>
      <c r="B463" s="1" t="n">
        <v>45736</v>
      </c>
      <c r="C463" s="1" t="n">
        <v>45922</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51245-2023</t>
        </is>
      </c>
      <c r="B464" s="1" t="n">
        <v>45212</v>
      </c>
      <c r="C464" s="1" t="n">
        <v>45922</v>
      </c>
      <c r="D464" t="inlineStr">
        <is>
          <t>SKÅNE LÄN</t>
        </is>
      </c>
      <c r="E464" t="inlineStr">
        <is>
          <t>HÄSSLEHOLM</t>
        </is>
      </c>
      <c r="G464" t="n">
        <v>2.1</v>
      </c>
      <c r="H464" t="n">
        <v>0</v>
      </c>
      <c r="I464" t="n">
        <v>0</v>
      </c>
      <c r="J464" t="n">
        <v>0</v>
      </c>
      <c r="K464" t="n">
        <v>0</v>
      </c>
      <c r="L464" t="n">
        <v>0</v>
      </c>
      <c r="M464" t="n">
        <v>0</v>
      </c>
      <c r="N464" t="n">
        <v>0</v>
      </c>
      <c r="O464" t="n">
        <v>0</v>
      </c>
      <c r="P464" t="n">
        <v>0</v>
      </c>
      <c r="Q464" t="n">
        <v>0</v>
      </c>
      <c r="R464" s="2" t="inlineStr"/>
    </row>
    <row r="465" ht="15" customHeight="1">
      <c r="A465" t="inlineStr">
        <is>
          <t>A 2290-2024</t>
        </is>
      </c>
      <c r="B465" s="1" t="n">
        <v>45310</v>
      </c>
      <c r="C465" s="1" t="n">
        <v>45922</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28240-2025</t>
        </is>
      </c>
      <c r="B466" s="1" t="n">
        <v>45817</v>
      </c>
      <c r="C466" s="1" t="n">
        <v>45922</v>
      </c>
      <c r="D466" t="inlineStr">
        <is>
          <t>SKÅNE LÄN</t>
        </is>
      </c>
      <c r="E466" t="inlineStr">
        <is>
          <t>HÄSSLEHOLM</t>
        </is>
      </c>
      <c r="G466" t="n">
        <v>7.7</v>
      </c>
      <c r="H466" t="n">
        <v>0</v>
      </c>
      <c r="I466" t="n">
        <v>0</v>
      </c>
      <c r="J466" t="n">
        <v>0</v>
      </c>
      <c r="K466" t="n">
        <v>0</v>
      </c>
      <c r="L466" t="n">
        <v>0</v>
      </c>
      <c r="M466" t="n">
        <v>0</v>
      </c>
      <c r="N466" t="n">
        <v>0</v>
      </c>
      <c r="O466" t="n">
        <v>0</v>
      </c>
      <c r="P466" t="n">
        <v>0</v>
      </c>
      <c r="Q466" t="n">
        <v>0</v>
      </c>
      <c r="R466" s="2" t="inlineStr"/>
    </row>
    <row r="467" ht="15" customHeight="1">
      <c r="A467" t="inlineStr">
        <is>
          <t>A 35712-2024</t>
        </is>
      </c>
      <c r="B467" s="1" t="n">
        <v>45532</v>
      </c>
      <c r="C467" s="1" t="n">
        <v>45922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61691-2021</t>
        </is>
      </c>
      <c r="B468" s="1" t="n">
        <v>44501</v>
      </c>
      <c r="C468" s="1" t="n">
        <v>45922</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57647-2024</t>
        </is>
      </c>
      <c r="B469" s="1" t="n">
        <v>45630</v>
      </c>
      <c r="C469" s="1" t="n">
        <v>45922</v>
      </c>
      <c r="D469" t="inlineStr">
        <is>
          <t>SKÅNE LÄN</t>
        </is>
      </c>
      <c r="E469" t="inlineStr">
        <is>
          <t>HÄSSLEHOLM</t>
        </is>
      </c>
      <c r="G469" t="n">
        <v>2.9</v>
      </c>
      <c r="H469" t="n">
        <v>0</v>
      </c>
      <c r="I469" t="n">
        <v>0</v>
      </c>
      <c r="J469" t="n">
        <v>0</v>
      </c>
      <c r="K469" t="n">
        <v>0</v>
      </c>
      <c r="L469" t="n">
        <v>0</v>
      </c>
      <c r="M469" t="n">
        <v>0</v>
      </c>
      <c r="N469" t="n">
        <v>0</v>
      </c>
      <c r="O469" t="n">
        <v>0</v>
      </c>
      <c r="P469" t="n">
        <v>0</v>
      </c>
      <c r="Q469" t="n">
        <v>0</v>
      </c>
      <c r="R469" s="2" t="inlineStr"/>
    </row>
    <row r="470" ht="15" customHeight="1">
      <c r="A470" t="inlineStr">
        <is>
          <t>A 33067-2024</t>
        </is>
      </c>
      <c r="B470" s="1" t="n">
        <v>45517.6520949074</v>
      </c>
      <c r="C470" s="1" t="n">
        <v>45922</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20564-2023</t>
        </is>
      </c>
      <c r="B471" s="1" t="n">
        <v>45057</v>
      </c>
      <c r="C471" s="1" t="n">
        <v>45922</v>
      </c>
      <c r="D471" t="inlineStr">
        <is>
          <t>SKÅNE LÄN</t>
        </is>
      </c>
      <c r="E471" t="inlineStr">
        <is>
          <t>HÄSSLEHOLM</t>
        </is>
      </c>
      <c r="G471" t="n">
        <v>2.6</v>
      </c>
      <c r="H471" t="n">
        <v>0</v>
      </c>
      <c r="I471" t="n">
        <v>0</v>
      </c>
      <c r="J471" t="n">
        <v>0</v>
      </c>
      <c r="K471" t="n">
        <v>0</v>
      </c>
      <c r="L471" t="n">
        <v>0</v>
      </c>
      <c r="M471" t="n">
        <v>0</v>
      </c>
      <c r="N471" t="n">
        <v>0</v>
      </c>
      <c r="O471" t="n">
        <v>0</v>
      </c>
      <c r="P471" t="n">
        <v>0</v>
      </c>
      <c r="Q471" t="n">
        <v>0</v>
      </c>
      <c r="R471" s="2" t="inlineStr"/>
    </row>
    <row r="472" ht="15" customHeight="1">
      <c r="A472" t="inlineStr">
        <is>
          <t>A 27940-2025</t>
        </is>
      </c>
      <c r="B472" s="1" t="n">
        <v>45817.50439814815</v>
      </c>
      <c r="C472" s="1" t="n">
        <v>45922</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28236-2022</t>
        </is>
      </c>
      <c r="B473" s="1" t="n">
        <v>44746</v>
      </c>
      <c r="C473" s="1" t="n">
        <v>45922</v>
      </c>
      <c r="D473" t="inlineStr">
        <is>
          <t>SKÅNE LÄN</t>
        </is>
      </c>
      <c r="E473" t="inlineStr">
        <is>
          <t>HÄSSLEHOLM</t>
        </is>
      </c>
      <c r="G473" t="n">
        <v>3.5</v>
      </c>
      <c r="H473" t="n">
        <v>0</v>
      </c>
      <c r="I473" t="n">
        <v>0</v>
      </c>
      <c r="J473" t="n">
        <v>0</v>
      </c>
      <c r="K473" t="n">
        <v>0</v>
      </c>
      <c r="L473" t="n">
        <v>0</v>
      </c>
      <c r="M473" t="n">
        <v>0</v>
      </c>
      <c r="N473" t="n">
        <v>0</v>
      </c>
      <c r="O473" t="n">
        <v>0</v>
      </c>
      <c r="P473" t="n">
        <v>0</v>
      </c>
      <c r="Q473" t="n">
        <v>0</v>
      </c>
      <c r="R473" s="2" t="inlineStr"/>
    </row>
    <row r="474" ht="15" customHeight="1">
      <c r="A474" t="inlineStr">
        <is>
          <t>A 46641-2023</t>
        </is>
      </c>
      <c r="B474" s="1" t="n">
        <v>45198.44523148148</v>
      </c>
      <c r="C474" s="1" t="n">
        <v>45922</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8239-2025</t>
        </is>
      </c>
      <c r="B475" s="1" t="n">
        <v>45708.47984953703</v>
      </c>
      <c r="C475" s="1" t="n">
        <v>45922</v>
      </c>
      <c r="D475" t="inlineStr">
        <is>
          <t>SKÅNE LÄN</t>
        </is>
      </c>
      <c r="E475" t="inlineStr">
        <is>
          <t>HÄSSLEHOLM</t>
        </is>
      </c>
      <c r="G475" t="n">
        <v>2.7</v>
      </c>
      <c r="H475" t="n">
        <v>0</v>
      </c>
      <c r="I475" t="n">
        <v>0</v>
      </c>
      <c r="J475" t="n">
        <v>0</v>
      </c>
      <c r="K475" t="n">
        <v>0</v>
      </c>
      <c r="L475" t="n">
        <v>0</v>
      </c>
      <c r="M475" t="n">
        <v>0</v>
      </c>
      <c r="N475" t="n">
        <v>0</v>
      </c>
      <c r="O475" t="n">
        <v>0</v>
      </c>
      <c r="P475" t="n">
        <v>0</v>
      </c>
      <c r="Q475" t="n">
        <v>0</v>
      </c>
      <c r="R475" s="2" t="inlineStr"/>
    </row>
    <row r="476" ht="15" customHeight="1">
      <c r="A476" t="inlineStr">
        <is>
          <t>A 46645-2023</t>
        </is>
      </c>
      <c r="B476" s="1" t="n">
        <v>45198.44686342592</v>
      </c>
      <c r="C476" s="1" t="n">
        <v>45922</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61625-2022</t>
        </is>
      </c>
      <c r="B477" s="1" t="n">
        <v>44916</v>
      </c>
      <c r="C477" s="1" t="n">
        <v>45922</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38829-2024</t>
        </is>
      </c>
      <c r="B478" s="1" t="n">
        <v>45547.57247685185</v>
      </c>
      <c r="C478" s="1" t="n">
        <v>45922</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27934-2025</t>
        </is>
      </c>
      <c r="B479" s="1" t="n">
        <v>45817.49761574074</v>
      </c>
      <c r="C479" s="1" t="n">
        <v>45922</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13890-2024</t>
        </is>
      </c>
      <c r="B480" s="1" t="n">
        <v>45391</v>
      </c>
      <c r="C480" s="1" t="n">
        <v>45922</v>
      </c>
      <c r="D480" t="inlineStr">
        <is>
          <t>SKÅNE LÄN</t>
        </is>
      </c>
      <c r="E480" t="inlineStr">
        <is>
          <t>HÄSSLEHOLM</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55218-2023</t>
        </is>
      </c>
      <c r="B481" s="1" t="n">
        <v>45237</v>
      </c>
      <c r="C481" s="1" t="n">
        <v>45922</v>
      </c>
      <c r="D481" t="inlineStr">
        <is>
          <t>SKÅNE LÄN</t>
        </is>
      </c>
      <c r="E481" t="inlineStr">
        <is>
          <t>HÄSSLEHOLM</t>
        </is>
      </c>
      <c r="G481" t="n">
        <v>2</v>
      </c>
      <c r="H481" t="n">
        <v>0</v>
      </c>
      <c r="I481" t="n">
        <v>0</v>
      </c>
      <c r="J481" t="n">
        <v>0</v>
      </c>
      <c r="K481" t="n">
        <v>0</v>
      </c>
      <c r="L481" t="n">
        <v>0</v>
      </c>
      <c r="M481" t="n">
        <v>0</v>
      </c>
      <c r="N481" t="n">
        <v>0</v>
      </c>
      <c r="O481" t="n">
        <v>0</v>
      </c>
      <c r="P481" t="n">
        <v>0</v>
      </c>
      <c r="Q481" t="n">
        <v>0</v>
      </c>
      <c r="R481" s="2" t="inlineStr"/>
    </row>
    <row r="482" ht="15" customHeight="1">
      <c r="A482" t="inlineStr">
        <is>
          <t>A 46288-2023</t>
        </is>
      </c>
      <c r="B482" s="1" t="n">
        <v>45197.30221064815</v>
      </c>
      <c r="C482" s="1" t="n">
        <v>45922</v>
      </c>
      <c r="D482" t="inlineStr">
        <is>
          <t>SKÅNE LÄN</t>
        </is>
      </c>
      <c r="E482" t="inlineStr">
        <is>
          <t>HÄSSLEHOLM</t>
        </is>
      </c>
      <c r="G482" t="n">
        <v>3</v>
      </c>
      <c r="H482" t="n">
        <v>0</v>
      </c>
      <c r="I482" t="n">
        <v>0</v>
      </c>
      <c r="J482" t="n">
        <v>0</v>
      </c>
      <c r="K482" t="n">
        <v>0</v>
      </c>
      <c r="L482" t="n">
        <v>0</v>
      </c>
      <c r="M482" t="n">
        <v>0</v>
      </c>
      <c r="N482" t="n">
        <v>0</v>
      </c>
      <c r="O482" t="n">
        <v>0</v>
      </c>
      <c r="P482" t="n">
        <v>0</v>
      </c>
      <c r="Q482" t="n">
        <v>0</v>
      </c>
      <c r="R482" s="2" t="inlineStr"/>
    </row>
    <row r="483" ht="15" customHeight="1">
      <c r="A483" t="inlineStr">
        <is>
          <t>A 49106-2023</t>
        </is>
      </c>
      <c r="B483" s="1" t="n">
        <v>45210</v>
      </c>
      <c r="C483" s="1" t="n">
        <v>45922</v>
      </c>
      <c r="D483" t="inlineStr">
        <is>
          <t>SKÅNE LÄN</t>
        </is>
      </c>
      <c r="E483" t="inlineStr">
        <is>
          <t>HÄSSLEHOLM</t>
        </is>
      </c>
      <c r="G483" t="n">
        <v>0.3</v>
      </c>
      <c r="H483" t="n">
        <v>0</v>
      </c>
      <c r="I483" t="n">
        <v>0</v>
      </c>
      <c r="J483" t="n">
        <v>0</v>
      </c>
      <c r="K483" t="n">
        <v>0</v>
      </c>
      <c r="L483" t="n">
        <v>0</v>
      </c>
      <c r="M483" t="n">
        <v>0</v>
      </c>
      <c r="N483" t="n">
        <v>0</v>
      </c>
      <c r="O483" t="n">
        <v>0</v>
      </c>
      <c r="P483" t="n">
        <v>0</v>
      </c>
      <c r="Q483" t="n">
        <v>0</v>
      </c>
      <c r="R483" s="2" t="inlineStr"/>
    </row>
    <row r="484" ht="15" customHeight="1">
      <c r="A484" t="inlineStr">
        <is>
          <t>A 10409-2024</t>
        </is>
      </c>
      <c r="B484" s="1" t="n">
        <v>45365.6978125</v>
      </c>
      <c r="C484" s="1" t="n">
        <v>45922</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47248-2023</t>
        </is>
      </c>
      <c r="B485" s="1" t="n">
        <v>45202</v>
      </c>
      <c r="C485" s="1" t="n">
        <v>45922</v>
      </c>
      <c r="D485" t="inlineStr">
        <is>
          <t>SKÅNE LÄN</t>
        </is>
      </c>
      <c r="E485" t="inlineStr">
        <is>
          <t>HÄSSLEHOLM</t>
        </is>
      </c>
      <c r="G485" t="n">
        <v>1.5</v>
      </c>
      <c r="H485" t="n">
        <v>0</v>
      </c>
      <c r="I485" t="n">
        <v>0</v>
      </c>
      <c r="J485" t="n">
        <v>0</v>
      </c>
      <c r="K485" t="n">
        <v>0</v>
      </c>
      <c r="L485" t="n">
        <v>0</v>
      </c>
      <c r="M485" t="n">
        <v>0</v>
      </c>
      <c r="N485" t="n">
        <v>0</v>
      </c>
      <c r="O485" t="n">
        <v>0</v>
      </c>
      <c r="P485" t="n">
        <v>0</v>
      </c>
      <c r="Q485" t="n">
        <v>0</v>
      </c>
      <c r="R485" s="2" t="inlineStr"/>
    </row>
    <row r="486" ht="15" customHeight="1">
      <c r="A486" t="inlineStr">
        <is>
          <t>A 31986-2023</t>
        </is>
      </c>
      <c r="B486" s="1" t="n">
        <v>45119</v>
      </c>
      <c r="C486" s="1" t="n">
        <v>45922</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62044-2022</t>
        </is>
      </c>
      <c r="B487" s="1" t="n">
        <v>44918.55976851852</v>
      </c>
      <c r="C487" s="1" t="n">
        <v>45922</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31934-2024</t>
        </is>
      </c>
      <c r="B488" s="1" t="n">
        <v>45510.41177083334</v>
      </c>
      <c r="C488" s="1" t="n">
        <v>45922</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8160-2024</t>
        </is>
      </c>
      <c r="B489" s="1" t="n">
        <v>45351</v>
      </c>
      <c r="C489" s="1" t="n">
        <v>45922</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46813-2024</t>
        </is>
      </c>
      <c r="B490" s="1" t="n">
        <v>45583</v>
      </c>
      <c r="C490" s="1" t="n">
        <v>45922</v>
      </c>
      <c r="D490" t="inlineStr">
        <is>
          <t>SKÅNE LÄN</t>
        </is>
      </c>
      <c r="E490" t="inlineStr">
        <is>
          <t>HÄSSLEHOLM</t>
        </is>
      </c>
      <c r="G490" t="n">
        <v>14.9</v>
      </c>
      <c r="H490" t="n">
        <v>0</v>
      </c>
      <c r="I490" t="n">
        <v>0</v>
      </c>
      <c r="J490" t="n">
        <v>0</v>
      </c>
      <c r="K490" t="n">
        <v>0</v>
      </c>
      <c r="L490" t="n">
        <v>0</v>
      </c>
      <c r="M490" t="n">
        <v>0</v>
      </c>
      <c r="N490" t="n">
        <v>0</v>
      </c>
      <c r="O490" t="n">
        <v>0</v>
      </c>
      <c r="P490" t="n">
        <v>0</v>
      </c>
      <c r="Q490" t="n">
        <v>0</v>
      </c>
      <c r="R490" s="2" t="inlineStr"/>
    </row>
    <row r="491" ht="15" customHeight="1">
      <c r="A491" t="inlineStr">
        <is>
          <t>A 59429-2023</t>
        </is>
      </c>
      <c r="B491" s="1" t="n">
        <v>45254.2875</v>
      </c>
      <c r="C491" s="1" t="n">
        <v>45922</v>
      </c>
      <c r="D491" t="inlineStr">
        <is>
          <t>SKÅNE LÄN</t>
        </is>
      </c>
      <c r="E491" t="inlineStr">
        <is>
          <t>HÄSSLEHOLM</t>
        </is>
      </c>
      <c r="G491" t="n">
        <v>0</v>
      </c>
      <c r="H491" t="n">
        <v>0</v>
      </c>
      <c r="I491" t="n">
        <v>0</v>
      </c>
      <c r="J491" t="n">
        <v>0</v>
      </c>
      <c r="K491" t="n">
        <v>0</v>
      </c>
      <c r="L491" t="n">
        <v>0</v>
      </c>
      <c r="M491" t="n">
        <v>0</v>
      </c>
      <c r="N491" t="n">
        <v>0</v>
      </c>
      <c r="O491" t="n">
        <v>0</v>
      </c>
      <c r="P491" t="n">
        <v>0</v>
      </c>
      <c r="Q491" t="n">
        <v>0</v>
      </c>
      <c r="R491" s="2" t="inlineStr"/>
    </row>
    <row r="492" ht="15" customHeight="1">
      <c r="A492" t="inlineStr">
        <is>
          <t>A 28251-2025</t>
        </is>
      </c>
      <c r="B492" s="1" t="n">
        <v>45817</v>
      </c>
      <c r="C492" s="1" t="n">
        <v>45922</v>
      </c>
      <c r="D492" t="inlineStr">
        <is>
          <t>SKÅNE LÄN</t>
        </is>
      </c>
      <c r="E492" t="inlineStr">
        <is>
          <t>HÄSSLEHOLM</t>
        </is>
      </c>
      <c r="G492" t="n">
        <v>7.2</v>
      </c>
      <c r="H492" t="n">
        <v>0</v>
      </c>
      <c r="I492" t="n">
        <v>0</v>
      </c>
      <c r="J492" t="n">
        <v>0</v>
      </c>
      <c r="K492" t="n">
        <v>0</v>
      </c>
      <c r="L492" t="n">
        <v>0</v>
      </c>
      <c r="M492" t="n">
        <v>0</v>
      </c>
      <c r="N492" t="n">
        <v>0</v>
      </c>
      <c r="O492" t="n">
        <v>0</v>
      </c>
      <c r="P492" t="n">
        <v>0</v>
      </c>
      <c r="Q492" t="n">
        <v>0</v>
      </c>
      <c r="R492" s="2" t="inlineStr"/>
    </row>
    <row r="493" ht="15" customHeight="1">
      <c r="A493" t="inlineStr">
        <is>
          <t>A 28122-2025</t>
        </is>
      </c>
      <c r="B493" s="1" t="n">
        <v>45817</v>
      </c>
      <c r="C493" s="1" t="n">
        <v>45922</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20990-2023</t>
        </is>
      </c>
      <c r="B494" s="1" t="n">
        <v>45061.46186342592</v>
      </c>
      <c r="C494" s="1" t="n">
        <v>45922</v>
      </c>
      <c r="D494" t="inlineStr">
        <is>
          <t>SKÅNE LÄN</t>
        </is>
      </c>
      <c r="E494" t="inlineStr">
        <is>
          <t>HÄSSLEHOLM</t>
        </is>
      </c>
      <c r="G494" t="n">
        <v>2.8</v>
      </c>
      <c r="H494" t="n">
        <v>0</v>
      </c>
      <c r="I494" t="n">
        <v>0</v>
      </c>
      <c r="J494" t="n">
        <v>0</v>
      </c>
      <c r="K494" t="n">
        <v>0</v>
      </c>
      <c r="L494" t="n">
        <v>0</v>
      </c>
      <c r="M494" t="n">
        <v>0</v>
      </c>
      <c r="N494" t="n">
        <v>0</v>
      </c>
      <c r="O494" t="n">
        <v>0</v>
      </c>
      <c r="P494" t="n">
        <v>0</v>
      </c>
      <c r="Q494" t="n">
        <v>0</v>
      </c>
      <c r="R494" s="2" t="inlineStr"/>
    </row>
    <row r="495" ht="15" customHeight="1">
      <c r="A495" t="inlineStr">
        <is>
          <t>A 9541-2025</t>
        </is>
      </c>
      <c r="B495" s="1" t="n">
        <v>45714</v>
      </c>
      <c r="C495" s="1" t="n">
        <v>45922</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6619-2024</t>
        </is>
      </c>
      <c r="B496" s="1" t="n">
        <v>45341.6021412037</v>
      </c>
      <c r="C496" s="1" t="n">
        <v>45922</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54171-2022</t>
        </is>
      </c>
      <c r="B497" s="1" t="n">
        <v>44881</v>
      </c>
      <c r="C497" s="1" t="n">
        <v>45922</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57277-2023</t>
        </is>
      </c>
      <c r="B498" s="1" t="n">
        <v>45245.59104166667</v>
      </c>
      <c r="C498" s="1" t="n">
        <v>45922</v>
      </c>
      <c r="D498" t="inlineStr">
        <is>
          <t>SKÅNE LÄN</t>
        </is>
      </c>
      <c r="E498" t="inlineStr">
        <is>
          <t>HÄSSLEHOLM</t>
        </is>
      </c>
      <c r="G498" t="n">
        <v>0.5</v>
      </c>
      <c r="H498" t="n">
        <v>0</v>
      </c>
      <c r="I498" t="n">
        <v>0</v>
      </c>
      <c r="J498" t="n">
        <v>0</v>
      </c>
      <c r="K498" t="n">
        <v>0</v>
      </c>
      <c r="L498" t="n">
        <v>0</v>
      </c>
      <c r="M498" t="n">
        <v>0</v>
      </c>
      <c r="N498" t="n">
        <v>0</v>
      </c>
      <c r="O498" t="n">
        <v>0</v>
      </c>
      <c r="P498" t="n">
        <v>0</v>
      </c>
      <c r="Q498" t="n">
        <v>0</v>
      </c>
      <c r="R498" s="2" t="inlineStr"/>
    </row>
    <row r="499" ht="15" customHeight="1">
      <c r="A499" t="inlineStr">
        <is>
          <t>A 27887-2025</t>
        </is>
      </c>
      <c r="B499" s="1" t="n">
        <v>45817.45994212963</v>
      </c>
      <c r="C499" s="1" t="n">
        <v>45922</v>
      </c>
      <c r="D499" t="inlineStr">
        <is>
          <t>SKÅNE LÄN</t>
        </is>
      </c>
      <c r="E499" t="inlineStr">
        <is>
          <t>HÄSSLEHOLM</t>
        </is>
      </c>
      <c r="G499" t="n">
        <v>4.8</v>
      </c>
      <c r="H499" t="n">
        <v>0</v>
      </c>
      <c r="I499" t="n">
        <v>0</v>
      </c>
      <c r="J499" t="n">
        <v>0</v>
      </c>
      <c r="K499" t="n">
        <v>0</v>
      </c>
      <c r="L499" t="n">
        <v>0</v>
      </c>
      <c r="M499" t="n">
        <v>0</v>
      </c>
      <c r="N499" t="n">
        <v>0</v>
      </c>
      <c r="O499" t="n">
        <v>0</v>
      </c>
      <c r="P499" t="n">
        <v>0</v>
      </c>
      <c r="Q499" t="n">
        <v>0</v>
      </c>
      <c r="R499" s="2" t="inlineStr"/>
    </row>
    <row r="500" ht="15" customHeight="1">
      <c r="A500" t="inlineStr">
        <is>
          <t>A 60959-2022</t>
        </is>
      </c>
      <c r="B500" s="1" t="n">
        <v>44914.64777777778</v>
      </c>
      <c r="C500" s="1" t="n">
        <v>45922</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35150-2023</t>
        </is>
      </c>
      <c r="B501" s="1" t="n">
        <v>45145</v>
      </c>
      <c r="C501" s="1" t="n">
        <v>45922</v>
      </c>
      <c r="D501" t="inlineStr">
        <is>
          <t>SKÅNE LÄN</t>
        </is>
      </c>
      <c r="E501" t="inlineStr">
        <is>
          <t>HÄSSLEHOLM</t>
        </is>
      </c>
      <c r="G501" t="n">
        <v>4.9</v>
      </c>
      <c r="H501" t="n">
        <v>0</v>
      </c>
      <c r="I501" t="n">
        <v>0</v>
      </c>
      <c r="J501" t="n">
        <v>0</v>
      </c>
      <c r="K501" t="n">
        <v>0</v>
      </c>
      <c r="L501" t="n">
        <v>0</v>
      </c>
      <c r="M501" t="n">
        <v>0</v>
      </c>
      <c r="N501" t="n">
        <v>0</v>
      </c>
      <c r="O501" t="n">
        <v>0</v>
      </c>
      <c r="P501" t="n">
        <v>0</v>
      </c>
      <c r="Q501" t="n">
        <v>0</v>
      </c>
      <c r="R501" s="2" t="inlineStr"/>
    </row>
    <row r="502" ht="15" customHeight="1">
      <c r="A502" t="inlineStr">
        <is>
          <t>A 52341-2023</t>
        </is>
      </c>
      <c r="B502" s="1" t="n">
        <v>45224.67006944444</v>
      </c>
      <c r="C502" s="1" t="n">
        <v>45922</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18041-2023</t>
        </is>
      </c>
      <c r="B503" s="1" t="n">
        <v>45040</v>
      </c>
      <c r="C503" s="1" t="n">
        <v>45922</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49389-2020</t>
        </is>
      </c>
      <c r="B504" s="1" t="n">
        <v>44105</v>
      </c>
      <c r="C504" s="1" t="n">
        <v>45922</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49250-2022</t>
        </is>
      </c>
      <c r="B505" s="1" t="n">
        <v>44858</v>
      </c>
      <c r="C505" s="1" t="n">
        <v>45922</v>
      </c>
      <c r="D505" t="inlineStr">
        <is>
          <t>SKÅNE LÄN</t>
        </is>
      </c>
      <c r="E505" t="inlineStr">
        <is>
          <t>HÄSSLEHOLM</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27197-2021</t>
        </is>
      </c>
      <c r="B506" s="1" t="n">
        <v>44350</v>
      </c>
      <c r="C506" s="1" t="n">
        <v>45922</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45222-2023</t>
        </is>
      </c>
      <c r="B507" s="1" t="n">
        <v>45191</v>
      </c>
      <c r="C507" s="1" t="n">
        <v>45922</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35890-2023</t>
        </is>
      </c>
      <c r="B508" s="1" t="n">
        <v>45148</v>
      </c>
      <c r="C508" s="1" t="n">
        <v>45922</v>
      </c>
      <c r="D508" t="inlineStr">
        <is>
          <t>SKÅNE LÄN</t>
        </is>
      </c>
      <c r="E508" t="inlineStr">
        <is>
          <t>HÄSSLEHOLM</t>
        </is>
      </c>
      <c r="G508" t="n">
        <v>2</v>
      </c>
      <c r="H508" t="n">
        <v>0</v>
      </c>
      <c r="I508" t="n">
        <v>0</v>
      </c>
      <c r="J508" t="n">
        <v>0</v>
      </c>
      <c r="K508" t="n">
        <v>0</v>
      </c>
      <c r="L508" t="n">
        <v>0</v>
      </c>
      <c r="M508" t="n">
        <v>0</v>
      </c>
      <c r="N508" t="n">
        <v>0</v>
      </c>
      <c r="O508" t="n">
        <v>0</v>
      </c>
      <c r="P508" t="n">
        <v>0</v>
      </c>
      <c r="Q508" t="n">
        <v>0</v>
      </c>
      <c r="R508" s="2" t="inlineStr"/>
    </row>
    <row r="509" ht="15" customHeight="1">
      <c r="A509" t="inlineStr">
        <is>
          <t>A 35895-2023</t>
        </is>
      </c>
      <c r="B509" s="1" t="n">
        <v>45148</v>
      </c>
      <c r="C509" s="1" t="n">
        <v>45922</v>
      </c>
      <c r="D509" t="inlineStr">
        <is>
          <t>SKÅNE LÄN</t>
        </is>
      </c>
      <c r="E509" t="inlineStr">
        <is>
          <t>HÄSSLEHOLM</t>
        </is>
      </c>
      <c r="G509" t="n">
        <v>0.4</v>
      </c>
      <c r="H509" t="n">
        <v>0</v>
      </c>
      <c r="I509" t="n">
        <v>0</v>
      </c>
      <c r="J509" t="n">
        <v>0</v>
      </c>
      <c r="K509" t="n">
        <v>0</v>
      </c>
      <c r="L509" t="n">
        <v>0</v>
      </c>
      <c r="M509" t="n">
        <v>0</v>
      </c>
      <c r="N509" t="n">
        <v>0</v>
      </c>
      <c r="O509" t="n">
        <v>0</v>
      </c>
      <c r="P509" t="n">
        <v>0</v>
      </c>
      <c r="Q509" t="n">
        <v>0</v>
      </c>
      <c r="R509" s="2" t="inlineStr"/>
    </row>
    <row r="510" ht="15" customHeight="1">
      <c r="A510" t="inlineStr">
        <is>
          <t>A 61569-2023</t>
        </is>
      </c>
      <c r="B510" s="1" t="n">
        <v>45265</v>
      </c>
      <c r="C510" s="1" t="n">
        <v>45922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44463.60085648148</v>
      </c>
      <c r="C511" s="1" t="n">
        <v>45922</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42906-2022</t>
        </is>
      </c>
      <c r="B512" s="1" t="n">
        <v>44833</v>
      </c>
      <c r="C512" s="1" t="n">
        <v>45922</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31931-2024</t>
        </is>
      </c>
      <c r="B513" s="1" t="n">
        <v>45510.40878472223</v>
      </c>
      <c r="C513" s="1" t="n">
        <v>45922</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15133-2023</t>
        </is>
      </c>
      <c r="B514" s="1" t="n">
        <v>45016</v>
      </c>
      <c r="C514" s="1" t="n">
        <v>45922</v>
      </c>
      <c r="D514" t="inlineStr">
        <is>
          <t>SKÅNE LÄN</t>
        </is>
      </c>
      <c r="E514" t="inlineStr">
        <is>
          <t>HÄSSLEHOLM</t>
        </is>
      </c>
      <c r="G514" t="n">
        <v>7.8</v>
      </c>
      <c r="H514" t="n">
        <v>0</v>
      </c>
      <c r="I514" t="n">
        <v>0</v>
      </c>
      <c r="J514" t="n">
        <v>0</v>
      </c>
      <c r="K514" t="n">
        <v>0</v>
      </c>
      <c r="L514" t="n">
        <v>0</v>
      </c>
      <c r="M514" t="n">
        <v>0</v>
      </c>
      <c r="N514" t="n">
        <v>0</v>
      </c>
      <c r="O514" t="n">
        <v>0</v>
      </c>
      <c r="P514" t="n">
        <v>0</v>
      </c>
      <c r="Q514" t="n">
        <v>0</v>
      </c>
      <c r="R514" s="2" t="inlineStr"/>
    </row>
    <row r="515" ht="15" customHeight="1">
      <c r="A515" t="inlineStr">
        <is>
          <t>A 34883-2023</t>
        </is>
      </c>
      <c r="B515" s="1" t="n">
        <v>45142.37902777778</v>
      </c>
      <c r="C515" s="1" t="n">
        <v>45922</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28095-2025</t>
        </is>
      </c>
      <c r="B516" s="1" t="n">
        <v>45817</v>
      </c>
      <c r="C516" s="1" t="n">
        <v>45922</v>
      </c>
      <c r="D516" t="inlineStr">
        <is>
          <t>SKÅNE LÄN</t>
        </is>
      </c>
      <c r="E516" t="inlineStr">
        <is>
          <t>HÄSSLEHOLM</t>
        </is>
      </c>
      <c r="G516" t="n">
        <v>2.5</v>
      </c>
      <c r="H516" t="n">
        <v>0</v>
      </c>
      <c r="I516" t="n">
        <v>0</v>
      </c>
      <c r="J516" t="n">
        <v>0</v>
      </c>
      <c r="K516" t="n">
        <v>0</v>
      </c>
      <c r="L516" t="n">
        <v>0</v>
      </c>
      <c r="M516" t="n">
        <v>0</v>
      </c>
      <c r="N516" t="n">
        <v>0</v>
      </c>
      <c r="O516" t="n">
        <v>0</v>
      </c>
      <c r="P516" t="n">
        <v>0</v>
      </c>
      <c r="Q516" t="n">
        <v>0</v>
      </c>
      <c r="R516" s="2" t="inlineStr"/>
    </row>
    <row r="517" ht="15" customHeight="1">
      <c r="A517" t="inlineStr">
        <is>
          <t>A 54471-2023</t>
        </is>
      </c>
      <c r="B517" s="1" t="n">
        <v>45233.4640162037</v>
      </c>
      <c r="C517" s="1" t="n">
        <v>45922</v>
      </c>
      <c r="D517" t="inlineStr">
        <is>
          <t>SKÅNE LÄN</t>
        </is>
      </c>
      <c r="E517" t="inlineStr">
        <is>
          <t>HÄSSLEHOLM</t>
        </is>
      </c>
      <c r="G517" t="n">
        <v>1.4</v>
      </c>
      <c r="H517" t="n">
        <v>0</v>
      </c>
      <c r="I517" t="n">
        <v>0</v>
      </c>
      <c r="J517" t="n">
        <v>0</v>
      </c>
      <c r="K517" t="n">
        <v>0</v>
      </c>
      <c r="L517" t="n">
        <v>0</v>
      </c>
      <c r="M517" t="n">
        <v>0</v>
      </c>
      <c r="N517" t="n">
        <v>0</v>
      </c>
      <c r="O517" t="n">
        <v>0</v>
      </c>
      <c r="P517" t="n">
        <v>0</v>
      </c>
      <c r="Q517" t="n">
        <v>0</v>
      </c>
      <c r="R517" s="2" t="inlineStr"/>
    </row>
    <row r="518" ht="15" customHeight="1">
      <c r="A518" t="inlineStr">
        <is>
          <t>A 20187-2023</t>
        </is>
      </c>
      <c r="B518" s="1" t="n">
        <v>45055.57027777778</v>
      </c>
      <c r="C518" s="1" t="n">
        <v>45922</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1557-2023</t>
        </is>
      </c>
      <c r="B519" s="1" t="n">
        <v>44937</v>
      </c>
      <c r="C519" s="1" t="n">
        <v>45922</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1560-2023</t>
        </is>
      </c>
      <c r="B520" s="1" t="n">
        <v>44937</v>
      </c>
      <c r="C520" s="1" t="n">
        <v>45922</v>
      </c>
      <c r="D520" t="inlineStr">
        <is>
          <t>SKÅNE LÄN</t>
        </is>
      </c>
      <c r="E520" t="inlineStr">
        <is>
          <t>HÄSSLEHOLM</t>
        </is>
      </c>
      <c r="G520" t="n">
        <v>6.8</v>
      </c>
      <c r="H520" t="n">
        <v>0</v>
      </c>
      <c r="I520" t="n">
        <v>0</v>
      </c>
      <c r="J520" t="n">
        <v>0</v>
      </c>
      <c r="K520" t="n">
        <v>0</v>
      </c>
      <c r="L520" t="n">
        <v>0</v>
      </c>
      <c r="M520" t="n">
        <v>0</v>
      </c>
      <c r="N520" t="n">
        <v>0</v>
      </c>
      <c r="O520" t="n">
        <v>0</v>
      </c>
      <c r="P520" t="n">
        <v>0</v>
      </c>
      <c r="Q520" t="n">
        <v>0</v>
      </c>
      <c r="R520" s="2" t="inlineStr"/>
    </row>
    <row r="521" ht="15" customHeight="1">
      <c r="A521" t="inlineStr">
        <is>
          <t>A 50607-2023</t>
        </is>
      </c>
      <c r="B521" s="1" t="n">
        <v>45210</v>
      </c>
      <c r="C521" s="1" t="n">
        <v>45922</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38148-2022</t>
        </is>
      </c>
      <c r="B522" s="1" t="n">
        <v>44811</v>
      </c>
      <c r="C522" s="1" t="n">
        <v>45922</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31944-2023</t>
        </is>
      </c>
      <c r="B523" s="1" t="n">
        <v>45119.34895833334</v>
      </c>
      <c r="C523" s="1" t="n">
        <v>45922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1706-2025</t>
        </is>
      </c>
      <c r="B524" s="1" t="n">
        <v>45670</v>
      </c>
      <c r="C524" s="1" t="n">
        <v>45922</v>
      </c>
      <c r="D524" t="inlineStr">
        <is>
          <t>SKÅNE LÄN</t>
        </is>
      </c>
      <c r="E524" t="inlineStr">
        <is>
          <t>HÄSSLEHOLM</t>
        </is>
      </c>
      <c r="G524" t="n">
        <v>5</v>
      </c>
      <c r="H524" t="n">
        <v>0</v>
      </c>
      <c r="I524" t="n">
        <v>0</v>
      </c>
      <c r="J524" t="n">
        <v>0</v>
      </c>
      <c r="K524" t="n">
        <v>0</v>
      </c>
      <c r="L524" t="n">
        <v>0</v>
      </c>
      <c r="M524" t="n">
        <v>0</v>
      </c>
      <c r="N524" t="n">
        <v>0</v>
      </c>
      <c r="O524" t="n">
        <v>0</v>
      </c>
      <c r="P524" t="n">
        <v>0</v>
      </c>
      <c r="Q524" t="n">
        <v>0</v>
      </c>
      <c r="R524" s="2" t="inlineStr"/>
    </row>
    <row r="525" ht="15" customHeight="1">
      <c r="A525" t="inlineStr">
        <is>
          <t>A 27464-2022</t>
        </is>
      </c>
      <c r="B525" s="1" t="n">
        <v>44742.58704861111</v>
      </c>
      <c r="C525" s="1" t="n">
        <v>45922</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6798-2025</t>
        </is>
      </c>
      <c r="B526" s="1" t="n">
        <v>45700.668125</v>
      </c>
      <c r="C526" s="1" t="n">
        <v>45922</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49827-2022</t>
        </is>
      </c>
      <c r="B527" s="1" t="n">
        <v>44859</v>
      </c>
      <c r="C527" s="1" t="n">
        <v>45922</v>
      </c>
      <c r="D527" t="inlineStr">
        <is>
          <t>SKÅNE LÄN</t>
        </is>
      </c>
      <c r="E527" t="inlineStr">
        <is>
          <t>HÄSSLEHOLM</t>
        </is>
      </c>
      <c r="G527" t="n">
        <v>6.1</v>
      </c>
      <c r="H527" t="n">
        <v>0</v>
      </c>
      <c r="I527" t="n">
        <v>0</v>
      </c>
      <c r="J527" t="n">
        <v>0</v>
      </c>
      <c r="K527" t="n">
        <v>0</v>
      </c>
      <c r="L527" t="n">
        <v>0</v>
      </c>
      <c r="M527" t="n">
        <v>0</v>
      </c>
      <c r="N527" t="n">
        <v>0</v>
      </c>
      <c r="O527" t="n">
        <v>0</v>
      </c>
      <c r="P527" t="n">
        <v>0</v>
      </c>
      <c r="Q527" t="n">
        <v>0</v>
      </c>
      <c r="R527" s="2" t="inlineStr"/>
    </row>
    <row r="528" ht="15" customHeight="1">
      <c r="A528" t="inlineStr">
        <is>
          <t>A 55056-2021</t>
        </is>
      </c>
      <c r="B528" s="1" t="n">
        <v>44474.62072916667</v>
      </c>
      <c r="C528" s="1" t="n">
        <v>45922</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13544-2025</t>
        </is>
      </c>
      <c r="B529" s="1" t="n">
        <v>45736</v>
      </c>
      <c r="C529" s="1" t="n">
        <v>45922</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8755-2024</t>
        </is>
      </c>
      <c r="B530" s="1" t="n">
        <v>45356</v>
      </c>
      <c r="C530" s="1" t="n">
        <v>45922</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8760-2024</t>
        </is>
      </c>
      <c r="B531" s="1" t="n">
        <v>45356.53420138889</v>
      </c>
      <c r="C531" s="1" t="n">
        <v>45922</v>
      </c>
      <c r="D531" t="inlineStr">
        <is>
          <t>SKÅNE LÄN</t>
        </is>
      </c>
      <c r="E531" t="inlineStr">
        <is>
          <t>HÄSSLEHOLM</t>
        </is>
      </c>
      <c r="G531" t="n">
        <v>6.1</v>
      </c>
      <c r="H531" t="n">
        <v>0</v>
      </c>
      <c r="I531" t="n">
        <v>0</v>
      </c>
      <c r="J531" t="n">
        <v>0</v>
      </c>
      <c r="K531" t="n">
        <v>0</v>
      </c>
      <c r="L531" t="n">
        <v>0</v>
      </c>
      <c r="M531" t="n">
        <v>0</v>
      </c>
      <c r="N531" t="n">
        <v>0</v>
      </c>
      <c r="O531" t="n">
        <v>0</v>
      </c>
      <c r="P531" t="n">
        <v>0</v>
      </c>
      <c r="Q531" t="n">
        <v>0</v>
      </c>
      <c r="R531" s="2" t="inlineStr"/>
    </row>
    <row r="532" ht="15" customHeight="1">
      <c r="A532" t="inlineStr">
        <is>
          <t>A 33257-2024</t>
        </is>
      </c>
      <c r="B532" s="1" t="n">
        <v>45518</v>
      </c>
      <c r="C532" s="1" t="n">
        <v>45922</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10752-2025</t>
        </is>
      </c>
      <c r="B533" s="1" t="n">
        <v>45722</v>
      </c>
      <c r="C533" s="1" t="n">
        <v>45922</v>
      </c>
      <c r="D533" t="inlineStr">
        <is>
          <t>SKÅNE LÄN</t>
        </is>
      </c>
      <c r="E533" t="inlineStr">
        <is>
          <t>HÄSSLEHOLM</t>
        </is>
      </c>
      <c r="G533" t="n">
        <v>1.2</v>
      </c>
      <c r="H533" t="n">
        <v>0</v>
      </c>
      <c r="I533" t="n">
        <v>0</v>
      </c>
      <c r="J533" t="n">
        <v>0</v>
      </c>
      <c r="K533" t="n">
        <v>0</v>
      </c>
      <c r="L533" t="n">
        <v>0</v>
      </c>
      <c r="M533" t="n">
        <v>0</v>
      </c>
      <c r="N533" t="n">
        <v>0</v>
      </c>
      <c r="O533" t="n">
        <v>0</v>
      </c>
      <c r="P533" t="n">
        <v>0</v>
      </c>
      <c r="Q533" t="n">
        <v>0</v>
      </c>
      <c r="R533" s="2" t="inlineStr"/>
    </row>
    <row r="534" ht="15" customHeight="1">
      <c r="A534" t="inlineStr">
        <is>
          <t>A 58618-2024</t>
        </is>
      </c>
      <c r="B534" s="1" t="n">
        <v>45635.56150462963</v>
      </c>
      <c r="C534" s="1" t="n">
        <v>45922</v>
      </c>
      <c r="D534" t="inlineStr">
        <is>
          <t>SKÅNE LÄN</t>
        </is>
      </c>
      <c r="E534" t="inlineStr">
        <is>
          <t>HÄSSLEHOLM</t>
        </is>
      </c>
      <c r="G534" t="n">
        <v>2.3</v>
      </c>
      <c r="H534" t="n">
        <v>0</v>
      </c>
      <c r="I534" t="n">
        <v>0</v>
      </c>
      <c r="J534" t="n">
        <v>0</v>
      </c>
      <c r="K534" t="n">
        <v>0</v>
      </c>
      <c r="L534" t="n">
        <v>0</v>
      </c>
      <c r="M534" t="n">
        <v>0</v>
      </c>
      <c r="N534" t="n">
        <v>0</v>
      </c>
      <c r="O534" t="n">
        <v>0</v>
      </c>
      <c r="P534" t="n">
        <v>0</v>
      </c>
      <c r="Q534" t="n">
        <v>0</v>
      </c>
      <c r="R534" s="2" t="inlineStr"/>
    </row>
    <row r="535" ht="15" customHeight="1">
      <c r="A535" t="inlineStr">
        <is>
          <t>A 11266-2025</t>
        </is>
      </c>
      <c r="B535" s="1" t="n">
        <v>45726</v>
      </c>
      <c r="C535" s="1" t="n">
        <v>45922</v>
      </c>
      <c r="D535" t="inlineStr">
        <is>
          <t>SKÅNE LÄN</t>
        </is>
      </c>
      <c r="E535" t="inlineStr">
        <is>
          <t>HÄSSLEHOLM</t>
        </is>
      </c>
      <c r="G535" t="n">
        <v>0.3</v>
      </c>
      <c r="H535" t="n">
        <v>0</v>
      </c>
      <c r="I535" t="n">
        <v>0</v>
      </c>
      <c r="J535" t="n">
        <v>0</v>
      </c>
      <c r="K535" t="n">
        <v>0</v>
      </c>
      <c r="L535" t="n">
        <v>0</v>
      </c>
      <c r="M535" t="n">
        <v>0</v>
      </c>
      <c r="N535" t="n">
        <v>0</v>
      </c>
      <c r="O535" t="n">
        <v>0</v>
      </c>
      <c r="P535" t="n">
        <v>0</v>
      </c>
      <c r="Q535" t="n">
        <v>0</v>
      </c>
      <c r="R535" s="2" t="inlineStr"/>
    </row>
    <row r="536" ht="15" customHeight="1">
      <c r="A536" t="inlineStr">
        <is>
          <t>A 24865-2024</t>
        </is>
      </c>
      <c r="B536" s="1" t="n">
        <v>45461.48974537037</v>
      </c>
      <c r="C536" s="1" t="n">
        <v>45922</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28599-2024</t>
        </is>
      </c>
      <c r="B537" s="1" t="n">
        <v>45478.4247800926</v>
      </c>
      <c r="C537" s="1" t="n">
        <v>45922</v>
      </c>
      <c r="D537" t="inlineStr">
        <is>
          <t>SKÅNE LÄN</t>
        </is>
      </c>
      <c r="E537" t="inlineStr">
        <is>
          <t>HÄSSLEHOLM</t>
        </is>
      </c>
      <c r="G537" t="n">
        <v>8.6</v>
      </c>
      <c r="H537" t="n">
        <v>0</v>
      </c>
      <c r="I537" t="n">
        <v>0</v>
      </c>
      <c r="J537" t="n">
        <v>0</v>
      </c>
      <c r="K537" t="n">
        <v>0</v>
      </c>
      <c r="L537" t="n">
        <v>0</v>
      </c>
      <c r="M537" t="n">
        <v>0</v>
      </c>
      <c r="N537" t="n">
        <v>0</v>
      </c>
      <c r="O537" t="n">
        <v>0</v>
      </c>
      <c r="P537" t="n">
        <v>0</v>
      </c>
      <c r="Q537" t="n">
        <v>0</v>
      </c>
      <c r="R537" s="2" t="inlineStr"/>
    </row>
    <row r="538" ht="15" customHeight="1">
      <c r="A538" t="inlineStr">
        <is>
          <t>A 58272-2024</t>
        </is>
      </c>
      <c r="B538" s="1" t="n">
        <v>45632.57025462963</v>
      </c>
      <c r="C538" s="1" t="n">
        <v>45922</v>
      </c>
      <c r="D538" t="inlineStr">
        <is>
          <t>SKÅNE LÄN</t>
        </is>
      </c>
      <c r="E538" t="inlineStr">
        <is>
          <t>HÄSSLEHOLM</t>
        </is>
      </c>
      <c r="G538" t="n">
        <v>2.3</v>
      </c>
      <c r="H538" t="n">
        <v>0</v>
      </c>
      <c r="I538" t="n">
        <v>0</v>
      </c>
      <c r="J538" t="n">
        <v>0</v>
      </c>
      <c r="K538" t="n">
        <v>0</v>
      </c>
      <c r="L538" t="n">
        <v>0</v>
      </c>
      <c r="M538" t="n">
        <v>0</v>
      </c>
      <c r="N538" t="n">
        <v>0</v>
      </c>
      <c r="O538" t="n">
        <v>0</v>
      </c>
      <c r="P538" t="n">
        <v>0</v>
      </c>
      <c r="Q538" t="n">
        <v>0</v>
      </c>
      <c r="R538" s="2" t="inlineStr"/>
    </row>
    <row r="539" ht="15" customHeight="1">
      <c r="A539" t="inlineStr">
        <is>
          <t>A 18580-2023</t>
        </is>
      </c>
      <c r="B539" s="1" t="n">
        <v>45043.37037037037</v>
      </c>
      <c r="C539" s="1" t="n">
        <v>45922</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9555-2025</t>
        </is>
      </c>
      <c r="B540" s="1" t="n">
        <v>45714</v>
      </c>
      <c r="C540" s="1" t="n">
        <v>45922</v>
      </c>
      <c r="D540" t="inlineStr">
        <is>
          <t>SKÅNE LÄN</t>
        </is>
      </c>
      <c r="E540" t="inlineStr">
        <is>
          <t>HÄSSLEHOLM</t>
        </is>
      </c>
      <c r="G540" t="n">
        <v>5.4</v>
      </c>
      <c r="H540" t="n">
        <v>0</v>
      </c>
      <c r="I540" t="n">
        <v>0</v>
      </c>
      <c r="J540" t="n">
        <v>0</v>
      </c>
      <c r="K540" t="n">
        <v>0</v>
      </c>
      <c r="L540" t="n">
        <v>0</v>
      </c>
      <c r="M540" t="n">
        <v>0</v>
      </c>
      <c r="N540" t="n">
        <v>0</v>
      </c>
      <c r="O540" t="n">
        <v>0</v>
      </c>
      <c r="P540" t="n">
        <v>0</v>
      </c>
      <c r="Q540" t="n">
        <v>0</v>
      </c>
      <c r="R540" s="2" t="inlineStr"/>
    </row>
    <row r="541" ht="15" customHeight="1">
      <c r="A541" t="inlineStr">
        <is>
          <t>A 9611-2025</t>
        </is>
      </c>
      <c r="B541" s="1" t="n">
        <v>45715</v>
      </c>
      <c r="C541" s="1" t="n">
        <v>45922</v>
      </c>
      <c r="D541" t="inlineStr">
        <is>
          <t>SKÅNE LÄN</t>
        </is>
      </c>
      <c r="E541" t="inlineStr">
        <is>
          <t>HÄSSLEHOLM</t>
        </is>
      </c>
      <c r="G541" t="n">
        <v>2.1</v>
      </c>
      <c r="H541" t="n">
        <v>0</v>
      </c>
      <c r="I541" t="n">
        <v>0</v>
      </c>
      <c r="J541" t="n">
        <v>0</v>
      </c>
      <c r="K541" t="n">
        <v>0</v>
      </c>
      <c r="L541" t="n">
        <v>0</v>
      </c>
      <c r="M541" t="n">
        <v>0</v>
      </c>
      <c r="N541" t="n">
        <v>0</v>
      </c>
      <c r="O541" t="n">
        <v>0</v>
      </c>
      <c r="P541" t="n">
        <v>0</v>
      </c>
      <c r="Q541" t="n">
        <v>0</v>
      </c>
      <c r="R541" s="2" t="inlineStr"/>
    </row>
    <row r="542" ht="15" customHeight="1">
      <c r="A542" t="inlineStr">
        <is>
          <t>A 24906-2022</t>
        </is>
      </c>
      <c r="B542" s="1" t="n">
        <v>44728</v>
      </c>
      <c r="C542" s="1" t="n">
        <v>45922</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3890-2024</t>
        </is>
      </c>
      <c r="B543" s="1" t="n">
        <v>45322.45366898148</v>
      </c>
      <c r="C543" s="1" t="n">
        <v>45922</v>
      </c>
      <c r="D543" t="inlineStr">
        <is>
          <t>SKÅNE LÄN</t>
        </is>
      </c>
      <c r="E543" t="inlineStr">
        <is>
          <t>HÄSSLEHOLM</t>
        </is>
      </c>
      <c r="G543" t="n">
        <v>3</v>
      </c>
      <c r="H543" t="n">
        <v>0</v>
      </c>
      <c r="I543" t="n">
        <v>0</v>
      </c>
      <c r="J543" t="n">
        <v>0</v>
      </c>
      <c r="K543" t="n">
        <v>0</v>
      </c>
      <c r="L543" t="n">
        <v>0</v>
      </c>
      <c r="M543" t="n">
        <v>0</v>
      </c>
      <c r="N543" t="n">
        <v>0</v>
      </c>
      <c r="O543" t="n">
        <v>0</v>
      </c>
      <c r="P543" t="n">
        <v>0</v>
      </c>
      <c r="Q543" t="n">
        <v>0</v>
      </c>
      <c r="R543" s="2" t="inlineStr"/>
    </row>
    <row r="544" ht="15" customHeight="1">
      <c r="A544" t="inlineStr">
        <is>
          <t>A 15800-2025</t>
        </is>
      </c>
      <c r="B544" s="1" t="n">
        <v>45748.64831018518</v>
      </c>
      <c r="C544" s="1" t="n">
        <v>45922</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13897-2024</t>
        </is>
      </c>
      <c r="B545" s="1" t="n">
        <v>45391</v>
      </c>
      <c r="C545" s="1" t="n">
        <v>45922</v>
      </c>
      <c r="D545" t="inlineStr">
        <is>
          <t>SKÅNE LÄN</t>
        </is>
      </c>
      <c r="E545" t="inlineStr">
        <is>
          <t>HÄSSLEHOLM</t>
        </is>
      </c>
      <c r="F545" t="inlineStr">
        <is>
          <t>Kommuner</t>
        </is>
      </c>
      <c r="G545" t="n">
        <v>4</v>
      </c>
      <c r="H545" t="n">
        <v>0</v>
      </c>
      <c r="I545" t="n">
        <v>0</v>
      </c>
      <c r="J545" t="n">
        <v>0</v>
      </c>
      <c r="K545" t="n">
        <v>0</v>
      </c>
      <c r="L545" t="n">
        <v>0</v>
      </c>
      <c r="M545" t="n">
        <v>0</v>
      </c>
      <c r="N545" t="n">
        <v>0</v>
      </c>
      <c r="O545" t="n">
        <v>0</v>
      </c>
      <c r="P545" t="n">
        <v>0</v>
      </c>
      <c r="Q545" t="n">
        <v>0</v>
      </c>
      <c r="R545" s="2" t="inlineStr"/>
    </row>
    <row r="546" ht="15" customHeight="1">
      <c r="A546" t="inlineStr">
        <is>
          <t>A 56355-2023</t>
        </is>
      </c>
      <c r="B546" s="1" t="n">
        <v>45243.3702662037</v>
      </c>
      <c r="C546" s="1" t="n">
        <v>45922</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59246-2024</t>
        </is>
      </c>
      <c r="B547" s="1" t="n">
        <v>45636</v>
      </c>
      <c r="C547" s="1" t="n">
        <v>45922</v>
      </c>
      <c r="D547" t="inlineStr">
        <is>
          <t>SKÅNE LÄN</t>
        </is>
      </c>
      <c r="E547" t="inlineStr">
        <is>
          <t>HÄSSLEHOLM</t>
        </is>
      </c>
      <c r="G547" t="n">
        <v>2.6</v>
      </c>
      <c r="H547" t="n">
        <v>0</v>
      </c>
      <c r="I547" t="n">
        <v>0</v>
      </c>
      <c r="J547" t="n">
        <v>0</v>
      </c>
      <c r="K547" t="n">
        <v>0</v>
      </c>
      <c r="L547" t="n">
        <v>0</v>
      </c>
      <c r="M547" t="n">
        <v>0</v>
      </c>
      <c r="N547" t="n">
        <v>0</v>
      </c>
      <c r="O547" t="n">
        <v>0</v>
      </c>
      <c r="P547" t="n">
        <v>0</v>
      </c>
      <c r="Q547" t="n">
        <v>0</v>
      </c>
      <c r="R547" s="2" t="inlineStr"/>
    </row>
    <row r="548" ht="15" customHeight="1">
      <c r="A548" t="inlineStr">
        <is>
          <t>A 20800-2023</t>
        </is>
      </c>
      <c r="B548" s="1" t="n">
        <v>45058.61640046296</v>
      </c>
      <c r="C548" s="1" t="n">
        <v>45922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11019-2025</t>
        </is>
      </c>
      <c r="B549" s="1" t="n">
        <v>45723</v>
      </c>
      <c r="C549" s="1" t="n">
        <v>45922</v>
      </c>
      <c r="D549" t="inlineStr">
        <is>
          <t>SKÅNE LÄN</t>
        </is>
      </c>
      <c r="E549" t="inlineStr">
        <is>
          <t>HÄSSLEHOLM</t>
        </is>
      </c>
      <c r="G549" t="n">
        <v>3.2</v>
      </c>
      <c r="H549" t="n">
        <v>0</v>
      </c>
      <c r="I549" t="n">
        <v>0</v>
      </c>
      <c r="J549" t="n">
        <v>0</v>
      </c>
      <c r="K549" t="n">
        <v>0</v>
      </c>
      <c r="L549" t="n">
        <v>0</v>
      </c>
      <c r="M549" t="n">
        <v>0</v>
      </c>
      <c r="N549" t="n">
        <v>0</v>
      </c>
      <c r="O549" t="n">
        <v>0</v>
      </c>
      <c r="P549" t="n">
        <v>0</v>
      </c>
      <c r="Q549" t="n">
        <v>0</v>
      </c>
      <c r="R549" s="2" t="inlineStr"/>
    </row>
    <row r="550" ht="15" customHeight="1">
      <c r="A550" t="inlineStr">
        <is>
          <t>A 14008-2023</t>
        </is>
      </c>
      <c r="B550" s="1" t="n">
        <v>45008.56725694444</v>
      </c>
      <c r="C550" s="1" t="n">
        <v>45922</v>
      </c>
      <c r="D550" t="inlineStr">
        <is>
          <t>SKÅNE LÄN</t>
        </is>
      </c>
      <c r="E550" t="inlineStr">
        <is>
          <t>HÄSSLEHOLM</t>
        </is>
      </c>
      <c r="G550" t="n">
        <v>3.3</v>
      </c>
      <c r="H550" t="n">
        <v>0</v>
      </c>
      <c r="I550" t="n">
        <v>0</v>
      </c>
      <c r="J550" t="n">
        <v>0</v>
      </c>
      <c r="K550" t="n">
        <v>0</v>
      </c>
      <c r="L550" t="n">
        <v>0</v>
      </c>
      <c r="M550" t="n">
        <v>0</v>
      </c>
      <c r="N550" t="n">
        <v>0</v>
      </c>
      <c r="O550" t="n">
        <v>0</v>
      </c>
      <c r="P550" t="n">
        <v>0</v>
      </c>
      <c r="Q550" t="n">
        <v>0</v>
      </c>
      <c r="R550" s="2" t="inlineStr"/>
    </row>
    <row r="551" ht="15" customHeight="1">
      <c r="A551" t="inlineStr">
        <is>
          <t>A 11681-2023</t>
        </is>
      </c>
      <c r="B551" s="1" t="n">
        <v>44992</v>
      </c>
      <c r="C551" s="1" t="n">
        <v>45922</v>
      </c>
      <c r="D551" t="inlineStr">
        <is>
          <t>SKÅNE LÄN</t>
        </is>
      </c>
      <c r="E551" t="inlineStr">
        <is>
          <t>HÄSSLEHOLM</t>
        </is>
      </c>
      <c r="F551" t="inlineStr">
        <is>
          <t>Övriga Aktiebolag</t>
        </is>
      </c>
      <c r="G551" t="n">
        <v>1.6</v>
      </c>
      <c r="H551" t="n">
        <v>0</v>
      </c>
      <c r="I551" t="n">
        <v>0</v>
      </c>
      <c r="J551" t="n">
        <v>0</v>
      </c>
      <c r="K551" t="n">
        <v>0</v>
      </c>
      <c r="L551" t="n">
        <v>0</v>
      </c>
      <c r="M551" t="n">
        <v>0</v>
      </c>
      <c r="N551" t="n">
        <v>0</v>
      </c>
      <c r="O551" t="n">
        <v>0</v>
      </c>
      <c r="P551" t="n">
        <v>0</v>
      </c>
      <c r="Q551" t="n">
        <v>0</v>
      </c>
      <c r="R551" s="2" t="inlineStr"/>
    </row>
    <row r="552" ht="15" customHeight="1">
      <c r="A552" t="inlineStr">
        <is>
          <t>A 32794-2021</t>
        </is>
      </c>
      <c r="B552" s="1" t="n">
        <v>44375</v>
      </c>
      <c r="C552" s="1" t="n">
        <v>45922</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33927-2021</t>
        </is>
      </c>
      <c r="B553" s="1" t="n">
        <v>44378</v>
      </c>
      <c r="C553" s="1" t="n">
        <v>45922</v>
      </c>
      <c r="D553" t="inlineStr">
        <is>
          <t>SKÅNE LÄN</t>
        </is>
      </c>
      <c r="E553" t="inlineStr">
        <is>
          <t>HÄSSLEHOLM</t>
        </is>
      </c>
      <c r="G553" t="n">
        <v>16.7</v>
      </c>
      <c r="H553" t="n">
        <v>0</v>
      </c>
      <c r="I553" t="n">
        <v>0</v>
      </c>
      <c r="J553" t="n">
        <v>0</v>
      </c>
      <c r="K553" t="n">
        <v>0</v>
      </c>
      <c r="L553" t="n">
        <v>0</v>
      </c>
      <c r="M553" t="n">
        <v>0</v>
      </c>
      <c r="N553" t="n">
        <v>0</v>
      </c>
      <c r="O553" t="n">
        <v>0</v>
      </c>
      <c r="P553" t="n">
        <v>0</v>
      </c>
      <c r="Q553" t="n">
        <v>0</v>
      </c>
      <c r="R553" s="2" t="inlineStr"/>
    </row>
    <row r="554" ht="15" customHeight="1">
      <c r="A554" t="inlineStr">
        <is>
          <t>A 7305-2025</t>
        </is>
      </c>
      <c r="B554" s="1" t="n">
        <v>45702</v>
      </c>
      <c r="C554" s="1" t="n">
        <v>45922</v>
      </c>
      <c r="D554" t="inlineStr">
        <is>
          <t>SKÅNE LÄN</t>
        </is>
      </c>
      <c r="E554" t="inlineStr">
        <is>
          <t>HÄSSLEHOLM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5116-2023</t>
        </is>
      </c>
      <c r="B555" s="1" t="n">
        <v>44958.67546296296</v>
      </c>
      <c r="C555" s="1" t="n">
        <v>45922</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29170-2025</t>
        </is>
      </c>
      <c r="B556" s="1" t="n">
        <v>45821.69766203704</v>
      </c>
      <c r="C556" s="1" t="n">
        <v>45922</v>
      </c>
      <c r="D556" t="inlineStr">
        <is>
          <t>SKÅNE LÄN</t>
        </is>
      </c>
      <c r="E556" t="inlineStr">
        <is>
          <t>HÄSSLEHOLM</t>
        </is>
      </c>
      <c r="G556" t="n">
        <v>3.1</v>
      </c>
      <c r="H556" t="n">
        <v>0</v>
      </c>
      <c r="I556" t="n">
        <v>0</v>
      </c>
      <c r="J556" t="n">
        <v>0</v>
      </c>
      <c r="K556" t="n">
        <v>0</v>
      </c>
      <c r="L556" t="n">
        <v>0</v>
      </c>
      <c r="M556" t="n">
        <v>0</v>
      </c>
      <c r="N556" t="n">
        <v>0</v>
      </c>
      <c r="O556" t="n">
        <v>0</v>
      </c>
      <c r="P556" t="n">
        <v>0</v>
      </c>
      <c r="Q556" t="n">
        <v>0</v>
      </c>
      <c r="R556" s="2" t="inlineStr"/>
    </row>
    <row r="557" ht="15" customHeight="1">
      <c r="A557" t="inlineStr">
        <is>
          <t>A 42364-2023</t>
        </is>
      </c>
      <c r="B557" s="1" t="n">
        <v>45180.54754629629</v>
      </c>
      <c r="C557" s="1" t="n">
        <v>45922</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315-2022</t>
        </is>
      </c>
      <c r="B558" s="1" t="n">
        <v>44565.55630787037</v>
      </c>
      <c r="C558" s="1" t="n">
        <v>45922</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54408-2024</t>
        </is>
      </c>
      <c r="B559" s="1" t="n">
        <v>45617.47263888889</v>
      </c>
      <c r="C559" s="1" t="n">
        <v>45922</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5780-2024</t>
        </is>
      </c>
      <c r="B560" s="1" t="n">
        <v>45335.41983796296</v>
      </c>
      <c r="C560" s="1" t="n">
        <v>45922</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7481-2023</t>
        </is>
      </c>
      <c r="B561" s="1" t="n">
        <v>44971</v>
      </c>
      <c r="C561" s="1" t="n">
        <v>45922</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42372-2024</t>
        </is>
      </c>
      <c r="B562" s="1" t="n">
        <v>45564.5127199074</v>
      </c>
      <c r="C562" s="1" t="n">
        <v>45922</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59728-2022</t>
        </is>
      </c>
      <c r="B563" s="1" t="n">
        <v>44900</v>
      </c>
      <c r="C563" s="1" t="n">
        <v>45922</v>
      </c>
      <c r="D563" t="inlineStr">
        <is>
          <t>SKÅNE LÄN</t>
        </is>
      </c>
      <c r="E563" t="inlineStr">
        <is>
          <t>HÄSSLEHOLM</t>
        </is>
      </c>
      <c r="G563" t="n">
        <v>0.3</v>
      </c>
      <c r="H563" t="n">
        <v>0</v>
      </c>
      <c r="I563" t="n">
        <v>0</v>
      </c>
      <c r="J563" t="n">
        <v>0</v>
      </c>
      <c r="K563" t="n">
        <v>0</v>
      </c>
      <c r="L563" t="n">
        <v>0</v>
      </c>
      <c r="M563" t="n">
        <v>0</v>
      </c>
      <c r="N563" t="n">
        <v>0</v>
      </c>
      <c r="O563" t="n">
        <v>0</v>
      </c>
      <c r="P563" t="n">
        <v>0</v>
      </c>
      <c r="Q563" t="n">
        <v>0</v>
      </c>
      <c r="R563" s="2" t="inlineStr"/>
    </row>
    <row r="564" ht="15" customHeight="1">
      <c r="A564" t="inlineStr">
        <is>
          <t>A 6791-2021</t>
        </is>
      </c>
      <c r="B564" s="1" t="n">
        <v>44236</v>
      </c>
      <c r="C564" s="1" t="n">
        <v>45922</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23683-2023</t>
        </is>
      </c>
      <c r="B565" s="1" t="n">
        <v>45077</v>
      </c>
      <c r="C565" s="1" t="n">
        <v>45922</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2663-2023</t>
        </is>
      </c>
      <c r="B566" s="1" t="n">
        <v>44942</v>
      </c>
      <c r="C566" s="1" t="n">
        <v>45922</v>
      </c>
      <c r="D566" t="inlineStr">
        <is>
          <t>SKÅNE LÄN</t>
        </is>
      </c>
      <c r="E566" t="inlineStr">
        <is>
          <t>HÄSSLEHOLM</t>
        </is>
      </c>
      <c r="F566" t="inlineStr">
        <is>
          <t>Kyrkan</t>
        </is>
      </c>
      <c r="G566" t="n">
        <v>0.8</v>
      </c>
      <c r="H566" t="n">
        <v>0</v>
      </c>
      <c r="I566" t="n">
        <v>0</v>
      </c>
      <c r="J566" t="n">
        <v>0</v>
      </c>
      <c r="K566" t="n">
        <v>0</v>
      </c>
      <c r="L566" t="n">
        <v>0</v>
      </c>
      <c r="M566" t="n">
        <v>0</v>
      </c>
      <c r="N566" t="n">
        <v>0</v>
      </c>
      <c r="O566" t="n">
        <v>0</v>
      </c>
      <c r="P566" t="n">
        <v>0</v>
      </c>
      <c r="Q566" t="n">
        <v>0</v>
      </c>
      <c r="R566" s="2" t="inlineStr"/>
    </row>
    <row r="567" ht="15" customHeight="1">
      <c r="A567" t="inlineStr">
        <is>
          <t>A 23172-2022</t>
        </is>
      </c>
      <c r="B567" s="1" t="n">
        <v>44719</v>
      </c>
      <c r="C567" s="1" t="n">
        <v>45922</v>
      </c>
      <c r="D567" t="inlineStr">
        <is>
          <t>SKÅNE LÄN</t>
        </is>
      </c>
      <c r="E567" t="inlineStr">
        <is>
          <t>HÄSSLEHOLM</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23173-2022</t>
        </is>
      </c>
      <c r="B568" s="1" t="n">
        <v>44719.72155092593</v>
      </c>
      <c r="C568" s="1" t="n">
        <v>45922</v>
      </c>
      <c r="D568" t="inlineStr">
        <is>
          <t>SKÅNE LÄN</t>
        </is>
      </c>
      <c r="E568" t="inlineStr">
        <is>
          <t>HÄSSLEHOLM</t>
        </is>
      </c>
      <c r="F568" t="inlineStr">
        <is>
          <t>Övriga Aktiebolag</t>
        </is>
      </c>
      <c r="G568" t="n">
        <v>0.9</v>
      </c>
      <c r="H568" t="n">
        <v>0</v>
      </c>
      <c r="I568" t="n">
        <v>0</v>
      </c>
      <c r="J568" t="n">
        <v>0</v>
      </c>
      <c r="K568" t="n">
        <v>0</v>
      </c>
      <c r="L568" t="n">
        <v>0</v>
      </c>
      <c r="M568" t="n">
        <v>0</v>
      </c>
      <c r="N568" t="n">
        <v>0</v>
      </c>
      <c r="O568" t="n">
        <v>0</v>
      </c>
      <c r="P568" t="n">
        <v>0</v>
      </c>
      <c r="Q568" t="n">
        <v>0</v>
      </c>
      <c r="R568" s="2" t="inlineStr"/>
    </row>
    <row r="569" ht="15" customHeight="1">
      <c r="A569" t="inlineStr">
        <is>
          <t>A 29171-2025</t>
        </is>
      </c>
      <c r="B569" s="1" t="n">
        <v>45821.69863425926</v>
      </c>
      <c r="C569" s="1" t="n">
        <v>45922</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17492-2025</t>
        </is>
      </c>
      <c r="B570" s="1" t="n">
        <v>45747</v>
      </c>
      <c r="C570" s="1" t="n">
        <v>45922</v>
      </c>
      <c r="D570" t="inlineStr">
        <is>
          <t>SKÅNE LÄN</t>
        </is>
      </c>
      <c r="E570" t="inlineStr">
        <is>
          <t>HÄSSLEHOLM</t>
        </is>
      </c>
      <c r="G570" t="n">
        <v>1.4</v>
      </c>
      <c r="H570" t="n">
        <v>0</v>
      </c>
      <c r="I570" t="n">
        <v>0</v>
      </c>
      <c r="J570" t="n">
        <v>0</v>
      </c>
      <c r="K570" t="n">
        <v>0</v>
      </c>
      <c r="L570" t="n">
        <v>0</v>
      </c>
      <c r="M570" t="n">
        <v>0</v>
      </c>
      <c r="N570" t="n">
        <v>0</v>
      </c>
      <c r="O570" t="n">
        <v>0</v>
      </c>
      <c r="P570" t="n">
        <v>0</v>
      </c>
      <c r="Q570" t="n">
        <v>0</v>
      </c>
      <c r="R570" s="2" t="inlineStr"/>
    </row>
    <row r="571" ht="15" customHeight="1">
      <c r="A571" t="inlineStr">
        <is>
          <t>A 6180-2021</t>
        </is>
      </c>
      <c r="B571" s="1" t="n">
        <v>44232</v>
      </c>
      <c r="C571" s="1" t="n">
        <v>45922</v>
      </c>
      <c r="D571" t="inlineStr">
        <is>
          <t>SKÅNE LÄN</t>
        </is>
      </c>
      <c r="E571" t="inlineStr">
        <is>
          <t>HÄSSLEHOLM</t>
        </is>
      </c>
      <c r="F571" t="inlineStr">
        <is>
          <t>Kyrkan</t>
        </is>
      </c>
      <c r="G571" t="n">
        <v>1.1</v>
      </c>
      <c r="H571" t="n">
        <v>0</v>
      </c>
      <c r="I571" t="n">
        <v>0</v>
      </c>
      <c r="J571" t="n">
        <v>0</v>
      </c>
      <c r="K571" t="n">
        <v>0</v>
      </c>
      <c r="L571" t="n">
        <v>0</v>
      </c>
      <c r="M571" t="n">
        <v>0</v>
      </c>
      <c r="N571" t="n">
        <v>0</v>
      </c>
      <c r="O571" t="n">
        <v>0</v>
      </c>
      <c r="P571" t="n">
        <v>0</v>
      </c>
      <c r="Q571" t="n">
        <v>0</v>
      </c>
      <c r="R571" s="2" t="inlineStr"/>
    </row>
    <row r="572" ht="15" customHeight="1">
      <c r="A572" t="inlineStr">
        <is>
          <t>A 17138-2025</t>
        </is>
      </c>
      <c r="B572" s="1" t="n">
        <v>45755.80378472222</v>
      </c>
      <c r="C572" s="1" t="n">
        <v>45922</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12843-2023</t>
        </is>
      </c>
      <c r="B573" s="1" t="n">
        <v>45001.48423611111</v>
      </c>
      <c r="C573" s="1" t="n">
        <v>45922</v>
      </c>
      <c r="D573" t="inlineStr">
        <is>
          <t>SKÅNE LÄN</t>
        </is>
      </c>
      <c r="E573" t="inlineStr">
        <is>
          <t>HÄSSLEHOLM</t>
        </is>
      </c>
      <c r="G573" t="n">
        <v>3.9</v>
      </c>
      <c r="H573" t="n">
        <v>0</v>
      </c>
      <c r="I573" t="n">
        <v>0</v>
      </c>
      <c r="J573" t="n">
        <v>0</v>
      </c>
      <c r="K573" t="n">
        <v>0</v>
      </c>
      <c r="L573" t="n">
        <v>0</v>
      </c>
      <c r="M573" t="n">
        <v>0</v>
      </c>
      <c r="N573" t="n">
        <v>0</v>
      </c>
      <c r="O573" t="n">
        <v>0</v>
      </c>
      <c r="P573" t="n">
        <v>0</v>
      </c>
      <c r="Q573" t="n">
        <v>0</v>
      </c>
      <c r="R573" s="2" t="inlineStr"/>
    </row>
    <row r="574" ht="15" customHeight="1">
      <c r="A574" t="inlineStr">
        <is>
          <t>A 29168-2025</t>
        </is>
      </c>
      <c r="B574" s="1" t="n">
        <v>45821.69547453704</v>
      </c>
      <c r="C574" s="1" t="n">
        <v>45922</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50664-2023</t>
        </is>
      </c>
      <c r="B575" s="1" t="n">
        <v>45217</v>
      </c>
      <c r="C575" s="1" t="n">
        <v>45922</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42428-2022</t>
        </is>
      </c>
      <c r="B576" s="1" t="n">
        <v>44831</v>
      </c>
      <c r="C576" s="1" t="n">
        <v>45922</v>
      </c>
      <c r="D576" t="inlineStr">
        <is>
          <t>SKÅNE LÄN</t>
        </is>
      </c>
      <c r="E576" t="inlineStr">
        <is>
          <t>HÄSSLEHOLM</t>
        </is>
      </c>
      <c r="G576" t="n">
        <v>2.8</v>
      </c>
      <c r="H576" t="n">
        <v>0</v>
      </c>
      <c r="I576" t="n">
        <v>0</v>
      </c>
      <c r="J576" t="n">
        <v>0</v>
      </c>
      <c r="K576" t="n">
        <v>0</v>
      </c>
      <c r="L576" t="n">
        <v>0</v>
      </c>
      <c r="M576" t="n">
        <v>0</v>
      </c>
      <c r="N576" t="n">
        <v>0</v>
      </c>
      <c r="O576" t="n">
        <v>0</v>
      </c>
      <c r="P576" t="n">
        <v>0</v>
      </c>
      <c r="Q576" t="n">
        <v>0</v>
      </c>
      <c r="R576" s="2" t="inlineStr"/>
    </row>
    <row r="577" ht="15" customHeight="1">
      <c r="A577" t="inlineStr">
        <is>
          <t>A 62171-2022</t>
        </is>
      </c>
      <c r="B577" s="1" t="n">
        <v>44915</v>
      </c>
      <c r="C577" s="1" t="n">
        <v>45922</v>
      </c>
      <c r="D577" t="inlineStr">
        <is>
          <t>SKÅNE LÄN</t>
        </is>
      </c>
      <c r="E577" t="inlineStr">
        <is>
          <t>HÄSSLEHOLM</t>
        </is>
      </c>
      <c r="F577" t="inlineStr">
        <is>
          <t>Kyrkan</t>
        </is>
      </c>
      <c r="G577" t="n">
        <v>9</v>
      </c>
      <c r="H577" t="n">
        <v>0</v>
      </c>
      <c r="I577" t="n">
        <v>0</v>
      </c>
      <c r="J577" t="n">
        <v>0</v>
      </c>
      <c r="K577" t="n">
        <v>0</v>
      </c>
      <c r="L577" t="n">
        <v>0</v>
      </c>
      <c r="M577" t="n">
        <v>0</v>
      </c>
      <c r="N577" t="n">
        <v>0</v>
      </c>
      <c r="O577" t="n">
        <v>0</v>
      </c>
      <c r="P577" t="n">
        <v>0</v>
      </c>
      <c r="Q577" t="n">
        <v>0</v>
      </c>
      <c r="R577" s="2" t="inlineStr"/>
    </row>
    <row r="578" ht="15" customHeight="1">
      <c r="A578" t="inlineStr">
        <is>
          <t>A 47647-2024</t>
        </is>
      </c>
      <c r="B578" s="1" t="n">
        <v>45588</v>
      </c>
      <c r="C578" s="1" t="n">
        <v>45922</v>
      </c>
      <c r="D578" t="inlineStr">
        <is>
          <t>SKÅNE LÄN</t>
        </is>
      </c>
      <c r="E578" t="inlineStr">
        <is>
          <t>HÄSSLEHOLM</t>
        </is>
      </c>
      <c r="G578" t="n">
        <v>6.5</v>
      </c>
      <c r="H578" t="n">
        <v>0</v>
      </c>
      <c r="I578" t="n">
        <v>0</v>
      </c>
      <c r="J578" t="n">
        <v>0</v>
      </c>
      <c r="K578" t="n">
        <v>0</v>
      </c>
      <c r="L578" t="n">
        <v>0</v>
      </c>
      <c r="M578" t="n">
        <v>0</v>
      </c>
      <c r="N578" t="n">
        <v>0</v>
      </c>
      <c r="O578" t="n">
        <v>0</v>
      </c>
      <c r="P578" t="n">
        <v>0</v>
      </c>
      <c r="Q578" t="n">
        <v>0</v>
      </c>
      <c r="R578" s="2" t="inlineStr"/>
    </row>
    <row r="579" ht="15" customHeight="1">
      <c r="A579" t="inlineStr">
        <is>
          <t>A 9556-2025</t>
        </is>
      </c>
      <c r="B579" s="1" t="n">
        <v>45714</v>
      </c>
      <c r="C579" s="1" t="n">
        <v>45922</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56956-2024</t>
        </is>
      </c>
      <c r="B580" s="1" t="n">
        <v>45626</v>
      </c>
      <c r="C580" s="1" t="n">
        <v>45922</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57695-2023</t>
        </is>
      </c>
      <c r="B581" s="1" t="n">
        <v>45246</v>
      </c>
      <c r="C581" s="1" t="n">
        <v>45922</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9885-2021</t>
        </is>
      </c>
      <c r="B582" s="1" t="n">
        <v>44253</v>
      </c>
      <c r="C582" s="1" t="n">
        <v>45922</v>
      </c>
      <c r="D582" t="inlineStr">
        <is>
          <t>SKÅNE LÄN</t>
        </is>
      </c>
      <c r="E582" t="inlineStr">
        <is>
          <t>HÄSSLEHOLM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12162-2023</t>
        </is>
      </c>
      <c r="B583" s="1" t="n">
        <v>44998.49619212963</v>
      </c>
      <c r="C583" s="1" t="n">
        <v>45922</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35711-2024</t>
        </is>
      </c>
      <c r="B584" s="1" t="n">
        <v>45532</v>
      </c>
      <c r="C584" s="1" t="n">
        <v>45922</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56490-2021</t>
        </is>
      </c>
      <c r="B585" s="1" t="n">
        <v>44480</v>
      </c>
      <c r="C585" s="1" t="n">
        <v>45922</v>
      </c>
      <c r="D585" t="inlineStr">
        <is>
          <t>SKÅNE LÄN</t>
        </is>
      </c>
      <c r="E585" t="inlineStr">
        <is>
          <t>HÄSSLEHOLM</t>
        </is>
      </c>
      <c r="F585" t="inlineStr">
        <is>
          <t>Kyrkan</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61680-2022</t>
        </is>
      </c>
      <c r="B586" s="1" t="n">
        <v>44917.36372685185</v>
      </c>
      <c r="C586" s="1" t="n">
        <v>45922</v>
      </c>
      <c r="D586" t="inlineStr">
        <is>
          <t>SKÅNE LÄN</t>
        </is>
      </c>
      <c r="E586" t="inlineStr">
        <is>
          <t>HÄSSLEHOLM</t>
        </is>
      </c>
      <c r="G586" t="n">
        <v>2.4</v>
      </c>
      <c r="H586" t="n">
        <v>0</v>
      </c>
      <c r="I586" t="n">
        <v>0</v>
      </c>
      <c r="J586" t="n">
        <v>0</v>
      </c>
      <c r="K586" t="n">
        <v>0</v>
      </c>
      <c r="L586" t="n">
        <v>0</v>
      </c>
      <c r="M586" t="n">
        <v>0</v>
      </c>
      <c r="N586" t="n">
        <v>0</v>
      </c>
      <c r="O586" t="n">
        <v>0</v>
      </c>
      <c r="P586" t="n">
        <v>0</v>
      </c>
      <c r="Q586" t="n">
        <v>0</v>
      </c>
      <c r="R586" s="2" t="inlineStr"/>
    </row>
    <row r="587" ht="15" customHeight="1">
      <c r="A587" t="inlineStr">
        <is>
          <t>A 61489-2024</t>
        </is>
      </c>
      <c r="B587" s="1" t="n">
        <v>45646.54875</v>
      </c>
      <c r="C587" s="1" t="n">
        <v>45922</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13347-2025</t>
        </is>
      </c>
      <c r="B588" s="1" t="n">
        <v>45735.63175925926</v>
      </c>
      <c r="C588" s="1" t="n">
        <v>45922</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4916-2024</t>
        </is>
      </c>
      <c r="B589" s="1" t="n">
        <v>45329</v>
      </c>
      <c r="C589" s="1" t="n">
        <v>45922</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27175-2024</t>
        </is>
      </c>
      <c r="B590" s="1" t="n">
        <v>45471.57111111111</v>
      </c>
      <c r="C590" s="1" t="n">
        <v>45922</v>
      </c>
      <c r="D590" t="inlineStr">
        <is>
          <t>SKÅNE LÄN</t>
        </is>
      </c>
      <c r="E590" t="inlineStr">
        <is>
          <t>HÄSSLEHOLM</t>
        </is>
      </c>
      <c r="G590" t="n">
        <v>1</v>
      </c>
      <c r="H590" t="n">
        <v>0</v>
      </c>
      <c r="I590" t="n">
        <v>0</v>
      </c>
      <c r="J590" t="n">
        <v>0</v>
      </c>
      <c r="K590" t="n">
        <v>0</v>
      </c>
      <c r="L590" t="n">
        <v>0</v>
      </c>
      <c r="M590" t="n">
        <v>0</v>
      </c>
      <c r="N590" t="n">
        <v>0</v>
      </c>
      <c r="O590" t="n">
        <v>0</v>
      </c>
      <c r="P590" t="n">
        <v>0</v>
      </c>
      <c r="Q590" t="n">
        <v>0</v>
      </c>
      <c r="R590" s="2" t="inlineStr"/>
    </row>
    <row r="591" ht="15" customHeight="1">
      <c r="A591" t="inlineStr">
        <is>
          <t>A 17699-2024</t>
        </is>
      </c>
      <c r="B591" s="1" t="n">
        <v>45418.46094907408</v>
      </c>
      <c r="C591" s="1" t="n">
        <v>45922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17702-2024</t>
        </is>
      </c>
      <c r="B592" s="1" t="n">
        <v>45418.46534722222</v>
      </c>
      <c r="C592" s="1" t="n">
        <v>45922</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2479-2024</t>
        </is>
      </c>
      <c r="B593" s="1" t="n">
        <v>45313.40148148148</v>
      </c>
      <c r="C593" s="1" t="n">
        <v>45922</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26397-2023</t>
        </is>
      </c>
      <c r="B594" s="1" t="n">
        <v>45087</v>
      </c>
      <c r="C594" s="1" t="n">
        <v>45922</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1119-2024</t>
        </is>
      </c>
      <c r="B595" s="1" t="n">
        <v>45302</v>
      </c>
      <c r="C595" s="1" t="n">
        <v>45922</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58888-2024</t>
        </is>
      </c>
      <c r="B596" s="1" t="n">
        <v>45636.45962962963</v>
      </c>
      <c r="C596" s="1" t="n">
        <v>45922</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16334-2024</t>
        </is>
      </c>
      <c r="B597" s="1" t="n">
        <v>45407.54856481482</v>
      </c>
      <c r="C597" s="1" t="n">
        <v>45922</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44599.63016203704</v>
      </c>
      <c r="C598" s="1" t="n">
        <v>45922</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3663-2024</t>
        </is>
      </c>
      <c r="B599" s="1" t="n">
        <v>45321.34775462963</v>
      </c>
      <c r="C599" s="1" t="n">
        <v>45922</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16951-2025</t>
        </is>
      </c>
      <c r="B600" s="1" t="n">
        <v>45755</v>
      </c>
      <c r="C600" s="1" t="n">
        <v>45922</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16614-2025</t>
        </is>
      </c>
      <c r="B601" s="1" t="n">
        <v>45754.283125</v>
      </c>
      <c r="C601" s="1" t="n">
        <v>45922</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3888-2024</t>
        </is>
      </c>
      <c r="B602" s="1" t="n">
        <v>45322.45089120371</v>
      </c>
      <c r="C602" s="1" t="n">
        <v>45922</v>
      </c>
      <c r="D602" t="inlineStr">
        <is>
          <t>SKÅNE LÄN</t>
        </is>
      </c>
      <c r="E602" t="inlineStr">
        <is>
          <t>HÄSSLEHOLM</t>
        </is>
      </c>
      <c r="G602" t="n">
        <v>2.4</v>
      </c>
      <c r="H602" t="n">
        <v>0</v>
      </c>
      <c r="I602" t="n">
        <v>0</v>
      </c>
      <c r="J602" t="n">
        <v>0</v>
      </c>
      <c r="K602" t="n">
        <v>0</v>
      </c>
      <c r="L602" t="n">
        <v>0</v>
      </c>
      <c r="M602" t="n">
        <v>0</v>
      </c>
      <c r="N602" t="n">
        <v>0</v>
      </c>
      <c r="O602" t="n">
        <v>0</v>
      </c>
      <c r="P602" t="n">
        <v>0</v>
      </c>
      <c r="Q602" t="n">
        <v>0</v>
      </c>
      <c r="R602" s="2" t="inlineStr"/>
    </row>
    <row r="603" ht="15" customHeight="1">
      <c r="A603" t="inlineStr">
        <is>
          <t>A 3889-2024</t>
        </is>
      </c>
      <c r="B603" s="1" t="n">
        <v>45322.45234953704</v>
      </c>
      <c r="C603" s="1" t="n">
        <v>45922</v>
      </c>
      <c r="D603" t="inlineStr">
        <is>
          <t>SKÅNE LÄN</t>
        </is>
      </c>
      <c r="E603" t="inlineStr">
        <is>
          <t>HÄSSLEHOLM</t>
        </is>
      </c>
      <c r="G603" t="n">
        <v>1.4</v>
      </c>
      <c r="H603" t="n">
        <v>0</v>
      </c>
      <c r="I603" t="n">
        <v>0</v>
      </c>
      <c r="J603" t="n">
        <v>0</v>
      </c>
      <c r="K603" t="n">
        <v>0</v>
      </c>
      <c r="L603" t="n">
        <v>0</v>
      </c>
      <c r="M603" t="n">
        <v>0</v>
      </c>
      <c r="N603" t="n">
        <v>0</v>
      </c>
      <c r="O603" t="n">
        <v>0</v>
      </c>
      <c r="P603" t="n">
        <v>0</v>
      </c>
      <c r="Q603" t="n">
        <v>0</v>
      </c>
      <c r="R603" s="2" t="inlineStr"/>
    </row>
    <row r="604" ht="15" customHeight="1">
      <c r="A604" t="inlineStr">
        <is>
          <t>A 3294-2025</t>
        </is>
      </c>
      <c r="B604" s="1" t="n">
        <v>45679.64125</v>
      </c>
      <c r="C604" s="1" t="n">
        <v>45922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9669-2025</t>
        </is>
      </c>
      <c r="B605" s="1" t="n">
        <v>45716.32921296296</v>
      </c>
      <c r="C605" s="1" t="n">
        <v>45922</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31995-2023</t>
        </is>
      </c>
      <c r="B606" s="1" t="n">
        <v>45107</v>
      </c>
      <c r="C606" s="1" t="n">
        <v>45922</v>
      </c>
      <c r="D606" t="inlineStr">
        <is>
          <t>SKÅNE LÄN</t>
        </is>
      </c>
      <c r="E606" t="inlineStr">
        <is>
          <t>HÄSSLEHOLM</t>
        </is>
      </c>
      <c r="G606" t="n">
        <v>7.3</v>
      </c>
      <c r="H606" t="n">
        <v>0</v>
      </c>
      <c r="I606" t="n">
        <v>0</v>
      </c>
      <c r="J606" t="n">
        <v>0</v>
      </c>
      <c r="K606" t="n">
        <v>0</v>
      </c>
      <c r="L606" t="n">
        <v>0</v>
      </c>
      <c r="M606" t="n">
        <v>0</v>
      </c>
      <c r="N606" t="n">
        <v>0</v>
      </c>
      <c r="O606" t="n">
        <v>0</v>
      </c>
      <c r="P606" t="n">
        <v>0</v>
      </c>
      <c r="Q606" t="n">
        <v>0</v>
      </c>
      <c r="R606" s="2" t="inlineStr"/>
    </row>
    <row r="607" ht="15" customHeight="1">
      <c r="A607" t="inlineStr">
        <is>
          <t>A 31998-2023</t>
        </is>
      </c>
      <c r="B607" s="1" t="n">
        <v>45119</v>
      </c>
      <c r="C607" s="1" t="n">
        <v>45922</v>
      </c>
      <c r="D607" t="inlineStr">
        <is>
          <t>SKÅNE LÄN</t>
        </is>
      </c>
      <c r="E607" t="inlineStr">
        <is>
          <t>HÄSSLEHOLM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5478-2021</t>
        </is>
      </c>
      <c r="B608" s="1" t="n">
        <v>44230</v>
      </c>
      <c r="C608" s="1" t="n">
        <v>45922</v>
      </c>
      <c r="D608" t="inlineStr">
        <is>
          <t>SKÅNE LÄN</t>
        </is>
      </c>
      <c r="E608" t="inlineStr">
        <is>
          <t>HÄSSLEHOLM</t>
        </is>
      </c>
      <c r="G608" t="n">
        <v>0.1</v>
      </c>
      <c r="H608" t="n">
        <v>0</v>
      </c>
      <c r="I608" t="n">
        <v>0</v>
      </c>
      <c r="J608" t="n">
        <v>0</v>
      </c>
      <c r="K608" t="n">
        <v>0</v>
      </c>
      <c r="L608" t="n">
        <v>0</v>
      </c>
      <c r="M608" t="n">
        <v>0</v>
      </c>
      <c r="N608" t="n">
        <v>0</v>
      </c>
      <c r="O608" t="n">
        <v>0</v>
      </c>
      <c r="P608" t="n">
        <v>0</v>
      </c>
      <c r="Q608" t="n">
        <v>0</v>
      </c>
      <c r="R608" s="2" t="inlineStr"/>
    </row>
    <row r="609" ht="15" customHeight="1">
      <c r="A609" t="inlineStr">
        <is>
          <t>A 7150-2025</t>
        </is>
      </c>
      <c r="B609" s="1" t="n">
        <v>45702.38239583333</v>
      </c>
      <c r="C609" s="1" t="n">
        <v>45922</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20185-2023</t>
        </is>
      </c>
      <c r="B610" s="1" t="n">
        <v>45055.56795138889</v>
      </c>
      <c r="C610" s="1" t="n">
        <v>45922</v>
      </c>
      <c r="D610" t="inlineStr">
        <is>
          <t>SKÅNE LÄN</t>
        </is>
      </c>
      <c r="E610" t="inlineStr">
        <is>
          <t>HÄSSLEHOLM</t>
        </is>
      </c>
      <c r="G610" t="n">
        <v>3.5</v>
      </c>
      <c r="H610" t="n">
        <v>0</v>
      </c>
      <c r="I610" t="n">
        <v>0</v>
      </c>
      <c r="J610" t="n">
        <v>0</v>
      </c>
      <c r="K610" t="n">
        <v>0</v>
      </c>
      <c r="L610" t="n">
        <v>0</v>
      </c>
      <c r="M610" t="n">
        <v>0</v>
      </c>
      <c r="N610" t="n">
        <v>0</v>
      </c>
      <c r="O610" t="n">
        <v>0</v>
      </c>
      <c r="P610" t="n">
        <v>0</v>
      </c>
      <c r="Q610" t="n">
        <v>0</v>
      </c>
      <c r="R610" s="2" t="inlineStr"/>
    </row>
    <row r="611" ht="15" customHeight="1">
      <c r="A611" t="inlineStr">
        <is>
          <t>A 61170-2022</t>
        </is>
      </c>
      <c r="B611" s="1" t="n">
        <v>44915.48543981482</v>
      </c>
      <c r="C611" s="1" t="n">
        <v>45922</v>
      </c>
      <c r="D611" t="inlineStr">
        <is>
          <t>SKÅNE LÄN</t>
        </is>
      </c>
      <c r="E611" t="inlineStr">
        <is>
          <t>HÄSSLEHOLM</t>
        </is>
      </c>
      <c r="G611" t="n">
        <v>1.2</v>
      </c>
      <c r="H611" t="n">
        <v>0</v>
      </c>
      <c r="I611" t="n">
        <v>0</v>
      </c>
      <c r="J611" t="n">
        <v>0</v>
      </c>
      <c r="K611" t="n">
        <v>0</v>
      </c>
      <c r="L611" t="n">
        <v>0</v>
      </c>
      <c r="M611" t="n">
        <v>0</v>
      </c>
      <c r="N611" t="n">
        <v>0</v>
      </c>
      <c r="O611" t="n">
        <v>0</v>
      </c>
      <c r="P611" t="n">
        <v>0</v>
      </c>
      <c r="Q611" t="n">
        <v>0</v>
      </c>
      <c r="R611" s="2" t="inlineStr"/>
    </row>
    <row r="612" ht="15" customHeight="1">
      <c r="A612" t="inlineStr">
        <is>
          <t>A 54658-2023</t>
        </is>
      </c>
      <c r="B612" s="1" t="n">
        <v>45235</v>
      </c>
      <c r="C612" s="1" t="n">
        <v>45922</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53055-2021</t>
        </is>
      </c>
      <c r="B613" s="1" t="n">
        <v>44467</v>
      </c>
      <c r="C613" s="1" t="n">
        <v>45922</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23666-2023</t>
        </is>
      </c>
      <c r="B614" s="1" t="n">
        <v>45077</v>
      </c>
      <c r="C614" s="1" t="n">
        <v>45922</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43629-2023</t>
        </is>
      </c>
      <c r="B615" s="1" t="n">
        <v>45184</v>
      </c>
      <c r="C615" s="1" t="n">
        <v>45922</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13990-2022</t>
        </is>
      </c>
      <c r="B616" s="1" t="n">
        <v>44650</v>
      </c>
      <c r="C616" s="1" t="n">
        <v>45922</v>
      </c>
      <c r="D616" t="inlineStr">
        <is>
          <t>SKÅNE LÄN</t>
        </is>
      </c>
      <c r="E616" t="inlineStr">
        <is>
          <t>HÄSSLEHOLM</t>
        </is>
      </c>
      <c r="G616" t="n">
        <v>3.6</v>
      </c>
      <c r="H616" t="n">
        <v>0</v>
      </c>
      <c r="I616" t="n">
        <v>0</v>
      </c>
      <c r="J616" t="n">
        <v>0</v>
      </c>
      <c r="K616" t="n">
        <v>0</v>
      </c>
      <c r="L616" t="n">
        <v>0</v>
      </c>
      <c r="M616" t="n">
        <v>0</v>
      </c>
      <c r="N616" t="n">
        <v>0</v>
      </c>
      <c r="O616" t="n">
        <v>0</v>
      </c>
      <c r="P616" t="n">
        <v>0</v>
      </c>
      <c r="Q616" t="n">
        <v>0</v>
      </c>
      <c r="R616" s="2" t="inlineStr"/>
    </row>
    <row r="617" ht="15" customHeight="1">
      <c r="A617" t="inlineStr">
        <is>
          <t>A 3726-2024</t>
        </is>
      </c>
      <c r="B617" s="1" t="n">
        <v>45321</v>
      </c>
      <c r="C617" s="1" t="n">
        <v>45922</v>
      </c>
      <c r="D617" t="inlineStr">
        <is>
          <t>SKÅNE LÄN</t>
        </is>
      </c>
      <c r="E617" t="inlineStr">
        <is>
          <t>HÄSSLEHOLM</t>
        </is>
      </c>
      <c r="G617" t="n">
        <v>0.3</v>
      </c>
      <c r="H617" t="n">
        <v>0</v>
      </c>
      <c r="I617" t="n">
        <v>0</v>
      </c>
      <c r="J617" t="n">
        <v>0</v>
      </c>
      <c r="K617" t="n">
        <v>0</v>
      </c>
      <c r="L617" t="n">
        <v>0</v>
      </c>
      <c r="M617" t="n">
        <v>0</v>
      </c>
      <c r="N617" t="n">
        <v>0</v>
      </c>
      <c r="O617" t="n">
        <v>0</v>
      </c>
      <c r="P617" t="n">
        <v>0</v>
      </c>
      <c r="Q617" t="n">
        <v>0</v>
      </c>
      <c r="R617" s="2" t="inlineStr"/>
    </row>
    <row r="618" ht="15" customHeight="1">
      <c r="A618" t="inlineStr">
        <is>
          <t>A 53085-2022</t>
        </is>
      </c>
      <c r="B618" s="1" t="n">
        <v>44873</v>
      </c>
      <c r="C618" s="1" t="n">
        <v>45922</v>
      </c>
      <c r="D618" t="inlineStr">
        <is>
          <t>SKÅNE LÄN</t>
        </is>
      </c>
      <c r="E618" t="inlineStr">
        <is>
          <t>HÄSSLEHOLM</t>
        </is>
      </c>
      <c r="G618" t="n">
        <v>1.9</v>
      </c>
      <c r="H618" t="n">
        <v>0</v>
      </c>
      <c r="I618" t="n">
        <v>0</v>
      </c>
      <c r="J618" t="n">
        <v>0</v>
      </c>
      <c r="K618" t="n">
        <v>0</v>
      </c>
      <c r="L618" t="n">
        <v>0</v>
      </c>
      <c r="M618" t="n">
        <v>0</v>
      </c>
      <c r="N618" t="n">
        <v>0</v>
      </c>
      <c r="O618" t="n">
        <v>0</v>
      </c>
      <c r="P618" t="n">
        <v>0</v>
      </c>
      <c r="Q618" t="n">
        <v>0</v>
      </c>
      <c r="R618" s="2" t="inlineStr"/>
    </row>
    <row r="619" ht="15" customHeight="1">
      <c r="A619" t="inlineStr">
        <is>
          <t>A 28211-2022</t>
        </is>
      </c>
      <c r="B619" s="1" t="n">
        <v>44746</v>
      </c>
      <c r="C619" s="1" t="n">
        <v>45922</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32154-2024</t>
        </is>
      </c>
      <c r="B620" s="1" t="n">
        <v>45511</v>
      </c>
      <c r="C620" s="1" t="n">
        <v>45922</v>
      </c>
      <c r="D620" t="inlineStr">
        <is>
          <t>SKÅNE LÄN</t>
        </is>
      </c>
      <c r="E620" t="inlineStr">
        <is>
          <t>HÄSSLEHOLM</t>
        </is>
      </c>
      <c r="G620" t="n">
        <v>6.4</v>
      </c>
      <c r="H620" t="n">
        <v>0</v>
      </c>
      <c r="I620" t="n">
        <v>0</v>
      </c>
      <c r="J620" t="n">
        <v>0</v>
      </c>
      <c r="K620" t="n">
        <v>0</v>
      </c>
      <c r="L620" t="n">
        <v>0</v>
      </c>
      <c r="M620" t="n">
        <v>0</v>
      </c>
      <c r="N620" t="n">
        <v>0</v>
      </c>
      <c r="O620" t="n">
        <v>0</v>
      </c>
      <c r="P620" t="n">
        <v>0</v>
      </c>
      <c r="Q620" t="n">
        <v>0</v>
      </c>
      <c r="R620" s="2" t="inlineStr"/>
    </row>
    <row r="621" ht="15" customHeight="1">
      <c r="A621" t="inlineStr">
        <is>
          <t>A 9393-2025</t>
        </is>
      </c>
      <c r="B621" s="1" t="n">
        <v>45715.36230324074</v>
      </c>
      <c r="C621" s="1" t="n">
        <v>45922</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15897-2025</t>
        </is>
      </c>
      <c r="B622" s="1" t="n">
        <v>45749.41598379629</v>
      </c>
      <c r="C622" s="1" t="n">
        <v>45922</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54982-2024</t>
        </is>
      </c>
      <c r="B623" s="1" t="n">
        <v>45620.7580787037</v>
      </c>
      <c r="C623" s="1" t="n">
        <v>45922</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15990-2023</t>
        </is>
      </c>
      <c r="B624" s="1" t="n">
        <v>45023.39584490741</v>
      </c>
      <c r="C624" s="1" t="n">
        <v>45922</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50564-2023</t>
        </is>
      </c>
      <c r="B625" s="1" t="n">
        <v>45217.37957175926</v>
      </c>
      <c r="C625" s="1" t="n">
        <v>45922</v>
      </c>
      <c r="D625" t="inlineStr">
        <is>
          <t>SKÅNE LÄN</t>
        </is>
      </c>
      <c r="E625" t="inlineStr">
        <is>
          <t>HÄSSLEHOLM</t>
        </is>
      </c>
      <c r="G625" t="n">
        <v>1.2</v>
      </c>
      <c r="H625" t="n">
        <v>0</v>
      </c>
      <c r="I625" t="n">
        <v>0</v>
      </c>
      <c r="J625" t="n">
        <v>0</v>
      </c>
      <c r="K625" t="n">
        <v>0</v>
      </c>
      <c r="L625" t="n">
        <v>0</v>
      </c>
      <c r="M625" t="n">
        <v>0</v>
      </c>
      <c r="N625" t="n">
        <v>0</v>
      </c>
      <c r="O625" t="n">
        <v>0</v>
      </c>
      <c r="P625" t="n">
        <v>0</v>
      </c>
      <c r="Q625" t="n">
        <v>0</v>
      </c>
      <c r="R625" s="2" t="inlineStr"/>
    </row>
    <row r="626" ht="15" customHeight="1">
      <c r="A626" t="inlineStr">
        <is>
          <t>A 26207-2021</t>
        </is>
      </c>
      <c r="B626" s="1" t="n">
        <v>44347</v>
      </c>
      <c r="C626" s="1" t="n">
        <v>45922</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58883-2024</t>
        </is>
      </c>
      <c r="B627" s="1" t="n">
        <v>45636.44962962963</v>
      </c>
      <c r="C627" s="1" t="n">
        <v>45922</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61182-2024</t>
        </is>
      </c>
      <c r="B628" s="1" t="n">
        <v>45645</v>
      </c>
      <c r="C628" s="1" t="n">
        <v>45922</v>
      </c>
      <c r="D628" t="inlineStr">
        <is>
          <t>SKÅNE LÄN</t>
        </is>
      </c>
      <c r="E628" t="inlineStr">
        <is>
          <t>HÄSSLEHOLM</t>
        </is>
      </c>
      <c r="G628" t="n">
        <v>3.2</v>
      </c>
      <c r="H628" t="n">
        <v>0</v>
      </c>
      <c r="I628" t="n">
        <v>0</v>
      </c>
      <c r="J628" t="n">
        <v>0</v>
      </c>
      <c r="K628" t="n">
        <v>0</v>
      </c>
      <c r="L628" t="n">
        <v>0</v>
      </c>
      <c r="M628" t="n">
        <v>0</v>
      </c>
      <c r="N628" t="n">
        <v>0</v>
      </c>
      <c r="O628" t="n">
        <v>0</v>
      </c>
      <c r="P628" t="n">
        <v>0</v>
      </c>
      <c r="Q628" t="n">
        <v>0</v>
      </c>
      <c r="R628" s="2" t="inlineStr"/>
    </row>
    <row r="629" ht="15" customHeight="1">
      <c r="A629" t="inlineStr">
        <is>
          <t>A 43061-2024</t>
        </is>
      </c>
      <c r="B629" s="1" t="n">
        <v>45567</v>
      </c>
      <c r="C629" s="1" t="n">
        <v>45922</v>
      </c>
      <c r="D629" t="inlineStr">
        <is>
          <t>SKÅNE LÄN</t>
        </is>
      </c>
      <c r="E629" t="inlineStr">
        <is>
          <t>HÄSSLEHOLM</t>
        </is>
      </c>
      <c r="G629" t="n">
        <v>4.5</v>
      </c>
      <c r="H629" t="n">
        <v>0</v>
      </c>
      <c r="I629" t="n">
        <v>0</v>
      </c>
      <c r="J629" t="n">
        <v>0</v>
      </c>
      <c r="K629" t="n">
        <v>0</v>
      </c>
      <c r="L629" t="n">
        <v>0</v>
      </c>
      <c r="M629" t="n">
        <v>0</v>
      </c>
      <c r="N629" t="n">
        <v>0</v>
      </c>
      <c r="O629" t="n">
        <v>0</v>
      </c>
      <c r="P629" t="n">
        <v>0</v>
      </c>
      <c r="Q629" t="n">
        <v>0</v>
      </c>
      <c r="R629" s="2" t="inlineStr"/>
    </row>
    <row r="630" ht="15" customHeight="1">
      <c r="A630" t="inlineStr">
        <is>
          <t>A 62199-2022</t>
        </is>
      </c>
      <c r="B630" s="1" t="n">
        <v>44915</v>
      </c>
      <c r="C630" s="1" t="n">
        <v>45922</v>
      </c>
      <c r="D630" t="inlineStr">
        <is>
          <t>SKÅNE LÄN</t>
        </is>
      </c>
      <c r="E630" t="inlineStr">
        <is>
          <t>HÄSSLEHOLM</t>
        </is>
      </c>
      <c r="G630" t="n">
        <v>1.5</v>
      </c>
      <c r="H630" t="n">
        <v>0</v>
      </c>
      <c r="I630" t="n">
        <v>0</v>
      </c>
      <c r="J630" t="n">
        <v>0</v>
      </c>
      <c r="K630" t="n">
        <v>0</v>
      </c>
      <c r="L630" t="n">
        <v>0</v>
      </c>
      <c r="M630" t="n">
        <v>0</v>
      </c>
      <c r="N630" t="n">
        <v>0</v>
      </c>
      <c r="O630" t="n">
        <v>0</v>
      </c>
      <c r="P630" t="n">
        <v>0</v>
      </c>
      <c r="Q630" t="n">
        <v>0</v>
      </c>
      <c r="R630" s="2" t="inlineStr"/>
    </row>
    <row r="631" ht="15" customHeight="1">
      <c r="A631" t="inlineStr">
        <is>
          <t>A 30010-2025</t>
        </is>
      </c>
      <c r="B631" s="1" t="n">
        <v>45826</v>
      </c>
      <c r="C631" s="1" t="n">
        <v>45922</v>
      </c>
      <c r="D631" t="inlineStr">
        <is>
          <t>SKÅNE LÄN</t>
        </is>
      </c>
      <c r="E631" t="inlineStr">
        <is>
          <t>HÄSSLEHOLM</t>
        </is>
      </c>
      <c r="G631" t="n">
        <v>4.5</v>
      </c>
      <c r="H631" t="n">
        <v>0</v>
      </c>
      <c r="I631" t="n">
        <v>0</v>
      </c>
      <c r="J631" t="n">
        <v>0</v>
      </c>
      <c r="K631" t="n">
        <v>0</v>
      </c>
      <c r="L631" t="n">
        <v>0</v>
      </c>
      <c r="M631" t="n">
        <v>0</v>
      </c>
      <c r="N631" t="n">
        <v>0</v>
      </c>
      <c r="O631" t="n">
        <v>0</v>
      </c>
      <c r="P631" t="n">
        <v>0</v>
      </c>
      <c r="Q631" t="n">
        <v>0</v>
      </c>
      <c r="R631" s="2" t="inlineStr"/>
    </row>
    <row r="632" ht="15" customHeight="1">
      <c r="A632" t="inlineStr">
        <is>
          <t>A 9098-2022</t>
        </is>
      </c>
      <c r="B632" s="1" t="n">
        <v>44615</v>
      </c>
      <c r="C632" s="1" t="n">
        <v>45922</v>
      </c>
      <c r="D632" t="inlineStr">
        <is>
          <t>SKÅNE LÄN</t>
        </is>
      </c>
      <c r="E632" t="inlineStr">
        <is>
          <t>HÄSSLEHOLM</t>
        </is>
      </c>
      <c r="G632" t="n">
        <v>2.1</v>
      </c>
      <c r="H632" t="n">
        <v>0</v>
      </c>
      <c r="I632" t="n">
        <v>0</v>
      </c>
      <c r="J632" t="n">
        <v>0</v>
      </c>
      <c r="K632" t="n">
        <v>0</v>
      </c>
      <c r="L632" t="n">
        <v>0</v>
      </c>
      <c r="M632" t="n">
        <v>0</v>
      </c>
      <c r="N632" t="n">
        <v>0</v>
      </c>
      <c r="O632" t="n">
        <v>0</v>
      </c>
      <c r="P632" t="n">
        <v>0</v>
      </c>
      <c r="Q632" t="n">
        <v>0</v>
      </c>
      <c r="R632" s="2" t="inlineStr"/>
    </row>
    <row r="633" ht="15" customHeight="1">
      <c r="A633" t="inlineStr">
        <is>
          <t>A 19151-2023</t>
        </is>
      </c>
      <c r="B633" s="1" t="n">
        <v>45044</v>
      </c>
      <c r="C633" s="1" t="n">
        <v>45922</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2688-2024</t>
        </is>
      </c>
      <c r="B634" s="1" t="n">
        <v>45314</v>
      </c>
      <c r="C634" s="1" t="n">
        <v>45922</v>
      </c>
      <c r="D634" t="inlineStr">
        <is>
          <t>SKÅNE LÄN</t>
        </is>
      </c>
      <c r="E634" t="inlineStr">
        <is>
          <t>HÄSSLEHOLM</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29850-2024</t>
        </is>
      </c>
      <c r="B635" s="1" t="n">
        <v>45485.64620370371</v>
      </c>
      <c r="C635" s="1" t="n">
        <v>45922</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54171-2021</t>
        </is>
      </c>
      <c r="B636" s="1" t="n">
        <v>44470</v>
      </c>
      <c r="C636" s="1" t="n">
        <v>45922</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30007-2023</t>
        </is>
      </c>
      <c r="B637" s="1" t="n">
        <v>45109.80349537037</v>
      </c>
      <c r="C637" s="1" t="n">
        <v>45922</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14255-2024</t>
        </is>
      </c>
      <c r="B638" s="1" t="n">
        <v>45393</v>
      </c>
      <c r="C638" s="1" t="n">
        <v>45922</v>
      </c>
      <c r="D638" t="inlineStr">
        <is>
          <t>SKÅNE LÄN</t>
        </is>
      </c>
      <c r="E638" t="inlineStr">
        <is>
          <t>HÄSSLEHOLM</t>
        </is>
      </c>
      <c r="G638" t="n">
        <v>11.9</v>
      </c>
      <c r="H638" t="n">
        <v>0</v>
      </c>
      <c r="I638" t="n">
        <v>0</v>
      </c>
      <c r="J638" t="n">
        <v>0</v>
      </c>
      <c r="K638" t="n">
        <v>0</v>
      </c>
      <c r="L638" t="n">
        <v>0</v>
      </c>
      <c r="M638" t="n">
        <v>0</v>
      </c>
      <c r="N638" t="n">
        <v>0</v>
      </c>
      <c r="O638" t="n">
        <v>0</v>
      </c>
      <c r="P638" t="n">
        <v>0</v>
      </c>
      <c r="Q638" t="n">
        <v>0</v>
      </c>
      <c r="R638" s="2" t="inlineStr"/>
    </row>
    <row r="639" ht="15" customHeight="1">
      <c r="A639" t="inlineStr">
        <is>
          <t>A 24640-2023</t>
        </is>
      </c>
      <c r="B639" s="1" t="n">
        <v>45084.43181712963</v>
      </c>
      <c r="C639" s="1" t="n">
        <v>45922</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4187-2023</t>
        </is>
      </c>
      <c r="B640" s="1" t="n">
        <v>44953</v>
      </c>
      <c r="C640" s="1" t="n">
        <v>45922</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42231-2022</t>
        </is>
      </c>
      <c r="B641" s="1" t="n">
        <v>44830.77003472222</v>
      </c>
      <c r="C641" s="1" t="n">
        <v>45922</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51618-2024</t>
        </is>
      </c>
      <c r="B642" s="1" t="n">
        <v>45604.82615740741</v>
      </c>
      <c r="C642" s="1" t="n">
        <v>45922</v>
      </c>
      <c r="D642" t="inlineStr">
        <is>
          <t>SKÅNE LÄN</t>
        </is>
      </c>
      <c r="E642" t="inlineStr">
        <is>
          <t>HÄSSLEHOLM</t>
        </is>
      </c>
      <c r="G642" t="n">
        <v>1.2</v>
      </c>
      <c r="H642" t="n">
        <v>0</v>
      </c>
      <c r="I642" t="n">
        <v>0</v>
      </c>
      <c r="J642" t="n">
        <v>0</v>
      </c>
      <c r="K642" t="n">
        <v>0</v>
      </c>
      <c r="L642" t="n">
        <v>0</v>
      </c>
      <c r="M642" t="n">
        <v>0</v>
      </c>
      <c r="N642" t="n">
        <v>0</v>
      </c>
      <c r="O642" t="n">
        <v>0</v>
      </c>
      <c r="P642" t="n">
        <v>0</v>
      </c>
      <c r="Q642" t="n">
        <v>0</v>
      </c>
      <c r="R642" s="2" t="inlineStr"/>
    </row>
    <row r="643" ht="15" customHeight="1">
      <c r="A643" t="inlineStr">
        <is>
          <t>A 12338-2024</t>
        </is>
      </c>
      <c r="B643" s="1" t="n">
        <v>45378.72869212963</v>
      </c>
      <c r="C643" s="1" t="n">
        <v>45922</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59390-2021</t>
        </is>
      </c>
      <c r="B644" s="1" t="n">
        <v>44490</v>
      </c>
      <c r="C644" s="1" t="n">
        <v>45922</v>
      </c>
      <c r="D644" t="inlineStr">
        <is>
          <t>SKÅNE LÄN</t>
        </is>
      </c>
      <c r="E644" t="inlineStr">
        <is>
          <t>HÄSSLEHOLM</t>
        </is>
      </c>
      <c r="G644" t="n">
        <v>7.1</v>
      </c>
      <c r="H644" t="n">
        <v>0</v>
      </c>
      <c r="I644" t="n">
        <v>0</v>
      </c>
      <c r="J644" t="n">
        <v>0</v>
      </c>
      <c r="K644" t="n">
        <v>0</v>
      </c>
      <c r="L644" t="n">
        <v>0</v>
      </c>
      <c r="M644" t="n">
        <v>0</v>
      </c>
      <c r="N644" t="n">
        <v>0</v>
      </c>
      <c r="O644" t="n">
        <v>0</v>
      </c>
      <c r="P644" t="n">
        <v>0</v>
      </c>
      <c r="Q644" t="n">
        <v>0</v>
      </c>
      <c r="R644" s="2" t="inlineStr"/>
    </row>
    <row r="645" ht="15" customHeight="1">
      <c r="A645" t="inlineStr">
        <is>
          <t>A 31159-2025</t>
        </is>
      </c>
      <c r="B645" s="1" t="n">
        <v>45832.65322916667</v>
      </c>
      <c r="C645" s="1" t="n">
        <v>45922</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8249-2023</t>
        </is>
      </c>
      <c r="B646" s="1" t="n">
        <v>44974</v>
      </c>
      <c r="C646" s="1" t="n">
        <v>45922</v>
      </c>
      <c r="D646" t="inlineStr">
        <is>
          <t>SKÅNE LÄN</t>
        </is>
      </c>
      <c r="E646" t="inlineStr">
        <is>
          <t>HÄSSLEHOLM</t>
        </is>
      </c>
      <c r="G646" t="n">
        <v>5.8</v>
      </c>
      <c r="H646" t="n">
        <v>0</v>
      </c>
      <c r="I646" t="n">
        <v>0</v>
      </c>
      <c r="J646" t="n">
        <v>0</v>
      </c>
      <c r="K646" t="n">
        <v>0</v>
      </c>
      <c r="L646" t="n">
        <v>0</v>
      </c>
      <c r="M646" t="n">
        <v>0</v>
      </c>
      <c r="N646" t="n">
        <v>0</v>
      </c>
      <c r="O646" t="n">
        <v>0</v>
      </c>
      <c r="P646" t="n">
        <v>0</v>
      </c>
      <c r="Q646" t="n">
        <v>0</v>
      </c>
      <c r="R646" s="2" t="inlineStr"/>
    </row>
    <row r="647" ht="15" customHeight="1">
      <c r="A647" t="inlineStr">
        <is>
          <t>A 3452-2023</t>
        </is>
      </c>
      <c r="B647" s="1" t="n">
        <v>44949</v>
      </c>
      <c r="C647" s="1" t="n">
        <v>45922</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50525-2024</t>
        </is>
      </c>
      <c r="B648" s="1" t="n">
        <v>45601</v>
      </c>
      <c r="C648" s="1" t="n">
        <v>45922</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260-2024</t>
        </is>
      </c>
      <c r="B649" s="1" t="n">
        <v>45294</v>
      </c>
      <c r="C649" s="1" t="n">
        <v>45922</v>
      </c>
      <c r="D649" t="inlineStr">
        <is>
          <t>SKÅNE LÄN</t>
        </is>
      </c>
      <c r="E649" t="inlineStr">
        <is>
          <t>HÄSSLEHOLM</t>
        </is>
      </c>
      <c r="G649" t="n">
        <v>0.2</v>
      </c>
      <c r="H649" t="n">
        <v>0</v>
      </c>
      <c r="I649" t="n">
        <v>0</v>
      </c>
      <c r="J649" t="n">
        <v>0</v>
      </c>
      <c r="K649" t="n">
        <v>0</v>
      </c>
      <c r="L649" t="n">
        <v>0</v>
      </c>
      <c r="M649" t="n">
        <v>0</v>
      </c>
      <c r="N649" t="n">
        <v>0</v>
      </c>
      <c r="O649" t="n">
        <v>0</v>
      </c>
      <c r="P649" t="n">
        <v>0</v>
      </c>
      <c r="Q649" t="n">
        <v>0</v>
      </c>
      <c r="R649" s="2" t="inlineStr"/>
    </row>
    <row r="650" ht="15" customHeight="1">
      <c r="A650" t="inlineStr">
        <is>
          <t>A 5016-2024</t>
        </is>
      </c>
      <c r="B650" s="1" t="n">
        <v>45329</v>
      </c>
      <c r="C650" s="1" t="n">
        <v>45922</v>
      </c>
      <c r="D650" t="inlineStr">
        <is>
          <t>SKÅNE LÄN</t>
        </is>
      </c>
      <c r="E650" t="inlineStr">
        <is>
          <t>HÄSSLEHOLM</t>
        </is>
      </c>
      <c r="G650" t="n">
        <v>3.2</v>
      </c>
      <c r="H650" t="n">
        <v>0</v>
      </c>
      <c r="I650" t="n">
        <v>0</v>
      </c>
      <c r="J650" t="n">
        <v>0</v>
      </c>
      <c r="K650" t="n">
        <v>0</v>
      </c>
      <c r="L650" t="n">
        <v>0</v>
      </c>
      <c r="M650" t="n">
        <v>0</v>
      </c>
      <c r="N650" t="n">
        <v>0</v>
      </c>
      <c r="O650" t="n">
        <v>0</v>
      </c>
      <c r="P650" t="n">
        <v>0</v>
      </c>
      <c r="Q650" t="n">
        <v>0</v>
      </c>
      <c r="R650" s="2" t="inlineStr"/>
    </row>
    <row r="651" ht="15" customHeight="1">
      <c r="A651" t="inlineStr">
        <is>
          <t>A 11603-2025</t>
        </is>
      </c>
      <c r="B651" s="1" t="n">
        <v>45727</v>
      </c>
      <c r="C651" s="1" t="n">
        <v>45922</v>
      </c>
      <c r="D651" t="inlineStr">
        <is>
          <t>SKÅNE LÄN</t>
        </is>
      </c>
      <c r="E651" t="inlineStr">
        <is>
          <t>HÄSSLEHOLM</t>
        </is>
      </c>
      <c r="G651" t="n">
        <v>5.6</v>
      </c>
      <c r="H651" t="n">
        <v>0</v>
      </c>
      <c r="I651" t="n">
        <v>0</v>
      </c>
      <c r="J651" t="n">
        <v>0</v>
      </c>
      <c r="K651" t="n">
        <v>0</v>
      </c>
      <c r="L651" t="n">
        <v>0</v>
      </c>
      <c r="M651" t="n">
        <v>0</v>
      </c>
      <c r="N651" t="n">
        <v>0</v>
      </c>
      <c r="O651" t="n">
        <v>0</v>
      </c>
      <c r="P651" t="n">
        <v>0</v>
      </c>
      <c r="Q651" t="n">
        <v>0</v>
      </c>
      <c r="R651" s="2" t="inlineStr"/>
    </row>
    <row r="652" ht="15" customHeight="1">
      <c r="A652" t="inlineStr">
        <is>
          <t>A 15055-2023</t>
        </is>
      </c>
      <c r="B652" s="1" t="n">
        <v>45015</v>
      </c>
      <c r="C652" s="1" t="n">
        <v>45922</v>
      </c>
      <c r="D652" t="inlineStr">
        <is>
          <t>SKÅNE LÄN</t>
        </is>
      </c>
      <c r="E652" t="inlineStr">
        <is>
          <t>HÄSSLEHOLM</t>
        </is>
      </c>
      <c r="G652" t="n">
        <v>1.9</v>
      </c>
      <c r="H652" t="n">
        <v>0</v>
      </c>
      <c r="I652" t="n">
        <v>0</v>
      </c>
      <c r="J652" t="n">
        <v>0</v>
      </c>
      <c r="K652" t="n">
        <v>0</v>
      </c>
      <c r="L652" t="n">
        <v>0</v>
      </c>
      <c r="M652" t="n">
        <v>0</v>
      </c>
      <c r="N652" t="n">
        <v>0</v>
      </c>
      <c r="O652" t="n">
        <v>0</v>
      </c>
      <c r="P652" t="n">
        <v>0</v>
      </c>
      <c r="Q652" t="n">
        <v>0</v>
      </c>
      <c r="R652" s="2" t="inlineStr"/>
    </row>
    <row r="653" ht="15" customHeight="1">
      <c r="A653" t="inlineStr">
        <is>
          <t>A 54374-2020</t>
        </is>
      </c>
      <c r="B653" s="1" t="n">
        <v>44126</v>
      </c>
      <c r="C653" s="1" t="n">
        <v>45922</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47840-2023</t>
        </is>
      </c>
      <c r="B654" s="1" t="n">
        <v>45204</v>
      </c>
      <c r="C654" s="1" t="n">
        <v>45922</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25206-2023</t>
        </is>
      </c>
      <c r="B655" s="1" t="n">
        <v>45086.59318287037</v>
      </c>
      <c r="C655" s="1" t="n">
        <v>45922</v>
      </c>
      <c r="D655" t="inlineStr">
        <is>
          <t>SKÅNE LÄN</t>
        </is>
      </c>
      <c r="E655" t="inlineStr">
        <is>
          <t>HÄSSLEHOLM</t>
        </is>
      </c>
      <c r="G655" t="n">
        <v>2.9</v>
      </c>
      <c r="H655" t="n">
        <v>0</v>
      </c>
      <c r="I655" t="n">
        <v>0</v>
      </c>
      <c r="J655" t="n">
        <v>0</v>
      </c>
      <c r="K655" t="n">
        <v>0</v>
      </c>
      <c r="L655" t="n">
        <v>0</v>
      </c>
      <c r="M655" t="n">
        <v>0</v>
      </c>
      <c r="N655" t="n">
        <v>0</v>
      </c>
      <c r="O655" t="n">
        <v>0</v>
      </c>
      <c r="P655" t="n">
        <v>0</v>
      </c>
      <c r="Q655" t="n">
        <v>0</v>
      </c>
      <c r="R655" s="2" t="inlineStr"/>
    </row>
    <row r="656" ht="15" customHeight="1">
      <c r="A656" t="inlineStr">
        <is>
          <t>A 25221-2023</t>
        </is>
      </c>
      <c r="B656" s="1" t="n">
        <v>45086.60842592592</v>
      </c>
      <c r="C656" s="1" t="n">
        <v>45922</v>
      </c>
      <c r="D656" t="inlineStr">
        <is>
          <t>SKÅNE LÄN</t>
        </is>
      </c>
      <c r="E656" t="inlineStr">
        <is>
          <t>HÄSSLEHOLM</t>
        </is>
      </c>
      <c r="G656" t="n">
        <v>2.5</v>
      </c>
      <c r="H656" t="n">
        <v>0</v>
      </c>
      <c r="I656" t="n">
        <v>0</v>
      </c>
      <c r="J656" t="n">
        <v>0</v>
      </c>
      <c r="K656" t="n">
        <v>0</v>
      </c>
      <c r="L656" t="n">
        <v>0</v>
      </c>
      <c r="M656" t="n">
        <v>0</v>
      </c>
      <c r="N656" t="n">
        <v>0</v>
      </c>
      <c r="O656" t="n">
        <v>0</v>
      </c>
      <c r="P656" t="n">
        <v>0</v>
      </c>
      <c r="Q656" t="n">
        <v>0</v>
      </c>
      <c r="R656" s="2" t="inlineStr"/>
    </row>
    <row r="657" ht="15" customHeight="1">
      <c r="A657" t="inlineStr">
        <is>
          <t>A 57272-2023</t>
        </is>
      </c>
      <c r="B657" s="1" t="n">
        <v>45245</v>
      </c>
      <c r="C657" s="1" t="n">
        <v>45922</v>
      </c>
      <c r="D657" t="inlineStr">
        <is>
          <t>SKÅNE LÄN</t>
        </is>
      </c>
      <c r="E657" t="inlineStr">
        <is>
          <t>HÄSSLEHOLM</t>
        </is>
      </c>
      <c r="G657" t="n">
        <v>2.3</v>
      </c>
      <c r="H657" t="n">
        <v>0</v>
      </c>
      <c r="I657" t="n">
        <v>0</v>
      </c>
      <c r="J657" t="n">
        <v>0</v>
      </c>
      <c r="K657" t="n">
        <v>0</v>
      </c>
      <c r="L657" t="n">
        <v>0</v>
      </c>
      <c r="M657" t="n">
        <v>0</v>
      </c>
      <c r="N657" t="n">
        <v>0</v>
      </c>
      <c r="O657" t="n">
        <v>0</v>
      </c>
      <c r="P657" t="n">
        <v>0</v>
      </c>
      <c r="Q657" t="n">
        <v>0</v>
      </c>
      <c r="R657" s="2" t="inlineStr"/>
    </row>
    <row r="658" ht="15" customHeight="1">
      <c r="A658" t="inlineStr">
        <is>
          <t>A 34187-2023</t>
        </is>
      </c>
      <c r="B658" s="1" t="n">
        <v>45138</v>
      </c>
      <c r="C658" s="1" t="n">
        <v>45922</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62277-2023</t>
        </is>
      </c>
      <c r="B659" s="1" t="n">
        <v>45266</v>
      </c>
      <c r="C659" s="1" t="n">
        <v>45922</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13856-2025</t>
        </is>
      </c>
      <c r="B660" s="1" t="n">
        <v>45737.57289351852</v>
      </c>
      <c r="C660" s="1" t="n">
        <v>45922</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9239-2025</t>
        </is>
      </c>
      <c r="B661" s="1" t="n">
        <v>45714</v>
      </c>
      <c r="C661" s="1" t="n">
        <v>45922</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34369-2023</t>
        </is>
      </c>
      <c r="B662" s="1" t="n">
        <v>45139.47817129629</v>
      </c>
      <c r="C662" s="1" t="n">
        <v>45922</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34834-2023</t>
        </is>
      </c>
      <c r="B663" s="1" t="n">
        <v>45141.7199537037</v>
      </c>
      <c r="C663" s="1" t="n">
        <v>45922</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31255-2024</t>
        </is>
      </c>
      <c r="B664" s="1" t="n">
        <v>45503.69114583333</v>
      </c>
      <c r="C664" s="1" t="n">
        <v>45922</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44697-2021</t>
        </is>
      </c>
      <c r="B665" s="1" t="n">
        <v>44438</v>
      </c>
      <c r="C665" s="1" t="n">
        <v>45922</v>
      </c>
      <c r="D665" t="inlineStr">
        <is>
          <t>SKÅNE LÄN</t>
        </is>
      </c>
      <c r="E665" t="inlineStr">
        <is>
          <t>HÄSSLEHOLM</t>
        </is>
      </c>
      <c r="G665" t="n">
        <v>4.8</v>
      </c>
      <c r="H665" t="n">
        <v>0</v>
      </c>
      <c r="I665" t="n">
        <v>0</v>
      </c>
      <c r="J665" t="n">
        <v>0</v>
      </c>
      <c r="K665" t="n">
        <v>0</v>
      </c>
      <c r="L665" t="n">
        <v>0</v>
      </c>
      <c r="M665" t="n">
        <v>0</v>
      </c>
      <c r="N665" t="n">
        <v>0</v>
      </c>
      <c r="O665" t="n">
        <v>0</v>
      </c>
      <c r="P665" t="n">
        <v>0</v>
      </c>
      <c r="Q665" t="n">
        <v>0</v>
      </c>
      <c r="R665" s="2" t="inlineStr"/>
    </row>
    <row r="666" ht="15" customHeight="1">
      <c r="A666" t="inlineStr">
        <is>
          <t>A 8433-2024</t>
        </is>
      </c>
      <c r="B666" s="1" t="n">
        <v>45353.48434027778</v>
      </c>
      <c r="C666" s="1" t="n">
        <v>45922</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48807-2021</t>
        </is>
      </c>
      <c r="B667" s="1" t="n">
        <v>44452</v>
      </c>
      <c r="C667" s="1" t="n">
        <v>45922</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28457-2024</t>
        </is>
      </c>
      <c r="B668" s="1" t="n">
        <v>45477.68884259259</v>
      </c>
      <c r="C668" s="1" t="n">
        <v>45922</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48627-2023</t>
        </is>
      </c>
      <c r="B669" s="1" t="n">
        <v>45208.57371527778</v>
      </c>
      <c r="C669" s="1" t="n">
        <v>45922</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29649-2025</t>
        </is>
      </c>
      <c r="B670" s="1" t="n">
        <v>45825.47446759259</v>
      </c>
      <c r="C670" s="1" t="n">
        <v>45922</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11607-2025</t>
        </is>
      </c>
      <c r="B671" s="1" t="n">
        <v>45727</v>
      </c>
      <c r="C671" s="1" t="n">
        <v>45922</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54359-2020</t>
        </is>
      </c>
      <c r="B672" s="1" t="n">
        <v>44126</v>
      </c>
      <c r="C672" s="1" t="n">
        <v>45922</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720-2025</t>
        </is>
      </c>
      <c r="B673" s="1" t="n">
        <v>45665.3744212963</v>
      </c>
      <c r="C673" s="1" t="n">
        <v>45922</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48889-2024</t>
        </is>
      </c>
      <c r="B674" s="1" t="n">
        <v>45594.33754629629</v>
      </c>
      <c r="C674" s="1" t="n">
        <v>45922</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13309-2025</t>
        </is>
      </c>
      <c r="B675" s="1" t="n">
        <v>45735.58512731481</v>
      </c>
      <c r="C675" s="1" t="n">
        <v>45922</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8263-2025</t>
        </is>
      </c>
      <c r="B676" s="1" t="n">
        <v>45708.50398148148</v>
      </c>
      <c r="C676" s="1" t="n">
        <v>45922</v>
      </c>
      <c r="D676" t="inlineStr">
        <is>
          <t>SKÅNE LÄN</t>
        </is>
      </c>
      <c r="E676" t="inlineStr">
        <is>
          <t>HÄSSLEHOLM</t>
        </is>
      </c>
      <c r="G676" t="n">
        <v>2.9</v>
      </c>
      <c r="H676" t="n">
        <v>0</v>
      </c>
      <c r="I676" t="n">
        <v>0</v>
      </c>
      <c r="J676" t="n">
        <v>0</v>
      </c>
      <c r="K676" t="n">
        <v>0</v>
      </c>
      <c r="L676" t="n">
        <v>0</v>
      </c>
      <c r="M676" t="n">
        <v>0</v>
      </c>
      <c r="N676" t="n">
        <v>0</v>
      </c>
      <c r="O676" t="n">
        <v>0</v>
      </c>
      <c r="P676" t="n">
        <v>0</v>
      </c>
      <c r="Q676" t="n">
        <v>0</v>
      </c>
      <c r="R676" s="2" t="inlineStr"/>
    </row>
    <row r="677" ht="15" customHeight="1">
      <c r="A677" t="inlineStr">
        <is>
          <t>A 51752-2023</t>
        </is>
      </c>
      <c r="B677" s="1" t="n">
        <v>45222</v>
      </c>
      <c r="C677" s="1" t="n">
        <v>45922</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29275-2023</t>
        </is>
      </c>
      <c r="B678" s="1" t="n">
        <v>45105</v>
      </c>
      <c r="C678" s="1" t="n">
        <v>45922</v>
      </c>
      <c r="D678" t="inlineStr">
        <is>
          <t>SKÅNE LÄN</t>
        </is>
      </c>
      <c r="E678" t="inlineStr">
        <is>
          <t>HÄSSLEHOLM</t>
        </is>
      </c>
      <c r="G678" t="n">
        <v>2.1</v>
      </c>
      <c r="H678" t="n">
        <v>0</v>
      </c>
      <c r="I678" t="n">
        <v>0</v>
      </c>
      <c r="J678" t="n">
        <v>0</v>
      </c>
      <c r="K678" t="n">
        <v>0</v>
      </c>
      <c r="L678" t="n">
        <v>0</v>
      </c>
      <c r="M678" t="n">
        <v>0</v>
      </c>
      <c r="N678" t="n">
        <v>0</v>
      </c>
      <c r="O678" t="n">
        <v>0</v>
      </c>
      <c r="P678" t="n">
        <v>0</v>
      </c>
      <c r="Q678" t="n">
        <v>0</v>
      </c>
      <c r="R678" s="2" t="inlineStr"/>
    </row>
    <row r="679" ht="15" customHeight="1">
      <c r="A679" t="inlineStr">
        <is>
          <t>A 12182-2025</t>
        </is>
      </c>
      <c r="B679" s="1" t="n">
        <v>45729</v>
      </c>
      <c r="C679" s="1" t="n">
        <v>45922</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13018-2024</t>
        </is>
      </c>
      <c r="B680" s="1" t="n">
        <v>45385.58274305556</v>
      </c>
      <c r="C680" s="1" t="n">
        <v>45922</v>
      </c>
      <c r="D680" t="inlineStr">
        <is>
          <t>SKÅNE LÄN</t>
        </is>
      </c>
      <c r="E680" t="inlineStr">
        <is>
          <t>HÄSSLEHOLM</t>
        </is>
      </c>
      <c r="G680" t="n">
        <v>4.8</v>
      </c>
      <c r="H680" t="n">
        <v>0</v>
      </c>
      <c r="I680" t="n">
        <v>0</v>
      </c>
      <c r="J680" t="n">
        <v>0</v>
      </c>
      <c r="K680" t="n">
        <v>0</v>
      </c>
      <c r="L680" t="n">
        <v>0</v>
      </c>
      <c r="M680" t="n">
        <v>0</v>
      </c>
      <c r="N680" t="n">
        <v>0</v>
      </c>
      <c r="O680" t="n">
        <v>0</v>
      </c>
      <c r="P680" t="n">
        <v>0</v>
      </c>
      <c r="Q680" t="n">
        <v>0</v>
      </c>
      <c r="R680" s="2" t="inlineStr"/>
    </row>
    <row r="681" ht="15" customHeight="1">
      <c r="A681" t="inlineStr">
        <is>
          <t>A 32834-2024</t>
        </is>
      </c>
      <c r="B681" s="1" t="n">
        <v>45516.6025</v>
      </c>
      <c r="C681" s="1" t="n">
        <v>45922</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9397-2025</t>
        </is>
      </c>
      <c r="B682" s="1" t="n">
        <v>45715.37361111111</v>
      </c>
      <c r="C682" s="1" t="n">
        <v>45922</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59109-2023</t>
        </is>
      </c>
      <c r="B683" s="1" t="n">
        <v>45253.30819444444</v>
      </c>
      <c r="C683" s="1" t="n">
        <v>45922</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49384-2021</t>
        </is>
      </c>
      <c r="B684" s="1" t="n">
        <v>44454</v>
      </c>
      <c r="C684" s="1" t="n">
        <v>45922</v>
      </c>
      <c r="D684" t="inlineStr">
        <is>
          <t>SKÅNE LÄN</t>
        </is>
      </c>
      <c r="E684" t="inlineStr">
        <is>
          <t>HÄSSLEHOLM</t>
        </is>
      </c>
      <c r="G684" t="n">
        <v>2.6</v>
      </c>
      <c r="H684" t="n">
        <v>0</v>
      </c>
      <c r="I684" t="n">
        <v>0</v>
      </c>
      <c r="J684" t="n">
        <v>0</v>
      </c>
      <c r="K684" t="n">
        <v>0</v>
      </c>
      <c r="L684" t="n">
        <v>0</v>
      </c>
      <c r="M684" t="n">
        <v>0</v>
      </c>
      <c r="N684" t="n">
        <v>0</v>
      </c>
      <c r="O684" t="n">
        <v>0</v>
      </c>
      <c r="P684" t="n">
        <v>0</v>
      </c>
      <c r="Q684" t="n">
        <v>0</v>
      </c>
      <c r="R684" s="2" t="inlineStr"/>
    </row>
    <row r="685" ht="15" customHeight="1">
      <c r="A685" t="inlineStr">
        <is>
          <t>A 54462-2022</t>
        </is>
      </c>
      <c r="B685" s="1" t="n">
        <v>44882</v>
      </c>
      <c r="C685" s="1" t="n">
        <v>45922</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25611-2024</t>
        </is>
      </c>
      <c r="B686" s="1" t="n">
        <v>45463</v>
      </c>
      <c r="C686" s="1" t="n">
        <v>45922</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32585-2025</t>
        </is>
      </c>
      <c r="B687" s="1" t="n">
        <v>45838.60021990741</v>
      </c>
      <c r="C687" s="1" t="n">
        <v>45922</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32592-2025</t>
        </is>
      </c>
      <c r="B688" s="1" t="n">
        <v>45838.61020833333</v>
      </c>
      <c r="C688" s="1" t="n">
        <v>45922</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7094-2023</t>
        </is>
      </c>
      <c r="B689" s="1" t="n">
        <v>44970.36958333333</v>
      </c>
      <c r="C689" s="1" t="n">
        <v>45922</v>
      </c>
      <c r="D689" t="inlineStr">
        <is>
          <t>SKÅNE LÄN</t>
        </is>
      </c>
      <c r="E689" t="inlineStr">
        <is>
          <t>HÄSSLEHOLM</t>
        </is>
      </c>
      <c r="G689" t="n">
        <v>3.6</v>
      </c>
      <c r="H689" t="n">
        <v>0</v>
      </c>
      <c r="I689" t="n">
        <v>0</v>
      </c>
      <c r="J689" t="n">
        <v>0</v>
      </c>
      <c r="K689" t="n">
        <v>0</v>
      </c>
      <c r="L689" t="n">
        <v>0</v>
      </c>
      <c r="M689" t="n">
        <v>0</v>
      </c>
      <c r="N689" t="n">
        <v>0</v>
      </c>
      <c r="O689" t="n">
        <v>0</v>
      </c>
      <c r="P689" t="n">
        <v>0</v>
      </c>
      <c r="Q689" t="n">
        <v>0</v>
      </c>
      <c r="R689" s="2" t="inlineStr"/>
    </row>
    <row r="690" ht="15" customHeight="1">
      <c r="A690" t="inlineStr">
        <is>
          <t>A 22595-2024</t>
        </is>
      </c>
      <c r="B690" s="1" t="n">
        <v>45447.61053240741</v>
      </c>
      <c r="C690" s="1" t="n">
        <v>45922</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32100-2024</t>
        </is>
      </c>
      <c r="B691" s="1" t="n">
        <v>45511.41451388889</v>
      </c>
      <c r="C691" s="1" t="n">
        <v>45922</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10220-2023</t>
        </is>
      </c>
      <c r="B692" s="1" t="n">
        <v>44986.60916666667</v>
      </c>
      <c r="C692" s="1" t="n">
        <v>45922</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35810-2023</t>
        </is>
      </c>
      <c r="B693" s="1" t="n">
        <v>45148.44046296296</v>
      </c>
      <c r="C693" s="1" t="n">
        <v>45922</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11260-2021</t>
        </is>
      </c>
      <c r="B694" s="1" t="n">
        <v>44263</v>
      </c>
      <c r="C694" s="1" t="n">
        <v>45922</v>
      </c>
      <c r="D694" t="inlineStr">
        <is>
          <t>SKÅNE LÄN</t>
        </is>
      </c>
      <c r="E694" t="inlineStr">
        <is>
          <t>HÄSSLEHOLM</t>
        </is>
      </c>
      <c r="G694" t="n">
        <v>5.4</v>
      </c>
      <c r="H694" t="n">
        <v>0</v>
      </c>
      <c r="I694" t="n">
        <v>0</v>
      </c>
      <c r="J694" t="n">
        <v>0</v>
      </c>
      <c r="K694" t="n">
        <v>0</v>
      </c>
      <c r="L694" t="n">
        <v>0</v>
      </c>
      <c r="M694" t="n">
        <v>0</v>
      </c>
      <c r="N694" t="n">
        <v>0</v>
      </c>
      <c r="O694" t="n">
        <v>0</v>
      </c>
      <c r="P694" t="n">
        <v>0</v>
      </c>
      <c r="Q694" t="n">
        <v>0</v>
      </c>
      <c r="R694" s="2" t="inlineStr"/>
    </row>
    <row r="695" ht="15" customHeight="1">
      <c r="A695" t="inlineStr">
        <is>
          <t>A 35833-2023</t>
        </is>
      </c>
      <c r="B695" s="1" t="n">
        <v>45148</v>
      </c>
      <c r="C695" s="1" t="n">
        <v>45922</v>
      </c>
      <c r="D695" t="inlineStr">
        <is>
          <t>SKÅNE LÄN</t>
        </is>
      </c>
      <c r="E695" t="inlineStr">
        <is>
          <t>HÄSSLEHOLM</t>
        </is>
      </c>
      <c r="F695" t="inlineStr">
        <is>
          <t>Kommuner</t>
        </is>
      </c>
      <c r="G695" t="n">
        <v>2</v>
      </c>
      <c r="H695" t="n">
        <v>0</v>
      </c>
      <c r="I695" t="n">
        <v>0</v>
      </c>
      <c r="J695" t="n">
        <v>0</v>
      </c>
      <c r="K695" t="n">
        <v>0</v>
      </c>
      <c r="L695" t="n">
        <v>0</v>
      </c>
      <c r="M695" t="n">
        <v>0</v>
      </c>
      <c r="N695" t="n">
        <v>0</v>
      </c>
      <c r="O695" t="n">
        <v>0</v>
      </c>
      <c r="P695" t="n">
        <v>0</v>
      </c>
      <c r="Q695" t="n">
        <v>0</v>
      </c>
      <c r="R695" s="2" t="inlineStr"/>
    </row>
    <row r="696" ht="15" customHeight="1">
      <c r="A696" t="inlineStr">
        <is>
          <t>A 59556-2023</t>
        </is>
      </c>
      <c r="B696" s="1" t="n">
        <v>45254.56313657408</v>
      </c>
      <c r="C696" s="1" t="n">
        <v>45922</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60848-2022</t>
        </is>
      </c>
      <c r="B697" s="1" t="n">
        <v>44914</v>
      </c>
      <c r="C697" s="1" t="n">
        <v>45922</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60704-2023</t>
        </is>
      </c>
      <c r="B698" s="1" t="n">
        <v>45260.51340277777</v>
      </c>
      <c r="C698" s="1" t="n">
        <v>45922</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53077-2022</t>
        </is>
      </c>
      <c r="B699" s="1" t="n">
        <v>44873</v>
      </c>
      <c r="C699" s="1" t="n">
        <v>45922</v>
      </c>
      <c r="D699" t="inlineStr">
        <is>
          <t>SKÅNE LÄN</t>
        </is>
      </c>
      <c r="E699" t="inlineStr">
        <is>
          <t>HÄSSLEHOLM</t>
        </is>
      </c>
      <c r="G699" t="n">
        <v>3</v>
      </c>
      <c r="H699" t="n">
        <v>0</v>
      </c>
      <c r="I699" t="n">
        <v>0</v>
      </c>
      <c r="J699" t="n">
        <v>0</v>
      </c>
      <c r="K699" t="n">
        <v>0</v>
      </c>
      <c r="L699" t="n">
        <v>0</v>
      </c>
      <c r="M699" t="n">
        <v>0</v>
      </c>
      <c r="N699" t="n">
        <v>0</v>
      </c>
      <c r="O699" t="n">
        <v>0</v>
      </c>
      <c r="P699" t="n">
        <v>0</v>
      </c>
      <c r="Q699" t="n">
        <v>0</v>
      </c>
      <c r="R699" s="2" t="inlineStr"/>
    </row>
    <row r="700" ht="15" customHeight="1">
      <c r="A700" t="inlineStr">
        <is>
          <t>A 6164-2023</t>
        </is>
      </c>
      <c r="B700" s="1" t="n">
        <v>44964.66871527778</v>
      </c>
      <c r="C700" s="1" t="n">
        <v>45922</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33562-2025</t>
        </is>
      </c>
      <c r="B701" s="1" t="n">
        <v>45841.57803240741</v>
      </c>
      <c r="C701" s="1" t="n">
        <v>45922</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20279-2025</t>
        </is>
      </c>
      <c r="B702" s="1" t="n">
        <v>45774.38643518519</v>
      </c>
      <c r="C702" s="1" t="n">
        <v>45922</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59431-2023</t>
        </is>
      </c>
      <c r="B703" s="1" t="n">
        <v>45254.29207175926</v>
      </c>
      <c r="C703" s="1" t="n">
        <v>45922</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59433-2023</t>
        </is>
      </c>
      <c r="B704" s="1" t="n">
        <v>45254.29768518519</v>
      </c>
      <c r="C704" s="1" t="n">
        <v>45922</v>
      </c>
      <c r="D704" t="inlineStr">
        <is>
          <t>SKÅNE LÄN</t>
        </is>
      </c>
      <c r="E704" t="inlineStr">
        <is>
          <t>HÄSSLEHOLM</t>
        </is>
      </c>
      <c r="G704" t="n">
        <v>3.1</v>
      </c>
      <c r="H704" t="n">
        <v>0</v>
      </c>
      <c r="I704" t="n">
        <v>0</v>
      </c>
      <c r="J704" t="n">
        <v>0</v>
      </c>
      <c r="K704" t="n">
        <v>0</v>
      </c>
      <c r="L704" t="n">
        <v>0</v>
      </c>
      <c r="M704" t="n">
        <v>0</v>
      </c>
      <c r="N704" t="n">
        <v>0</v>
      </c>
      <c r="O704" t="n">
        <v>0</v>
      </c>
      <c r="P704" t="n">
        <v>0</v>
      </c>
      <c r="Q704" t="n">
        <v>0</v>
      </c>
      <c r="R704" s="2" t="inlineStr"/>
    </row>
    <row r="705" ht="15" customHeight="1">
      <c r="A705" t="inlineStr">
        <is>
          <t>A 32981-2025</t>
        </is>
      </c>
      <c r="B705" s="1" t="n">
        <v>45839.86820601852</v>
      </c>
      <c r="C705" s="1" t="n">
        <v>45922</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19744-2023</t>
        </is>
      </c>
      <c r="B706" s="1" t="n">
        <v>45051</v>
      </c>
      <c r="C706" s="1" t="n">
        <v>45922</v>
      </c>
      <c r="D706" t="inlineStr">
        <is>
          <t>SKÅNE LÄN</t>
        </is>
      </c>
      <c r="E706" t="inlineStr">
        <is>
          <t>HÄSSLEHOLM</t>
        </is>
      </c>
      <c r="G706" t="n">
        <v>0.4</v>
      </c>
      <c r="H706" t="n">
        <v>0</v>
      </c>
      <c r="I706" t="n">
        <v>0</v>
      </c>
      <c r="J706" t="n">
        <v>0</v>
      </c>
      <c r="K706" t="n">
        <v>0</v>
      </c>
      <c r="L706" t="n">
        <v>0</v>
      </c>
      <c r="M706" t="n">
        <v>0</v>
      </c>
      <c r="N706" t="n">
        <v>0</v>
      </c>
      <c r="O706" t="n">
        <v>0</v>
      </c>
      <c r="P706" t="n">
        <v>0</v>
      </c>
      <c r="Q706" t="n">
        <v>0</v>
      </c>
      <c r="R706" s="2" t="inlineStr"/>
    </row>
    <row r="707" ht="15" customHeight="1">
      <c r="A707" t="inlineStr">
        <is>
          <t>A 14655-2025</t>
        </is>
      </c>
      <c r="B707" s="1" t="n">
        <v>45742.5072337963</v>
      </c>
      <c r="C707" s="1" t="n">
        <v>45922</v>
      </c>
      <c r="D707" t="inlineStr">
        <is>
          <t>SKÅNE LÄN</t>
        </is>
      </c>
      <c r="E707" t="inlineStr">
        <is>
          <t>HÄSSLEHOLM</t>
        </is>
      </c>
      <c r="G707" t="n">
        <v>4.5</v>
      </c>
      <c r="H707" t="n">
        <v>0</v>
      </c>
      <c r="I707" t="n">
        <v>0</v>
      </c>
      <c r="J707" t="n">
        <v>0</v>
      </c>
      <c r="K707" t="n">
        <v>0</v>
      </c>
      <c r="L707" t="n">
        <v>0</v>
      </c>
      <c r="M707" t="n">
        <v>0</v>
      </c>
      <c r="N707" t="n">
        <v>0</v>
      </c>
      <c r="O707" t="n">
        <v>0</v>
      </c>
      <c r="P707" t="n">
        <v>0</v>
      </c>
      <c r="Q707" t="n">
        <v>0</v>
      </c>
      <c r="R707" s="2" t="inlineStr"/>
    </row>
    <row r="708" ht="15" customHeight="1">
      <c r="A708" t="inlineStr">
        <is>
          <t>A 14926-2024</t>
        </is>
      </c>
      <c r="B708" s="1" t="n">
        <v>45398</v>
      </c>
      <c r="C708" s="1" t="n">
        <v>45922</v>
      </c>
      <c r="D708" t="inlineStr">
        <is>
          <t>SKÅNE LÄN</t>
        </is>
      </c>
      <c r="E708" t="inlineStr">
        <is>
          <t>HÄSSLEHOLM</t>
        </is>
      </c>
      <c r="G708" t="n">
        <v>3.4</v>
      </c>
      <c r="H708" t="n">
        <v>0</v>
      </c>
      <c r="I708" t="n">
        <v>0</v>
      </c>
      <c r="J708" t="n">
        <v>0</v>
      </c>
      <c r="K708" t="n">
        <v>0</v>
      </c>
      <c r="L708" t="n">
        <v>0</v>
      </c>
      <c r="M708" t="n">
        <v>0</v>
      </c>
      <c r="N708" t="n">
        <v>0</v>
      </c>
      <c r="O708" t="n">
        <v>0</v>
      </c>
      <c r="P708" t="n">
        <v>0</v>
      </c>
      <c r="Q708" t="n">
        <v>0</v>
      </c>
      <c r="R708" s="2" t="inlineStr"/>
    </row>
    <row r="709" ht="15" customHeight="1">
      <c r="A709" t="inlineStr">
        <is>
          <t>A 60843-2022</t>
        </is>
      </c>
      <c r="B709" s="1" t="n">
        <v>44914</v>
      </c>
      <c r="C709" s="1" t="n">
        <v>45922</v>
      </c>
      <c r="D709" t="inlineStr">
        <is>
          <t>SKÅNE LÄN</t>
        </is>
      </c>
      <c r="E709" t="inlineStr">
        <is>
          <t>HÄSSLEHOLM</t>
        </is>
      </c>
      <c r="G709" t="n">
        <v>2.2</v>
      </c>
      <c r="H709" t="n">
        <v>0</v>
      </c>
      <c r="I709" t="n">
        <v>0</v>
      </c>
      <c r="J709" t="n">
        <v>0</v>
      </c>
      <c r="K709" t="n">
        <v>0</v>
      </c>
      <c r="L709" t="n">
        <v>0</v>
      </c>
      <c r="M709" t="n">
        <v>0</v>
      </c>
      <c r="N709" t="n">
        <v>0</v>
      </c>
      <c r="O709" t="n">
        <v>0</v>
      </c>
      <c r="P709" t="n">
        <v>0</v>
      </c>
      <c r="Q709" t="n">
        <v>0</v>
      </c>
      <c r="R709" s="2" t="inlineStr"/>
    </row>
    <row r="710" ht="15" customHeight="1">
      <c r="A710" t="inlineStr">
        <is>
          <t>A 61504-2022</t>
        </is>
      </c>
      <c r="B710" s="1" t="n">
        <v>44910</v>
      </c>
      <c r="C710" s="1" t="n">
        <v>45922</v>
      </c>
      <c r="D710" t="inlineStr">
        <is>
          <t>SKÅNE LÄN</t>
        </is>
      </c>
      <c r="E710" t="inlineStr">
        <is>
          <t>HÄSSLEHOLM</t>
        </is>
      </c>
      <c r="F710" t="inlineStr">
        <is>
          <t>Kyrkan</t>
        </is>
      </c>
      <c r="G710" t="n">
        <v>2.9</v>
      </c>
      <c r="H710" t="n">
        <v>0</v>
      </c>
      <c r="I710" t="n">
        <v>0</v>
      </c>
      <c r="J710" t="n">
        <v>0</v>
      </c>
      <c r="K710" t="n">
        <v>0</v>
      </c>
      <c r="L710" t="n">
        <v>0</v>
      </c>
      <c r="M710" t="n">
        <v>0</v>
      </c>
      <c r="N710" t="n">
        <v>0</v>
      </c>
      <c r="O710" t="n">
        <v>0</v>
      </c>
      <c r="P710" t="n">
        <v>0</v>
      </c>
      <c r="Q710" t="n">
        <v>0</v>
      </c>
      <c r="R710" s="2" t="inlineStr"/>
    </row>
    <row r="711" ht="15" customHeight="1">
      <c r="A711" t="inlineStr">
        <is>
          <t>A 5476-2021</t>
        </is>
      </c>
      <c r="B711" s="1" t="n">
        <v>44230</v>
      </c>
      <c r="C711" s="1" t="n">
        <v>45922</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45392-2024</t>
        </is>
      </c>
      <c r="B712" s="1" t="n">
        <v>45576.55008101852</v>
      </c>
      <c r="C712" s="1" t="n">
        <v>45922</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69109-2020</t>
        </is>
      </c>
      <c r="B713" s="1" t="n">
        <v>44188</v>
      </c>
      <c r="C713" s="1" t="n">
        <v>45922</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6122-2021</t>
        </is>
      </c>
      <c r="B714" s="1" t="n">
        <v>44232.55091435185</v>
      </c>
      <c r="C714" s="1" t="n">
        <v>45922</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16454-2023</t>
        </is>
      </c>
      <c r="B715" s="1" t="n">
        <v>45029.48425925926</v>
      </c>
      <c r="C715" s="1" t="n">
        <v>45922</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19739-2023</t>
        </is>
      </c>
      <c r="B716" s="1" t="n">
        <v>45051</v>
      </c>
      <c r="C716" s="1" t="n">
        <v>45922</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17335-2024</t>
        </is>
      </c>
      <c r="B717" s="1" t="n">
        <v>45414.5687962963</v>
      </c>
      <c r="C717" s="1" t="n">
        <v>45922</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52968-2022</t>
        </is>
      </c>
      <c r="B718" s="1" t="n">
        <v>44875</v>
      </c>
      <c r="C718" s="1" t="n">
        <v>45922</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55416-2021</t>
        </is>
      </c>
      <c r="B719" s="1" t="n">
        <v>44475</v>
      </c>
      <c r="C719" s="1" t="n">
        <v>45922</v>
      </c>
      <c r="D719" t="inlineStr">
        <is>
          <t>SKÅNE LÄN</t>
        </is>
      </c>
      <c r="E719" t="inlineStr">
        <is>
          <t>HÄSSLEHOLM</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4579-2025</t>
        </is>
      </c>
      <c r="B720" s="1" t="n">
        <v>45687.5009375</v>
      </c>
      <c r="C720" s="1" t="n">
        <v>45922</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21141-2024</t>
        </is>
      </c>
      <c r="B721" s="1" t="n">
        <v>45440.39012731481</v>
      </c>
      <c r="C721" s="1" t="n">
        <v>45922</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59763-2022</t>
        </is>
      </c>
      <c r="B722" s="1" t="n">
        <v>44900</v>
      </c>
      <c r="C722" s="1" t="n">
        <v>45922</v>
      </c>
      <c r="D722" t="inlineStr">
        <is>
          <t>SKÅNE LÄN</t>
        </is>
      </c>
      <c r="E722" t="inlineStr">
        <is>
          <t>HÄSSLEHOLM</t>
        </is>
      </c>
      <c r="F722" t="inlineStr">
        <is>
          <t>Övriga Aktiebolag</t>
        </is>
      </c>
      <c r="G722" t="n">
        <v>1.2</v>
      </c>
      <c r="H722" t="n">
        <v>0</v>
      </c>
      <c r="I722" t="n">
        <v>0</v>
      </c>
      <c r="J722" t="n">
        <v>0</v>
      </c>
      <c r="K722" t="n">
        <v>0</v>
      </c>
      <c r="L722" t="n">
        <v>0</v>
      </c>
      <c r="M722" t="n">
        <v>0</v>
      </c>
      <c r="N722" t="n">
        <v>0</v>
      </c>
      <c r="O722" t="n">
        <v>0</v>
      </c>
      <c r="P722" t="n">
        <v>0</v>
      </c>
      <c r="Q722" t="n">
        <v>0</v>
      </c>
      <c r="R722" s="2" t="inlineStr"/>
    </row>
    <row r="723" ht="15" customHeight="1">
      <c r="A723" t="inlineStr">
        <is>
          <t>A 49379-2021</t>
        </is>
      </c>
      <c r="B723" s="1" t="n">
        <v>44454</v>
      </c>
      <c r="C723" s="1" t="n">
        <v>45922</v>
      </c>
      <c r="D723" t="inlineStr">
        <is>
          <t>SKÅNE LÄN</t>
        </is>
      </c>
      <c r="E723" t="inlineStr">
        <is>
          <t>HÄSSLEHOLM</t>
        </is>
      </c>
      <c r="G723" t="n">
        <v>1.4</v>
      </c>
      <c r="H723" t="n">
        <v>0</v>
      </c>
      <c r="I723" t="n">
        <v>0</v>
      </c>
      <c r="J723" t="n">
        <v>0</v>
      </c>
      <c r="K723" t="n">
        <v>0</v>
      </c>
      <c r="L723" t="n">
        <v>0</v>
      </c>
      <c r="M723" t="n">
        <v>0</v>
      </c>
      <c r="N723" t="n">
        <v>0</v>
      </c>
      <c r="O723" t="n">
        <v>0</v>
      </c>
      <c r="P723" t="n">
        <v>0</v>
      </c>
      <c r="Q723" t="n">
        <v>0</v>
      </c>
      <c r="R723" s="2" t="inlineStr"/>
    </row>
    <row r="724" ht="15" customHeight="1">
      <c r="A724" t="inlineStr">
        <is>
          <t>A 24246-2023</t>
        </is>
      </c>
      <c r="B724" s="1" t="n">
        <v>45079</v>
      </c>
      <c r="C724" s="1" t="n">
        <v>45922</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24249-2023</t>
        </is>
      </c>
      <c r="B725" s="1" t="n">
        <v>45079.62466435185</v>
      </c>
      <c r="C725" s="1" t="n">
        <v>45922</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3364-2023</t>
        </is>
      </c>
      <c r="B726" s="1" t="n">
        <v>44949</v>
      </c>
      <c r="C726" s="1" t="n">
        <v>45922</v>
      </c>
      <c r="D726" t="inlineStr">
        <is>
          <t>SKÅNE LÄN</t>
        </is>
      </c>
      <c r="E726" t="inlineStr">
        <is>
          <t>HÄSSLEHOLM</t>
        </is>
      </c>
      <c r="G726" t="n">
        <v>5.1</v>
      </c>
      <c r="H726" t="n">
        <v>0</v>
      </c>
      <c r="I726" t="n">
        <v>0</v>
      </c>
      <c r="J726" t="n">
        <v>0</v>
      </c>
      <c r="K726" t="n">
        <v>0</v>
      </c>
      <c r="L726" t="n">
        <v>0</v>
      </c>
      <c r="M726" t="n">
        <v>0</v>
      </c>
      <c r="N726" t="n">
        <v>0</v>
      </c>
      <c r="O726" t="n">
        <v>0</v>
      </c>
      <c r="P726" t="n">
        <v>0</v>
      </c>
      <c r="Q726" t="n">
        <v>0</v>
      </c>
      <c r="R726" s="2" t="inlineStr"/>
    </row>
    <row r="727" ht="15" customHeight="1">
      <c r="A727" t="inlineStr">
        <is>
          <t>A 36240-2023</t>
        </is>
      </c>
      <c r="B727" s="1" t="n">
        <v>45150.89295138889</v>
      </c>
      <c r="C727" s="1" t="n">
        <v>45922</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52642-2021</t>
        </is>
      </c>
      <c r="B728" s="1" t="n">
        <v>44466.64298611111</v>
      </c>
      <c r="C728" s="1" t="n">
        <v>45922</v>
      </c>
      <c r="D728" t="inlineStr">
        <is>
          <t>SKÅNE LÄN</t>
        </is>
      </c>
      <c r="E728" t="inlineStr">
        <is>
          <t>HÄSSLEHOLM</t>
        </is>
      </c>
      <c r="G728" t="n">
        <v>3.7</v>
      </c>
      <c r="H728" t="n">
        <v>0</v>
      </c>
      <c r="I728" t="n">
        <v>0</v>
      </c>
      <c r="J728" t="n">
        <v>0</v>
      </c>
      <c r="K728" t="n">
        <v>0</v>
      </c>
      <c r="L728" t="n">
        <v>0</v>
      </c>
      <c r="M728" t="n">
        <v>0</v>
      </c>
      <c r="N728" t="n">
        <v>0</v>
      </c>
      <c r="O728" t="n">
        <v>0</v>
      </c>
      <c r="P728" t="n">
        <v>0</v>
      </c>
      <c r="Q728" t="n">
        <v>0</v>
      </c>
      <c r="R728" s="2" t="inlineStr"/>
    </row>
    <row r="729" ht="15" customHeight="1">
      <c r="A729" t="inlineStr">
        <is>
          <t>A 50046-2020</t>
        </is>
      </c>
      <c r="B729" s="1" t="n">
        <v>44109</v>
      </c>
      <c r="C729" s="1" t="n">
        <v>45922</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13851-2025</t>
        </is>
      </c>
      <c r="B730" s="1" t="n">
        <v>45737.56777777777</v>
      </c>
      <c r="C730" s="1" t="n">
        <v>45922</v>
      </c>
      <c r="D730" t="inlineStr">
        <is>
          <t>SKÅNE LÄN</t>
        </is>
      </c>
      <c r="E730" t="inlineStr">
        <is>
          <t>HÄSSLEHOLM</t>
        </is>
      </c>
      <c r="G730" t="n">
        <v>3</v>
      </c>
      <c r="H730" t="n">
        <v>0</v>
      </c>
      <c r="I730" t="n">
        <v>0</v>
      </c>
      <c r="J730" t="n">
        <v>0</v>
      </c>
      <c r="K730" t="n">
        <v>0</v>
      </c>
      <c r="L730" t="n">
        <v>0</v>
      </c>
      <c r="M730" t="n">
        <v>0</v>
      </c>
      <c r="N730" t="n">
        <v>0</v>
      </c>
      <c r="O730" t="n">
        <v>0</v>
      </c>
      <c r="P730" t="n">
        <v>0</v>
      </c>
      <c r="Q730" t="n">
        <v>0</v>
      </c>
      <c r="R730" s="2" t="inlineStr"/>
    </row>
    <row r="731" ht="15" customHeight="1">
      <c r="A731" t="inlineStr">
        <is>
          <t>A 12469-2023</t>
        </is>
      </c>
      <c r="B731" s="1" t="n">
        <v>44999.62109953703</v>
      </c>
      <c r="C731" s="1" t="n">
        <v>45922</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15562-2024</t>
        </is>
      </c>
      <c r="B732" s="1" t="n">
        <v>45401.64975694445</v>
      </c>
      <c r="C732" s="1" t="n">
        <v>45922</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31989-2024</t>
        </is>
      </c>
      <c r="B733" s="1" t="n">
        <v>45510.58085648148</v>
      </c>
      <c r="C733" s="1" t="n">
        <v>45922</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1120-2024</t>
        </is>
      </c>
      <c r="B734" s="1" t="n">
        <v>45302.4452662037</v>
      </c>
      <c r="C734" s="1" t="n">
        <v>45922</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60973-2024</t>
        </is>
      </c>
      <c r="B735" s="1" t="n">
        <v>45644</v>
      </c>
      <c r="C735" s="1" t="n">
        <v>45922</v>
      </c>
      <c r="D735" t="inlineStr">
        <is>
          <t>SKÅNE LÄN</t>
        </is>
      </c>
      <c r="E735" t="inlineStr">
        <is>
          <t>HÄSSLEHOLM</t>
        </is>
      </c>
      <c r="G735" t="n">
        <v>3.6</v>
      </c>
      <c r="H735" t="n">
        <v>0</v>
      </c>
      <c r="I735" t="n">
        <v>0</v>
      </c>
      <c r="J735" t="n">
        <v>0</v>
      </c>
      <c r="K735" t="n">
        <v>0</v>
      </c>
      <c r="L735" t="n">
        <v>0</v>
      </c>
      <c r="M735" t="n">
        <v>0</v>
      </c>
      <c r="N735" t="n">
        <v>0</v>
      </c>
      <c r="O735" t="n">
        <v>0</v>
      </c>
      <c r="P735" t="n">
        <v>0</v>
      </c>
      <c r="Q735" t="n">
        <v>0</v>
      </c>
      <c r="R735" s="2" t="inlineStr"/>
    </row>
    <row r="736" ht="15" customHeight="1">
      <c r="A736" t="inlineStr">
        <is>
          <t>A 45400-2022</t>
        </is>
      </c>
      <c r="B736" s="1" t="n">
        <v>44844.713125</v>
      </c>
      <c r="C736" s="1" t="n">
        <v>45922</v>
      </c>
      <c r="D736" t="inlineStr">
        <is>
          <t>SKÅNE LÄN</t>
        </is>
      </c>
      <c r="E736" t="inlineStr">
        <is>
          <t>HÄSSLEHOLM</t>
        </is>
      </c>
      <c r="G736" t="n">
        <v>1.6</v>
      </c>
      <c r="H736" t="n">
        <v>0</v>
      </c>
      <c r="I736" t="n">
        <v>0</v>
      </c>
      <c r="J736" t="n">
        <v>0</v>
      </c>
      <c r="K736" t="n">
        <v>0</v>
      </c>
      <c r="L736" t="n">
        <v>0</v>
      </c>
      <c r="M736" t="n">
        <v>0</v>
      </c>
      <c r="N736" t="n">
        <v>0</v>
      </c>
      <c r="O736" t="n">
        <v>0</v>
      </c>
      <c r="P736" t="n">
        <v>0</v>
      </c>
      <c r="Q736" t="n">
        <v>0</v>
      </c>
      <c r="R736" s="2" t="inlineStr"/>
    </row>
    <row r="737" ht="15" customHeight="1">
      <c r="A737" t="inlineStr">
        <is>
          <t>A 27478-2023</t>
        </is>
      </c>
      <c r="B737" s="1" t="n">
        <v>45092</v>
      </c>
      <c r="C737" s="1" t="n">
        <v>45922</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37898-2021</t>
        </is>
      </c>
      <c r="B738" s="1" t="n">
        <v>44403</v>
      </c>
      <c r="C738" s="1" t="n">
        <v>45922</v>
      </c>
      <c r="D738" t="inlineStr">
        <is>
          <t>SKÅNE LÄN</t>
        </is>
      </c>
      <c r="E738" t="inlineStr">
        <is>
          <t>HÄSSLEHOLM</t>
        </is>
      </c>
      <c r="F738" t="inlineStr">
        <is>
          <t>Kommuner</t>
        </is>
      </c>
      <c r="G738" t="n">
        <v>8.4</v>
      </c>
      <c r="H738" t="n">
        <v>0</v>
      </c>
      <c r="I738" t="n">
        <v>0</v>
      </c>
      <c r="J738" t="n">
        <v>0</v>
      </c>
      <c r="K738" t="n">
        <v>0</v>
      </c>
      <c r="L738" t="n">
        <v>0</v>
      </c>
      <c r="M738" t="n">
        <v>0</v>
      </c>
      <c r="N738" t="n">
        <v>0</v>
      </c>
      <c r="O738" t="n">
        <v>0</v>
      </c>
      <c r="P738" t="n">
        <v>0</v>
      </c>
      <c r="Q738" t="n">
        <v>0</v>
      </c>
      <c r="R738" s="2" t="inlineStr"/>
    </row>
    <row r="739" ht="15" customHeight="1">
      <c r="A739" t="inlineStr">
        <is>
          <t>A 33875-2025</t>
        </is>
      </c>
      <c r="B739" s="1" t="n">
        <v>45842.55300925926</v>
      </c>
      <c r="C739" s="1" t="n">
        <v>45922</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28071-2023</t>
        </is>
      </c>
      <c r="B740" s="1" t="n">
        <v>45099.37755787037</v>
      </c>
      <c r="C740" s="1" t="n">
        <v>45922</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26641-2023</t>
        </is>
      </c>
      <c r="B741" s="1" t="n">
        <v>45092.89619212963</v>
      </c>
      <c r="C741" s="1" t="n">
        <v>45922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18648-2021</t>
        </is>
      </c>
      <c r="B742" s="1" t="n">
        <v>44306.70583333333</v>
      </c>
      <c r="C742" s="1" t="n">
        <v>45922</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6327-2021</t>
        </is>
      </c>
      <c r="B743" s="1" t="n">
        <v>44235</v>
      </c>
      <c r="C743" s="1" t="n">
        <v>45922</v>
      </c>
      <c r="D743" t="inlineStr">
        <is>
          <t>SKÅNE LÄN</t>
        </is>
      </c>
      <c r="E743" t="inlineStr">
        <is>
          <t>HÄSSLEHOLM</t>
        </is>
      </c>
      <c r="G743" t="n">
        <v>1.6</v>
      </c>
      <c r="H743" t="n">
        <v>0</v>
      </c>
      <c r="I743" t="n">
        <v>0</v>
      </c>
      <c r="J743" t="n">
        <v>0</v>
      </c>
      <c r="K743" t="n">
        <v>0</v>
      </c>
      <c r="L743" t="n">
        <v>0</v>
      </c>
      <c r="M743" t="n">
        <v>0</v>
      </c>
      <c r="N743" t="n">
        <v>0</v>
      </c>
      <c r="O743" t="n">
        <v>0</v>
      </c>
      <c r="P743" t="n">
        <v>0</v>
      </c>
      <c r="Q743" t="n">
        <v>0</v>
      </c>
      <c r="R743" s="2" t="inlineStr"/>
    </row>
    <row r="744" ht="15" customHeight="1">
      <c r="A744" t="inlineStr">
        <is>
          <t>A 23946-2023</t>
        </is>
      </c>
      <c r="B744" s="1" t="n">
        <v>45078.61601851852</v>
      </c>
      <c r="C744" s="1" t="n">
        <v>45922</v>
      </c>
      <c r="D744" t="inlineStr">
        <is>
          <t>SKÅNE LÄN</t>
        </is>
      </c>
      <c r="E744" t="inlineStr">
        <is>
          <t>HÄSSLEHOLM</t>
        </is>
      </c>
      <c r="G744" t="n">
        <v>0.2</v>
      </c>
      <c r="H744" t="n">
        <v>0</v>
      </c>
      <c r="I744" t="n">
        <v>0</v>
      </c>
      <c r="J744" t="n">
        <v>0</v>
      </c>
      <c r="K744" t="n">
        <v>0</v>
      </c>
      <c r="L744" t="n">
        <v>0</v>
      </c>
      <c r="M744" t="n">
        <v>0</v>
      </c>
      <c r="N744" t="n">
        <v>0</v>
      </c>
      <c r="O744" t="n">
        <v>0</v>
      </c>
      <c r="P744" t="n">
        <v>0</v>
      </c>
      <c r="Q744" t="n">
        <v>0</v>
      </c>
      <c r="R744" s="2" t="inlineStr"/>
    </row>
    <row r="745" ht="15" customHeight="1">
      <c r="A745" t="inlineStr">
        <is>
          <t>A 33877-2025</t>
        </is>
      </c>
      <c r="B745" s="1" t="n">
        <v>45842.55564814815</v>
      </c>
      <c r="C745" s="1" t="n">
        <v>45922</v>
      </c>
      <c r="D745" t="inlineStr">
        <is>
          <t>SKÅNE LÄN</t>
        </is>
      </c>
      <c r="E745" t="inlineStr">
        <is>
          <t>HÄSSLEHOLM</t>
        </is>
      </c>
      <c r="G745" t="n">
        <v>3.9</v>
      </c>
      <c r="H745" t="n">
        <v>0</v>
      </c>
      <c r="I745" t="n">
        <v>0</v>
      </c>
      <c r="J745" t="n">
        <v>0</v>
      </c>
      <c r="K745" t="n">
        <v>0</v>
      </c>
      <c r="L745" t="n">
        <v>0</v>
      </c>
      <c r="M745" t="n">
        <v>0</v>
      </c>
      <c r="N745" t="n">
        <v>0</v>
      </c>
      <c r="O745" t="n">
        <v>0</v>
      </c>
      <c r="P745" t="n">
        <v>0</v>
      </c>
      <c r="Q745" t="n">
        <v>0</v>
      </c>
      <c r="R745" s="2" t="inlineStr"/>
    </row>
    <row r="746" ht="15" customHeight="1">
      <c r="A746" t="inlineStr">
        <is>
          <t>A 33879-2025</t>
        </is>
      </c>
      <c r="B746" s="1" t="n">
        <v>45842.55766203703</v>
      </c>
      <c r="C746" s="1" t="n">
        <v>45922</v>
      </c>
      <c r="D746" t="inlineStr">
        <is>
          <t>SKÅNE LÄN</t>
        </is>
      </c>
      <c r="E746" t="inlineStr">
        <is>
          <t>HÄSSLEHOLM</t>
        </is>
      </c>
      <c r="G746" t="n">
        <v>6.1</v>
      </c>
      <c r="H746" t="n">
        <v>0</v>
      </c>
      <c r="I746" t="n">
        <v>0</v>
      </c>
      <c r="J746" t="n">
        <v>0</v>
      </c>
      <c r="K746" t="n">
        <v>0</v>
      </c>
      <c r="L746" t="n">
        <v>0</v>
      </c>
      <c r="M746" t="n">
        <v>0</v>
      </c>
      <c r="N746" t="n">
        <v>0</v>
      </c>
      <c r="O746" t="n">
        <v>0</v>
      </c>
      <c r="P746" t="n">
        <v>0</v>
      </c>
      <c r="Q746" t="n">
        <v>0</v>
      </c>
      <c r="R746" s="2" t="inlineStr"/>
    </row>
    <row r="747" ht="15" customHeight="1">
      <c r="A747" t="inlineStr">
        <is>
          <t>A 41459-2022</t>
        </is>
      </c>
      <c r="B747" s="1" t="n">
        <v>44826.93372685185</v>
      </c>
      <c r="C747" s="1" t="n">
        <v>45922</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13961-2023</t>
        </is>
      </c>
      <c r="B748" s="1" t="n">
        <v>45008</v>
      </c>
      <c r="C748" s="1" t="n">
        <v>45922</v>
      </c>
      <c r="D748" t="inlineStr">
        <is>
          <t>SKÅNE LÄN</t>
        </is>
      </c>
      <c r="E748" t="inlineStr">
        <is>
          <t>HÄSSLEHOLM</t>
        </is>
      </c>
      <c r="G748" t="n">
        <v>3.8</v>
      </c>
      <c r="H748" t="n">
        <v>0</v>
      </c>
      <c r="I748" t="n">
        <v>0</v>
      </c>
      <c r="J748" t="n">
        <v>0</v>
      </c>
      <c r="K748" t="n">
        <v>0</v>
      </c>
      <c r="L748" t="n">
        <v>0</v>
      </c>
      <c r="M748" t="n">
        <v>0</v>
      </c>
      <c r="N748" t="n">
        <v>0</v>
      </c>
      <c r="O748" t="n">
        <v>0</v>
      </c>
      <c r="P748" t="n">
        <v>0</v>
      </c>
      <c r="Q748" t="n">
        <v>0</v>
      </c>
      <c r="R748" s="2" t="inlineStr"/>
    </row>
    <row r="749" ht="15" customHeight="1">
      <c r="A749" t="inlineStr">
        <is>
          <t>A 7581-2023</t>
        </is>
      </c>
      <c r="B749" s="1" t="n">
        <v>44972.39556712963</v>
      </c>
      <c r="C749" s="1" t="n">
        <v>45922</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48191-2021</t>
        </is>
      </c>
      <c r="B750" s="1" t="n">
        <v>44449</v>
      </c>
      <c r="C750" s="1" t="n">
        <v>45922</v>
      </c>
      <c r="D750" t="inlineStr">
        <is>
          <t>SKÅNE LÄN</t>
        </is>
      </c>
      <c r="E750" t="inlineStr">
        <is>
          <t>HÄSSLEHOLM</t>
        </is>
      </c>
      <c r="G750" t="n">
        <v>6</v>
      </c>
      <c r="H750" t="n">
        <v>0</v>
      </c>
      <c r="I750" t="n">
        <v>0</v>
      </c>
      <c r="J750" t="n">
        <v>0</v>
      </c>
      <c r="K750" t="n">
        <v>0</v>
      </c>
      <c r="L750" t="n">
        <v>0</v>
      </c>
      <c r="M750" t="n">
        <v>0</v>
      </c>
      <c r="N750" t="n">
        <v>0</v>
      </c>
      <c r="O750" t="n">
        <v>0</v>
      </c>
      <c r="P750" t="n">
        <v>0</v>
      </c>
      <c r="Q750" t="n">
        <v>0</v>
      </c>
      <c r="R750" s="2" t="inlineStr"/>
    </row>
    <row r="751" ht="15" customHeight="1">
      <c r="A751" t="inlineStr">
        <is>
          <t>A 33948-2025</t>
        </is>
      </c>
      <c r="B751" s="1" t="n">
        <v>45842.65945601852</v>
      </c>
      <c r="C751" s="1" t="n">
        <v>45922</v>
      </c>
      <c r="D751" t="inlineStr">
        <is>
          <t>SKÅNE LÄN</t>
        </is>
      </c>
      <c r="E751" t="inlineStr">
        <is>
          <t>HÄSSLEHOLM</t>
        </is>
      </c>
      <c r="G751" t="n">
        <v>8.5</v>
      </c>
      <c r="H751" t="n">
        <v>0</v>
      </c>
      <c r="I751" t="n">
        <v>0</v>
      </c>
      <c r="J751" t="n">
        <v>0</v>
      </c>
      <c r="K751" t="n">
        <v>0</v>
      </c>
      <c r="L751" t="n">
        <v>0</v>
      </c>
      <c r="M751" t="n">
        <v>0</v>
      </c>
      <c r="N751" t="n">
        <v>0</v>
      </c>
      <c r="O751" t="n">
        <v>0</v>
      </c>
      <c r="P751" t="n">
        <v>0</v>
      </c>
      <c r="Q751" t="n">
        <v>0</v>
      </c>
      <c r="R751" s="2" t="inlineStr"/>
    </row>
    <row r="752" ht="15" customHeight="1">
      <c r="A752" t="inlineStr">
        <is>
          <t>A 16397-2022</t>
        </is>
      </c>
      <c r="B752" s="1" t="n">
        <v>44671</v>
      </c>
      <c r="C752" s="1" t="n">
        <v>45922</v>
      </c>
      <c r="D752" t="inlineStr">
        <is>
          <t>SKÅNE LÄN</t>
        </is>
      </c>
      <c r="E752" t="inlineStr">
        <is>
          <t>HÄSSLEHOLM</t>
        </is>
      </c>
      <c r="G752" t="n">
        <v>2.7</v>
      </c>
      <c r="H752" t="n">
        <v>0</v>
      </c>
      <c r="I752" t="n">
        <v>0</v>
      </c>
      <c r="J752" t="n">
        <v>0</v>
      </c>
      <c r="K752" t="n">
        <v>0</v>
      </c>
      <c r="L752" t="n">
        <v>0</v>
      </c>
      <c r="M752" t="n">
        <v>0</v>
      </c>
      <c r="N752" t="n">
        <v>0</v>
      </c>
      <c r="O752" t="n">
        <v>0</v>
      </c>
      <c r="P752" t="n">
        <v>0</v>
      </c>
      <c r="Q752" t="n">
        <v>0</v>
      </c>
      <c r="R752" s="2" t="inlineStr"/>
    </row>
    <row r="753" ht="15" customHeight="1">
      <c r="A753" t="inlineStr">
        <is>
          <t>A 16398-2022</t>
        </is>
      </c>
      <c r="B753" s="1" t="n">
        <v>44671</v>
      </c>
      <c r="C753" s="1" t="n">
        <v>45922</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5282-2023</t>
        </is>
      </c>
      <c r="B754" s="1" t="n">
        <v>44959.50471064815</v>
      </c>
      <c r="C754" s="1" t="n">
        <v>45922</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22678-2025</t>
        </is>
      </c>
      <c r="B755" s="1" t="n">
        <v>45789.49725694444</v>
      </c>
      <c r="C755" s="1" t="n">
        <v>45922</v>
      </c>
      <c r="D755" t="inlineStr">
        <is>
          <t>SKÅNE LÄN</t>
        </is>
      </c>
      <c r="E755" t="inlineStr">
        <is>
          <t>HÄSSLEHOLM</t>
        </is>
      </c>
      <c r="G755" t="n">
        <v>2.2</v>
      </c>
      <c r="H755" t="n">
        <v>0</v>
      </c>
      <c r="I755" t="n">
        <v>0</v>
      </c>
      <c r="J755" t="n">
        <v>0</v>
      </c>
      <c r="K755" t="n">
        <v>0</v>
      </c>
      <c r="L755" t="n">
        <v>0</v>
      </c>
      <c r="M755" t="n">
        <v>0</v>
      </c>
      <c r="N755" t="n">
        <v>0</v>
      </c>
      <c r="O755" t="n">
        <v>0</v>
      </c>
      <c r="P755" t="n">
        <v>0</v>
      </c>
      <c r="Q755" t="n">
        <v>0</v>
      </c>
      <c r="R755" s="2" t="inlineStr"/>
    </row>
    <row r="756" ht="15" customHeight="1">
      <c r="A756" t="inlineStr">
        <is>
          <t>A 52548-2023</t>
        </is>
      </c>
      <c r="B756" s="1" t="n">
        <v>45218</v>
      </c>
      <c r="C756" s="1" t="n">
        <v>45922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4512-2024</t>
        </is>
      </c>
      <c r="B757" s="1" t="n">
        <v>45327.6312962963</v>
      </c>
      <c r="C757" s="1" t="n">
        <v>45922</v>
      </c>
      <c r="D757" t="inlineStr">
        <is>
          <t>SKÅNE LÄN</t>
        </is>
      </c>
      <c r="E757" t="inlineStr">
        <is>
          <t>HÄSSLEHOLM</t>
        </is>
      </c>
      <c r="G757" t="n">
        <v>2</v>
      </c>
      <c r="H757" t="n">
        <v>0</v>
      </c>
      <c r="I757" t="n">
        <v>0</v>
      </c>
      <c r="J757" t="n">
        <v>0</v>
      </c>
      <c r="K757" t="n">
        <v>0</v>
      </c>
      <c r="L757" t="n">
        <v>0</v>
      </c>
      <c r="M757" t="n">
        <v>0</v>
      </c>
      <c r="N757" t="n">
        <v>0</v>
      </c>
      <c r="O757" t="n">
        <v>0</v>
      </c>
      <c r="P757" t="n">
        <v>0</v>
      </c>
      <c r="Q757" t="n">
        <v>0</v>
      </c>
      <c r="R757" s="2" t="inlineStr"/>
    </row>
    <row r="758" ht="15" customHeight="1">
      <c r="A758" t="inlineStr">
        <is>
          <t>A 15512-2025</t>
        </is>
      </c>
      <c r="B758" s="1" t="n">
        <v>45747</v>
      </c>
      <c r="C758" s="1" t="n">
        <v>45922</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12503-2022</t>
        </is>
      </c>
      <c r="B759" s="1" t="n">
        <v>44638</v>
      </c>
      <c r="C759" s="1" t="n">
        <v>45922</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32958-2023</t>
        </is>
      </c>
      <c r="B760" s="1" t="n">
        <v>45125.52142361111</v>
      </c>
      <c r="C760" s="1" t="n">
        <v>45922</v>
      </c>
      <c r="D760" t="inlineStr">
        <is>
          <t>SKÅNE LÄN</t>
        </is>
      </c>
      <c r="E760" t="inlineStr">
        <is>
          <t>HÄSSLEHOLM</t>
        </is>
      </c>
      <c r="G760" t="n">
        <v>7.9</v>
      </c>
      <c r="H760" t="n">
        <v>0</v>
      </c>
      <c r="I760" t="n">
        <v>0</v>
      </c>
      <c r="J760" t="n">
        <v>0</v>
      </c>
      <c r="K760" t="n">
        <v>0</v>
      </c>
      <c r="L760" t="n">
        <v>0</v>
      </c>
      <c r="M760" t="n">
        <v>0</v>
      </c>
      <c r="N760" t="n">
        <v>0</v>
      </c>
      <c r="O760" t="n">
        <v>0</v>
      </c>
      <c r="P760" t="n">
        <v>0</v>
      </c>
      <c r="Q760" t="n">
        <v>0</v>
      </c>
      <c r="R760" s="2" t="inlineStr"/>
    </row>
    <row r="761" ht="15" customHeight="1">
      <c r="A761" t="inlineStr">
        <is>
          <t>A 9485-2023</t>
        </is>
      </c>
      <c r="B761" s="1" t="n">
        <v>44981.60901620371</v>
      </c>
      <c r="C761" s="1" t="n">
        <v>45922</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34174-2025</t>
        </is>
      </c>
      <c r="B762" s="1" t="n">
        <v>45844</v>
      </c>
      <c r="C762" s="1" t="n">
        <v>45922</v>
      </c>
      <c r="D762" t="inlineStr">
        <is>
          <t>SKÅNE LÄN</t>
        </is>
      </c>
      <c r="E762" t="inlineStr">
        <is>
          <t>HÄSSLEHOLM</t>
        </is>
      </c>
      <c r="G762" t="n">
        <v>4.7</v>
      </c>
      <c r="H762" t="n">
        <v>0</v>
      </c>
      <c r="I762" t="n">
        <v>0</v>
      </c>
      <c r="J762" t="n">
        <v>0</v>
      </c>
      <c r="K762" t="n">
        <v>0</v>
      </c>
      <c r="L762" t="n">
        <v>0</v>
      </c>
      <c r="M762" t="n">
        <v>0</v>
      </c>
      <c r="N762" t="n">
        <v>0</v>
      </c>
      <c r="O762" t="n">
        <v>0</v>
      </c>
      <c r="P762" t="n">
        <v>0</v>
      </c>
      <c r="Q762" t="n">
        <v>0</v>
      </c>
      <c r="R762" s="2" t="inlineStr"/>
    </row>
    <row r="763" ht="15" customHeight="1">
      <c r="A763" t="inlineStr">
        <is>
          <t>A 39044-2024</t>
        </is>
      </c>
      <c r="B763" s="1" t="n">
        <v>45548.47707175926</v>
      </c>
      <c r="C763" s="1" t="n">
        <v>45922</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45922</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61929-2023</t>
        </is>
      </c>
      <c r="B765" s="1" t="n">
        <v>45266</v>
      </c>
      <c r="C765" s="1" t="n">
        <v>45922</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13555-2025</t>
        </is>
      </c>
      <c r="B766" s="1" t="n">
        <v>45736</v>
      </c>
      <c r="C766" s="1" t="n">
        <v>45922</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34177-2025</t>
        </is>
      </c>
      <c r="B767" s="1" t="n">
        <v>45844</v>
      </c>
      <c r="C767" s="1" t="n">
        <v>45922</v>
      </c>
      <c r="D767" t="inlineStr">
        <is>
          <t>SKÅNE LÄN</t>
        </is>
      </c>
      <c r="E767" t="inlineStr">
        <is>
          <t>HÄSSLEHOLM</t>
        </is>
      </c>
      <c r="G767" t="n">
        <v>3</v>
      </c>
      <c r="H767" t="n">
        <v>0</v>
      </c>
      <c r="I767" t="n">
        <v>0</v>
      </c>
      <c r="J767" t="n">
        <v>0</v>
      </c>
      <c r="K767" t="n">
        <v>0</v>
      </c>
      <c r="L767" t="n">
        <v>0</v>
      </c>
      <c r="M767" t="n">
        <v>0</v>
      </c>
      <c r="N767" t="n">
        <v>0</v>
      </c>
      <c r="O767" t="n">
        <v>0</v>
      </c>
      <c r="P767" t="n">
        <v>0</v>
      </c>
      <c r="Q767" t="n">
        <v>0</v>
      </c>
      <c r="R767" s="2" t="inlineStr"/>
    </row>
    <row r="768" ht="15" customHeight="1">
      <c r="A768" t="inlineStr">
        <is>
          <t>A 33950-2025</t>
        </is>
      </c>
      <c r="B768" s="1" t="n">
        <v>45842</v>
      </c>
      <c r="C768" s="1" t="n">
        <v>45922</v>
      </c>
      <c r="D768" t="inlineStr">
        <is>
          <t>SKÅNE LÄN</t>
        </is>
      </c>
      <c r="E768" t="inlineStr">
        <is>
          <t>HÄSSLEHOLM</t>
        </is>
      </c>
      <c r="G768" t="n">
        <v>5.7</v>
      </c>
      <c r="H768" t="n">
        <v>0</v>
      </c>
      <c r="I768" t="n">
        <v>0</v>
      </c>
      <c r="J768" t="n">
        <v>0</v>
      </c>
      <c r="K768" t="n">
        <v>0</v>
      </c>
      <c r="L768" t="n">
        <v>0</v>
      </c>
      <c r="M768" t="n">
        <v>0</v>
      </c>
      <c r="N768" t="n">
        <v>0</v>
      </c>
      <c r="O768" t="n">
        <v>0</v>
      </c>
      <c r="P768" t="n">
        <v>0</v>
      </c>
      <c r="Q768" t="n">
        <v>0</v>
      </c>
      <c r="R768" s="2" t="inlineStr"/>
    </row>
    <row r="769" ht="15" customHeight="1">
      <c r="A769" t="inlineStr">
        <is>
          <t>A 4734-2025</t>
        </is>
      </c>
      <c r="B769" s="1" t="n">
        <v>45688.44030092593</v>
      </c>
      <c r="C769" s="1" t="n">
        <v>45922</v>
      </c>
      <c r="D769" t="inlineStr">
        <is>
          <t>SKÅNE LÄN</t>
        </is>
      </c>
      <c r="E769" t="inlineStr">
        <is>
          <t>HÄSSLEHOLM</t>
        </is>
      </c>
      <c r="G769" t="n">
        <v>19.6</v>
      </c>
      <c r="H769" t="n">
        <v>0</v>
      </c>
      <c r="I769" t="n">
        <v>0</v>
      </c>
      <c r="J769" t="n">
        <v>0</v>
      </c>
      <c r="K769" t="n">
        <v>0</v>
      </c>
      <c r="L769" t="n">
        <v>0</v>
      </c>
      <c r="M769" t="n">
        <v>0</v>
      </c>
      <c r="N769" t="n">
        <v>0</v>
      </c>
      <c r="O769" t="n">
        <v>0</v>
      </c>
      <c r="P769" t="n">
        <v>0</v>
      </c>
      <c r="Q769" t="n">
        <v>0</v>
      </c>
      <c r="R769" s="2" t="inlineStr"/>
    </row>
    <row r="770" ht="15" customHeight="1">
      <c r="A770" t="inlineStr">
        <is>
          <t>A 44940-2023</t>
        </is>
      </c>
      <c r="B770" s="1" t="n">
        <v>45190.68653935185</v>
      </c>
      <c r="C770" s="1" t="n">
        <v>45922</v>
      </c>
      <c r="D770" t="inlineStr">
        <is>
          <t>SKÅNE LÄN</t>
        </is>
      </c>
      <c r="E770" t="inlineStr">
        <is>
          <t>HÄSSLEHOLM</t>
        </is>
      </c>
      <c r="G770" t="n">
        <v>1.5</v>
      </c>
      <c r="H770" t="n">
        <v>0</v>
      </c>
      <c r="I770" t="n">
        <v>0</v>
      </c>
      <c r="J770" t="n">
        <v>0</v>
      </c>
      <c r="K770" t="n">
        <v>0</v>
      </c>
      <c r="L770" t="n">
        <v>0</v>
      </c>
      <c r="M770" t="n">
        <v>0</v>
      </c>
      <c r="N770" t="n">
        <v>0</v>
      </c>
      <c r="O770" t="n">
        <v>0</v>
      </c>
      <c r="P770" t="n">
        <v>0</v>
      </c>
      <c r="Q770" t="n">
        <v>0</v>
      </c>
      <c r="R770" s="2" t="inlineStr"/>
    </row>
    <row r="771" ht="15" customHeight="1">
      <c r="A771" t="inlineStr">
        <is>
          <t>A 25533-2024</t>
        </is>
      </c>
      <c r="B771" s="1" t="n">
        <v>45463</v>
      </c>
      <c r="C771" s="1" t="n">
        <v>45922</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45922</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22696-2023</t>
        </is>
      </c>
      <c r="B773" s="1" t="n">
        <v>45071.69464120371</v>
      </c>
      <c r="C773" s="1" t="n">
        <v>45922</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52337-2023</t>
        </is>
      </c>
      <c r="B774" s="1" t="n">
        <v>45224.66359953704</v>
      </c>
      <c r="C774" s="1" t="n">
        <v>45922</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39366-2025</t>
        </is>
      </c>
      <c r="B775" s="1" t="n">
        <v>45889</v>
      </c>
      <c r="C775" s="1" t="n">
        <v>45922</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23955-2023</t>
        </is>
      </c>
      <c r="B776" s="1" t="n">
        <v>45078.62217592593</v>
      </c>
      <c r="C776" s="1" t="n">
        <v>45922</v>
      </c>
      <c r="D776" t="inlineStr">
        <is>
          <t>SKÅNE LÄN</t>
        </is>
      </c>
      <c r="E776" t="inlineStr">
        <is>
          <t>HÄSSLEHOLM</t>
        </is>
      </c>
      <c r="G776" t="n">
        <v>1.4</v>
      </c>
      <c r="H776" t="n">
        <v>0</v>
      </c>
      <c r="I776" t="n">
        <v>0</v>
      </c>
      <c r="J776" t="n">
        <v>0</v>
      </c>
      <c r="K776" t="n">
        <v>0</v>
      </c>
      <c r="L776" t="n">
        <v>0</v>
      </c>
      <c r="M776" t="n">
        <v>0</v>
      </c>
      <c r="N776" t="n">
        <v>0</v>
      </c>
      <c r="O776" t="n">
        <v>0</v>
      </c>
      <c r="P776" t="n">
        <v>0</v>
      </c>
      <c r="Q776" t="n">
        <v>0</v>
      </c>
      <c r="R776" s="2" t="inlineStr"/>
    </row>
    <row r="777" ht="15" customHeight="1">
      <c r="A777" t="inlineStr">
        <is>
          <t>A 19020-2024</t>
        </is>
      </c>
      <c r="B777" s="1" t="n">
        <v>45427.66167824074</v>
      </c>
      <c r="C777" s="1" t="n">
        <v>45922</v>
      </c>
      <c r="D777" t="inlineStr">
        <is>
          <t>SKÅNE LÄN</t>
        </is>
      </c>
      <c r="E777" t="inlineStr">
        <is>
          <t>HÄSSLEHOLM</t>
        </is>
      </c>
      <c r="G777" t="n">
        <v>2.3</v>
      </c>
      <c r="H777" t="n">
        <v>0</v>
      </c>
      <c r="I777" t="n">
        <v>0</v>
      </c>
      <c r="J777" t="n">
        <v>0</v>
      </c>
      <c r="K777" t="n">
        <v>0</v>
      </c>
      <c r="L777" t="n">
        <v>0</v>
      </c>
      <c r="M777" t="n">
        <v>0</v>
      </c>
      <c r="N777" t="n">
        <v>0</v>
      </c>
      <c r="O777" t="n">
        <v>0</v>
      </c>
      <c r="P777" t="n">
        <v>0</v>
      </c>
      <c r="Q777" t="n">
        <v>0</v>
      </c>
      <c r="R777" s="2" t="inlineStr"/>
    </row>
    <row r="778" ht="15" customHeight="1">
      <c r="A778" t="inlineStr">
        <is>
          <t>A 40734-2024</t>
        </is>
      </c>
      <c r="B778" s="1" t="n">
        <v>45558</v>
      </c>
      <c r="C778" s="1" t="n">
        <v>45922</v>
      </c>
      <c r="D778" t="inlineStr">
        <is>
          <t>SKÅNE LÄN</t>
        </is>
      </c>
      <c r="E778" t="inlineStr">
        <is>
          <t>HÄSSLEHOLM</t>
        </is>
      </c>
      <c r="G778" t="n">
        <v>1.4</v>
      </c>
      <c r="H778" t="n">
        <v>0</v>
      </c>
      <c r="I778" t="n">
        <v>0</v>
      </c>
      <c r="J778" t="n">
        <v>0</v>
      </c>
      <c r="K778" t="n">
        <v>0</v>
      </c>
      <c r="L778" t="n">
        <v>0</v>
      </c>
      <c r="M778" t="n">
        <v>0</v>
      </c>
      <c r="N778" t="n">
        <v>0</v>
      </c>
      <c r="O778" t="n">
        <v>0</v>
      </c>
      <c r="P778" t="n">
        <v>0</v>
      </c>
      <c r="Q778" t="n">
        <v>0</v>
      </c>
      <c r="R778" s="2" t="inlineStr"/>
    </row>
    <row r="779" ht="15" customHeight="1">
      <c r="A779" t="inlineStr">
        <is>
          <t>A 40738-2024</t>
        </is>
      </c>
      <c r="B779" s="1" t="n">
        <v>45558</v>
      </c>
      <c r="C779" s="1" t="n">
        <v>45922</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10897-2023</t>
        </is>
      </c>
      <c r="B780" s="1" t="n">
        <v>44985</v>
      </c>
      <c r="C780" s="1" t="n">
        <v>45922</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39453-2025</t>
        </is>
      </c>
      <c r="B781" s="1" t="n">
        <v>45889</v>
      </c>
      <c r="C781" s="1" t="n">
        <v>45922</v>
      </c>
      <c r="D781" t="inlineStr">
        <is>
          <t>SKÅNE LÄN</t>
        </is>
      </c>
      <c r="E781" t="inlineStr">
        <is>
          <t>HÄSSLEHOLM</t>
        </is>
      </c>
      <c r="G781" t="n">
        <v>2.5</v>
      </c>
      <c r="H781" t="n">
        <v>0</v>
      </c>
      <c r="I781" t="n">
        <v>0</v>
      </c>
      <c r="J781" t="n">
        <v>0</v>
      </c>
      <c r="K781" t="n">
        <v>0</v>
      </c>
      <c r="L781" t="n">
        <v>0</v>
      </c>
      <c r="M781" t="n">
        <v>0</v>
      </c>
      <c r="N781" t="n">
        <v>0</v>
      </c>
      <c r="O781" t="n">
        <v>0</v>
      </c>
      <c r="P781" t="n">
        <v>0</v>
      </c>
      <c r="Q781" t="n">
        <v>0</v>
      </c>
      <c r="R781" s="2" t="inlineStr"/>
    </row>
    <row r="782" ht="15" customHeight="1">
      <c r="A782" t="inlineStr">
        <is>
          <t>A 50571-2023</t>
        </is>
      </c>
      <c r="B782" s="1" t="n">
        <v>45217.38359953704</v>
      </c>
      <c r="C782" s="1" t="n">
        <v>45922</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49199-2024</t>
        </is>
      </c>
      <c r="B783" s="1" t="n">
        <v>45595</v>
      </c>
      <c r="C783" s="1" t="n">
        <v>45922</v>
      </c>
      <c r="D783" t="inlineStr">
        <is>
          <t>SKÅNE LÄN</t>
        </is>
      </c>
      <c r="E783" t="inlineStr">
        <is>
          <t>HÄSSLEHOLM</t>
        </is>
      </c>
      <c r="G783" t="n">
        <v>5.2</v>
      </c>
      <c r="H783" t="n">
        <v>0</v>
      </c>
      <c r="I783" t="n">
        <v>0</v>
      </c>
      <c r="J783" t="n">
        <v>0</v>
      </c>
      <c r="K783" t="n">
        <v>0</v>
      </c>
      <c r="L783" t="n">
        <v>0</v>
      </c>
      <c r="M783" t="n">
        <v>0</v>
      </c>
      <c r="N783" t="n">
        <v>0</v>
      </c>
      <c r="O783" t="n">
        <v>0</v>
      </c>
      <c r="P783" t="n">
        <v>0</v>
      </c>
      <c r="Q783" t="n">
        <v>0</v>
      </c>
      <c r="R783" s="2" t="inlineStr"/>
    </row>
    <row r="784" ht="15" customHeight="1">
      <c r="A784" t="inlineStr">
        <is>
          <t>A 18908-2023</t>
        </is>
      </c>
      <c r="B784" s="1" t="n">
        <v>45044</v>
      </c>
      <c r="C784" s="1" t="n">
        <v>45922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10028-2024</t>
        </is>
      </c>
      <c r="B785" s="1" t="n">
        <v>45363.97292824074</v>
      </c>
      <c r="C785" s="1" t="n">
        <v>45922</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13084-2025</t>
        </is>
      </c>
      <c r="B786" s="1" t="n">
        <v>45734</v>
      </c>
      <c r="C786" s="1" t="n">
        <v>45922</v>
      </c>
      <c r="D786" t="inlineStr">
        <is>
          <t>SKÅNE LÄN</t>
        </is>
      </c>
      <c r="E786" t="inlineStr">
        <is>
          <t>HÄSSLEHOLM</t>
        </is>
      </c>
      <c r="G786" t="n">
        <v>2.3</v>
      </c>
      <c r="H786" t="n">
        <v>0</v>
      </c>
      <c r="I786" t="n">
        <v>0</v>
      </c>
      <c r="J786" t="n">
        <v>0</v>
      </c>
      <c r="K786" t="n">
        <v>0</v>
      </c>
      <c r="L786" t="n">
        <v>0</v>
      </c>
      <c r="M786" t="n">
        <v>0</v>
      </c>
      <c r="N786" t="n">
        <v>0</v>
      </c>
      <c r="O786" t="n">
        <v>0</v>
      </c>
      <c r="P786" t="n">
        <v>0</v>
      </c>
      <c r="Q786" t="n">
        <v>0</v>
      </c>
      <c r="R786" s="2" t="inlineStr"/>
    </row>
    <row r="787" ht="15" customHeight="1">
      <c r="A787" t="inlineStr">
        <is>
          <t>A 16285-2025</t>
        </is>
      </c>
      <c r="B787" s="1" t="n">
        <v>45751.30045138889</v>
      </c>
      <c r="C787" s="1" t="n">
        <v>45922</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6638-2021</t>
        </is>
      </c>
      <c r="B788" s="1" t="n">
        <v>44235</v>
      </c>
      <c r="C788" s="1" t="n">
        <v>45922</v>
      </c>
      <c r="D788" t="inlineStr">
        <is>
          <t>SKÅNE LÄN</t>
        </is>
      </c>
      <c r="E788" t="inlineStr">
        <is>
          <t>HÄSSLEHOLM</t>
        </is>
      </c>
      <c r="G788" t="n">
        <v>112.4</v>
      </c>
      <c r="H788" t="n">
        <v>0</v>
      </c>
      <c r="I788" t="n">
        <v>0</v>
      </c>
      <c r="J788" t="n">
        <v>0</v>
      </c>
      <c r="K788" t="n">
        <v>0</v>
      </c>
      <c r="L788" t="n">
        <v>0</v>
      </c>
      <c r="M788" t="n">
        <v>0</v>
      </c>
      <c r="N788" t="n">
        <v>0</v>
      </c>
      <c r="O788" t="n">
        <v>0</v>
      </c>
      <c r="P788" t="n">
        <v>0</v>
      </c>
      <c r="Q788" t="n">
        <v>0</v>
      </c>
      <c r="R788" s="2" t="inlineStr"/>
    </row>
    <row r="789" ht="15" customHeight="1">
      <c r="A789" t="inlineStr">
        <is>
          <t>A 46000-2021</t>
        </is>
      </c>
      <c r="B789" s="1" t="n">
        <v>44441</v>
      </c>
      <c r="C789" s="1" t="n">
        <v>45922</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2712-2024</t>
        </is>
      </c>
      <c r="B790" s="1" t="n">
        <v>45314</v>
      </c>
      <c r="C790" s="1" t="n">
        <v>45922</v>
      </c>
      <c r="D790" t="inlineStr">
        <is>
          <t>SKÅNE LÄN</t>
        </is>
      </c>
      <c r="E790" t="inlineStr">
        <is>
          <t>HÄSSLEHOLM</t>
        </is>
      </c>
      <c r="G790" t="n">
        <v>11.3</v>
      </c>
      <c r="H790" t="n">
        <v>0</v>
      </c>
      <c r="I790" t="n">
        <v>0</v>
      </c>
      <c r="J790" t="n">
        <v>0</v>
      </c>
      <c r="K790" t="n">
        <v>0</v>
      </c>
      <c r="L790" t="n">
        <v>0</v>
      </c>
      <c r="M790" t="n">
        <v>0</v>
      </c>
      <c r="N790" t="n">
        <v>0</v>
      </c>
      <c r="O790" t="n">
        <v>0</v>
      </c>
      <c r="P790" t="n">
        <v>0</v>
      </c>
      <c r="Q790" t="n">
        <v>0</v>
      </c>
      <c r="R790" s="2" t="inlineStr"/>
    </row>
    <row r="791" ht="15" customHeight="1">
      <c r="A791" t="inlineStr">
        <is>
          <t>A 39934-2025</t>
        </is>
      </c>
      <c r="B791" s="1" t="n">
        <v>45891.71465277778</v>
      </c>
      <c r="C791" s="1" t="n">
        <v>45922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39937-2025</t>
        </is>
      </c>
      <c r="B792" s="1" t="n">
        <v>45891.73162037037</v>
      </c>
      <c r="C792" s="1" t="n">
        <v>45922</v>
      </c>
      <c r="D792" t="inlineStr">
        <is>
          <t>SKÅNE LÄN</t>
        </is>
      </c>
      <c r="E792" t="inlineStr">
        <is>
          <t>HÄSSLEHOLM</t>
        </is>
      </c>
      <c r="G792" t="n">
        <v>4.5</v>
      </c>
      <c r="H792" t="n">
        <v>0</v>
      </c>
      <c r="I792" t="n">
        <v>0</v>
      </c>
      <c r="J792" t="n">
        <v>0</v>
      </c>
      <c r="K792" t="n">
        <v>0</v>
      </c>
      <c r="L792" t="n">
        <v>0</v>
      </c>
      <c r="M792" t="n">
        <v>0</v>
      </c>
      <c r="N792" t="n">
        <v>0</v>
      </c>
      <c r="O792" t="n">
        <v>0</v>
      </c>
      <c r="P792" t="n">
        <v>0</v>
      </c>
      <c r="Q792" t="n">
        <v>0</v>
      </c>
      <c r="R792" s="2" t="inlineStr"/>
    </row>
    <row r="793" ht="15" customHeight="1">
      <c r="A793" t="inlineStr">
        <is>
          <t>A 34869-2025</t>
        </is>
      </c>
      <c r="B793" s="1" t="n">
        <v>45849</v>
      </c>
      <c r="C793" s="1" t="n">
        <v>45922</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4009-2024</t>
        </is>
      </c>
      <c r="B794" s="1" t="n">
        <v>45323</v>
      </c>
      <c r="C794" s="1" t="n">
        <v>45922</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10928-2024</t>
        </is>
      </c>
      <c r="B795" s="1" t="n">
        <v>45370</v>
      </c>
      <c r="C795" s="1" t="n">
        <v>45922</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10944-2024</t>
        </is>
      </c>
      <c r="B796" s="1" t="n">
        <v>45370</v>
      </c>
      <c r="C796" s="1" t="n">
        <v>45922</v>
      </c>
      <c r="D796" t="inlineStr">
        <is>
          <t>SKÅNE LÄN</t>
        </is>
      </c>
      <c r="E796" t="inlineStr">
        <is>
          <t>HÄSSLEHOLM</t>
        </is>
      </c>
      <c r="F796" t="inlineStr">
        <is>
          <t>Övriga Aktiebolag</t>
        </is>
      </c>
      <c r="G796" t="n">
        <v>2.6</v>
      </c>
      <c r="H796" t="n">
        <v>0</v>
      </c>
      <c r="I796" t="n">
        <v>0</v>
      </c>
      <c r="J796" t="n">
        <v>0</v>
      </c>
      <c r="K796" t="n">
        <v>0</v>
      </c>
      <c r="L796" t="n">
        <v>0</v>
      </c>
      <c r="M796" t="n">
        <v>0</v>
      </c>
      <c r="N796" t="n">
        <v>0</v>
      </c>
      <c r="O796" t="n">
        <v>0</v>
      </c>
      <c r="P796" t="n">
        <v>0</v>
      </c>
      <c r="Q796" t="n">
        <v>0</v>
      </c>
      <c r="R796" s="2" t="inlineStr"/>
    </row>
    <row r="797" ht="15" customHeight="1">
      <c r="A797" t="inlineStr">
        <is>
          <t>A 56986-2024</t>
        </is>
      </c>
      <c r="B797" s="1" t="n">
        <v>45626</v>
      </c>
      <c r="C797" s="1" t="n">
        <v>45922</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46222-2022</t>
        </is>
      </c>
      <c r="B798" s="1" t="n">
        <v>44847.58725694445</v>
      </c>
      <c r="C798" s="1" t="n">
        <v>45922</v>
      </c>
      <c r="D798" t="inlineStr">
        <is>
          <t>SKÅNE LÄN</t>
        </is>
      </c>
      <c r="E798" t="inlineStr">
        <is>
          <t>HÄSSLEHOLM</t>
        </is>
      </c>
      <c r="G798" t="n">
        <v>6.3</v>
      </c>
      <c r="H798" t="n">
        <v>0</v>
      </c>
      <c r="I798" t="n">
        <v>0</v>
      </c>
      <c r="J798" t="n">
        <v>0</v>
      </c>
      <c r="K798" t="n">
        <v>0</v>
      </c>
      <c r="L798" t="n">
        <v>0</v>
      </c>
      <c r="M798" t="n">
        <v>0</v>
      </c>
      <c r="N798" t="n">
        <v>0</v>
      </c>
      <c r="O798" t="n">
        <v>0</v>
      </c>
      <c r="P798" t="n">
        <v>0</v>
      </c>
      <c r="Q798" t="n">
        <v>0</v>
      </c>
      <c r="R798" s="2" t="inlineStr"/>
    </row>
    <row r="799" ht="15" customHeight="1">
      <c r="A799" t="inlineStr">
        <is>
          <t>A 2567-2024</t>
        </is>
      </c>
      <c r="B799" s="1" t="n">
        <v>45313.62460648148</v>
      </c>
      <c r="C799" s="1" t="n">
        <v>45922</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6087-2025</t>
        </is>
      </c>
      <c r="B800" s="1" t="n">
        <v>45697.69782407407</v>
      </c>
      <c r="C800" s="1" t="n">
        <v>45922</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33466-2024</t>
        </is>
      </c>
      <c r="B801" s="1" t="n">
        <v>45519</v>
      </c>
      <c r="C801" s="1" t="n">
        <v>45922</v>
      </c>
      <c r="D801" t="inlineStr">
        <is>
          <t>SKÅNE LÄN</t>
        </is>
      </c>
      <c r="E801" t="inlineStr">
        <is>
          <t>HÄSSLEHOLM</t>
        </is>
      </c>
      <c r="G801" t="n">
        <v>0.4</v>
      </c>
      <c r="H801" t="n">
        <v>0</v>
      </c>
      <c r="I801" t="n">
        <v>0</v>
      </c>
      <c r="J801" t="n">
        <v>0</v>
      </c>
      <c r="K801" t="n">
        <v>0</v>
      </c>
      <c r="L801" t="n">
        <v>0</v>
      </c>
      <c r="M801" t="n">
        <v>0</v>
      </c>
      <c r="N801" t="n">
        <v>0</v>
      </c>
      <c r="O801" t="n">
        <v>0</v>
      </c>
      <c r="P801" t="n">
        <v>0</v>
      </c>
      <c r="Q801" t="n">
        <v>0</v>
      </c>
      <c r="R801" s="2" t="inlineStr"/>
    </row>
    <row r="802" ht="15" customHeight="1">
      <c r="A802" t="inlineStr">
        <is>
          <t>A 6612-2024</t>
        </is>
      </c>
      <c r="B802" s="1" t="n">
        <v>45341.58859953703</v>
      </c>
      <c r="C802" s="1" t="n">
        <v>45922</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39457-2025</t>
        </is>
      </c>
      <c r="B803" s="1" t="n">
        <v>45889.76887731482</v>
      </c>
      <c r="C803" s="1" t="n">
        <v>45922</v>
      </c>
      <c r="D803" t="inlineStr">
        <is>
          <t>SKÅNE LÄN</t>
        </is>
      </c>
      <c r="E803" t="inlineStr">
        <is>
          <t>HÄSSLEHOLM</t>
        </is>
      </c>
      <c r="G803" t="n">
        <v>6.6</v>
      </c>
      <c r="H803" t="n">
        <v>0</v>
      </c>
      <c r="I803" t="n">
        <v>0</v>
      </c>
      <c r="J803" t="n">
        <v>0</v>
      </c>
      <c r="K803" t="n">
        <v>0</v>
      </c>
      <c r="L803" t="n">
        <v>0</v>
      </c>
      <c r="M803" t="n">
        <v>0</v>
      </c>
      <c r="N803" t="n">
        <v>0</v>
      </c>
      <c r="O803" t="n">
        <v>0</v>
      </c>
      <c r="P803" t="n">
        <v>0</v>
      </c>
      <c r="Q803" t="n">
        <v>0</v>
      </c>
      <c r="R803" s="2" t="inlineStr"/>
    </row>
    <row r="804" ht="15" customHeight="1">
      <c r="A804" t="inlineStr">
        <is>
          <t>A 28632-2024</t>
        </is>
      </c>
      <c r="B804" s="1" t="n">
        <v>45478</v>
      </c>
      <c r="C804" s="1" t="n">
        <v>45922</v>
      </c>
      <c r="D804" t="inlineStr">
        <is>
          <t>SKÅNE LÄN</t>
        </is>
      </c>
      <c r="E804" t="inlineStr">
        <is>
          <t>HÄSSLEHOLM</t>
        </is>
      </c>
      <c r="G804" t="n">
        <v>4</v>
      </c>
      <c r="H804" t="n">
        <v>0</v>
      </c>
      <c r="I804" t="n">
        <v>0</v>
      </c>
      <c r="J804" t="n">
        <v>0</v>
      </c>
      <c r="K804" t="n">
        <v>0</v>
      </c>
      <c r="L804" t="n">
        <v>0</v>
      </c>
      <c r="M804" t="n">
        <v>0</v>
      </c>
      <c r="N804" t="n">
        <v>0</v>
      </c>
      <c r="O804" t="n">
        <v>0</v>
      </c>
      <c r="P804" t="n">
        <v>0</v>
      </c>
      <c r="Q804" t="n">
        <v>0</v>
      </c>
      <c r="R804" s="2" t="inlineStr"/>
    </row>
    <row r="805" ht="15" customHeight="1">
      <c r="A805" t="inlineStr">
        <is>
          <t>A 11708-2025</t>
        </is>
      </c>
      <c r="B805" s="1" t="n">
        <v>45727.58626157408</v>
      </c>
      <c r="C805" s="1" t="n">
        <v>45922</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1886-2025</t>
        </is>
      </c>
      <c r="B806" s="1" t="n">
        <v>45671</v>
      </c>
      <c r="C806" s="1" t="n">
        <v>45922</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26879-2024</t>
        </is>
      </c>
      <c r="B807" s="1" t="n">
        <v>45470</v>
      </c>
      <c r="C807" s="1" t="n">
        <v>45922</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40241-2025</t>
        </is>
      </c>
      <c r="B808" s="1" t="n">
        <v>45894.87251157407</v>
      </c>
      <c r="C808" s="1" t="n">
        <v>45922</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54473-2023</t>
        </is>
      </c>
      <c r="B809" s="1" t="n">
        <v>45233</v>
      </c>
      <c r="C809" s="1" t="n">
        <v>45922</v>
      </c>
      <c r="D809" t="inlineStr">
        <is>
          <t>SKÅNE LÄN</t>
        </is>
      </c>
      <c r="E809" t="inlineStr">
        <is>
          <t>HÄSSLEHOLM</t>
        </is>
      </c>
      <c r="G809" t="n">
        <v>24.5</v>
      </c>
      <c r="H809" t="n">
        <v>0</v>
      </c>
      <c r="I809" t="n">
        <v>0</v>
      </c>
      <c r="J809" t="n">
        <v>0</v>
      </c>
      <c r="K809" t="n">
        <v>0</v>
      </c>
      <c r="L809" t="n">
        <v>0</v>
      </c>
      <c r="M809" t="n">
        <v>0</v>
      </c>
      <c r="N809" t="n">
        <v>0</v>
      </c>
      <c r="O809" t="n">
        <v>0</v>
      </c>
      <c r="P809" t="n">
        <v>0</v>
      </c>
      <c r="Q809" t="n">
        <v>0</v>
      </c>
      <c r="R809" s="2" t="inlineStr"/>
    </row>
    <row r="810" ht="15" customHeight="1">
      <c r="A810" t="inlineStr">
        <is>
          <t>A 11240-2023</t>
        </is>
      </c>
      <c r="B810" s="1" t="n">
        <v>44992</v>
      </c>
      <c r="C810" s="1" t="n">
        <v>45922</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21028-2021</t>
        </is>
      </c>
      <c r="B811" s="1" t="n">
        <v>44319</v>
      </c>
      <c r="C811" s="1" t="n">
        <v>45922</v>
      </c>
      <c r="D811" t="inlineStr">
        <is>
          <t>SKÅNE LÄN</t>
        </is>
      </c>
      <c r="E811" t="inlineStr">
        <is>
          <t>HÄSSLEHOLM</t>
        </is>
      </c>
      <c r="G811" t="n">
        <v>3.1</v>
      </c>
      <c r="H811" t="n">
        <v>0</v>
      </c>
      <c r="I811" t="n">
        <v>0</v>
      </c>
      <c r="J811" t="n">
        <v>0</v>
      </c>
      <c r="K811" t="n">
        <v>0</v>
      </c>
      <c r="L811" t="n">
        <v>0</v>
      </c>
      <c r="M811" t="n">
        <v>0</v>
      </c>
      <c r="N811" t="n">
        <v>0</v>
      </c>
      <c r="O811" t="n">
        <v>0</v>
      </c>
      <c r="P811" t="n">
        <v>0</v>
      </c>
      <c r="Q811" t="n">
        <v>0</v>
      </c>
      <c r="R811" s="2" t="inlineStr"/>
    </row>
    <row r="812" ht="15" customHeight="1">
      <c r="A812" t="inlineStr">
        <is>
          <t>A 69357-2021</t>
        </is>
      </c>
      <c r="B812" s="1" t="n">
        <v>44531</v>
      </c>
      <c r="C812" s="1" t="n">
        <v>45922</v>
      </c>
      <c r="D812" t="inlineStr">
        <is>
          <t>SKÅNE LÄN</t>
        </is>
      </c>
      <c r="E812" t="inlineStr">
        <is>
          <t>HÄSSLEHOLM</t>
        </is>
      </c>
      <c r="G812" t="n">
        <v>1.6</v>
      </c>
      <c r="H812" t="n">
        <v>0</v>
      </c>
      <c r="I812" t="n">
        <v>0</v>
      </c>
      <c r="J812" t="n">
        <v>0</v>
      </c>
      <c r="K812" t="n">
        <v>0</v>
      </c>
      <c r="L812" t="n">
        <v>0</v>
      </c>
      <c r="M812" t="n">
        <v>0</v>
      </c>
      <c r="N812" t="n">
        <v>0</v>
      </c>
      <c r="O812" t="n">
        <v>0</v>
      </c>
      <c r="P812" t="n">
        <v>0</v>
      </c>
      <c r="Q812" t="n">
        <v>0</v>
      </c>
      <c r="R812" s="2" t="inlineStr"/>
    </row>
    <row r="813" ht="15" customHeight="1">
      <c r="A813" t="inlineStr">
        <is>
          <t>A 3855-2023</t>
        </is>
      </c>
      <c r="B813" s="1" t="n">
        <v>44951.69708333333</v>
      </c>
      <c r="C813" s="1" t="n">
        <v>45922</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16108-2025</t>
        </is>
      </c>
      <c r="B814" s="1" t="n">
        <v>45750.34667824074</v>
      </c>
      <c r="C814" s="1" t="n">
        <v>45922</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48326-2023</t>
        </is>
      </c>
      <c r="B815" s="1" t="n">
        <v>45205</v>
      </c>
      <c r="C815" s="1" t="n">
        <v>45922</v>
      </c>
      <c r="D815" t="inlineStr">
        <is>
          <t>SKÅNE LÄN</t>
        </is>
      </c>
      <c r="E815" t="inlineStr">
        <is>
          <t>HÄSSLEHOLM</t>
        </is>
      </c>
      <c r="G815" t="n">
        <v>12.7</v>
      </c>
      <c r="H815" t="n">
        <v>0</v>
      </c>
      <c r="I815" t="n">
        <v>0</v>
      </c>
      <c r="J815" t="n">
        <v>0</v>
      </c>
      <c r="K815" t="n">
        <v>0</v>
      </c>
      <c r="L815" t="n">
        <v>0</v>
      </c>
      <c r="M815" t="n">
        <v>0</v>
      </c>
      <c r="N815" t="n">
        <v>0</v>
      </c>
      <c r="O815" t="n">
        <v>0</v>
      </c>
      <c r="P815" t="n">
        <v>0</v>
      </c>
      <c r="Q815" t="n">
        <v>0</v>
      </c>
      <c r="R815" s="2" t="inlineStr"/>
    </row>
    <row r="816" ht="15" customHeight="1">
      <c r="A816" t="inlineStr">
        <is>
          <t>A 33481-2024</t>
        </is>
      </c>
      <c r="B816" s="1" t="n">
        <v>45519</v>
      </c>
      <c r="C816" s="1" t="n">
        <v>45922</v>
      </c>
      <c r="D816" t="inlineStr">
        <is>
          <t>SKÅNE LÄN</t>
        </is>
      </c>
      <c r="E816" t="inlineStr">
        <is>
          <t>HÄSSLEHOLM</t>
        </is>
      </c>
      <c r="G816" t="n">
        <v>3</v>
      </c>
      <c r="H816" t="n">
        <v>0</v>
      </c>
      <c r="I816" t="n">
        <v>0</v>
      </c>
      <c r="J816" t="n">
        <v>0</v>
      </c>
      <c r="K816" t="n">
        <v>0</v>
      </c>
      <c r="L816" t="n">
        <v>0</v>
      </c>
      <c r="M816" t="n">
        <v>0</v>
      </c>
      <c r="N816" t="n">
        <v>0</v>
      </c>
      <c r="O816" t="n">
        <v>0</v>
      </c>
      <c r="P816" t="n">
        <v>0</v>
      </c>
      <c r="Q816" t="n">
        <v>0</v>
      </c>
      <c r="R816" s="2" t="inlineStr"/>
    </row>
    <row r="817" ht="15" customHeight="1">
      <c r="A817" t="inlineStr">
        <is>
          <t>A 54518-2022</t>
        </is>
      </c>
      <c r="B817" s="1" t="n">
        <v>44882</v>
      </c>
      <c r="C817" s="1" t="n">
        <v>45922</v>
      </c>
      <c r="D817" t="inlineStr">
        <is>
          <t>SKÅNE LÄN</t>
        </is>
      </c>
      <c r="E817" t="inlineStr">
        <is>
          <t>HÄSSLEHOLM</t>
        </is>
      </c>
      <c r="F817" t="inlineStr">
        <is>
          <t>Övriga Aktiebolag</t>
        </is>
      </c>
      <c r="G817" t="n">
        <v>6.8</v>
      </c>
      <c r="H817" t="n">
        <v>0</v>
      </c>
      <c r="I817" t="n">
        <v>0</v>
      </c>
      <c r="J817" t="n">
        <v>0</v>
      </c>
      <c r="K817" t="n">
        <v>0</v>
      </c>
      <c r="L817" t="n">
        <v>0</v>
      </c>
      <c r="M817" t="n">
        <v>0</v>
      </c>
      <c r="N817" t="n">
        <v>0</v>
      </c>
      <c r="O817" t="n">
        <v>0</v>
      </c>
      <c r="P817" t="n">
        <v>0</v>
      </c>
      <c r="Q817" t="n">
        <v>0</v>
      </c>
      <c r="R817" s="2" t="inlineStr"/>
    </row>
    <row r="818" ht="15" customHeight="1">
      <c r="A818" t="inlineStr">
        <is>
          <t>A 57491-2024</t>
        </is>
      </c>
      <c r="B818" s="1" t="n">
        <v>45629</v>
      </c>
      <c r="C818" s="1" t="n">
        <v>45922</v>
      </c>
      <c r="D818" t="inlineStr">
        <is>
          <t>SKÅNE LÄN</t>
        </is>
      </c>
      <c r="E818" t="inlineStr">
        <is>
          <t>HÄSSLEHOLM</t>
        </is>
      </c>
      <c r="G818" t="n">
        <v>3.2</v>
      </c>
      <c r="H818" t="n">
        <v>0</v>
      </c>
      <c r="I818" t="n">
        <v>0</v>
      </c>
      <c r="J818" t="n">
        <v>0</v>
      </c>
      <c r="K818" t="n">
        <v>0</v>
      </c>
      <c r="L818" t="n">
        <v>0</v>
      </c>
      <c r="M818" t="n">
        <v>0</v>
      </c>
      <c r="N818" t="n">
        <v>0</v>
      </c>
      <c r="O818" t="n">
        <v>0</v>
      </c>
      <c r="P818" t="n">
        <v>0</v>
      </c>
      <c r="Q818" t="n">
        <v>0</v>
      </c>
      <c r="R818" s="2" t="inlineStr"/>
    </row>
    <row r="819" ht="15" customHeight="1">
      <c r="A819" t="inlineStr">
        <is>
          <t>A 52912-2022</t>
        </is>
      </c>
      <c r="B819" s="1" t="n">
        <v>44872</v>
      </c>
      <c r="C819" s="1" t="n">
        <v>45922</v>
      </c>
      <c r="D819" t="inlineStr">
        <is>
          <t>SKÅNE LÄN</t>
        </is>
      </c>
      <c r="E819" t="inlineStr">
        <is>
          <t>HÄSSLEHOLM</t>
        </is>
      </c>
      <c r="G819" t="n">
        <v>4.7</v>
      </c>
      <c r="H819" t="n">
        <v>0</v>
      </c>
      <c r="I819" t="n">
        <v>0</v>
      </c>
      <c r="J819" t="n">
        <v>0</v>
      </c>
      <c r="K819" t="n">
        <v>0</v>
      </c>
      <c r="L819" t="n">
        <v>0</v>
      </c>
      <c r="M819" t="n">
        <v>0</v>
      </c>
      <c r="N819" t="n">
        <v>0</v>
      </c>
      <c r="O819" t="n">
        <v>0</v>
      </c>
      <c r="P819" t="n">
        <v>0</v>
      </c>
      <c r="Q819" t="n">
        <v>0</v>
      </c>
      <c r="R819" s="2" t="inlineStr"/>
    </row>
    <row r="820" ht="15" customHeight="1">
      <c r="A820" t="inlineStr">
        <is>
          <t>A 16950-2025</t>
        </is>
      </c>
      <c r="B820" s="1" t="n">
        <v>45755</v>
      </c>
      <c r="C820" s="1" t="n">
        <v>45922</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20970-2025</t>
        </is>
      </c>
      <c r="B821" s="1" t="n">
        <v>45777.45417824074</v>
      </c>
      <c r="C821" s="1" t="n">
        <v>45922</v>
      </c>
      <c r="D821" t="inlineStr">
        <is>
          <t>SKÅNE LÄN</t>
        </is>
      </c>
      <c r="E821" t="inlineStr">
        <is>
          <t>HÄSSLEHOLM</t>
        </is>
      </c>
      <c r="G821" t="n">
        <v>2.2</v>
      </c>
      <c r="H821" t="n">
        <v>0</v>
      </c>
      <c r="I821" t="n">
        <v>0</v>
      </c>
      <c r="J821" t="n">
        <v>0</v>
      </c>
      <c r="K821" t="n">
        <v>0</v>
      </c>
      <c r="L821" t="n">
        <v>0</v>
      </c>
      <c r="M821" t="n">
        <v>0</v>
      </c>
      <c r="N821" t="n">
        <v>0</v>
      </c>
      <c r="O821" t="n">
        <v>0</v>
      </c>
      <c r="P821" t="n">
        <v>0</v>
      </c>
      <c r="Q821" t="n">
        <v>0</v>
      </c>
      <c r="R821" s="2" t="inlineStr"/>
    </row>
    <row r="822" ht="15" customHeight="1">
      <c r="A822" t="inlineStr">
        <is>
          <t>A 27502-2023</t>
        </is>
      </c>
      <c r="B822" s="1" t="n">
        <v>45092</v>
      </c>
      <c r="C822" s="1" t="n">
        <v>45922</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2813-2021</t>
        </is>
      </c>
      <c r="B823" s="1" t="n">
        <v>44215</v>
      </c>
      <c r="C823" s="1" t="n">
        <v>45922</v>
      </c>
      <c r="D823" t="inlineStr">
        <is>
          <t>SKÅNE LÄN</t>
        </is>
      </c>
      <c r="E823" t="inlineStr">
        <is>
          <t>HÄSSLEHOLM</t>
        </is>
      </c>
      <c r="G823" t="n">
        <v>7.1</v>
      </c>
      <c r="H823" t="n">
        <v>0</v>
      </c>
      <c r="I823" t="n">
        <v>0</v>
      </c>
      <c r="J823" t="n">
        <v>0</v>
      </c>
      <c r="K823" t="n">
        <v>0</v>
      </c>
      <c r="L823" t="n">
        <v>0</v>
      </c>
      <c r="M823" t="n">
        <v>0</v>
      </c>
      <c r="N823" t="n">
        <v>0</v>
      </c>
      <c r="O823" t="n">
        <v>0</v>
      </c>
      <c r="P823" t="n">
        <v>0</v>
      </c>
      <c r="Q823" t="n">
        <v>0</v>
      </c>
      <c r="R823" s="2" t="inlineStr"/>
    </row>
    <row r="824" ht="15" customHeight="1">
      <c r="A824" t="inlineStr">
        <is>
          <t>A 1289-2024</t>
        </is>
      </c>
      <c r="B824" s="1" t="n">
        <v>45303.32234953704</v>
      </c>
      <c r="C824" s="1" t="n">
        <v>45922</v>
      </c>
      <c r="D824" t="inlineStr">
        <is>
          <t>SKÅNE LÄN</t>
        </is>
      </c>
      <c r="E824" t="inlineStr">
        <is>
          <t>HÄSSLEHOLM</t>
        </is>
      </c>
      <c r="G824" t="n">
        <v>4.6</v>
      </c>
      <c r="H824" t="n">
        <v>0</v>
      </c>
      <c r="I824" t="n">
        <v>0</v>
      </c>
      <c r="J824" t="n">
        <v>0</v>
      </c>
      <c r="K824" t="n">
        <v>0</v>
      </c>
      <c r="L824" t="n">
        <v>0</v>
      </c>
      <c r="M824" t="n">
        <v>0</v>
      </c>
      <c r="N824" t="n">
        <v>0</v>
      </c>
      <c r="O824" t="n">
        <v>0</v>
      </c>
      <c r="P824" t="n">
        <v>0</v>
      </c>
      <c r="Q824" t="n">
        <v>0</v>
      </c>
      <c r="R824" s="2" t="inlineStr"/>
    </row>
    <row r="825" ht="15" customHeight="1">
      <c r="A825" t="inlineStr">
        <is>
          <t>A 54176-2022</t>
        </is>
      </c>
      <c r="B825" s="1" t="n">
        <v>44881</v>
      </c>
      <c r="C825" s="1" t="n">
        <v>45922</v>
      </c>
      <c r="D825" t="inlineStr">
        <is>
          <t>SKÅNE LÄN</t>
        </is>
      </c>
      <c r="E825" t="inlineStr">
        <is>
          <t>HÄSSLEHOLM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35259-2025</t>
        </is>
      </c>
      <c r="B826" s="1" t="n">
        <v>45853.76912037037</v>
      </c>
      <c r="C826" s="1" t="n">
        <v>45922</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56158-2020</t>
        </is>
      </c>
      <c r="B827" s="1" t="n">
        <v>44133</v>
      </c>
      <c r="C827" s="1" t="n">
        <v>45922</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7152-2025</t>
        </is>
      </c>
      <c r="B828" s="1" t="n">
        <v>45702.3837037037</v>
      </c>
      <c r="C828" s="1" t="n">
        <v>45922</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7160-2025</t>
        </is>
      </c>
      <c r="B829" s="1" t="n">
        <v>45702.3875462963</v>
      </c>
      <c r="C829" s="1" t="n">
        <v>45922</v>
      </c>
      <c r="D829" t="inlineStr">
        <is>
          <t>SKÅNE LÄN</t>
        </is>
      </c>
      <c r="E829" t="inlineStr">
        <is>
          <t>HÄSSLEHOLM</t>
        </is>
      </c>
      <c r="G829" t="n">
        <v>2.5</v>
      </c>
      <c r="H829" t="n">
        <v>0</v>
      </c>
      <c r="I829" t="n">
        <v>0</v>
      </c>
      <c r="J829" t="n">
        <v>0</v>
      </c>
      <c r="K829" t="n">
        <v>0</v>
      </c>
      <c r="L829" t="n">
        <v>0</v>
      </c>
      <c r="M829" t="n">
        <v>0</v>
      </c>
      <c r="N829" t="n">
        <v>0</v>
      </c>
      <c r="O829" t="n">
        <v>0</v>
      </c>
      <c r="P829" t="n">
        <v>0</v>
      </c>
      <c r="Q829" t="n">
        <v>0</v>
      </c>
      <c r="R829" s="2" t="inlineStr"/>
    </row>
    <row r="830" ht="15" customHeight="1">
      <c r="A830" t="inlineStr">
        <is>
          <t>A 6836-2023</t>
        </is>
      </c>
      <c r="B830" s="1" t="n">
        <v>44967</v>
      </c>
      <c r="C830" s="1" t="n">
        <v>45922</v>
      </c>
      <c r="D830" t="inlineStr">
        <is>
          <t>SKÅNE LÄN</t>
        </is>
      </c>
      <c r="E830" t="inlineStr">
        <is>
          <t>HÄSSLEHOLM</t>
        </is>
      </c>
      <c r="G830" t="n">
        <v>3.5</v>
      </c>
      <c r="H830" t="n">
        <v>0</v>
      </c>
      <c r="I830" t="n">
        <v>0</v>
      </c>
      <c r="J830" t="n">
        <v>0</v>
      </c>
      <c r="K830" t="n">
        <v>0</v>
      </c>
      <c r="L830" t="n">
        <v>0</v>
      </c>
      <c r="M830" t="n">
        <v>0</v>
      </c>
      <c r="N830" t="n">
        <v>0</v>
      </c>
      <c r="O830" t="n">
        <v>0</v>
      </c>
      <c r="P830" t="n">
        <v>0</v>
      </c>
      <c r="Q830" t="n">
        <v>0</v>
      </c>
      <c r="R830" s="2" t="inlineStr"/>
    </row>
    <row r="831" ht="15" customHeight="1">
      <c r="A831" t="inlineStr">
        <is>
          <t>A 6845-2023</t>
        </is>
      </c>
      <c r="B831" s="1" t="n">
        <v>44967</v>
      </c>
      <c r="C831" s="1" t="n">
        <v>45922</v>
      </c>
      <c r="D831" t="inlineStr">
        <is>
          <t>SKÅNE LÄN</t>
        </is>
      </c>
      <c r="E831" t="inlineStr">
        <is>
          <t>HÄSSLEHOLM</t>
        </is>
      </c>
      <c r="G831" t="n">
        <v>1.4</v>
      </c>
      <c r="H831" t="n">
        <v>0</v>
      </c>
      <c r="I831" t="n">
        <v>0</v>
      </c>
      <c r="J831" t="n">
        <v>0</v>
      </c>
      <c r="K831" t="n">
        <v>0</v>
      </c>
      <c r="L831" t="n">
        <v>0</v>
      </c>
      <c r="M831" t="n">
        <v>0</v>
      </c>
      <c r="N831" t="n">
        <v>0</v>
      </c>
      <c r="O831" t="n">
        <v>0</v>
      </c>
      <c r="P831" t="n">
        <v>0</v>
      </c>
      <c r="Q831" t="n">
        <v>0</v>
      </c>
      <c r="R831" s="2" t="inlineStr"/>
    </row>
    <row r="832" ht="15" customHeight="1">
      <c r="A832" t="inlineStr">
        <is>
          <t>A 17413-2025</t>
        </is>
      </c>
      <c r="B832" s="1" t="n">
        <v>45757.37480324074</v>
      </c>
      <c r="C832" s="1" t="n">
        <v>45922</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27291-2023</t>
        </is>
      </c>
      <c r="B833" s="1" t="n">
        <v>45096</v>
      </c>
      <c r="C833" s="1" t="n">
        <v>45922</v>
      </c>
      <c r="D833" t="inlineStr">
        <is>
          <t>SKÅNE LÄN</t>
        </is>
      </c>
      <c r="E833" t="inlineStr">
        <is>
          <t>HÄSSLEHOLM</t>
        </is>
      </c>
      <c r="G833" t="n">
        <v>3.5</v>
      </c>
      <c r="H833" t="n">
        <v>0</v>
      </c>
      <c r="I833" t="n">
        <v>0</v>
      </c>
      <c r="J833" t="n">
        <v>0</v>
      </c>
      <c r="K833" t="n">
        <v>0</v>
      </c>
      <c r="L833" t="n">
        <v>0</v>
      </c>
      <c r="M833" t="n">
        <v>0</v>
      </c>
      <c r="N833" t="n">
        <v>0</v>
      </c>
      <c r="O833" t="n">
        <v>0</v>
      </c>
      <c r="P833" t="n">
        <v>0</v>
      </c>
      <c r="Q833" t="n">
        <v>0</v>
      </c>
      <c r="R833" s="2" t="inlineStr"/>
    </row>
    <row r="834" ht="15" customHeight="1">
      <c r="A834" t="inlineStr">
        <is>
          <t>A 53887-2023</t>
        </is>
      </c>
      <c r="B834" s="1" t="n">
        <v>45231.52675925926</v>
      </c>
      <c r="C834" s="1" t="n">
        <v>45922</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21329-2023</t>
        </is>
      </c>
      <c r="B835" s="1" t="n">
        <v>45062</v>
      </c>
      <c r="C835" s="1" t="n">
        <v>45922</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441-2022</t>
        </is>
      </c>
      <c r="B836" s="1" t="n">
        <v>44565.97125</v>
      </c>
      <c r="C836" s="1" t="n">
        <v>45922</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41680-2024</t>
        </is>
      </c>
      <c r="B837" s="1" t="n">
        <v>45560</v>
      </c>
      <c r="C837" s="1" t="n">
        <v>45922</v>
      </c>
      <c r="D837" t="inlineStr">
        <is>
          <t>SKÅNE LÄN</t>
        </is>
      </c>
      <c r="E837" t="inlineStr">
        <is>
          <t>HÄSSLEHOLM</t>
        </is>
      </c>
      <c r="G837" t="n">
        <v>0.2</v>
      </c>
      <c r="H837" t="n">
        <v>0</v>
      </c>
      <c r="I837" t="n">
        <v>0</v>
      </c>
      <c r="J837" t="n">
        <v>0</v>
      </c>
      <c r="K837" t="n">
        <v>0</v>
      </c>
      <c r="L837" t="n">
        <v>0</v>
      </c>
      <c r="M837" t="n">
        <v>0</v>
      </c>
      <c r="N837" t="n">
        <v>0</v>
      </c>
      <c r="O837" t="n">
        <v>0</v>
      </c>
      <c r="P837" t="n">
        <v>0</v>
      </c>
      <c r="Q837" t="n">
        <v>0</v>
      </c>
      <c r="R837" s="2" t="inlineStr"/>
    </row>
    <row r="838" ht="15" customHeight="1">
      <c r="A838" t="inlineStr">
        <is>
          <t>A 1543-2024</t>
        </is>
      </c>
      <c r="B838" s="1" t="n">
        <v>45306</v>
      </c>
      <c r="C838" s="1" t="n">
        <v>45922</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18800-2023</t>
        </is>
      </c>
      <c r="B839" s="1" t="n">
        <v>45044</v>
      </c>
      <c r="C839" s="1" t="n">
        <v>45922</v>
      </c>
      <c r="D839" t="inlineStr">
        <is>
          <t>SKÅNE LÄN</t>
        </is>
      </c>
      <c r="E839" t="inlineStr">
        <is>
          <t>HÄSSLEHOLM</t>
        </is>
      </c>
      <c r="G839" t="n">
        <v>1.1</v>
      </c>
      <c r="H839" t="n">
        <v>0</v>
      </c>
      <c r="I839" t="n">
        <v>0</v>
      </c>
      <c r="J839" t="n">
        <v>0</v>
      </c>
      <c r="K839" t="n">
        <v>0</v>
      </c>
      <c r="L839" t="n">
        <v>0</v>
      </c>
      <c r="M839" t="n">
        <v>0</v>
      </c>
      <c r="N839" t="n">
        <v>0</v>
      </c>
      <c r="O839" t="n">
        <v>0</v>
      </c>
      <c r="P839" t="n">
        <v>0</v>
      </c>
      <c r="Q839" t="n">
        <v>0</v>
      </c>
      <c r="R839" s="2" t="inlineStr"/>
    </row>
    <row r="840" ht="15" customHeight="1">
      <c r="A840" t="inlineStr">
        <is>
          <t>A 5887-2025</t>
        </is>
      </c>
      <c r="B840" s="1" t="n">
        <v>45695.37925925926</v>
      </c>
      <c r="C840" s="1" t="n">
        <v>45922</v>
      </c>
      <c r="D840" t="inlineStr">
        <is>
          <t>SKÅNE LÄN</t>
        </is>
      </c>
      <c r="E840" t="inlineStr">
        <is>
          <t>HÄSSLEHOLM</t>
        </is>
      </c>
      <c r="G840" t="n">
        <v>4.8</v>
      </c>
      <c r="H840" t="n">
        <v>0</v>
      </c>
      <c r="I840" t="n">
        <v>0</v>
      </c>
      <c r="J840" t="n">
        <v>0</v>
      </c>
      <c r="K840" t="n">
        <v>0</v>
      </c>
      <c r="L840" t="n">
        <v>0</v>
      </c>
      <c r="M840" t="n">
        <v>0</v>
      </c>
      <c r="N840" t="n">
        <v>0</v>
      </c>
      <c r="O840" t="n">
        <v>0</v>
      </c>
      <c r="P840" t="n">
        <v>0</v>
      </c>
      <c r="Q840" t="n">
        <v>0</v>
      </c>
      <c r="R840" s="2" t="inlineStr"/>
    </row>
    <row r="841" ht="15" customHeight="1">
      <c r="A841" t="inlineStr">
        <is>
          <t>A 41400-2025</t>
        </is>
      </c>
      <c r="B841" s="1" t="n">
        <v>45901</v>
      </c>
      <c r="C841" s="1" t="n">
        <v>45922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41401-2025</t>
        </is>
      </c>
      <c r="B842" s="1" t="n">
        <v>45901</v>
      </c>
      <c r="C842" s="1" t="n">
        <v>45922</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11121-2023</t>
        </is>
      </c>
      <c r="B843" s="1" t="n">
        <v>44986</v>
      </c>
      <c r="C843" s="1" t="n">
        <v>45922</v>
      </c>
      <c r="D843" t="inlineStr">
        <is>
          <t>SKÅNE LÄN</t>
        </is>
      </c>
      <c r="E843" t="inlineStr">
        <is>
          <t>HÄSSLEHOLM</t>
        </is>
      </c>
      <c r="F843" t="inlineStr">
        <is>
          <t>Kommuner</t>
        </is>
      </c>
      <c r="G843" t="n">
        <v>5.8</v>
      </c>
      <c r="H843" t="n">
        <v>0</v>
      </c>
      <c r="I843" t="n">
        <v>0</v>
      </c>
      <c r="J843" t="n">
        <v>0</v>
      </c>
      <c r="K843" t="n">
        <v>0</v>
      </c>
      <c r="L843" t="n">
        <v>0</v>
      </c>
      <c r="M843" t="n">
        <v>0</v>
      </c>
      <c r="N843" t="n">
        <v>0</v>
      </c>
      <c r="O843" t="n">
        <v>0</v>
      </c>
      <c r="P843" t="n">
        <v>0</v>
      </c>
      <c r="Q843" t="n">
        <v>0</v>
      </c>
      <c r="R843" s="2" t="inlineStr"/>
    </row>
    <row r="844" ht="15" customHeight="1">
      <c r="A844" t="inlineStr">
        <is>
          <t>A 11116-2023</t>
        </is>
      </c>
      <c r="B844" s="1" t="n">
        <v>44986</v>
      </c>
      <c r="C844" s="1" t="n">
        <v>45922</v>
      </c>
      <c r="D844" t="inlineStr">
        <is>
          <t>SKÅNE LÄN</t>
        </is>
      </c>
      <c r="E844" t="inlineStr">
        <is>
          <t>HÄSSLEHOLM</t>
        </is>
      </c>
      <c r="F844" t="inlineStr">
        <is>
          <t>Kommuner</t>
        </is>
      </c>
      <c r="G844" t="n">
        <v>15.1</v>
      </c>
      <c r="H844" t="n">
        <v>0</v>
      </c>
      <c r="I844" t="n">
        <v>0</v>
      </c>
      <c r="J844" t="n">
        <v>0</v>
      </c>
      <c r="K844" t="n">
        <v>0</v>
      </c>
      <c r="L844" t="n">
        <v>0</v>
      </c>
      <c r="M844" t="n">
        <v>0</v>
      </c>
      <c r="N844" t="n">
        <v>0</v>
      </c>
      <c r="O844" t="n">
        <v>0</v>
      </c>
      <c r="P844" t="n">
        <v>0</v>
      </c>
      <c r="Q844" t="n">
        <v>0</v>
      </c>
      <c r="R844" s="2" t="inlineStr"/>
    </row>
    <row r="845" ht="15" customHeight="1">
      <c r="A845" t="inlineStr">
        <is>
          <t>A 14157-2021</t>
        </is>
      </c>
      <c r="B845" s="1" t="n">
        <v>44278.43246527778</v>
      </c>
      <c r="C845" s="1" t="n">
        <v>45922</v>
      </c>
      <c r="D845" t="inlineStr">
        <is>
          <t>SKÅNE LÄN</t>
        </is>
      </c>
      <c r="E845" t="inlineStr">
        <is>
          <t>HÄSSLEHOLM</t>
        </is>
      </c>
      <c r="G845" t="n">
        <v>10.5</v>
      </c>
      <c r="H845" t="n">
        <v>0</v>
      </c>
      <c r="I845" t="n">
        <v>0</v>
      </c>
      <c r="J845" t="n">
        <v>0</v>
      </c>
      <c r="K845" t="n">
        <v>0</v>
      </c>
      <c r="L845" t="n">
        <v>0</v>
      </c>
      <c r="M845" t="n">
        <v>0</v>
      </c>
      <c r="N845" t="n">
        <v>0</v>
      </c>
      <c r="O845" t="n">
        <v>0</v>
      </c>
      <c r="P845" t="n">
        <v>0</v>
      </c>
      <c r="Q845" t="n">
        <v>0</v>
      </c>
      <c r="R845" s="2" t="inlineStr"/>
    </row>
    <row r="846" ht="15" customHeight="1">
      <c r="A846" t="inlineStr">
        <is>
          <t>A 54874-2022</t>
        </is>
      </c>
      <c r="B846" s="1" t="n">
        <v>44881</v>
      </c>
      <c r="C846" s="1" t="n">
        <v>45922</v>
      </c>
      <c r="D846" t="inlineStr">
        <is>
          <t>SKÅNE LÄN</t>
        </is>
      </c>
      <c r="E846" t="inlineStr">
        <is>
          <t>HÄSSLEHOLM</t>
        </is>
      </c>
      <c r="G846" t="n">
        <v>8.1</v>
      </c>
      <c r="H846" t="n">
        <v>0</v>
      </c>
      <c r="I846" t="n">
        <v>0</v>
      </c>
      <c r="J846" t="n">
        <v>0</v>
      </c>
      <c r="K846" t="n">
        <v>0</v>
      </c>
      <c r="L846" t="n">
        <v>0</v>
      </c>
      <c r="M846" t="n">
        <v>0</v>
      </c>
      <c r="N846" t="n">
        <v>0</v>
      </c>
      <c r="O846" t="n">
        <v>0</v>
      </c>
      <c r="P846" t="n">
        <v>0</v>
      </c>
      <c r="Q846" t="n">
        <v>0</v>
      </c>
      <c r="R846" s="2" t="inlineStr"/>
    </row>
    <row r="847" ht="15" customHeight="1">
      <c r="A847" t="inlineStr">
        <is>
          <t>A 25077-2024</t>
        </is>
      </c>
      <c r="B847" s="1" t="n">
        <v>45462</v>
      </c>
      <c r="C847" s="1" t="n">
        <v>45922</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17152-2025</t>
        </is>
      </c>
      <c r="B848" s="1" t="n">
        <v>45756.33318287037</v>
      </c>
      <c r="C848" s="1" t="n">
        <v>45922</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34301-2024</t>
        </is>
      </c>
      <c r="B849" s="1" t="n">
        <v>45524</v>
      </c>
      <c r="C849" s="1" t="n">
        <v>45922</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27242-2022</t>
        </is>
      </c>
      <c r="B850" s="1" t="n">
        <v>44741</v>
      </c>
      <c r="C850" s="1" t="n">
        <v>45922</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22535-2024</t>
        </is>
      </c>
      <c r="B851" s="1" t="n">
        <v>45447</v>
      </c>
      <c r="C851" s="1" t="n">
        <v>45922</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15060-2023</t>
        </is>
      </c>
      <c r="B852" s="1" t="n">
        <v>45015.69832175926</v>
      </c>
      <c r="C852" s="1" t="n">
        <v>45922</v>
      </c>
      <c r="D852" t="inlineStr">
        <is>
          <t>SKÅNE LÄN</t>
        </is>
      </c>
      <c r="E852" t="inlineStr">
        <is>
          <t>HÄSSLEHOLM</t>
        </is>
      </c>
      <c r="G852" t="n">
        <v>1.7</v>
      </c>
      <c r="H852" t="n">
        <v>0</v>
      </c>
      <c r="I852" t="n">
        <v>0</v>
      </c>
      <c r="J852" t="n">
        <v>0</v>
      </c>
      <c r="K852" t="n">
        <v>0</v>
      </c>
      <c r="L852" t="n">
        <v>0</v>
      </c>
      <c r="M852" t="n">
        <v>0</v>
      </c>
      <c r="N852" t="n">
        <v>0</v>
      </c>
      <c r="O852" t="n">
        <v>0</v>
      </c>
      <c r="P852" t="n">
        <v>0</v>
      </c>
      <c r="Q852" t="n">
        <v>0</v>
      </c>
      <c r="R852" s="2" t="inlineStr"/>
    </row>
    <row r="853" ht="15" customHeight="1">
      <c r="A853" t="inlineStr">
        <is>
          <t>A 4787-2023</t>
        </is>
      </c>
      <c r="B853" s="1" t="n">
        <v>44957.60079861111</v>
      </c>
      <c r="C853" s="1" t="n">
        <v>45922</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4788-2023</t>
        </is>
      </c>
      <c r="B854" s="1" t="n">
        <v>44957.60130787037</v>
      </c>
      <c r="C854" s="1" t="n">
        <v>45922</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34348-2022</t>
        </is>
      </c>
      <c r="B855" s="1" t="n">
        <v>44792</v>
      </c>
      <c r="C855" s="1" t="n">
        <v>45922</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61158-2022</t>
        </is>
      </c>
      <c r="B856" s="1" t="n">
        <v>44915.47112268519</v>
      </c>
      <c r="C856" s="1" t="n">
        <v>45922</v>
      </c>
      <c r="D856" t="inlineStr">
        <is>
          <t>SKÅNE LÄN</t>
        </is>
      </c>
      <c r="E856" t="inlineStr">
        <is>
          <t>HÄSSLEHOLM</t>
        </is>
      </c>
      <c r="G856" t="n">
        <v>8.4</v>
      </c>
      <c r="H856" t="n">
        <v>0</v>
      </c>
      <c r="I856" t="n">
        <v>0</v>
      </c>
      <c r="J856" t="n">
        <v>0</v>
      </c>
      <c r="K856" t="n">
        <v>0</v>
      </c>
      <c r="L856" t="n">
        <v>0</v>
      </c>
      <c r="M856" t="n">
        <v>0</v>
      </c>
      <c r="N856" t="n">
        <v>0</v>
      </c>
      <c r="O856" t="n">
        <v>0</v>
      </c>
      <c r="P856" t="n">
        <v>0</v>
      </c>
      <c r="Q856" t="n">
        <v>0</v>
      </c>
      <c r="R856" s="2" t="inlineStr"/>
    </row>
    <row r="857" ht="15" customHeight="1">
      <c r="A857" t="inlineStr">
        <is>
          <t>A 61186-2022</t>
        </is>
      </c>
      <c r="B857" s="1" t="n">
        <v>44915.50745370371</v>
      </c>
      <c r="C857" s="1" t="n">
        <v>45922</v>
      </c>
      <c r="D857" t="inlineStr">
        <is>
          <t>SKÅNE LÄN</t>
        </is>
      </c>
      <c r="E857" t="inlineStr">
        <is>
          <t>HÄSSLEHOLM</t>
        </is>
      </c>
      <c r="G857" t="n">
        <v>2.9</v>
      </c>
      <c r="H857" t="n">
        <v>0</v>
      </c>
      <c r="I857" t="n">
        <v>0</v>
      </c>
      <c r="J857" t="n">
        <v>0</v>
      </c>
      <c r="K857" t="n">
        <v>0</v>
      </c>
      <c r="L857" t="n">
        <v>0</v>
      </c>
      <c r="M857" t="n">
        <v>0</v>
      </c>
      <c r="N857" t="n">
        <v>0</v>
      </c>
      <c r="O857" t="n">
        <v>0</v>
      </c>
      <c r="P857" t="n">
        <v>0</v>
      </c>
      <c r="Q857" t="n">
        <v>0</v>
      </c>
      <c r="R857" s="2" t="inlineStr"/>
    </row>
    <row r="858" ht="15" customHeight="1">
      <c r="A858" t="inlineStr">
        <is>
          <t>A 45399-2022</t>
        </is>
      </c>
      <c r="B858" s="1" t="n">
        <v>44844.70513888889</v>
      </c>
      <c r="C858" s="1" t="n">
        <v>45922</v>
      </c>
      <c r="D858" t="inlineStr">
        <is>
          <t>SKÅNE LÄN</t>
        </is>
      </c>
      <c r="E858" t="inlineStr">
        <is>
          <t>HÄSSLEHOLM</t>
        </is>
      </c>
      <c r="G858" t="n">
        <v>0</v>
      </c>
      <c r="H858" t="n">
        <v>0</v>
      </c>
      <c r="I858" t="n">
        <v>0</v>
      </c>
      <c r="J858" t="n">
        <v>0</v>
      </c>
      <c r="K858" t="n">
        <v>0</v>
      </c>
      <c r="L858" t="n">
        <v>0</v>
      </c>
      <c r="M858" t="n">
        <v>0</v>
      </c>
      <c r="N858" t="n">
        <v>0</v>
      </c>
      <c r="O858" t="n">
        <v>0</v>
      </c>
      <c r="P858" t="n">
        <v>0</v>
      </c>
      <c r="Q858" t="n">
        <v>0</v>
      </c>
      <c r="R858" s="2" t="inlineStr"/>
    </row>
    <row r="859" ht="15" customHeight="1">
      <c r="A859" t="inlineStr">
        <is>
          <t>A 35640-2023</t>
        </is>
      </c>
      <c r="B859" s="1" t="n">
        <v>45147</v>
      </c>
      <c r="C859" s="1" t="n">
        <v>45922</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62055-2023</t>
        </is>
      </c>
      <c r="B860" s="1" t="n">
        <v>45266.70287037037</v>
      </c>
      <c r="C860" s="1" t="n">
        <v>45922</v>
      </c>
      <c r="D860" t="inlineStr">
        <is>
          <t>SKÅNE LÄN</t>
        </is>
      </c>
      <c r="E860" t="inlineStr">
        <is>
          <t>HÄSSLEHOLM</t>
        </is>
      </c>
      <c r="G860" t="n">
        <v>5.2</v>
      </c>
      <c r="H860" t="n">
        <v>0</v>
      </c>
      <c r="I860" t="n">
        <v>0</v>
      </c>
      <c r="J860" t="n">
        <v>0</v>
      </c>
      <c r="K860" t="n">
        <v>0</v>
      </c>
      <c r="L860" t="n">
        <v>0</v>
      </c>
      <c r="M860" t="n">
        <v>0</v>
      </c>
      <c r="N860" t="n">
        <v>0</v>
      </c>
      <c r="O860" t="n">
        <v>0</v>
      </c>
      <c r="P860" t="n">
        <v>0</v>
      </c>
      <c r="Q860" t="n">
        <v>0</v>
      </c>
      <c r="R860" s="2" t="inlineStr"/>
    </row>
    <row r="861" ht="15" customHeight="1">
      <c r="A861" t="inlineStr">
        <is>
          <t>A 2681-2024</t>
        </is>
      </c>
      <c r="B861" s="1" t="n">
        <v>45314</v>
      </c>
      <c r="C861" s="1" t="n">
        <v>45922</v>
      </c>
      <c r="D861" t="inlineStr">
        <is>
          <t>SKÅNE LÄN</t>
        </is>
      </c>
      <c r="E861" t="inlineStr">
        <is>
          <t>HÄSSLEHOLM</t>
        </is>
      </c>
      <c r="F861" t="inlineStr">
        <is>
          <t>Övriga Aktiebolag</t>
        </is>
      </c>
      <c r="G861" t="n">
        <v>1.4</v>
      </c>
      <c r="H861" t="n">
        <v>0</v>
      </c>
      <c r="I861" t="n">
        <v>0</v>
      </c>
      <c r="J861" t="n">
        <v>0</v>
      </c>
      <c r="K861" t="n">
        <v>0</v>
      </c>
      <c r="L861" t="n">
        <v>0</v>
      </c>
      <c r="M861" t="n">
        <v>0</v>
      </c>
      <c r="N861" t="n">
        <v>0</v>
      </c>
      <c r="O861" t="n">
        <v>0</v>
      </c>
      <c r="P861" t="n">
        <v>0</v>
      </c>
      <c r="Q861" t="n">
        <v>0</v>
      </c>
      <c r="R861" s="2" t="inlineStr"/>
    </row>
    <row r="862" ht="15" customHeight="1">
      <c r="A862" t="inlineStr">
        <is>
          <t>A 27177-2024</t>
        </is>
      </c>
      <c r="B862" s="1" t="n">
        <v>45471.57201388889</v>
      </c>
      <c r="C862" s="1" t="n">
        <v>45922</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49219-2024</t>
        </is>
      </c>
      <c r="B863" s="1" t="n">
        <v>45595.40923611111</v>
      </c>
      <c r="C863" s="1" t="n">
        <v>45922</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13646-2024</t>
        </is>
      </c>
      <c r="B864" s="1" t="n">
        <v>45387</v>
      </c>
      <c r="C864" s="1" t="n">
        <v>45922</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4750-2024</t>
        </is>
      </c>
      <c r="B865" s="1" t="n">
        <v>45328</v>
      </c>
      <c r="C865" s="1" t="n">
        <v>45922</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33465-2024</t>
        </is>
      </c>
      <c r="B866" s="1" t="n">
        <v>45519.59619212963</v>
      </c>
      <c r="C866" s="1" t="n">
        <v>45922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58891-2022</t>
        </is>
      </c>
      <c r="B867" s="1" t="n">
        <v>44896</v>
      </c>
      <c r="C867" s="1" t="n">
        <v>45922</v>
      </c>
      <c r="D867" t="inlineStr">
        <is>
          <t>SKÅNE LÄN</t>
        </is>
      </c>
      <c r="E867" t="inlineStr">
        <is>
          <t>HÄSSLEHOLM</t>
        </is>
      </c>
      <c r="F867" t="inlineStr">
        <is>
          <t>Kyrkan</t>
        </is>
      </c>
      <c r="G867" t="n">
        <v>1.6</v>
      </c>
      <c r="H867" t="n">
        <v>0</v>
      </c>
      <c r="I867" t="n">
        <v>0</v>
      </c>
      <c r="J867" t="n">
        <v>0</v>
      </c>
      <c r="K867" t="n">
        <v>0</v>
      </c>
      <c r="L867" t="n">
        <v>0</v>
      </c>
      <c r="M867" t="n">
        <v>0</v>
      </c>
      <c r="N867" t="n">
        <v>0</v>
      </c>
      <c r="O867" t="n">
        <v>0</v>
      </c>
      <c r="P867" t="n">
        <v>0</v>
      </c>
      <c r="Q867" t="n">
        <v>0</v>
      </c>
      <c r="R867" s="2" t="inlineStr"/>
    </row>
    <row r="868" ht="15" customHeight="1">
      <c r="A868" t="inlineStr">
        <is>
          <t>A 42520-2025</t>
        </is>
      </c>
      <c r="B868" s="1" t="n">
        <v>45905.54846064815</v>
      </c>
      <c r="C868" s="1" t="n">
        <v>45922</v>
      </c>
      <c r="D868" t="inlineStr">
        <is>
          <t>SKÅNE LÄN</t>
        </is>
      </c>
      <c r="E868" t="inlineStr">
        <is>
          <t>HÄSSLEHOLM</t>
        </is>
      </c>
      <c r="G868" t="n">
        <v>2.5</v>
      </c>
      <c r="H868" t="n">
        <v>0</v>
      </c>
      <c r="I868" t="n">
        <v>0</v>
      </c>
      <c r="J868" t="n">
        <v>0</v>
      </c>
      <c r="K868" t="n">
        <v>0</v>
      </c>
      <c r="L868" t="n">
        <v>0</v>
      </c>
      <c r="M868" t="n">
        <v>0</v>
      </c>
      <c r="N868" t="n">
        <v>0</v>
      </c>
      <c r="O868" t="n">
        <v>0</v>
      </c>
      <c r="P868" t="n">
        <v>0</v>
      </c>
      <c r="Q868" t="n">
        <v>0</v>
      </c>
      <c r="R868" s="2" t="inlineStr"/>
    </row>
    <row r="869" ht="15" customHeight="1">
      <c r="A869" t="inlineStr">
        <is>
          <t>A 26642-2023</t>
        </is>
      </c>
      <c r="B869" s="1" t="n">
        <v>45092.8975</v>
      </c>
      <c r="C869" s="1" t="n">
        <v>45922</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36568-2024</t>
        </is>
      </c>
      <c r="B870" s="1" t="n">
        <v>45537</v>
      </c>
      <c r="C870" s="1" t="n">
        <v>45922</v>
      </c>
      <c r="D870" t="inlineStr">
        <is>
          <t>SKÅNE LÄN</t>
        </is>
      </c>
      <c r="E870" t="inlineStr">
        <is>
          <t>HÄSSLEHOLM</t>
        </is>
      </c>
      <c r="G870" t="n">
        <v>4.3</v>
      </c>
      <c r="H870" t="n">
        <v>0</v>
      </c>
      <c r="I870" t="n">
        <v>0</v>
      </c>
      <c r="J870" t="n">
        <v>0</v>
      </c>
      <c r="K870" t="n">
        <v>0</v>
      </c>
      <c r="L870" t="n">
        <v>0</v>
      </c>
      <c r="M870" t="n">
        <v>0</v>
      </c>
      <c r="N870" t="n">
        <v>0</v>
      </c>
      <c r="O870" t="n">
        <v>0</v>
      </c>
      <c r="P870" t="n">
        <v>0</v>
      </c>
      <c r="Q870" t="n">
        <v>0</v>
      </c>
      <c r="R870" s="2" t="inlineStr"/>
    </row>
    <row r="871" ht="15" customHeight="1">
      <c r="A871" t="inlineStr">
        <is>
          <t>A 36259-2025</t>
        </is>
      </c>
      <c r="B871" s="1" t="n">
        <v>45867.59799768519</v>
      </c>
      <c r="C871" s="1" t="n">
        <v>45922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9323-2025</t>
        </is>
      </c>
      <c r="B872" s="1" t="n">
        <v>45714.73532407408</v>
      </c>
      <c r="C872" s="1" t="n">
        <v>45922</v>
      </c>
      <c r="D872" t="inlineStr">
        <is>
          <t>SKÅNE LÄN</t>
        </is>
      </c>
      <c r="E872" t="inlineStr">
        <is>
          <t>HÄSSLEHOLM</t>
        </is>
      </c>
      <c r="G872" t="n">
        <v>5.2</v>
      </c>
      <c r="H872" t="n">
        <v>0</v>
      </c>
      <c r="I872" t="n">
        <v>0</v>
      </c>
      <c r="J872" t="n">
        <v>0</v>
      </c>
      <c r="K872" t="n">
        <v>0</v>
      </c>
      <c r="L872" t="n">
        <v>0</v>
      </c>
      <c r="M872" t="n">
        <v>0</v>
      </c>
      <c r="N872" t="n">
        <v>0</v>
      </c>
      <c r="O872" t="n">
        <v>0</v>
      </c>
      <c r="P872" t="n">
        <v>0</v>
      </c>
      <c r="Q872" t="n">
        <v>0</v>
      </c>
      <c r="R872" s="2" t="inlineStr"/>
    </row>
    <row r="873" ht="15" customHeight="1">
      <c r="A873" t="inlineStr">
        <is>
          <t>A 19593-2023</t>
        </is>
      </c>
      <c r="B873" s="1" t="n">
        <v>45050.75895833333</v>
      </c>
      <c r="C873" s="1" t="n">
        <v>45922</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18109-2025</t>
        </is>
      </c>
      <c r="B874" s="1" t="n">
        <v>45761</v>
      </c>
      <c r="C874" s="1" t="n">
        <v>45922</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36130-2025</t>
        </is>
      </c>
      <c r="B875" s="1" t="n">
        <v>45866.62273148148</v>
      </c>
      <c r="C875" s="1" t="n">
        <v>45922</v>
      </c>
      <c r="D875" t="inlineStr">
        <is>
          <t>SKÅNE LÄN</t>
        </is>
      </c>
      <c r="E875" t="inlineStr">
        <is>
          <t>HÄSSLEHOLM</t>
        </is>
      </c>
      <c r="G875" t="n">
        <v>4.7</v>
      </c>
      <c r="H875" t="n">
        <v>0</v>
      </c>
      <c r="I875" t="n">
        <v>0</v>
      </c>
      <c r="J875" t="n">
        <v>0</v>
      </c>
      <c r="K875" t="n">
        <v>0</v>
      </c>
      <c r="L875" t="n">
        <v>0</v>
      </c>
      <c r="M875" t="n">
        <v>0</v>
      </c>
      <c r="N875" t="n">
        <v>0</v>
      </c>
      <c r="O875" t="n">
        <v>0</v>
      </c>
      <c r="P875" t="n">
        <v>0</v>
      </c>
      <c r="Q875" t="n">
        <v>0</v>
      </c>
      <c r="R875" s="2" t="inlineStr"/>
    </row>
    <row r="876" ht="15" customHeight="1">
      <c r="A876" t="inlineStr">
        <is>
          <t>A 16860-2025</t>
        </is>
      </c>
      <c r="B876" s="1" t="n">
        <v>45751</v>
      </c>
      <c r="C876" s="1" t="n">
        <v>45922</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66321-2021</t>
        </is>
      </c>
      <c r="B877" s="1" t="n">
        <v>44518</v>
      </c>
      <c r="C877" s="1" t="n">
        <v>45922</v>
      </c>
      <c r="D877" t="inlineStr">
        <is>
          <t>SKÅNE LÄN</t>
        </is>
      </c>
      <c r="E877" t="inlineStr">
        <is>
          <t>HÄSSLEHOLM</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16668-2025</t>
        </is>
      </c>
      <c r="B878" s="1" t="n">
        <v>45754.43009259259</v>
      </c>
      <c r="C878" s="1" t="n">
        <v>45922</v>
      </c>
      <c r="D878" t="inlineStr">
        <is>
          <t>SKÅNE LÄN</t>
        </is>
      </c>
      <c r="E878" t="inlineStr">
        <is>
          <t>HÄSSLEHOLM</t>
        </is>
      </c>
      <c r="G878" t="n">
        <v>4</v>
      </c>
      <c r="H878" t="n">
        <v>0</v>
      </c>
      <c r="I878" t="n">
        <v>0</v>
      </c>
      <c r="J878" t="n">
        <v>0</v>
      </c>
      <c r="K878" t="n">
        <v>0</v>
      </c>
      <c r="L878" t="n">
        <v>0</v>
      </c>
      <c r="M878" t="n">
        <v>0</v>
      </c>
      <c r="N878" t="n">
        <v>0</v>
      </c>
      <c r="O878" t="n">
        <v>0</v>
      </c>
      <c r="P878" t="n">
        <v>0</v>
      </c>
      <c r="Q878" t="n">
        <v>0</v>
      </c>
      <c r="R878" s="2" t="inlineStr"/>
    </row>
    <row r="879" ht="15" customHeight="1">
      <c r="A879" t="inlineStr">
        <is>
          <t>A 16017-2023</t>
        </is>
      </c>
      <c r="B879" s="1" t="n">
        <v>45026</v>
      </c>
      <c r="C879" s="1" t="n">
        <v>45922</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23857-2024</t>
        </is>
      </c>
      <c r="B880" s="1" t="n">
        <v>45455</v>
      </c>
      <c r="C880" s="1" t="n">
        <v>45922</v>
      </c>
      <c r="D880" t="inlineStr">
        <is>
          <t>SKÅNE LÄN</t>
        </is>
      </c>
      <c r="E880" t="inlineStr">
        <is>
          <t>HÄSSLEHOLM</t>
        </is>
      </c>
      <c r="G880" t="n">
        <v>3</v>
      </c>
      <c r="H880" t="n">
        <v>0</v>
      </c>
      <c r="I880" t="n">
        <v>0</v>
      </c>
      <c r="J880" t="n">
        <v>0</v>
      </c>
      <c r="K880" t="n">
        <v>0</v>
      </c>
      <c r="L880" t="n">
        <v>0</v>
      </c>
      <c r="M880" t="n">
        <v>0</v>
      </c>
      <c r="N880" t="n">
        <v>0</v>
      </c>
      <c r="O880" t="n">
        <v>0</v>
      </c>
      <c r="P880" t="n">
        <v>0</v>
      </c>
      <c r="Q880" t="n">
        <v>0</v>
      </c>
      <c r="R880" s="2" t="inlineStr"/>
    </row>
    <row r="881" ht="15" customHeight="1">
      <c r="A881" t="inlineStr">
        <is>
          <t>A 31268-2024</t>
        </is>
      </c>
      <c r="B881" s="1" t="n">
        <v>45504</v>
      </c>
      <c r="C881" s="1" t="n">
        <v>45922</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19666-2025</t>
        </is>
      </c>
      <c r="B882" s="1" t="n">
        <v>45770.69326388889</v>
      </c>
      <c r="C882" s="1" t="n">
        <v>45922</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51287-2022</t>
        </is>
      </c>
      <c r="B883" s="1" t="n">
        <v>44868.83146990741</v>
      </c>
      <c r="C883" s="1" t="n">
        <v>45922</v>
      </c>
      <c r="D883" t="inlineStr">
        <is>
          <t>SKÅNE LÄN</t>
        </is>
      </c>
      <c r="E883" t="inlineStr">
        <is>
          <t>HÄSSLEHOLM</t>
        </is>
      </c>
      <c r="G883" t="n">
        <v>2.2</v>
      </c>
      <c r="H883" t="n">
        <v>0</v>
      </c>
      <c r="I883" t="n">
        <v>0</v>
      </c>
      <c r="J883" t="n">
        <v>0</v>
      </c>
      <c r="K883" t="n">
        <v>0</v>
      </c>
      <c r="L883" t="n">
        <v>0</v>
      </c>
      <c r="M883" t="n">
        <v>0</v>
      </c>
      <c r="N883" t="n">
        <v>0</v>
      </c>
      <c r="O883" t="n">
        <v>0</v>
      </c>
      <c r="P883" t="n">
        <v>0</v>
      </c>
      <c r="Q883" t="n">
        <v>0</v>
      </c>
      <c r="R883" s="2" t="inlineStr"/>
    </row>
    <row r="884" ht="15" customHeight="1">
      <c r="A884" t="inlineStr">
        <is>
          <t>A 36359-2025</t>
        </is>
      </c>
      <c r="B884" s="1" t="n">
        <v>45867</v>
      </c>
      <c r="C884" s="1" t="n">
        <v>45922</v>
      </c>
      <c r="D884" t="inlineStr">
        <is>
          <t>SKÅNE LÄN</t>
        </is>
      </c>
      <c r="E884" t="inlineStr">
        <is>
          <t>HÄSSLEHOLM</t>
        </is>
      </c>
      <c r="G884" t="n">
        <v>2.2</v>
      </c>
      <c r="H884" t="n">
        <v>0</v>
      </c>
      <c r="I884" t="n">
        <v>0</v>
      </c>
      <c r="J884" t="n">
        <v>0</v>
      </c>
      <c r="K884" t="n">
        <v>0</v>
      </c>
      <c r="L884" t="n">
        <v>0</v>
      </c>
      <c r="M884" t="n">
        <v>0</v>
      </c>
      <c r="N884" t="n">
        <v>0</v>
      </c>
      <c r="O884" t="n">
        <v>0</v>
      </c>
      <c r="P884" t="n">
        <v>0</v>
      </c>
      <c r="Q884" t="n">
        <v>0</v>
      </c>
      <c r="R884" s="2" t="inlineStr"/>
    </row>
    <row r="885" ht="15" customHeight="1">
      <c r="A885" t="inlineStr">
        <is>
          <t>A 36361-2025</t>
        </is>
      </c>
      <c r="B885" s="1" t="n">
        <v>45867</v>
      </c>
      <c r="C885" s="1" t="n">
        <v>45922</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36085-2025</t>
        </is>
      </c>
      <c r="B886" s="1" t="n">
        <v>45866.46190972222</v>
      </c>
      <c r="C886" s="1" t="n">
        <v>45922</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20494-2024</t>
        </is>
      </c>
      <c r="B887" s="1" t="n">
        <v>45435</v>
      </c>
      <c r="C887" s="1" t="n">
        <v>45922</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524-2024</t>
        </is>
      </c>
      <c r="B888" s="1" t="n">
        <v>45299</v>
      </c>
      <c r="C888" s="1" t="n">
        <v>45922</v>
      </c>
      <c r="D888" t="inlineStr">
        <is>
          <t>SKÅNE LÄN</t>
        </is>
      </c>
      <c r="E888" t="inlineStr">
        <is>
          <t>HÄSSLEHOLM</t>
        </is>
      </c>
      <c r="G888" t="n">
        <v>29.4</v>
      </c>
      <c r="H888" t="n">
        <v>0</v>
      </c>
      <c r="I888" t="n">
        <v>0</v>
      </c>
      <c r="J888" t="n">
        <v>0</v>
      </c>
      <c r="K888" t="n">
        <v>0</v>
      </c>
      <c r="L888" t="n">
        <v>0</v>
      </c>
      <c r="M888" t="n">
        <v>0</v>
      </c>
      <c r="N888" t="n">
        <v>0</v>
      </c>
      <c r="O888" t="n">
        <v>0</v>
      </c>
      <c r="P888" t="n">
        <v>0</v>
      </c>
      <c r="Q888" t="n">
        <v>0</v>
      </c>
      <c r="R888" s="2" t="inlineStr"/>
    </row>
    <row r="889" ht="15" customHeight="1">
      <c r="A889" t="inlineStr">
        <is>
          <t>A 55454-2021</t>
        </is>
      </c>
      <c r="B889" s="1" t="n">
        <v>44475</v>
      </c>
      <c r="C889" s="1" t="n">
        <v>45922</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1616-2025</t>
        </is>
      </c>
      <c r="B890" s="1" t="n">
        <v>45670</v>
      </c>
      <c r="C890" s="1" t="n">
        <v>45922</v>
      </c>
      <c r="D890" t="inlineStr">
        <is>
          <t>SKÅNE LÄN</t>
        </is>
      </c>
      <c r="E890" t="inlineStr">
        <is>
          <t>HÄSSLEHOLM</t>
        </is>
      </c>
      <c r="G890" t="n">
        <v>3.6</v>
      </c>
      <c r="H890" t="n">
        <v>0</v>
      </c>
      <c r="I890" t="n">
        <v>0</v>
      </c>
      <c r="J890" t="n">
        <v>0</v>
      </c>
      <c r="K890" t="n">
        <v>0</v>
      </c>
      <c r="L890" t="n">
        <v>0</v>
      </c>
      <c r="M890" t="n">
        <v>0</v>
      </c>
      <c r="N890" t="n">
        <v>0</v>
      </c>
      <c r="O890" t="n">
        <v>0</v>
      </c>
      <c r="P890" t="n">
        <v>0</v>
      </c>
      <c r="Q890" t="n">
        <v>0</v>
      </c>
      <c r="R890" s="2" t="inlineStr"/>
    </row>
    <row r="891" ht="15" customHeight="1">
      <c r="A891" t="inlineStr">
        <is>
          <t>A 31572-2022</t>
        </is>
      </c>
      <c r="B891" s="1" t="n">
        <v>44775</v>
      </c>
      <c r="C891" s="1" t="n">
        <v>45922</v>
      </c>
      <c r="D891" t="inlineStr">
        <is>
          <t>SKÅNE LÄN</t>
        </is>
      </c>
      <c r="E891" t="inlineStr">
        <is>
          <t>HÄSSLEHOLM</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4356-2024</t>
        </is>
      </c>
      <c r="B892" s="1" t="n">
        <v>45325.36195601852</v>
      </c>
      <c r="C892" s="1" t="n">
        <v>45922</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36358-2025</t>
        </is>
      </c>
      <c r="B893" s="1" t="n">
        <v>45867</v>
      </c>
      <c r="C893" s="1" t="n">
        <v>45922</v>
      </c>
      <c r="D893" t="inlineStr">
        <is>
          <t>SKÅNE LÄN</t>
        </is>
      </c>
      <c r="E893" t="inlineStr">
        <is>
          <t>HÄSSLEHOLM</t>
        </is>
      </c>
      <c r="G893" t="n">
        <v>2.8</v>
      </c>
      <c r="H893" t="n">
        <v>0</v>
      </c>
      <c r="I893" t="n">
        <v>0</v>
      </c>
      <c r="J893" t="n">
        <v>0</v>
      </c>
      <c r="K893" t="n">
        <v>0</v>
      </c>
      <c r="L893" t="n">
        <v>0</v>
      </c>
      <c r="M893" t="n">
        <v>0</v>
      </c>
      <c r="N893" t="n">
        <v>0</v>
      </c>
      <c r="O893" t="n">
        <v>0</v>
      </c>
      <c r="P893" t="n">
        <v>0</v>
      </c>
      <c r="Q893" t="n">
        <v>0</v>
      </c>
      <c r="R893" s="2" t="inlineStr"/>
    </row>
    <row r="894" ht="15" customHeight="1">
      <c r="A894" t="inlineStr">
        <is>
          <t>A 9394-2025</t>
        </is>
      </c>
      <c r="B894" s="1" t="n">
        <v>45715.36387731481</v>
      </c>
      <c r="C894" s="1" t="n">
        <v>45922</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24904-2025</t>
        </is>
      </c>
      <c r="B895" s="1" t="n">
        <v>45799</v>
      </c>
      <c r="C895" s="1" t="n">
        <v>45922</v>
      </c>
      <c r="D895" t="inlineStr">
        <is>
          <t>SKÅNE LÄN</t>
        </is>
      </c>
      <c r="E895" t="inlineStr">
        <is>
          <t>HÄSSLEHOLM</t>
        </is>
      </c>
      <c r="G895" t="n">
        <v>2.2</v>
      </c>
      <c r="H895" t="n">
        <v>0</v>
      </c>
      <c r="I895" t="n">
        <v>0</v>
      </c>
      <c r="J895" t="n">
        <v>0</v>
      </c>
      <c r="K895" t="n">
        <v>0</v>
      </c>
      <c r="L895" t="n">
        <v>0</v>
      </c>
      <c r="M895" t="n">
        <v>0</v>
      </c>
      <c r="N895" t="n">
        <v>0</v>
      </c>
      <c r="O895" t="n">
        <v>0</v>
      </c>
      <c r="P895" t="n">
        <v>0</v>
      </c>
      <c r="Q895" t="n">
        <v>0</v>
      </c>
      <c r="R895" s="2" t="inlineStr"/>
    </row>
    <row r="896" ht="15" customHeight="1">
      <c r="A896" t="inlineStr">
        <is>
          <t>A 43332-2025</t>
        </is>
      </c>
      <c r="B896" s="1" t="n">
        <v>45910.70217592592</v>
      </c>
      <c r="C896" s="1" t="n">
        <v>45922</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43333-2025</t>
        </is>
      </c>
      <c r="B897" s="1" t="n">
        <v>45910</v>
      </c>
      <c r="C897" s="1" t="n">
        <v>45922</v>
      </c>
      <c r="D897" t="inlineStr">
        <is>
          <t>SKÅNE LÄN</t>
        </is>
      </c>
      <c r="E897" t="inlineStr">
        <is>
          <t>HÄSSLEHOLM</t>
        </is>
      </c>
      <c r="G897" t="n">
        <v>10.1</v>
      </c>
      <c r="H897" t="n">
        <v>0</v>
      </c>
      <c r="I897" t="n">
        <v>0</v>
      </c>
      <c r="J897" t="n">
        <v>0</v>
      </c>
      <c r="K897" t="n">
        <v>0</v>
      </c>
      <c r="L897" t="n">
        <v>0</v>
      </c>
      <c r="M897" t="n">
        <v>0</v>
      </c>
      <c r="N897" t="n">
        <v>0</v>
      </c>
      <c r="O897" t="n">
        <v>0</v>
      </c>
      <c r="P897" t="n">
        <v>0</v>
      </c>
      <c r="Q897" t="n">
        <v>0</v>
      </c>
      <c r="R897" s="2" t="inlineStr"/>
    </row>
    <row r="898" ht="15" customHeight="1">
      <c r="A898" t="inlineStr">
        <is>
          <t>A 3480-2024</t>
        </is>
      </c>
      <c r="B898" s="1" t="n">
        <v>45320.43998842593</v>
      </c>
      <c r="C898" s="1" t="n">
        <v>45922</v>
      </c>
      <c r="D898" t="inlineStr">
        <is>
          <t>SKÅNE LÄN</t>
        </is>
      </c>
      <c r="E898" t="inlineStr">
        <is>
          <t>HÄSSLEHOLM</t>
        </is>
      </c>
      <c r="G898" t="n">
        <v>0.4</v>
      </c>
      <c r="H898" t="n">
        <v>0</v>
      </c>
      <c r="I898" t="n">
        <v>0</v>
      </c>
      <c r="J898" t="n">
        <v>0</v>
      </c>
      <c r="K898" t="n">
        <v>0</v>
      </c>
      <c r="L898" t="n">
        <v>0</v>
      </c>
      <c r="M898" t="n">
        <v>0</v>
      </c>
      <c r="N898" t="n">
        <v>0</v>
      </c>
      <c r="O898" t="n">
        <v>0</v>
      </c>
      <c r="P898" t="n">
        <v>0</v>
      </c>
      <c r="Q898" t="n">
        <v>0</v>
      </c>
      <c r="R898" s="2" t="inlineStr"/>
    </row>
    <row r="899" ht="15" customHeight="1">
      <c r="A899" t="inlineStr">
        <is>
          <t>A 5980-2024</t>
        </is>
      </c>
      <c r="B899" s="1" t="n">
        <v>45335</v>
      </c>
      <c r="C899" s="1" t="n">
        <v>45922</v>
      </c>
      <c r="D899" t="inlineStr">
        <is>
          <t>SKÅNE LÄN</t>
        </is>
      </c>
      <c r="E899" t="inlineStr">
        <is>
          <t>HÄSSLEHOLM</t>
        </is>
      </c>
      <c r="G899" t="n">
        <v>1.2</v>
      </c>
      <c r="H899" t="n">
        <v>0</v>
      </c>
      <c r="I899" t="n">
        <v>0</v>
      </c>
      <c r="J899" t="n">
        <v>0</v>
      </c>
      <c r="K899" t="n">
        <v>0</v>
      </c>
      <c r="L899" t="n">
        <v>0</v>
      </c>
      <c r="M899" t="n">
        <v>0</v>
      </c>
      <c r="N899" t="n">
        <v>0</v>
      </c>
      <c r="O899" t="n">
        <v>0</v>
      </c>
      <c r="P899" t="n">
        <v>0</v>
      </c>
      <c r="Q899" t="n">
        <v>0</v>
      </c>
      <c r="R899" s="2" t="inlineStr"/>
    </row>
    <row r="900" ht="15" customHeight="1">
      <c r="A900" t="inlineStr">
        <is>
          <t>A 39223-2024</t>
        </is>
      </c>
      <c r="B900" s="1" t="n">
        <v>45550</v>
      </c>
      <c r="C900" s="1" t="n">
        <v>45922</v>
      </c>
      <c r="D900" t="inlineStr">
        <is>
          <t>SKÅNE LÄN</t>
        </is>
      </c>
      <c r="E900" t="inlineStr">
        <is>
          <t>HÄSSLEHOLM</t>
        </is>
      </c>
      <c r="G900" t="n">
        <v>3.1</v>
      </c>
      <c r="H900" t="n">
        <v>0</v>
      </c>
      <c r="I900" t="n">
        <v>0</v>
      </c>
      <c r="J900" t="n">
        <v>0</v>
      </c>
      <c r="K900" t="n">
        <v>0</v>
      </c>
      <c r="L900" t="n">
        <v>0</v>
      </c>
      <c r="M900" t="n">
        <v>0</v>
      </c>
      <c r="N900" t="n">
        <v>0</v>
      </c>
      <c r="O900" t="n">
        <v>0</v>
      </c>
      <c r="P900" t="n">
        <v>0</v>
      </c>
      <c r="Q900" t="n">
        <v>0</v>
      </c>
      <c r="R900" s="2" t="inlineStr"/>
    </row>
    <row r="901" ht="15" customHeight="1">
      <c r="A901" t="inlineStr">
        <is>
          <t>A 27297-2023</t>
        </is>
      </c>
      <c r="B901" s="1" t="n">
        <v>45096</v>
      </c>
      <c r="C901" s="1" t="n">
        <v>45922</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10802-2024</t>
        </is>
      </c>
      <c r="B902" s="1" t="n">
        <v>45369</v>
      </c>
      <c r="C902" s="1" t="n">
        <v>45922</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27304-2023</t>
        </is>
      </c>
      <c r="B903" s="1" t="n">
        <v>45096.65199074074</v>
      </c>
      <c r="C903" s="1" t="n">
        <v>45922</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22693-2022</t>
        </is>
      </c>
      <c r="B904" s="1" t="n">
        <v>44714.54729166667</v>
      </c>
      <c r="C904" s="1" t="n">
        <v>45922</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45653-2024</t>
        </is>
      </c>
      <c r="B905" s="1" t="n">
        <v>45579.48872685185</v>
      </c>
      <c r="C905" s="1" t="n">
        <v>45922</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11446-2025</t>
        </is>
      </c>
      <c r="B906" s="1" t="n">
        <v>45726</v>
      </c>
      <c r="C906" s="1" t="n">
        <v>45922</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43516-2025</t>
        </is>
      </c>
      <c r="B907" s="1" t="n">
        <v>45911</v>
      </c>
      <c r="C907" s="1" t="n">
        <v>45922</v>
      </c>
      <c r="D907" t="inlineStr">
        <is>
          <t>SKÅNE LÄN</t>
        </is>
      </c>
      <c r="E907" t="inlineStr">
        <is>
          <t>HÄSSLEHOLM</t>
        </is>
      </c>
      <c r="G907" t="n">
        <v>2.4</v>
      </c>
      <c r="H907" t="n">
        <v>0</v>
      </c>
      <c r="I907" t="n">
        <v>0</v>
      </c>
      <c r="J907" t="n">
        <v>0</v>
      </c>
      <c r="K907" t="n">
        <v>0</v>
      </c>
      <c r="L907" t="n">
        <v>0</v>
      </c>
      <c r="M907" t="n">
        <v>0</v>
      </c>
      <c r="N907" t="n">
        <v>0</v>
      </c>
      <c r="O907" t="n">
        <v>0</v>
      </c>
      <c r="P907" t="n">
        <v>0</v>
      </c>
      <c r="Q907" t="n">
        <v>0</v>
      </c>
      <c r="R907" s="2" t="inlineStr"/>
    </row>
    <row r="908" ht="15" customHeight="1">
      <c r="A908" t="inlineStr">
        <is>
          <t>A 9322-2025</t>
        </is>
      </c>
      <c r="B908" s="1" t="n">
        <v>45714.72241898148</v>
      </c>
      <c r="C908" s="1" t="n">
        <v>45922</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45016.40576388889</v>
      </c>
      <c r="C909" s="1" t="n">
        <v>45922</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12507-2022</t>
        </is>
      </c>
      <c r="B910" s="1" t="n">
        <v>44638</v>
      </c>
      <c r="C910" s="1" t="n">
        <v>45922</v>
      </c>
      <c r="D910" t="inlineStr">
        <is>
          <t>SKÅNE LÄN</t>
        </is>
      </c>
      <c r="E910" t="inlineStr">
        <is>
          <t>HÄSSLEHOLM</t>
        </is>
      </c>
      <c r="G910" t="n">
        <v>2.7</v>
      </c>
      <c r="H910" t="n">
        <v>0</v>
      </c>
      <c r="I910" t="n">
        <v>0</v>
      </c>
      <c r="J910" t="n">
        <v>0</v>
      </c>
      <c r="K910" t="n">
        <v>0</v>
      </c>
      <c r="L910" t="n">
        <v>0</v>
      </c>
      <c r="M910" t="n">
        <v>0</v>
      </c>
      <c r="N910" t="n">
        <v>0</v>
      </c>
      <c r="O910" t="n">
        <v>0</v>
      </c>
      <c r="P910" t="n">
        <v>0</v>
      </c>
      <c r="Q910" t="n">
        <v>0</v>
      </c>
      <c r="R910" s="2" t="inlineStr"/>
    </row>
    <row r="911" ht="15" customHeight="1">
      <c r="A911" t="inlineStr">
        <is>
          <t>A 260-2024</t>
        </is>
      </c>
      <c r="B911" s="1" t="n">
        <v>45294</v>
      </c>
      <c r="C911" s="1" t="n">
        <v>45922</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25726-2025</t>
        </is>
      </c>
      <c r="B912" s="1" t="n">
        <v>45803</v>
      </c>
      <c r="C912" s="1" t="n">
        <v>45922</v>
      </c>
      <c r="D912" t="inlineStr">
        <is>
          <t>SKÅNE LÄN</t>
        </is>
      </c>
      <c r="E912" t="inlineStr">
        <is>
          <t>HÄSSLEHOLM</t>
        </is>
      </c>
      <c r="G912" t="n">
        <v>5.5</v>
      </c>
      <c r="H912" t="n">
        <v>0</v>
      </c>
      <c r="I912" t="n">
        <v>0</v>
      </c>
      <c r="J912" t="n">
        <v>0</v>
      </c>
      <c r="K912" t="n">
        <v>0</v>
      </c>
      <c r="L912" t="n">
        <v>0</v>
      </c>
      <c r="M912" t="n">
        <v>0</v>
      </c>
      <c r="N912" t="n">
        <v>0</v>
      </c>
      <c r="O912" t="n">
        <v>0</v>
      </c>
      <c r="P912" t="n">
        <v>0</v>
      </c>
      <c r="Q912" t="n">
        <v>0</v>
      </c>
      <c r="R912" s="2" t="inlineStr"/>
    </row>
    <row r="913" ht="15" customHeight="1">
      <c r="A913" t="inlineStr">
        <is>
          <t>A 40780-2022</t>
        </is>
      </c>
      <c r="B913" s="1" t="n">
        <v>44820</v>
      </c>
      <c r="C913" s="1" t="n">
        <v>45922</v>
      </c>
      <c r="D913" t="inlineStr">
        <is>
          <t>SKÅNE LÄN</t>
        </is>
      </c>
      <c r="E913" t="inlineStr">
        <is>
          <t>HÄSSLEHOLM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2597-2024</t>
        </is>
      </c>
      <c r="B914" s="1" t="n">
        <v>45313</v>
      </c>
      <c r="C914" s="1" t="n">
        <v>45922</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5316-2023</t>
        </is>
      </c>
      <c r="B915" s="1" t="n">
        <v>44959</v>
      </c>
      <c r="C915" s="1" t="n">
        <v>45922</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3531-2023</t>
        </is>
      </c>
      <c r="B916" s="1" t="n">
        <v>44950</v>
      </c>
      <c r="C916" s="1" t="n">
        <v>45922</v>
      </c>
      <c r="D916" t="inlineStr">
        <is>
          <t>SKÅNE LÄN</t>
        </is>
      </c>
      <c r="E916" t="inlineStr">
        <is>
          <t>HÄSSLEHOLM</t>
        </is>
      </c>
      <c r="G916" t="n">
        <v>10.1</v>
      </c>
      <c r="H916" t="n">
        <v>0</v>
      </c>
      <c r="I916" t="n">
        <v>0</v>
      </c>
      <c r="J916" t="n">
        <v>0</v>
      </c>
      <c r="K916" t="n">
        <v>0</v>
      </c>
      <c r="L916" t="n">
        <v>0</v>
      </c>
      <c r="M916" t="n">
        <v>0</v>
      </c>
      <c r="N916" t="n">
        <v>0</v>
      </c>
      <c r="O916" t="n">
        <v>0</v>
      </c>
      <c r="P916" t="n">
        <v>0</v>
      </c>
      <c r="Q916" t="n">
        <v>0</v>
      </c>
      <c r="R916" s="2" t="inlineStr"/>
    </row>
    <row r="917" ht="15" customHeight="1">
      <c r="A917" t="inlineStr">
        <is>
          <t>A 15417-2022</t>
        </is>
      </c>
      <c r="B917" s="1" t="n">
        <v>44659</v>
      </c>
      <c r="C917" s="1" t="n">
        <v>45922</v>
      </c>
      <c r="D917" t="inlineStr">
        <is>
          <t>SKÅNE LÄN</t>
        </is>
      </c>
      <c r="E917" t="inlineStr">
        <is>
          <t>HÄSSLEHOLM</t>
        </is>
      </c>
      <c r="F917" t="inlineStr">
        <is>
          <t>Kyrkan</t>
        </is>
      </c>
      <c r="G917" t="n">
        <v>2.9</v>
      </c>
      <c r="H917" t="n">
        <v>0</v>
      </c>
      <c r="I917" t="n">
        <v>0</v>
      </c>
      <c r="J917" t="n">
        <v>0</v>
      </c>
      <c r="K917" t="n">
        <v>0</v>
      </c>
      <c r="L917" t="n">
        <v>0</v>
      </c>
      <c r="M917" t="n">
        <v>0</v>
      </c>
      <c r="N917" t="n">
        <v>0</v>
      </c>
      <c r="O917" t="n">
        <v>0</v>
      </c>
      <c r="P917" t="n">
        <v>0</v>
      </c>
      <c r="Q917" t="n">
        <v>0</v>
      </c>
      <c r="R917" s="2" t="inlineStr"/>
    </row>
    <row r="918" ht="15" customHeight="1">
      <c r="A918" t="inlineStr">
        <is>
          <t>A 44262-2021</t>
        </is>
      </c>
      <c r="B918" s="1" t="n">
        <v>44434</v>
      </c>
      <c r="C918" s="1" t="n">
        <v>45922</v>
      </c>
      <c r="D918" t="inlineStr">
        <is>
          <t>SKÅNE LÄN</t>
        </is>
      </c>
      <c r="E918" t="inlineStr">
        <is>
          <t>HÄSSLEHOLM</t>
        </is>
      </c>
      <c r="G918" t="n">
        <v>4.7</v>
      </c>
      <c r="H918" t="n">
        <v>0</v>
      </c>
      <c r="I918" t="n">
        <v>0</v>
      </c>
      <c r="J918" t="n">
        <v>0</v>
      </c>
      <c r="K918" t="n">
        <v>0</v>
      </c>
      <c r="L918" t="n">
        <v>0</v>
      </c>
      <c r="M918" t="n">
        <v>0</v>
      </c>
      <c r="N918" t="n">
        <v>0</v>
      </c>
      <c r="O918" t="n">
        <v>0</v>
      </c>
      <c r="P918" t="n">
        <v>0</v>
      </c>
      <c r="Q918" t="n">
        <v>0</v>
      </c>
      <c r="R918" s="2" t="inlineStr"/>
    </row>
    <row r="919" ht="15" customHeight="1">
      <c r="A919" t="inlineStr">
        <is>
          <t>A 50659-2023</t>
        </is>
      </c>
      <c r="B919" s="1" t="n">
        <v>45217</v>
      </c>
      <c r="C919" s="1" t="n">
        <v>45922</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13808-2021</t>
        </is>
      </c>
      <c r="B920" s="1" t="n">
        <v>44276</v>
      </c>
      <c r="C920" s="1" t="n">
        <v>45922</v>
      </c>
      <c r="D920" t="inlineStr">
        <is>
          <t>SKÅNE LÄN</t>
        </is>
      </c>
      <c r="E920" t="inlineStr">
        <is>
          <t>HÄSSLEHOLM</t>
        </is>
      </c>
      <c r="G920" t="n">
        <v>10.3</v>
      </c>
      <c r="H920" t="n">
        <v>0</v>
      </c>
      <c r="I920" t="n">
        <v>0</v>
      </c>
      <c r="J920" t="n">
        <v>0</v>
      </c>
      <c r="K920" t="n">
        <v>0</v>
      </c>
      <c r="L920" t="n">
        <v>0</v>
      </c>
      <c r="M920" t="n">
        <v>0</v>
      </c>
      <c r="N920" t="n">
        <v>0</v>
      </c>
      <c r="O920" t="n">
        <v>0</v>
      </c>
      <c r="P920" t="n">
        <v>0</v>
      </c>
      <c r="Q920" t="n">
        <v>0</v>
      </c>
      <c r="R920" s="2" t="inlineStr"/>
    </row>
    <row r="921" ht="15" customHeight="1">
      <c r="A921" t="inlineStr">
        <is>
          <t>A 67801-2021</t>
        </is>
      </c>
      <c r="B921" s="1" t="n">
        <v>44525</v>
      </c>
      <c r="C921" s="1" t="n">
        <v>45922</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43741-2025</t>
        </is>
      </c>
      <c r="B922" s="1" t="n">
        <v>45912.45541666666</v>
      </c>
      <c r="C922" s="1" t="n">
        <v>45922</v>
      </c>
      <c r="D922" t="inlineStr">
        <is>
          <t>SKÅNE LÄN</t>
        </is>
      </c>
      <c r="E922" t="inlineStr">
        <is>
          <t>HÄSSLEHOLM</t>
        </is>
      </c>
      <c r="G922" t="n">
        <v>4.3</v>
      </c>
      <c r="H922" t="n">
        <v>0</v>
      </c>
      <c r="I922" t="n">
        <v>0</v>
      </c>
      <c r="J922" t="n">
        <v>0</v>
      </c>
      <c r="K922" t="n">
        <v>0</v>
      </c>
      <c r="L922" t="n">
        <v>0</v>
      </c>
      <c r="M922" t="n">
        <v>0</v>
      </c>
      <c r="N922" t="n">
        <v>0</v>
      </c>
      <c r="O922" t="n">
        <v>0</v>
      </c>
      <c r="P922" t="n">
        <v>0</v>
      </c>
      <c r="Q922" t="n">
        <v>0</v>
      </c>
      <c r="R922" s="2" t="inlineStr"/>
    </row>
    <row r="923" ht="15" customHeight="1">
      <c r="A923" t="inlineStr">
        <is>
          <t>A 2144-2023</t>
        </is>
      </c>
      <c r="B923" s="1" t="n">
        <v>44940.79054398148</v>
      </c>
      <c r="C923" s="1" t="n">
        <v>45922</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43738-2025</t>
        </is>
      </c>
      <c r="B924" s="1" t="n">
        <v>45912.45037037037</v>
      </c>
      <c r="C924" s="1" t="n">
        <v>45922</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8209-2025</t>
        </is>
      </c>
      <c r="B925" s="1" t="n">
        <v>45708.44244212963</v>
      </c>
      <c r="C925" s="1" t="n">
        <v>45922</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43869-2025</t>
        </is>
      </c>
      <c r="B926" s="1" t="n">
        <v>45912.66452546296</v>
      </c>
      <c r="C926" s="1" t="n">
        <v>45922</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37141-2021</t>
        </is>
      </c>
      <c r="B927" s="1" t="n">
        <v>44396</v>
      </c>
      <c r="C927" s="1" t="n">
        <v>45922</v>
      </c>
      <c r="D927" t="inlineStr">
        <is>
          <t>SKÅNE LÄN</t>
        </is>
      </c>
      <c r="E927" t="inlineStr">
        <is>
          <t>HÄSSLEHOLM</t>
        </is>
      </c>
      <c r="G927" t="n">
        <v>12.8</v>
      </c>
      <c r="H927" t="n">
        <v>0</v>
      </c>
      <c r="I927" t="n">
        <v>0</v>
      </c>
      <c r="J927" t="n">
        <v>0</v>
      </c>
      <c r="K927" t="n">
        <v>0</v>
      </c>
      <c r="L927" t="n">
        <v>0</v>
      </c>
      <c r="M927" t="n">
        <v>0</v>
      </c>
      <c r="N927" t="n">
        <v>0</v>
      </c>
      <c r="O927" t="n">
        <v>0</v>
      </c>
      <c r="P927" t="n">
        <v>0</v>
      </c>
      <c r="Q927" t="n">
        <v>0</v>
      </c>
      <c r="R927" s="2" t="inlineStr"/>
    </row>
    <row r="928" ht="15" customHeight="1">
      <c r="A928" t="inlineStr">
        <is>
          <t>A 43874-2022</t>
        </is>
      </c>
      <c r="B928" s="1" t="n">
        <v>44838.44738425926</v>
      </c>
      <c r="C928" s="1" t="n">
        <v>45922</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7202-2022</t>
        </is>
      </c>
      <c r="B929" s="1" t="n">
        <v>44606</v>
      </c>
      <c r="C929" s="1" t="n">
        <v>45922</v>
      </c>
      <c r="D929" t="inlineStr">
        <is>
          <t>SKÅNE LÄN</t>
        </is>
      </c>
      <c r="E929" t="inlineStr">
        <is>
          <t>HÄSSLEHOLM</t>
        </is>
      </c>
      <c r="G929" t="n">
        <v>4.7</v>
      </c>
      <c r="H929" t="n">
        <v>0</v>
      </c>
      <c r="I929" t="n">
        <v>0</v>
      </c>
      <c r="J929" t="n">
        <v>0</v>
      </c>
      <c r="K929" t="n">
        <v>0</v>
      </c>
      <c r="L929" t="n">
        <v>0</v>
      </c>
      <c r="M929" t="n">
        <v>0</v>
      </c>
      <c r="N929" t="n">
        <v>0</v>
      </c>
      <c r="O929" t="n">
        <v>0</v>
      </c>
      <c r="P929" t="n">
        <v>0</v>
      </c>
      <c r="Q929" t="n">
        <v>0</v>
      </c>
      <c r="R929" s="2" t="inlineStr"/>
    </row>
    <row r="930" ht="15" customHeight="1">
      <c r="A930" t="inlineStr">
        <is>
          <t>A 64884-2023</t>
        </is>
      </c>
      <c r="B930" s="1" t="n">
        <v>45282.57809027778</v>
      </c>
      <c r="C930" s="1" t="n">
        <v>45922</v>
      </c>
      <c r="D930" t="inlineStr">
        <is>
          <t>SKÅNE LÄN</t>
        </is>
      </c>
      <c r="E930" t="inlineStr">
        <is>
          <t>HÄSSLEHOLM</t>
        </is>
      </c>
      <c r="G930" t="n">
        <v>4.6</v>
      </c>
      <c r="H930" t="n">
        <v>0</v>
      </c>
      <c r="I930" t="n">
        <v>0</v>
      </c>
      <c r="J930" t="n">
        <v>0</v>
      </c>
      <c r="K930" t="n">
        <v>0</v>
      </c>
      <c r="L930" t="n">
        <v>0</v>
      </c>
      <c r="M930" t="n">
        <v>0</v>
      </c>
      <c r="N930" t="n">
        <v>0</v>
      </c>
      <c r="O930" t="n">
        <v>0</v>
      </c>
      <c r="P930" t="n">
        <v>0</v>
      </c>
      <c r="Q930" t="n">
        <v>0</v>
      </c>
      <c r="R930" s="2" t="inlineStr"/>
    </row>
    <row r="931" ht="15" customHeight="1">
      <c r="A931" t="inlineStr">
        <is>
          <t>A 48112-2024</t>
        </is>
      </c>
      <c r="B931" s="1" t="n">
        <v>45589.6295949074</v>
      </c>
      <c r="C931" s="1" t="n">
        <v>45922</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6309-2025</t>
        </is>
      </c>
      <c r="B932" s="1" t="n">
        <v>45698</v>
      </c>
      <c r="C932" s="1" t="n">
        <v>45922</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6310-2025</t>
        </is>
      </c>
      <c r="B933" s="1" t="n">
        <v>45698</v>
      </c>
      <c r="C933" s="1" t="n">
        <v>45922</v>
      </c>
      <c r="D933" t="inlineStr">
        <is>
          <t>SKÅNE LÄN</t>
        </is>
      </c>
      <c r="E933" t="inlineStr">
        <is>
          <t>HÄSSLEHOLM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44614-2025</t>
        </is>
      </c>
      <c r="B934" s="1" t="n">
        <v>45917.45422453704</v>
      </c>
      <c r="C934" s="1" t="n">
        <v>45922</v>
      </c>
      <c r="D934" t="inlineStr">
        <is>
          <t>SKÅNE LÄN</t>
        </is>
      </c>
      <c r="E934" t="inlineStr">
        <is>
          <t>HÄSSLEHOLM</t>
        </is>
      </c>
      <c r="G934" t="n">
        <v>5.4</v>
      </c>
      <c r="H934" t="n">
        <v>0</v>
      </c>
      <c r="I934" t="n">
        <v>0</v>
      </c>
      <c r="J934" t="n">
        <v>0</v>
      </c>
      <c r="K934" t="n">
        <v>0</v>
      </c>
      <c r="L934" t="n">
        <v>0</v>
      </c>
      <c r="M934" t="n">
        <v>0</v>
      </c>
      <c r="N934" t="n">
        <v>0</v>
      </c>
      <c r="O934" t="n">
        <v>0</v>
      </c>
      <c r="P934" t="n">
        <v>0</v>
      </c>
      <c r="Q934" t="n">
        <v>0</v>
      </c>
      <c r="R934" s="2" t="inlineStr"/>
    </row>
    <row r="935" ht="15" customHeight="1">
      <c r="A935" t="inlineStr">
        <is>
          <t>A 21494-2023</t>
        </is>
      </c>
      <c r="B935" s="1" t="n">
        <v>45063</v>
      </c>
      <c r="C935" s="1" t="n">
        <v>45922</v>
      </c>
      <c r="D935" t="inlineStr">
        <is>
          <t>SKÅNE LÄN</t>
        </is>
      </c>
      <c r="E935" t="inlineStr">
        <is>
          <t>HÄSSLEHOLM</t>
        </is>
      </c>
      <c r="G935" t="n">
        <v>3.7</v>
      </c>
      <c r="H935" t="n">
        <v>0</v>
      </c>
      <c r="I935" t="n">
        <v>0</v>
      </c>
      <c r="J935" t="n">
        <v>0</v>
      </c>
      <c r="K935" t="n">
        <v>0</v>
      </c>
      <c r="L935" t="n">
        <v>0</v>
      </c>
      <c r="M935" t="n">
        <v>0</v>
      </c>
      <c r="N935" t="n">
        <v>0</v>
      </c>
      <c r="O935" t="n">
        <v>0</v>
      </c>
      <c r="P935" t="n">
        <v>0</v>
      </c>
      <c r="Q935" t="n">
        <v>0</v>
      </c>
      <c r="R935" s="2" t="inlineStr"/>
    </row>
    <row r="936" ht="15" customHeight="1">
      <c r="A936" t="inlineStr">
        <is>
          <t>A 21495-2023</t>
        </is>
      </c>
      <c r="B936" s="1" t="n">
        <v>45063</v>
      </c>
      <c r="C936" s="1" t="n">
        <v>45922</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62167-2022</t>
        </is>
      </c>
      <c r="B937" s="1" t="n">
        <v>44915</v>
      </c>
      <c r="C937" s="1" t="n">
        <v>45922</v>
      </c>
      <c r="D937" t="inlineStr">
        <is>
          <t>SKÅNE LÄN</t>
        </is>
      </c>
      <c r="E937" t="inlineStr">
        <is>
          <t>HÄSSLEHOLM</t>
        </is>
      </c>
      <c r="F937" t="inlineStr">
        <is>
          <t>Kyrkan</t>
        </is>
      </c>
      <c r="G937" t="n">
        <v>3.1</v>
      </c>
      <c r="H937" t="n">
        <v>0</v>
      </c>
      <c r="I937" t="n">
        <v>0</v>
      </c>
      <c r="J937" t="n">
        <v>0</v>
      </c>
      <c r="K937" t="n">
        <v>0</v>
      </c>
      <c r="L937" t="n">
        <v>0</v>
      </c>
      <c r="M937" t="n">
        <v>0</v>
      </c>
      <c r="N937" t="n">
        <v>0</v>
      </c>
      <c r="O937" t="n">
        <v>0</v>
      </c>
      <c r="P937" t="n">
        <v>0</v>
      </c>
      <c r="Q937" t="n">
        <v>0</v>
      </c>
      <c r="R937" s="2" t="inlineStr"/>
    </row>
    <row r="938" ht="15" customHeight="1">
      <c r="A938" t="inlineStr">
        <is>
          <t>A 62234-2022</t>
        </is>
      </c>
      <c r="B938" s="1" t="n">
        <v>44922</v>
      </c>
      <c r="C938" s="1" t="n">
        <v>45922</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34299-2024</t>
        </is>
      </c>
      <c r="B939" s="1" t="n">
        <v>45524</v>
      </c>
      <c r="C939" s="1" t="n">
        <v>45922</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44611-2025</t>
        </is>
      </c>
      <c r="B940" s="1" t="n">
        <v>45917.45109953704</v>
      </c>
      <c r="C940" s="1" t="n">
        <v>45922</v>
      </c>
      <c r="D940" t="inlineStr">
        <is>
          <t>SKÅNE LÄN</t>
        </is>
      </c>
      <c r="E940" t="inlineStr">
        <is>
          <t>HÄSSLEHOLM</t>
        </is>
      </c>
      <c r="G940" t="n">
        <v>1.3</v>
      </c>
      <c r="H940" t="n">
        <v>0</v>
      </c>
      <c r="I940" t="n">
        <v>0</v>
      </c>
      <c r="J940" t="n">
        <v>0</v>
      </c>
      <c r="K940" t="n">
        <v>0</v>
      </c>
      <c r="L940" t="n">
        <v>0</v>
      </c>
      <c r="M940" t="n">
        <v>0</v>
      </c>
      <c r="N940" t="n">
        <v>0</v>
      </c>
      <c r="O940" t="n">
        <v>0</v>
      </c>
      <c r="P940" t="n">
        <v>0</v>
      </c>
      <c r="Q940" t="n">
        <v>0</v>
      </c>
      <c r="R940" s="2" t="inlineStr"/>
    </row>
    <row r="941" ht="15" customHeight="1">
      <c r="A941" t="inlineStr">
        <is>
          <t>A 44616-2025</t>
        </is>
      </c>
      <c r="B941" s="1" t="n">
        <v>45917.45572916666</v>
      </c>
      <c r="C941" s="1" t="n">
        <v>45922</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16474-2025</t>
        </is>
      </c>
      <c r="B942" s="1" t="n">
        <v>45751.56834490741</v>
      </c>
      <c r="C942" s="1" t="n">
        <v>45922</v>
      </c>
      <c r="D942" t="inlineStr">
        <is>
          <t>SKÅNE LÄN</t>
        </is>
      </c>
      <c r="E942" t="inlineStr">
        <is>
          <t>HÄSSLEHOLM</t>
        </is>
      </c>
      <c r="G942" t="n">
        <v>5.9</v>
      </c>
      <c r="H942" t="n">
        <v>0</v>
      </c>
      <c r="I942" t="n">
        <v>0</v>
      </c>
      <c r="J942" t="n">
        <v>0</v>
      </c>
      <c r="K942" t="n">
        <v>0</v>
      </c>
      <c r="L942" t="n">
        <v>0</v>
      </c>
      <c r="M942" t="n">
        <v>0</v>
      </c>
      <c r="N942" t="n">
        <v>0</v>
      </c>
      <c r="O942" t="n">
        <v>0</v>
      </c>
      <c r="P942" t="n">
        <v>0</v>
      </c>
      <c r="Q942" t="n">
        <v>0</v>
      </c>
      <c r="R942" s="2" t="inlineStr"/>
    </row>
    <row r="943" ht="15" customHeight="1">
      <c r="A943" t="inlineStr">
        <is>
          <t>A 36938-2025</t>
        </is>
      </c>
      <c r="B943" s="1" t="n">
        <v>45874.58476851852</v>
      </c>
      <c r="C943" s="1" t="n">
        <v>45922</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44330-2025</t>
        </is>
      </c>
      <c r="B944" s="1" t="n">
        <v>45916.42120370371</v>
      </c>
      <c r="C944" s="1" t="n">
        <v>45922</v>
      </c>
      <c r="D944" t="inlineStr">
        <is>
          <t>SKÅNE LÄN</t>
        </is>
      </c>
      <c r="E944" t="inlineStr">
        <is>
          <t>HÄSSLEHOLM</t>
        </is>
      </c>
      <c r="G944" t="n">
        <v>2.7</v>
      </c>
      <c r="H944" t="n">
        <v>0</v>
      </c>
      <c r="I944" t="n">
        <v>0</v>
      </c>
      <c r="J944" t="n">
        <v>0</v>
      </c>
      <c r="K944" t="n">
        <v>0</v>
      </c>
      <c r="L944" t="n">
        <v>0</v>
      </c>
      <c r="M944" t="n">
        <v>0</v>
      </c>
      <c r="N944" t="n">
        <v>0</v>
      </c>
      <c r="O944" t="n">
        <v>0</v>
      </c>
      <c r="P944" t="n">
        <v>0</v>
      </c>
      <c r="Q944" t="n">
        <v>0</v>
      </c>
      <c r="R944" s="2" t="inlineStr"/>
    </row>
    <row r="945" ht="15" customHeight="1">
      <c r="A945" t="inlineStr">
        <is>
          <t>A 48097-2024</t>
        </is>
      </c>
      <c r="B945" s="1" t="n">
        <v>45589.61413194444</v>
      </c>
      <c r="C945" s="1" t="n">
        <v>45922</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44515-2025</t>
        </is>
      </c>
      <c r="B946" s="1" t="n">
        <v>45916.7062037037</v>
      </c>
      <c r="C946" s="1" t="n">
        <v>45922</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44523-2025</t>
        </is>
      </c>
      <c r="B947" s="1" t="n">
        <v>45916</v>
      </c>
      <c r="C947" s="1" t="n">
        <v>45922</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11609-2025</t>
        </is>
      </c>
      <c r="B948" s="1" t="n">
        <v>45727.44237268518</v>
      </c>
      <c r="C948" s="1" t="n">
        <v>45922</v>
      </c>
      <c r="D948" t="inlineStr">
        <is>
          <t>SKÅNE LÄN</t>
        </is>
      </c>
      <c r="E948" t="inlineStr">
        <is>
          <t>HÄSSLEHOLM</t>
        </is>
      </c>
      <c r="G948" t="n">
        <v>4.4</v>
      </c>
      <c r="H948" t="n">
        <v>0</v>
      </c>
      <c r="I948" t="n">
        <v>0</v>
      </c>
      <c r="J948" t="n">
        <v>0</v>
      </c>
      <c r="K948" t="n">
        <v>0</v>
      </c>
      <c r="L948" t="n">
        <v>0</v>
      </c>
      <c r="M948" t="n">
        <v>0</v>
      </c>
      <c r="N948" t="n">
        <v>0</v>
      </c>
      <c r="O948" t="n">
        <v>0</v>
      </c>
      <c r="P948" t="n">
        <v>0</v>
      </c>
      <c r="Q948" t="n">
        <v>0</v>
      </c>
      <c r="R948" s="2" t="inlineStr"/>
    </row>
    <row r="949" ht="15" customHeight="1">
      <c r="A949" t="inlineStr">
        <is>
          <t>A 60846-2022</t>
        </is>
      </c>
      <c r="B949" s="1" t="n">
        <v>44914</v>
      </c>
      <c r="C949" s="1" t="n">
        <v>45922</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42776-2021</t>
        </is>
      </c>
      <c r="B950" s="1" t="n">
        <v>44428</v>
      </c>
      <c r="C950" s="1" t="n">
        <v>45922</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9697-2023</t>
        </is>
      </c>
      <c r="B951" s="1" t="n">
        <v>44984</v>
      </c>
      <c r="C951" s="1" t="n">
        <v>45922</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44624-2025</t>
        </is>
      </c>
      <c r="B952" s="1" t="n">
        <v>45917.47152777778</v>
      </c>
      <c r="C952" s="1" t="n">
        <v>45922</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45221-2025</t>
        </is>
      </c>
      <c r="B953" s="1" t="n">
        <v>45919.57760416667</v>
      </c>
      <c r="C953" s="1" t="n">
        <v>45922</v>
      </c>
      <c r="D953" t="inlineStr">
        <is>
          <t>SKÅNE LÄN</t>
        </is>
      </c>
      <c r="E953" t="inlineStr">
        <is>
          <t>HÄSSLEHOLM</t>
        </is>
      </c>
      <c r="G953" t="n">
        <v>1.7</v>
      </c>
      <c r="H953" t="n">
        <v>0</v>
      </c>
      <c r="I953" t="n">
        <v>0</v>
      </c>
      <c r="J953" t="n">
        <v>0</v>
      </c>
      <c r="K953" t="n">
        <v>0</v>
      </c>
      <c r="L953" t="n">
        <v>0</v>
      </c>
      <c r="M953" t="n">
        <v>0</v>
      </c>
      <c r="N953" t="n">
        <v>0</v>
      </c>
      <c r="O953" t="n">
        <v>0</v>
      </c>
      <c r="P953" t="n">
        <v>0</v>
      </c>
      <c r="Q953" t="n">
        <v>0</v>
      </c>
      <c r="R953" s="2" t="inlineStr"/>
    </row>
    <row r="954" ht="15" customHeight="1">
      <c r="A954" t="inlineStr">
        <is>
          <t>A 45273-2025</t>
        </is>
      </c>
      <c r="B954" s="1" t="n">
        <v>45919.70486111111</v>
      </c>
      <c r="C954" s="1" t="n">
        <v>45922</v>
      </c>
      <c r="D954" t="inlineStr">
        <is>
          <t>SKÅNE LÄN</t>
        </is>
      </c>
      <c r="E954" t="inlineStr">
        <is>
          <t>HÄSSLEHOLM</t>
        </is>
      </c>
      <c r="G954" t="n">
        <v>4.4</v>
      </c>
      <c r="H954" t="n">
        <v>0</v>
      </c>
      <c r="I954" t="n">
        <v>0</v>
      </c>
      <c r="J954" t="n">
        <v>0</v>
      </c>
      <c r="K954" t="n">
        <v>0</v>
      </c>
      <c r="L954" t="n">
        <v>0</v>
      </c>
      <c r="M954" t="n">
        <v>0</v>
      </c>
      <c r="N954" t="n">
        <v>0</v>
      </c>
      <c r="O954" t="n">
        <v>0</v>
      </c>
      <c r="P954" t="n">
        <v>0</v>
      </c>
      <c r="Q954" t="n">
        <v>0</v>
      </c>
      <c r="R954" s="2" t="inlineStr"/>
    </row>
    <row r="955" ht="15" customHeight="1">
      <c r="A955" t="inlineStr">
        <is>
          <t>A 1344-2021</t>
        </is>
      </c>
      <c r="B955" s="1" t="n">
        <v>44208</v>
      </c>
      <c r="C955" s="1" t="n">
        <v>45922</v>
      </c>
      <c r="D955" t="inlineStr">
        <is>
          <t>SKÅNE LÄN</t>
        </is>
      </c>
      <c r="E955" t="inlineStr">
        <is>
          <t>HÄSSLEHOLM</t>
        </is>
      </c>
      <c r="G955" t="n">
        <v>1.3</v>
      </c>
      <c r="H955" t="n">
        <v>0</v>
      </c>
      <c r="I955" t="n">
        <v>0</v>
      </c>
      <c r="J955" t="n">
        <v>0</v>
      </c>
      <c r="K955" t="n">
        <v>0</v>
      </c>
      <c r="L955" t="n">
        <v>0</v>
      </c>
      <c r="M955" t="n">
        <v>0</v>
      </c>
      <c r="N955" t="n">
        <v>0</v>
      </c>
      <c r="O955" t="n">
        <v>0</v>
      </c>
      <c r="P955" t="n">
        <v>0</v>
      </c>
      <c r="Q955" t="n">
        <v>0</v>
      </c>
      <c r="R955" s="2" t="inlineStr"/>
    </row>
    <row r="956" ht="15" customHeight="1">
      <c r="A956" t="inlineStr">
        <is>
          <t>A 42232-2022</t>
        </is>
      </c>
      <c r="B956" s="1" t="n">
        <v>44830.77591435185</v>
      </c>
      <c r="C956" s="1" t="n">
        <v>45922</v>
      </c>
      <c r="D956" t="inlineStr">
        <is>
          <t>SKÅNE LÄN</t>
        </is>
      </c>
      <c r="E956" t="inlineStr">
        <is>
          <t>HÄSSLEHOLM</t>
        </is>
      </c>
      <c r="G956" t="n">
        <v>1.3</v>
      </c>
      <c r="H956" t="n">
        <v>0</v>
      </c>
      <c r="I956" t="n">
        <v>0</v>
      </c>
      <c r="J956" t="n">
        <v>0</v>
      </c>
      <c r="K956" t="n">
        <v>0</v>
      </c>
      <c r="L956" t="n">
        <v>0</v>
      </c>
      <c r="M956" t="n">
        <v>0</v>
      </c>
      <c r="N956" t="n">
        <v>0</v>
      </c>
      <c r="O956" t="n">
        <v>0</v>
      </c>
      <c r="P956" t="n">
        <v>0</v>
      </c>
      <c r="Q956" t="n">
        <v>0</v>
      </c>
      <c r="R956" s="2" t="inlineStr"/>
    </row>
    <row r="957" ht="15" customHeight="1">
      <c r="A957" t="inlineStr">
        <is>
          <t>A 15535-2025</t>
        </is>
      </c>
      <c r="B957" s="1" t="n">
        <v>45747</v>
      </c>
      <c r="C957" s="1" t="n">
        <v>45922</v>
      </c>
      <c r="D957" t="inlineStr">
        <is>
          <t>SKÅNE LÄN</t>
        </is>
      </c>
      <c r="E957" t="inlineStr">
        <is>
          <t>HÄSSLEHOLM</t>
        </is>
      </c>
      <c r="G957" t="n">
        <v>2.9</v>
      </c>
      <c r="H957" t="n">
        <v>0</v>
      </c>
      <c r="I957" t="n">
        <v>0</v>
      </c>
      <c r="J957" t="n">
        <v>0</v>
      </c>
      <c r="K957" t="n">
        <v>0</v>
      </c>
      <c r="L957" t="n">
        <v>0</v>
      </c>
      <c r="M957" t="n">
        <v>0</v>
      </c>
      <c r="N957" t="n">
        <v>0</v>
      </c>
      <c r="O957" t="n">
        <v>0</v>
      </c>
      <c r="P957" t="n">
        <v>0</v>
      </c>
      <c r="Q957" t="n">
        <v>0</v>
      </c>
      <c r="R957" s="2" t="inlineStr"/>
    </row>
    <row r="958" ht="15" customHeight="1">
      <c r="A958" t="inlineStr">
        <is>
          <t>A 37038-2022</t>
        </is>
      </c>
      <c r="B958" s="1" t="n">
        <v>44806.44232638889</v>
      </c>
      <c r="C958" s="1" t="n">
        <v>45922</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5894-2023</t>
        </is>
      </c>
      <c r="B959" s="1" t="n">
        <v>44963.65148148148</v>
      </c>
      <c r="C959" s="1" t="n">
        <v>45922</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9502-2023</t>
        </is>
      </c>
      <c r="B960" s="1" t="n">
        <v>44981.63278935185</v>
      </c>
      <c r="C960" s="1" t="n">
        <v>45922</v>
      </c>
      <c r="D960" t="inlineStr">
        <is>
          <t>SKÅNE LÄN</t>
        </is>
      </c>
      <c r="E960" t="inlineStr">
        <is>
          <t>HÄSSLEHOLM</t>
        </is>
      </c>
      <c r="G960" t="n">
        <v>0.4</v>
      </c>
      <c r="H960" t="n">
        <v>0</v>
      </c>
      <c r="I960" t="n">
        <v>0</v>
      </c>
      <c r="J960" t="n">
        <v>0</v>
      </c>
      <c r="K960" t="n">
        <v>0</v>
      </c>
      <c r="L960" t="n">
        <v>0</v>
      </c>
      <c r="M960" t="n">
        <v>0</v>
      </c>
      <c r="N960" t="n">
        <v>0</v>
      </c>
      <c r="O960" t="n">
        <v>0</v>
      </c>
      <c r="P960" t="n">
        <v>0</v>
      </c>
      <c r="Q960" t="n">
        <v>0</v>
      </c>
      <c r="R960" s="2" t="inlineStr"/>
    </row>
    <row r="961" ht="15" customHeight="1">
      <c r="A961" t="inlineStr">
        <is>
          <t>A 48046-2023</t>
        </is>
      </c>
      <c r="B961" s="1" t="n">
        <v>45204.85201388889</v>
      </c>
      <c r="C961" s="1" t="n">
        <v>45922</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14700-2023</t>
        </is>
      </c>
      <c r="B962" s="1" t="n">
        <v>45014.38376157408</v>
      </c>
      <c r="C962" s="1" t="n">
        <v>45922</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57749-2023</t>
        </is>
      </c>
      <c r="B963" s="1" t="n">
        <v>45246</v>
      </c>
      <c r="C963" s="1" t="n">
        <v>45922</v>
      </c>
      <c r="D963" t="inlineStr">
        <is>
          <t>SKÅNE LÄN</t>
        </is>
      </c>
      <c r="E963" t="inlineStr">
        <is>
          <t>HÄSSLEHOLM</t>
        </is>
      </c>
      <c r="G963" t="n">
        <v>2.7</v>
      </c>
      <c r="H963" t="n">
        <v>0</v>
      </c>
      <c r="I963" t="n">
        <v>0</v>
      </c>
      <c r="J963" t="n">
        <v>0</v>
      </c>
      <c r="K963" t="n">
        <v>0</v>
      </c>
      <c r="L963" t="n">
        <v>0</v>
      </c>
      <c r="M963" t="n">
        <v>0</v>
      </c>
      <c r="N963" t="n">
        <v>0</v>
      </c>
      <c r="O963" t="n">
        <v>0</v>
      </c>
      <c r="P963" t="n">
        <v>0</v>
      </c>
      <c r="Q963" t="n">
        <v>0</v>
      </c>
      <c r="R963" s="2" t="inlineStr"/>
    </row>
    <row r="964" ht="15" customHeight="1">
      <c r="A964" t="inlineStr">
        <is>
          <t>A 15536-2025</t>
        </is>
      </c>
      <c r="B964" s="1" t="n">
        <v>45747</v>
      </c>
      <c r="C964" s="1" t="n">
        <v>45922</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1538-2024</t>
        </is>
      </c>
      <c r="B965" s="1" t="n">
        <v>45306</v>
      </c>
      <c r="C965" s="1" t="n">
        <v>45922</v>
      </c>
      <c r="D965" t="inlineStr">
        <is>
          <t>SKÅNE LÄN</t>
        </is>
      </c>
      <c r="E965" t="inlineStr">
        <is>
          <t>HÄSSLEHOLM</t>
        </is>
      </c>
      <c r="G965" t="n">
        <v>4.8</v>
      </c>
      <c r="H965" t="n">
        <v>0</v>
      </c>
      <c r="I965" t="n">
        <v>0</v>
      </c>
      <c r="J965" t="n">
        <v>0</v>
      </c>
      <c r="K965" t="n">
        <v>0</v>
      </c>
      <c r="L965" t="n">
        <v>0</v>
      </c>
      <c r="M965" t="n">
        <v>0</v>
      </c>
      <c r="N965" t="n">
        <v>0</v>
      </c>
      <c r="O965" t="n">
        <v>0</v>
      </c>
      <c r="P965" t="n">
        <v>0</v>
      </c>
      <c r="Q965" t="n">
        <v>0</v>
      </c>
      <c r="R965" s="2" t="inlineStr"/>
    </row>
    <row r="966" ht="15" customHeight="1">
      <c r="A966" t="inlineStr">
        <is>
          <t>A 3135-2023</t>
        </is>
      </c>
      <c r="B966" s="1" t="n">
        <v>44946.51672453704</v>
      </c>
      <c r="C966" s="1" t="n">
        <v>45922</v>
      </c>
      <c r="D966" t="inlineStr">
        <is>
          <t>SKÅNE LÄN</t>
        </is>
      </c>
      <c r="E966" t="inlineStr">
        <is>
          <t>HÄSSLEHOLM</t>
        </is>
      </c>
      <c r="G966" t="n">
        <v>7.2</v>
      </c>
      <c r="H966" t="n">
        <v>0</v>
      </c>
      <c r="I966" t="n">
        <v>0</v>
      </c>
      <c r="J966" t="n">
        <v>0</v>
      </c>
      <c r="K966" t="n">
        <v>0</v>
      </c>
      <c r="L966" t="n">
        <v>0</v>
      </c>
      <c r="M966" t="n">
        <v>0</v>
      </c>
      <c r="N966" t="n">
        <v>0</v>
      </c>
      <c r="O966" t="n">
        <v>0</v>
      </c>
      <c r="P966" t="n">
        <v>0</v>
      </c>
      <c r="Q966" t="n">
        <v>0</v>
      </c>
      <c r="R966" s="2" t="inlineStr"/>
    </row>
    <row r="967" ht="15" customHeight="1">
      <c r="A967" t="inlineStr">
        <is>
          <t>A 37286-2025</t>
        </is>
      </c>
      <c r="B967" s="1" t="n">
        <v>45876.50116898148</v>
      </c>
      <c r="C967" s="1" t="n">
        <v>45922</v>
      </c>
      <c r="D967" t="inlineStr">
        <is>
          <t>SKÅNE LÄN</t>
        </is>
      </c>
      <c r="E967" t="inlineStr">
        <is>
          <t>HÄSSLEHOLM</t>
        </is>
      </c>
      <c r="G967" t="n">
        <v>2.9</v>
      </c>
      <c r="H967" t="n">
        <v>0</v>
      </c>
      <c r="I967" t="n">
        <v>0</v>
      </c>
      <c r="J967" t="n">
        <v>0</v>
      </c>
      <c r="K967" t="n">
        <v>0</v>
      </c>
      <c r="L967" t="n">
        <v>0</v>
      </c>
      <c r="M967" t="n">
        <v>0</v>
      </c>
      <c r="N967" t="n">
        <v>0</v>
      </c>
      <c r="O967" t="n">
        <v>0</v>
      </c>
      <c r="P967" t="n">
        <v>0</v>
      </c>
      <c r="Q967" t="n">
        <v>0</v>
      </c>
      <c r="R967" s="2" t="inlineStr"/>
    </row>
    <row r="968" ht="15" customHeight="1">
      <c r="A968" t="inlineStr">
        <is>
          <t>A 39915-2023</t>
        </is>
      </c>
      <c r="B968" s="1" t="n">
        <v>45168.4684375</v>
      </c>
      <c r="C968" s="1" t="n">
        <v>45922</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34342-2021</t>
        </is>
      </c>
      <c r="B969" s="1" t="n">
        <v>44379</v>
      </c>
      <c r="C969" s="1" t="n">
        <v>45922</v>
      </c>
      <c r="D969" t="inlineStr">
        <is>
          <t>SKÅNE LÄN</t>
        </is>
      </c>
      <c r="E969" t="inlineStr">
        <is>
          <t>HÄSSLEHOLM</t>
        </is>
      </c>
      <c r="G969" t="n">
        <v>7</v>
      </c>
      <c r="H969" t="n">
        <v>0</v>
      </c>
      <c r="I969" t="n">
        <v>0</v>
      </c>
      <c r="J969" t="n">
        <v>0</v>
      </c>
      <c r="K969" t="n">
        <v>0</v>
      </c>
      <c r="L969" t="n">
        <v>0</v>
      </c>
      <c r="M969" t="n">
        <v>0</v>
      </c>
      <c r="N969" t="n">
        <v>0</v>
      </c>
      <c r="O969" t="n">
        <v>0</v>
      </c>
      <c r="P969" t="n">
        <v>0</v>
      </c>
      <c r="Q969" t="n">
        <v>0</v>
      </c>
      <c r="R969" s="2" t="inlineStr"/>
    </row>
    <row r="970" ht="15" customHeight="1">
      <c r="A970" t="inlineStr">
        <is>
          <t>A 45176-2025</t>
        </is>
      </c>
      <c r="B970" s="1" t="n">
        <v>45919.52307870371</v>
      </c>
      <c r="C970" s="1" t="n">
        <v>45922</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3507-2024</t>
        </is>
      </c>
      <c r="B971" s="1" t="n">
        <v>45320.4906712963</v>
      </c>
      <c r="C971" s="1" t="n">
        <v>45922</v>
      </c>
      <c r="D971" t="inlineStr">
        <is>
          <t>SKÅNE LÄN</t>
        </is>
      </c>
      <c r="E971" t="inlineStr">
        <is>
          <t>HÄSSLEHOLM</t>
        </is>
      </c>
      <c r="G971" t="n">
        <v>6.4</v>
      </c>
      <c r="H971" t="n">
        <v>0</v>
      </c>
      <c r="I971" t="n">
        <v>0</v>
      </c>
      <c r="J971" t="n">
        <v>0</v>
      </c>
      <c r="K971" t="n">
        <v>0</v>
      </c>
      <c r="L971" t="n">
        <v>0</v>
      </c>
      <c r="M971" t="n">
        <v>0</v>
      </c>
      <c r="N971" t="n">
        <v>0</v>
      </c>
      <c r="O971" t="n">
        <v>0</v>
      </c>
      <c r="P971" t="n">
        <v>0</v>
      </c>
      <c r="Q971" t="n">
        <v>0</v>
      </c>
      <c r="R971" s="2" t="inlineStr"/>
    </row>
    <row r="972" ht="15" customHeight="1">
      <c r="A972" t="inlineStr">
        <is>
          <t>A 49111-2023</t>
        </is>
      </c>
      <c r="B972" s="1" t="n">
        <v>45210.44464120371</v>
      </c>
      <c r="C972" s="1" t="n">
        <v>45922</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45084-2025</t>
        </is>
      </c>
      <c r="B973" s="1" t="n">
        <v>45918</v>
      </c>
      <c r="C973" s="1" t="n">
        <v>45922</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61178-2022</t>
        </is>
      </c>
      <c r="B974" s="1" t="n">
        <v>44915</v>
      </c>
      <c r="C974" s="1" t="n">
        <v>45922</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37271-2025</t>
        </is>
      </c>
      <c r="B975" s="1" t="n">
        <v>45876.47828703704</v>
      </c>
      <c r="C975" s="1" t="n">
        <v>45922</v>
      </c>
      <c r="D975" t="inlineStr">
        <is>
          <t>SKÅNE LÄN</t>
        </is>
      </c>
      <c r="E975" t="inlineStr">
        <is>
          <t>HÄSSLEHOLM</t>
        </is>
      </c>
      <c r="G975" t="n">
        <v>4.1</v>
      </c>
      <c r="H975" t="n">
        <v>0</v>
      </c>
      <c r="I975" t="n">
        <v>0</v>
      </c>
      <c r="J975" t="n">
        <v>0</v>
      </c>
      <c r="K975" t="n">
        <v>0</v>
      </c>
      <c r="L975" t="n">
        <v>0</v>
      </c>
      <c r="M975" t="n">
        <v>0</v>
      </c>
      <c r="N975" t="n">
        <v>0</v>
      </c>
      <c r="O975" t="n">
        <v>0</v>
      </c>
      <c r="P975" t="n">
        <v>0</v>
      </c>
      <c r="Q975" t="n">
        <v>0</v>
      </c>
      <c r="R975" s="2" t="inlineStr"/>
    </row>
    <row r="976" ht="15" customHeight="1">
      <c r="A976" t="inlineStr">
        <is>
          <t>A 61185-2022</t>
        </is>
      </c>
      <c r="B976" s="1" t="n">
        <v>44915</v>
      </c>
      <c r="C976" s="1" t="n">
        <v>45922</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58915-2023</t>
        </is>
      </c>
      <c r="B977" s="1" t="n">
        <v>45250</v>
      </c>
      <c r="C977" s="1" t="n">
        <v>45922</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20058-2023</t>
        </is>
      </c>
      <c r="B978" s="1" t="n">
        <v>45054.68476851852</v>
      </c>
      <c r="C978" s="1" t="n">
        <v>45922</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15508-2023</t>
        </is>
      </c>
      <c r="B979" s="1" t="n">
        <v>45020.50045138889</v>
      </c>
      <c r="C979" s="1" t="n">
        <v>45922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8619-2023</t>
        </is>
      </c>
      <c r="B980" s="1" t="n">
        <v>44977.81979166667</v>
      </c>
      <c r="C980" s="1" t="n">
        <v>45922</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9543-2025</t>
        </is>
      </c>
      <c r="B981" s="1" t="n">
        <v>45715</v>
      </c>
      <c r="C981" s="1" t="n">
        <v>45922</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53067-2022</t>
        </is>
      </c>
      <c r="B982" s="1" t="n">
        <v>44873</v>
      </c>
      <c r="C982" s="1" t="n">
        <v>45922</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3349-2023</t>
        </is>
      </c>
      <c r="B983" s="1" t="n">
        <v>44949</v>
      </c>
      <c r="C983" s="1" t="n">
        <v>45922</v>
      </c>
      <c r="D983" t="inlineStr">
        <is>
          <t>SKÅNE LÄN</t>
        </is>
      </c>
      <c r="E983" t="inlineStr">
        <is>
          <t>HÄSSLEHOLM</t>
        </is>
      </c>
      <c r="G983" t="n">
        <v>2.3</v>
      </c>
      <c r="H983" t="n">
        <v>0</v>
      </c>
      <c r="I983" t="n">
        <v>0</v>
      </c>
      <c r="J983" t="n">
        <v>0</v>
      </c>
      <c r="K983" t="n">
        <v>0</v>
      </c>
      <c r="L983" t="n">
        <v>0</v>
      </c>
      <c r="M983" t="n">
        <v>0</v>
      </c>
      <c r="N983" t="n">
        <v>0</v>
      </c>
      <c r="O983" t="n">
        <v>0</v>
      </c>
      <c r="P983" t="n">
        <v>0</v>
      </c>
      <c r="Q983" t="n">
        <v>0</v>
      </c>
      <c r="R983" s="2" t="inlineStr"/>
    </row>
    <row r="984" ht="15" customHeight="1">
      <c r="A984" t="inlineStr">
        <is>
          <t>A 61934-2023</t>
        </is>
      </c>
      <c r="B984" s="1" t="n">
        <v>45266.54125</v>
      </c>
      <c r="C984" s="1" t="n">
        <v>45922</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11715-2023</t>
        </is>
      </c>
      <c r="B985" s="1" t="n">
        <v>44992</v>
      </c>
      <c r="C985" s="1" t="n">
        <v>45922</v>
      </c>
      <c r="D985" t="inlineStr">
        <is>
          <t>SKÅNE LÄN</t>
        </is>
      </c>
      <c r="E985" t="inlineStr">
        <is>
          <t>HÄSSLEHOLM</t>
        </is>
      </c>
      <c r="F985" t="inlineStr">
        <is>
          <t>Övriga Aktiebolag</t>
        </is>
      </c>
      <c r="G985" t="n">
        <v>2</v>
      </c>
      <c r="H985" t="n">
        <v>0</v>
      </c>
      <c r="I985" t="n">
        <v>0</v>
      </c>
      <c r="J985" t="n">
        <v>0</v>
      </c>
      <c r="K985" t="n">
        <v>0</v>
      </c>
      <c r="L985" t="n">
        <v>0</v>
      </c>
      <c r="M985" t="n">
        <v>0</v>
      </c>
      <c r="N985" t="n">
        <v>0</v>
      </c>
      <c r="O985" t="n">
        <v>0</v>
      </c>
      <c r="P985" t="n">
        <v>0</v>
      </c>
      <c r="Q985" t="n">
        <v>0</v>
      </c>
      <c r="R985" s="2" t="inlineStr"/>
    </row>
    <row r="986" ht="15" customHeight="1">
      <c r="A986" t="inlineStr">
        <is>
          <t>A 38888-2023</t>
        </is>
      </c>
      <c r="B986" s="1" t="n">
        <v>45161</v>
      </c>
      <c r="C986" s="1" t="n">
        <v>45922</v>
      </c>
      <c r="D986" t="inlineStr">
        <is>
          <t>SKÅNE LÄN</t>
        </is>
      </c>
      <c r="E986" t="inlineStr">
        <is>
          <t>HÄSSLEHOLM</t>
        </is>
      </c>
      <c r="G986" t="n">
        <v>1.6</v>
      </c>
      <c r="H986" t="n">
        <v>0</v>
      </c>
      <c r="I986" t="n">
        <v>0</v>
      </c>
      <c r="J986" t="n">
        <v>0</v>
      </c>
      <c r="K986" t="n">
        <v>0</v>
      </c>
      <c r="L986" t="n">
        <v>0</v>
      </c>
      <c r="M986" t="n">
        <v>0</v>
      </c>
      <c r="N986" t="n">
        <v>0</v>
      </c>
      <c r="O986" t="n">
        <v>0</v>
      </c>
      <c r="P986" t="n">
        <v>0</v>
      </c>
      <c r="Q986" t="n">
        <v>0</v>
      </c>
      <c r="R986" s="2" t="inlineStr"/>
    </row>
    <row r="987" ht="15" customHeight="1">
      <c r="A987" t="inlineStr">
        <is>
          <t>A 59030-2024</t>
        </is>
      </c>
      <c r="B987" s="1" t="n">
        <v>45636.68916666666</v>
      </c>
      <c r="C987" s="1" t="n">
        <v>45922</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48663-2024</t>
        </is>
      </c>
      <c r="B988" s="1" t="n">
        <v>45593.48892361111</v>
      </c>
      <c r="C988" s="1" t="n">
        <v>45922</v>
      </c>
      <c r="D988" t="inlineStr">
        <is>
          <t>SKÅNE LÄN</t>
        </is>
      </c>
      <c r="E988" t="inlineStr">
        <is>
          <t>HÄSSLEHOLM</t>
        </is>
      </c>
      <c r="G988" t="n">
        <v>1.8</v>
      </c>
      <c r="H988" t="n">
        <v>0</v>
      </c>
      <c r="I988" t="n">
        <v>0</v>
      </c>
      <c r="J988" t="n">
        <v>0</v>
      </c>
      <c r="K988" t="n">
        <v>0</v>
      </c>
      <c r="L988" t="n">
        <v>0</v>
      </c>
      <c r="M988" t="n">
        <v>0</v>
      </c>
      <c r="N988" t="n">
        <v>0</v>
      </c>
      <c r="O988" t="n">
        <v>0</v>
      </c>
      <c r="P988" t="n">
        <v>0</v>
      </c>
      <c r="Q988" t="n">
        <v>0</v>
      </c>
      <c r="R988" s="2" t="inlineStr"/>
    </row>
    <row r="989" ht="15" customHeight="1">
      <c r="A989" t="inlineStr">
        <is>
          <t>A 16862-2025</t>
        </is>
      </c>
      <c r="B989" s="1" t="n">
        <v>45751</v>
      </c>
      <c r="C989" s="1" t="n">
        <v>45922</v>
      </c>
      <c r="D989" t="inlineStr">
        <is>
          <t>SKÅNE LÄN</t>
        </is>
      </c>
      <c r="E989" t="inlineStr">
        <is>
          <t>HÄSSLEHOLM</t>
        </is>
      </c>
      <c r="G989" t="n">
        <v>2.3</v>
      </c>
      <c r="H989" t="n">
        <v>0</v>
      </c>
      <c r="I989" t="n">
        <v>0</v>
      </c>
      <c r="J989" t="n">
        <v>0</v>
      </c>
      <c r="K989" t="n">
        <v>0</v>
      </c>
      <c r="L989" t="n">
        <v>0</v>
      </c>
      <c r="M989" t="n">
        <v>0</v>
      </c>
      <c r="N989" t="n">
        <v>0</v>
      </c>
      <c r="O989" t="n">
        <v>0</v>
      </c>
      <c r="P989" t="n">
        <v>0</v>
      </c>
      <c r="Q989" t="n">
        <v>0</v>
      </c>
      <c r="R989" s="2" t="inlineStr"/>
    </row>
    <row r="990" ht="15" customHeight="1">
      <c r="A990" t="inlineStr">
        <is>
          <t>A 46185-2022</t>
        </is>
      </c>
      <c r="B990" s="1" t="n">
        <v>44847</v>
      </c>
      <c r="C990" s="1" t="n">
        <v>45922</v>
      </c>
      <c r="D990" t="inlineStr">
        <is>
          <t>SKÅNE LÄN</t>
        </is>
      </c>
      <c r="E990" t="inlineStr">
        <is>
          <t>HÄSSLEHOLM</t>
        </is>
      </c>
      <c r="G990" t="n">
        <v>16.8</v>
      </c>
      <c r="H990" t="n">
        <v>0</v>
      </c>
      <c r="I990" t="n">
        <v>0</v>
      </c>
      <c r="J990" t="n">
        <v>0</v>
      </c>
      <c r="K990" t="n">
        <v>0</v>
      </c>
      <c r="L990" t="n">
        <v>0</v>
      </c>
      <c r="M990" t="n">
        <v>0</v>
      </c>
      <c r="N990" t="n">
        <v>0</v>
      </c>
      <c r="O990" t="n">
        <v>0</v>
      </c>
      <c r="P990" t="n">
        <v>0</v>
      </c>
      <c r="Q990" t="n">
        <v>0</v>
      </c>
      <c r="R990" s="2" t="inlineStr"/>
    </row>
    <row r="991" ht="15" customHeight="1">
      <c r="A991" t="inlineStr">
        <is>
          <t>A 7153-2025</t>
        </is>
      </c>
      <c r="B991" s="1" t="n">
        <v>45702.38512731482</v>
      </c>
      <c r="C991" s="1" t="n">
        <v>45922</v>
      </c>
      <c r="D991" t="inlineStr">
        <is>
          <t>SKÅNE LÄN</t>
        </is>
      </c>
      <c r="E991" t="inlineStr">
        <is>
          <t>HÄSSLEHOLM</t>
        </is>
      </c>
      <c r="G991" t="n">
        <v>2.7</v>
      </c>
      <c r="H991" t="n">
        <v>0</v>
      </c>
      <c r="I991" t="n">
        <v>0</v>
      </c>
      <c r="J991" t="n">
        <v>0</v>
      </c>
      <c r="K991" t="n">
        <v>0</v>
      </c>
      <c r="L991" t="n">
        <v>0</v>
      </c>
      <c r="M991" t="n">
        <v>0</v>
      </c>
      <c r="N991" t="n">
        <v>0</v>
      </c>
      <c r="O991" t="n">
        <v>0</v>
      </c>
      <c r="P991" t="n">
        <v>0</v>
      </c>
      <c r="Q991" t="n">
        <v>0</v>
      </c>
      <c r="R991" s="2" t="inlineStr"/>
    </row>
    <row r="992" ht="15" customHeight="1">
      <c r="A992" t="inlineStr">
        <is>
          <t>A 18623-2023</t>
        </is>
      </c>
      <c r="B992" s="1" t="n">
        <v>45043</v>
      </c>
      <c r="C992" s="1" t="n">
        <v>45922</v>
      </c>
      <c r="D992" t="inlineStr">
        <is>
          <t>SKÅNE LÄN</t>
        </is>
      </c>
      <c r="E992" t="inlineStr">
        <is>
          <t>HÄSSLEHOLM</t>
        </is>
      </c>
      <c r="G992" t="n">
        <v>3.2</v>
      </c>
      <c r="H992" t="n">
        <v>0</v>
      </c>
      <c r="I992" t="n">
        <v>0</v>
      </c>
      <c r="J992" t="n">
        <v>0</v>
      </c>
      <c r="K992" t="n">
        <v>0</v>
      </c>
      <c r="L992" t="n">
        <v>0</v>
      </c>
      <c r="M992" t="n">
        <v>0</v>
      </c>
      <c r="N992" t="n">
        <v>0</v>
      </c>
      <c r="O992" t="n">
        <v>0</v>
      </c>
      <c r="P992" t="n">
        <v>0</v>
      </c>
      <c r="Q992" t="n">
        <v>0</v>
      </c>
      <c r="R992" s="2" t="inlineStr"/>
    </row>
    <row r="993" ht="15" customHeight="1">
      <c r="A993" t="inlineStr">
        <is>
          <t>A 33873-2021</t>
        </is>
      </c>
      <c r="B993" s="1" t="n">
        <v>44378</v>
      </c>
      <c r="C993" s="1" t="n">
        <v>45922</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15053-2023</t>
        </is>
      </c>
      <c r="B994" s="1" t="n">
        <v>45015</v>
      </c>
      <c r="C994" s="1" t="n">
        <v>45922</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10594-2025</t>
        </is>
      </c>
      <c r="B995" s="1" t="n">
        <v>45721</v>
      </c>
      <c r="C995" s="1" t="n">
        <v>45922</v>
      </c>
      <c r="D995" t="inlineStr">
        <is>
          <t>SKÅNE LÄN</t>
        </is>
      </c>
      <c r="E995" t="inlineStr">
        <is>
          <t>HÄSSLEHOLM</t>
        </is>
      </c>
      <c r="G995" t="n">
        <v>5.3</v>
      </c>
      <c r="H995" t="n">
        <v>0</v>
      </c>
      <c r="I995" t="n">
        <v>0</v>
      </c>
      <c r="J995" t="n">
        <v>0</v>
      </c>
      <c r="K995" t="n">
        <v>0</v>
      </c>
      <c r="L995" t="n">
        <v>0</v>
      </c>
      <c r="M995" t="n">
        <v>0</v>
      </c>
      <c r="N995" t="n">
        <v>0</v>
      </c>
      <c r="O995" t="n">
        <v>0</v>
      </c>
      <c r="P995" t="n">
        <v>0</v>
      </c>
      <c r="Q995" t="n">
        <v>0</v>
      </c>
      <c r="R995" s="2" t="inlineStr"/>
    </row>
    <row r="996" ht="15" customHeight="1">
      <c r="A996" t="inlineStr">
        <is>
          <t>A 48771-2024</t>
        </is>
      </c>
      <c r="B996" s="1" t="n">
        <v>45593.61284722222</v>
      </c>
      <c r="C996" s="1" t="n">
        <v>45922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9302-2025</t>
        </is>
      </c>
      <c r="B997" s="1" t="n">
        <v>45714.67233796296</v>
      </c>
      <c r="C997" s="1" t="n">
        <v>45922</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12344-2023</t>
        </is>
      </c>
      <c r="B998" s="1" t="n">
        <v>44999</v>
      </c>
      <c r="C998" s="1" t="n">
        <v>45922</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47907-2021</t>
        </is>
      </c>
      <c r="B999" s="1" t="n">
        <v>44448</v>
      </c>
      <c r="C999" s="1" t="n">
        <v>45922</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61197-2024</t>
        </is>
      </c>
      <c r="B1000" s="1" t="n">
        <v>45645.63184027778</v>
      </c>
      <c r="C1000" s="1" t="n">
        <v>45922</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1197-2024</t>
        </is>
      </c>
      <c r="B1001" s="1" t="n">
        <v>45302</v>
      </c>
      <c r="C1001" s="1" t="n">
        <v>45922</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6165-2023</t>
        </is>
      </c>
      <c r="B1002" s="1" t="n">
        <v>44964.67114583333</v>
      </c>
      <c r="C1002" s="1" t="n">
        <v>45922</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13712-2025</t>
        </is>
      </c>
      <c r="B1003" s="1" t="n">
        <v>45737</v>
      </c>
      <c r="C1003" s="1" t="n">
        <v>45922</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33938-2023</t>
        </is>
      </c>
      <c r="B1004" s="1" t="n">
        <v>45124</v>
      </c>
      <c r="C1004" s="1" t="n">
        <v>45922</v>
      </c>
      <c r="D1004" t="inlineStr">
        <is>
          <t>SKÅNE LÄN</t>
        </is>
      </c>
      <c r="E1004" t="inlineStr">
        <is>
          <t>HÄSSLEHOLM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61533-2022</t>
        </is>
      </c>
      <c r="B1005" s="1" t="n">
        <v>44910</v>
      </c>
      <c r="C1005" s="1" t="n">
        <v>45922</v>
      </c>
      <c r="D1005" t="inlineStr">
        <is>
          <t>SKÅNE LÄN</t>
        </is>
      </c>
      <c r="E1005" t="inlineStr">
        <is>
          <t>HÄSSLEHOLM</t>
        </is>
      </c>
      <c r="F1005" t="inlineStr">
        <is>
          <t>Kyrkan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49950-2023</t>
        </is>
      </c>
      <c r="B1006" s="1" t="n">
        <v>45215</v>
      </c>
      <c r="C1006" s="1" t="n">
        <v>45922</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41694-2024</t>
        </is>
      </c>
      <c r="B1007" s="1" t="n">
        <v>45560.68341435185</v>
      </c>
      <c r="C1007" s="1" t="n">
        <v>45922</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677-2024</t>
        </is>
      </c>
      <c r="B1008" s="1" t="n">
        <v>45300</v>
      </c>
      <c r="C1008" s="1" t="n">
        <v>45922</v>
      </c>
      <c r="D1008" t="inlineStr">
        <is>
          <t>SKÅNE LÄN</t>
        </is>
      </c>
      <c r="E1008" t="inlineStr">
        <is>
          <t>HÄSSLEHOLM</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36795-2023</t>
        </is>
      </c>
      <c r="B1009" s="1" t="n">
        <v>45154.38245370371</v>
      </c>
      <c r="C1009" s="1" t="n">
        <v>45922</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46942-2024</t>
        </is>
      </c>
      <c r="B1010" s="1" t="n">
        <v>45585.6684375</v>
      </c>
      <c r="C1010" s="1" t="n">
        <v>45922</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20872-2025</t>
        </is>
      </c>
      <c r="B1011" s="1" t="n">
        <v>45777.34688657407</v>
      </c>
      <c r="C1011" s="1" t="n">
        <v>45922</v>
      </c>
      <c r="D1011" t="inlineStr">
        <is>
          <t>SKÅNE LÄN</t>
        </is>
      </c>
      <c r="E1011" t="inlineStr">
        <is>
          <t>HÄSSLEHOLM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43696-2024</t>
        </is>
      </c>
      <c r="B1012" s="1" t="n">
        <v>45569.58855324074</v>
      </c>
      <c r="C1012" s="1" t="n">
        <v>45922</v>
      </c>
      <c r="D1012" t="inlineStr">
        <is>
          <t>SKÅNE LÄN</t>
        </is>
      </c>
      <c r="E1012" t="inlineStr">
        <is>
          <t>HÄSSLEHOLM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36706-2022</t>
        </is>
      </c>
      <c r="B1013" s="1" t="n">
        <v>44805.32891203704</v>
      </c>
      <c r="C1013" s="1" t="n">
        <v>45922</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22594-2024</t>
        </is>
      </c>
      <c r="B1014" s="1" t="n">
        <v>45447.60892361111</v>
      </c>
      <c r="C1014" s="1" t="n">
        <v>45922</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45109.60038194444</v>
      </c>
      <c r="C1015" s="1" t="n">
        <v>45922</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25213-2023</t>
        </is>
      </c>
      <c r="B1016" s="1" t="n">
        <v>45086.60010416667</v>
      </c>
      <c r="C1016" s="1" t="n">
        <v>45922</v>
      </c>
      <c r="D1016" t="inlineStr">
        <is>
          <t>SKÅNE LÄN</t>
        </is>
      </c>
      <c r="E1016" t="inlineStr">
        <is>
          <t>HÄSSLEHOLM</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21206-2025</t>
        </is>
      </c>
      <c r="B1017" s="1" t="n">
        <v>45779.48318287037</v>
      </c>
      <c r="C1017" s="1" t="n">
        <v>45922</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18063-2023</t>
        </is>
      </c>
      <c r="B1018" s="1" t="n">
        <v>45040.62850694444</v>
      </c>
      <c r="C1018" s="1" t="n">
        <v>45922</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21091-2025</t>
        </is>
      </c>
      <c r="B1019" s="1" t="n">
        <v>45777</v>
      </c>
      <c r="C1019" s="1" t="n">
        <v>45922</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317-2025</t>
        </is>
      </c>
      <c r="B1020" s="1" t="n">
        <v>45660</v>
      </c>
      <c r="C1020" s="1" t="n">
        <v>45922</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21638-2025</t>
        </is>
      </c>
      <c r="B1021" s="1" t="n">
        <v>45783.43087962963</v>
      </c>
      <c r="C1021" s="1" t="n">
        <v>45922</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61524-2022</t>
        </is>
      </c>
      <c r="B1022" s="1" t="n">
        <v>44910</v>
      </c>
      <c r="C1022" s="1" t="n">
        <v>45922</v>
      </c>
      <c r="D1022" t="inlineStr">
        <is>
          <t>SKÅNE LÄN</t>
        </is>
      </c>
      <c r="E1022" t="inlineStr">
        <is>
          <t>HÄSSLEHOLM</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61578-2023</t>
        </is>
      </c>
      <c r="B1023" s="1" t="n">
        <v>45265.47399305556</v>
      </c>
      <c r="C1023" s="1" t="n">
        <v>45922</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39111-2023</t>
        </is>
      </c>
      <c r="B1024" s="1" t="n">
        <v>45164.87140046297</v>
      </c>
      <c r="C1024" s="1" t="n">
        <v>45922</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25542-2024</t>
        </is>
      </c>
      <c r="B1025" s="1" t="n">
        <v>45463</v>
      </c>
      <c r="C1025" s="1" t="n">
        <v>45922</v>
      </c>
      <c r="D1025" t="inlineStr">
        <is>
          <t>SKÅNE LÄN</t>
        </is>
      </c>
      <c r="E1025" t="inlineStr">
        <is>
          <t>HÄSSLEHOLM</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60851-2024</t>
        </is>
      </c>
      <c r="B1026" s="1" t="n">
        <v>45644.66182870371</v>
      </c>
      <c r="C1026" s="1" t="n">
        <v>45922</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42370-2023</t>
        </is>
      </c>
      <c r="B1027" s="1" t="n">
        <v>45180</v>
      </c>
      <c r="C1027" s="1" t="n">
        <v>45922</v>
      </c>
      <c r="D1027" t="inlineStr">
        <is>
          <t>SKÅNE LÄN</t>
        </is>
      </c>
      <c r="E1027" t="inlineStr">
        <is>
          <t>HÄSSLEHOLM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21625-2025</t>
        </is>
      </c>
      <c r="B1028" s="1" t="n">
        <v>45783.41252314814</v>
      </c>
      <c r="C1028" s="1" t="n">
        <v>45922</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7818-2024</t>
        </is>
      </c>
      <c r="B1029" s="1" t="n">
        <v>45349.68872685185</v>
      </c>
      <c r="C1029" s="1" t="n">
        <v>45922</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11422-2025</t>
        </is>
      </c>
      <c r="B1030" s="1" t="n">
        <v>45726</v>
      </c>
      <c r="C1030" s="1" t="n">
        <v>45922</v>
      </c>
      <c r="D1030" t="inlineStr">
        <is>
          <t>SKÅNE LÄN</t>
        </is>
      </c>
      <c r="E1030" t="inlineStr">
        <is>
          <t>HÄSSLEHOLM</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13149-2024</t>
        </is>
      </c>
      <c r="B1031" s="1" t="n">
        <v>45386</v>
      </c>
      <c r="C1031" s="1" t="n">
        <v>45922</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7604-2024</t>
        </is>
      </c>
      <c r="B1032" s="1" t="n">
        <v>45348</v>
      </c>
      <c r="C1032" s="1" t="n">
        <v>45922</v>
      </c>
      <c r="D1032" t="inlineStr">
        <is>
          <t>SKÅNE LÄN</t>
        </is>
      </c>
      <c r="E1032" t="inlineStr">
        <is>
          <t>HÄSSLEHOLM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29853-2024</t>
        </is>
      </c>
      <c r="B1033" s="1" t="n">
        <v>45485.65844907407</v>
      </c>
      <c r="C1033" s="1" t="n">
        <v>45922</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29287-2023</t>
        </is>
      </c>
      <c r="B1034" s="1" t="n">
        <v>45098</v>
      </c>
      <c r="C1034" s="1" t="n">
        <v>45922</v>
      </c>
      <c r="D1034" t="inlineStr">
        <is>
          <t>SKÅNE LÄN</t>
        </is>
      </c>
      <c r="E1034" t="inlineStr">
        <is>
          <t>HÄSSLEHOLM</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29845-2024</t>
        </is>
      </c>
      <c r="B1035" s="1" t="n">
        <v>45485.6212037037</v>
      </c>
      <c r="C1035" s="1" t="n">
        <v>45922</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5992-2022</t>
        </is>
      </c>
      <c r="B1036" s="1" t="n">
        <v>44599</v>
      </c>
      <c r="C1036" s="1" t="n">
        <v>45922</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30109-2025</t>
        </is>
      </c>
      <c r="B1037" s="1" t="n">
        <v>45826</v>
      </c>
      <c r="C1037" s="1" t="n">
        <v>45922</v>
      </c>
      <c r="D1037" t="inlineStr">
        <is>
          <t>SKÅNE LÄN</t>
        </is>
      </c>
      <c r="E1037" t="inlineStr">
        <is>
          <t>HÄSSLEHOLM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1703-2025</t>
        </is>
      </c>
      <c r="B1038" s="1" t="n">
        <v>45670.80732638889</v>
      </c>
      <c r="C1038" s="1" t="n">
        <v>45922</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25324-2024</t>
        </is>
      </c>
      <c r="B1039" s="1" t="n">
        <v>45462.804375</v>
      </c>
      <c r="C1039" s="1" t="n">
        <v>45922</v>
      </c>
      <c r="D1039" t="inlineStr">
        <is>
          <t>SKÅNE LÄN</t>
        </is>
      </c>
      <c r="E1039" t="inlineStr">
        <is>
          <t>HÄSSLEHOLM</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8803-2023</t>
        </is>
      </c>
      <c r="B1040" s="1" t="n">
        <v>44978.61712962963</v>
      </c>
      <c r="C1040" s="1" t="n">
        <v>45922</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53466-2024</t>
        </is>
      </c>
      <c r="B1041" s="1" t="n">
        <v>45614.55304398148</v>
      </c>
      <c r="C1041" s="1" t="n">
        <v>45922</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61533-2024</t>
        </is>
      </c>
      <c r="B1042" s="1" t="n">
        <v>45646</v>
      </c>
      <c r="C1042" s="1" t="n">
        <v>45922</v>
      </c>
      <c r="D1042" t="inlineStr">
        <is>
          <t>SKÅNE LÄN</t>
        </is>
      </c>
      <c r="E1042" t="inlineStr">
        <is>
          <t>HÄSSLEHOLM</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19735-2023</t>
        </is>
      </c>
      <c r="B1043" s="1" t="n">
        <v>45051.52199074074</v>
      </c>
      <c r="C1043" s="1" t="n">
        <v>45922</v>
      </c>
      <c r="D1043" t="inlineStr">
        <is>
          <t>SKÅNE LÄN</t>
        </is>
      </c>
      <c r="E1043" t="inlineStr">
        <is>
          <t>HÄSSLEHOLM</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2490-2024</t>
        </is>
      </c>
      <c r="B1044" s="1" t="n">
        <v>45313.43649305555</v>
      </c>
      <c r="C1044" s="1" t="n">
        <v>45922</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61537-2024</t>
        </is>
      </c>
      <c r="B1045" s="1" t="n">
        <v>45646</v>
      </c>
      <c r="C1045" s="1" t="n">
        <v>45922</v>
      </c>
      <c r="D1045" t="inlineStr">
        <is>
          <t>SKÅNE LÄN</t>
        </is>
      </c>
      <c r="E1045" t="inlineStr">
        <is>
          <t>HÄSSLEHOLM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4809-2025</t>
        </is>
      </c>
      <c r="B1046" s="1" t="n">
        <v>45688.60148148148</v>
      </c>
      <c r="C1046" s="1" t="n">
        <v>45922</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45142.39475694444</v>
      </c>
      <c r="C1047" s="1" t="n">
        <v>45922</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12780-2024</t>
        </is>
      </c>
      <c r="B1048" s="1" t="n">
        <v>45384.59726851852</v>
      </c>
      <c r="C1048" s="1" t="n">
        <v>45922</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9375-2023</t>
        </is>
      </c>
      <c r="B1049" s="1" t="n">
        <v>44981</v>
      </c>
      <c r="C1049" s="1" t="n">
        <v>45922</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22024-2025</t>
        </is>
      </c>
      <c r="B1050" s="1" t="n">
        <v>45784.85322916666</v>
      </c>
      <c r="C1050" s="1" t="n">
        <v>45922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30092-2025</t>
        </is>
      </c>
      <c r="B1051" s="1" t="n">
        <v>45826</v>
      </c>
      <c r="C1051" s="1" t="n">
        <v>45922</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20006-2025</t>
        </is>
      </c>
      <c r="B1052" s="1" t="n">
        <v>45772.05032407407</v>
      </c>
      <c r="C1052" s="1" t="n">
        <v>45922</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26857-2025</t>
        </is>
      </c>
      <c r="B1053" s="1" t="n">
        <v>45810</v>
      </c>
      <c r="C1053" s="1" t="n">
        <v>45922</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56735-2024</t>
        </is>
      </c>
      <c r="B1054" s="1" t="n">
        <v>45628.36234953703</v>
      </c>
      <c r="C1054" s="1" t="n">
        <v>45922</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29844-2024</t>
        </is>
      </c>
      <c r="B1055" s="1" t="n">
        <v>45485</v>
      </c>
      <c r="C1055" s="1" t="n">
        <v>45922</v>
      </c>
      <c r="D1055" t="inlineStr">
        <is>
          <t>SKÅNE LÄN</t>
        </is>
      </c>
      <c r="E1055" t="inlineStr">
        <is>
          <t>HÄSSLEHOLM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30006-2023</t>
        </is>
      </c>
      <c r="B1056" s="1" t="n">
        <v>45109.79962962963</v>
      </c>
      <c r="C1056" s="1" t="n">
        <v>45922</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55662-2022</t>
        </is>
      </c>
      <c r="B1057" s="1" t="n">
        <v>44883</v>
      </c>
      <c r="C1057" s="1" t="n">
        <v>45922</v>
      </c>
      <c r="D1057" t="inlineStr">
        <is>
          <t>SKÅNE LÄN</t>
        </is>
      </c>
      <c r="E1057" t="inlineStr">
        <is>
          <t>HÄSSLEHOLM</t>
        </is>
      </c>
      <c r="F1057" t="inlineStr">
        <is>
          <t>Övriga Aktiebolag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49167-2022</t>
        </is>
      </c>
      <c r="B1058" s="1" t="n">
        <v>44860</v>
      </c>
      <c r="C1058" s="1" t="n">
        <v>45922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3886-2024</t>
        </is>
      </c>
      <c r="B1059" s="1" t="n">
        <v>45322.44539351852</v>
      </c>
      <c r="C1059" s="1" t="n">
        <v>45922</v>
      </c>
      <c r="D1059" t="inlineStr">
        <is>
          <t>SKÅNE LÄN</t>
        </is>
      </c>
      <c r="E1059" t="inlineStr">
        <is>
          <t>HÄSSLEHOLM</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9924-2025</t>
        </is>
      </c>
      <c r="B1060" s="1" t="n">
        <v>45717.72505787037</v>
      </c>
      <c r="C1060" s="1" t="n">
        <v>45922</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57963-2023</t>
        </is>
      </c>
      <c r="B1061" s="1" t="n">
        <v>45247.57732638889</v>
      </c>
      <c r="C1061" s="1" t="n">
        <v>45922</v>
      </c>
      <c r="D1061" t="inlineStr">
        <is>
          <t>SKÅNE LÄN</t>
        </is>
      </c>
      <c r="E1061" t="inlineStr">
        <is>
          <t>HÄSSLEHOLM</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22587-2025</t>
        </is>
      </c>
      <c r="B1062" s="1" t="n">
        <v>45789.39974537037</v>
      </c>
      <c r="C1062" s="1" t="n">
        <v>45922</v>
      </c>
      <c r="D1062" t="inlineStr">
        <is>
          <t>SKÅNE LÄN</t>
        </is>
      </c>
      <c r="E1062" t="inlineStr">
        <is>
          <t>HÄSSLEHOLM</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57033-2022</t>
        </is>
      </c>
      <c r="B1063" s="1" t="n">
        <v>44895.31270833333</v>
      </c>
      <c r="C1063" s="1" t="n">
        <v>45922</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35845-2022</t>
        </is>
      </c>
      <c r="B1064" s="1" t="n">
        <v>44802</v>
      </c>
      <c r="C1064" s="1" t="n">
        <v>45922</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60920-2024</t>
        </is>
      </c>
      <c r="B1065" s="1" t="n">
        <v>45645.34442129629</v>
      </c>
      <c r="C1065" s="1" t="n">
        <v>45922</v>
      </c>
      <c r="D1065" t="inlineStr">
        <is>
          <t>SKÅNE LÄN</t>
        </is>
      </c>
      <c r="E1065" t="inlineStr">
        <is>
          <t>HÄSSLEHOLM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40536-2024</t>
        </is>
      </c>
      <c r="B1066" s="1" t="n">
        <v>45555.61314814815</v>
      </c>
      <c r="C1066" s="1" t="n">
        <v>45922</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56386-2023</t>
        </is>
      </c>
      <c r="B1067" s="1" t="n">
        <v>45243</v>
      </c>
      <c r="C1067" s="1" t="n">
        <v>45922</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22140-2023</t>
        </is>
      </c>
      <c r="B1068" s="1" t="n">
        <v>45065</v>
      </c>
      <c r="C1068" s="1" t="n">
        <v>45922</v>
      </c>
      <c r="D1068" t="inlineStr">
        <is>
          <t>SKÅNE LÄN</t>
        </is>
      </c>
      <c r="E1068" t="inlineStr">
        <is>
          <t>HÄSSLEHOLM</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29274-2023</t>
        </is>
      </c>
      <c r="B1069" s="1" t="n">
        <v>45105</v>
      </c>
      <c r="C1069" s="1" t="n">
        <v>45922</v>
      </c>
      <c r="D1069" t="inlineStr">
        <is>
          <t>SKÅNE LÄN</t>
        </is>
      </c>
      <c r="E1069" t="inlineStr">
        <is>
          <t>HÄSSLEHOLM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61932-2023</t>
        </is>
      </c>
      <c r="B1070" s="1" t="n">
        <v>45266.53761574074</v>
      </c>
      <c r="C1070" s="1" t="n">
        <v>45922</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27606-2024</t>
        </is>
      </c>
      <c r="B1071" s="1" t="n">
        <v>45474</v>
      </c>
      <c r="C1071" s="1" t="n">
        <v>45922</v>
      </c>
      <c r="D1071" t="inlineStr">
        <is>
          <t>SKÅNE LÄN</t>
        </is>
      </c>
      <c r="E1071" t="inlineStr">
        <is>
          <t>HÄSSLEHOLM</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50244-2024</t>
        </is>
      </c>
      <c r="B1072" s="1" t="n">
        <v>45600.56502314815</v>
      </c>
      <c r="C1072" s="1" t="n">
        <v>45922</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7221-2025</t>
        </is>
      </c>
      <c r="B1073" s="1" t="n">
        <v>45701</v>
      </c>
      <c r="C1073" s="1" t="n">
        <v>45922</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5532-2025</t>
        </is>
      </c>
      <c r="B1074" s="1" t="n">
        <v>45693</v>
      </c>
      <c r="C1074" s="1" t="n">
        <v>45922</v>
      </c>
      <c r="D1074" t="inlineStr">
        <is>
          <t>SKÅNE LÄN</t>
        </is>
      </c>
      <c r="E1074" t="inlineStr">
        <is>
          <t>HÄSSLEHOLM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7653-2024</t>
        </is>
      </c>
      <c r="B1075" s="1" t="n">
        <v>45348.69043981482</v>
      </c>
      <c r="C1075" s="1" t="n">
        <v>45922</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24679-2023</t>
        </is>
      </c>
      <c r="B1076" s="1" t="n">
        <v>45084</v>
      </c>
      <c r="C1076" s="1" t="n">
        <v>45922</v>
      </c>
      <c r="D1076" t="inlineStr">
        <is>
          <t>SKÅNE LÄN</t>
        </is>
      </c>
      <c r="E1076" t="inlineStr">
        <is>
          <t>HÄSSLEHOLM</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10230-2025</t>
        </is>
      </c>
      <c r="B1077" s="1" t="n">
        <v>45720</v>
      </c>
      <c r="C1077" s="1" t="n">
        <v>45922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33266-2024</t>
        </is>
      </c>
      <c r="B1078" s="1" t="n">
        <v>45518</v>
      </c>
      <c r="C1078" s="1" t="n">
        <v>45922</v>
      </c>
      <c r="D1078" t="inlineStr">
        <is>
          <t>SKÅNE LÄN</t>
        </is>
      </c>
      <c r="E1078" t="inlineStr">
        <is>
          <t>HÄSSLEHOLM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49219-2021</t>
        </is>
      </c>
      <c r="B1079" s="1" t="n">
        <v>44454</v>
      </c>
      <c r="C1079" s="1" t="n">
        <v>45922</v>
      </c>
      <c r="D1079" t="inlineStr">
        <is>
          <t>SKÅNE LÄN</t>
        </is>
      </c>
      <c r="E1079" t="inlineStr">
        <is>
          <t>HÄSSLEHOLM</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5890-2023</t>
        </is>
      </c>
      <c r="B1080" s="1" t="n">
        <v>44963.64527777778</v>
      </c>
      <c r="C1080" s="1" t="n">
        <v>45922</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48797-2023</t>
        </is>
      </c>
      <c r="B1081" s="1" t="n">
        <v>45209.24986111111</v>
      </c>
      <c r="C1081" s="1" t="n">
        <v>45922</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12936-2025</t>
        </is>
      </c>
      <c r="B1082" s="1" t="n">
        <v>45734</v>
      </c>
      <c r="C1082" s="1" t="n">
        <v>45922</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22592-2025</t>
        </is>
      </c>
      <c r="B1083" s="1" t="n">
        <v>45789.40502314815</v>
      </c>
      <c r="C1083" s="1" t="n">
        <v>45922</v>
      </c>
      <c r="D1083" t="inlineStr">
        <is>
          <t>SKÅNE LÄN</t>
        </is>
      </c>
      <c r="E1083" t="inlineStr">
        <is>
          <t>HÄSSLEHOLM</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56062-2024</t>
        </is>
      </c>
      <c r="B1084" s="1" t="n">
        <v>45624.37105324074</v>
      </c>
      <c r="C1084" s="1" t="n">
        <v>45922</v>
      </c>
      <c r="D1084" t="inlineStr">
        <is>
          <t>SKÅNE LÄN</t>
        </is>
      </c>
      <c r="E1084" t="inlineStr">
        <is>
          <t>HÄSSLEHOLM</t>
        </is>
      </c>
      <c r="F1084" t="inlineStr">
        <is>
          <t>Övriga Aktiebolag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45174.43481481481</v>
      </c>
      <c r="C1085" s="1" t="n">
        <v>45922</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57275-2023</t>
        </is>
      </c>
      <c r="B1086" s="1" t="n">
        <v>45245.58886574074</v>
      </c>
      <c r="C1086" s="1" t="n">
        <v>45922</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23007-2025</t>
        </is>
      </c>
      <c r="B1087" s="1" t="n">
        <v>45790</v>
      </c>
      <c r="C1087" s="1" t="n">
        <v>45922</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17171-2025</t>
        </is>
      </c>
      <c r="B1088" s="1" t="n">
        <v>45755</v>
      </c>
      <c r="C1088" s="1" t="n">
        <v>45922</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16930-2024</t>
        </is>
      </c>
      <c r="B1089" s="1" t="n">
        <v>45411</v>
      </c>
      <c r="C1089" s="1" t="n">
        <v>45922</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27825-2024</t>
        </is>
      </c>
      <c r="B1090" s="1" t="n">
        <v>45475</v>
      </c>
      <c r="C1090" s="1" t="n">
        <v>45922</v>
      </c>
      <c r="D1090" t="inlineStr">
        <is>
          <t>SKÅNE LÄN</t>
        </is>
      </c>
      <c r="E1090" t="inlineStr">
        <is>
          <t>HÄSSLEHOLM</t>
        </is>
      </c>
      <c r="F1090" t="inlineStr">
        <is>
          <t>Kommuner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53302-2022</t>
        </is>
      </c>
      <c r="B1091" s="1" t="n">
        <v>44877</v>
      </c>
      <c r="C1091" s="1" t="n">
        <v>45922</v>
      </c>
      <c r="D1091" t="inlineStr">
        <is>
          <t>SKÅNE LÄN</t>
        </is>
      </c>
      <c r="E1091" t="inlineStr">
        <is>
          <t>HÄSSLEHOLM</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31254-2024</t>
        </is>
      </c>
      <c r="B1092" s="1" t="n">
        <v>45503</v>
      </c>
      <c r="C1092" s="1" t="n">
        <v>45922</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27991-2024</t>
        </is>
      </c>
      <c r="B1093" s="1" t="n">
        <v>45476</v>
      </c>
      <c r="C1093" s="1" t="n">
        <v>45922</v>
      </c>
      <c r="D1093" t="inlineStr">
        <is>
          <t>SKÅNE LÄN</t>
        </is>
      </c>
      <c r="E1093" t="inlineStr">
        <is>
          <t>HÄSSLEHOLM</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37486-2024</t>
        </is>
      </c>
      <c r="B1094" s="1" t="n">
        <v>45541</v>
      </c>
      <c r="C1094" s="1" t="n">
        <v>45922</v>
      </c>
      <c r="D1094" t="inlineStr">
        <is>
          <t>SKÅNE LÄN</t>
        </is>
      </c>
      <c r="E1094" t="inlineStr">
        <is>
          <t>HÄSSLEHOLM</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11753-2025</t>
        </is>
      </c>
      <c r="B1095" s="1" t="n">
        <v>45727</v>
      </c>
      <c r="C1095" s="1" t="n">
        <v>45922</v>
      </c>
      <c r="D1095" t="inlineStr">
        <is>
          <t>SKÅNE LÄN</t>
        </is>
      </c>
      <c r="E1095" t="inlineStr">
        <is>
          <t>HÄSSLEHOLM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44838-2023</t>
        </is>
      </c>
      <c r="B1096" s="1" t="n">
        <v>45190</v>
      </c>
      <c r="C1096" s="1" t="n">
        <v>45922</v>
      </c>
      <c r="D1096" t="inlineStr">
        <is>
          <t>SKÅNE LÄN</t>
        </is>
      </c>
      <c r="E1096" t="inlineStr">
        <is>
          <t>HÄSSLEHOLM</t>
        </is>
      </c>
      <c r="F1096" t="inlineStr">
        <is>
          <t>Kommuner</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13954-2023</t>
        </is>
      </c>
      <c r="B1097" s="1" t="n">
        <v>45008</v>
      </c>
      <c r="C1097" s="1" t="n">
        <v>45922</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31946-2023</t>
        </is>
      </c>
      <c r="B1098" s="1" t="n">
        <v>45119.35158564815</v>
      </c>
      <c r="C1098" s="1" t="n">
        <v>45922</v>
      </c>
      <c r="D1098" t="inlineStr">
        <is>
          <t>SKÅNE LÄN</t>
        </is>
      </c>
      <c r="E1098" t="inlineStr">
        <is>
          <t>HÄSSLEHOLM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13007-2024</t>
        </is>
      </c>
      <c r="B1099" s="1" t="n">
        <v>45385.57092592592</v>
      </c>
      <c r="C1099" s="1" t="n">
        <v>45922</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40152-2024</t>
        </is>
      </c>
      <c r="B1100" s="1" t="n">
        <v>45554</v>
      </c>
      <c r="C1100" s="1" t="n">
        <v>45922</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74030-2021</t>
        </is>
      </c>
      <c r="B1101" s="1" t="n">
        <v>44553</v>
      </c>
      <c r="C1101" s="1" t="n">
        <v>45922</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15072-2024</t>
        </is>
      </c>
      <c r="B1102" s="1" t="n">
        <v>45399.5996875</v>
      </c>
      <c r="C1102" s="1" t="n">
        <v>45922</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11262-2025</t>
        </is>
      </c>
      <c r="B1103" s="1" t="n">
        <v>45726</v>
      </c>
      <c r="C1103" s="1" t="n">
        <v>45922</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5395-2024</t>
        </is>
      </c>
      <c r="B1104" s="1" t="n">
        <v>45331</v>
      </c>
      <c r="C1104" s="1" t="n">
        <v>45922</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2621-2025</t>
        </is>
      </c>
      <c r="B1105" s="1" t="n">
        <v>45675.60765046296</v>
      </c>
      <c r="C1105" s="1" t="n">
        <v>45922</v>
      </c>
      <c r="D1105" t="inlineStr">
        <is>
          <t>SKÅNE LÄN</t>
        </is>
      </c>
      <c r="E1105" t="inlineStr">
        <is>
          <t>HÄSSLEHOLM</t>
        </is>
      </c>
      <c r="F1105" t="inlineStr">
        <is>
          <t>Kommuner</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8737-2025</t>
        </is>
      </c>
      <c r="B1106" s="1" t="n">
        <v>45712.54578703704</v>
      </c>
      <c r="C1106" s="1" t="n">
        <v>45922</v>
      </c>
      <c r="D1106" t="inlineStr">
        <is>
          <t>SKÅNE LÄN</t>
        </is>
      </c>
      <c r="E1106" t="inlineStr">
        <is>
          <t>HÄSSLEHOLM</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37764-2022</t>
        </is>
      </c>
      <c r="B1107" s="1" t="n">
        <v>44810</v>
      </c>
      <c r="C1107" s="1" t="n">
        <v>45922</v>
      </c>
      <c r="D1107" t="inlineStr">
        <is>
          <t>SKÅNE LÄN</t>
        </is>
      </c>
      <c r="E1107" t="inlineStr">
        <is>
          <t>HÄSSLEHOLM</t>
        </is>
      </c>
      <c r="F1107" t="inlineStr">
        <is>
          <t>Kyrkan</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51018-2023</t>
        </is>
      </c>
      <c r="B1108" s="1" t="n">
        <v>45218</v>
      </c>
      <c r="C1108" s="1" t="n">
        <v>45922</v>
      </c>
      <c r="D1108" t="inlineStr">
        <is>
          <t>SKÅNE LÄN</t>
        </is>
      </c>
      <c r="E1108" t="inlineStr">
        <is>
          <t>HÄSSLEHOLM</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23005-2025</t>
        </is>
      </c>
      <c r="B1109" s="1" t="n">
        <v>45790</v>
      </c>
      <c r="C1109" s="1" t="n">
        <v>45922</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60797-2024</t>
        </is>
      </c>
      <c r="B1110" s="1" t="n">
        <v>45644</v>
      </c>
      <c r="C1110" s="1" t="n">
        <v>45922</v>
      </c>
      <c r="D1110" t="inlineStr">
        <is>
          <t>SKÅNE LÄN</t>
        </is>
      </c>
      <c r="E1110" t="inlineStr">
        <is>
          <t>HÄSSLEHOLM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56069-2024</t>
        </is>
      </c>
      <c r="B1111" s="1" t="n">
        <v>45624.38006944444</v>
      </c>
      <c r="C1111" s="1" t="n">
        <v>45922</v>
      </c>
      <c r="D1111" t="inlineStr">
        <is>
          <t>SKÅNE LÄN</t>
        </is>
      </c>
      <c r="E1111" t="inlineStr">
        <is>
          <t>HÄSSLEHOLM</t>
        </is>
      </c>
      <c r="F1111" t="inlineStr">
        <is>
          <t>Övriga Aktiebolag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7681-2025</t>
        </is>
      </c>
      <c r="B1112" s="1" t="n">
        <v>45706.36758101852</v>
      </c>
      <c r="C1112" s="1" t="n">
        <v>45922</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24032-2025</t>
        </is>
      </c>
      <c r="B1113" s="1" t="n">
        <v>45796.478125</v>
      </c>
      <c r="C1113" s="1" t="n">
        <v>45922</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6596-2021</t>
        </is>
      </c>
      <c r="B1114" s="1" t="n">
        <v>44236</v>
      </c>
      <c r="C1114" s="1" t="n">
        <v>45922</v>
      </c>
      <c r="D1114" t="inlineStr">
        <is>
          <t>SKÅNE LÄN</t>
        </is>
      </c>
      <c r="E1114" t="inlineStr">
        <is>
          <t>HÄSSLEHOLM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60789-2024</t>
        </is>
      </c>
      <c r="B1115" s="1" t="n">
        <v>45644</v>
      </c>
      <c r="C1115" s="1" t="n">
        <v>45922</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5252-2025</t>
        </is>
      </c>
      <c r="B1116" s="1" t="n">
        <v>45692.3449537037</v>
      </c>
      <c r="C1116" s="1" t="n">
        <v>45922</v>
      </c>
      <c r="D1116" t="inlineStr">
        <is>
          <t>SKÅNE LÄN</t>
        </is>
      </c>
      <c r="E1116" t="inlineStr">
        <is>
          <t>HÄSSLEHOLM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5242-2025</t>
        </is>
      </c>
      <c r="B1117" s="1" t="n">
        <v>45692.32883101852</v>
      </c>
      <c r="C1117" s="1" t="n">
        <v>45922</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24034-2025</t>
        </is>
      </c>
      <c r="B1118" s="1" t="n">
        <v>45796.48251157408</v>
      </c>
      <c r="C1118" s="1" t="n">
        <v>45922</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24250-2025</t>
        </is>
      </c>
      <c r="B1119" s="1" t="n">
        <v>45797.40260416667</v>
      </c>
      <c r="C1119" s="1" t="n">
        <v>45922</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24029-2025</t>
        </is>
      </c>
      <c r="B1120" s="1" t="n">
        <v>45796.47552083333</v>
      </c>
      <c r="C1120" s="1" t="n">
        <v>45922</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24039-2025</t>
        </is>
      </c>
      <c r="B1121" s="1" t="n">
        <v>45796.48675925926</v>
      </c>
      <c r="C1121" s="1" t="n">
        <v>45922</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24047-2025</t>
        </is>
      </c>
      <c r="B1122" s="1" t="n">
        <v>45796.49528935185</v>
      </c>
      <c r="C1122" s="1" t="n">
        <v>45922</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24675-2025</t>
        </is>
      </c>
      <c r="B1123" s="1" t="n">
        <v>45798.653125</v>
      </c>
      <c r="C1123" s="1" t="n">
        <v>45922</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42735-2024</t>
        </is>
      </c>
      <c r="B1124" s="1" t="n">
        <v>45566.47274305556</v>
      </c>
      <c r="C1124" s="1" t="n">
        <v>45922</v>
      </c>
      <c r="D1124" t="inlineStr">
        <is>
          <t>SKÅNE LÄN</t>
        </is>
      </c>
      <c r="E1124" t="inlineStr">
        <is>
          <t>HÄSSLEHOLM</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55522-2024</t>
        </is>
      </c>
      <c r="B1125" s="1" t="n">
        <v>45622</v>
      </c>
      <c r="C1125" s="1" t="n">
        <v>45922</v>
      </c>
      <c r="D1125" t="inlineStr">
        <is>
          <t>SKÅNE LÄN</t>
        </is>
      </c>
      <c r="E1125" t="inlineStr">
        <is>
          <t>HÄSSLEHOLM</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32826-2024</t>
        </is>
      </c>
      <c r="B1126" s="1" t="n">
        <v>45516.59056712963</v>
      </c>
      <c r="C1126" s="1" t="n">
        <v>45922</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c r="A1127" t="inlineStr">
        <is>
          <t>A 32512-2024</t>
        </is>
      </c>
      <c r="B1127" s="1" t="n">
        <v>45513.45613425926</v>
      </c>
      <c r="C1127" s="1" t="n">
        <v>45922</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2025-09-22T20:23:55Z</dcterms:created>
  <dcterms:modified xmlns:dcterms="http://purl.org/dc/terms/" xmlns:xsi="http://www.w3.org/2001/XMLSchema-instance" xsi:type="dcterms:W3CDTF">2025-09-22T20:23:56Z</dcterms:modified>
</cp:coreProperties>
</file>