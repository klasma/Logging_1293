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46035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46035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46035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46035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46035</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46035</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46035</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7862-2024</t>
        </is>
      </c>
      <c r="B20" s="1" t="n">
        <v>45348</v>
      </c>
      <c r="C20" s="1" t="n">
        <v>46035</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20280-2025</t>
        </is>
      </c>
      <c r="B21" s="1" t="n">
        <v>45774.38790509259</v>
      </c>
      <c r="C21" s="1" t="n">
        <v>46035</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61707-2024</t>
        </is>
      </c>
      <c r="B22" s="1" t="n">
        <v>45648.61747685185</v>
      </c>
      <c r="C22" s="1" t="n">
        <v>46035</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Rödlånke</t>
        </is>
      </c>
      <c r="S22">
        <f>HYPERLINK("https://klasma.github.io/Logging_1293/artfynd/A 61707-2024 artfynd.xlsx", "A 61707-2024")</f>
        <v/>
      </c>
      <c r="T22">
        <f>HYPERLINK("https://klasma.github.io/Logging_1293/kartor/A 61707-2024 karta.png", "A 61707-2024")</f>
        <v/>
      </c>
      <c r="V22">
        <f>HYPERLINK("https://klasma.github.io/Logging_1293/klagomål/A 61707-2024 FSC-klagomål.docx", "A 61707-2024")</f>
        <v/>
      </c>
      <c r="W22">
        <f>HYPERLINK("https://klasma.github.io/Logging_1293/klagomålsmail/A 61707-2024 FSC-klagomål mail.docx", "A 61707-2024")</f>
        <v/>
      </c>
      <c r="X22">
        <f>HYPERLINK("https://klasma.github.io/Logging_1293/tillsyn/A 61707-2024 tillsynsbegäran.docx", "A 61707-2024")</f>
        <v/>
      </c>
      <c r="Y22">
        <f>HYPERLINK("https://klasma.github.io/Logging_1293/tillsynsmail/A 61707-2024 tillsynsbegäran mail.docx", "A 61707-2024")</f>
        <v/>
      </c>
    </row>
    <row r="23" ht="15" customHeight="1">
      <c r="A23" t="inlineStr">
        <is>
          <t>A 43874-2022</t>
        </is>
      </c>
      <c r="B23" s="1" t="n">
        <v>44838.44738425926</v>
      </c>
      <c r="C23" s="1" t="n">
        <v>46035</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40613-2025</t>
        </is>
      </c>
      <c r="B24" s="1" t="n">
        <v>45896</v>
      </c>
      <c r="C24" s="1" t="n">
        <v>46035</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6634-2024</t>
        </is>
      </c>
      <c r="B25" s="1" t="n">
        <v>45341</v>
      </c>
      <c r="C25" s="1" t="n">
        <v>46035</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46035</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46035</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46035</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46035</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9289-2025</t>
        </is>
      </c>
      <c r="B30" s="1" t="n">
        <v>45714</v>
      </c>
      <c r="C30" s="1" t="n">
        <v>46035</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14933-2023</t>
        </is>
      </c>
      <c r="B31" s="1" t="n">
        <v>45014</v>
      </c>
      <c r="C31" s="1" t="n">
        <v>46035</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8223-2025</t>
        </is>
      </c>
      <c r="B32" s="1" t="n">
        <v>45708.46127314815</v>
      </c>
      <c r="C32" s="1" t="n">
        <v>46035</v>
      </c>
      <c r="D32" t="inlineStr">
        <is>
          <t>SKÅNE LÄN</t>
        </is>
      </c>
      <c r="E32" t="inlineStr">
        <is>
          <t>HÄSSLEHOLM</t>
        </is>
      </c>
      <c r="G32" t="n">
        <v>0.8</v>
      </c>
      <c r="H32" t="n">
        <v>1</v>
      </c>
      <c r="I32" t="n">
        <v>0</v>
      </c>
      <c r="J32" t="n">
        <v>0</v>
      </c>
      <c r="K32" t="n">
        <v>0</v>
      </c>
      <c r="L32" t="n">
        <v>0</v>
      </c>
      <c r="M32" t="n">
        <v>0</v>
      </c>
      <c r="N32" t="n">
        <v>0</v>
      </c>
      <c r="O32" t="n">
        <v>0</v>
      </c>
      <c r="P32" t="n">
        <v>0</v>
      </c>
      <c r="Q32" t="n">
        <v>1</v>
      </c>
      <c r="R32" s="2" t="inlineStr">
        <is>
          <t>Kungsfågel</t>
        </is>
      </c>
      <c r="S32">
        <f>HYPERLINK("https://klasma.github.io/Logging_1293/artfynd/A 8223-2025 artfynd.xlsx", "A 8223-2025")</f>
        <v/>
      </c>
      <c r="T32">
        <f>HYPERLINK("https://klasma.github.io/Logging_1293/kartor/A 8223-2025 karta.png", "A 8223-2025")</f>
        <v/>
      </c>
      <c r="V32">
        <f>HYPERLINK("https://klasma.github.io/Logging_1293/klagomål/A 8223-2025 FSC-klagomål.docx", "A 8223-2025")</f>
        <v/>
      </c>
      <c r="W32">
        <f>HYPERLINK("https://klasma.github.io/Logging_1293/klagomålsmail/A 8223-2025 FSC-klagomål mail.docx", "A 8223-2025")</f>
        <v/>
      </c>
      <c r="X32">
        <f>HYPERLINK("https://klasma.github.io/Logging_1293/tillsyn/A 8223-2025 tillsynsbegäran.docx", "A 8223-2025")</f>
        <v/>
      </c>
      <c r="Y32">
        <f>HYPERLINK("https://klasma.github.io/Logging_1293/tillsynsmail/A 8223-2025 tillsynsbegäran mail.docx", "A 8223-2025")</f>
        <v/>
      </c>
      <c r="Z32">
        <f>HYPERLINK("https://klasma.github.io/Logging_1293/fåglar/A 8223-2025 prioriterade fågelarter.docx", "A 8223-2025")</f>
        <v/>
      </c>
    </row>
    <row r="33" ht="15" customHeight="1">
      <c r="A33" t="inlineStr">
        <is>
          <t>A 36690-2025</t>
        </is>
      </c>
      <c r="B33" s="1" t="n">
        <v>45873.42915509259</v>
      </c>
      <c r="C33" s="1" t="n">
        <v>46035</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57533-2025</t>
        </is>
      </c>
      <c r="B34" s="1" t="n">
        <v>45980.63923611111</v>
      </c>
      <c r="C34" s="1" t="n">
        <v>46035</v>
      </c>
      <c r="D34" t="inlineStr">
        <is>
          <t>SKÅNE LÄN</t>
        </is>
      </c>
      <c r="E34" t="inlineStr">
        <is>
          <t>HÄSSLEHOLM</t>
        </is>
      </c>
      <c r="G34" t="n">
        <v>0.9</v>
      </c>
      <c r="H34" t="n">
        <v>0</v>
      </c>
      <c r="I34" t="n">
        <v>1</v>
      </c>
      <c r="J34" t="n">
        <v>0</v>
      </c>
      <c r="K34" t="n">
        <v>0</v>
      </c>
      <c r="L34" t="n">
        <v>0</v>
      </c>
      <c r="M34" t="n">
        <v>0</v>
      </c>
      <c r="N34" t="n">
        <v>0</v>
      </c>
      <c r="O34" t="n">
        <v>0</v>
      </c>
      <c r="P34" t="n">
        <v>0</v>
      </c>
      <c r="Q34" t="n">
        <v>1</v>
      </c>
      <c r="R34" s="2" t="inlineStr">
        <is>
          <t>Strutbräken</t>
        </is>
      </c>
      <c r="S34">
        <f>HYPERLINK("https://klasma.github.io/Logging_1293/artfynd/A 57533-2025 artfynd.xlsx", "A 57533-2025")</f>
        <v/>
      </c>
      <c r="T34">
        <f>HYPERLINK("https://klasma.github.io/Logging_1293/kartor/A 57533-2025 karta.png", "A 57533-2025")</f>
        <v/>
      </c>
      <c r="V34">
        <f>HYPERLINK("https://klasma.github.io/Logging_1293/klagomål/A 57533-2025 FSC-klagomål.docx", "A 57533-2025")</f>
        <v/>
      </c>
      <c r="W34">
        <f>HYPERLINK("https://klasma.github.io/Logging_1293/klagomålsmail/A 57533-2025 FSC-klagomål mail.docx", "A 57533-2025")</f>
        <v/>
      </c>
      <c r="X34">
        <f>HYPERLINK("https://klasma.github.io/Logging_1293/tillsyn/A 57533-2025 tillsynsbegäran.docx", "A 57533-2025")</f>
        <v/>
      </c>
      <c r="Y34">
        <f>HYPERLINK("https://klasma.github.io/Logging_1293/tillsynsmail/A 57533-2025 tillsynsbegäran mail.docx", "A 57533-2025")</f>
        <v/>
      </c>
    </row>
    <row r="35" ht="15" customHeight="1">
      <c r="A35" t="inlineStr">
        <is>
          <t>A 16107-2025</t>
        </is>
      </c>
      <c r="B35" s="1" t="n">
        <v>45750.34537037037</v>
      </c>
      <c r="C35" s="1" t="n">
        <v>46035</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46035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46035</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46035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46035</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46035</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46035</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46035</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46035</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46035</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46035</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46035</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46035</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46035</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46035</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46035</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46035</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46035</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46035</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46035</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220-2022</t>
        </is>
      </c>
      <c r="B57" s="1" t="n">
        <v>44564</v>
      </c>
      <c r="C57" s="1" t="n">
        <v>46035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46035</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46035</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46035</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46035</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46035</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46035</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46035</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46035</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46035</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46035</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74294-2021</t>
        </is>
      </c>
      <c r="B68" s="1" t="n">
        <v>44558</v>
      </c>
      <c r="C68" s="1" t="n">
        <v>46035</v>
      </c>
      <c r="D68" t="inlineStr">
        <is>
          <t>SKÅNE LÄN</t>
        </is>
      </c>
      <c r="E68" t="inlineStr">
        <is>
          <t>HÄSSLEHOLM</t>
        </is>
      </c>
      <c r="F68" t="inlineStr">
        <is>
          <t>Kyrkan</t>
        </is>
      </c>
      <c r="G68" t="n">
        <v>16.2</v>
      </c>
      <c r="H68" t="n">
        <v>0</v>
      </c>
      <c r="I68" t="n">
        <v>0</v>
      </c>
      <c r="J68" t="n">
        <v>0</v>
      </c>
      <c r="K68" t="n">
        <v>0</v>
      </c>
      <c r="L68" t="n">
        <v>0</v>
      </c>
      <c r="M68" t="n">
        <v>0</v>
      </c>
      <c r="N68" t="n">
        <v>0</v>
      </c>
      <c r="O68" t="n">
        <v>0</v>
      </c>
      <c r="P68" t="n">
        <v>0</v>
      </c>
      <c r="Q68" t="n">
        <v>0</v>
      </c>
      <c r="R68" s="2" t="inlineStr"/>
    </row>
    <row r="69" ht="15" customHeight="1">
      <c r="A69" t="inlineStr">
        <is>
          <t>A 50094-2021</t>
        </is>
      </c>
      <c r="B69" s="1" t="n">
        <v>44456.6084375</v>
      </c>
      <c r="C69" s="1" t="n">
        <v>46035</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23962-2022</t>
        </is>
      </c>
      <c r="B70" s="1" t="n">
        <v>44722.70532407407</v>
      </c>
      <c r="C70" s="1" t="n">
        <v>46035</v>
      </c>
      <c r="D70" t="inlineStr">
        <is>
          <t>SKÅNE LÄN</t>
        </is>
      </c>
      <c r="E70" t="inlineStr">
        <is>
          <t>HÄSSLEHOLM</t>
        </is>
      </c>
      <c r="F70" t="inlineStr">
        <is>
          <t>Kyrkan</t>
        </is>
      </c>
      <c r="G70" t="n">
        <v>5.8</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46035</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46035</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46035</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58566-2021</t>
        </is>
      </c>
      <c r="B74" s="1" t="n">
        <v>44488.85538194444</v>
      </c>
      <c r="C74" s="1" t="n">
        <v>46035</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58564-2021</t>
        </is>
      </c>
      <c r="B75" s="1" t="n">
        <v>44488.84940972222</v>
      </c>
      <c r="C75" s="1" t="n">
        <v>46035</v>
      </c>
      <c r="D75" t="inlineStr">
        <is>
          <t>SKÅNE LÄN</t>
        </is>
      </c>
      <c r="E75" t="inlineStr">
        <is>
          <t>HÄSSLEHOLM</t>
        </is>
      </c>
      <c r="G75" t="n">
        <v>1.5</v>
      </c>
      <c r="H75" t="n">
        <v>0</v>
      </c>
      <c r="I75" t="n">
        <v>0</v>
      </c>
      <c r="J75" t="n">
        <v>0</v>
      </c>
      <c r="K75" t="n">
        <v>0</v>
      </c>
      <c r="L75" t="n">
        <v>0</v>
      </c>
      <c r="M75" t="n">
        <v>0</v>
      </c>
      <c r="N75" t="n">
        <v>0</v>
      </c>
      <c r="O75" t="n">
        <v>0</v>
      </c>
      <c r="P75" t="n">
        <v>0</v>
      </c>
      <c r="Q75" t="n">
        <v>0</v>
      </c>
      <c r="R75" s="2" t="inlineStr"/>
    </row>
    <row r="76" ht="15" customHeight="1">
      <c r="A76" t="inlineStr">
        <is>
          <t>A 56502-2021</t>
        </is>
      </c>
      <c r="B76" s="1" t="n">
        <v>44480</v>
      </c>
      <c r="C76" s="1" t="n">
        <v>46035</v>
      </c>
      <c r="D76" t="inlineStr">
        <is>
          <t>SKÅNE LÄN</t>
        </is>
      </c>
      <c r="E76" t="inlineStr">
        <is>
          <t>HÄSSLEHOLM</t>
        </is>
      </c>
      <c r="F76" t="inlineStr">
        <is>
          <t>Kyrkan</t>
        </is>
      </c>
      <c r="G76" t="n">
        <v>13.8</v>
      </c>
      <c r="H76" t="n">
        <v>0</v>
      </c>
      <c r="I76" t="n">
        <v>0</v>
      </c>
      <c r="J76" t="n">
        <v>0</v>
      </c>
      <c r="K76" t="n">
        <v>0</v>
      </c>
      <c r="L76" t="n">
        <v>0</v>
      </c>
      <c r="M76" t="n">
        <v>0</v>
      </c>
      <c r="N76" t="n">
        <v>0</v>
      </c>
      <c r="O76" t="n">
        <v>0</v>
      </c>
      <c r="P76" t="n">
        <v>0</v>
      </c>
      <c r="Q76" t="n">
        <v>0</v>
      </c>
      <c r="R76" s="2" t="inlineStr"/>
    </row>
    <row r="77" ht="15" customHeight="1">
      <c r="A77" t="inlineStr">
        <is>
          <t>A 8204-2022</t>
        </is>
      </c>
      <c r="B77" s="1" t="n">
        <v>44609.73251157408</v>
      </c>
      <c r="C77" s="1" t="n">
        <v>46035</v>
      </c>
      <c r="D77" t="inlineStr">
        <is>
          <t>SKÅNE LÄN</t>
        </is>
      </c>
      <c r="E77" t="inlineStr">
        <is>
          <t>HÄSSLEHOLM</t>
        </is>
      </c>
      <c r="G77" t="n">
        <v>0.9</v>
      </c>
      <c r="H77" t="n">
        <v>0</v>
      </c>
      <c r="I77" t="n">
        <v>0</v>
      </c>
      <c r="J77" t="n">
        <v>0</v>
      </c>
      <c r="K77" t="n">
        <v>0</v>
      </c>
      <c r="L77" t="n">
        <v>0</v>
      </c>
      <c r="M77" t="n">
        <v>0</v>
      </c>
      <c r="N77" t="n">
        <v>0</v>
      </c>
      <c r="O77" t="n">
        <v>0</v>
      </c>
      <c r="P77" t="n">
        <v>0</v>
      </c>
      <c r="Q77" t="n">
        <v>0</v>
      </c>
      <c r="R77" s="2" t="inlineStr"/>
    </row>
    <row r="78" ht="15" customHeight="1">
      <c r="A78" t="inlineStr">
        <is>
          <t>A 45284-2021</t>
        </is>
      </c>
      <c r="B78" s="1" t="n">
        <v>44439.65418981481</v>
      </c>
      <c r="C78" s="1" t="n">
        <v>46035</v>
      </c>
      <c r="D78" t="inlineStr">
        <is>
          <t>SKÅNE LÄN</t>
        </is>
      </c>
      <c r="E78" t="inlineStr">
        <is>
          <t>HÄSSLEHOLM</t>
        </is>
      </c>
      <c r="G78" t="n">
        <v>1.6</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46035</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54106-2022</t>
        </is>
      </c>
      <c r="B80" s="1" t="n">
        <v>44879</v>
      </c>
      <c r="C80" s="1" t="n">
        <v>46035</v>
      </c>
      <c r="D80" t="inlineStr">
        <is>
          <t>SKÅNE LÄN</t>
        </is>
      </c>
      <c r="E80" t="inlineStr">
        <is>
          <t>HÄSSLEHOLM</t>
        </is>
      </c>
      <c r="F80" t="inlineStr">
        <is>
          <t>Övriga Aktiebolag</t>
        </is>
      </c>
      <c r="G80" t="n">
        <v>0.7</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46035</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50618-2021</t>
        </is>
      </c>
      <c r="B82" s="1" t="n">
        <v>44459</v>
      </c>
      <c r="C82" s="1" t="n">
        <v>46035</v>
      </c>
      <c r="D82" t="inlineStr">
        <is>
          <t>SKÅNE LÄN</t>
        </is>
      </c>
      <c r="E82" t="inlineStr">
        <is>
          <t>HÄSSLEHOLM</t>
        </is>
      </c>
      <c r="F82" t="inlineStr">
        <is>
          <t>Kyrkan</t>
        </is>
      </c>
      <c r="G82" t="n">
        <v>15.1</v>
      </c>
      <c r="H82" t="n">
        <v>0</v>
      </c>
      <c r="I82" t="n">
        <v>0</v>
      </c>
      <c r="J82" t="n">
        <v>0</v>
      </c>
      <c r="K82" t="n">
        <v>0</v>
      </c>
      <c r="L82" t="n">
        <v>0</v>
      </c>
      <c r="M82" t="n">
        <v>0</v>
      </c>
      <c r="N82" t="n">
        <v>0</v>
      </c>
      <c r="O82" t="n">
        <v>0</v>
      </c>
      <c r="P82" t="n">
        <v>0</v>
      </c>
      <c r="Q82" t="n">
        <v>0</v>
      </c>
      <c r="R82" s="2" t="inlineStr"/>
    </row>
    <row r="83" ht="15" customHeight="1">
      <c r="A83" t="inlineStr">
        <is>
          <t>A 69419-2021</t>
        </is>
      </c>
      <c r="B83" s="1" t="n">
        <v>44531</v>
      </c>
      <c r="C83" s="1" t="n">
        <v>46035</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46035</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26387-2022</t>
        </is>
      </c>
      <c r="B85" s="1" t="n">
        <v>44735.68328703703</v>
      </c>
      <c r="C85" s="1" t="n">
        <v>46035</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25379-2021</t>
        </is>
      </c>
      <c r="B86" s="1" t="n">
        <v>44342</v>
      </c>
      <c r="C86" s="1" t="n">
        <v>46035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40764-2022</t>
        </is>
      </c>
      <c r="B87" s="1" t="n">
        <v>44820</v>
      </c>
      <c r="C87" s="1" t="n">
        <v>46035</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30992-2021</t>
        </is>
      </c>
      <c r="B88" s="1" t="n">
        <v>44366.36262731482</v>
      </c>
      <c r="C88" s="1" t="n">
        <v>46035</v>
      </c>
      <c r="D88" t="inlineStr">
        <is>
          <t>SKÅNE LÄN</t>
        </is>
      </c>
      <c r="E88" t="inlineStr">
        <is>
          <t>HÄSSLEHOLM</t>
        </is>
      </c>
      <c r="G88" t="n">
        <v>3.1</v>
      </c>
      <c r="H88" t="n">
        <v>0</v>
      </c>
      <c r="I88" t="n">
        <v>0</v>
      </c>
      <c r="J88" t="n">
        <v>0</v>
      </c>
      <c r="K88" t="n">
        <v>0</v>
      </c>
      <c r="L88" t="n">
        <v>0</v>
      </c>
      <c r="M88" t="n">
        <v>0</v>
      </c>
      <c r="N88" t="n">
        <v>0</v>
      </c>
      <c r="O88" t="n">
        <v>0</v>
      </c>
      <c r="P88" t="n">
        <v>0</v>
      </c>
      <c r="Q88" t="n">
        <v>0</v>
      </c>
      <c r="R88" s="2" t="inlineStr"/>
    </row>
    <row r="89" ht="15" customHeight="1">
      <c r="A89" t="inlineStr">
        <is>
          <t>A 38160-2021</t>
        </is>
      </c>
      <c r="B89" s="1" t="n">
        <v>44405.42719907407</v>
      </c>
      <c r="C89" s="1" t="n">
        <v>46035</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46035</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46035</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46035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30879-2021</t>
        </is>
      </c>
      <c r="B93" s="1" t="n">
        <v>44365</v>
      </c>
      <c r="C93" s="1" t="n">
        <v>46035</v>
      </c>
      <c r="D93" t="inlineStr">
        <is>
          <t>SKÅNE LÄN</t>
        </is>
      </c>
      <c r="E93" t="inlineStr">
        <is>
          <t>HÄSSLEHOLM</t>
        </is>
      </c>
      <c r="G93" t="n">
        <v>1</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46035</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46035</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46035</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46035</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46035</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37170-2022</t>
        </is>
      </c>
      <c r="B99" s="1" t="n">
        <v>44806.61038194445</v>
      </c>
      <c r="C99" s="1" t="n">
        <v>46035</v>
      </c>
      <c r="D99" t="inlineStr">
        <is>
          <t>SKÅNE LÄN</t>
        </is>
      </c>
      <c r="E99" t="inlineStr">
        <is>
          <t>HÄSSLEHOLM</t>
        </is>
      </c>
      <c r="F99" t="inlineStr">
        <is>
          <t>Kyrkan</t>
        </is>
      </c>
      <c r="G99" t="n">
        <v>4.5</v>
      </c>
      <c r="H99" t="n">
        <v>0</v>
      </c>
      <c r="I99" t="n">
        <v>0</v>
      </c>
      <c r="J99" t="n">
        <v>0</v>
      </c>
      <c r="K99" t="n">
        <v>0</v>
      </c>
      <c r="L99" t="n">
        <v>0</v>
      </c>
      <c r="M99" t="n">
        <v>0</v>
      </c>
      <c r="N99" t="n">
        <v>0</v>
      </c>
      <c r="O99" t="n">
        <v>0</v>
      </c>
      <c r="P99" t="n">
        <v>0</v>
      </c>
      <c r="Q99" t="n">
        <v>0</v>
      </c>
      <c r="R99" s="2" t="inlineStr"/>
    </row>
    <row r="100" ht="15" customHeight="1">
      <c r="A100" t="inlineStr">
        <is>
          <t>A 55425-2022</t>
        </is>
      </c>
      <c r="B100" s="1" t="n">
        <v>44887.60577546297</v>
      </c>
      <c r="C100" s="1" t="n">
        <v>46035</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3447-2021</t>
        </is>
      </c>
      <c r="B101" s="1" t="n">
        <v>44218</v>
      </c>
      <c r="C101" s="1" t="n">
        <v>46035</v>
      </c>
      <c r="D101" t="inlineStr">
        <is>
          <t>SKÅNE LÄN</t>
        </is>
      </c>
      <c r="E101" t="inlineStr">
        <is>
          <t>HÄSSLEHOLM</t>
        </is>
      </c>
      <c r="G101" t="n">
        <v>3.9</v>
      </c>
      <c r="H101" t="n">
        <v>0</v>
      </c>
      <c r="I101" t="n">
        <v>0</v>
      </c>
      <c r="J101" t="n">
        <v>0</v>
      </c>
      <c r="K101" t="n">
        <v>0</v>
      </c>
      <c r="L101" t="n">
        <v>0</v>
      </c>
      <c r="M101" t="n">
        <v>0</v>
      </c>
      <c r="N101" t="n">
        <v>0</v>
      </c>
      <c r="O101" t="n">
        <v>0</v>
      </c>
      <c r="P101" t="n">
        <v>0</v>
      </c>
      <c r="Q101" t="n">
        <v>0</v>
      </c>
      <c r="R101" s="2" t="inlineStr"/>
    </row>
    <row r="102" ht="15" customHeight="1">
      <c r="A102" t="inlineStr">
        <is>
          <t>A 22320-2021</t>
        </is>
      </c>
      <c r="B102" s="1" t="n">
        <v>44323</v>
      </c>
      <c r="C102" s="1" t="n">
        <v>46035</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6962-2021</t>
        </is>
      </c>
      <c r="B103" s="1" t="n">
        <v>44237</v>
      </c>
      <c r="C103" s="1" t="n">
        <v>46035</v>
      </c>
      <c r="D103" t="inlineStr">
        <is>
          <t>SKÅNE LÄN</t>
        </is>
      </c>
      <c r="E103" t="inlineStr">
        <is>
          <t>HÄSSLEHOLM</t>
        </is>
      </c>
      <c r="G103" t="n">
        <v>4.2</v>
      </c>
      <c r="H103" t="n">
        <v>0</v>
      </c>
      <c r="I103" t="n">
        <v>0</v>
      </c>
      <c r="J103" t="n">
        <v>0</v>
      </c>
      <c r="K103" t="n">
        <v>0</v>
      </c>
      <c r="L103" t="n">
        <v>0</v>
      </c>
      <c r="M103" t="n">
        <v>0</v>
      </c>
      <c r="N103" t="n">
        <v>0</v>
      </c>
      <c r="O103" t="n">
        <v>0</v>
      </c>
      <c r="P103" t="n">
        <v>0</v>
      </c>
      <c r="Q103" t="n">
        <v>0</v>
      </c>
      <c r="R103" s="2" t="inlineStr"/>
    </row>
    <row r="104" ht="15" customHeight="1">
      <c r="A104" t="inlineStr">
        <is>
          <t>A 9292-2022</t>
        </is>
      </c>
      <c r="B104" s="1" t="n">
        <v>44616</v>
      </c>
      <c r="C104" s="1" t="n">
        <v>46035</v>
      </c>
      <c r="D104" t="inlineStr">
        <is>
          <t>SKÅNE LÄN</t>
        </is>
      </c>
      <c r="E104" t="inlineStr">
        <is>
          <t>HÄSSLEHOLM</t>
        </is>
      </c>
      <c r="G104" t="n">
        <v>1.6</v>
      </c>
      <c r="H104" t="n">
        <v>0</v>
      </c>
      <c r="I104" t="n">
        <v>0</v>
      </c>
      <c r="J104" t="n">
        <v>0</v>
      </c>
      <c r="K104" t="n">
        <v>0</v>
      </c>
      <c r="L104" t="n">
        <v>0</v>
      </c>
      <c r="M104" t="n">
        <v>0</v>
      </c>
      <c r="N104" t="n">
        <v>0</v>
      </c>
      <c r="O104" t="n">
        <v>0</v>
      </c>
      <c r="P104" t="n">
        <v>0</v>
      </c>
      <c r="Q104" t="n">
        <v>0</v>
      </c>
      <c r="R104" s="2" t="inlineStr"/>
    </row>
    <row r="105" ht="15" customHeight="1">
      <c r="A105" t="inlineStr">
        <is>
          <t>A 3277-2022</t>
        </is>
      </c>
      <c r="B105" s="1" t="n">
        <v>44584.41274305555</v>
      </c>
      <c r="C105" s="1" t="n">
        <v>46035</v>
      </c>
      <c r="D105" t="inlineStr">
        <is>
          <t>SKÅNE LÄN</t>
        </is>
      </c>
      <c r="E105" t="inlineStr">
        <is>
          <t>HÄSSLEHOLM</t>
        </is>
      </c>
      <c r="G105" t="n">
        <v>0.2</v>
      </c>
      <c r="H105" t="n">
        <v>0</v>
      </c>
      <c r="I105" t="n">
        <v>0</v>
      </c>
      <c r="J105" t="n">
        <v>0</v>
      </c>
      <c r="K105" t="n">
        <v>0</v>
      </c>
      <c r="L105" t="n">
        <v>0</v>
      </c>
      <c r="M105" t="n">
        <v>0</v>
      </c>
      <c r="N105" t="n">
        <v>0</v>
      </c>
      <c r="O105" t="n">
        <v>0</v>
      </c>
      <c r="P105" t="n">
        <v>0</v>
      </c>
      <c r="Q105" t="n">
        <v>0</v>
      </c>
      <c r="R105" s="2" t="inlineStr"/>
    </row>
    <row r="106" ht="15" customHeight="1">
      <c r="A106" t="inlineStr">
        <is>
          <t>A 7522-2021</t>
        </is>
      </c>
      <c r="B106" s="1" t="n">
        <v>44238</v>
      </c>
      <c r="C106" s="1" t="n">
        <v>46035</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46035</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14054-2021</t>
        </is>
      </c>
      <c r="B108" s="1" t="n">
        <v>44277</v>
      </c>
      <c r="C108" s="1" t="n">
        <v>46035</v>
      </c>
      <c r="D108" t="inlineStr">
        <is>
          <t>SKÅNE LÄN</t>
        </is>
      </c>
      <c r="E108" t="inlineStr">
        <is>
          <t>HÄSSLEHOLM</t>
        </is>
      </c>
      <c r="G108" t="n">
        <v>2</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46035</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46035</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46035</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46035</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34684-2021</t>
        </is>
      </c>
      <c r="B113" s="1" t="n">
        <v>44382</v>
      </c>
      <c r="C113" s="1" t="n">
        <v>46035</v>
      </c>
      <c r="D113" t="inlineStr">
        <is>
          <t>SKÅNE LÄN</t>
        </is>
      </c>
      <c r="E113" t="inlineStr">
        <is>
          <t>HÄSSLEHOLM</t>
        </is>
      </c>
      <c r="F113" t="inlineStr">
        <is>
          <t>Övriga Aktiebolag</t>
        </is>
      </c>
      <c r="G113" t="n">
        <v>0.9</v>
      </c>
      <c r="H113" t="n">
        <v>0</v>
      </c>
      <c r="I113" t="n">
        <v>0</v>
      </c>
      <c r="J113" t="n">
        <v>0</v>
      </c>
      <c r="K113" t="n">
        <v>0</v>
      </c>
      <c r="L113" t="n">
        <v>0</v>
      </c>
      <c r="M113" t="n">
        <v>0</v>
      </c>
      <c r="N113" t="n">
        <v>0</v>
      </c>
      <c r="O113" t="n">
        <v>0</v>
      </c>
      <c r="P113" t="n">
        <v>0</v>
      </c>
      <c r="Q113" t="n">
        <v>0</v>
      </c>
      <c r="R113" s="2" t="inlineStr"/>
    </row>
    <row r="114" ht="15" customHeight="1">
      <c r="A114" t="inlineStr">
        <is>
          <t>A 74293-2021</t>
        </is>
      </c>
      <c r="B114" s="1" t="n">
        <v>44558</v>
      </c>
      <c r="C114" s="1" t="n">
        <v>46035</v>
      </c>
      <c r="D114" t="inlineStr">
        <is>
          <t>SKÅNE LÄN</t>
        </is>
      </c>
      <c r="E114" t="inlineStr">
        <is>
          <t>HÄSSLEHOLM</t>
        </is>
      </c>
      <c r="F114" t="inlineStr">
        <is>
          <t>Kyrkan</t>
        </is>
      </c>
      <c r="G114" t="n">
        <v>3.3</v>
      </c>
      <c r="H114" t="n">
        <v>0</v>
      </c>
      <c r="I114" t="n">
        <v>0</v>
      </c>
      <c r="J114" t="n">
        <v>0</v>
      </c>
      <c r="K114" t="n">
        <v>0</v>
      </c>
      <c r="L114" t="n">
        <v>0</v>
      </c>
      <c r="M114" t="n">
        <v>0</v>
      </c>
      <c r="N114" t="n">
        <v>0</v>
      </c>
      <c r="O114" t="n">
        <v>0</v>
      </c>
      <c r="P114" t="n">
        <v>0</v>
      </c>
      <c r="Q114" t="n">
        <v>0</v>
      </c>
      <c r="R114" s="2" t="inlineStr"/>
    </row>
    <row r="115" ht="15" customHeight="1">
      <c r="A115" t="inlineStr">
        <is>
          <t>A 46217-2022</t>
        </is>
      </c>
      <c r="B115" s="1" t="n">
        <v>44846</v>
      </c>
      <c r="C115" s="1" t="n">
        <v>46035</v>
      </c>
      <c r="D115" t="inlineStr">
        <is>
          <t>SKÅNE LÄN</t>
        </is>
      </c>
      <c r="E115" t="inlineStr">
        <is>
          <t>HÄSSLEHOLM</t>
        </is>
      </c>
      <c r="G115" t="n">
        <v>3.1</v>
      </c>
      <c r="H115" t="n">
        <v>0</v>
      </c>
      <c r="I115" t="n">
        <v>0</v>
      </c>
      <c r="J115" t="n">
        <v>0</v>
      </c>
      <c r="K115" t="n">
        <v>0</v>
      </c>
      <c r="L115" t="n">
        <v>0</v>
      </c>
      <c r="M115" t="n">
        <v>0</v>
      </c>
      <c r="N115" t="n">
        <v>0</v>
      </c>
      <c r="O115" t="n">
        <v>0</v>
      </c>
      <c r="P115" t="n">
        <v>0</v>
      </c>
      <c r="Q115" t="n">
        <v>0</v>
      </c>
      <c r="R115" s="2" t="inlineStr"/>
    </row>
    <row r="116" ht="15" customHeight="1">
      <c r="A116" t="inlineStr">
        <is>
          <t>A 44328-2021</t>
        </is>
      </c>
      <c r="B116" s="1" t="n">
        <v>44435</v>
      </c>
      <c r="C116" s="1" t="n">
        <v>46035</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46035</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46035</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46035</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46035</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52461-2021</t>
        </is>
      </c>
      <c r="B121" s="1" t="n">
        <v>44466</v>
      </c>
      <c r="C121" s="1" t="n">
        <v>46035</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63972-2021</t>
        </is>
      </c>
      <c r="B122" s="1" t="n">
        <v>44509.89649305555</v>
      </c>
      <c r="C122" s="1" t="n">
        <v>46035</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2952-2021</t>
        </is>
      </c>
      <c r="B123" s="1" t="n">
        <v>44216</v>
      </c>
      <c r="C123" s="1" t="n">
        <v>46035</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5564-2022</t>
        </is>
      </c>
      <c r="B124" s="1" t="n">
        <v>44595</v>
      </c>
      <c r="C124" s="1" t="n">
        <v>46035</v>
      </c>
      <c r="D124" t="inlineStr">
        <is>
          <t>SKÅNE LÄN</t>
        </is>
      </c>
      <c r="E124" t="inlineStr">
        <is>
          <t>HÄSSLEHOLM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20659-2021</t>
        </is>
      </c>
      <c r="B125" s="1" t="n">
        <v>44316</v>
      </c>
      <c r="C125" s="1" t="n">
        <v>46035</v>
      </c>
      <c r="D125" t="inlineStr">
        <is>
          <t>SKÅNE LÄN</t>
        </is>
      </c>
      <c r="E125" t="inlineStr">
        <is>
          <t>HÄSSLEHOLM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37334-2021</t>
        </is>
      </c>
      <c r="B126" s="1" t="n">
        <v>44397.57800925926</v>
      </c>
      <c r="C126" s="1" t="n">
        <v>46035</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21535-2021</t>
        </is>
      </c>
      <c r="B127" s="1" t="n">
        <v>44321</v>
      </c>
      <c r="C127" s="1" t="n">
        <v>46035</v>
      </c>
      <c r="D127" t="inlineStr">
        <is>
          <t>SKÅNE LÄN</t>
        </is>
      </c>
      <c r="E127" t="inlineStr">
        <is>
          <t>HÄSSLEHOLM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46035</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32792-2021</t>
        </is>
      </c>
      <c r="B129" s="1" t="n">
        <v>44375</v>
      </c>
      <c r="C129" s="1" t="n">
        <v>46035</v>
      </c>
      <c r="D129" t="inlineStr">
        <is>
          <t>SKÅNE LÄN</t>
        </is>
      </c>
      <c r="E129" t="inlineStr">
        <is>
          <t>HÄSSLEHOLM</t>
        </is>
      </c>
      <c r="G129" t="n">
        <v>1</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46035</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46035</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3276-2022</t>
        </is>
      </c>
      <c r="B132" s="1" t="n">
        <v>44584.40916666666</v>
      </c>
      <c r="C132" s="1" t="n">
        <v>46035</v>
      </c>
      <c r="D132" t="inlineStr">
        <is>
          <t>SKÅNE LÄN</t>
        </is>
      </c>
      <c r="E132" t="inlineStr">
        <is>
          <t>HÄSSLEHOLM</t>
        </is>
      </c>
      <c r="G132" t="n">
        <v>0.2</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46035</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40702-2021</t>
        </is>
      </c>
      <c r="B134" s="1" t="n">
        <v>44420.61719907408</v>
      </c>
      <c r="C134" s="1" t="n">
        <v>46035</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4161-2022</t>
        </is>
      </c>
      <c r="B135" s="1" t="n">
        <v>44588</v>
      </c>
      <c r="C135" s="1" t="n">
        <v>46035</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1535-2022</t>
        </is>
      </c>
      <c r="B136" s="1" t="n">
        <v>44573</v>
      </c>
      <c r="C136" s="1" t="n">
        <v>46035</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46035</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46035</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46035</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46035</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46035</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46035</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46035</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46035</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46035</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46035</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25383-2021</t>
        </is>
      </c>
      <c r="B147" s="1" t="n">
        <v>44342</v>
      </c>
      <c r="C147" s="1" t="n">
        <v>46035</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27330-2021</t>
        </is>
      </c>
      <c r="B148" s="1" t="n">
        <v>44351</v>
      </c>
      <c r="C148" s="1" t="n">
        <v>46035</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354-2022</t>
        </is>
      </c>
      <c r="B149" s="1" t="n">
        <v>44565.62510416667</v>
      </c>
      <c r="C149" s="1" t="n">
        <v>46035</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32892-2021</t>
        </is>
      </c>
      <c r="B150" s="1" t="n">
        <v>44375</v>
      </c>
      <c r="C150" s="1" t="n">
        <v>46035</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46035</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46035</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46035</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46035</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46035</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46035</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2514-2021</t>
        </is>
      </c>
      <c r="B157" s="1" t="n">
        <v>44214</v>
      </c>
      <c r="C157" s="1" t="n">
        <v>46035</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52295-2021</t>
        </is>
      </c>
      <c r="B158" s="1" t="n">
        <v>44463</v>
      </c>
      <c r="C158" s="1" t="n">
        <v>46035</v>
      </c>
      <c r="D158" t="inlineStr">
        <is>
          <t>SKÅNE LÄN</t>
        </is>
      </c>
      <c r="E158" t="inlineStr">
        <is>
          <t>HÄSSLEHOLM</t>
        </is>
      </c>
      <c r="G158" t="n">
        <v>0.3</v>
      </c>
      <c r="H158" t="n">
        <v>0</v>
      </c>
      <c r="I158" t="n">
        <v>0</v>
      </c>
      <c r="J158" t="n">
        <v>0</v>
      </c>
      <c r="K158" t="n">
        <v>0</v>
      </c>
      <c r="L158" t="n">
        <v>0</v>
      </c>
      <c r="M158" t="n">
        <v>0</v>
      </c>
      <c r="N158" t="n">
        <v>0</v>
      </c>
      <c r="O158" t="n">
        <v>0</v>
      </c>
      <c r="P158" t="n">
        <v>0</v>
      </c>
      <c r="Q158" t="n">
        <v>0</v>
      </c>
      <c r="R158" s="2" t="inlineStr"/>
    </row>
    <row r="159" ht="15" customHeight="1">
      <c r="A159" t="inlineStr">
        <is>
          <t>A 6973-2021</t>
        </is>
      </c>
      <c r="B159" s="1" t="n">
        <v>44237</v>
      </c>
      <c r="C159" s="1" t="n">
        <v>46035</v>
      </c>
      <c r="D159" t="inlineStr">
        <is>
          <t>SKÅNE LÄN</t>
        </is>
      </c>
      <c r="E159" t="inlineStr">
        <is>
          <t>HÄSSLEHOLM</t>
        </is>
      </c>
      <c r="G159" t="n">
        <v>0.4</v>
      </c>
      <c r="H159" t="n">
        <v>0</v>
      </c>
      <c r="I159" t="n">
        <v>0</v>
      </c>
      <c r="J159" t="n">
        <v>0</v>
      </c>
      <c r="K159" t="n">
        <v>0</v>
      </c>
      <c r="L159" t="n">
        <v>0</v>
      </c>
      <c r="M159" t="n">
        <v>0</v>
      </c>
      <c r="N159" t="n">
        <v>0</v>
      </c>
      <c r="O159" t="n">
        <v>0</v>
      </c>
      <c r="P159" t="n">
        <v>0</v>
      </c>
      <c r="Q159" t="n">
        <v>0</v>
      </c>
      <c r="R159" s="2" t="inlineStr"/>
    </row>
    <row r="160" ht="15" customHeight="1">
      <c r="A160" t="inlineStr">
        <is>
          <t>A 68909-2021</t>
        </is>
      </c>
      <c r="B160" s="1" t="n">
        <v>44530.46730324074</v>
      </c>
      <c r="C160" s="1" t="n">
        <v>46035</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5091-2022</t>
        </is>
      </c>
      <c r="B161" s="1" t="n">
        <v>44593.85114583333</v>
      </c>
      <c r="C161" s="1" t="n">
        <v>46035</v>
      </c>
      <c r="D161" t="inlineStr">
        <is>
          <t>SKÅNE LÄN</t>
        </is>
      </c>
      <c r="E161" t="inlineStr">
        <is>
          <t>HÄSSLEHOLM</t>
        </is>
      </c>
      <c r="G161" t="n">
        <v>2.5</v>
      </c>
      <c r="H161" t="n">
        <v>0</v>
      </c>
      <c r="I161" t="n">
        <v>0</v>
      </c>
      <c r="J161" t="n">
        <v>0</v>
      </c>
      <c r="K161" t="n">
        <v>0</v>
      </c>
      <c r="L161" t="n">
        <v>0</v>
      </c>
      <c r="M161" t="n">
        <v>0</v>
      </c>
      <c r="N161" t="n">
        <v>0</v>
      </c>
      <c r="O161" t="n">
        <v>0</v>
      </c>
      <c r="P161" t="n">
        <v>0</v>
      </c>
      <c r="Q161" t="n">
        <v>0</v>
      </c>
      <c r="R161" s="2" t="inlineStr"/>
    </row>
    <row r="162" ht="15" customHeight="1">
      <c r="A162" t="inlineStr">
        <is>
          <t>A 23003-2021</t>
        </is>
      </c>
      <c r="B162" s="1" t="n">
        <v>44328</v>
      </c>
      <c r="C162" s="1" t="n">
        <v>46035</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60260-2021</t>
        </is>
      </c>
      <c r="B163" s="1" t="n">
        <v>44495</v>
      </c>
      <c r="C163" s="1" t="n">
        <v>46035</v>
      </c>
      <c r="D163" t="inlineStr">
        <is>
          <t>SKÅNE LÄN</t>
        </is>
      </c>
      <c r="E163" t="inlineStr">
        <is>
          <t>HÄSSLEHOLM</t>
        </is>
      </c>
      <c r="G163" t="n">
        <v>2.1</v>
      </c>
      <c r="H163" t="n">
        <v>0</v>
      </c>
      <c r="I163" t="n">
        <v>0</v>
      </c>
      <c r="J163" t="n">
        <v>0</v>
      </c>
      <c r="K163" t="n">
        <v>0</v>
      </c>
      <c r="L163" t="n">
        <v>0</v>
      </c>
      <c r="M163" t="n">
        <v>0</v>
      </c>
      <c r="N163" t="n">
        <v>0</v>
      </c>
      <c r="O163" t="n">
        <v>0</v>
      </c>
      <c r="P163" t="n">
        <v>0</v>
      </c>
      <c r="Q163" t="n">
        <v>0</v>
      </c>
      <c r="R163" s="2" t="inlineStr"/>
    </row>
    <row r="164" ht="15" customHeight="1">
      <c r="A164" t="inlineStr">
        <is>
          <t>A 15986-2022</t>
        </is>
      </c>
      <c r="B164" s="1" t="n">
        <v>44664</v>
      </c>
      <c r="C164" s="1" t="n">
        <v>46035</v>
      </c>
      <c r="D164" t="inlineStr">
        <is>
          <t>SKÅNE LÄN</t>
        </is>
      </c>
      <c r="E164" t="inlineStr">
        <is>
          <t>HÄSSLEHOLM</t>
        </is>
      </c>
      <c r="F164" t="inlineStr">
        <is>
          <t>Kyrkan</t>
        </is>
      </c>
      <c r="G164" t="n">
        <v>6</v>
      </c>
      <c r="H164" t="n">
        <v>0</v>
      </c>
      <c r="I164" t="n">
        <v>0</v>
      </c>
      <c r="J164" t="n">
        <v>0</v>
      </c>
      <c r="K164" t="n">
        <v>0</v>
      </c>
      <c r="L164" t="n">
        <v>0</v>
      </c>
      <c r="M164" t="n">
        <v>0</v>
      </c>
      <c r="N164" t="n">
        <v>0</v>
      </c>
      <c r="O164" t="n">
        <v>0</v>
      </c>
      <c r="P164" t="n">
        <v>0</v>
      </c>
      <c r="Q164" t="n">
        <v>0</v>
      </c>
      <c r="R164" s="2" t="inlineStr"/>
    </row>
    <row r="165" ht="15" customHeight="1">
      <c r="A165" t="inlineStr">
        <is>
          <t>A 52786-2021</t>
        </is>
      </c>
      <c r="B165" s="1" t="n">
        <v>44467.36061342592</v>
      </c>
      <c r="C165" s="1" t="n">
        <v>46035</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51888-2021</t>
        </is>
      </c>
      <c r="B166" s="1" t="n">
        <v>44462</v>
      </c>
      <c r="C166" s="1" t="n">
        <v>46035</v>
      </c>
      <c r="D166" t="inlineStr">
        <is>
          <t>SKÅNE LÄN</t>
        </is>
      </c>
      <c r="E166" t="inlineStr">
        <is>
          <t>HÄSSLEHOLM</t>
        </is>
      </c>
      <c r="G166" t="n">
        <v>5.6</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46035</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46035</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46035</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25469-2022</t>
        </is>
      </c>
      <c r="B170" s="1" t="n">
        <v>44732</v>
      </c>
      <c r="C170" s="1" t="n">
        <v>46035</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73513-2021</t>
        </is>
      </c>
      <c r="B171" s="1" t="n">
        <v>44551.69012731482</v>
      </c>
      <c r="C171" s="1" t="n">
        <v>46035</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46035</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2858-2022</t>
        </is>
      </c>
      <c r="B173" s="1" t="n">
        <v>44581</v>
      </c>
      <c r="C173" s="1" t="n">
        <v>46035</v>
      </c>
      <c r="D173" t="inlineStr">
        <is>
          <t>SKÅNE LÄN</t>
        </is>
      </c>
      <c r="E173" t="inlineStr">
        <is>
          <t>HÄSSLEHOLM</t>
        </is>
      </c>
      <c r="F173" t="inlineStr">
        <is>
          <t>Övriga Aktiebolag</t>
        </is>
      </c>
      <c r="G173" t="n">
        <v>1.3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46035</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46035</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46035</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46035</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46035</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55394-2022</t>
        </is>
      </c>
      <c r="B179" s="1" t="n">
        <v>44887.57112268519</v>
      </c>
      <c r="C179" s="1" t="n">
        <v>46035</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51893-2021</t>
        </is>
      </c>
      <c r="B180" s="1" t="n">
        <v>44462</v>
      </c>
      <c r="C180" s="1" t="n">
        <v>46035</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45357-2022</t>
        </is>
      </c>
      <c r="B181" s="1" t="n">
        <v>44844.61952546296</v>
      </c>
      <c r="C181" s="1" t="n">
        <v>46035</v>
      </c>
      <c r="D181" t="inlineStr">
        <is>
          <t>SKÅNE LÄN</t>
        </is>
      </c>
      <c r="E181" t="inlineStr">
        <is>
          <t>HÄSSLEHOLM</t>
        </is>
      </c>
      <c r="G181" t="n">
        <v>5.8</v>
      </c>
      <c r="H181" t="n">
        <v>0</v>
      </c>
      <c r="I181" t="n">
        <v>0</v>
      </c>
      <c r="J181" t="n">
        <v>0</v>
      </c>
      <c r="K181" t="n">
        <v>0</v>
      </c>
      <c r="L181" t="n">
        <v>0</v>
      </c>
      <c r="M181" t="n">
        <v>0</v>
      </c>
      <c r="N181" t="n">
        <v>0</v>
      </c>
      <c r="O181" t="n">
        <v>0</v>
      </c>
      <c r="P181" t="n">
        <v>0</v>
      </c>
      <c r="Q181" t="n">
        <v>0</v>
      </c>
      <c r="R181" s="2" t="inlineStr"/>
    </row>
    <row r="182" ht="15" customHeight="1">
      <c r="A182" t="inlineStr">
        <is>
          <t>A 45989-2021</t>
        </is>
      </c>
      <c r="B182" s="1" t="n">
        <v>44441.74627314815</v>
      </c>
      <c r="C182" s="1" t="n">
        <v>46035</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46035</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46035</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46035</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7250-2022</t>
        </is>
      </c>
      <c r="B186" s="1" t="n">
        <v>44606</v>
      </c>
      <c r="C186" s="1" t="n">
        <v>46035</v>
      </c>
      <c r="D186" t="inlineStr">
        <is>
          <t>SKÅNE LÄN</t>
        </is>
      </c>
      <c r="E186" t="inlineStr">
        <is>
          <t>HÄSSLEHOLM</t>
        </is>
      </c>
      <c r="F186" t="inlineStr">
        <is>
          <t>Övriga Aktiebolag</t>
        </is>
      </c>
      <c r="G186" t="n">
        <v>2.6</v>
      </c>
      <c r="H186" t="n">
        <v>0</v>
      </c>
      <c r="I186" t="n">
        <v>0</v>
      </c>
      <c r="J186" t="n">
        <v>0</v>
      </c>
      <c r="K186" t="n">
        <v>0</v>
      </c>
      <c r="L186" t="n">
        <v>0</v>
      </c>
      <c r="M186" t="n">
        <v>0</v>
      </c>
      <c r="N186" t="n">
        <v>0</v>
      </c>
      <c r="O186" t="n">
        <v>0</v>
      </c>
      <c r="P186" t="n">
        <v>0</v>
      </c>
      <c r="Q186" t="n">
        <v>0</v>
      </c>
      <c r="R186" s="2" t="inlineStr"/>
    </row>
    <row r="187" ht="15" customHeight="1">
      <c r="A187" t="inlineStr">
        <is>
          <t>A 51895-2021</t>
        </is>
      </c>
      <c r="B187" s="1" t="n">
        <v>44462</v>
      </c>
      <c r="C187" s="1" t="n">
        <v>46035</v>
      </c>
      <c r="D187" t="inlineStr">
        <is>
          <t>SKÅNE LÄN</t>
        </is>
      </c>
      <c r="E187" t="inlineStr">
        <is>
          <t>HÄSSLEHOLM</t>
        </is>
      </c>
      <c r="G187" t="n">
        <v>5.7</v>
      </c>
      <c r="H187" t="n">
        <v>0</v>
      </c>
      <c r="I187" t="n">
        <v>0</v>
      </c>
      <c r="J187" t="n">
        <v>0</v>
      </c>
      <c r="K187" t="n">
        <v>0</v>
      </c>
      <c r="L187" t="n">
        <v>0</v>
      </c>
      <c r="M187" t="n">
        <v>0</v>
      </c>
      <c r="N187" t="n">
        <v>0</v>
      </c>
      <c r="O187" t="n">
        <v>0</v>
      </c>
      <c r="P187" t="n">
        <v>0</v>
      </c>
      <c r="Q187" t="n">
        <v>0</v>
      </c>
      <c r="R187" s="2" t="inlineStr"/>
    </row>
    <row r="188" ht="15" customHeight="1">
      <c r="A188" t="inlineStr">
        <is>
          <t>A 7904-2022</t>
        </is>
      </c>
      <c r="B188" s="1" t="n">
        <v>44607</v>
      </c>
      <c r="C188" s="1" t="n">
        <v>46035</v>
      </c>
      <c r="D188" t="inlineStr">
        <is>
          <t>SKÅNE LÄN</t>
        </is>
      </c>
      <c r="E188" t="inlineStr">
        <is>
          <t>HÄSSLEHOLM</t>
        </is>
      </c>
      <c r="F188" t="inlineStr">
        <is>
          <t>Kyrkan</t>
        </is>
      </c>
      <c r="G188" t="n">
        <v>3.9</v>
      </c>
      <c r="H188" t="n">
        <v>0</v>
      </c>
      <c r="I188" t="n">
        <v>0</v>
      </c>
      <c r="J188" t="n">
        <v>0</v>
      </c>
      <c r="K188" t="n">
        <v>0</v>
      </c>
      <c r="L188" t="n">
        <v>0</v>
      </c>
      <c r="M188" t="n">
        <v>0</v>
      </c>
      <c r="N188" t="n">
        <v>0</v>
      </c>
      <c r="O188" t="n">
        <v>0</v>
      </c>
      <c r="P188" t="n">
        <v>0</v>
      </c>
      <c r="Q188" t="n">
        <v>0</v>
      </c>
      <c r="R188" s="2" t="inlineStr"/>
    </row>
    <row r="189" ht="15" customHeight="1">
      <c r="A189" t="inlineStr">
        <is>
          <t>A 219-2022</t>
        </is>
      </c>
      <c r="B189" s="1" t="n">
        <v>44564</v>
      </c>
      <c r="C189" s="1" t="n">
        <v>46035</v>
      </c>
      <c r="D189" t="inlineStr">
        <is>
          <t>SKÅNE LÄN</t>
        </is>
      </c>
      <c r="E189" t="inlineStr">
        <is>
          <t>HÄSSLEHOLM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6048-2022</t>
        </is>
      </c>
      <c r="B190" s="1" t="n">
        <v>44599.5174537037</v>
      </c>
      <c r="C190" s="1" t="n">
        <v>46035</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55412-2022</t>
        </is>
      </c>
      <c r="B191" s="1" t="n">
        <v>44882</v>
      </c>
      <c r="C191" s="1" t="n">
        <v>46035</v>
      </c>
      <c r="D191" t="inlineStr">
        <is>
          <t>SKÅNE LÄN</t>
        </is>
      </c>
      <c r="E191" t="inlineStr">
        <is>
          <t>HÄSSLEHOLM</t>
        </is>
      </c>
      <c r="F191" t="inlineStr">
        <is>
          <t>Övriga Aktiebolag</t>
        </is>
      </c>
      <c r="G191" t="n">
        <v>4</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46035</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6253-2022</t>
        </is>
      </c>
      <c r="B193" s="1" t="n">
        <v>44600</v>
      </c>
      <c r="C193" s="1" t="n">
        <v>46035</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9453-2021</t>
        </is>
      </c>
      <c r="B194" s="1" t="n">
        <v>44251</v>
      </c>
      <c r="C194" s="1" t="n">
        <v>46035</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46035</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64826-2021</t>
        </is>
      </c>
      <c r="B196" s="1" t="n">
        <v>44512.55935185185</v>
      </c>
      <c r="C196" s="1" t="n">
        <v>46035</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23967-2022</t>
        </is>
      </c>
      <c r="B197" s="1" t="n">
        <v>44722.74079861111</v>
      </c>
      <c r="C197" s="1" t="n">
        <v>46035</v>
      </c>
      <c r="D197" t="inlineStr">
        <is>
          <t>SKÅNE LÄN</t>
        </is>
      </c>
      <c r="E197" t="inlineStr">
        <is>
          <t>HÄSSLEHOLM</t>
        </is>
      </c>
      <c r="F197" t="inlineStr">
        <is>
          <t>Kyrkan</t>
        </is>
      </c>
      <c r="G197" t="n">
        <v>12.4</v>
      </c>
      <c r="H197" t="n">
        <v>0</v>
      </c>
      <c r="I197" t="n">
        <v>0</v>
      </c>
      <c r="J197" t="n">
        <v>0</v>
      </c>
      <c r="K197" t="n">
        <v>0</v>
      </c>
      <c r="L197" t="n">
        <v>0</v>
      </c>
      <c r="M197" t="n">
        <v>0</v>
      </c>
      <c r="N197" t="n">
        <v>0</v>
      </c>
      <c r="O197" t="n">
        <v>0</v>
      </c>
      <c r="P197" t="n">
        <v>0</v>
      </c>
      <c r="Q197" t="n">
        <v>0</v>
      </c>
      <c r="R197" s="2" t="inlineStr"/>
    </row>
    <row r="198" ht="15" customHeight="1">
      <c r="A198" t="inlineStr">
        <is>
          <t>A 8177-2022</t>
        </is>
      </c>
      <c r="B198" s="1" t="n">
        <v>44607</v>
      </c>
      <c r="C198" s="1" t="n">
        <v>46035</v>
      </c>
      <c r="D198" t="inlineStr">
        <is>
          <t>SKÅNE LÄN</t>
        </is>
      </c>
      <c r="E198" t="inlineStr">
        <is>
          <t>HÄSSLEHOLM</t>
        </is>
      </c>
      <c r="F198" t="inlineStr">
        <is>
          <t>Kyrkan</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25464-2022</t>
        </is>
      </c>
      <c r="B199" s="1" t="n">
        <v>44729</v>
      </c>
      <c r="C199" s="1" t="n">
        <v>46035</v>
      </c>
      <c r="D199" t="inlineStr">
        <is>
          <t>SKÅNE LÄN</t>
        </is>
      </c>
      <c r="E199" t="inlineStr">
        <is>
          <t>HÄSSLEHOLM</t>
        </is>
      </c>
      <c r="G199" t="n">
        <v>21</v>
      </c>
      <c r="H199" t="n">
        <v>0</v>
      </c>
      <c r="I199" t="n">
        <v>0</v>
      </c>
      <c r="J199" t="n">
        <v>0</v>
      </c>
      <c r="K199" t="n">
        <v>0</v>
      </c>
      <c r="L199" t="n">
        <v>0</v>
      </c>
      <c r="M199" t="n">
        <v>0</v>
      </c>
      <c r="N199" t="n">
        <v>0</v>
      </c>
      <c r="O199" t="n">
        <v>0</v>
      </c>
      <c r="P199" t="n">
        <v>0</v>
      </c>
      <c r="Q199" t="n">
        <v>0</v>
      </c>
      <c r="R199" s="2" t="inlineStr"/>
    </row>
    <row r="200" ht="15" customHeight="1">
      <c r="A200" t="inlineStr">
        <is>
          <t>A 6965-2021</t>
        </is>
      </c>
      <c r="B200" s="1" t="n">
        <v>44237</v>
      </c>
      <c r="C200" s="1" t="n">
        <v>46035</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30344-2022</t>
        </is>
      </c>
      <c r="B201" s="1" t="n">
        <v>44760.50783564815</v>
      </c>
      <c r="C201" s="1" t="n">
        <v>46035</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25788-2021</t>
        </is>
      </c>
      <c r="B202" s="1" t="n">
        <v>44343</v>
      </c>
      <c r="C202" s="1" t="n">
        <v>46035</v>
      </c>
      <c r="D202" t="inlineStr">
        <is>
          <t>SKÅNE LÄN</t>
        </is>
      </c>
      <c r="E202" t="inlineStr">
        <is>
          <t>HÄSSLEHOLM</t>
        </is>
      </c>
      <c r="G202" t="n">
        <v>4.8</v>
      </c>
      <c r="H202" t="n">
        <v>0</v>
      </c>
      <c r="I202" t="n">
        <v>0</v>
      </c>
      <c r="J202" t="n">
        <v>0</v>
      </c>
      <c r="K202" t="n">
        <v>0</v>
      </c>
      <c r="L202" t="n">
        <v>0</v>
      </c>
      <c r="M202" t="n">
        <v>0</v>
      </c>
      <c r="N202" t="n">
        <v>0</v>
      </c>
      <c r="O202" t="n">
        <v>0</v>
      </c>
      <c r="P202" t="n">
        <v>0</v>
      </c>
      <c r="Q202" t="n">
        <v>0</v>
      </c>
      <c r="R202" s="2" t="inlineStr"/>
    </row>
    <row r="203" ht="15" customHeight="1">
      <c r="A203" t="inlineStr">
        <is>
          <t>A 25955-2022</t>
        </is>
      </c>
      <c r="B203" s="1" t="n">
        <v>44734</v>
      </c>
      <c r="C203" s="1" t="n">
        <v>46035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3992-2022</t>
        </is>
      </c>
      <c r="B204" s="1" t="n">
        <v>44587</v>
      </c>
      <c r="C204" s="1" t="n">
        <v>46035</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46035</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56527-2021</t>
        </is>
      </c>
      <c r="B206" s="1" t="n">
        <v>44480</v>
      </c>
      <c r="C206" s="1" t="n">
        <v>46035</v>
      </c>
      <c r="D206" t="inlineStr">
        <is>
          <t>SKÅNE LÄN</t>
        </is>
      </c>
      <c r="E206" t="inlineStr">
        <is>
          <t>HÄSSLEHOLM</t>
        </is>
      </c>
      <c r="F206" t="inlineStr">
        <is>
          <t>Kyrkan</t>
        </is>
      </c>
      <c r="G206" t="n">
        <v>2.7</v>
      </c>
      <c r="H206" t="n">
        <v>0</v>
      </c>
      <c r="I206" t="n">
        <v>0</v>
      </c>
      <c r="J206" t="n">
        <v>0</v>
      </c>
      <c r="K206" t="n">
        <v>0</v>
      </c>
      <c r="L206" t="n">
        <v>0</v>
      </c>
      <c r="M206" t="n">
        <v>0</v>
      </c>
      <c r="N206" t="n">
        <v>0</v>
      </c>
      <c r="O206" t="n">
        <v>0</v>
      </c>
      <c r="P206" t="n">
        <v>0</v>
      </c>
      <c r="Q206" t="n">
        <v>0</v>
      </c>
      <c r="R206" s="2" t="inlineStr"/>
    </row>
    <row r="207" ht="15" customHeight="1">
      <c r="A207" t="inlineStr">
        <is>
          <t>A 3930-2021</t>
        </is>
      </c>
      <c r="B207" s="1" t="n">
        <v>44222</v>
      </c>
      <c r="C207" s="1" t="n">
        <v>46035</v>
      </c>
      <c r="D207" t="inlineStr">
        <is>
          <t>SKÅNE LÄN</t>
        </is>
      </c>
      <c r="E207" t="inlineStr">
        <is>
          <t>HÄSSLEHOLM</t>
        </is>
      </c>
      <c r="G207" t="n">
        <v>3.4</v>
      </c>
      <c r="H207" t="n">
        <v>0</v>
      </c>
      <c r="I207" t="n">
        <v>0</v>
      </c>
      <c r="J207" t="n">
        <v>0</v>
      </c>
      <c r="K207" t="n">
        <v>0</v>
      </c>
      <c r="L207" t="n">
        <v>0</v>
      </c>
      <c r="M207" t="n">
        <v>0</v>
      </c>
      <c r="N207" t="n">
        <v>0</v>
      </c>
      <c r="O207" t="n">
        <v>0</v>
      </c>
      <c r="P207" t="n">
        <v>0</v>
      </c>
      <c r="Q207" t="n">
        <v>0</v>
      </c>
      <c r="R207" s="2" t="inlineStr"/>
    </row>
    <row r="208" ht="15" customHeight="1">
      <c r="A208" t="inlineStr">
        <is>
          <t>A 7306-2025</t>
        </is>
      </c>
      <c r="B208" s="1" t="n">
        <v>45702</v>
      </c>
      <c r="C208" s="1" t="n">
        <v>46035</v>
      </c>
      <c r="D208" t="inlineStr">
        <is>
          <t>SKÅNE LÄN</t>
        </is>
      </c>
      <c r="E208" t="inlineStr">
        <is>
          <t>HÄSSLEHOLM</t>
        </is>
      </c>
      <c r="F208" t="inlineStr">
        <is>
          <t>Övriga Aktiebolag</t>
        </is>
      </c>
      <c r="G208" t="n">
        <v>3.3</v>
      </c>
      <c r="H208" t="n">
        <v>0</v>
      </c>
      <c r="I208" t="n">
        <v>0</v>
      </c>
      <c r="J208" t="n">
        <v>0</v>
      </c>
      <c r="K208" t="n">
        <v>0</v>
      </c>
      <c r="L208" t="n">
        <v>0</v>
      </c>
      <c r="M208" t="n">
        <v>0</v>
      </c>
      <c r="N208" t="n">
        <v>0</v>
      </c>
      <c r="O208" t="n">
        <v>0</v>
      </c>
      <c r="P208" t="n">
        <v>0</v>
      </c>
      <c r="Q208" t="n">
        <v>0</v>
      </c>
      <c r="R208" s="2" t="inlineStr"/>
    </row>
    <row r="209" ht="15" customHeight="1">
      <c r="A209" t="inlineStr">
        <is>
          <t>A 7308-2025</t>
        </is>
      </c>
      <c r="B209" s="1" t="n">
        <v>45702</v>
      </c>
      <c r="C209" s="1" t="n">
        <v>46035</v>
      </c>
      <c r="D209" t="inlineStr">
        <is>
          <t>SKÅNE LÄN</t>
        </is>
      </c>
      <c r="E209" t="inlineStr">
        <is>
          <t>HÄSSLEHOLM</t>
        </is>
      </c>
      <c r="F209" t="inlineStr">
        <is>
          <t>Övriga Aktiebolag</t>
        </is>
      </c>
      <c r="G209" t="n">
        <v>4.8</v>
      </c>
      <c r="H209" t="n">
        <v>0</v>
      </c>
      <c r="I209" t="n">
        <v>0</v>
      </c>
      <c r="J209" t="n">
        <v>0</v>
      </c>
      <c r="K209" t="n">
        <v>0</v>
      </c>
      <c r="L209" t="n">
        <v>0</v>
      </c>
      <c r="M209" t="n">
        <v>0</v>
      </c>
      <c r="N209" t="n">
        <v>0</v>
      </c>
      <c r="O209" t="n">
        <v>0</v>
      </c>
      <c r="P209" t="n">
        <v>0</v>
      </c>
      <c r="Q209" t="n">
        <v>0</v>
      </c>
      <c r="R209" s="2" t="inlineStr"/>
    </row>
    <row r="210" ht="15" customHeight="1">
      <c r="A210" t="inlineStr">
        <is>
          <t>A 28236-2022</t>
        </is>
      </c>
      <c r="B210" s="1" t="n">
        <v>44746</v>
      </c>
      <c r="C210" s="1" t="n">
        <v>46035</v>
      </c>
      <c r="D210" t="inlineStr">
        <is>
          <t>SKÅNE LÄN</t>
        </is>
      </c>
      <c r="E210" t="inlineStr">
        <is>
          <t>HÄSSLEHOLM</t>
        </is>
      </c>
      <c r="G210" t="n">
        <v>3.5</v>
      </c>
      <c r="H210" t="n">
        <v>0</v>
      </c>
      <c r="I210" t="n">
        <v>0</v>
      </c>
      <c r="J210" t="n">
        <v>0</v>
      </c>
      <c r="K210" t="n">
        <v>0</v>
      </c>
      <c r="L210" t="n">
        <v>0</v>
      </c>
      <c r="M210" t="n">
        <v>0</v>
      </c>
      <c r="N210" t="n">
        <v>0</v>
      </c>
      <c r="O210" t="n">
        <v>0</v>
      </c>
      <c r="P210" t="n">
        <v>0</v>
      </c>
      <c r="Q210" t="n">
        <v>0</v>
      </c>
      <c r="R210" s="2" t="inlineStr"/>
    </row>
    <row r="211" ht="15" customHeight="1">
      <c r="A211" t="inlineStr">
        <is>
          <t>A 5016-2024</t>
        </is>
      </c>
      <c r="B211" s="1" t="n">
        <v>45329</v>
      </c>
      <c r="C211" s="1" t="n">
        <v>46035</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4512-2024</t>
        </is>
      </c>
      <c r="B212" s="1" t="n">
        <v>45327.6312962963</v>
      </c>
      <c r="C212" s="1" t="n">
        <v>46035</v>
      </c>
      <c r="D212" t="inlineStr">
        <is>
          <t>SKÅNE LÄN</t>
        </is>
      </c>
      <c r="E212" t="inlineStr">
        <is>
          <t>HÄSSLEHOLM</t>
        </is>
      </c>
      <c r="G212" t="n">
        <v>2</v>
      </c>
      <c r="H212" t="n">
        <v>0</v>
      </c>
      <c r="I212" t="n">
        <v>0</v>
      </c>
      <c r="J212" t="n">
        <v>0</v>
      </c>
      <c r="K212" t="n">
        <v>0</v>
      </c>
      <c r="L212" t="n">
        <v>0</v>
      </c>
      <c r="M212" t="n">
        <v>0</v>
      </c>
      <c r="N212" t="n">
        <v>0</v>
      </c>
      <c r="O212" t="n">
        <v>0</v>
      </c>
      <c r="P212" t="n">
        <v>0</v>
      </c>
      <c r="Q212" t="n">
        <v>0</v>
      </c>
      <c r="R212" s="2" t="inlineStr"/>
    </row>
    <row r="213" ht="15" customHeight="1">
      <c r="A213" t="inlineStr">
        <is>
          <t>A 26642-2023</t>
        </is>
      </c>
      <c r="B213" s="1" t="n">
        <v>45092.8975</v>
      </c>
      <c r="C213" s="1" t="n">
        <v>46035</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4916-2024</t>
        </is>
      </c>
      <c r="B214" s="1" t="n">
        <v>45329</v>
      </c>
      <c r="C214" s="1" t="n">
        <v>46035</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20279-2025</t>
        </is>
      </c>
      <c r="B215" s="1" t="n">
        <v>45774.38643518519</v>
      </c>
      <c r="C215" s="1" t="n">
        <v>46035</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6791-2021</t>
        </is>
      </c>
      <c r="B216" s="1" t="n">
        <v>44236</v>
      </c>
      <c r="C216" s="1" t="n">
        <v>46035</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27991-2024</t>
        </is>
      </c>
      <c r="B217" s="1" t="n">
        <v>45476</v>
      </c>
      <c r="C217" s="1" t="n">
        <v>46035</v>
      </c>
      <c r="D217" t="inlineStr">
        <is>
          <t>SKÅNE LÄN</t>
        </is>
      </c>
      <c r="E217" t="inlineStr">
        <is>
          <t>HÄSSLEHOLM</t>
        </is>
      </c>
      <c r="G217" t="n">
        <v>5.8</v>
      </c>
      <c r="H217" t="n">
        <v>0</v>
      </c>
      <c r="I217" t="n">
        <v>0</v>
      </c>
      <c r="J217" t="n">
        <v>0</v>
      </c>
      <c r="K217" t="n">
        <v>0</v>
      </c>
      <c r="L217" t="n">
        <v>0</v>
      </c>
      <c r="M217" t="n">
        <v>0</v>
      </c>
      <c r="N217" t="n">
        <v>0</v>
      </c>
      <c r="O217" t="n">
        <v>0</v>
      </c>
      <c r="P217" t="n">
        <v>0</v>
      </c>
      <c r="Q217" t="n">
        <v>0</v>
      </c>
      <c r="R217" s="2" t="inlineStr"/>
    </row>
    <row r="218" ht="15" customHeight="1">
      <c r="A218" t="inlineStr">
        <is>
          <t>A 62199-2022</t>
        </is>
      </c>
      <c r="B218" s="1" t="n">
        <v>44915</v>
      </c>
      <c r="C218" s="1" t="n">
        <v>46035</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14157-2021</t>
        </is>
      </c>
      <c r="B219" s="1" t="n">
        <v>44278.43246527778</v>
      </c>
      <c r="C219" s="1" t="n">
        <v>46035</v>
      </c>
      <c r="D219" t="inlineStr">
        <is>
          <t>SKÅNE LÄN</t>
        </is>
      </c>
      <c r="E219" t="inlineStr">
        <is>
          <t>HÄSSLEHOLM</t>
        </is>
      </c>
      <c r="G219" t="n">
        <v>10.5</v>
      </c>
      <c r="H219" t="n">
        <v>0</v>
      </c>
      <c r="I219" t="n">
        <v>0</v>
      </c>
      <c r="J219" t="n">
        <v>0</v>
      </c>
      <c r="K219" t="n">
        <v>0</v>
      </c>
      <c r="L219" t="n">
        <v>0</v>
      </c>
      <c r="M219" t="n">
        <v>0</v>
      </c>
      <c r="N219" t="n">
        <v>0</v>
      </c>
      <c r="O219" t="n">
        <v>0</v>
      </c>
      <c r="P219" t="n">
        <v>0</v>
      </c>
      <c r="Q219" t="n">
        <v>0</v>
      </c>
      <c r="R219" s="2" t="inlineStr"/>
    </row>
    <row r="220" ht="15" customHeight="1">
      <c r="A220" t="inlineStr">
        <is>
          <t>A 6612-2024</t>
        </is>
      </c>
      <c r="B220" s="1" t="n">
        <v>45341.58859953703</v>
      </c>
      <c r="C220" s="1" t="n">
        <v>46035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677-2024</t>
        </is>
      </c>
      <c r="B221" s="1" t="n">
        <v>45300</v>
      </c>
      <c r="C221" s="1" t="n">
        <v>46035</v>
      </c>
      <c r="D221" t="inlineStr">
        <is>
          <t>SKÅNE LÄN</t>
        </is>
      </c>
      <c r="E221" t="inlineStr">
        <is>
          <t>HÄSSLEHOLM</t>
        </is>
      </c>
      <c r="G221" t="n">
        <v>6.8</v>
      </c>
      <c r="H221" t="n">
        <v>0</v>
      </c>
      <c r="I221" t="n">
        <v>0</v>
      </c>
      <c r="J221" t="n">
        <v>0</v>
      </c>
      <c r="K221" t="n">
        <v>0</v>
      </c>
      <c r="L221" t="n">
        <v>0</v>
      </c>
      <c r="M221" t="n">
        <v>0</v>
      </c>
      <c r="N221" t="n">
        <v>0</v>
      </c>
      <c r="O221" t="n">
        <v>0</v>
      </c>
      <c r="P221" t="n">
        <v>0</v>
      </c>
      <c r="Q221" t="n">
        <v>0</v>
      </c>
      <c r="R221" s="2" t="inlineStr"/>
    </row>
    <row r="222" ht="15" customHeight="1">
      <c r="A222" t="inlineStr">
        <is>
          <t>A 5887-2025</t>
        </is>
      </c>
      <c r="B222" s="1" t="n">
        <v>45695.37925925926</v>
      </c>
      <c r="C222" s="1" t="n">
        <v>46035</v>
      </c>
      <c r="D222" t="inlineStr">
        <is>
          <t>SKÅNE LÄN</t>
        </is>
      </c>
      <c r="E222" t="inlineStr">
        <is>
          <t>HÄSSLEHOLM</t>
        </is>
      </c>
      <c r="G222" t="n">
        <v>4.8</v>
      </c>
      <c r="H222" t="n">
        <v>0</v>
      </c>
      <c r="I222" t="n">
        <v>0</v>
      </c>
      <c r="J222" t="n">
        <v>0</v>
      </c>
      <c r="K222" t="n">
        <v>0</v>
      </c>
      <c r="L222" t="n">
        <v>0</v>
      </c>
      <c r="M222" t="n">
        <v>0</v>
      </c>
      <c r="N222" t="n">
        <v>0</v>
      </c>
      <c r="O222" t="n">
        <v>0</v>
      </c>
      <c r="P222" t="n">
        <v>0</v>
      </c>
      <c r="Q222" t="n">
        <v>0</v>
      </c>
      <c r="R222" s="2" t="inlineStr"/>
    </row>
    <row r="223" ht="15" customHeight="1">
      <c r="A223" t="inlineStr">
        <is>
          <t>A 8760-2024</t>
        </is>
      </c>
      <c r="B223" s="1" t="n">
        <v>45356.53420138889</v>
      </c>
      <c r="C223" s="1" t="n">
        <v>46035</v>
      </c>
      <c r="D223" t="inlineStr">
        <is>
          <t>SKÅNE LÄN</t>
        </is>
      </c>
      <c r="E223" t="inlineStr">
        <is>
          <t>HÄSSLEHOLM</t>
        </is>
      </c>
      <c r="G223" t="n">
        <v>6.1</v>
      </c>
      <c r="H223" t="n">
        <v>0</v>
      </c>
      <c r="I223" t="n">
        <v>0</v>
      </c>
      <c r="J223" t="n">
        <v>0</v>
      </c>
      <c r="K223" t="n">
        <v>0</v>
      </c>
      <c r="L223" t="n">
        <v>0</v>
      </c>
      <c r="M223" t="n">
        <v>0</v>
      </c>
      <c r="N223" t="n">
        <v>0</v>
      </c>
      <c r="O223" t="n">
        <v>0</v>
      </c>
      <c r="P223" t="n">
        <v>0</v>
      </c>
      <c r="Q223" t="n">
        <v>0</v>
      </c>
      <c r="R223" s="2" t="inlineStr"/>
    </row>
    <row r="224" ht="15" customHeight="1">
      <c r="A224" t="inlineStr">
        <is>
          <t>A 15562-2024</t>
        </is>
      </c>
      <c r="B224" s="1" t="n">
        <v>45401.64975694445</v>
      </c>
      <c r="C224" s="1" t="n">
        <v>46035</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48889-2024</t>
        </is>
      </c>
      <c r="B225" s="1" t="n">
        <v>45594.33754629629</v>
      </c>
      <c r="C225" s="1" t="n">
        <v>46035</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18580-2023</t>
        </is>
      </c>
      <c r="B226" s="1" t="n">
        <v>45043.37037037037</v>
      </c>
      <c r="C226" s="1" t="n">
        <v>46035</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1560-2023</t>
        </is>
      </c>
      <c r="B227" s="1" t="n">
        <v>44937</v>
      </c>
      <c r="C227" s="1" t="n">
        <v>46035</v>
      </c>
      <c r="D227" t="inlineStr">
        <is>
          <t>SKÅNE LÄN</t>
        </is>
      </c>
      <c r="E227" t="inlineStr">
        <is>
          <t>HÄSSLEHOLM</t>
        </is>
      </c>
      <c r="G227" t="n">
        <v>6.8</v>
      </c>
      <c r="H227" t="n">
        <v>0</v>
      </c>
      <c r="I227" t="n">
        <v>0</v>
      </c>
      <c r="J227" t="n">
        <v>0</v>
      </c>
      <c r="K227" t="n">
        <v>0</v>
      </c>
      <c r="L227" t="n">
        <v>0</v>
      </c>
      <c r="M227" t="n">
        <v>0</v>
      </c>
      <c r="N227" t="n">
        <v>0</v>
      </c>
      <c r="O227" t="n">
        <v>0</v>
      </c>
      <c r="P227" t="n">
        <v>0</v>
      </c>
      <c r="Q227" t="n">
        <v>0</v>
      </c>
      <c r="R227" s="2" t="inlineStr"/>
    </row>
    <row r="228" ht="15" customHeight="1">
      <c r="A228" t="inlineStr">
        <is>
          <t>A 17335-2024</t>
        </is>
      </c>
      <c r="B228" s="1" t="n">
        <v>45414.5687962963</v>
      </c>
      <c r="C228" s="1" t="n">
        <v>46035</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25726-2025</t>
        </is>
      </c>
      <c r="B229" s="1" t="n">
        <v>45803</v>
      </c>
      <c r="C229" s="1" t="n">
        <v>46035</v>
      </c>
      <c r="D229" t="inlineStr">
        <is>
          <t>SKÅNE LÄN</t>
        </is>
      </c>
      <c r="E229" t="inlineStr">
        <is>
          <t>HÄSSLEHOLM</t>
        </is>
      </c>
      <c r="G229" t="n">
        <v>5.5</v>
      </c>
      <c r="H229" t="n">
        <v>0</v>
      </c>
      <c r="I229" t="n">
        <v>0</v>
      </c>
      <c r="J229" t="n">
        <v>0</v>
      </c>
      <c r="K229" t="n">
        <v>0</v>
      </c>
      <c r="L229" t="n">
        <v>0</v>
      </c>
      <c r="M229" t="n">
        <v>0</v>
      </c>
      <c r="N229" t="n">
        <v>0</v>
      </c>
      <c r="O229" t="n">
        <v>0</v>
      </c>
      <c r="P229" t="n">
        <v>0</v>
      </c>
      <c r="Q229" t="n">
        <v>0</v>
      </c>
      <c r="R229" s="2" t="inlineStr"/>
    </row>
    <row r="230" ht="15" customHeight="1">
      <c r="A230" t="inlineStr">
        <is>
          <t>A 50000-2023</t>
        </is>
      </c>
      <c r="B230" s="1" t="n">
        <v>45215.4434837963</v>
      </c>
      <c r="C230" s="1" t="n">
        <v>46035</v>
      </c>
      <c r="D230" t="inlineStr">
        <is>
          <t>SKÅNE LÄN</t>
        </is>
      </c>
      <c r="E230" t="inlineStr">
        <is>
          <t>HÄSSLEHOLM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2567-2024</t>
        </is>
      </c>
      <c r="B231" s="1" t="n">
        <v>45313.62460648148</v>
      </c>
      <c r="C231" s="1" t="n">
        <v>46035</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50607-2023</t>
        </is>
      </c>
      <c r="B232" s="1" t="n">
        <v>45210</v>
      </c>
      <c r="C232" s="1" t="n">
        <v>46035</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50616-2023</t>
        </is>
      </c>
      <c r="B233" s="1" t="n">
        <v>45210</v>
      </c>
      <c r="C233" s="1" t="n">
        <v>46035</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9323-2025</t>
        </is>
      </c>
      <c r="B234" s="1" t="n">
        <v>45714.73532407408</v>
      </c>
      <c r="C234" s="1" t="n">
        <v>46035</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34342-2021</t>
        </is>
      </c>
      <c r="B235" s="1" t="n">
        <v>44379</v>
      </c>
      <c r="C235" s="1" t="n">
        <v>46035</v>
      </c>
      <c r="D235" t="inlineStr">
        <is>
          <t>SKÅNE LÄN</t>
        </is>
      </c>
      <c r="E235" t="inlineStr">
        <is>
          <t>HÄSSLEHOLM</t>
        </is>
      </c>
      <c r="G235" t="n">
        <v>7</v>
      </c>
      <c r="H235" t="n">
        <v>0</v>
      </c>
      <c r="I235" t="n">
        <v>0</v>
      </c>
      <c r="J235" t="n">
        <v>0</v>
      </c>
      <c r="K235" t="n">
        <v>0</v>
      </c>
      <c r="L235" t="n">
        <v>0</v>
      </c>
      <c r="M235" t="n">
        <v>0</v>
      </c>
      <c r="N235" t="n">
        <v>0</v>
      </c>
      <c r="O235" t="n">
        <v>0</v>
      </c>
      <c r="P235" t="n">
        <v>0</v>
      </c>
      <c r="Q235" t="n">
        <v>0</v>
      </c>
      <c r="R235" s="2" t="inlineStr"/>
    </row>
    <row r="236" ht="15" customHeight="1">
      <c r="A236" t="inlineStr">
        <is>
          <t>A 23946-2023</t>
        </is>
      </c>
      <c r="B236" s="1" t="n">
        <v>45078.61601851852</v>
      </c>
      <c r="C236" s="1" t="n">
        <v>46035</v>
      </c>
      <c r="D236" t="inlineStr">
        <is>
          <t>SKÅNE LÄN</t>
        </is>
      </c>
      <c r="E236" t="inlineStr">
        <is>
          <t>HÄSSLEHOLM</t>
        </is>
      </c>
      <c r="G236" t="n">
        <v>0.2</v>
      </c>
      <c r="H236" t="n">
        <v>0</v>
      </c>
      <c r="I236" t="n">
        <v>0</v>
      </c>
      <c r="J236" t="n">
        <v>0</v>
      </c>
      <c r="K236" t="n">
        <v>0</v>
      </c>
      <c r="L236" t="n">
        <v>0</v>
      </c>
      <c r="M236" t="n">
        <v>0</v>
      </c>
      <c r="N236" t="n">
        <v>0</v>
      </c>
      <c r="O236" t="n">
        <v>0</v>
      </c>
      <c r="P236" t="n">
        <v>0</v>
      </c>
      <c r="Q236" t="n">
        <v>0</v>
      </c>
      <c r="R236" s="2" t="inlineStr"/>
    </row>
    <row r="237" ht="15" customHeight="1">
      <c r="A237" t="inlineStr">
        <is>
          <t>A 49250-2022</t>
        </is>
      </c>
      <c r="B237" s="1" t="n">
        <v>44858</v>
      </c>
      <c r="C237" s="1" t="n">
        <v>46035</v>
      </c>
      <c r="D237" t="inlineStr">
        <is>
          <t>SKÅNE LÄN</t>
        </is>
      </c>
      <c r="E237" t="inlineStr">
        <is>
          <t>HÄSSLEHOLM</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8759-2024</t>
        </is>
      </c>
      <c r="B238" s="1" t="n">
        <v>45356.52271990741</v>
      </c>
      <c r="C238" s="1" t="n">
        <v>46035</v>
      </c>
      <c r="D238" t="inlineStr">
        <is>
          <t>SKÅNE LÄN</t>
        </is>
      </c>
      <c r="E238" t="inlineStr">
        <is>
          <t>HÄSSLEHOLM</t>
        </is>
      </c>
      <c r="G238" t="n">
        <v>5.7</v>
      </c>
      <c r="H238" t="n">
        <v>0</v>
      </c>
      <c r="I238" t="n">
        <v>0</v>
      </c>
      <c r="J238" t="n">
        <v>0</v>
      </c>
      <c r="K238" t="n">
        <v>0</v>
      </c>
      <c r="L238" t="n">
        <v>0</v>
      </c>
      <c r="M238" t="n">
        <v>0</v>
      </c>
      <c r="N238" t="n">
        <v>0</v>
      </c>
      <c r="O238" t="n">
        <v>0</v>
      </c>
      <c r="P238" t="n">
        <v>0</v>
      </c>
      <c r="Q238" t="n">
        <v>0</v>
      </c>
      <c r="R238" s="2" t="inlineStr"/>
    </row>
    <row r="239" ht="15" customHeight="1">
      <c r="A239" t="inlineStr">
        <is>
          <t>A 10020-2024</t>
        </is>
      </c>
      <c r="B239" s="1" t="n">
        <v>45363.96944444445</v>
      </c>
      <c r="C239" s="1" t="n">
        <v>46035</v>
      </c>
      <c r="D239" t="inlineStr">
        <is>
          <t>SKÅNE LÄN</t>
        </is>
      </c>
      <c r="E239" t="inlineStr">
        <is>
          <t>HÄSSLEHOLM</t>
        </is>
      </c>
      <c r="G239" t="n">
        <v>5.3</v>
      </c>
      <c r="H239" t="n">
        <v>0</v>
      </c>
      <c r="I239" t="n">
        <v>0</v>
      </c>
      <c r="J239" t="n">
        <v>0</v>
      </c>
      <c r="K239" t="n">
        <v>0</v>
      </c>
      <c r="L239" t="n">
        <v>0</v>
      </c>
      <c r="M239" t="n">
        <v>0</v>
      </c>
      <c r="N239" t="n">
        <v>0</v>
      </c>
      <c r="O239" t="n">
        <v>0</v>
      </c>
      <c r="P239" t="n">
        <v>0</v>
      </c>
      <c r="Q239" t="n">
        <v>0</v>
      </c>
      <c r="R239" s="2" t="inlineStr"/>
    </row>
    <row r="240" ht="15" customHeight="1">
      <c r="A240" t="inlineStr">
        <is>
          <t>A 12936-2025</t>
        </is>
      </c>
      <c r="B240" s="1" t="n">
        <v>45734</v>
      </c>
      <c r="C240" s="1" t="n">
        <v>46035</v>
      </c>
      <c r="D240" t="inlineStr">
        <is>
          <t>SKÅNE LÄN</t>
        </is>
      </c>
      <c r="E240" t="inlineStr">
        <is>
          <t>HÄSSLEHOLM</t>
        </is>
      </c>
      <c r="G240" t="n">
        <v>1.7</v>
      </c>
      <c r="H240" t="n">
        <v>0</v>
      </c>
      <c r="I240" t="n">
        <v>0</v>
      </c>
      <c r="J240" t="n">
        <v>0</v>
      </c>
      <c r="K240" t="n">
        <v>0</v>
      </c>
      <c r="L240" t="n">
        <v>0</v>
      </c>
      <c r="M240" t="n">
        <v>0</v>
      </c>
      <c r="N240" t="n">
        <v>0</v>
      </c>
      <c r="O240" t="n">
        <v>0</v>
      </c>
      <c r="P240" t="n">
        <v>0</v>
      </c>
      <c r="Q240" t="n">
        <v>0</v>
      </c>
      <c r="R240" s="2" t="inlineStr"/>
    </row>
    <row r="241" ht="15" customHeight="1">
      <c r="A241" t="inlineStr">
        <is>
          <t>A 29994-2023</t>
        </is>
      </c>
      <c r="B241" s="1" t="n">
        <v>45109.60038194444</v>
      </c>
      <c r="C241" s="1" t="n">
        <v>46035</v>
      </c>
      <c r="D241" t="inlineStr">
        <is>
          <t>SKÅNE LÄN</t>
        </is>
      </c>
      <c r="E241" t="inlineStr">
        <is>
          <t>HÄSSLEHOLM</t>
        </is>
      </c>
      <c r="G241" t="n">
        <v>2.8</v>
      </c>
      <c r="H241" t="n">
        <v>0</v>
      </c>
      <c r="I241" t="n">
        <v>0</v>
      </c>
      <c r="J241" t="n">
        <v>0</v>
      </c>
      <c r="K241" t="n">
        <v>0</v>
      </c>
      <c r="L241" t="n">
        <v>0</v>
      </c>
      <c r="M241" t="n">
        <v>0</v>
      </c>
      <c r="N241" t="n">
        <v>0</v>
      </c>
      <c r="O241" t="n">
        <v>0</v>
      </c>
      <c r="P241" t="n">
        <v>0</v>
      </c>
      <c r="Q241" t="n">
        <v>0</v>
      </c>
      <c r="R241" s="2" t="inlineStr"/>
    </row>
    <row r="242" ht="15" customHeight="1">
      <c r="A242" t="inlineStr">
        <is>
          <t>A 20872-2025</t>
        </is>
      </c>
      <c r="B242" s="1" t="n">
        <v>45777.34688657407</v>
      </c>
      <c r="C242" s="1" t="n">
        <v>46035</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48184-2025</t>
        </is>
      </c>
      <c r="B243" s="1" t="n">
        <v>45933.46131944445</v>
      </c>
      <c r="C243" s="1" t="n">
        <v>46035</v>
      </c>
      <c r="D243" t="inlineStr">
        <is>
          <t>SKÅNE LÄN</t>
        </is>
      </c>
      <c r="E243" t="inlineStr">
        <is>
          <t>HÄSSLEHOLM</t>
        </is>
      </c>
      <c r="G243" t="n">
        <v>3</v>
      </c>
      <c r="H243" t="n">
        <v>0</v>
      </c>
      <c r="I243" t="n">
        <v>0</v>
      </c>
      <c r="J243" t="n">
        <v>0</v>
      </c>
      <c r="K243" t="n">
        <v>0</v>
      </c>
      <c r="L243" t="n">
        <v>0</v>
      </c>
      <c r="M243" t="n">
        <v>0</v>
      </c>
      <c r="N243" t="n">
        <v>0</v>
      </c>
      <c r="O243" t="n">
        <v>0</v>
      </c>
      <c r="P243" t="n">
        <v>0</v>
      </c>
      <c r="Q243" t="n">
        <v>0</v>
      </c>
      <c r="R243" s="2" t="inlineStr"/>
    </row>
    <row r="244" ht="15" customHeight="1">
      <c r="A244" t="inlineStr">
        <is>
          <t>A 48185-2025</t>
        </is>
      </c>
      <c r="B244" s="1" t="n">
        <v>45933.46434027778</v>
      </c>
      <c r="C244" s="1" t="n">
        <v>46035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8749-2024</t>
        </is>
      </c>
      <c r="B245" s="1" t="n">
        <v>45356.50387731481</v>
      </c>
      <c r="C245" s="1" t="n">
        <v>46035</v>
      </c>
      <c r="D245" t="inlineStr">
        <is>
          <t>SKÅNE LÄN</t>
        </is>
      </c>
      <c r="E245" t="inlineStr">
        <is>
          <t>HÄSSLEHOLM</t>
        </is>
      </c>
      <c r="G245" t="n">
        <v>2.9</v>
      </c>
      <c r="H245" t="n">
        <v>0</v>
      </c>
      <c r="I245" t="n">
        <v>0</v>
      </c>
      <c r="J245" t="n">
        <v>0</v>
      </c>
      <c r="K245" t="n">
        <v>0</v>
      </c>
      <c r="L245" t="n">
        <v>0</v>
      </c>
      <c r="M245" t="n">
        <v>0</v>
      </c>
      <c r="N245" t="n">
        <v>0</v>
      </c>
      <c r="O245" t="n">
        <v>0</v>
      </c>
      <c r="P245" t="n">
        <v>0</v>
      </c>
      <c r="Q245" t="n">
        <v>0</v>
      </c>
      <c r="R245" s="2" t="inlineStr"/>
    </row>
    <row r="246" ht="15" customHeight="1">
      <c r="A246" t="inlineStr">
        <is>
          <t>A 8752-2024</t>
        </is>
      </c>
      <c r="B246" s="1" t="n">
        <v>45356</v>
      </c>
      <c r="C246" s="1" t="n">
        <v>46035</v>
      </c>
      <c r="D246" t="inlineStr">
        <is>
          <t>SKÅNE LÄN</t>
        </is>
      </c>
      <c r="E246" t="inlineStr">
        <is>
          <t>HÄSSLEHOLM</t>
        </is>
      </c>
      <c r="G246" t="n">
        <v>3.4</v>
      </c>
      <c r="H246" t="n">
        <v>0</v>
      </c>
      <c r="I246" t="n">
        <v>0</v>
      </c>
      <c r="J246" t="n">
        <v>0</v>
      </c>
      <c r="K246" t="n">
        <v>0</v>
      </c>
      <c r="L246" t="n">
        <v>0</v>
      </c>
      <c r="M246" t="n">
        <v>0</v>
      </c>
      <c r="N246" t="n">
        <v>0</v>
      </c>
      <c r="O246" t="n">
        <v>0</v>
      </c>
      <c r="P246" t="n">
        <v>0</v>
      </c>
      <c r="Q246" t="n">
        <v>0</v>
      </c>
      <c r="R246" s="2" t="inlineStr"/>
    </row>
    <row r="247" ht="15" customHeight="1">
      <c r="A247" t="inlineStr">
        <is>
          <t>A 42906-2022</t>
        </is>
      </c>
      <c r="B247" s="1" t="n">
        <v>44833</v>
      </c>
      <c r="C247" s="1" t="n">
        <v>46035</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15036-2024</t>
        </is>
      </c>
      <c r="B248" s="1" t="n">
        <v>45399.48100694444</v>
      </c>
      <c r="C248" s="1" t="n">
        <v>46035</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21091-2025</t>
        </is>
      </c>
      <c r="B249" s="1" t="n">
        <v>45777</v>
      </c>
      <c r="C249" s="1" t="n">
        <v>46035</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21206-2025</t>
        </is>
      </c>
      <c r="B250" s="1" t="n">
        <v>45779.48318287037</v>
      </c>
      <c r="C250" s="1" t="n">
        <v>46035</v>
      </c>
      <c r="D250" t="inlineStr">
        <is>
          <t>SKÅNE LÄN</t>
        </is>
      </c>
      <c r="E250" t="inlineStr">
        <is>
          <t>HÄSSLEHOLM</t>
        </is>
      </c>
      <c r="G250" t="n">
        <v>2.2</v>
      </c>
      <c r="H250" t="n">
        <v>0</v>
      </c>
      <c r="I250" t="n">
        <v>0</v>
      </c>
      <c r="J250" t="n">
        <v>0</v>
      </c>
      <c r="K250" t="n">
        <v>0</v>
      </c>
      <c r="L250" t="n">
        <v>0</v>
      </c>
      <c r="M250" t="n">
        <v>0</v>
      </c>
      <c r="N250" t="n">
        <v>0</v>
      </c>
      <c r="O250" t="n">
        <v>0</v>
      </c>
      <c r="P250" t="n">
        <v>0</v>
      </c>
      <c r="Q250" t="n">
        <v>0</v>
      </c>
      <c r="R250" s="2" t="inlineStr"/>
    </row>
    <row r="251" ht="15" customHeight="1">
      <c r="A251" t="inlineStr">
        <is>
          <t>A 48722-2025</t>
        </is>
      </c>
      <c r="B251" s="1" t="n">
        <v>45935</v>
      </c>
      <c r="C251" s="1" t="n">
        <v>46035</v>
      </c>
      <c r="D251" t="inlineStr">
        <is>
          <t>SKÅNE LÄN</t>
        </is>
      </c>
      <c r="E251" t="inlineStr">
        <is>
          <t>HÄSSLEHOLM</t>
        </is>
      </c>
      <c r="G251" t="n">
        <v>4.3</v>
      </c>
      <c r="H251" t="n">
        <v>0</v>
      </c>
      <c r="I251" t="n">
        <v>0</v>
      </c>
      <c r="J251" t="n">
        <v>0</v>
      </c>
      <c r="K251" t="n">
        <v>0</v>
      </c>
      <c r="L251" t="n">
        <v>0</v>
      </c>
      <c r="M251" t="n">
        <v>0</v>
      </c>
      <c r="N251" t="n">
        <v>0</v>
      </c>
      <c r="O251" t="n">
        <v>0</v>
      </c>
      <c r="P251" t="n">
        <v>0</v>
      </c>
      <c r="Q251" t="n">
        <v>0</v>
      </c>
      <c r="R251" s="2" t="inlineStr"/>
    </row>
    <row r="252" ht="15" customHeight="1">
      <c r="A252" t="inlineStr">
        <is>
          <t>A 58915-2023</t>
        </is>
      </c>
      <c r="B252" s="1" t="n">
        <v>45250</v>
      </c>
      <c r="C252" s="1" t="n">
        <v>46035</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18648-2021</t>
        </is>
      </c>
      <c r="B253" s="1" t="n">
        <v>44306.70583333333</v>
      </c>
      <c r="C253" s="1" t="n">
        <v>46035</v>
      </c>
      <c r="D253" t="inlineStr">
        <is>
          <t>SKÅNE LÄN</t>
        </is>
      </c>
      <c r="E253" t="inlineStr">
        <is>
          <t>HÄSSLEHOLM</t>
        </is>
      </c>
      <c r="G253" t="n">
        <v>2.5</v>
      </c>
      <c r="H253" t="n">
        <v>0</v>
      </c>
      <c r="I253" t="n">
        <v>0</v>
      </c>
      <c r="J253" t="n">
        <v>0</v>
      </c>
      <c r="K253" t="n">
        <v>0</v>
      </c>
      <c r="L253" t="n">
        <v>0</v>
      </c>
      <c r="M253" t="n">
        <v>0</v>
      </c>
      <c r="N253" t="n">
        <v>0</v>
      </c>
      <c r="O253" t="n">
        <v>0</v>
      </c>
      <c r="P253" t="n">
        <v>0</v>
      </c>
      <c r="Q253" t="n">
        <v>0</v>
      </c>
      <c r="R253" s="2" t="inlineStr"/>
    </row>
    <row r="254" ht="15" customHeight="1">
      <c r="A254" t="inlineStr">
        <is>
          <t>A 20494-2024</t>
        </is>
      </c>
      <c r="B254" s="1" t="n">
        <v>45435</v>
      </c>
      <c r="C254" s="1" t="n">
        <v>46035</v>
      </c>
      <c r="D254" t="inlineStr">
        <is>
          <t>SKÅNE LÄN</t>
        </is>
      </c>
      <c r="E254" t="inlineStr">
        <is>
          <t>HÄSSLEHOLM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57033-2022</t>
        </is>
      </c>
      <c r="B255" s="1" t="n">
        <v>44895.31270833333</v>
      </c>
      <c r="C255" s="1" t="n">
        <v>46035</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4734-2025</t>
        </is>
      </c>
      <c r="B256" s="1" t="n">
        <v>45688.44030092593</v>
      </c>
      <c r="C256" s="1" t="n">
        <v>46035</v>
      </c>
      <c r="D256" t="inlineStr">
        <is>
          <t>SKÅNE LÄN</t>
        </is>
      </c>
      <c r="E256" t="inlineStr">
        <is>
          <t>HÄSSLEHOLM</t>
        </is>
      </c>
      <c r="G256" t="n">
        <v>19.6</v>
      </c>
      <c r="H256" t="n">
        <v>0</v>
      </c>
      <c r="I256" t="n">
        <v>0</v>
      </c>
      <c r="J256" t="n">
        <v>0</v>
      </c>
      <c r="K256" t="n">
        <v>0</v>
      </c>
      <c r="L256" t="n">
        <v>0</v>
      </c>
      <c r="M256" t="n">
        <v>0</v>
      </c>
      <c r="N256" t="n">
        <v>0</v>
      </c>
      <c r="O256" t="n">
        <v>0</v>
      </c>
      <c r="P256" t="n">
        <v>0</v>
      </c>
      <c r="Q256" t="n">
        <v>0</v>
      </c>
      <c r="R256" s="2" t="inlineStr"/>
    </row>
    <row r="257" ht="15" customHeight="1">
      <c r="A257" t="inlineStr">
        <is>
          <t>A 44697-2021</t>
        </is>
      </c>
      <c r="B257" s="1" t="n">
        <v>44438</v>
      </c>
      <c r="C257" s="1" t="n">
        <v>46035</v>
      </c>
      <c r="D257" t="inlineStr">
        <is>
          <t>SKÅNE LÄN</t>
        </is>
      </c>
      <c r="E257" t="inlineStr">
        <is>
          <t>HÄSSLEHOLM</t>
        </is>
      </c>
      <c r="G257" t="n">
        <v>4.8</v>
      </c>
      <c r="H257" t="n">
        <v>0</v>
      </c>
      <c r="I257" t="n">
        <v>0</v>
      </c>
      <c r="J257" t="n">
        <v>0</v>
      </c>
      <c r="K257" t="n">
        <v>0</v>
      </c>
      <c r="L257" t="n">
        <v>0</v>
      </c>
      <c r="M257" t="n">
        <v>0</v>
      </c>
      <c r="N257" t="n">
        <v>0</v>
      </c>
      <c r="O257" t="n">
        <v>0</v>
      </c>
      <c r="P257" t="n">
        <v>0</v>
      </c>
      <c r="Q257" t="n">
        <v>0</v>
      </c>
      <c r="R257" s="2" t="inlineStr"/>
    </row>
    <row r="258" ht="15" customHeight="1">
      <c r="A258" t="inlineStr">
        <is>
          <t>A 53067-2022</t>
        </is>
      </c>
      <c r="B258" s="1" t="n">
        <v>44873</v>
      </c>
      <c r="C258" s="1" t="n">
        <v>46035</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61929-2023</t>
        </is>
      </c>
      <c r="B259" s="1" t="n">
        <v>45266</v>
      </c>
      <c r="C259" s="1" t="n">
        <v>46035</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26403-2024</t>
        </is>
      </c>
      <c r="B260" s="1" t="n">
        <v>45469.44505787037</v>
      </c>
      <c r="C260" s="1" t="n">
        <v>46035</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26403-2024</t>
        </is>
      </c>
      <c r="B261" s="1" t="n">
        <v>45469.44505787037</v>
      </c>
      <c r="C261" s="1" t="n">
        <v>46035</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1120-2024</t>
        </is>
      </c>
      <c r="B262" s="1" t="n">
        <v>45302.4452662037</v>
      </c>
      <c r="C262" s="1" t="n">
        <v>46035</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27177-2024</t>
        </is>
      </c>
      <c r="B263" s="1" t="n">
        <v>45471.57201388889</v>
      </c>
      <c r="C263" s="1" t="n">
        <v>46035</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42428-2022</t>
        </is>
      </c>
      <c r="B264" s="1" t="n">
        <v>44831</v>
      </c>
      <c r="C264" s="1" t="n">
        <v>46035</v>
      </c>
      <c r="D264" t="inlineStr">
        <is>
          <t>SKÅNE LÄN</t>
        </is>
      </c>
      <c r="E264" t="inlineStr">
        <is>
          <t>HÄSSLEHOLM</t>
        </is>
      </c>
      <c r="G264" t="n">
        <v>2.8</v>
      </c>
      <c r="H264" t="n">
        <v>0</v>
      </c>
      <c r="I264" t="n">
        <v>0</v>
      </c>
      <c r="J264" t="n">
        <v>0</v>
      </c>
      <c r="K264" t="n">
        <v>0</v>
      </c>
      <c r="L264" t="n">
        <v>0</v>
      </c>
      <c r="M264" t="n">
        <v>0</v>
      </c>
      <c r="N264" t="n">
        <v>0</v>
      </c>
      <c r="O264" t="n">
        <v>0</v>
      </c>
      <c r="P264" t="n">
        <v>0</v>
      </c>
      <c r="Q264" t="n">
        <v>0</v>
      </c>
      <c r="R264" s="2" t="inlineStr"/>
    </row>
    <row r="265" ht="15" customHeight="1">
      <c r="A265" t="inlineStr">
        <is>
          <t>A 22595-2024</t>
        </is>
      </c>
      <c r="B265" s="1" t="n">
        <v>45447.61053240741</v>
      </c>
      <c r="C265" s="1" t="n">
        <v>46035</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24776-2025</t>
        </is>
      </c>
      <c r="B266" s="1" t="n">
        <v>45799.40640046296</v>
      </c>
      <c r="C266" s="1" t="n">
        <v>46035</v>
      </c>
      <c r="D266" t="inlineStr">
        <is>
          <t>SKÅNE LÄN</t>
        </is>
      </c>
      <c r="E266" t="inlineStr">
        <is>
          <t>HÄSSLEHOLM</t>
        </is>
      </c>
      <c r="G266" t="n">
        <v>5.4</v>
      </c>
      <c r="H266" t="n">
        <v>0</v>
      </c>
      <c r="I266" t="n">
        <v>0</v>
      </c>
      <c r="J266" t="n">
        <v>0</v>
      </c>
      <c r="K266" t="n">
        <v>0</v>
      </c>
      <c r="L266" t="n">
        <v>0</v>
      </c>
      <c r="M266" t="n">
        <v>0</v>
      </c>
      <c r="N266" t="n">
        <v>0</v>
      </c>
      <c r="O266" t="n">
        <v>0</v>
      </c>
      <c r="P266" t="n">
        <v>0</v>
      </c>
      <c r="Q266" t="n">
        <v>0</v>
      </c>
      <c r="R266" s="2" t="inlineStr"/>
    </row>
    <row r="267" ht="15" customHeight="1">
      <c r="A267" t="inlineStr">
        <is>
          <t>A 29845-2024</t>
        </is>
      </c>
      <c r="B267" s="1" t="n">
        <v>45485.6212037037</v>
      </c>
      <c r="C267" s="1" t="n">
        <v>46035</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20006-2025</t>
        </is>
      </c>
      <c r="B268" s="1" t="n">
        <v>45772.05032407407</v>
      </c>
      <c r="C268" s="1" t="n">
        <v>46035</v>
      </c>
      <c r="D268" t="inlineStr">
        <is>
          <t>SKÅNE LÄN</t>
        </is>
      </c>
      <c r="E268" t="inlineStr">
        <is>
          <t>HÄSSLEHOLM</t>
        </is>
      </c>
      <c r="G268" t="n">
        <v>3.9</v>
      </c>
      <c r="H268" t="n">
        <v>0</v>
      </c>
      <c r="I268" t="n">
        <v>0</v>
      </c>
      <c r="J268" t="n">
        <v>0</v>
      </c>
      <c r="K268" t="n">
        <v>0</v>
      </c>
      <c r="L268" t="n">
        <v>0</v>
      </c>
      <c r="M268" t="n">
        <v>0</v>
      </c>
      <c r="N268" t="n">
        <v>0</v>
      </c>
      <c r="O268" t="n">
        <v>0</v>
      </c>
      <c r="P268" t="n">
        <v>0</v>
      </c>
      <c r="Q268" t="n">
        <v>0</v>
      </c>
      <c r="R268" s="2" t="inlineStr"/>
    </row>
    <row r="269" ht="15" customHeight="1">
      <c r="A269" t="inlineStr">
        <is>
          <t>A 61533-2024</t>
        </is>
      </c>
      <c r="B269" s="1" t="n">
        <v>45646</v>
      </c>
      <c r="C269" s="1" t="n">
        <v>46035</v>
      </c>
      <c r="D269" t="inlineStr">
        <is>
          <t>SKÅNE LÄN</t>
        </is>
      </c>
      <c r="E269" t="inlineStr">
        <is>
          <t>HÄSSLEHOLM</t>
        </is>
      </c>
      <c r="G269" t="n">
        <v>4.5</v>
      </c>
      <c r="H269" t="n">
        <v>0</v>
      </c>
      <c r="I269" t="n">
        <v>0</v>
      </c>
      <c r="J269" t="n">
        <v>0</v>
      </c>
      <c r="K269" t="n">
        <v>0</v>
      </c>
      <c r="L269" t="n">
        <v>0</v>
      </c>
      <c r="M269" t="n">
        <v>0</v>
      </c>
      <c r="N269" t="n">
        <v>0</v>
      </c>
      <c r="O269" t="n">
        <v>0</v>
      </c>
      <c r="P269" t="n">
        <v>0</v>
      </c>
      <c r="Q269" t="n">
        <v>0</v>
      </c>
      <c r="R269" s="2" t="inlineStr"/>
    </row>
    <row r="270" ht="15" customHeight="1">
      <c r="A270" t="inlineStr">
        <is>
          <t>A 61537-2024</t>
        </is>
      </c>
      <c r="B270" s="1" t="n">
        <v>45646</v>
      </c>
      <c r="C270" s="1" t="n">
        <v>46035</v>
      </c>
      <c r="D270" t="inlineStr">
        <is>
          <t>SKÅNE LÄN</t>
        </is>
      </c>
      <c r="E270" t="inlineStr">
        <is>
          <t>HÄSSLEHOLM</t>
        </is>
      </c>
      <c r="G270" t="n">
        <v>3.7</v>
      </c>
      <c r="H270" t="n">
        <v>0</v>
      </c>
      <c r="I270" t="n">
        <v>0</v>
      </c>
      <c r="J270" t="n">
        <v>0</v>
      </c>
      <c r="K270" t="n">
        <v>0</v>
      </c>
      <c r="L270" t="n">
        <v>0</v>
      </c>
      <c r="M270" t="n">
        <v>0</v>
      </c>
      <c r="N270" t="n">
        <v>0</v>
      </c>
      <c r="O270" t="n">
        <v>0</v>
      </c>
      <c r="P270" t="n">
        <v>0</v>
      </c>
      <c r="Q270" t="n">
        <v>0</v>
      </c>
      <c r="R270" s="2" t="inlineStr"/>
    </row>
    <row r="271" ht="15" customHeight="1">
      <c r="A271" t="inlineStr">
        <is>
          <t>A 21638-2025</t>
        </is>
      </c>
      <c r="B271" s="1" t="n">
        <v>45783.43087962963</v>
      </c>
      <c r="C271" s="1" t="n">
        <v>46035</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38148-2022</t>
        </is>
      </c>
      <c r="B272" s="1" t="n">
        <v>44811</v>
      </c>
      <c r="C272" s="1" t="n">
        <v>46035</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7818-2024</t>
        </is>
      </c>
      <c r="B273" s="1" t="n">
        <v>45349.68872685185</v>
      </c>
      <c r="C273" s="1" t="n">
        <v>46035</v>
      </c>
      <c r="D273" t="inlineStr">
        <is>
          <t>SKÅNE LÄN</t>
        </is>
      </c>
      <c r="E273" t="inlineStr">
        <is>
          <t>HÄSSLEHOLM</t>
        </is>
      </c>
      <c r="G273" t="n">
        <v>2.5</v>
      </c>
      <c r="H273" t="n">
        <v>0</v>
      </c>
      <c r="I273" t="n">
        <v>0</v>
      </c>
      <c r="J273" t="n">
        <v>0</v>
      </c>
      <c r="K273" t="n">
        <v>0</v>
      </c>
      <c r="L273" t="n">
        <v>0</v>
      </c>
      <c r="M273" t="n">
        <v>0</v>
      </c>
      <c r="N273" t="n">
        <v>0</v>
      </c>
      <c r="O273" t="n">
        <v>0</v>
      </c>
      <c r="P273" t="n">
        <v>0</v>
      </c>
      <c r="Q273" t="n">
        <v>0</v>
      </c>
      <c r="R273" s="2" t="inlineStr"/>
    </row>
    <row r="274" ht="15" customHeight="1">
      <c r="A274" t="inlineStr">
        <is>
          <t>A 9239-2025</t>
        </is>
      </c>
      <c r="B274" s="1" t="n">
        <v>45714</v>
      </c>
      <c r="C274" s="1" t="n">
        <v>46035</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61186-2022</t>
        </is>
      </c>
      <c r="B275" s="1" t="n">
        <v>44915.50745370371</v>
      </c>
      <c r="C275" s="1" t="n">
        <v>46035</v>
      </c>
      <c r="D275" t="inlineStr">
        <is>
          <t>SKÅNE LÄN</t>
        </is>
      </c>
      <c r="E275" t="inlineStr">
        <is>
          <t>HÄSSLEHOLM</t>
        </is>
      </c>
      <c r="G275" t="n">
        <v>2.9</v>
      </c>
      <c r="H275" t="n">
        <v>0</v>
      </c>
      <c r="I275" t="n">
        <v>0</v>
      </c>
      <c r="J275" t="n">
        <v>0</v>
      </c>
      <c r="K275" t="n">
        <v>0</v>
      </c>
      <c r="L275" t="n">
        <v>0</v>
      </c>
      <c r="M275" t="n">
        <v>0</v>
      </c>
      <c r="N275" t="n">
        <v>0</v>
      </c>
      <c r="O275" t="n">
        <v>0</v>
      </c>
      <c r="P275" t="n">
        <v>0</v>
      </c>
      <c r="Q275" t="n">
        <v>0</v>
      </c>
      <c r="R275" s="2" t="inlineStr"/>
    </row>
    <row r="276" ht="15" customHeight="1">
      <c r="A276" t="inlineStr">
        <is>
          <t>A 16121-2025</t>
        </is>
      </c>
      <c r="B276" s="1" t="n">
        <v>45750.40384259259</v>
      </c>
      <c r="C276" s="1" t="n">
        <v>46035</v>
      </c>
      <c r="D276" t="inlineStr">
        <is>
          <t>SKÅNE LÄN</t>
        </is>
      </c>
      <c r="E276" t="inlineStr">
        <is>
          <t>HÄSSLEHOLM</t>
        </is>
      </c>
      <c r="G276" t="n">
        <v>1.6</v>
      </c>
      <c r="H276" t="n">
        <v>0</v>
      </c>
      <c r="I276" t="n">
        <v>0</v>
      </c>
      <c r="J276" t="n">
        <v>0</v>
      </c>
      <c r="K276" t="n">
        <v>0</v>
      </c>
      <c r="L276" t="n">
        <v>0</v>
      </c>
      <c r="M276" t="n">
        <v>0</v>
      </c>
      <c r="N276" t="n">
        <v>0</v>
      </c>
      <c r="O276" t="n">
        <v>0</v>
      </c>
      <c r="P276" t="n">
        <v>0</v>
      </c>
      <c r="Q276" t="n">
        <v>0</v>
      </c>
      <c r="R276" s="2" t="inlineStr"/>
    </row>
    <row r="277" ht="15" customHeight="1">
      <c r="A277" t="inlineStr">
        <is>
          <t>A 28599-2024</t>
        </is>
      </c>
      <c r="B277" s="1" t="n">
        <v>45478.4247800926</v>
      </c>
      <c r="C277" s="1" t="n">
        <v>46035</v>
      </c>
      <c r="D277" t="inlineStr">
        <is>
          <t>SKÅNE LÄN</t>
        </is>
      </c>
      <c r="E277" t="inlineStr">
        <is>
          <t>HÄSSLEHOLM</t>
        </is>
      </c>
      <c r="G277" t="n">
        <v>8.6</v>
      </c>
      <c r="H277" t="n">
        <v>0</v>
      </c>
      <c r="I277" t="n">
        <v>0</v>
      </c>
      <c r="J277" t="n">
        <v>0</v>
      </c>
      <c r="K277" t="n">
        <v>0</v>
      </c>
      <c r="L277" t="n">
        <v>0</v>
      </c>
      <c r="M277" t="n">
        <v>0</v>
      </c>
      <c r="N277" t="n">
        <v>0</v>
      </c>
      <c r="O277" t="n">
        <v>0</v>
      </c>
      <c r="P277" t="n">
        <v>0</v>
      </c>
      <c r="Q277" t="n">
        <v>0</v>
      </c>
      <c r="R277" s="2" t="inlineStr"/>
    </row>
    <row r="278" ht="15" customHeight="1">
      <c r="A278" t="inlineStr">
        <is>
          <t>A 13018-2024</t>
        </is>
      </c>
      <c r="B278" s="1" t="n">
        <v>45385.58274305556</v>
      </c>
      <c r="C278" s="1" t="n">
        <v>46035</v>
      </c>
      <c r="D278" t="inlineStr">
        <is>
          <t>SKÅNE LÄN</t>
        </is>
      </c>
      <c r="E278" t="inlineStr">
        <is>
          <t>HÄSSLEHOLM</t>
        </is>
      </c>
      <c r="G278" t="n">
        <v>4.8</v>
      </c>
      <c r="H278" t="n">
        <v>0</v>
      </c>
      <c r="I278" t="n">
        <v>0</v>
      </c>
      <c r="J278" t="n">
        <v>0</v>
      </c>
      <c r="K278" t="n">
        <v>0</v>
      </c>
      <c r="L278" t="n">
        <v>0</v>
      </c>
      <c r="M278" t="n">
        <v>0</v>
      </c>
      <c r="N278" t="n">
        <v>0</v>
      </c>
      <c r="O278" t="n">
        <v>0</v>
      </c>
      <c r="P278" t="n">
        <v>0</v>
      </c>
      <c r="Q278" t="n">
        <v>0</v>
      </c>
      <c r="R278" s="2" t="inlineStr"/>
    </row>
    <row r="279" ht="15" customHeight="1">
      <c r="A279" t="inlineStr">
        <is>
          <t>A 11446-2025</t>
        </is>
      </c>
      <c r="B279" s="1" t="n">
        <v>45726</v>
      </c>
      <c r="C279" s="1" t="n">
        <v>46035</v>
      </c>
      <c r="D279" t="inlineStr">
        <is>
          <t>SKÅNE LÄN</t>
        </is>
      </c>
      <c r="E279" t="inlineStr">
        <is>
          <t>HÄSSLEHOLM</t>
        </is>
      </c>
      <c r="G279" t="n">
        <v>1.9</v>
      </c>
      <c r="H279" t="n">
        <v>0</v>
      </c>
      <c r="I279" t="n">
        <v>0</v>
      </c>
      <c r="J279" t="n">
        <v>0</v>
      </c>
      <c r="K279" t="n">
        <v>0</v>
      </c>
      <c r="L279" t="n">
        <v>0</v>
      </c>
      <c r="M279" t="n">
        <v>0</v>
      </c>
      <c r="N279" t="n">
        <v>0</v>
      </c>
      <c r="O279" t="n">
        <v>0</v>
      </c>
      <c r="P279" t="n">
        <v>0</v>
      </c>
      <c r="Q279" t="n">
        <v>0</v>
      </c>
      <c r="R279" s="2" t="inlineStr"/>
    </row>
    <row r="280" ht="15" customHeight="1">
      <c r="A280" t="inlineStr">
        <is>
          <t>A 34342-2021</t>
        </is>
      </c>
      <c r="B280" s="1" t="n">
        <v>44379</v>
      </c>
      <c r="C280" s="1" t="n">
        <v>46035</v>
      </c>
      <c r="D280" t="inlineStr">
        <is>
          <t>SKÅNE LÄN</t>
        </is>
      </c>
      <c r="E280" t="inlineStr">
        <is>
          <t>HÄSSLEHOLM</t>
        </is>
      </c>
      <c r="G280" t="n">
        <v>7</v>
      </c>
      <c r="H280" t="n">
        <v>0</v>
      </c>
      <c r="I280" t="n">
        <v>0</v>
      </c>
      <c r="J280" t="n">
        <v>0</v>
      </c>
      <c r="K280" t="n">
        <v>0</v>
      </c>
      <c r="L280" t="n">
        <v>0</v>
      </c>
      <c r="M280" t="n">
        <v>0</v>
      </c>
      <c r="N280" t="n">
        <v>0</v>
      </c>
      <c r="O280" t="n">
        <v>0</v>
      </c>
      <c r="P280" t="n">
        <v>0</v>
      </c>
      <c r="Q280" t="n">
        <v>0</v>
      </c>
      <c r="R280" s="2" t="inlineStr"/>
    </row>
    <row r="281" ht="15" customHeight="1">
      <c r="A281" t="inlineStr">
        <is>
          <t>A 16860-2025</t>
        </is>
      </c>
      <c r="B281" s="1" t="n">
        <v>45751</v>
      </c>
      <c r="C281" s="1" t="n">
        <v>46035</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39111-2023</t>
        </is>
      </c>
      <c r="B282" s="1" t="n">
        <v>45164.87140046297</v>
      </c>
      <c r="C282" s="1" t="n">
        <v>46035</v>
      </c>
      <c r="D282" t="inlineStr">
        <is>
          <t>SKÅNE LÄN</t>
        </is>
      </c>
      <c r="E282" t="inlineStr">
        <is>
          <t>HÄSSLEHOLM</t>
        </is>
      </c>
      <c r="G282" t="n">
        <v>0.9</v>
      </c>
      <c r="H282" t="n">
        <v>0</v>
      </c>
      <c r="I282" t="n">
        <v>0</v>
      </c>
      <c r="J282" t="n">
        <v>0</v>
      </c>
      <c r="K282" t="n">
        <v>0</v>
      </c>
      <c r="L282" t="n">
        <v>0</v>
      </c>
      <c r="M282" t="n">
        <v>0</v>
      </c>
      <c r="N282" t="n">
        <v>0</v>
      </c>
      <c r="O282" t="n">
        <v>0</v>
      </c>
      <c r="P282" t="n">
        <v>0</v>
      </c>
      <c r="Q282" t="n">
        <v>0</v>
      </c>
      <c r="R282" s="2" t="inlineStr"/>
    </row>
    <row r="283" ht="15" customHeight="1">
      <c r="A283" t="inlineStr">
        <is>
          <t>A 9556-2025</t>
        </is>
      </c>
      <c r="B283" s="1" t="n">
        <v>45714</v>
      </c>
      <c r="C283" s="1" t="n">
        <v>46035</v>
      </c>
      <c r="D283" t="inlineStr">
        <is>
          <t>SKÅNE LÄN</t>
        </is>
      </c>
      <c r="E283" t="inlineStr">
        <is>
          <t>HÄSSLEHOLM</t>
        </is>
      </c>
      <c r="G283" t="n">
        <v>1.8</v>
      </c>
      <c r="H283" t="n">
        <v>0</v>
      </c>
      <c r="I283" t="n">
        <v>0</v>
      </c>
      <c r="J283" t="n">
        <v>0</v>
      </c>
      <c r="K283" t="n">
        <v>0</v>
      </c>
      <c r="L283" t="n">
        <v>0</v>
      </c>
      <c r="M283" t="n">
        <v>0</v>
      </c>
      <c r="N283" t="n">
        <v>0</v>
      </c>
      <c r="O283" t="n">
        <v>0</v>
      </c>
      <c r="P283" t="n">
        <v>0</v>
      </c>
      <c r="Q283" t="n">
        <v>0</v>
      </c>
      <c r="R283" s="2" t="inlineStr"/>
    </row>
    <row r="284" ht="15" customHeight="1">
      <c r="A284" t="inlineStr">
        <is>
          <t>A 60851-2024</t>
        </is>
      </c>
      <c r="B284" s="1" t="n">
        <v>45644.66182870371</v>
      </c>
      <c r="C284" s="1" t="n">
        <v>46035</v>
      </c>
      <c r="D284" t="inlineStr">
        <is>
          <t>SKÅNE LÄN</t>
        </is>
      </c>
      <c r="E284" t="inlineStr">
        <is>
          <t>HÄSSLEHOLM</t>
        </is>
      </c>
      <c r="G284" t="n">
        <v>1.5</v>
      </c>
      <c r="H284" t="n">
        <v>0</v>
      </c>
      <c r="I284" t="n">
        <v>0</v>
      </c>
      <c r="J284" t="n">
        <v>0</v>
      </c>
      <c r="K284" t="n">
        <v>0</v>
      </c>
      <c r="L284" t="n">
        <v>0</v>
      </c>
      <c r="M284" t="n">
        <v>0</v>
      </c>
      <c r="N284" t="n">
        <v>0</v>
      </c>
      <c r="O284" t="n">
        <v>0</v>
      </c>
      <c r="P284" t="n">
        <v>0</v>
      </c>
      <c r="Q284" t="n">
        <v>0</v>
      </c>
      <c r="R284" s="2" t="inlineStr"/>
    </row>
    <row r="285" ht="15" customHeight="1">
      <c r="A285" t="inlineStr">
        <is>
          <t>A 26857-2025</t>
        </is>
      </c>
      <c r="B285" s="1" t="n">
        <v>45810</v>
      </c>
      <c r="C285" s="1" t="n">
        <v>46035</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317-2025</t>
        </is>
      </c>
      <c r="B286" s="1" t="n">
        <v>45660</v>
      </c>
      <c r="C286" s="1" t="n">
        <v>46035</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42776-2021</t>
        </is>
      </c>
      <c r="B287" s="1" t="n">
        <v>44428</v>
      </c>
      <c r="C287" s="1" t="n">
        <v>46035</v>
      </c>
      <c r="D287" t="inlineStr">
        <is>
          <t>SKÅNE LÄN</t>
        </is>
      </c>
      <c r="E287" t="inlineStr">
        <is>
          <t>HÄSSLEHOLM</t>
        </is>
      </c>
      <c r="G287" t="n">
        <v>3.2</v>
      </c>
      <c r="H287" t="n">
        <v>0</v>
      </c>
      <c r="I287" t="n">
        <v>0</v>
      </c>
      <c r="J287" t="n">
        <v>0</v>
      </c>
      <c r="K287" t="n">
        <v>0</v>
      </c>
      <c r="L287" t="n">
        <v>0</v>
      </c>
      <c r="M287" t="n">
        <v>0</v>
      </c>
      <c r="N287" t="n">
        <v>0</v>
      </c>
      <c r="O287" t="n">
        <v>0</v>
      </c>
      <c r="P287" t="n">
        <v>0</v>
      </c>
      <c r="Q287" t="n">
        <v>0</v>
      </c>
      <c r="R287" s="2" t="inlineStr"/>
    </row>
    <row r="288" ht="15" customHeight="1">
      <c r="A288" t="inlineStr">
        <is>
          <t>A 21625-2025</t>
        </is>
      </c>
      <c r="B288" s="1" t="n">
        <v>45783.41252314814</v>
      </c>
      <c r="C288" s="1" t="n">
        <v>46035</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39453-2025</t>
        </is>
      </c>
      <c r="B289" s="1" t="n">
        <v>45889</v>
      </c>
      <c r="C289" s="1" t="n">
        <v>46035</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12780-2024</t>
        </is>
      </c>
      <c r="B290" s="1" t="n">
        <v>45384.59726851852</v>
      </c>
      <c r="C290" s="1" t="n">
        <v>46035</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60920-2024</t>
        </is>
      </c>
      <c r="B291" s="1" t="n">
        <v>45645.34442129629</v>
      </c>
      <c r="C291" s="1" t="n">
        <v>46035</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28457-2024</t>
        </is>
      </c>
      <c r="B292" s="1" t="n">
        <v>45477.68884259259</v>
      </c>
      <c r="C292" s="1" t="n">
        <v>46035</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1703-2025</t>
        </is>
      </c>
      <c r="B293" s="1" t="n">
        <v>45670.80732638889</v>
      </c>
      <c r="C293" s="1" t="n">
        <v>46035</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39457-2025</t>
        </is>
      </c>
      <c r="B294" s="1" t="n">
        <v>45889.76887731482</v>
      </c>
      <c r="C294" s="1" t="n">
        <v>46035</v>
      </c>
      <c r="D294" t="inlineStr">
        <is>
          <t>SKÅNE LÄN</t>
        </is>
      </c>
      <c r="E294" t="inlineStr">
        <is>
          <t>HÄSSLEHOLM</t>
        </is>
      </c>
      <c r="G294" t="n">
        <v>6.6</v>
      </c>
      <c r="H294" t="n">
        <v>0</v>
      </c>
      <c r="I294" t="n">
        <v>0</v>
      </c>
      <c r="J294" t="n">
        <v>0</v>
      </c>
      <c r="K294" t="n">
        <v>0</v>
      </c>
      <c r="L294" t="n">
        <v>0</v>
      </c>
      <c r="M294" t="n">
        <v>0</v>
      </c>
      <c r="N294" t="n">
        <v>0</v>
      </c>
      <c r="O294" t="n">
        <v>0</v>
      </c>
      <c r="P294" t="n">
        <v>0</v>
      </c>
      <c r="Q294" t="n">
        <v>0</v>
      </c>
      <c r="R294" s="2" t="inlineStr"/>
    </row>
    <row r="295" ht="15" customHeight="1">
      <c r="A295" t="inlineStr">
        <is>
          <t>A 22024-2025</t>
        </is>
      </c>
      <c r="B295" s="1" t="n">
        <v>45784.85322916666</v>
      </c>
      <c r="C295" s="1" t="n">
        <v>46035</v>
      </c>
      <c r="D295" t="inlineStr">
        <is>
          <t>SKÅNE LÄN</t>
        </is>
      </c>
      <c r="E295" t="inlineStr">
        <is>
          <t>HÄSSLEHOLM</t>
        </is>
      </c>
      <c r="G295" t="n">
        <v>0.6</v>
      </c>
      <c r="H295" t="n">
        <v>0</v>
      </c>
      <c r="I295" t="n">
        <v>0</v>
      </c>
      <c r="J295" t="n">
        <v>0</v>
      </c>
      <c r="K295" t="n">
        <v>0</v>
      </c>
      <c r="L295" t="n">
        <v>0</v>
      </c>
      <c r="M295" t="n">
        <v>0</v>
      </c>
      <c r="N295" t="n">
        <v>0</v>
      </c>
      <c r="O295" t="n">
        <v>0</v>
      </c>
      <c r="P295" t="n">
        <v>0</v>
      </c>
      <c r="Q295" t="n">
        <v>0</v>
      </c>
      <c r="R295" s="2" t="inlineStr"/>
    </row>
    <row r="296" ht="15" customHeight="1">
      <c r="A296" t="inlineStr">
        <is>
          <t>A 29274-2023</t>
        </is>
      </c>
      <c r="B296" s="1" t="n">
        <v>45105</v>
      </c>
      <c r="C296" s="1" t="n">
        <v>46035</v>
      </c>
      <c r="D296" t="inlineStr">
        <is>
          <t>SKÅNE LÄN</t>
        </is>
      </c>
      <c r="E296" t="inlineStr">
        <is>
          <t>HÄSSLEHOLM</t>
        </is>
      </c>
      <c r="G296" t="n">
        <v>3.4</v>
      </c>
      <c r="H296" t="n">
        <v>0</v>
      </c>
      <c r="I296" t="n">
        <v>0</v>
      </c>
      <c r="J296" t="n">
        <v>0</v>
      </c>
      <c r="K296" t="n">
        <v>0</v>
      </c>
      <c r="L296" t="n">
        <v>0</v>
      </c>
      <c r="M296" t="n">
        <v>0</v>
      </c>
      <c r="N296" t="n">
        <v>0</v>
      </c>
      <c r="O296" t="n">
        <v>0</v>
      </c>
      <c r="P296" t="n">
        <v>0</v>
      </c>
      <c r="Q296" t="n">
        <v>0</v>
      </c>
      <c r="R296" s="2" t="inlineStr"/>
    </row>
    <row r="297" ht="15" customHeight="1">
      <c r="A297" t="inlineStr">
        <is>
          <t>A 34890-2023</t>
        </is>
      </c>
      <c r="B297" s="1" t="n">
        <v>45142.39475694444</v>
      </c>
      <c r="C297" s="1" t="n">
        <v>46035</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3886-2024</t>
        </is>
      </c>
      <c r="B298" s="1" t="n">
        <v>45322.44539351852</v>
      </c>
      <c r="C298" s="1" t="n">
        <v>46035</v>
      </c>
      <c r="D298" t="inlineStr">
        <is>
          <t>SKÅNE LÄN</t>
        </is>
      </c>
      <c r="E298" t="inlineStr">
        <is>
          <t>HÄSSLEHOLM</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22594-2024</t>
        </is>
      </c>
      <c r="B299" s="1" t="n">
        <v>45447.60892361111</v>
      </c>
      <c r="C299" s="1" t="n">
        <v>46035</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55056-2021</t>
        </is>
      </c>
      <c r="B300" s="1" t="n">
        <v>44474.62072916667</v>
      </c>
      <c r="C300" s="1" t="n">
        <v>46035</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61932-2023</t>
        </is>
      </c>
      <c r="B301" s="1" t="n">
        <v>45266.53761574074</v>
      </c>
      <c r="C301" s="1" t="n">
        <v>46035</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13149-2024</t>
        </is>
      </c>
      <c r="B302" s="1" t="n">
        <v>45386</v>
      </c>
      <c r="C302" s="1" t="n">
        <v>46035</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4042-2023</t>
        </is>
      </c>
      <c r="B303" s="1" t="n">
        <v>44952.59950231481</v>
      </c>
      <c r="C303" s="1" t="n">
        <v>46035</v>
      </c>
      <c r="D303" t="inlineStr">
        <is>
          <t>SKÅNE LÄN</t>
        </is>
      </c>
      <c r="E303" t="inlineStr">
        <is>
          <t>HÄSSLEHOLM</t>
        </is>
      </c>
      <c r="G303" t="n">
        <v>2.7</v>
      </c>
      <c r="H303" t="n">
        <v>0</v>
      </c>
      <c r="I303" t="n">
        <v>0</v>
      </c>
      <c r="J303" t="n">
        <v>0</v>
      </c>
      <c r="K303" t="n">
        <v>0</v>
      </c>
      <c r="L303" t="n">
        <v>0</v>
      </c>
      <c r="M303" t="n">
        <v>0</v>
      </c>
      <c r="N303" t="n">
        <v>0</v>
      </c>
      <c r="O303" t="n">
        <v>0</v>
      </c>
      <c r="P303" t="n">
        <v>0</v>
      </c>
      <c r="Q303" t="n">
        <v>0</v>
      </c>
      <c r="R303" s="2" t="inlineStr"/>
    </row>
    <row r="304" ht="15" customHeight="1">
      <c r="A304" t="inlineStr">
        <is>
          <t>A 3123-2023</t>
        </is>
      </c>
      <c r="B304" s="1" t="n">
        <v>44946.4925</v>
      </c>
      <c r="C304" s="1" t="n">
        <v>46035</v>
      </c>
      <c r="D304" t="inlineStr">
        <is>
          <t>SKÅNE LÄN</t>
        </is>
      </c>
      <c r="E304" t="inlineStr">
        <is>
          <t>HÄSSLEHOLM</t>
        </is>
      </c>
      <c r="G304" t="n">
        <v>3.5</v>
      </c>
      <c r="H304" t="n">
        <v>0</v>
      </c>
      <c r="I304" t="n">
        <v>0</v>
      </c>
      <c r="J304" t="n">
        <v>0</v>
      </c>
      <c r="K304" t="n">
        <v>0</v>
      </c>
      <c r="L304" t="n">
        <v>0</v>
      </c>
      <c r="M304" t="n">
        <v>0</v>
      </c>
      <c r="N304" t="n">
        <v>0</v>
      </c>
      <c r="O304" t="n">
        <v>0</v>
      </c>
      <c r="P304" t="n">
        <v>0</v>
      </c>
      <c r="Q304" t="n">
        <v>0</v>
      </c>
      <c r="R304" s="2" t="inlineStr"/>
    </row>
    <row r="305" ht="15" customHeight="1">
      <c r="A305" t="inlineStr">
        <is>
          <t>A 3126-2023</t>
        </is>
      </c>
      <c r="B305" s="1" t="n">
        <v>44946.49570601852</v>
      </c>
      <c r="C305" s="1" t="n">
        <v>46035</v>
      </c>
      <c r="D305" t="inlineStr">
        <is>
          <t>SKÅNE LÄN</t>
        </is>
      </c>
      <c r="E305" t="inlineStr">
        <is>
          <t>HÄSSLEHOLM</t>
        </is>
      </c>
      <c r="G305" t="n">
        <v>2.2</v>
      </c>
      <c r="H305" t="n">
        <v>0</v>
      </c>
      <c r="I305" t="n">
        <v>0</v>
      </c>
      <c r="J305" t="n">
        <v>0</v>
      </c>
      <c r="K305" t="n">
        <v>0</v>
      </c>
      <c r="L305" t="n">
        <v>0</v>
      </c>
      <c r="M305" t="n">
        <v>0</v>
      </c>
      <c r="N305" t="n">
        <v>0</v>
      </c>
      <c r="O305" t="n">
        <v>0</v>
      </c>
      <c r="P305" t="n">
        <v>0</v>
      </c>
      <c r="Q305" t="n">
        <v>0</v>
      </c>
      <c r="R305" s="2" t="inlineStr"/>
    </row>
    <row r="306" ht="15" customHeight="1">
      <c r="A306" t="inlineStr">
        <is>
          <t>A 25213-2023</t>
        </is>
      </c>
      <c r="B306" s="1" t="n">
        <v>45086.60010416667</v>
      </c>
      <c r="C306" s="1" t="n">
        <v>46035</v>
      </c>
      <c r="D306" t="inlineStr">
        <is>
          <t>SKÅNE LÄN</t>
        </is>
      </c>
      <c r="E306" t="inlineStr">
        <is>
          <t>HÄSSLEHOLM</t>
        </is>
      </c>
      <c r="G306" t="n">
        <v>7.2</v>
      </c>
      <c r="H306" t="n">
        <v>0</v>
      </c>
      <c r="I306" t="n">
        <v>0</v>
      </c>
      <c r="J306" t="n">
        <v>0</v>
      </c>
      <c r="K306" t="n">
        <v>0</v>
      </c>
      <c r="L306" t="n">
        <v>0</v>
      </c>
      <c r="M306" t="n">
        <v>0</v>
      </c>
      <c r="N306" t="n">
        <v>0</v>
      </c>
      <c r="O306" t="n">
        <v>0</v>
      </c>
      <c r="P306" t="n">
        <v>0</v>
      </c>
      <c r="Q306" t="n">
        <v>0</v>
      </c>
      <c r="R306" s="2" t="inlineStr"/>
    </row>
    <row r="307" ht="15" customHeight="1">
      <c r="A307" t="inlineStr">
        <is>
          <t>A 53466-2024</t>
        </is>
      </c>
      <c r="B307" s="1" t="n">
        <v>45614.55304398148</v>
      </c>
      <c r="C307" s="1" t="n">
        <v>46035</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39366-2025</t>
        </is>
      </c>
      <c r="B308" s="1" t="n">
        <v>45889</v>
      </c>
      <c r="C308" s="1" t="n">
        <v>46035</v>
      </c>
      <c r="D308" t="inlineStr">
        <is>
          <t>SKÅNE LÄN</t>
        </is>
      </c>
      <c r="E308" t="inlineStr">
        <is>
          <t>HÄSSLEHOLM</t>
        </is>
      </c>
      <c r="G308" t="n">
        <v>1</v>
      </c>
      <c r="H308" t="n">
        <v>0</v>
      </c>
      <c r="I308" t="n">
        <v>0</v>
      </c>
      <c r="J308" t="n">
        <v>0</v>
      </c>
      <c r="K308" t="n">
        <v>0</v>
      </c>
      <c r="L308" t="n">
        <v>0</v>
      </c>
      <c r="M308" t="n">
        <v>0</v>
      </c>
      <c r="N308" t="n">
        <v>0</v>
      </c>
      <c r="O308" t="n">
        <v>0</v>
      </c>
      <c r="P308" t="n">
        <v>0</v>
      </c>
      <c r="Q308" t="n">
        <v>0</v>
      </c>
      <c r="R308" s="2" t="inlineStr"/>
    </row>
    <row r="309" ht="15" customHeight="1">
      <c r="A309" t="inlineStr">
        <is>
          <t>A 51287-2022</t>
        </is>
      </c>
      <c r="B309" s="1" t="n">
        <v>44868.83146990741</v>
      </c>
      <c r="C309" s="1" t="n">
        <v>46035</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10230-2025</t>
        </is>
      </c>
      <c r="B310" s="1" t="n">
        <v>45720</v>
      </c>
      <c r="C310" s="1" t="n">
        <v>46035</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19735-2023</t>
        </is>
      </c>
      <c r="B311" s="1" t="n">
        <v>45051.52199074074</v>
      </c>
      <c r="C311" s="1" t="n">
        <v>46035</v>
      </c>
      <c r="D311" t="inlineStr">
        <is>
          <t>SKÅNE LÄN</t>
        </is>
      </c>
      <c r="E311" t="inlineStr">
        <is>
          <t>HÄSSLEHOLM</t>
        </is>
      </c>
      <c r="G311" t="n">
        <v>4</v>
      </c>
      <c r="H311" t="n">
        <v>0</v>
      </c>
      <c r="I311" t="n">
        <v>0</v>
      </c>
      <c r="J311" t="n">
        <v>0</v>
      </c>
      <c r="K311" t="n">
        <v>0</v>
      </c>
      <c r="L311" t="n">
        <v>0</v>
      </c>
      <c r="M311" t="n">
        <v>0</v>
      </c>
      <c r="N311" t="n">
        <v>0</v>
      </c>
      <c r="O311" t="n">
        <v>0</v>
      </c>
      <c r="P311" t="n">
        <v>0</v>
      </c>
      <c r="Q311" t="n">
        <v>0</v>
      </c>
      <c r="R311" s="2" t="inlineStr"/>
    </row>
    <row r="312" ht="15" customHeight="1">
      <c r="A312" t="inlineStr">
        <is>
          <t>A 24865-2024</t>
        </is>
      </c>
      <c r="B312" s="1" t="n">
        <v>45461.48974537037</v>
      </c>
      <c r="C312" s="1" t="n">
        <v>46035</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48797-2023</t>
        </is>
      </c>
      <c r="B313" s="1" t="n">
        <v>45209.24986111111</v>
      </c>
      <c r="C313" s="1" t="n">
        <v>46035</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5532-2025</t>
        </is>
      </c>
      <c r="B314" s="1" t="n">
        <v>45693</v>
      </c>
      <c r="C314" s="1" t="n">
        <v>46035</v>
      </c>
      <c r="D314" t="inlineStr">
        <is>
          <t>SKÅNE LÄN</t>
        </is>
      </c>
      <c r="E314" t="inlineStr">
        <is>
          <t>HÄSSLEHOLM</t>
        </is>
      </c>
      <c r="G314" t="n">
        <v>2.4</v>
      </c>
      <c r="H314" t="n">
        <v>0</v>
      </c>
      <c r="I314" t="n">
        <v>0</v>
      </c>
      <c r="J314" t="n">
        <v>0</v>
      </c>
      <c r="K314" t="n">
        <v>0</v>
      </c>
      <c r="L314" t="n">
        <v>0</v>
      </c>
      <c r="M314" t="n">
        <v>0</v>
      </c>
      <c r="N314" t="n">
        <v>0</v>
      </c>
      <c r="O314" t="n">
        <v>0</v>
      </c>
      <c r="P314" t="n">
        <v>0</v>
      </c>
      <c r="Q314" t="n">
        <v>0</v>
      </c>
      <c r="R314" s="2" t="inlineStr"/>
    </row>
    <row r="315" ht="15" customHeight="1">
      <c r="A315" t="inlineStr">
        <is>
          <t>A 55662-2022</t>
        </is>
      </c>
      <c r="B315" s="1" t="n">
        <v>44883</v>
      </c>
      <c r="C315" s="1" t="n">
        <v>46035</v>
      </c>
      <c r="D315" t="inlineStr">
        <is>
          <t>SKÅNE LÄN</t>
        </is>
      </c>
      <c r="E315" t="inlineStr">
        <is>
          <t>HÄSSLEHOLM</t>
        </is>
      </c>
      <c r="F315" t="inlineStr">
        <is>
          <t>Övriga Aktiebolag</t>
        </is>
      </c>
      <c r="G315" t="n">
        <v>2.6</v>
      </c>
      <c r="H315" t="n">
        <v>0</v>
      </c>
      <c r="I315" t="n">
        <v>0</v>
      </c>
      <c r="J315" t="n">
        <v>0</v>
      </c>
      <c r="K315" t="n">
        <v>0</v>
      </c>
      <c r="L315" t="n">
        <v>0</v>
      </c>
      <c r="M315" t="n">
        <v>0</v>
      </c>
      <c r="N315" t="n">
        <v>0</v>
      </c>
      <c r="O315" t="n">
        <v>0</v>
      </c>
      <c r="P315" t="n">
        <v>0</v>
      </c>
      <c r="Q315" t="n">
        <v>0</v>
      </c>
      <c r="R315" s="2" t="inlineStr"/>
    </row>
    <row r="316" ht="15" customHeight="1">
      <c r="A316" t="inlineStr">
        <is>
          <t>A 29844-2024</t>
        </is>
      </c>
      <c r="B316" s="1" t="n">
        <v>45485</v>
      </c>
      <c r="C316" s="1" t="n">
        <v>46035</v>
      </c>
      <c r="D316" t="inlineStr">
        <is>
          <t>SKÅNE LÄN</t>
        </is>
      </c>
      <c r="E316" t="inlineStr">
        <is>
          <t>HÄSSLEHOLM</t>
        </is>
      </c>
      <c r="G316" t="n">
        <v>1.9</v>
      </c>
      <c r="H316" t="n">
        <v>0</v>
      </c>
      <c r="I316" t="n">
        <v>0</v>
      </c>
      <c r="J316" t="n">
        <v>0</v>
      </c>
      <c r="K316" t="n">
        <v>0</v>
      </c>
      <c r="L316" t="n">
        <v>0</v>
      </c>
      <c r="M316" t="n">
        <v>0</v>
      </c>
      <c r="N316" t="n">
        <v>0</v>
      </c>
      <c r="O316" t="n">
        <v>0</v>
      </c>
      <c r="P316" t="n">
        <v>0</v>
      </c>
      <c r="Q316" t="n">
        <v>0</v>
      </c>
      <c r="R316" s="2" t="inlineStr"/>
    </row>
    <row r="317" ht="15" customHeight="1">
      <c r="A317" t="inlineStr">
        <is>
          <t>A 40536-2024</t>
        </is>
      </c>
      <c r="B317" s="1" t="n">
        <v>45555.61314814815</v>
      </c>
      <c r="C317" s="1" t="n">
        <v>46035</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33927-2021</t>
        </is>
      </c>
      <c r="B318" s="1" t="n">
        <v>44378</v>
      </c>
      <c r="C318" s="1" t="n">
        <v>46035</v>
      </c>
      <c r="D318" t="inlineStr">
        <is>
          <t>SKÅNE LÄN</t>
        </is>
      </c>
      <c r="E318" t="inlineStr">
        <is>
          <t>HÄSSLEHOLM</t>
        </is>
      </c>
      <c r="G318" t="n">
        <v>16.7</v>
      </c>
      <c r="H318" t="n">
        <v>0</v>
      </c>
      <c r="I318" t="n">
        <v>0</v>
      </c>
      <c r="J318" t="n">
        <v>0</v>
      </c>
      <c r="K318" t="n">
        <v>0</v>
      </c>
      <c r="L318" t="n">
        <v>0</v>
      </c>
      <c r="M318" t="n">
        <v>0</v>
      </c>
      <c r="N318" t="n">
        <v>0</v>
      </c>
      <c r="O318" t="n">
        <v>0</v>
      </c>
      <c r="P318" t="n">
        <v>0</v>
      </c>
      <c r="Q318" t="n">
        <v>0</v>
      </c>
      <c r="R318" s="2" t="inlineStr"/>
    </row>
    <row r="319" ht="15" customHeight="1">
      <c r="A319" t="inlineStr">
        <is>
          <t>A 33266-2024</t>
        </is>
      </c>
      <c r="B319" s="1" t="n">
        <v>45518</v>
      </c>
      <c r="C319" s="1" t="n">
        <v>46035</v>
      </c>
      <c r="D319" t="inlineStr">
        <is>
          <t>SKÅNE LÄN</t>
        </is>
      </c>
      <c r="E319" t="inlineStr">
        <is>
          <t>HÄSSLEHOLM</t>
        </is>
      </c>
      <c r="G319" t="n">
        <v>3.2</v>
      </c>
      <c r="H319" t="n">
        <v>0</v>
      </c>
      <c r="I319" t="n">
        <v>0</v>
      </c>
      <c r="J319" t="n">
        <v>0</v>
      </c>
      <c r="K319" t="n">
        <v>0</v>
      </c>
      <c r="L319" t="n">
        <v>0</v>
      </c>
      <c r="M319" t="n">
        <v>0</v>
      </c>
      <c r="N319" t="n">
        <v>0</v>
      </c>
      <c r="O319" t="n">
        <v>0</v>
      </c>
      <c r="P319" t="n">
        <v>0</v>
      </c>
      <c r="Q319" t="n">
        <v>0</v>
      </c>
      <c r="R319" s="2" t="inlineStr"/>
    </row>
    <row r="320" ht="15" customHeight="1">
      <c r="A320" t="inlineStr">
        <is>
          <t>A 25057-2024</t>
        </is>
      </c>
      <c r="B320" s="1" t="n">
        <v>45462</v>
      </c>
      <c r="C320" s="1" t="n">
        <v>46035</v>
      </c>
      <c r="D320" t="inlineStr">
        <is>
          <t>SKÅNE LÄN</t>
        </is>
      </c>
      <c r="E320" t="inlineStr">
        <is>
          <t>HÄSSLEHOLM</t>
        </is>
      </c>
      <c r="G320" t="n">
        <v>4.3</v>
      </c>
      <c r="H320" t="n">
        <v>0</v>
      </c>
      <c r="I320" t="n">
        <v>0</v>
      </c>
      <c r="J320" t="n">
        <v>0</v>
      </c>
      <c r="K320" t="n">
        <v>0</v>
      </c>
      <c r="L320" t="n">
        <v>0</v>
      </c>
      <c r="M320" t="n">
        <v>0</v>
      </c>
      <c r="N320" t="n">
        <v>0</v>
      </c>
      <c r="O320" t="n">
        <v>0</v>
      </c>
      <c r="P320" t="n">
        <v>0</v>
      </c>
      <c r="Q320" t="n">
        <v>0</v>
      </c>
      <c r="R320" s="2" t="inlineStr"/>
    </row>
    <row r="321" ht="15" customHeight="1">
      <c r="A321" t="inlineStr">
        <is>
          <t>A 39934-2025</t>
        </is>
      </c>
      <c r="B321" s="1" t="n">
        <v>45891.71465277778</v>
      </c>
      <c r="C321" s="1" t="n">
        <v>46035</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56386-2023</t>
        </is>
      </c>
      <c r="B322" s="1" t="n">
        <v>45243</v>
      </c>
      <c r="C322" s="1" t="n">
        <v>46035</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10028-2024</t>
        </is>
      </c>
      <c r="B323" s="1" t="n">
        <v>45363.97292824074</v>
      </c>
      <c r="C323" s="1" t="n">
        <v>46035</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39937-2025</t>
        </is>
      </c>
      <c r="B324" s="1" t="n">
        <v>45891.73162037037</v>
      </c>
      <c r="C324" s="1" t="n">
        <v>46035</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61158-2022</t>
        </is>
      </c>
      <c r="B325" s="1" t="n">
        <v>44915.47112268519</v>
      </c>
      <c r="C325" s="1" t="n">
        <v>46035</v>
      </c>
      <c r="D325" t="inlineStr">
        <is>
          <t>SKÅNE LÄN</t>
        </is>
      </c>
      <c r="E325" t="inlineStr">
        <is>
          <t>HÄSSLEHOLM</t>
        </is>
      </c>
      <c r="G325" t="n">
        <v>8.4</v>
      </c>
      <c r="H325" t="n">
        <v>0</v>
      </c>
      <c r="I325" t="n">
        <v>0</v>
      </c>
      <c r="J325" t="n">
        <v>0</v>
      </c>
      <c r="K325" t="n">
        <v>0</v>
      </c>
      <c r="L325" t="n">
        <v>0</v>
      </c>
      <c r="M325" t="n">
        <v>0</v>
      </c>
      <c r="N325" t="n">
        <v>0</v>
      </c>
      <c r="O325" t="n">
        <v>0</v>
      </c>
      <c r="P325" t="n">
        <v>0</v>
      </c>
      <c r="Q325" t="n">
        <v>0</v>
      </c>
      <c r="R325" s="2" t="inlineStr"/>
    </row>
    <row r="326" ht="15" customHeight="1">
      <c r="A326" t="inlineStr">
        <is>
          <t>A 9555-2025</t>
        </is>
      </c>
      <c r="B326" s="1" t="n">
        <v>45714</v>
      </c>
      <c r="C326" s="1" t="n">
        <v>46035</v>
      </c>
      <c r="D326" t="inlineStr">
        <is>
          <t>SKÅNE LÄN</t>
        </is>
      </c>
      <c r="E326" t="inlineStr">
        <is>
          <t>HÄSSLEHOLM</t>
        </is>
      </c>
      <c r="G326" t="n">
        <v>5.4</v>
      </c>
      <c r="H326" t="n">
        <v>0</v>
      </c>
      <c r="I326" t="n">
        <v>0</v>
      </c>
      <c r="J326" t="n">
        <v>0</v>
      </c>
      <c r="K326" t="n">
        <v>0</v>
      </c>
      <c r="L326" t="n">
        <v>0</v>
      </c>
      <c r="M326" t="n">
        <v>0</v>
      </c>
      <c r="N326" t="n">
        <v>0</v>
      </c>
      <c r="O326" t="n">
        <v>0</v>
      </c>
      <c r="P326" t="n">
        <v>0</v>
      </c>
      <c r="Q326" t="n">
        <v>0</v>
      </c>
      <c r="R326" s="2" t="inlineStr"/>
    </row>
    <row r="327" ht="15" customHeight="1">
      <c r="A327" t="inlineStr">
        <is>
          <t>A 2490-2024</t>
        </is>
      </c>
      <c r="B327" s="1" t="n">
        <v>45313.43649305555</v>
      </c>
      <c r="C327" s="1" t="n">
        <v>46035</v>
      </c>
      <c r="D327" t="inlineStr">
        <is>
          <t>SKÅNE LÄN</t>
        </is>
      </c>
      <c r="E327" t="inlineStr">
        <is>
          <t>HÄSSLEHOLM</t>
        </is>
      </c>
      <c r="G327" t="n">
        <v>4</v>
      </c>
      <c r="H327" t="n">
        <v>0</v>
      </c>
      <c r="I327" t="n">
        <v>0</v>
      </c>
      <c r="J327" t="n">
        <v>0</v>
      </c>
      <c r="K327" t="n">
        <v>0</v>
      </c>
      <c r="L327" t="n">
        <v>0</v>
      </c>
      <c r="M327" t="n">
        <v>0</v>
      </c>
      <c r="N327" t="n">
        <v>0</v>
      </c>
      <c r="O327" t="n">
        <v>0</v>
      </c>
      <c r="P327" t="n">
        <v>0</v>
      </c>
      <c r="Q327" t="n">
        <v>0</v>
      </c>
      <c r="R327" s="2" t="inlineStr"/>
    </row>
    <row r="328" ht="15" customHeight="1">
      <c r="A328" t="inlineStr">
        <is>
          <t>A 12468-2024</t>
        </is>
      </c>
      <c r="B328" s="1" t="n">
        <v>45379</v>
      </c>
      <c r="C328" s="1" t="n">
        <v>46035</v>
      </c>
      <c r="D328" t="inlineStr">
        <is>
          <t>SKÅNE LÄN</t>
        </is>
      </c>
      <c r="E328" t="inlineStr">
        <is>
          <t>HÄSSLEHOLM</t>
        </is>
      </c>
      <c r="G328" t="n">
        <v>15.5</v>
      </c>
      <c r="H328" t="n">
        <v>0</v>
      </c>
      <c r="I328" t="n">
        <v>0</v>
      </c>
      <c r="J328" t="n">
        <v>0</v>
      </c>
      <c r="K328" t="n">
        <v>0</v>
      </c>
      <c r="L328" t="n">
        <v>0</v>
      </c>
      <c r="M328" t="n">
        <v>0</v>
      </c>
      <c r="N328" t="n">
        <v>0</v>
      </c>
      <c r="O328" t="n">
        <v>0</v>
      </c>
      <c r="P328" t="n">
        <v>0</v>
      </c>
      <c r="Q328" t="n">
        <v>0</v>
      </c>
      <c r="R328" s="2" t="inlineStr"/>
    </row>
    <row r="329" ht="15" customHeight="1">
      <c r="A329" t="inlineStr">
        <is>
          <t>A 50244-2024</t>
        </is>
      </c>
      <c r="B329" s="1" t="n">
        <v>45600.56502314815</v>
      </c>
      <c r="C329" s="1" t="n">
        <v>46035</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40241-2025</t>
        </is>
      </c>
      <c r="B330" s="1" t="n">
        <v>45894.87251157407</v>
      </c>
      <c r="C330" s="1" t="n">
        <v>46035</v>
      </c>
      <c r="D330" t="inlineStr">
        <is>
          <t>SKÅNE LÄN</t>
        </is>
      </c>
      <c r="E330" t="inlineStr">
        <is>
          <t>HÄSSLEHOLM</t>
        </is>
      </c>
      <c r="G330" t="n">
        <v>3.8</v>
      </c>
      <c r="H330" t="n">
        <v>0</v>
      </c>
      <c r="I330" t="n">
        <v>0</v>
      </c>
      <c r="J330" t="n">
        <v>0</v>
      </c>
      <c r="K330" t="n">
        <v>0</v>
      </c>
      <c r="L330" t="n">
        <v>0</v>
      </c>
      <c r="M330" t="n">
        <v>0</v>
      </c>
      <c r="N330" t="n">
        <v>0</v>
      </c>
      <c r="O330" t="n">
        <v>0</v>
      </c>
      <c r="P330" t="n">
        <v>0</v>
      </c>
      <c r="Q330" t="n">
        <v>0</v>
      </c>
      <c r="R330" s="2" t="inlineStr"/>
    </row>
    <row r="331" ht="15" customHeight="1">
      <c r="A331" t="inlineStr">
        <is>
          <t>A 9924-2025</t>
        </is>
      </c>
      <c r="B331" s="1" t="n">
        <v>45717.72505787037</v>
      </c>
      <c r="C331" s="1" t="n">
        <v>46035</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4009-2024</t>
        </is>
      </c>
      <c r="B332" s="1" t="n">
        <v>45323</v>
      </c>
      <c r="C332" s="1" t="n">
        <v>46035</v>
      </c>
      <c r="D332" t="inlineStr">
        <is>
          <t>SKÅNE LÄN</t>
        </is>
      </c>
      <c r="E332" t="inlineStr">
        <is>
          <t>HÄSSLEHOLM</t>
        </is>
      </c>
      <c r="G332" t="n">
        <v>2.4</v>
      </c>
      <c r="H332" t="n">
        <v>0</v>
      </c>
      <c r="I332" t="n">
        <v>0</v>
      </c>
      <c r="J332" t="n">
        <v>0</v>
      </c>
      <c r="K332" t="n">
        <v>0</v>
      </c>
      <c r="L332" t="n">
        <v>0</v>
      </c>
      <c r="M332" t="n">
        <v>0</v>
      </c>
      <c r="N332" t="n">
        <v>0</v>
      </c>
      <c r="O332" t="n">
        <v>0</v>
      </c>
      <c r="P332" t="n">
        <v>0</v>
      </c>
      <c r="Q332" t="n">
        <v>0</v>
      </c>
      <c r="R332" s="2" t="inlineStr"/>
    </row>
    <row r="333" ht="15" customHeight="1">
      <c r="A333" t="inlineStr">
        <is>
          <t>A 60848-2022</t>
        </is>
      </c>
      <c r="B333" s="1" t="n">
        <v>44914</v>
      </c>
      <c r="C333" s="1" t="n">
        <v>46035</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13007-2024</t>
        </is>
      </c>
      <c r="B334" s="1" t="n">
        <v>45385.57092592592</v>
      </c>
      <c r="C334" s="1" t="n">
        <v>46035</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23007-2025</t>
        </is>
      </c>
      <c r="B335" s="1" t="n">
        <v>45790</v>
      </c>
      <c r="C335" s="1" t="n">
        <v>46035</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57649-2022</t>
        </is>
      </c>
      <c r="B336" s="1" t="n">
        <v>44897.42755787037</v>
      </c>
      <c r="C336" s="1" t="n">
        <v>46035</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7221-2025</t>
        </is>
      </c>
      <c r="B337" s="1" t="n">
        <v>45701</v>
      </c>
      <c r="C337" s="1" t="n">
        <v>46035</v>
      </c>
      <c r="D337" t="inlineStr">
        <is>
          <t>SKÅNE LÄN</t>
        </is>
      </c>
      <c r="E337" t="inlineStr">
        <is>
          <t>HÄSSLEHOLM</t>
        </is>
      </c>
      <c r="G337" t="n">
        <v>1.8</v>
      </c>
      <c r="H337" t="n">
        <v>0</v>
      </c>
      <c r="I337" t="n">
        <v>0</v>
      </c>
      <c r="J337" t="n">
        <v>0</v>
      </c>
      <c r="K337" t="n">
        <v>0</v>
      </c>
      <c r="L337" t="n">
        <v>0</v>
      </c>
      <c r="M337" t="n">
        <v>0</v>
      </c>
      <c r="N337" t="n">
        <v>0</v>
      </c>
      <c r="O337" t="n">
        <v>0</v>
      </c>
      <c r="P337" t="n">
        <v>0</v>
      </c>
      <c r="Q337" t="n">
        <v>0</v>
      </c>
      <c r="R337" s="2" t="inlineStr"/>
    </row>
    <row r="338" ht="15" customHeight="1">
      <c r="A338" t="inlineStr">
        <is>
          <t>A 57665-2022</t>
        </is>
      </c>
      <c r="B338" s="1" t="n">
        <v>44897.4494212963</v>
      </c>
      <c r="C338" s="1" t="n">
        <v>46035</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57676-2022</t>
        </is>
      </c>
      <c r="B339" s="1" t="n">
        <v>44897</v>
      </c>
      <c r="C339" s="1" t="n">
        <v>46035</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74030-2021</t>
        </is>
      </c>
      <c r="B340" s="1" t="n">
        <v>44553</v>
      </c>
      <c r="C340" s="1" t="n">
        <v>46035</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27606-2024</t>
        </is>
      </c>
      <c r="B341" s="1" t="n">
        <v>45474</v>
      </c>
      <c r="C341" s="1" t="n">
        <v>46035</v>
      </c>
      <c r="D341" t="inlineStr">
        <is>
          <t>SKÅNE LÄN</t>
        </is>
      </c>
      <c r="E341" t="inlineStr">
        <is>
          <t>HÄSSLEHOLM</t>
        </is>
      </c>
      <c r="G341" t="n">
        <v>3.6</v>
      </c>
      <c r="H341" t="n">
        <v>0</v>
      </c>
      <c r="I341" t="n">
        <v>0</v>
      </c>
      <c r="J341" t="n">
        <v>0</v>
      </c>
      <c r="K341" t="n">
        <v>0</v>
      </c>
      <c r="L341" t="n">
        <v>0</v>
      </c>
      <c r="M341" t="n">
        <v>0</v>
      </c>
      <c r="N341" t="n">
        <v>0</v>
      </c>
      <c r="O341" t="n">
        <v>0</v>
      </c>
      <c r="P341" t="n">
        <v>0</v>
      </c>
      <c r="Q341" t="n">
        <v>0</v>
      </c>
      <c r="R341" s="2" t="inlineStr"/>
    </row>
    <row r="342" ht="15" customHeight="1">
      <c r="A342" t="inlineStr">
        <is>
          <t>A 56735-2024</t>
        </is>
      </c>
      <c r="B342" s="1" t="n">
        <v>45628.36234953703</v>
      </c>
      <c r="C342" s="1" t="n">
        <v>46035</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2621-2025</t>
        </is>
      </c>
      <c r="B343" s="1" t="n">
        <v>45675.60765046296</v>
      </c>
      <c r="C343" s="1" t="n">
        <v>46035</v>
      </c>
      <c r="D343" t="inlineStr">
        <is>
          <t>SKÅNE LÄN</t>
        </is>
      </c>
      <c r="E343" t="inlineStr">
        <is>
          <t>HÄSSLEHOLM</t>
        </is>
      </c>
      <c r="F343" t="inlineStr">
        <is>
          <t>Kommuner</t>
        </is>
      </c>
      <c r="G343" t="n">
        <v>3</v>
      </c>
      <c r="H343" t="n">
        <v>0</v>
      </c>
      <c r="I343" t="n">
        <v>0</v>
      </c>
      <c r="J343" t="n">
        <v>0</v>
      </c>
      <c r="K343" t="n">
        <v>0</v>
      </c>
      <c r="L343" t="n">
        <v>0</v>
      </c>
      <c r="M343" t="n">
        <v>0</v>
      </c>
      <c r="N343" t="n">
        <v>0</v>
      </c>
      <c r="O343" t="n">
        <v>0</v>
      </c>
      <c r="P343" t="n">
        <v>0</v>
      </c>
      <c r="Q343" t="n">
        <v>0</v>
      </c>
      <c r="R343" s="2" t="inlineStr"/>
    </row>
    <row r="344" ht="15" customHeight="1">
      <c r="A344" t="inlineStr">
        <is>
          <t>A 54671-2022</t>
        </is>
      </c>
      <c r="B344" s="1" t="n">
        <v>44883</v>
      </c>
      <c r="C344" s="1" t="n">
        <v>46035</v>
      </c>
      <c r="D344" t="inlineStr">
        <is>
          <t>SKÅNE LÄN</t>
        </is>
      </c>
      <c r="E344" t="inlineStr">
        <is>
          <t>HÄSSLEHOLM</t>
        </is>
      </c>
      <c r="G344" t="n">
        <v>1.4</v>
      </c>
      <c r="H344" t="n">
        <v>0</v>
      </c>
      <c r="I344" t="n">
        <v>0</v>
      </c>
      <c r="J344" t="n">
        <v>0</v>
      </c>
      <c r="K344" t="n">
        <v>0</v>
      </c>
      <c r="L344" t="n">
        <v>0</v>
      </c>
      <c r="M344" t="n">
        <v>0</v>
      </c>
      <c r="N344" t="n">
        <v>0</v>
      </c>
      <c r="O344" t="n">
        <v>0</v>
      </c>
      <c r="P344" t="n">
        <v>0</v>
      </c>
      <c r="Q344" t="n">
        <v>0</v>
      </c>
      <c r="R344" s="2" t="inlineStr"/>
    </row>
    <row r="345" ht="15" customHeight="1">
      <c r="A345" t="inlineStr">
        <is>
          <t>A 53887-2023</t>
        </is>
      </c>
      <c r="B345" s="1" t="n">
        <v>45231.52675925926</v>
      </c>
      <c r="C345" s="1" t="n">
        <v>46035</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49167-2022</t>
        </is>
      </c>
      <c r="B346" s="1" t="n">
        <v>44860</v>
      </c>
      <c r="C346" s="1" t="n">
        <v>46035</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28071-2023</t>
        </is>
      </c>
      <c r="B347" s="1" t="n">
        <v>45099.37755787037</v>
      </c>
      <c r="C347" s="1" t="n">
        <v>46035</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23005-2025</t>
        </is>
      </c>
      <c r="B348" s="1" t="n">
        <v>45790</v>
      </c>
      <c r="C348" s="1" t="n">
        <v>46035</v>
      </c>
      <c r="D348" t="inlineStr">
        <is>
          <t>SKÅNE LÄN</t>
        </is>
      </c>
      <c r="E348" t="inlineStr">
        <is>
          <t>HÄSSLEHOLM</t>
        </is>
      </c>
      <c r="G348" t="n">
        <v>0.3</v>
      </c>
      <c r="H348" t="n">
        <v>0</v>
      </c>
      <c r="I348" t="n">
        <v>0</v>
      </c>
      <c r="J348" t="n">
        <v>0</v>
      </c>
      <c r="K348" t="n">
        <v>0</v>
      </c>
      <c r="L348" t="n">
        <v>0</v>
      </c>
      <c r="M348" t="n">
        <v>0</v>
      </c>
      <c r="N348" t="n">
        <v>0</v>
      </c>
      <c r="O348" t="n">
        <v>0</v>
      </c>
      <c r="P348" t="n">
        <v>0</v>
      </c>
      <c r="Q348" t="n">
        <v>0</v>
      </c>
      <c r="R348" s="2" t="inlineStr"/>
    </row>
    <row r="349" ht="15" customHeight="1">
      <c r="A349" t="inlineStr">
        <is>
          <t>A 8737-2025</t>
        </is>
      </c>
      <c r="B349" s="1" t="n">
        <v>45712.54578703704</v>
      </c>
      <c r="C349" s="1" t="n">
        <v>46035</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3507-2024</t>
        </is>
      </c>
      <c r="B350" s="1" t="n">
        <v>45320.4906712963</v>
      </c>
      <c r="C350" s="1" t="n">
        <v>46035</v>
      </c>
      <c r="D350" t="inlineStr">
        <is>
          <t>SKÅNE LÄN</t>
        </is>
      </c>
      <c r="E350" t="inlineStr">
        <is>
          <t>HÄSSLEHOLM</t>
        </is>
      </c>
      <c r="G350" t="n">
        <v>6.4</v>
      </c>
      <c r="H350" t="n">
        <v>0</v>
      </c>
      <c r="I350" t="n">
        <v>0</v>
      </c>
      <c r="J350" t="n">
        <v>0</v>
      </c>
      <c r="K350" t="n">
        <v>0</v>
      </c>
      <c r="L350" t="n">
        <v>0</v>
      </c>
      <c r="M350" t="n">
        <v>0</v>
      </c>
      <c r="N350" t="n">
        <v>0</v>
      </c>
      <c r="O350" t="n">
        <v>0</v>
      </c>
      <c r="P350" t="n">
        <v>0</v>
      </c>
      <c r="Q350" t="n">
        <v>0</v>
      </c>
      <c r="R350" s="2" t="inlineStr"/>
    </row>
    <row r="351" ht="15" customHeight="1">
      <c r="A351" t="inlineStr">
        <is>
          <t>A 4119-2024</t>
        </is>
      </c>
      <c r="B351" s="1" t="n">
        <v>45323.67920138889</v>
      </c>
      <c r="C351" s="1" t="n">
        <v>46035</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22587-2025</t>
        </is>
      </c>
      <c r="B352" s="1" t="n">
        <v>45789.39974537037</v>
      </c>
      <c r="C352" s="1" t="n">
        <v>46035</v>
      </c>
      <c r="D352" t="inlineStr">
        <is>
          <t>SKÅNE LÄN</t>
        </is>
      </c>
      <c r="E352" t="inlineStr">
        <is>
          <t>HÄSSLEHOLM</t>
        </is>
      </c>
      <c r="G352" t="n">
        <v>5.7</v>
      </c>
      <c r="H352" t="n">
        <v>0</v>
      </c>
      <c r="I352" t="n">
        <v>0</v>
      </c>
      <c r="J352" t="n">
        <v>0</v>
      </c>
      <c r="K352" t="n">
        <v>0</v>
      </c>
      <c r="L352" t="n">
        <v>0</v>
      </c>
      <c r="M352" t="n">
        <v>0</v>
      </c>
      <c r="N352" t="n">
        <v>0</v>
      </c>
      <c r="O352" t="n">
        <v>0</v>
      </c>
      <c r="P352" t="n">
        <v>0</v>
      </c>
      <c r="Q352" t="n">
        <v>0</v>
      </c>
      <c r="R352" s="2" t="inlineStr"/>
    </row>
    <row r="353" ht="15" customHeight="1">
      <c r="A353" t="inlineStr">
        <is>
          <t>A 22592-2025</t>
        </is>
      </c>
      <c r="B353" s="1" t="n">
        <v>45789.40502314815</v>
      </c>
      <c r="C353" s="1" t="n">
        <v>46035</v>
      </c>
      <c r="D353" t="inlineStr">
        <is>
          <t>SKÅNE LÄN</t>
        </is>
      </c>
      <c r="E353" t="inlineStr">
        <is>
          <t>HÄSSLEHOLM</t>
        </is>
      </c>
      <c r="G353" t="n">
        <v>7.1</v>
      </c>
      <c r="H353" t="n">
        <v>0</v>
      </c>
      <c r="I353" t="n">
        <v>0</v>
      </c>
      <c r="J353" t="n">
        <v>0</v>
      </c>
      <c r="K353" t="n">
        <v>0</v>
      </c>
      <c r="L353" t="n">
        <v>0</v>
      </c>
      <c r="M353" t="n">
        <v>0</v>
      </c>
      <c r="N353" t="n">
        <v>0</v>
      </c>
      <c r="O353" t="n">
        <v>0</v>
      </c>
      <c r="P353" t="n">
        <v>0</v>
      </c>
      <c r="Q353" t="n">
        <v>0</v>
      </c>
      <c r="R353" s="2" t="inlineStr"/>
    </row>
    <row r="354" ht="15" customHeight="1">
      <c r="A354" t="inlineStr">
        <is>
          <t>A 48877-2024</t>
        </is>
      </c>
      <c r="B354" s="1" t="n">
        <v>45594.31729166667</v>
      </c>
      <c r="C354" s="1" t="n">
        <v>46035</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47647-2024</t>
        </is>
      </c>
      <c r="B355" s="1" t="n">
        <v>45588</v>
      </c>
      <c r="C355" s="1" t="n">
        <v>46035</v>
      </c>
      <c r="D355" t="inlineStr">
        <is>
          <t>SKÅNE LÄN</t>
        </is>
      </c>
      <c r="E355" t="inlineStr">
        <is>
          <t>HÄSSLEHOLM</t>
        </is>
      </c>
      <c r="G355" t="n">
        <v>6.5</v>
      </c>
      <c r="H355" t="n">
        <v>0</v>
      </c>
      <c r="I355" t="n">
        <v>0</v>
      </c>
      <c r="J355" t="n">
        <v>0</v>
      </c>
      <c r="K355" t="n">
        <v>0</v>
      </c>
      <c r="L355" t="n">
        <v>0</v>
      </c>
      <c r="M355" t="n">
        <v>0</v>
      </c>
      <c r="N355" t="n">
        <v>0</v>
      </c>
      <c r="O355" t="n">
        <v>0</v>
      </c>
      <c r="P355" t="n">
        <v>0</v>
      </c>
      <c r="Q355" t="n">
        <v>0</v>
      </c>
      <c r="R355" s="2" t="inlineStr"/>
    </row>
    <row r="356" ht="15" customHeight="1">
      <c r="A356" t="inlineStr">
        <is>
          <t>A 1619-2022</t>
        </is>
      </c>
      <c r="B356" s="1" t="n">
        <v>44573</v>
      </c>
      <c r="C356" s="1" t="n">
        <v>46035</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17171-2025</t>
        </is>
      </c>
      <c r="B357" s="1" t="n">
        <v>45755</v>
      </c>
      <c r="C357" s="1" t="n">
        <v>46035</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13954-2023</t>
        </is>
      </c>
      <c r="B358" s="1" t="n">
        <v>45008</v>
      </c>
      <c r="C358" s="1" t="n">
        <v>46035</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51018-2023</t>
        </is>
      </c>
      <c r="B359" s="1" t="n">
        <v>45218</v>
      </c>
      <c r="C359" s="1" t="n">
        <v>46035</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40152-2024</t>
        </is>
      </c>
      <c r="B360" s="1" t="n">
        <v>45554</v>
      </c>
      <c r="C360" s="1" t="n">
        <v>46035</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31254-2024</t>
        </is>
      </c>
      <c r="B361" s="1" t="n">
        <v>45503</v>
      </c>
      <c r="C361" s="1" t="n">
        <v>46035</v>
      </c>
      <c r="D361" t="inlineStr">
        <is>
          <t>SKÅNE LÄN</t>
        </is>
      </c>
      <c r="E361" t="inlineStr">
        <is>
          <t>HÄSSLEHOLM</t>
        </is>
      </c>
      <c r="G361" t="n">
        <v>2.2</v>
      </c>
      <c r="H361" t="n">
        <v>0</v>
      </c>
      <c r="I361" t="n">
        <v>0</v>
      </c>
      <c r="J361" t="n">
        <v>0</v>
      </c>
      <c r="K361" t="n">
        <v>0</v>
      </c>
      <c r="L361" t="n">
        <v>0</v>
      </c>
      <c r="M361" t="n">
        <v>0</v>
      </c>
      <c r="N361" t="n">
        <v>0</v>
      </c>
      <c r="O361" t="n">
        <v>0</v>
      </c>
      <c r="P361" t="n">
        <v>0</v>
      </c>
      <c r="Q361" t="n">
        <v>0</v>
      </c>
      <c r="R361" s="2" t="inlineStr"/>
    </row>
    <row r="362" ht="15" customHeight="1">
      <c r="A362" t="inlineStr">
        <is>
          <t>A 27825-2024</t>
        </is>
      </c>
      <c r="B362" s="1" t="n">
        <v>45475</v>
      </c>
      <c r="C362" s="1" t="n">
        <v>46035</v>
      </c>
      <c r="D362" t="inlineStr">
        <is>
          <t>SKÅNE LÄN</t>
        </is>
      </c>
      <c r="E362" t="inlineStr">
        <is>
          <t>HÄSSLEHOLM</t>
        </is>
      </c>
      <c r="F362" t="inlineStr">
        <is>
          <t>Kommuner</t>
        </is>
      </c>
      <c r="G362" t="n">
        <v>1.1</v>
      </c>
      <c r="H362" t="n">
        <v>0</v>
      </c>
      <c r="I362" t="n">
        <v>0</v>
      </c>
      <c r="J362" t="n">
        <v>0</v>
      </c>
      <c r="K362" t="n">
        <v>0</v>
      </c>
      <c r="L362" t="n">
        <v>0</v>
      </c>
      <c r="M362" t="n">
        <v>0</v>
      </c>
      <c r="N362" t="n">
        <v>0</v>
      </c>
      <c r="O362" t="n">
        <v>0</v>
      </c>
      <c r="P362" t="n">
        <v>0</v>
      </c>
      <c r="Q362" t="n">
        <v>0</v>
      </c>
      <c r="R362" s="2" t="inlineStr"/>
    </row>
    <row r="363" ht="15" customHeight="1">
      <c r="A363" t="inlineStr">
        <is>
          <t>A 37764-2022</t>
        </is>
      </c>
      <c r="B363" s="1" t="n">
        <v>44810</v>
      </c>
      <c r="C363" s="1" t="n">
        <v>46035</v>
      </c>
      <c r="D363" t="inlineStr">
        <is>
          <t>SKÅNE LÄN</t>
        </is>
      </c>
      <c r="E363" t="inlineStr">
        <is>
          <t>HÄSSLEHOLM</t>
        </is>
      </c>
      <c r="F363" t="inlineStr">
        <is>
          <t>Kyrkan</t>
        </is>
      </c>
      <c r="G363" t="n">
        <v>9.4</v>
      </c>
      <c r="H363" t="n">
        <v>0</v>
      </c>
      <c r="I363" t="n">
        <v>0</v>
      </c>
      <c r="J363" t="n">
        <v>0</v>
      </c>
      <c r="K363" t="n">
        <v>0</v>
      </c>
      <c r="L363" t="n">
        <v>0</v>
      </c>
      <c r="M363" t="n">
        <v>0</v>
      </c>
      <c r="N363" t="n">
        <v>0</v>
      </c>
      <c r="O363" t="n">
        <v>0</v>
      </c>
      <c r="P363" t="n">
        <v>0</v>
      </c>
      <c r="Q363" t="n">
        <v>0</v>
      </c>
      <c r="R363" s="2" t="inlineStr"/>
    </row>
    <row r="364" ht="15" customHeight="1">
      <c r="A364" t="inlineStr">
        <is>
          <t>A 22132-2024</t>
        </is>
      </c>
      <c r="B364" s="1" t="n">
        <v>45444.37234953704</v>
      </c>
      <c r="C364" s="1" t="n">
        <v>46035</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54171-2022</t>
        </is>
      </c>
      <c r="B365" s="1" t="n">
        <v>44881</v>
      </c>
      <c r="C365" s="1" t="n">
        <v>46035</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41400-2025</t>
        </is>
      </c>
      <c r="B366" s="1" t="n">
        <v>45901</v>
      </c>
      <c r="C366" s="1" t="n">
        <v>46035</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3245-2022</t>
        </is>
      </c>
      <c r="B367" s="1" t="n">
        <v>44583.39136574074</v>
      </c>
      <c r="C367" s="1" t="n">
        <v>46035</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37486-2024</t>
        </is>
      </c>
      <c r="B368" s="1" t="n">
        <v>45541</v>
      </c>
      <c r="C368" s="1" t="n">
        <v>46035</v>
      </c>
      <c r="D368" t="inlineStr">
        <is>
          <t>SKÅNE LÄN</t>
        </is>
      </c>
      <c r="E368" t="inlineStr">
        <is>
          <t>HÄSSLEHOLM</t>
        </is>
      </c>
      <c r="G368" t="n">
        <v>8.5</v>
      </c>
      <c r="H368" t="n">
        <v>0</v>
      </c>
      <c r="I368" t="n">
        <v>0</v>
      </c>
      <c r="J368" t="n">
        <v>0</v>
      </c>
      <c r="K368" t="n">
        <v>0</v>
      </c>
      <c r="L368" t="n">
        <v>0</v>
      </c>
      <c r="M368" t="n">
        <v>0</v>
      </c>
      <c r="N368" t="n">
        <v>0</v>
      </c>
      <c r="O368" t="n">
        <v>0</v>
      </c>
      <c r="P368" t="n">
        <v>0</v>
      </c>
      <c r="Q368" t="n">
        <v>0</v>
      </c>
      <c r="R368" s="2" t="inlineStr"/>
    </row>
    <row r="369" ht="15" customHeight="1">
      <c r="A369" t="inlineStr">
        <is>
          <t>A 44838-2023</t>
        </is>
      </c>
      <c r="B369" s="1" t="n">
        <v>45190</v>
      </c>
      <c r="C369" s="1" t="n">
        <v>46035</v>
      </c>
      <c r="D369" t="inlineStr">
        <is>
          <t>SKÅNE LÄN</t>
        </is>
      </c>
      <c r="E369" t="inlineStr">
        <is>
          <t>HÄSSLEHOLM</t>
        </is>
      </c>
      <c r="F369" t="inlineStr">
        <is>
          <t>Kommuner</t>
        </is>
      </c>
      <c r="G369" t="n">
        <v>2</v>
      </c>
      <c r="H369" t="n">
        <v>0</v>
      </c>
      <c r="I369" t="n">
        <v>0</v>
      </c>
      <c r="J369" t="n">
        <v>0</v>
      </c>
      <c r="K369" t="n">
        <v>0</v>
      </c>
      <c r="L369" t="n">
        <v>0</v>
      </c>
      <c r="M369" t="n">
        <v>0</v>
      </c>
      <c r="N369" t="n">
        <v>0</v>
      </c>
      <c r="O369" t="n">
        <v>0</v>
      </c>
      <c r="P369" t="n">
        <v>0</v>
      </c>
      <c r="Q369" t="n">
        <v>0</v>
      </c>
      <c r="R369" s="2" t="inlineStr"/>
    </row>
    <row r="370" ht="15" customHeight="1">
      <c r="A370" t="inlineStr">
        <is>
          <t>A 41401-2025</t>
        </is>
      </c>
      <c r="B370" s="1" t="n">
        <v>45901</v>
      </c>
      <c r="C370" s="1" t="n">
        <v>46035</v>
      </c>
      <c r="D370" t="inlineStr">
        <is>
          <t>SKÅNE LÄN</t>
        </is>
      </c>
      <c r="E370" t="inlineStr">
        <is>
          <t>HÄSSLEHOLM</t>
        </is>
      </c>
      <c r="G370" t="n">
        <v>0.4</v>
      </c>
      <c r="H370" t="n">
        <v>0</v>
      </c>
      <c r="I370" t="n">
        <v>0</v>
      </c>
      <c r="J370" t="n">
        <v>0</v>
      </c>
      <c r="K370" t="n">
        <v>0</v>
      </c>
      <c r="L370" t="n">
        <v>0</v>
      </c>
      <c r="M370" t="n">
        <v>0</v>
      </c>
      <c r="N370" t="n">
        <v>0</v>
      </c>
      <c r="O370" t="n">
        <v>0</v>
      </c>
      <c r="P370" t="n">
        <v>0</v>
      </c>
      <c r="Q370" t="n">
        <v>0</v>
      </c>
      <c r="R370" s="2" t="inlineStr"/>
    </row>
    <row r="371" ht="15" customHeight="1">
      <c r="A371" t="inlineStr">
        <is>
          <t>A 31255-2024</t>
        </is>
      </c>
      <c r="B371" s="1" t="n">
        <v>45503.69114583333</v>
      </c>
      <c r="C371" s="1" t="n">
        <v>46035</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15072-2024</t>
        </is>
      </c>
      <c r="B372" s="1" t="n">
        <v>45399.5996875</v>
      </c>
      <c r="C372" s="1" t="n">
        <v>46035</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4787-2023</t>
        </is>
      </c>
      <c r="B373" s="1" t="n">
        <v>44957.60079861111</v>
      </c>
      <c r="C373" s="1" t="n">
        <v>46035</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4788-2023</t>
        </is>
      </c>
      <c r="B374" s="1" t="n">
        <v>44957.60130787037</v>
      </c>
      <c r="C374" s="1" t="n">
        <v>46035</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16930-2024</t>
        </is>
      </c>
      <c r="B375" s="1" t="n">
        <v>45411</v>
      </c>
      <c r="C375" s="1" t="n">
        <v>46035</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32210-2024</t>
        </is>
      </c>
      <c r="B376" s="1" t="n">
        <v>45511.67777777778</v>
      </c>
      <c r="C376" s="1" t="n">
        <v>46035</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11262-2025</t>
        </is>
      </c>
      <c r="B377" s="1" t="n">
        <v>45726</v>
      </c>
      <c r="C377" s="1" t="n">
        <v>46035</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5395-2024</t>
        </is>
      </c>
      <c r="B378" s="1" t="n">
        <v>45331</v>
      </c>
      <c r="C378" s="1" t="n">
        <v>46035</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59431-2023</t>
        </is>
      </c>
      <c r="B379" s="1" t="n">
        <v>45254.29207175926</v>
      </c>
      <c r="C379" s="1" t="n">
        <v>46035</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59433-2023</t>
        </is>
      </c>
      <c r="B380" s="1" t="n">
        <v>45254.29768518519</v>
      </c>
      <c r="C380" s="1" t="n">
        <v>46035</v>
      </c>
      <c r="D380" t="inlineStr">
        <is>
          <t>SKÅNE LÄN</t>
        </is>
      </c>
      <c r="E380" t="inlineStr">
        <is>
          <t>HÄSSLEHOLM</t>
        </is>
      </c>
      <c r="G380" t="n">
        <v>3.1</v>
      </c>
      <c r="H380" t="n">
        <v>0</v>
      </c>
      <c r="I380" t="n">
        <v>0</v>
      </c>
      <c r="J380" t="n">
        <v>0</v>
      </c>
      <c r="K380" t="n">
        <v>0</v>
      </c>
      <c r="L380" t="n">
        <v>0</v>
      </c>
      <c r="M380" t="n">
        <v>0</v>
      </c>
      <c r="N380" t="n">
        <v>0</v>
      </c>
      <c r="O380" t="n">
        <v>0</v>
      </c>
      <c r="P380" t="n">
        <v>0</v>
      </c>
      <c r="Q380" t="n">
        <v>0</v>
      </c>
      <c r="R380" s="2" t="inlineStr"/>
    </row>
    <row r="381" ht="15" customHeight="1">
      <c r="A381" t="inlineStr">
        <is>
          <t>A 56069-2024</t>
        </is>
      </c>
      <c r="B381" s="1" t="n">
        <v>45624.38006944444</v>
      </c>
      <c r="C381" s="1" t="n">
        <v>46035</v>
      </c>
      <c r="D381" t="inlineStr">
        <is>
          <t>SKÅNE LÄN</t>
        </is>
      </c>
      <c r="E381" t="inlineStr">
        <is>
          <t>HÄSSLEHOLM</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60797-2024</t>
        </is>
      </c>
      <c r="B382" s="1" t="n">
        <v>45644</v>
      </c>
      <c r="C382" s="1" t="n">
        <v>46035</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23864-2024</t>
        </is>
      </c>
      <c r="B383" s="1" t="n">
        <v>45455</v>
      </c>
      <c r="C383" s="1" t="n">
        <v>46035</v>
      </c>
      <c r="D383" t="inlineStr">
        <is>
          <t>SKÅNE LÄN</t>
        </is>
      </c>
      <c r="E383" t="inlineStr">
        <is>
          <t>HÄSSLEHOLM</t>
        </is>
      </c>
      <c r="G383" t="n">
        <v>6.2</v>
      </c>
      <c r="H383" t="n">
        <v>0</v>
      </c>
      <c r="I383" t="n">
        <v>0</v>
      </c>
      <c r="J383" t="n">
        <v>0</v>
      </c>
      <c r="K383" t="n">
        <v>0</v>
      </c>
      <c r="L383" t="n">
        <v>0</v>
      </c>
      <c r="M383" t="n">
        <v>0</v>
      </c>
      <c r="N383" t="n">
        <v>0</v>
      </c>
      <c r="O383" t="n">
        <v>0</v>
      </c>
      <c r="P383" t="n">
        <v>0</v>
      </c>
      <c r="Q383" t="n">
        <v>0</v>
      </c>
      <c r="R383" s="2" t="inlineStr"/>
    </row>
    <row r="384" ht="15" customHeight="1">
      <c r="A384" t="inlineStr">
        <is>
          <t>A 24034-2025</t>
        </is>
      </c>
      <c r="B384" s="1" t="n">
        <v>45796.48251157408</v>
      </c>
      <c r="C384" s="1" t="n">
        <v>46035</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54174-2022</t>
        </is>
      </c>
      <c r="B385" s="1" t="n">
        <v>44881</v>
      </c>
      <c r="C385" s="1" t="n">
        <v>46035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52235-2021</t>
        </is>
      </c>
      <c r="B386" s="1" t="n">
        <v>44463.60085648148</v>
      </c>
      <c r="C386" s="1" t="n">
        <v>46035</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53302-2022</t>
        </is>
      </c>
      <c r="B387" s="1" t="n">
        <v>44877</v>
      </c>
      <c r="C387" s="1" t="n">
        <v>46035</v>
      </c>
      <c r="D387" t="inlineStr">
        <is>
          <t>SKÅNE LÄN</t>
        </is>
      </c>
      <c r="E387" t="inlineStr">
        <is>
          <t>HÄSSLEHOLM</t>
        </is>
      </c>
      <c r="G387" t="n">
        <v>0.1</v>
      </c>
      <c r="H387" t="n">
        <v>0</v>
      </c>
      <c r="I387" t="n">
        <v>0</v>
      </c>
      <c r="J387" t="n">
        <v>0</v>
      </c>
      <c r="K387" t="n">
        <v>0</v>
      </c>
      <c r="L387" t="n">
        <v>0</v>
      </c>
      <c r="M387" t="n">
        <v>0</v>
      </c>
      <c r="N387" t="n">
        <v>0</v>
      </c>
      <c r="O387" t="n">
        <v>0</v>
      </c>
      <c r="P387" t="n">
        <v>0</v>
      </c>
      <c r="Q387" t="n">
        <v>0</v>
      </c>
      <c r="R387" s="2" t="inlineStr"/>
    </row>
    <row r="388" ht="15" customHeight="1">
      <c r="A388" t="inlineStr">
        <is>
          <t>A 52642-2021</t>
        </is>
      </c>
      <c r="B388" s="1" t="n">
        <v>44466.64298611111</v>
      </c>
      <c r="C388" s="1" t="n">
        <v>46035</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29850-2024</t>
        </is>
      </c>
      <c r="B389" s="1" t="n">
        <v>45485.64620370371</v>
      </c>
      <c r="C389" s="1" t="n">
        <v>46035</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24039-2025</t>
        </is>
      </c>
      <c r="B390" s="1" t="n">
        <v>45796.48675925926</v>
      </c>
      <c r="C390" s="1" t="n">
        <v>46035</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35711-2024</t>
        </is>
      </c>
      <c r="B391" s="1" t="n">
        <v>45532</v>
      </c>
      <c r="C391" s="1" t="n">
        <v>46035</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46035</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7681-2025</t>
        </is>
      </c>
      <c r="B393" s="1" t="n">
        <v>45706.36758101852</v>
      </c>
      <c r="C393" s="1" t="n">
        <v>46035</v>
      </c>
      <c r="D393" t="inlineStr">
        <is>
          <t>SKÅNE LÄN</t>
        </is>
      </c>
      <c r="E393" t="inlineStr">
        <is>
          <t>HÄSSLEHOLM</t>
        </is>
      </c>
      <c r="G393" t="n">
        <v>1.9</v>
      </c>
      <c r="H393" t="n">
        <v>0</v>
      </c>
      <c r="I393" t="n">
        <v>0</v>
      </c>
      <c r="J393" t="n">
        <v>0</v>
      </c>
      <c r="K393" t="n">
        <v>0</v>
      </c>
      <c r="L393" t="n">
        <v>0</v>
      </c>
      <c r="M393" t="n">
        <v>0</v>
      </c>
      <c r="N393" t="n">
        <v>0</v>
      </c>
      <c r="O393" t="n">
        <v>0</v>
      </c>
      <c r="P393" t="n">
        <v>0</v>
      </c>
      <c r="Q393" t="n">
        <v>0</v>
      </c>
      <c r="R393" s="2" t="inlineStr"/>
    </row>
    <row r="394" ht="15" customHeight="1">
      <c r="A394" t="inlineStr">
        <is>
          <t>A 62041-2022</t>
        </is>
      </c>
      <c r="B394" s="1" t="n">
        <v>44918.55743055556</v>
      </c>
      <c r="C394" s="1" t="n">
        <v>46035</v>
      </c>
      <c r="D394" t="inlineStr">
        <is>
          <t>SKÅNE LÄN</t>
        </is>
      </c>
      <c r="E394" t="inlineStr">
        <is>
          <t>HÄSSLEHOLM</t>
        </is>
      </c>
      <c r="G394" t="n">
        <v>2.8</v>
      </c>
      <c r="H394" t="n">
        <v>0</v>
      </c>
      <c r="I394" t="n">
        <v>0</v>
      </c>
      <c r="J394" t="n">
        <v>0</v>
      </c>
      <c r="K394" t="n">
        <v>0</v>
      </c>
      <c r="L394" t="n">
        <v>0</v>
      </c>
      <c r="M394" t="n">
        <v>0</v>
      </c>
      <c r="N394" t="n">
        <v>0</v>
      </c>
      <c r="O394" t="n">
        <v>0</v>
      </c>
      <c r="P394" t="n">
        <v>0</v>
      </c>
      <c r="Q394" t="n">
        <v>0</v>
      </c>
      <c r="R394" s="2" t="inlineStr"/>
    </row>
    <row r="395" ht="15" customHeight="1">
      <c r="A395" t="inlineStr">
        <is>
          <t>A 24032-2025</t>
        </is>
      </c>
      <c r="B395" s="1" t="n">
        <v>45796.478125</v>
      </c>
      <c r="C395" s="1" t="n">
        <v>46035</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40734-2024</t>
        </is>
      </c>
      <c r="B396" s="1" t="n">
        <v>45558</v>
      </c>
      <c r="C396" s="1" t="n">
        <v>46035</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40738-2024</t>
        </is>
      </c>
      <c r="B397" s="1" t="n">
        <v>45558</v>
      </c>
      <c r="C397" s="1" t="n">
        <v>46035</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5252-2025</t>
        </is>
      </c>
      <c r="B398" s="1" t="n">
        <v>45692.3449537037</v>
      </c>
      <c r="C398" s="1" t="n">
        <v>46035</v>
      </c>
      <c r="D398" t="inlineStr">
        <is>
          <t>SKÅNE LÄN</t>
        </is>
      </c>
      <c r="E398" t="inlineStr">
        <is>
          <t>HÄSSLEHOLM</t>
        </is>
      </c>
      <c r="G398" t="n">
        <v>2.1</v>
      </c>
      <c r="H398" t="n">
        <v>0</v>
      </c>
      <c r="I398" t="n">
        <v>0</v>
      </c>
      <c r="J398" t="n">
        <v>0</v>
      </c>
      <c r="K398" t="n">
        <v>0</v>
      </c>
      <c r="L398" t="n">
        <v>0</v>
      </c>
      <c r="M398" t="n">
        <v>0</v>
      </c>
      <c r="N398" t="n">
        <v>0</v>
      </c>
      <c r="O398" t="n">
        <v>0</v>
      </c>
      <c r="P398" t="n">
        <v>0</v>
      </c>
      <c r="Q398" t="n">
        <v>0</v>
      </c>
      <c r="R398" s="2" t="inlineStr"/>
    </row>
    <row r="399" ht="15" customHeight="1">
      <c r="A399" t="inlineStr">
        <is>
          <t>A 24047-2025</t>
        </is>
      </c>
      <c r="B399" s="1" t="n">
        <v>45796.49528935185</v>
      </c>
      <c r="C399" s="1" t="n">
        <v>46035</v>
      </c>
      <c r="D399" t="inlineStr">
        <is>
          <t>SKÅNE LÄN</t>
        </is>
      </c>
      <c r="E399" t="inlineStr">
        <is>
          <t>HÄSSLEHOLM</t>
        </is>
      </c>
      <c r="G399" t="n">
        <v>1.1</v>
      </c>
      <c r="H399" t="n">
        <v>0</v>
      </c>
      <c r="I399" t="n">
        <v>0</v>
      </c>
      <c r="J399" t="n">
        <v>0</v>
      </c>
      <c r="K399" t="n">
        <v>0</v>
      </c>
      <c r="L399" t="n">
        <v>0</v>
      </c>
      <c r="M399" t="n">
        <v>0</v>
      </c>
      <c r="N399" t="n">
        <v>0</v>
      </c>
      <c r="O399" t="n">
        <v>0</v>
      </c>
      <c r="P399" t="n">
        <v>0</v>
      </c>
      <c r="Q399" t="n">
        <v>0</v>
      </c>
      <c r="R399" s="2" t="inlineStr"/>
    </row>
    <row r="400" ht="15" customHeight="1">
      <c r="A400" t="inlineStr">
        <is>
          <t>A 60789-2024</t>
        </is>
      </c>
      <c r="B400" s="1" t="n">
        <v>45644</v>
      </c>
      <c r="C400" s="1" t="n">
        <v>46035</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37141-2021</t>
        </is>
      </c>
      <c r="B401" s="1" t="n">
        <v>44396</v>
      </c>
      <c r="C401" s="1" t="n">
        <v>46035</v>
      </c>
      <c r="D401" t="inlineStr">
        <is>
          <t>SKÅNE LÄN</t>
        </is>
      </c>
      <c r="E401" t="inlineStr">
        <is>
          <t>HÄSSLEHOLM</t>
        </is>
      </c>
      <c r="G401" t="n">
        <v>12.8</v>
      </c>
      <c r="H401" t="n">
        <v>0</v>
      </c>
      <c r="I401" t="n">
        <v>0</v>
      </c>
      <c r="J401" t="n">
        <v>0</v>
      </c>
      <c r="K401" t="n">
        <v>0</v>
      </c>
      <c r="L401" t="n">
        <v>0</v>
      </c>
      <c r="M401" t="n">
        <v>0</v>
      </c>
      <c r="N401" t="n">
        <v>0</v>
      </c>
      <c r="O401" t="n">
        <v>0</v>
      </c>
      <c r="P401" t="n">
        <v>0</v>
      </c>
      <c r="Q401" t="n">
        <v>0</v>
      </c>
      <c r="R401" s="2" t="inlineStr"/>
    </row>
    <row r="402" ht="15" customHeight="1">
      <c r="A402" t="inlineStr">
        <is>
          <t>A 24029-2025</t>
        </is>
      </c>
      <c r="B402" s="1" t="n">
        <v>45796.47552083333</v>
      </c>
      <c r="C402" s="1" t="n">
        <v>46035</v>
      </c>
      <c r="D402" t="inlineStr">
        <is>
          <t>SKÅNE LÄN</t>
        </is>
      </c>
      <c r="E402" t="inlineStr">
        <is>
          <t>HÄSSLEHOLM</t>
        </is>
      </c>
      <c r="G402" t="n">
        <v>0.9</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46035</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45399-2022</t>
        </is>
      </c>
      <c r="B404" s="1" t="n">
        <v>44844.70513888889</v>
      </c>
      <c r="C404" s="1" t="n">
        <v>46035</v>
      </c>
      <c r="D404" t="inlineStr">
        <is>
          <t>SKÅNE LÄN</t>
        </is>
      </c>
      <c r="E404" t="inlineStr">
        <is>
          <t>HÄSSLEHOLM</t>
        </is>
      </c>
      <c r="G404" t="n">
        <v>0</v>
      </c>
      <c r="H404" t="n">
        <v>0</v>
      </c>
      <c r="I404" t="n">
        <v>0</v>
      </c>
      <c r="J404" t="n">
        <v>0</v>
      </c>
      <c r="K404" t="n">
        <v>0</v>
      </c>
      <c r="L404" t="n">
        <v>0</v>
      </c>
      <c r="M404" t="n">
        <v>0</v>
      </c>
      <c r="N404" t="n">
        <v>0</v>
      </c>
      <c r="O404" t="n">
        <v>0</v>
      </c>
      <c r="P404" t="n">
        <v>0</v>
      </c>
      <c r="Q404" t="n">
        <v>0</v>
      </c>
      <c r="R404" s="2" t="inlineStr"/>
    </row>
    <row r="405" ht="15" customHeight="1">
      <c r="A405" t="inlineStr">
        <is>
          <t>A 24675-2025</t>
        </is>
      </c>
      <c r="B405" s="1" t="n">
        <v>45798.653125</v>
      </c>
      <c r="C405" s="1" t="n">
        <v>46035</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43333-2025</t>
        </is>
      </c>
      <c r="B406" s="1" t="n">
        <v>45910</v>
      </c>
      <c r="C406" s="1" t="n">
        <v>46035</v>
      </c>
      <c r="D406" t="inlineStr">
        <is>
          <t>SKÅNE LÄN</t>
        </is>
      </c>
      <c r="E406" t="inlineStr">
        <is>
          <t>HÄSSLEHOLM</t>
        </is>
      </c>
      <c r="G406" t="n">
        <v>10.1</v>
      </c>
      <c r="H406" t="n">
        <v>0</v>
      </c>
      <c r="I406" t="n">
        <v>0</v>
      </c>
      <c r="J406" t="n">
        <v>0</v>
      </c>
      <c r="K406" t="n">
        <v>0</v>
      </c>
      <c r="L406" t="n">
        <v>0</v>
      </c>
      <c r="M406" t="n">
        <v>0</v>
      </c>
      <c r="N406" t="n">
        <v>0</v>
      </c>
      <c r="O406" t="n">
        <v>0</v>
      </c>
      <c r="P406" t="n">
        <v>0</v>
      </c>
      <c r="Q406" t="n">
        <v>0</v>
      </c>
      <c r="R406" s="2" t="inlineStr"/>
    </row>
    <row r="407" ht="15" customHeight="1">
      <c r="A407" t="inlineStr">
        <is>
          <t>A 49379-2021</t>
        </is>
      </c>
      <c r="B407" s="1" t="n">
        <v>44454</v>
      </c>
      <c r="C407" s="1" t="n">
        <v>46035</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43332-2025</t>
        </is>
      </c>
      <c r="B408" s="1" t="n">
        <v>45910.70217592592</v>
      </c>
      <c r="C408" s="1" t="n">
        <v>46035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32881-2024</t>
        </is>
      </c>
      <c r="B409" s="1" t="n">
        <v>45516</v>
      </c>
      <c r="C409" s="1" t="n">
        <v>46035</v>
      </c>
      <c r="D409" t="inlineStr">
        <is>
          <t>SKÅNE LÄN</t>
        </is>
      </c>
      <c r="E409" t="inlineStr">
        <is>
          <t>HÄSSLEHOLM</t>
        </is>
      </c>
      <c r="G409" t="n">
        <v>6.3</v>
      </c>
      <c r="H409" t="n">
        <v>0</v>
      </c>
      <c r="I409" t="n">
        <v>0</v>
      </c>
      <c r="J409" t="n">
        <v>0</v>
      </c>
      <c r="K409" t="n">
        <v>0</v>
      </c>
      <c r="L409" t="n">
        <v>0</v>
      </c>
      <c r="M409" t="n">
        <v>0</v>
      </c>
      <c r="N409" t="n">
        <v>0</v>
      </c>
      <c r="O409" t="n">
        <v>0</v>
      </c>
      <c r="P409" t="n">
        <v>0</v>
      </c>
      <c r="Q409" t="n">
        <v>0</v>
      </c>
      <c r="R409" s="2" t="inlineStr"/>
    </row>
    <row r="410" ht="15" customHeight="1">
      <c r="A410" t="inlineStr">
        <is>
          <t>A 2743-2023</t>
        </is>
      </c>
      <c r="B410" s="1" t="n">
        <v>44944</v>
      </c>
      <c r="C410" s="1" t="n">
        <v>46035</v>
      </c>
      <c r="D410" t="inlineStr">
        <is>
          <t>SKÅNE LÄN</t>
        </is>
      </c>
      <c r="E410" t="inlineStr">
        <is>
          <t>HÄSSLEHOLM</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10562-2025</t>
        </is>
      </c>
      <c r="B411" s="1" t="n">
        <v>45721.52913194444</v>
      </c>
      <c r="C411" s="1" t="n">
        <v>46035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32512-2024</t>
        </is>
      </c>
      <c r="B412" s="1" t="n">
        <v>45513.45613425926</v>
      </c>
      <c r="C412" s="1" t="n">
        <v>46035</v>
      </c>
      <c r="D412" t="inlineStr">
        <is>
          <t>SKÅNE LÄN</t>
        </is>
      </c>
      <c r="E412" t="inlineStr">
        <is>
          <t>HÄSSLEHOLM</t>
        </is>
      </c>
      <c r="G412" t="n">
        <v>1.8</v>
      </c>
      <c r="H412" t="n">
        <v>0</v>
      </c>
      <c r="I412" t="n">
        <v>0</v>
      </c>
      <c r="J412" t="n">
        <v>0</v>
      </c>
      <c r="K412" t="n">
        <v>0</v>
      </c>
      <c r="L412" t="n">
        <v>0</v>
      </c>
      <c r="M412" t="n">
        <v>0</v>
      </c>
      <c r="N412" t="n">
        <v>0</v>
      </c>
      <c r="O412" t="n">
        <v>0</v>
      </c>
      <c r="P412" t="n">
        <v>0</v>
      </c>
      <c r="Q412" t="n">
        <v>0</v>
      </c>
      <c r="R412" s="2" t="inlineStr"/>
    </row>
    <row r="413" ht="15" customHeight="1">
      <c r="A413" t="inlineStr">
        <is>
          <t>A 55522-2024</t>
        </is>
      </c>
      <c r="B413" s="1" t="n">
        <v>45622</v>
      </c>
      <c r="C413" s="1" t="n">
        <v>46035</v>
      </c>
      <c r="D413" t="inlineStr">
        <is>
          <t>SKÅNE LÄN</t>
        </is>
      </c>
      <c r="E413" t="inlineStr">
        <is>
          <t>HÄSSLEHOLM</t>
        </is>
      </c>
      <c r="G413" t="n">
        <v>5.6</v>
      </c>
      <c r="H413" t="n">
        <v>0</v>
      </c>
      <c r="I413" t="n">
        <v>0</v>
      </c>
      <c r="J413" t="n">
        <v>0</v>
      </c>
      <c r="K413" t="n">
        <v>0</v>
      </c>
      <c r="L413" t="n">
        <v>0</v>
      </c>
      <c r="M413" t="n">
        <v>0</v>
      </c>
      <c r="N413" t="n">
        <v>0</v>
      </c>
      <c r="O413" t="n">
        <v>0</v>
      </c>
      <c r="P413" t="n">
        <v>0</v>
      </c>
      <c r="Q413" t="n">
        <v>0</v>
      </c>
      <c r="R413" s="2" t="inlineStr"/>
    </row>
    <row r="414" ht="15" customHeight="1">
      <c r="A414" t="inlineStr">
        <is>
          <t>A 5242-2025</t>
        </is>
      </c>
      <c r="B414" s="1" t="n">
        <v>45692.32883101852</v>
      </c>
      <c r="C414" s="1" t="n">
        <v>46035</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62044-2022</t>
        </is>
      </c>
      <c r="B415" s="1" t="n">
        <v>44918.55976851852</v>
      </c>
      <c r="C415" s="1" t="n">
        <v>46035</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43516-2025</t>
        </is>
      </c>
      <c r="B416" s="1" t="n">
        <v>45911</v>
      </c>
      <c r="C416" s="1" t="n">
        <v>46035</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6164-2023</t>
        </is>
      </c>
      <c r="B417" s="1" t="n">
        <v>44964.66871527778</v>
      </c>
      <c r="C417" s="1" t="n">
        <v>46035</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43738-2025</t>
        </is>
      </c>
      <c r="B418" s="1" t="n">
        <v>45912.45037037037</v>
      </c>
      <c r="C418" s="1" t="n">
        <v>46035</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45912.45541666666</v>
      </c>
      <c r="C419" s="1" t="n">
        <v>46035</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42735-2024</t>
        </is>
      </c>
      <c r="B420" s="1" t="n">
        <v>45566.47274305556</v>
      </c>
      <c r="C420" s="1" t="n">
        <v>46035</v>
      </c>
      <c r="D420" t="inlineStr">
        <is>
          <t>SKÅNE LÄN</t>
        </is>
      </c>
      <c r="E420" t="inlineStr">
        <is>
          <t>HÄSSLEHOLM</t>
        </is>
      </c>
      <c r="G420" t="n">
        <v>3.7</v>
      </c>
      <c r="H420" t="n">
        <v>0</v>
      </c>
      <c r="I420" t="n">
        <v>0</v>
      </c>
      <c r="J420" t="n">
        <v>0</v>
      </c>
      <c r="K420" t="n">
        <v>0</v>
      </c>
      <c r="L420" t="n">
        <v>0</v>
      </c>
      <c r="M420" t="n">
        <v>0</v>
      </c>
      <c r="N420" t="n">
        <v>0</v>
      </c>
      <c r="O420" t="n">
        <v>0</v>
      </c>
      <c r="P420" t="n">
        <v>0</v>
      </c>
      <c r="Q420" t="n">
        <v>0</v>
      </c>
      <c r="R420" s="2" t="inlineStr"/>
    </row>
    <row r="421" ht="15" customHeight="1">
      <c r="A421" t="inlineStr">
        <is>
          <t>A 24658-2025</t>
        </is>
      </c>
      <c r="B421" s="1" t="n">
        <v>45798.64134259259</v>
      </c>
      <c r="C421" s="1" t="n">
        <v>46035</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24250-2025</t>
        </is>
      </c>
      <c r="B422" s="1" t="n">
        <v>45797.40260416667</v>
      </c>
      <c r="C422" s="1" t="n">
        <v>46035</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32826-2024</t>
        </is>
      </c>
      <c r="B423" s="1" t="n">
        <v>45516.59056712963</v>
      </c>
      <c r="C423" s="1" t="n">
        <v>46035</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37318-2024</t>
        </is>
      </c>
      <c r="B424" s="1" t="n">
        <v>45540</v>
      </c>
      <c r="C424" s="1" t="n">
        <v>46035</v>
      </c>
      <c r="D424" t="inlineStr">
        <is>
          <t>SKÅNE LÄN</t>
        </is>
      </c>
      <c r="E424" t="inlineStr">
        <is>
          <t>HÄSSLEHOLM</t>
        </is>
      </c>
      <c r="G424" t="n">
        <v>3.9</v>
      </c>
      <c r="H424" t="n">
        <v>0</v>
      </c>
      <c r="I424" t="n">
        <v>0</v>
      </c>
      <c r="J424" t="n">
        <v>0</v>
      </c>
      <c r="K424" t="n">
        <v>0</v>
      </c>
      <c r="L424" t="n">
        <v>0</v>
      </c>
      <c r="M424" t="n">
        <v>0</v>
      </c>
      <c r="N424" t="n">
        <v>0</v>
      </c>
      <c r="O424" t="n">
        <v>0</v>
      </c>
      <c r="P424" t="n">
        <v>0</v>
      </c>
      <c r="Q424" t="n">
        <v>0</v>
      </c>
      <c r="R424" s="2" t="inlineStr"/>
    </row>
    <row r="425" ht="15" customHeight="1">
      <c r="A425" t="inlineStr">
        <is>
          <t>A 58891-2022</t>
        </is>
      </c>
      <c r="B425" s="1" t="n">
        <v>44896</v>
      </c>
      <c r="C425" s="1" t="n">
        <v>46035</v>
      </c>
      <c r="D425" t="inlineStr">
        <is>
          <t>SKÅNE LÄN</t>
        </is>
      </c>
      <c r="E425" t="inlineStr">
        <is>
          <t>HÄSSLEHOLM</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37324-2024</t>
        </is>
      </c>
      <c r="B426" s="1" t="n">
        <v>45540.50104166667</v>
      </c>
      <c r="C426" s="1" t="n">
        <v>46035</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25176-2024</t>
        </is>
      </c>
      <c r="B427" s="1" t="n">
        <v>45462.54582175926</v>
      </c>
      <c r="C427" s="1" t="n">
        <v>46035</v>
      </c>
      <c r="D427" t="inlineStr">
        <is>
          <t>SKÅNE LÄN</t>
        </is>
      </c>
      <c r="E427" t="inlineStr">
        <is>
          <t>HÄSSLEHOLM</t>
        </is>
      </c>
      <c r="G427" t="n">
        <v>3.8</v>
      </c>
      <c r="H427" t="n">
        <v>0</v>
      </c>
      <c r="I427" t="n">
        <v>0</v>
      </c>
      <c r="J427" t="n">
        <v>0</v>
      </c>
      <c r="K427" t="n">
        <v>0</v>
      </c>
      <c r="L427" t="n">
        <v>0</v>
      </c>
      <c r="M427" t="n">
        <v>0</v>
      </c>
      <c r="N427" t="n">
        <v>0</v>
      </c>
      <c r="O427" t="n">
        <v>0</v>
      </c>
      <c r="P427" t="n">
        <v>0</v>
      </c>
      <c r="Q427" t="n">
        <v>0</v>
      </c>
      <c r="R427" s="2" t="inlineStr"/>
    </row>
    <row r="428" ht="15" customHeight="1">
      <c r="A428" t="inlineStr">
        <is>
          <t>A 24985-2025</t>
        </is>
      </c>
      <c r="B428" s="1" t="n">
        <v>45799.60256944445</v>
      </c>
      <c r="C428" s="1" t="n">
        <v>46035</v>
      </c>
      <c r="D428" t="inlineStr">
        <is>
          <t>SKÅNE LÄN</t>
        </is>
      </c>
      <c r="E428" t="inlineStr">
        <is>
          <t>HÄSSLEHOLM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43869-2025</t>
        </is>
      </c>
      <c r="B429" s="1" t="n">
        <v>45912.66452546296</v>
      </c>
      <c r="C429" s="1" t="n">
        <v>46035</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27837-2024</t>
        </is>
      </c>
      <c r="B430" s="1" t="n">
        <v>45475</v>
      </c>
      <c r="C430" s="1" t="n">
        <v>46035</v>
      </c>
      <c r="D430" t="inlineStr">
        <is>
          <t>SKÅNE LÄN</t>
        </is>
      </c>
      <c r="E430" t="inlineStr">
        <is>
          <t>HÄSSLEHOLM</t>
        </is>
      </c>
      <c r="F430" t="inlineStr">
        <is>
          <t>Kommuner</t>
        </is>
      </c>
      <c r="G430" t="n">
        <v>2.3</v>
      </c>
      <c r="H430" t="n">
        <v>0</v>
      </c>
      <c r="I430" t="n">
        <v>0</v>
      </c>
      <c r="J430" t="n">
        <v>0</v>
      </c>
      <c r="K430" t="n">
        <v>0</v>
      </c>
      <c r="L430" t="n">
        <v>0</v>
      </c>
      <c r="M430" t="n">
        <v>0</v>
      </c>
      <c r="N430" t="n">
        <v>0</v>
      </c>
      <c r="O430" t="n">
        <v>0</v>
      </c>
      <c r="P430" t="n">
        <v>0</v>
      </c>
      <c r="Q430" t="n">
        <v>0</v>
      </c>
      <c r="R430" s="2" t="inlineStr"/>
    </row>
    <row r="431" ht="15" customHeight="1">
      <c r="A431" t="inlineStr">
        <is>
          <t>A 29659-2024</t>
        </is>
      </c>
      <c r="B431" s="1" t="n">
        <v>45484.92587962963</v>
      </c>
      <c r="C431" s="1" t="n">
        <v>46035</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1679-2022</t>
        </is>
      </c>
      <c r="B432" s="1" t="n">
        <v>44573</v>
      </c>
      <c r="C432" s="1" t="n">
        <v>46035</v>
      </c>
      <c r="D432" t="inlineStr">
        <is>
          <t>SKÅNE LÄN</t>
        </is>
      </c>
      <c r="E432" t="inlineStr">
        <is>
          <t>HÄSSLEHOLM</t>
        </is>
      </c>
      <c r="F432" t="inlineStr">
        <is>
          <t>Kyrkan</t>
        </is>
      </c>
      <c r="G432" t="n">
        <v>4.3</v>
      </c>
      <c r="H432" t="n">
        <v>0</v>
      </c>
      <c r="I432" t="n">
        <v>0</v>
      </c>
      <c r="J432" t="n">
        <v>0</v>
      </c>
      <c r="K432" t="n">
        <v>0</v>
      </c>
      <c r="L432" t="n">
        <v>0</v>
      </c>
      <c r="M432" t="n">
        <v>0</v>
      </c>
      <c r="N432" t="n">
        <v>0</v>
      </c>
      <c r="O432" t="n">
        <v>0</v>
      </c>
      <c r="P432" t="n">
        <v>0</v>
      </c>
      <c r="Q432" t="n">
        <v>0</v>
      </c>
      <c r="R432" s="2" t="inlineStr"/>
    </row>
    <row r="433" ht="15" customHeight="1">
      <c r="A433" t="inlineStr">
        <is>
          <t>A 259-2024</t>
        </is>
      </c>
      <c r="B433" s="1" t="n">
        <v>45294</v>
      </c>
      <c r="C433" s="1" t="n">
        <v>46035</v>
      </c>
      <c r="D433" t="inlineStr">
        <is>
          <t>SKÅNE LÄN</t>
        </is>
      </c>
      <c r="E433" t="inlineStr">
        <is>
          <t>HÄSSLEHOLM</t>
        </is>
      </c>
      <c r="G433" t="n">
        <v>8</v>
      </c>
      <c r="H433" t="n">
        <v>0</v>
      </c>
      <c r="I433" t="n">
        <v>0</v>
      </c>
      <c r="J433" t="n">
        <v>0</v>
      </c>
      <c r="K433" t="n">
        <v>0</v>
      </c>
      <c r="L433" t="n">
        <v>0</v>
      </c>
      <c r="M433" t="n">
        <v>0</v>
      </c>
      <c r="N433" t="n">
        <v>0</v>
      </c>
      <c r="O433" t="n">
        <v>0</v>
      </c>
      <c r="P433" t="n">
        <v>0</v>
      </c>
      <c r="Q433" t="n">
        <v>0</v>
      </c>
      <c r="R433" s="2" t="inlineStr"/>
    </row>
    <row r="434" ht="15" customHeight="1">
      <c r="A434" t="inlineStr">
        <is>
          <t>A 3726-2024</t>
        </is>
      </c>
      <c r="B434" s="1" t="n">
        <v>45321</v>
      </c>
      <c r="C434" s="1" t="n">
        <v>46035</v>
      </c>
      <c r="D434" t="inlineStr">
        <is>
          <t>SKÅNE LÄN</t>
        </is>
      </c>
      <c r="E434" t="inlineStr">
        <is>
          <t>HÄSSLEHOLM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44330-2025</t>
        </is>
      </c>
      <c r="B435" s="1" t="n">
        <v>45916.42120370371</v>
      </c>
      <c r="C435" s="1" t="n">
        <v>46035</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39044-2024</t>
        </is>
      </c>
      <c r="B436" s="1" t="n">
        <v>45548.47707175926</v>
      </c>
      <c r="C436" s="1" t="n">
        <v>46035</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44523-2025</t>
        </is>
      </c>
      <c r="B437" s="1" t="n">
        <v>45916</v>
      </c>
      <c r="C437" s="1" t="n">
        <v>46035</v>
      </c>
      <c r="D437" t="inlineStr">
        <is>
          <t>SKÅNE LÄN</t>
        </is>
      </c>
      <c r="E437" t="inlineStr">
        <is>
          <t>HÄSSLEHOLM</t>
        </is>
      </c>
      <c r="G437" t="n">
        <v>1.6</v>
      </c>
      <c r="H437" t="n">
        <v>0</v>
      </c>
      <c r="I437" t="n">
        <v>0</v>
      </c>
      <c r="J437" t="n">
        <v>0</v>
      </c>
      <c r="K437" t="n">
        <v>0</v>
      </c>
      <c r="L437" t="n">
        <v>0</v>
      </c>
      <c r="M437" t="n">
        <v>0</v>
      </c>
      <c r="N437" t="n">
        <v>0</v>
      </c>
      <c r="O437" t="n">
        <v>0</v>
      </c>
      <c r="P437" t="n">
        <v>0</v>
      </c>
      <c r="Q437" t="n">
        <v>0</v>
      </c>
      <c r="R437" s="2" t="inlineStr"/>
    </row>
    <row r="438" ht="15" customHeight="1">
      <c r="A438" t="inlineStr">
        <is>
          <t>A 25372-2025</t>
        </is>
      </c>
      <c r="B438" s="1" t="n">
        <v>45799</v>
      </c>
      <c r="C438" s="1" t="n">
        <v>46035</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9399-2025</t>
        </is>
      </c>
      <c r="B439" s="1" t="n">
        <v>45715.37861111111</v>
      </c>
      <c r="C439" s="1" t="n">
        <v>46035</v>
      </c>
      <c r="D439" t="inlineStr">
        <is>
          <t>SKÅNE LÄN</t>
        </is>
      </c>
      <c r="E439" t="inlineStr">
        <is>
          <t>HÄSSLEHOLM</t>
        </is>
      </c>
      <c r="G439" t="n">
        <v>5.2</v>
      </c>
      <c r="H439" t="n">
        <v>0</v>
      </c>
      <c r="I439" t="n">
        <v>0</v>
      </c>
      <c r="J439" t="n">
        <v>0</v>
      </c>
      <c r="K439" t="n">
        <v>0</v>
      </c>
      <c r="L439" t="n">
        <v>0</v>
      </c>
      <c r="M439" t="n">
        <v>0</v>
      </c>
      <c r="N439" t="n">
        <v>0</v>
      </c>
      <c r="O439" t="n">
        <v>0</v>
      </c>
      <c r="P439" t="n">
        <v>0</v>
      </c>
      <c r="Q439" t="n">
        <v>0</v>
      </c>
      <c r="R439" s="2" t="inlineStr"/>
    </row>
    <row r="440" ht="15" customHeight="1">
      <c r="A440" t="inlineStr">
        <is>
          <t>A 14255-2024</t>
        </is>
      </c>
      <c r="B440" s="1" t="n">
        <v>45393</v>
      </c>
      <c r="C440" s="1" t="n">
        <v>46035</v>
      </c>
      <c r="D440" t="inlineStr">
        <is>
          <t>SKÅNE LÄN</t>
        </is>
      </c>
      <c r="E440" t="inlineStr">
        <is>
          <t>HÄSSLEHOLM</t>
        </is>
      </c>
      <c r="G440" t="n">
        <v>11.9</v>
      </c>
      <c r="H440" t="n">
        <v>0</v>
      </c>
      <c r="I440" t="n">
        <v>0</v>
      </c>
      <c r="J440" t="n">
        <v>0</v>
      </c>
      <c r="K440" t="n">
        <v>0</v>
      </c>
      <c r="L440" t="n">
        <v>0</v>
      </c>
      <c r="M440" t="n">
        <v>0</v>
      </c>
      <c r="N440" t="n">
        <v>0</v>
      </c>
      <c r="O440" t="n">
        <v>0</v>
      </c>
      <c r="P440" t="n">
        <v>0</v>
      </c>
      <c r="Q440" t="n">
        <v>0</v>
      </c>
      <c r="R440" s="2" t="inlineStr"/>
    </row>
    <row r="441" ht="15" customHeight="1">
      <c r="A441" t="inlineStr">
        <is>
          <t>A 44515-2025</t>
        </is>
      </c>
      <c r="B441" s="1" t="n">
        <v>45916.7062037037</v>
      </c>
      <c r="C441" s="1" t="n">
        <v>46035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51565-2023</t>
        </is>
      </c>
      <c r="B442" s="1" t="n">
        <v>45222</v>
      </c>
      <c r="C442" s="1" t="n">
        <v>46035</v>
      </c>
      <c r="D442" t="inlineStr">
        <is>
          <t>SKÅNE LÄN</t>
        </is>
      </c>
      <c r="E442" t="inlineStr">
        <is>
          <t>HÄSSLEHOLM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20058-2023</t>
        </is>
      </c>
      <c r="B443" s="1" t="n">
        <v>45054.68476851852</v>
      </c>
      <c r="C443" s="1" t="n">
        <v>46035</v>
      </c>
      <c r="D443" t="inlineStr">
        <is>
          <t>SKÅNE LÄN</t>
        </is>
      </c>
      <c r="E443" t="inlineStr">
        <is>
          <t>HÄSSLEHOLM</t>
        </is>
      </c>
      <c r="G443" t="n">
        <v>1.4</v>
      </c>
      <c r="H443" t="n">
        <v>0</v>
      </c>
      <c r="I443" t="n">
        <v>0</v>
      </c>
      <c r="J443" t="n">
        <v>0</v>
      </c>
      <c r="K443" t="n">
        <v>0</v>
      </c>
      <c r="L443" t="n">
        <v>0</v>
      </c>
      <c r="M443" t="n">
        <v>0</v>
      </c>
      <c r="N443" t="n">
        <v>0</v>
      </c>
      <c r="O443" t="n">
        <v>0</v>
      </c>
      <c r="P443" t="n">
        <v>0</v>
      </c>
      <c r="Q443" t="n">
        <v>0</v>
      </c>
      <c r="R443" s="2" t="inlineStr"/>
    </row>
    <row r="444" ht="15" customHeight="1">
      <c r="A444" t="inlineStr">
        <is>
          <t>A 10897-2023</t>
        </is>
      </c>
      <c r="B444" s="1" t="n">
        <v>44985</v>
      </c>
      <c r="C444" s="1" t="n">
        <v>46035</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25430-2025</t>
        </is>
      </c>
      <c r="B445" s="1" t="n">
        <v>45800.78212962963</v>
      </c>
      <c r="C445" s="1" t="n">
        <v>46035</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11470-2025</t>
        </is>
      </c>
      <c r="B446" s="1" t="n">
        <v>45726</v>
      </c>
      <c r="C446" s="1" t="n">
        <v>46035</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16108-2025</t>
        </is>
      </c>
      <c r="B447" s="1" t="n">
        <v>45750.34667824074</v>
      </c>
      <c r="C447" s="1" t="n">
        <v>46035</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44624-2025</t>
        </is>
      </c>
      <c r="B448" s="1" t="n">
        <v>45917.47152777778</v>
      </c>
      <c r="C448" s="1" t="n">
        <v>46035</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25615-2025</t>
        </is>
      </c>
      <c r="B449" s="1" t="n">
        <v>45803</v>
      </c>
      <c r="C449" s="1" t="n">
        <v>46035</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44611-2025</t>
        </is>
      </c>
      <c r="B450" s="1" t="n">
        <v>45917.45109953704</v>
      </c>
      <c r="C450" s="1" t="n">
        <v>46035</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45084-2025</t>
        </is>
      </c>
      <c r="B451" s="1" t="n">
        <v>45918</v>
      </c>
      <c r="C451" s="1" t="n">
        <v>46035</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25431-2025</t>
        </is>
      </c>
      <c r="B452" s="1" t="n">
        <v>45800.78340277778</v>
      </c>
      <c r="C452" s="1" t="n">
        <v>46035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25432-2025</t>
        </is>
      </c>
      <c r="B453" s="1" t="n">
        <v>45800.7847800926</v>
      </c>
      <c r="C453" s="1" t="n">
        <v>46035</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56986-2024</t>
        </is>
      </c>
      <c r="B454" s="1" t="n">
        <v>45626</v>
      </c>
      <c r="C454" s="1" t="n">
        <v>46035</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44616-2025</t>
        </is>
      </c>
      <c r="B455" s="1" t="n">
        <v>45917.45572916666</v>
      </c>
      <c r="C455" s="1" t="n">
        <v>46035</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11412-2025</t>
        </is>
      </c>
      <c r="B456" s="1" t="n">
        <v>45726</v>
      </c>
      <c r="C456" s="1" t="n">
        <v>46035</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49111-2023</t>
        </is>
      </c>
      <c r="B457" s="1" t="n">
        <v>45210.44464120371</v>
      </c>
      <c r="C457" s="1" t="n">
        <v>46035</v>
      </c>
      <c r="D457" t="inlineStr">
        <is>
          <t>SKÅNE LÄN</t>
        </is>
      </c>
      <c r="E457" t="inlineStr">
        <is>
          <t>HÄSSLEHOLM</t>
        </is>
      </c>
      <c r="G457" t="n">
        <v>0.2</v>
      </c>
      <c r="H457" t="n">
        <v>0</v>
      </c>
      <c r="I457" t="n">
        <v>0</v>
      </c>
      <c r="J457" t="n">
        <v>0</v>
      </c>
      <c r="K457" t="n">
        <v>0</v>
      </c>
      <c r="L457" t="n">
        <v>0</v>
      </c>
      <c r="M457" t="n">
        <v>0</v>
      </c>
      <c r="N457" t="n">
        <v>0</v>
      </c>
      <c r="O457" t="n">
        <v>0</v>
      </c>
      <c r="P457" t="n">
        <v>0</v>
      </c>
      <c r="Q457" t="n">
        <v>0</v>
      </c>
      <c r="R457" s="2" t="inlineStr"/>
    </row>
    <row r="458" ht="15" customHeight="1">
      <c r="A458" t="inlineStr">
        <is>
          <t>A 44614-2025</t>
        </is>
      </c>
      <c r="B458" s="1" t="n">
        <v>45917.45422453704</v>
      </c>
      <c r="C458" s="1" t="n">
        <v>46035</v>
      </c>
      <c r="D458" t="inlineStr">
        <is>
          <t>SKÅNE LÄN</t>
        </is>
      </c>
      <c r="E458" t="inlineStr">
        <is>
          <t>HÄSSLEHOLM</t>
        </is>
      </c>
      <c r="G458" t="n">
        <v>5.4</v>
      </c>
      <c r="H458" t="n">
        <v>0</v>
      </c>
      <c r="I458" t="n">
        <v>0</v>
      </c>
      <c r="J458" t="n">
        <v>0</v>
      </c>
      <c r="K458" t="n">
        <v>0</v>
      </c>
      <c r="L458" t="n">
        <v>0</v>
      </c>
      <c r="M458" t="n">
        <v>0</v>
      </c>
      <c r="N458" t="n">
        <v>0</v>
      </c>
      <c r="O458" t="n">
        <v>0</v>
      </c>
      <c r="P458" t="n">
        <v>0</v>
      </c>
      <c r="Q458" t="n">
        <v>0</v>
      </c>
      <c r="R458" s="2" t="inlineStr"/>
    </row>
    <row r="459" ht="15" customHeight="1">
      <c r="A459" t="inlineStr">
        <is>
          <t>A 45495-2025</t>
        </is>
      </c>
      <c r="B459" s="1" t="n">
        <v>45922.56369212963</v>
      </c>
      <c r="C459" s="1" t="n">
        <v>46035</v>
      </c>
      <c r="D459" t="inlineStr">
        <is>
          <t>SKÅNE LÄN</t>
        </is>
      </c>
      <c r="E459" t="inlineStr">
        <is>
          <t>HÄSSLEHOLM</t>
        </is>
      </c>
      <c r="G459" t="n">
        <v>1.8</v>
      </c>
      <c r="H459" t="n">
        <v>0</v>
      </c>
      <c r="I459" t="n">
        <v>0</v>
      </c>
      <c r="J459" t="n">
        <v>0</v>
      </c>
      <c r="K459" t="n">
        <v>0</v>
      </c>
      <c r="L459" t="n">
        <v>0</v>
      </c>
      <c r="M459" t="n">
        <v>0</v>
      </c>
      <c r="N459" t="n">
        <v>0</v>
      </c>
      <c r="O459" t="n">
        <v>0</v>
      </c>
      <c r="P459" t="n">
        <v>0</v>
      </c>
      <c r="Q459" t="n">
        <v>0</v>
      </c>
      <c r="R459" s="2" t="inlineStr"/>
    </row>
    <row r="460" ht="15" customHeight="1">
      <c r="A460" t="inlineStr">
        <is>
          <t>A 45176-2025</t>
        </is>
      </c>
      <c r="B460" s="1" t="n">
        <v>45919.52307870371</v>
      </c>
      <c r="C460" s="1" t="n">
        <v>46035</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11466-2025</t>
        </is>
      </c>
      <c r="B461" s="1" t="n">
        <v>45726</v>
      </c>
      <c r="C461" s="1" t="n">
        <v>46035</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45273-2025</t>
        </is>
      </c>
      <c r="B462" s="1" t="n">
        <v>45919.70486111111</v>
      </c>
      <c r="C462" s="1" t="n">
        <v>46035</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45314-2025</t>
        </is>
      </c>
      <c r="B463" s="1" t="n">
        <v>45921.81738425926</v>
      </c>
      <c r="C463" s="1" t="n">
        <v>46035</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26232-2025</t>
        </is>
      </c>
      <c r="B464" s="1" t="n">
        <v>45805.56642361111</v>
      </c>
      <c r="C464" s="1" t="n">
        <v>46035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45516-2025</t>
        </is>
      </c>
      <c r="B465" s="1" t="n">
        <v>45922</v>
      </c>
      <c r="C465" s="1" t="n">
        <v>46035</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49135-2025</t>
        </is>
      </c>
      <c r="B466" s="1" t="n">
        <v>45938.00990740741</v>
      </c>
      <c r="C466" s="1" t="n">
        <v>46035</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49136-2025</t>
        </is>
      </c>
      <c r="B467" s="1" t="n">
        <v>45938.01277777777</v>
      </c>
      <c r="C467" s="1" t="n">
        <v>46035</v>
      </c>
      <c r="D467" t="inlineStr">
        <is>
          <t>SKÅNE LÄN</t>
        </is>
      </c>
      <c r="E467" t="inlineStr">
        <is>
          <t>HÄSSLEHOLM</t>
        </is>
      </c>
      <c r="G467" t="n">
        <v>1.1</v>
      </c>
      <c r="H467" t="n">
        <v>0</v>
      </c>
      <c r="I467" t="n">
        <v>0</v>
      </c>
      <c r="J467" t="n">
        <v>0</v>
      </c>
      <c r="K467" t="n">
        <v>0</v>
      </c>
      <c r="L467" t="n">
        <v>0</v>
      </c>
      <c r="M467" t="n">
        <v>0</v>
      </c>
      <c r="N467" t="n">
        <v>0</v>
      </c>
      <c r="O467" t="n">
        <v>0</v>
      </c>
      <c r="P467" t="n">
        <v>0</v>
      </c>
      <c r="Q467" t="n">
        <v>0</v>
      </c>
      <c r="R467" s="2" t="inlineStr"/>
    </row>
    <row r="468" ht="15" customHeight="1">
      <c r="A468" t="inlineStr">
        <is>
          <t>A 49137-2025</t>
        </is>
      </c>
      <c r="B468" s="1" t="n">
        <v>45938.05672453704</v>
      </c>
      <c r="C468" s="1" t="n">
        <v>46035</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46035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34299-2024</t>
        </is>
      </c>
      <c r="B470" s="1" t="n">
        <v>45524</v>
      </c>
      <c r="C470" s="1" t="n">
        <v>46035</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45221-2025</t>
        </is>
      </c>
      <c r="B471" s="1" t="n">
        <v>45919.57760416667</v>
      </c>
      <c r="C471" s="1" t="n">
        <v>46035</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45414-2025</t>
        </is>
      </c>
      <c r="B472" s="1" t="n">
        <v>45920</v>
      </c>
      <c r="C472" s="1" t="n">
        <v>46035</v>
      </c>
      <c r="D472" t="inlineStr">
        <is>
          <t>SKÅNE LÄN</t>
        </is>
      </c>
      <c r="E472" t="inlineStr">
        <is>
          <t>HÄSSLEHOLM</t>
        </is>
      </c>
      <c r="G472" t="n">
        <v>14.7</v>
      </c>
      <c r="H472" t="n">
        <v>0</v>
      </c>
      <c r="I472" t="n">
        <v>0</v>
      </c>
      <c r="J472" t="n">
        <v>0</v>
      </c>
      <c r="K472" t="n">
        <v>0</v>
      </c>
      <c r="L472" t="n">
        <v>0</v>
      </c>
      <c r="M472" t="n">
        <v>0</v>
      </c>
      <c r="N472" t="n">
        <v>0</v>
      </c>
      <c r="O472" t="n">
        <v>0</v>
      </c>
      <c r="P472" t="n">
        <v>0</v>
      </c>
      <c r="Q472" t="n">
        <v>0</v>
      </c>
      <c r="R472" s="2" t="inlineStr"/>
    </row>
    <row r="473" ht="15" customHeight="1">
      <c r="A473" t="inlineStr">
        <is>
          <t>A 45443-2025</t>
        </is>
      </c>
      <c r="B473" s="1" t="n">
        <v>45920</v>
      </c>
      <c r="C473" s="1" t="n">
        <v>46035</v>
      </c>
      <c r="D473" t="inlineStr">
        <is>
          <t>SKÅNE LÄN</t>
        </is>
      </c>
      <c r="E473" t="inlineStr">
        <is>
          <t>HÄSSLEHOLM</t>
        </is>
      </c>
      <c r="G473" t="n">
        <v>1.6</v>
      </c>
      <c r="H473" t="n">
        <v>0</v>
      </c>
      <c r="I473" t="n">
        <v>0</v>
      </c>
      <c r="J473" t="n">
        <v>0</v>
      </c>
      <c r="K473" t="n">
        <v>0</v>
      </c>
      <c r="L473" t="n">
        <v>0</v>
      </c>
      <c r="M473" t="n">
        <v>0</v>
      </c>
      <c r="N473" t="n">
        <v>0</v>
      </c>
      <c r="O473" t="n">
        <v>0</v>
      </c>
      <c r="P473" t="n">
        <v>0</v>
      </c>
      <c r="Q473" t="n">
        <v>0</v>
      </c>
      <c r="R473" s="2" t="inlineStr"/>
    </row>
    <row r="474" ht="15" customHeight="1">
      <c r="A474" t="inlineStr">
        <is>
          <t>A 45496-2025</t>
        </is>
      </c>
      <c r="B474" s="1" t="n">
        <v>45922</v>
      </c>
      <c r="C474" s="1" t="n">
        <v>46035</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45458-2025</t>
        </is>
      </c>
      <c r="B475" s="1" t="n">
        <v>45920</v>
      </c>
      <c r="C475" s="1" t="n">
        <v>46035</v>
      </c>
      <c r="D475" t="inlineStr">
        <is>
          <t>SKÅNE LÄN</t>
        </is>
      </c>
      <c r="E475" t="inlineStr">
        <is>
          <t>HÄSSLEHOLM</t>
        </is>
      </c>
      <c r="G475" t="n">
        <v>1</v>
      </c>
      <c r="H475" t="n">
        <v>0</v>
      </c>
      <c r="I475" t="n">
        <v>0</v>
      </c>
      <c r="J475" t="n">
        <v>0</v>
      </c>
      <c r="K475" t="n">
        <v>0</v>
      </c>
      <c r="L475" t="n">
        <v>0</v>
      </c>
      <c r="M475" t="n">
        <v>0</v>
      </c>
      <c r="N475" t="n">
        <v>0</v>
      </c>
      <c r="O475" t="n">
        <v>0</v>
      </c>
      <c r="P475" t="n">
        <v>0</v>
      </c>
      <c r="Q475" t="n">
        <v>0</v>
      </c>
      <c r="R475" s="2" t="inlineStr"/>
    </row>
    <row r="476" ht="15" customHeight="1">
      <c r="A476" t="inlineStr">
        <is>
          <t>A 45465-2025</t>
        </is>
      </c>
      <c r="B476" s="1" t="n">
        <v>45920</v>
      </c>
      <c r="C476" s="1" t="n">
        <v>46035</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60846-2022</t>
        </is>
      </c>
      <c r="B477" s="1" t="n">
        <v>44914</v>
      </c>
      <c r="C477" s="1" t="n">
        <v>46035</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26244-2025</t>
        </is>
      </c>
      <c r="B478" s="1" t="n">
        <v>45805.57364583333</v>
      </c>
      <c r="C478" s="1" t="n">
        <v>46035</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9678-2025</t>
        </is>
      </c>
      <c r="B479" s="1" t="n">
        <v>45716</v>
      </c>
      <c r="C479" s="1" t="n">
        <v>46035</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45683-2025</t>
        </is>
      </c>
      <c r="B480" s="1" t="n">
        <v>45923.37590277778</v>
      </c>
      <c r="C480" s="1" t="n">
        <v>46035</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54408-2024</t>
        </is>
      </c>
      <c r="B481" s="1" t="n">
        <v>45617.47263888889</v>
      </c>
      <c r="C481" s="1" t="n">
        <v>46035</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38358-2024</t>
        </is>
      </c>
      <c r="B482" s="1" t="n">
        <v>45545.79068287037</v>
      </c>
      <c r="C482" s="1" t="n">
        <v>46035</v>
      </c>
      <c r="D482" t="inlineStr">
        <is>
          <t>SKÅNE LÄN</t>
        </is>
      </c>
      <c r="E482" t="inlineStr">
        <is>
          <t>HÄSSLEHOLM</t>
        </is>
      </c>
      <c r="G482" t="n">
        <v>9</v>
      </c>
      <c r="H482" t="n">
        <v>0</v>
      </c>
      <c r="I482" t="n">
        <v>0</v>
      </c>
      <c r="J482" t="n">
        <v>0</v>
      </c>
      <c r="K482" t="n">
        <v>0</v>
      </c>
      <c r="L482" t="n">
        <v>0</v>
      </c>
      <c r="M482" t="n">
        <v>0</v>
      </c>
      <c r="N482" t="n">
        <v>0</v>
      </c>
      <c r="O482" t="n">
        <v>0</v>
      </c>
      <c r="P482" t="n">
        <v>0</v>
      </c>
      <c r="Q482" t="n">
        <v>0</v>
      </c>
      <c r="R482" s="2" t="inlineStr"/>
    </row>
    <row r="483" ht="15" customHeight="1">
      <c r="A483" t="inlineStr">
        <is>
          <t>A 14008-2023</t>
        </is>
      </c>
      <c r="B483" s="1" t="n">
        <v>45008.56725694444</v>
      </c>
      <c r="C483" s="1" t="n">
        <v>46035</v>
      </c>
      <c r="D483" t="inlineStr">
        <is>
          <t>SKÅNE LÄN</t>
        </is>
      </c>
      <c r="E483" t="inlineStr">
        <is>
          <t>HÄSSLEHOLM</t>
        </is>
      </c>
      <c r="G483" t="n">
        <v>3.3</v>
      </c>
      <c r="H483" t="n">
        <v>0</v>
      </c>
      <c r="I483" t="n">
        <v>0</v>
      </c>
      <c r="J483" t="n">
        <v>0</v>
      </c>
      <c r="K483" t="n">
        <v>0</v>
      </c>
      <c r="L483" t="n">
        <v>0</v>
      </c>
      <c r="M483" t="n">
        <v>0</v>
      </c>
      <c r="N483" t="n">
        <v>0</v>
      </c>
      <c r="O483" t="n">
        <v>0</v>
      </c>
      <c r="P483" t="n">
        <v>0</v>
      </c>
      <c r="Q483" t="n">
        <v>0</v>
      </c>
      <c r="R483" s="2" t="inlineStr"/>
    </row>
    <row r="484" ht="15" customHeight="1">
      <c r="A484" t="inlineStr">
        <is>
          <t>A 20493-2024</t>
        </is>
      </c>
      <c r="B484" s="1" t="n">
        <v>45435</v>
      </c>
      <c r="C484" s="1" t="n">
        <v>46035</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13851-2025</t>
        </is>
      </c>
      <c r="B485" s="1" t="n">
        <v>45737.56777777777</v>
      </c>
      <c r="C485" s="1" t="n">
        <v>46035</v>
      </c>
      <c r="D485" t="inlineStr">
        <is>
          <t>SKÅNE LÄN</t>
        </is>
      </c>
      <c r="E485" t="inlineStr">
        <is>
          <t>HÄSSLEHOLM</t>
        </is>
      </c>
      <c r="G485" t="n">
        <v>3</v>
      </c>
      <c r="H485" t="n">
        <v>0</v>
      </c>
      <c r="I485" t="n">
        <v>0</v>
      </c>
      <c r="J485" t="n">
        <v>0</v>
      </c>
      <c r="K485" t="n">
        <v>0</v>
      </c>
      <c r="L485" t="n">
        <v>0</v>
      </c>
      <c r="M485" t="n">
        <v>0</v>
      </c>
      <c r="N485" t="n">
        <v>0</v>
      </c>
      <c r="O485" t="n">
        <v>0</v>
      </c>
      <c r="P485" t="n">
        <v>0</v>
      </c>
      <c r="Q485" t="n">
        <v>0</v>
      </c>
      <c r="R485" s="2" t="inlineStr"/>
    </row>
    <row r="486" ht="15" customHeight="1">
      <c r="A486" t="inlineStr">
        <is>
          <t>A 11121-2023</t>
        </is>
      </c>
      <c r="B486" s="1" t="n">
        <v>44986</v>
      </c>
      <c r="C486" s="1" t="n">
        <v>46035</v>
      </c>
      <c r="D486" t="inlineStr">
        <is>
          <t>SKÅNE LÄN</t>
        </is>
      </c>
      <c r="E486" t="inlineStr">
        <is>
          <t>HÄSSLEHOLM</t>
        </is>
      </c>
      <c r="F486" t="inlineStr">
        <is>
          <t>Kommuner</t>
        </is>
      </c>
      <c r="G486" t="n">
        <v>5.8</v>
      </c>
      <c r="H486" t="n">
        <v>0</v>
      </c>
      <c r="I486" t="n">
        <v>0</v>
      </c>
      <c r="J486" t="n">
        <v>0</v>
      </c>
      <c r="K486" t="n">
        <v>0</v>
      </c>
      <c r="L486" t="n">
        <v>0</v>
      </c>
      <c r="M486" t="n">
        <v>0</v>
      </c>
      <c r="N486" t="n">
        <v>0</v>
      </c>
      <c r="O486" t="n">
        <v>0</v>
      </c>
      <c r="P486" t="n">
        <v>0</v>
      </c>
      <c r="Q486" t="n">
        <v>0</v>
      </c>
      <c r="R486" s="2" t="inlineStr"/>
    </row>
    <row r="487" ht="15" customHeight="1">
      <c r="A487" t="inlineStr">
        <is>
          <t>A 41874-2024</t>
        </is>
      </c>
      <c r="B487" s="1" t="n">
        <v>45561</v>
      </c>
      <c r="C487" s="1" t="n">
        <v>46035</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45763-2025</t>
        </is>
      </c>
      <c r="B488" s="1" t="n">
        <v>45923.51778935185</v>
      </c>
      <c r="C488" s="1" t="n">
        <v>46035</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45764-2025</t>
        </is>
      </c>
      <c r="B489" s="1" t="n">
        <v>45923.52037037037</v>
      </c>
      <c r="C489" s="1" t="n">
        <v>46035</v>
      </c>
      <c r="D489" t="inlineStr">
        <is>
          <t>SKÅNE LÄN</t>
        </is>
      </c>
      <c r="E489" t="inlineStr">
        <is>
          <t>HÄSSLEHOLM</t>
        </is>
      </c>
      <c r="G489" t="n">
        <v>6.3</v>
      </c>
      <c r="H489" t="n">
        <v>0</v>
      </c>
      <c r="I489" t="n">
        <v>0</v>
      </c>
      <c r="J489" t="n">
        <v>0</v>
      </c>
      <c r="K489" t="n">
        <v>0</v>
      </c>
      <c r="L489" t="n">
        <v>0</v>
      </c>
      <c r="M489" t="n">
        <v>0</v>
      </c>
      <c r="N489" t="n">
        <v>0</v>
      </c>
      <c r="O489" t="n">
        <v>0</v>
      </c>
      <c r="P489" t="n">
        <v>0</v>
      </c>
      <c r="Q489" t="n">
        <v>0</v>
      </c>
      <c r="R489" s="2" t="inlineStr"/>
    </row>
    <row r="490" ht="15" customHeight="1">
      <c r="A490" t="inlineStr">
        <is>
          <t>A 11116-2023</t>
        </is>
      </c>
      <c r="B490" s="1" t="n">
        <v>44986</v>
      </c>
      <c r="C490" s="1" t="n">
        <v>46035</v>
      </c>
      <c r="D490" t="inlineStr">
        <is>
          <t>SKÅNE LÄN</t>
        </is>
      </c>
      <c r="E490" t="inlineStr">
        <is>
          <t>HÄSSLEHOLM</t>
        </is>
      </c>
      <c r="F490" t="inlineStr">
        <is>
          <t>Kommuner</t>
        </is>
      </c>
      <c r="G490" t="n">
        <v>15.1</v>
      </c>
      <c r="H490" t="n">
        <v>0</v>
      </c>
      <c r="I490" t="n">
        <v>0</v>
      </c>
      <c r="J490" t="n">
        <v>0</v>
      </c>
      <c r="K490" t="n">
        <v>0</v>
      </c>
      <c r="L490" t="n">
        <v>0</v>
      </c>
      <c r="M490" t="n">
        <v>0</v>
      </c>
      <c r="N490" t="n">
        <v>0</v>
      </c>
      <c r="O490" t="n">
        <v>0</v>
      </c>
      <c r="P490" t="n">
        <v>0</v>
      </c>
      <c r="Q490" t="n">
        <v>0</v>
      </c>
      <c r="R490" s="2" t="inlineStr"/>
    </row>
    <row r="491" ht="15" customHeight="1">
      <c r="A491" t="inlineStr">
        <is>
          <t>A 11798-2022</t>
        </is>
      </c>
      <c r="B491" s="1" t="n">
        <v>44634.64900462963</v>
      </c>
      <c r="C491" s="1" t="n">
        <v>46035</v>
      </c>
      <c r="D491" t="inlineStr">
        <is>
          <t>SKÅNE LÄN</t>
        </is>
      </c>
      <c r="E491" t="inlineStr">
        <is>
          <t>HÄSSLEHOLM</t>
        </is>
      </c>
      <c r="G491" t="n">
        <v>2.8</v>
      </c>
      <c r="H491" t="n">
        <v>0</v>
      </c>
      <c r="I491" t="n">
        <v>0</v>
      </c>
      <c r="J491" t="n">
        <v>0</v>
      </c>
      <c r="K491" t="n">
        <v>0</v>
      </c>
      <c r="L491" t="n">
        <v>0</v>
      </c>
      <c r="M491" t="n">
        <v>0</v>
      </c>
      <c r="N491" t="n">
        <v>0</v>
      </c>
      <c r="O491" t="n">
        <v>0</v>
      </c>
      <c r="P491" t="n">
        <v>0</v>
      </c>
      <c r="Q491" t="n">
        <v>0</v>
      </c>
      <c r="R491" s="2" t="inlineStr"/>
    </row>
    <row r="492" ht="15" customHeight="1">
      <c r="A492" t="inlineStr">
        <is>
          <t>A 45762-2025</t>
        </is>
      </c>
      <c r="B492" s="1" t="n">
        <v>45923.51548611111</v>
      </c>
      <c r="C492" s="1" t="n">
        <v>46035</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9668-2025</t>
        </is>
      </c>
      <c r="B493" s="1" t="n">
        <v>45716</v>
      </c>
      <c r="C493" s="1" t="n">
        <v>46035</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13890-2024</t>
        </is>
      </c>
      <c r="B494" s="1" t="n">
        <v>45391</v>
      </c>
      <c r="C494" s="1" t="n">
        <v>46035</v>
      </c>
      <c r="D494" t="inlineStr">
        <is>
          <t>SKÅNE LÄN</t>
        </is>
      </c>
      <c r="E494" t="inlineStr">
        <is>
          <t>HÄSSLEHOLM</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39223-2024</t>
        </is>
      </c>
      <c r="B495" s="1" t="n">
        <v>45550</v>
      </c>
      <c r="C495" s="1" t="n">
        <v>46035</v>
      </c>
      <c r="D495" t="inlineStr">
        <is>
          <t>SKÅNE LÄN</t>
        </is>
      </c>
      <c r="E495" t="inlineStr">
        <is>
          <t>HÄSSLEHOLM</t>
        </is>
      </c>
      <c r="G495" t="n">
        <v>3.1</v>
      </c>
      <c r="H495" t="n">
        <v>0</v>
      </c>
      <c r="I495" t="n">
        <v>0</v>
      </c>
      <c r="J495" t="n">
        <v>0</v>
      </c>
      <c r="K495" t="n">
        <v>0</v>
      </c>
      <c r="L495" t="n">
        <v>0</v>
      </c>
      <c r="M495" t="n">
        <v>0</v>
      </c>
      <c r="N495" t="n">
        <v>0</v>
      </c>
      <c r="O495" t="n">
        <v>0</v>
      </c>
      <c r="P495" t="n">
        <v>0</v>
      </c>
      <c r="Q495" t="n">
        <v>0</v>
      </c>
      <c r="R495" s="2" t="inlineStr"/>
    </row>
    <row r="496" ht="15" customHeight="1">
      <c r="A496" t="inlineStr">
        <is>
          <t>A 46605-2025</t>
        </is>
      </c>
      <c r="B496" s="1" t="n">
        <v>45926.41214120371</v>
      </c>
      <c r="C496" s="1" t="n">
        <v>46035</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6122-2021</t>
        </is>
      </c>
      <c r="B497" s="1" t="n">
        <v>44232.55091435185</v>
      </c>
      <c r="C497" s="1" t="n">
        <v>46035</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13932-2023</t>
        </is>
      </c>
      <c r="B498" s="1" t="n">
        <v>45008.43935185186</v>
      </c>
      <c r="C498" s="1" t="n">
        <v>46035</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17138-2025</t>
        </is>
      </c>
      <c r="B499" s="1" t="n">
        <v>45755.80378472222</v>
      </c>
      <c r="C499" s="1" t="n">
        <v>46035</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46761-2025</t>
        </is>
      </c>
      <c r="B500" s="1" t="n">
        <v>45926.62289351852</v>
      </c>
      <c r="C500" s="1" t="n">
        <v>46035</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15512-2025</t>
        </is>
      </c>
      <c r="B501" s="1" t="n">
        <v>45747</v>
      </c>
      <c r="C501" s="1" t="n">
        <v>46035</v>
      </c>
      <c r="D501" t="inlineStr">
        <is>
          <t>SKÅNE LÄN</t>
        </is>
      </c>
      <c r="E501" t="inlineStr">
        <is>
          <t>HÄSSLEHOLM</t>
        </is>
      </c>
      <c r="G501" t="n">
        <v>3.5</v>
      </c>
      <c r="H501" t="n">
        <v>0</v>
      </c>
      <c r="I501" t="n">
        <v>0</v>
      </c>
      <c r="J501" t="n">
        <v>0</v>
      </c>
      <c r="K501" t="n">
        <v>0</v>
      </c>
      <c r="L501" t="n">
        <v>0</v>
      </c>
      <c r="M501" t="n">
        <v>0</v>
      </c>
      <c r="N501" t="n">
        <v>0</v>
      </c>
      <c r="O501" t="n">
        <v>0</v>
      </c>
      <c r="P501" t="n">
        <v>0</v>
      </c>
      <c r="Q501" t="n">
        <v>0</v>
      </c>
      <c r="R501" s="2" t="inlineStr"/>
    </row>
    <row r="502" ht="15" customHeight="1">
      <c r="A502" t="inlineStr">
        <is>
          <t>A 46786-2025</t>
        </is>
      </c>
      <c r="B502" s="1" t="n">
        <v>45926.64484953704</v>
      </c>
      <c r="C502" s="1" t="n">
        <v>46035</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14700-2023</t>
        </is>
      </c>
      <c r="B503" s="1" t="n">
        <v>45014.38376157408</v>
      </c>
      <c r="C503" s="1" t="n">
        <v>46035</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3531-2023</t>
        </is>
      </c>
      <c r="B504" s="1" t="n">
        <v>44950</v>
      </c>
      <c r="C504" s="1" t="n">
        <v>46035</v>
      </c>
      <c r="D504" t="inlineStr">
        <is>
          <t>SKÅNE LÄN</t>
        </is>
      </c>
      <c r="E504" t="inlineStr">
        <is>
          <t>HÄSSLEHOLM</t>
        </is>
      </c>
      <c r="G504" t="n">
        <v>10.1</v>
      </c>
      <c r="H504" t="n">
        <v>0</v>
      </c>
      <c r="I504" t="n">
        <v>0</v>
      </c>
      <c r="J504" t="n">
        <v>0</v>
      </c>
      <c r="K504" t="n">
        <v>0</v>
      </c>
      <c r="L504" t="n">
        <v>0</v>
      </c>
      <c r="M504" t="n">
        <v>0</v>
      </c>
      <c r="N504" t="n">
        <v>0</v>
      </c>
      <c r="O504" t="n">
        <v>0</v>
      </c>
      <c r="P504" t="n">
        <v>0</v>
      </c>
      <c r="Q504" t="n">
        <v>0</v>
      </c>
      <c r="R504" s="2" t="inlineStr"/>
    </row>
    <row r="505" ht="15" customHeight="1">
      <c r="A505" t="inlineStr">
        <is>
          <t>A 27349-2025</t>
        </is>
      </c>
      <c r="B505" s="1" t="n">
        <v>45812</v>
      </c>
      <c r="C505" s="1" t="n">
        <v>46035</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16368-2025</t>
        </is>
      </c>
      <c r="B506" s="1" t="n">
        <v>45751</v>
      </c>
      <c r="C506" s="1" t="n">
        <v>46035</v>
      </c>
      <c r="D506" t="inlineStr">
        <is>
          <t>SKÅNE LÄN</t>
        </is>
      </c>
      <c r="E506" t="inlineStr">
        <is>
          <t>HÄSSLEHOLM</t>
        </is>
      </c>
      <c r="G506" t="n">
        <v>5</v>
      </c>
      <c r="H506" t="n">
        <v>0</v>
      </c>
      <c r="I506" t="n">
        <v>0</v>
      </c>
      <c r="J506" t="n">
        <v>0</v>
      </c>
      <c r="K506" t="n">
        <v>0</v>
      </c>
      <c r="L506" t="n">
        <v>0</v>
      </c>
      <c r="M506" t="n">
        <v>0</v>
      </c>
      <c r="N506" t="n">
        <v>0</v>
      </c>
      <c r="O506" t="n">
        <v>0</v>
      </c>
      <c r="P506" t="n">
        <v>0</v>
      </c>
      <c r="Q506" t="n">
        <v>0</v>
      </c>
      <c r="R506" s="2" t="inlineStr"/>
    </row>
    <row r="507" ht="15" customHeight="1">
      <c r="A507" t="inlineStr">
        <is>
          <t>A 4579-2025</t>
        </is>
      </c>
      <c r="B507" s="1" t="n">
        <v>45687.5009375</v>
      </c>
      <c r="C507" s="1" t="n">
        <v>46035</v>
      </c>
      <c r="D507" t="inlineStr">
        <is>
          <t>SKÅNE LÄN</t>
        </is>
      </c>
      <c r="E507" t="inlineStr">
        <is>
          <t>HÄSSLEHOLM</t>
        </is>
      </c>
      <c r="G507" t="n">
        <v>2.8</v>
      </c>
      <c r="H507" t="n">
        <v>0</v>
      </c>
      <c r="I507" t="n">
        <v>0</v>
      </c>
      <c r="J507" t="n">
        <v>0</v>
      </c>
      <c r="K507" t="n">
        <v>0</v>
      </c>
      <c r="L507" t="n">
        <v>0</v>
      </c>
      <c r="M507" t="n">
        <v>0</v>
      </c>
      <c r="N507" t="n">
        <v>0</v>
      </c>
      <c r="O507" t="n">
        <v>0</v>
      </c>
      <c r="P507" t="n">
        <v>0</v>
      </c>
      <c r="Q507" t="n">
        <v>0</v>
      </c>
      <c r="R507" s="2" t="inlineStr"/>
    </row>
    <row r="508" ht="15" customHeight="1">
      <c r="A508" t="inlineStr">
        <is>
          <t>A 18623-2023</t>
        </is>
      </c>
      <c r="B508" s="1" t="n">
        <v>45043</v>
      </c>
      <c r="C508" s="1" t="n">
        <v>46035</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47259-2025</t>
        </is>
      </c>
      <c r="B509" s="1" t="n">
        <v>45930</v>
      </c>
      <c r="C509" s="1" t="n">
        <v>46035</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10115-2024</t>
        </is>
      </c>
      <c r="B510" s="1" t="n">
        <v>45364.55339120371</v>
      </c>
      <c r="C510" s="1" t="n">
        <v>46035</v>
      </c>
      <c r="D510" t="inlineStr">
        <is>
          <t>SKÅNE LÄN</t>
        </is>
      </c>
      <c r="E510" t="inlineStr">
        <is>
          <t>HÄSSLEHOLM</t>
        </is>
      </c>
      <c r="G510" t="n">
        <v>7</v>
      </c>
      <c r="H510" t="n">
        <v>0</v>
      </c>
      <c r="I510" t="n">
        <v>0</v>
      </c>
      <c r="J510" t="n">
        <v>0</v>
      </c>
      <c r="K510" t="n">
        <v>0</v>
      </c>
      <c r="L510" t="n">
        <v>0</v>
      </c>
      <c r="M510" t="n">
        <v>0</v>
      </c>
      <c r="N510" t="n">
        <v>0</v>
      </c>
      <c r="O510" t="n">
        <v>0</v>
      </c>
      <c r="P510" t="n">
        <v>0</v>
      </c>
      <c r="Q510" t="n">
        <v>0</v>
      </c>
      <c r="R510" s="2" t="inlineStr"/>
    </row>
    <row r="511" ht="15" customHeight="1">
      <c r="A511" t="inlineStr">
        <is>
          <t>A 3663-2024</t>
        </is>
      </c>
      <c r="B511" s="1" t="n">
        <v>45321.34775462963</v>
      </c>
      <c r="C511" s="1" t="n">
        <v>46035</v>
      </c>
      <c r="D511" t="inlineStr">
        <is>
          <t>SKÅNE LÄN</t>
        </is>
      </c>
      <c r="E511" t="inlineStr">
        <is>
          <t>HÄSSLEHOLM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67801-2021</t>
        </is>
      </c>
      <c r="B512" s="1" t="n">
        <v>44525</v>
      </c>
      <c r="C512" s="1" t="n">
        <v>46035</v>
      </c>
      <c r="D512" t="inlineStr">
        <is>
          <t>SKÅNE LÄN</t>
        </is>
      </c>
      <c r="E512" t="inlineStr">
        <is>
          <t>HÄSSLEHOLM</t>
        </is>
      </c>
      <c r="G512" t="n">
        <v>2.2</v>
      </c>
      <c r="H512" t="n">
        <v>0</v>
      </c>
      <c r="I512" t="n">
        <v>0</v>
      </c>
      <c r="J512" t="n">
        <v>0</v>
      </c>
      <c r="K512" t="n">
        <v>0</v>
      </c>
      <c r="L512" t="n">
        <v>0</v>
      </c>
      <c r="M512" t="n">
        <v>0</v>
      </c>
      <c r="N512" t="n">
        <v>0</v>
      </c>
      <c r="O512" t="n">
        <v>0</v>
      </c>
      <c r="P512" t="n">
        <v>0</v>
      </c>
      <c r="Q512" t="n">
        <v>0</v>
      </c>
      <c r="R512" s="2" t="inlineStr"/>
    </row>
    <row r="513" ht="15" customHeight="1">
      <c r="A513" t="inlineStr">
        <is>
          <t>A 7771-2021</t>
        </is>
      </c>
      <c r="B513" s="1" t="n">
        <v>44242</v>
      </c>
      <c r="C513" s="1" t="n">
        <v>46035</v>
      </c>
      <c r="D513" t="inlineStr">
        <is>
          <t>SKÅNE LÄN</t>
        </is>
      </c>
      <c r="E513" t="inlineStr">
        <is>
          <t>HÄSSLEHOLM</t>
        </is>
      </c>
      <c r="G513" t="n">
        <v>4.2</v>
      </c>
      <c r="H513" t="n">
        <v>0</v>
      </c>
      <c r="I513" t="n">
        <v>0</v>
      </c>
      <c r="J513" t="n">
        <v>0</v>
      </c>
      <c r="K513" t="n">
        <v>0</v>
      </c>
      <c r="L513" t="n">
        <v>0</v>
      </c>
      <c r="M513" t="n">
        <v>0</v>
      </c>
      <c r="N513" t="n">
        <v>0</v>
      </c>
      <c r="O513" t="n">
        <v>0</v>
      </c>
      <c r="P513" t="n">
        <v>0</v>
      </c>
      <c r="Q513" t="n">
        <v>0</v>
      </c>
      <c r="R513" s="2" t="inlineStr"/>
    </row>
    <row r="514" ht="15" customHeight="1">
      <c r="A514" t="inlineStr">
        <is>
          <t>A 27393-2025</t>
        </is>
      </c>
      <c r="B514" s="1" t="n">
        <v>45812.68295138889</v>
      </c>
      <c r="C514" s="1" t="n">
        <v>46035</v>
      </c>
      <c r="D514" t="inlineStr">
        <is>
          <t>SKÅNE LÄN</t>
        </is>
      </c>
      <c r="E514" t="inlineStr">
        <is>
          <t>HÄSSLEHOLM</t>
        </is>
      </c>
      <c r="G514" t="n">
        <v>1</v>
      </c>
      <c r="H514" t="n">
        <v>0</v>
      </c>
      <c r="I514" t="n">
        <v>0</v>
      </c>
      <c r="J514" t="n">
        <v>0</v>
      </c>
      <c r="K514" t="n">
        <v>0</v>
      </c>
      <c r="L514" t="n">
        <v>0</v>
      </c>
      <c r="M514" t="n">
        <v>0</v>
      </c>
      <c r="N514" t="n">
        <v>0</v>
      </c>
      <c r="O514" t="n">
        <v>0</v>
      </c>
      <c r="P514" t="n">
        <v>0</v>
      </c>
      <c r="Q514" t="n">
        <v>0</v>
      </c>
      <c r="R514" s="2" t="inlineStr"/>
    </row>
    <row r="515" ht="15" customHeight="1">
      <c r="A515" t="inlineStr">
        <is>
          <t>A 47473-2025</t>
        </is>
      </c>
      <c r="B515" s="1" t="n">
        <v>45930.67763888889</v>
      </c>
      <c r="C515" s="1" t="n">
        <v>46035</v>
      </c>
      <c r="D515" t="inlineStr">
        <is>
          <t>SKÅNE LÄN</t>
        </is>
      </c>
      <c r="E515" t="inlineStr">
        <is>
          <t>HÄSSLEHOLM</t>
        </is>
      </c>
      <c r="G515" t="n">
        <v>4.7</v>
      </c>
      <c r="H515" t="n">
        <v>0</v>
      </c>
      <c r="I515" t="n">
        <v>0</v>
      </c>
      <c r="J515" t="n">
        <v>0</v>
      </c>
      <c r="K515" t="n">
        <v>0</v>
      </c>
      <c r="L515" t="n">
        <v>0</v>
      </c>
      <c r="M515" t="n">
        <v>0</v>
      </c>
      <c r="N515" t="n">
        <v>0</v>
      </c>
      <c r="O515" t="n">
        <v>0</v>
      </c>
      <c r="P515" t="n">
        <v>0</v>
      </c>
      <c r="Q515" t="n">
        <v>0</v>
      </c>
      <c r="R515" s="2" t="inlineStr"/>
    </row>
    <row r="516" ht="15" customHeight="1">
      <c r="A516" t="inlineStr">
        <is>
          <t>A 45398-2024</t>
        </is>
      </c>
      <c r="B516" s="1" t="n">
        <v>45576.56260416667</v>
      </c>
      <c r="C516" s="1" t="n">
        <v>46035</v>
      </c>
      <c r="D516" t="inlineStr">
        <is>
          <t>SKÅNE LÄN</t>
        </is>
      </c>
      <c r="E516" t="inlineStr">
        <is>
          <t>HÄSSLEHOLM</t>
        </is>
      </c>
      <c r="G516" t="n">
        <v>4.2</v>
      </c>
      <c r="H516" t="n">
        <v>0</v>
      </c>
      <c r="I516" t="n">
        <v>0</v>
      </c>
      <c r="J516" t="n">
        <v>0</v>
      </c>
      <c r="K516" t="n">
        <v>0</v>
      </c>
      <c r="L516" t="n">
        <v>0</v>
      </c>
      <c r="M516" t="n">
        <v>0</v>
      </c>
      <c r="N516" t="n">
        <v>0</v>
      </c>
      <c r="O516" t="n">
        <v>0</v>
      </c>
      <c r="P516" t="n">
        <v>0</v>
      </c>
      <c r="Q516" t="n">
        <v>0</v>
      </c>
      <c r="R516" s="2" t="inlineStr"/>
    </row>
    <row r="517" ht="15" customHeight="1">
      <c r="A517" t="inlineStr">
        <is>
          <t>A 46855-2025</t>
        </is>
      </c>
      <c r="B517" s="1" t="n">
        <v>45928.88497685185</v>
      </c>
      <c r="C517" s="1" t="n">
        <v>46035</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4809-2025</t>
        </is>
      </c>
      <c r="B518" s="1" t="n">
        <v>45688.60148148148</v>
      </c>
      <c r="C518" s="1" t="n">
        <v>46035</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47466-2025</t>
        </is>
      </c>
      <c r="B519" s="1" t="n">
        <v>45930.66677083333</v>
      </c>
      <c r="C519" s="1" t="n">
        <v>46035</v>
      </c>
      <c r="D519" t="inlineStr">
        <is>
          <t>SKÅNE LÄN</t>
        </is>
      </c>
      <c r="E519" t="inlineStr">
        <is>
          <t>HÄSSLEHOLM</t>
        </is>
      </c>
      <c r="G519" t="n">
        <v>1.8</v>
      </c>
      <c r="H519" t="n">
        <v>0</v>
      </c>
      <c r="I519" t="n">
        <v>0</v>
      </c>
      <c r="J519" t="n">
        <v>0</v>
      </c>
      <c r="K519" t="n">
        <v>0</v>
      </c>
      <c r="L519" t="n">
        <v>0</v>
      </c>
      <c r="M519" t="n">
        <v>0</v>
      </c>
      <c r="N519" t="n">
        <v>0</v>
      </c>
      <c r="O519" t="n">
        <v>0</v>
      </c>
      <c r="P519" t="n">
        <v>0</v>
      </c>
      <c r="Q519" t="n">
        <v>0</v>
      </c>
      <c r="R519" s="2" t="inlineStr"/>
    </row>
    <row r="520" ht="15" customHeight="1">
      <c r="A520" t="inlineStr">
        <is>
          <t>A 59030-2024</t>
        </is>
      </c>
      <c r="B520" s="1" t="n">
        <v>45636.68916666666</v>
      </c>
      <c r="C520" s="1" t="n">
        <v>46035</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47126-2025</t>
        </is>
      </c>
      <c r="B521" s="1" t="n">
        <v>45929.685625</v>
      </c>
      <c r="C521" s="1" t="n">
        <v>46035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47127-2025</t>
        </is>
      </c>
      <c r="B522" s="1" t="n">
        <v>45929.6893287037</v>
      </c>
      <c r="C522" s="1" t="n">
        <v>46035</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7481-2023</t>
        </is>
      </c>
      <c r="B523" s="1" t="n">
        <v>44971</v>
      </c>
      <c r="C523" s="1" t="n">
        <v>46035</v>
      </c>
      <c r="D523" t="inlineStr">
        <is>
          <t>SKÅNE LÄN</t>
        </is>
      </c>
      <c r="E523" t="inlineStr">
        <is>
          <t>HÄSSLEHOLM</t>
        </is>
      </c>
      <c r="G523" t="n">
        <v>1.4</v>
      </c>
      <c r="H523" t="n">
        <v>0</v>
      </c>
      <c r="I523" t="n">
        <v>0</v>
      </c>
      <c r="J523" t="n">
        <v>0</v>
      </c>
      <c r="K523" t="n">
        <v>0</v>
      </c>
      <c r="L523" t="n">
        <v>0</v>
      </c>
      <c r="M523" t="n">
        <v>0</v>
      </c>
      <c r="N523" t="n">
        <v>0</v>
      </c>
      <c r="O523" t="n">
        <v>0</v>
      </c>
      <c r="P523" t="n">
        <v>0</v>
      </c>
      <c r="Q523" t="n">
        <v>0</v>
      </c>
      <c r="R523" s="2" t="inlineStr"/>
    </row>
    <row r="524" ht="15" customHeight="1">
      <c r="A524" t="inlineStr">
        <is>
          <t>A 28240-2025</t>
        </is>
      </c>
      <c r="B524" s="1" t="n">
        <v>45817</v>
      </c>
      <c r="C524" s="1" t="n">
        <v>46035</v>
      </c>
      <c r="D524" t="inlineStr">
        <is>
          <t>SKÅNE LÄN</t>
        </is>
      </c>
      <c r="E524" t="inlineStr">
        <is>
          <t>HÄSSLEHOLM</t>
        </is>
      </c>
      <c r="G524" t="n">
        <v>7.7</v>
      </c>
      <c r="H524" t="n">
        <v>0</v>
      </c>
      <c r="I524" t="n">
        <v>0</v>
      </c>
      <c r="J524" t="n">
        <v>0</v>
      </c>
      <c r="K524" t="n">
        <v>0</v>
      </c>
      <c r="L524" t="n">
        <v>0</v>
      </c>
      <c r="M524" t="n">
        <v>0</v>
      </c>
      <c r="N524" t="n">
        <v>0</v>
      </c>
      <c r="O524" t="n">
        <v>0</v>
      </c>
      <c r="P524" t="n">
        <v>0</v>
      </c>
      <c r="Q524" t="n">
        <v>0</v>
      </c>
      <c r="R524" s="2" t="inlineStr"/>
    </row>
    <row r="525" ht="15" customHeight="1">
      <c r="A525" t="inlineStr">
        <is>
          <t>A 49845-2025</t>
        </is>
      </c>
      <c r="B525" s="1" t="n">
        <v>45940.48015046296</v>
      </c>
      <c r="C525" s="1" t="n">
        <v>46035</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28095-2025</t>
        </is>
      </c>
      <c r="B526" s="1" t="n">
        <v>45817</v>
      </c>
      <c r="C526" s="1" t="n">
        <v>46035</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35150-2023</t>
        </is>
      </c>
      <c r="B527" s="1" t="n">
        <v>45145</v>
      </c>
      <c r="C527" s="1" t="n">
        <v>46035</v>
      </c>
      <c r="D527" t="inlineStr">
        <is>
          <t>SKÅNE LÄN</t>
        </is>
      </c>
      <c r="E527" t="inlineStr">
        <is>
          <t>HÄSSLEHOLM</t>
        </is>
      </c>
      <c r="G527" t="n">
        <v>4.9</v>
      </c>
      <c r="H527" t="n">
        <v>0</v>
      </c>
      <c r="I527" t="n">
        <v>0</v>
      </c>
      <c r="J527" t="n">
        <v>0</v>
      </c>
      <c r="K527" t="n">
        <v>0</v>
      </c>
      <c r="L527" t="n">
        <v>0</v>
      </c>
      <c r="M527" t="n">
        <v>0</v>
      </c>
      <c r="N527" t="n">
        <v>0</v>
      </c>
      <c r="O527" t="n">
        <v>0</v>
      </c>
      <c r="P527" t="n">
        <v>0</v>
      </c>
      <c r="Q527" t="n">
        <v>0</v>
      </c>
      <c r="R527" s="2" t="inlineStr"/>
    </row>
    <row r="528" ht="15" customHeight="1">
      <c r="A528" t="inlineStr">
        <is>
          <t>A 27940-2025</t>
        </is>
      </c>
      <c r="B528" s="1" t="n">
        <v>45817.50439814815</v>
      </c>
      <c r="C528" s="1" t="n">
        <v>46035</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27887-2025</t>
        </is>
      </c>
      <c r="B529" s="1" t="n">
        <v>45817.45994212963</v>
      </c>
      <c r="C529" s="1" t="n">
        <v>46035</v>
      </c>
      <c r="D529" t="inlineStr">
        <is>
          <t>SKÅNE LÄN</t>
        </is>
      </c>
      <c r="E529" t="inlineStr">
        <is>
          <t>HÄSSLEHOLM</t>
        </is>
      </c>
      <c r="G529" t="n">
        <v>4.8</v>
      </c>
      <c r="H529" t="n">
        <v>0</v>
      </c>
      <c r="I529" t="n">
        <v>0</v>
      </c>
      <c r="J529" t="n">
        <v>0</v>
      </c>
      <c r="K529" t="n">
        <v>0</v>
      </c>
      <c r="L529" t="n">
        <v>0</v>
      </c>
      <c r="M529" t="n">
        <v>0</v>
      </c>
      <c r="N529" t="n">
        <v>0</v>
      </c>
      <c r="O529" t="n">
        <v>0</v>
      </c>
      <c r="P529" t="n">
        <v>0</v>
      </c>
      <c r="Q529" t="n">
        <v>0</v>
      </c>
      <c r="R529" s="2" t="inlineStr"/>
    </row>
    <row r="530" ht="15" customHeight="1">
      <c r="A530" t="inlineStr">
        <is>
          <t>A 12507-2022</t>
        </is>
      </c>
      <c r="B530" s="1" t="n">
        <v>44638</v>
      </c>
      <c r="C530" s="1" t="n">
        <v>46035</v>
      </c>
      <c r="D530" t="inlineStr">
        <is>
          <t>SKÅNE LÄN</t>
        </is>
      </c>
      <c r="E530" t="inlineStr">
        <is>
          <t>HÄSSLEHOLM</t>
        </is>
      </c>
      <c r="G530" t="n">
        <v>2.7</v>
      </c>
      <c r="H530" t="n">
        <v>0</v>
      </c>
      <c r="I530" t="n">
        <v>0</v>
      </c>
      <c r="J530" t="n">
        <v>0</v>
      </c>
      <c r="K530" t="n">
        <v>0</v>
      </c>
      <c r="L530" t="n">
        <v>0</v>
      </c>
      <c r="M530" t="n">
        <v>0</v>
      </c>
      <c r="N530" t="n">
        <v>0</v>
      </c>
      <c r="O530" t="n">
        <v>0</v>
      </c>
      <c r="P530" t="n">
        <v>0</v>
      </c>
      <c r="Q530" t="n">
        <v>0</v>
      </c>
      <c r="R530" s="2" t="inlineStr"/>
    </row>
    <row r="531" ht="15" customHeight="1">
      <c r="A531" t="inlineStr">
        <is>
          <t>A 49827-2022</t>
        </is>
      </c>
      <c r="B531" s="1" t="n">
        <v>44859</v>
      </c>
      <c r="C531" s="1" t="n">
        <v>46035</v>
      </c>
      <c r="D531" t="inlineStr">
        <is>
          <t>SKÅNE LÄN</t>
        </is>
      </c>
      <c r="E531" t="inlineStr">
        <is>
          <t>HÄSSLEHOLM</t>
        </is>
      </c>
      <c r="G531" t="n">
        <v>6.1</v>
      </c>
      <c r="H531" t="n">
        <v>0</v>
      </c>
      <c r="I531" t="n">
        <v>0</v>
      </c>
      <c r="J531" t="n">
        <v>0</v>
      </c>
      <c r="K531" t="n">
        <v>0</v>
      </c>
      <c r="L531" t="n">
        <v>0</v>
      </c>
      <c r="M531" t="n">
        <v>0</v>
      </c>
      <c r="N531" t="n">
        <v>0</v>
      </c>
      <c r="O531" t="n">
        <v>0</v>
      </c>
      <c r="P531" t="n">
        <v>0</v>
      </c>
      <c r="Q531" t="n">
        <v>0</v>
      </c>
      <c r="R531" s="2" t="inlineStr"/>
    </row>
    <row r="532" ht="15" customHeight="1">
      <c r="A532" t="inlineStr">
        <is>
          <t>A 28251-2025</t>
        </is>
      </c>
      <c r="B532" s="1" t="n">
        <v>45817</v>
      </c>
      <c r="C532" s="1" t="n">
        <v>46035</v>
      </c>
      <c r="D532" t="inlineStr">
        <is>
          <t>SKÅNE LÄN</t>
        </is>
      </c>
      <c r="E532" t="inlineStr">
        <is>
          <t>HÄSSLEHOLM</t>
        </is>
      </c>
      <c r="G532" t="n">
        <v>7.2</v>
      </c>
      <c r="H532" t="n">
        <v>0</v>
      </c>
      <c r="I532" t="n">
        <v>0</v>
      </c>
      <c r="J532" t="n">
        <v>0</v>
      </c>
      <c r="K532" t="n">
        <v>0</v>
      </c>
      <c r="L532" t="n">
        <v>0</v>
      </c>
      <c r="M532" t="n">
        <v>0</v>
      </c>
      <c r="N532" t="n">
        <v>0</v>
      </c>
      <c r="O532" t="n">
        <v>0</v>
      </c>
      <c r="P532" t="n">
        <v>0</v>
      </c>
      <c r="Q532" t="n">
        <v>0</v>
      </c>
      <c r="R532" s="2" t="inlineStr"/>
    </row>
    <row r="533" ht="15" customHeight="1">
      <c r="A533" t="inlineStr">
        <is>
          <t>A 27934-2025</t>
        </is>
      </c>
      <c r="B533" s="1" t="n">
        <v>45817.49761574074</v>
      </c>
      <c r="C533" s="1" t="n">
        <v>46035</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28122-2025</t>
        </is>
      </c>
      <c r="B534" s="1" t="n">
        <v>45817</v>
      </c>
      <c r="C534" s="1" t="n">
        <v>46035</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22690-2022</t>
        </is>
      </c>
      <c r="B535" s="1" t="n">
        <v>44714.5421875</v>
      </c>
      <c r="C535" s="1" t="n">
        <v>46035</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57079-2022</t>
        </is>
      </c>
      <c r="B536" s="1" t="n">
        <v>44895</v>
      </c>
      <c r="C536" s="1" t="n">
        <v>46035</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61498-2022</t>
        </is>
      </c>
      <c r="B537" s="1" t="n">
        <v>44910</v>
      </c>
      <c r="C537" s="1" t="n">
        <v>46035</v>
      </c>
      <c r="D537" t="inlineStr">
        <is>
          <t>SKÅNE LÄN</t>
        </is>
      </c>
      <c r="E537" t="inlineStr">
        <is>
          <t>HÄSSLEHOLM</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15417-2022</t>
        </is>
      </c>
      <c r="B538" s="1" t="n">
        <v>44659</v>
      </c>
      <c r="C538" s="1" t="n">
        <v>46035</v>
      </c>
      <c r="D538" t="inlineStr">
        <is>
          <t>SKÅNE LÄN</t>
        </is>
      </c>
      <c r="E538" t="inlineStr">
        <is>
          <t>HÄSSLEHOLM</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36240-2023</t>
        </is>
      </c>
      <c r="B539" s="1" t="n">
        <v>45150.89295138889</v>
      </c>
      <c r="C539" s="1" t="n">
        <v>46035</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20564-2023</t>
        </is>
      </c>
      <c r="B540" s="1" t="n">
        <v>45057</v>
      </c>
      <c r="C540" s="1" t="n">
        <v>46035</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41694-2024</t>
        </is>
      </c>
      <c r="B541" s="1" t="n">
        <v>45560.68341435185</v>
      </c>
      <c r="C541" s="1" t="n">
        <v>46035</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47757-2024</t>
        </is>
      </c>
      <c r="B542" s="1" t="n">
        <v>45588.55075231481</v>
      </c>
      <c r="C542" s="1" t="n">
        <v>46035</v>
      </c>
      <c r="D542" t="inlineStr">
        <is>
          <t>SKÅNE LÄN</t>
        </is>
      </c>
      <c r="E542" t="inlineStr">
        <is>
          <t>HÄSSLEHOLM</t>
        </is>
      </c>
      <c r="G542" t="n">
        <v>5.5</v>
      </c>
      <c r="H542" t="n">
        <v>0</v>
      </c>
      <c r="I542" t="n">
        <v>0</v>
      </c>
      <c r="J542" t="n">
        <v>0</v>
      </c>
      <c r="K542" t="n">
        <v>0</v>
      </c>
      <c r="L542" t="n">
        <v>0</v>
      </c>
      <c r="M542" t="n">
        <v>0</v>
      </c>
      <c r="N542" t="n">
        <v>0</v>
      </c>
      <c r="O542" t="n">
        <v>0</v>
      </c>
      <c r="P542" t="n">
        <v>0</v>
      </c>
      <c r="Q542" t="n">
        <v>0</v>
      </c>
      <c r="R542" s="2" t="inlineStr"/>
    </row>
    <row r="543" ht="15" customHeight="1">
      <c r="A543" t="inlineStr">
        <is>
          <t>A 29170-2025</t>
        </is>
      </c>
      <c r="B543" s="1" t="n">
        <v>45821.69766203704</v>
      </c>
      <c r="C543" s="1" t="n">
        <v>46035</v>
      </c>
      <c r="D543" t="inlineStr">
        <is>
          <t>SKÅNE LÄN</t>
        </is>
      </c>
      <c r="E543" t="inlineStr">
        <is>
          <t>HÄSSLEHOLM</t>
        </is>
      </c>
      <c r="G543" t="n">
        <v>3.1</v>
      </c>
      <c r="H543" t="n">
        <v>0</v>
      </c>
      <c r="I543" t="n">
        <v>0</v>
      </c>
      <c r="J543" t="n">
        <v>0</v>
      </c>
      <c r="K543" t="n">
        <v>0</v>
      </c>
      <c r="L543" t="n">
        <v>0</v>
      </c>
      <c r="M543" t="n">
        <v>0</v>
      </c>
      <c r="N543" t="n">
        <v>0</v>
      </c>
      <c r="O543" t="n">
        <v>0</v>
      </c>
      <c r="P543" t="n">
        <v>0</v>
      </c>
      <c r="Q543" t="n">
        <v>0</v>
      </c>
      <c r="R543" s="2" t="inlineStr"/>
    </row>
    <row r="544" ht="15" customHeight="1">
      <c r="A544" t="inlineStr">
        <is>
          <t>A 2663-2023</t>
        </is>
      </c>
      <c r="B544" s="1" t="n">
        <v>44942</v>
      </c>
      <c r="C544" s="1" t="n">
        <v>46035</v>
      </c>
      <c r="D544" t="inlineStr">
        <is>
          <t>SKÅNE LÄN</t>
        </is>
      </c>
      <c r="E544" t="inlineStr">
        <is>
          <t>HÄSSLEHOLM</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3925-2021</t>
        </is>
      </c>
      <c r="B545" s="1" t="n">
        <v>44222</v>
      </c>
      <c r="C545" s="1" t="n">
        <v>46035</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7192-2025</t>
        </is>
      </c>
      <c r="B546" s="1" t="n">
        <v>45702.44746527778</v>
      </c>
      <c r="C546" s="1" t="n">
        <v>46035</v>
      </c>
      <c r="D546" t="inlineStr">
        <is>
          <t>SKÅNE LÄN</t>
        </is>
      </c>
      <c r="E546" t="inlineStr">
        <is>
          <t>HÄSSLEHOLM</t>
        </is>
      </c>
      <c r="G546" t="n">
        <v>1.2</v>
      </c>
      <c r="H546" t="n">
        <v>0</v>
      </c>
      <c r="I546" t="n">
        <v>0</v>
      </c>
      <c r="J546" t="n">
        <v>0</v>
      </c>
      <c r="K546" t="n">
        <v>0</v>
      </c>
      <c r="L546" t="n">
        <v>0</v>
      </c>
      <c r="M546" t="n">
        <v>0</v>
      </c>
      <c r="N546" t="n">
        <v>0</v>
      </c>
      <c r="O546" t="n">
        <v>0</v>
      </c>
      <c r="P546" t="n">
        <v>0</v>
      </c>
      <c r="Q546" t="n">
        <v>0</v>
      </c>
      <c r="R546" s="2" t="inlineStr"/>
    </row>
    <row r="547" ht="15" customHeight="1">
      <c r="A547" t="inlineStr">
        <is>
          <t>A 29168-2025</t>
        </is>
      </c>
      <c r="B547" s="1" t="n">
        <v>45821.69547453704</v>
      </c>
      <c r="C547" s="1" t="n">
        <v>46035</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27954-2022</t>
        </is>
      </c>
      <c r="B548" s="1" t="n">
        <v>44743</v>
      </c>
      <c r="C548" s="1" t="n">
        <v>46035</v>
      </c>
      <c r="D548" t="inlineStr">
        <is>
          <t>SKÅNE LÄN</t>
        </is>
      </c>
      <c r="E548" t="inlineStr">
        <is>
          <t>HÄSSLEHOLM</t>
        </is>
      </c>
      <c r="G548" t="n">
        <v>9.4</v>
      </c>
      <c r="H548" t="n">
        <v>0</v>
      </c>
      <c r="I548" t="n">
        <v>0</v>
      </c>
      <c r="J548" t="n">
        <v>0</v>
      </c>
      <c r="K548" t="n">
        <v>0</v>
      </c>
      <c r="L548" t="n">
        <v>0</v>
      </c>
      <c r="M548" t="n">
        <v>0</v>
      </c>
      <c r="N548" t="n">
        <v>0</v>
      </c>
      <c r="O548" t="n">
        <v>0</v>
      </c>
      <c r="P548" t="n">
        <v>0</v>
      </c>
      <c r="Q548" t="n">
        <v>0</v>
      </c>
      <c r="R548" s="2" t="inlineStr"/>
    </row>
    <row r="549" ht="15" customHeight="1">
      <c r="A549" t="inlineStr">
        <is>
          <t>A 29171-2025</t>
        </is>
      </c>
      <c r="B549" s="1" t="n">
        <v>45821.69863425926</v>
      </c>
      <c r="C549" s="1" t="n">
        <v>46035</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30010-2025</t>
        </is>
      </c>
      <c r="B550" s="1" t="n">
        <v>45826</v>
      </c>
      <c r="C550" s="1" t="n">
        <v>46035</v>
      </c>
      <c r="D550" t="inlineStr">
        <is>
          <t>SKÅNE LÄN</t>
        </is>
      </c>
      <c r="E550" t="inlineStr">
        <is>
          <t>HÄSSLEHOLM</t>
        </is>
      </c>
      <c r="G550" t="n">
        <v>4.5</v>
      </c>
      <c r="H550" t="n">
        <v>0</v>
      </c>
      <c r="I550" t="n">
        <v>0</v>
      </c>
      <c r="J550" t="n">
        <v>0</v>
      </c>
      <c r="K550" t="n">
        <v>0</v>
      </c>
      <c r="L550" t="n">
        <v>0</v>
      </c>
      <c r="M550" t="n">
        <v>0</v>
      </c>
      <c r="N550" t="n">
        <v>0</v>
      </c>
      <c r="O550" t="n">
        <v>0</v>
      </c>
      <c r="P550" t="n">
        <v>0</v>
      </c>
      <c r="Q550" t="n">
        <v>0</v>
      </c>
      <c r="R550" s="2" t="inlineStr"/>
    </row>
    <row r="551" ht="15" customHeight="1">
      <c r="A551" t="inlineStr">
        <is>
          <t>A 45984-2021</t>
        </is>
      </c>
      <c r="B551" s="1" t="n">
        <v>44441</v>
      </c>
      <c r="C551" s="1" t="n">
        <v>46035</v>
      </c>
      <c r="D551" t="inlineStr">
        <is>
          <t>SKÅNE LÄN</t>
        </is>
      </c>
      <c r="E551" t="inlineStr">
        <is>
          <t>HÄSSLEHOLM</t>
        </is>
      </c>
      <c r="G551" t="n">
        <v>2.1</v>
      </c>
      <c r="H551" t="n">
        <v>0</v>
      </c>
      <c r="I551" t="n">
        <v>0</v>
      </c>
      <c r="J551" t="n">
        <v>0</v>
      </c>
      <c r="K551" t="n">
        <v>0</v>
      </c>
      <c r="L551" t="n">
        <v>0</v>
      </c>
      <c r="M551" t="n">
        <v>0</v>
      </c>
      <c r="N551" t="n">
        <v>0</v>
      </c>
      <c r="O551" t="n">
        <v>0</v>
      </c>
      <c r="P551" t="n">
        <v>0</v>
      </c>
      <c r="Q551" t="n">
        <v>0</v>
      </c>
      <c r="R551" s="2" t="inlineStr"/>
    </row>
    <row r="552" ht="15" customHeight="1">
      <c r="A552" t="inlineStr">
        <is>
          <t>A 61170-2022</t>
        </is>
      </c>
      <c r="B552" s="1" t="n">
        <v>44915.48543981482</v>
      </c>
      <c r="C552" s="1" t="n">
        <v>46035</v>
      </c>
      <c r="D552" t="inlineStr">
        <is>
          <t>SKÅNE LÄN</t>
        </is>
      </c>
      <c r="E552" t="inlineStr">
        <is>
          <t>HÄSSLEHOLM</t>
        </is>
      </c>
      <c r="G552" t="n">
        <v>1.2</v>
      </c>
      <c r="H552" t="n">
        <v>0</v>
      </c>
      <c r="I552" t="n">
        <v>0</v>
      </c>
      <c r="J552" t="n">
        <v>0</v>
      </c>
      <c r="K552" t="n">
        <v>0</v>
      </c>
      <c r="L552" t="n">
        <v>0</v>
      </c>
      <c r="M552" t="n">
        <v>0</v>
      </c>
      <c r="N552" t="n">
        <v>0</v>
      </c>
      <c r="O552" t="n">
        <v>0</v>
      </c>
      <c r="P552" t="n">
        <v>0</v>
      </c>
      <c r="Q552" t="n">
        <v>0</v>
      </c>
      <c r="R552" s="2" t="inlineStr"/>
    </row>
    <row r="553" ht="15" customHeight="1">
      <c r="A553" t="inlineStr">
        <is>
          <t>A 6835-2023</t>
        </is>
      </c>
      <c r="B553" s="1" t="n">
        <v>44967</v>
      </c>
      <c r="C553" s="1" t="n">
        <v>46035</v>
      </c>
      <c r="D553" t="inlineStr">
        <is>
          <t>SKÅNE LÄN</t>
        </is>
      </c>
      <c r="E553" t="inlineStr">
        <is>
          <t>HÄSSLEHOLM</t>
        </is>
      </c>
      <c r="G553" t="n">
        <v>4.8</v>
      </c>
      <c r="H553" t="n">
        <v>0</v>
      </c>
      <c r="I553" t="n">
        <v>0</v>
      </c>
      <c r="J553" t="n">
        <v>0</v>
      </c>
      <c r="K553" t="n">
        <v>0</v>
      </c>
      <c r="L553" t="n">
        <v>0</v>
      </c>
      <c r="M553" t="n">
        <v>0</v>
      </c>
      <c r="N553" t="n">
        <v>0</v>
      </c>
      <c r="O553" t="n">
        <v>0</v>
      </c>
      <c r="P553" t="n">
        <v>0</v>
      </c>
      <c r="Q553" t="n">
        <v>0</v>
      </c>
      <c r="R553" s="2" t="inlineStr"/>
    </row>
    <row r="554" ht="15" customHeight="1">
      <c r="A554" t="inlineStr">
        <is>
          <t>A 9885-2021</t>
        </is>
      </c>
      <c r="B554" s="1" t="n">
        <v>44253</v>
      </c>
      <c r="C554" s="1" t="n">
        <v>46035</v>
      </c>
      <c r="D554" t="inlineStr">
        <is>
          <t>SKÅNE LÄN</t>
        </is>
      </c>
      <c r="E554" t="inlineStr">
        <is>
          <t>HÄSSLEHOLM</t>
        </is>
      </c>
      <c r="G554" t="n">
        <v>2.4</v>
      </c>
      <c r="H554" t="n">
        <v>0</v>
      </c>
      <c r="I554" t="n">
        <v>0</v>
      </c>
      <c r="J554" t="n">
        <v>0</v>
      </c>
      <c r="K554" t="n">
        <v>0</v>
      </c>
      <c r="L554" t="n">
        <v>0</v>
      </c>
      <c r="M554" t="n">
        <v>0</v>
      </c>
      <c r="N554" t="n">
        <v>0</v>
      </c>
      <c r="O554" t="n">
        <v>0</v>
      </c>
      <c r="P554" t="n">
        <v>0</v>
      </c>
      <c r="Q554" t="n">
        <v>0</v>
      </c>
      <c r="R554" s="2" t="inlineStr"/>
    </row>
    <row r="555" ht="15" customHeight="1">
      <c r="A555" t="inlineStr">
        <is>
          <t>A 31933-2024</t>
        </is>
      </c>
      <c r="B555" s="1" t="n">
        <v>45510.41123842593</v>
      </c>
      <c r="C555" s="1" t="n">
        <v>46035</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9098-2022</t>
        </is>
      </c>
      <c r="B556" s="1" t="n">
        <v>44615</v>
      </c>
      <c r="C556" s="1" t="n">
        <v>46035</v>
      </c>
      <c r="D556" t="inlineStr">
        <is>
          <t>SKÅNE LÄN</t>
        </is>
      </c>
      <c r="E556" t="inlineStr">
        <is>
          <t>HÄSSLEHOLM</t>
        </is>
      </c>
      <c r="G556" t="n">
        <v>2.1</v>
      </c>
      <c r="H556" t="n">
        <v>0</v>
      </c>
      <c r="I556" t="n">
        <v>0</v>
      </c>
      <c r="J556" t="n">
        <v>0</v>
      </c>
      <c r="K556" t="n">
        <v>0</v>
      </c>
      <c r="L556" t="n">
        <v>0</v>
      </c>
      <c r="M556" t="n">
        <v>0</v>
      </c>
      <c r="N556" t="n">
        <v>0</v>
      </c>
      <c r="O556" t="n">
        <v>0</v>
      </c>
      <c r="P556" t="n">
        <v>0</v>
      </c>
      <c r="Q556" t="n">
        <v>0</v>
      </c>
      <c r="R556" s="2" t="inlineStr"/>
    </row>
    <row r="557" ht="15" customHeight="1">
      <c r="A557" t="inlineStr">
        <is>
          <t>A 12338-2024</t>
        </is>
      </c>
      <c r="B557" s="1" t="n">
        <v>45378.72869212963</v>
      </c>
      <c r="C557" s="1" t="n">
        <v>46035</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34883-2023</t>
        </is>
      </c>
      <c r="B558" s="1" t="n">
        <v>45142.37902777778</v>
      </c>
      <c r="C558" s="1" t="n">
        <v>46035</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34886-2023</t>
        </is>
      </c>
      <c r="B559" s="1" t="n">
        <v>45142.38450231482</v>
      </c>
      <c r="C559" s="1" t="n">
        <v>46035</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7476-2025</t>
        </is>
      </c>
      <c r="B560" s="1" t="n">
        <v>45702</v>
      </c>
      <c r="C560" s="1" t="n">
        <v>46035</v>
      </c>
      <c r="D560" t="inlineStr">
        <is>
          <t>SKÅNE LÄN</t>
        </is>
      </c>
      <c r="E560" t="inlineStr">
        <is>
          <t>HÄSSLEHOLM</t>
        </is>
      </c>
      <c r="F560" t="inlineStr">
        <is>
          <t>Övriga Aktiebolag</t>
        </is>
      </c>
      <c r="G560" t="n">
        <v>2.1</v>
      </c>
      <c r="H560" t="n">
        <v>0</v>
      </c>
      <c r="I560" t="n">
        <v>0</v>
      </c>
      <c r="J560" t="n">
        <v>0</v>
      </c>
      <c r="K560" t="n">
        <v>0</v>
      </c>
      <c r="L560" t="n">
        <v>0</v>
      </c>
      <c r="M560" t="n">
        <v>0</v>
      </c>
      <c r="N560" t="n">
        <v>0</v>
      </c>
      <c r="O560" t="n">
        <v>0</v>
      </c>
      <c r="P560" t="n">
        <v>0</v>
      </c>
      <c r="Q560" t="n">
        <v>0</v>
      </c>
      <c r="R560" s="2" t="inlineStr"/>
    </row>
    <row r="561" ht="15" customHeight="1">
      <c r="A561" t="inlineStr">
        <is>
          <t>A 54659-2023</t>
        </is>
      </c>
      <c r="B561" s="1" t="n">
        <v>45235</v>
      </c>
      <c r="C561" s="1" t="n">
        <v>46035</v>
      </c>
      <c r="D561" t="inlineStr">
        <is>
          <t>SKÅNE LÄN</t>
        </is>
      </c>
      <c r="E561" t="inlineStr">
        <is>
          <t>HÄSSLEHOLM</t>
        </is>
      </c>
      <c r="G561" t="n">
        <v>5</v>
      </c>
      <c r="H561" t="n">
        <v>0</v>
      </c>
      <c r="I561" t="n">
        <v>0</v>
      </c>
      <c r="J561" t="n">
        <v>0</v>
      </c>
      <c r="K561" t="n">
        <v>0</v>
      </c>
      <c r="L561" t="n">
        <v>0</v>
      </c>
      <c r="M561" t="n">
        <v>0</v>
      </c>
      <c r="N561" t="n">
        <v>0</v>
      </c>
      <c r="O561" t="n">
        <v>0</v>
      </c>
      <c r="P561" t="n">
        <v>0</v>
      </c>
      <c r="Q561" t="n">
        <v>0</v>
      </c>
      <c r="R561" s="2" t="inlineStr"/>
    </row>
    <row r="562" ht="15" customHeight="1">
      <c r="A562" t="inlineStr">
        <is>
          <t>A 24904-2025</t>
        </is>
      </c>
      <c r="B562" s="1" t="n">
        <v>45799</v>
      </c>
      <c r="C562" s="1" t="n">
        <v>46035</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46035</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50677-2025</t>
        </is>
      </c>
      <c r="B564" s="1" t="n">
        <v>45945</v>
      </c>
      <c r="C564" s="1" t="n">
        <v>46035</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50834-2025</t>
        </is>
      </c>
      <c r="B565" s="1" t="n">
        <v>45946.55746527778</v>
      </c>
      <c r="C565" s="1" t="n">
        <v>46035</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12558-2023</t>
        </is>
      </c>
      <c r="B566" s="1" t="n">
        <v>45000.36103009259</v>
      </c>
      <c r="C566" s="1" t="n">
        <v>46035</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13673-2023</t>
        </is>
      </c>
      <c r="B567" s="1" t="n">
        <v>45006.87957175926</v>
      </c>
      <c r="C567" s="1" t="n">
        <v>46035</v>
      </c>
      <c r="D567" t="inlineStr">
        <is>
          <t>SKÅNE LÄN</t>
        </is>
      </c>
      <c r="E567" t="inlineStr">
        <is>
          <t>HÄSSLEHOLM</t>
        </is>
      </c>
      <c r="G567" t="n">
        <v>3.2</v>
      </c>
      <c r="H567" t="n">
        <v>0</v>
      </c>
      <c r="I567" t="n">
        <v>0</v>
      </c>
      <c r="J567" t="n">
        <v>0</v>
      </c>
      <c r="K567" t="n">
        <v>0</v>
      </c>
      <c r="L567" t="n">
        <v>0</v>
      </c>
      <c r="M567" t="n">
        <v>0</v>
      </c>
      <c r="N567" t="n">
        <v>0</v>
      </c>
      <c r="O567" t="n">
        <v>0</v>
      </c>
      <c r="P567" t="n">
        <v>0</v>
      </c>
      <c r="Q567" t="n">
        <v>0</v>
      </c>
      <c r="R567" s="2" t="inlineStr"/>
    </row>
    <row r="568" ht="15" customHeight="1">
      <c r="A568" t="inlineStr">
        <is>
          <t>A 48844-2023</t>
        </is>
      </c>
      <c r="B568" s="1" t="n">
        <v>45209</v>
      </c>
      <c r="C568" s="1" t="n">
        <v>46035</v>
      </c>
      <c r="D568" t="inlineStr">
        <is>
          <t>SKÅNE LÄN</t>
        </is>
      </c>
      <c r="E568" t="inlineStr">
        <is>
          <t>HÄSSLEHOLM</t>
        </is>
      </c>
      <c r="G568" t="n">
        <v>4</v>
      </c>
      <c r="H568" t="n">
        <v>0</v>
      </c>
      <c r="I568" t="n">
        <v>0</v>
      </c>
      <c r="J568" t="n">
        <v>0</v>
      </c>
      <c r="K568" t="n">
        <v>0</v>
      </c>
      <c r="L568" t="n">
        <v>0</v>
      </c>
      <c r="M568" t="n">
        <v>0</v>
      </c>
      <c r="N568" t="n">
        <v>0</v>
      </c>
      <c r="O568" t="n">
        <v>0</v>
      </c>
      <c r="P568" t="n">
        <v>0</v>
      </c>
      <c r="Q568" t="n">
        <v>0</v>
      </c>
      <c r="R568" s="2" t="inlineStr"/>
    </row>
    <row r="569" ht="15" customHeight="1">
      <c r="A569" t="inlineStr">
        <is>
          <t>A 50839-2025</t>
        </is>
      </c>
      <c r="B569" s="1" t="n">
        <v>45946</v>
      </c>
      <c r="C569" s="1" t="n">
        <v>46035</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31159-2025</t>
        </is>
      </c>
      <c r="B570" s="1" t="n">
        <v>45832.65322916667</v>
      </c>
      <c r="C570" s="1" t="n">
        <v>46035</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2813-2021</t>
        </is>
      </c>
      <c r="B571" s="1" t="n">
        <v>44215</v>
      </c>
      <c r="C571" s="1" t="n">
        <v>46035</v>
      </c>
      <c r="D571" t="inlineStr">
        <is>
          <t>SKÅNE LÄN</t>
        </is>
      </c>
      <c r="E571" t="inlineStr">
        <is>
          <t>HÄSSLEHOLM</t>
        </is>
      </c>
      <c r="G571" t="n">
        <v>7.1</v>
      </c>
      <c r="H571" t="n">
        <v>0</v>
      </c>
      <c r="I571" t="n">
        <v>0</v>
      </c>
      <c r="J571" t="n">
        <v>0</v>
      </c>
      <c r="K571" t="n">
        <v>0</v>
      </c>
      <c r="L571" t="n">
        <v>0</v>
      </c>
      <c r="M571" t="n">
        <v>0</v>
      </c>
      <c r="N571" t="n">
        <v>0</v>
      </c>
      <c r="O571" t="n">
        <v>0</v>
      </c>
      <c r="P571" t="n">
        <v>0</v>
      </c>
      <c r="Q571" t="n">
        <v>0</v>
      </c>
      <c r="R571" s="2" t="inlineStr"/>
    </row>
    <row r="572" ht="15" customHeight="1">
      <c r="A572" t="inlineStr">
        <is>
          <t>A 50678-2025</t>
        </is>
      </c>
      <c r="B572" s="1" t="n">
        <v>45945</v>
      </c>
      <c r="C572" s="1" t="n">
        <v>46035</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1886-2025</t>
        </is>
      </c>
      <c r="B573" s="1" t="n">
        <v>45671</v>
      </c>
      <c r="C573" s="1" t="n">
        <v>46035</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15536-2025</t>
        </is>
      </c>
      <c r="B574" s="1" t="n">
        <v>45747</v>
      </c>
      <c r="C574" s="1" t="n">
        <v>46035</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50829-2025</t>
        </is>
      </c>
      <c r="B575" s="1" t="n">
        <v>45946.55309027778</v>
      </c>
      <c r="C575" s="1" t="n">
        <v>46035</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21329-2023</t>
        </is>
      </c>
      <c r="B576" s="1" t="n">
        <v>45062</v>
      </c>
      <c r="C576" s="1" t="n">
        <v>46035</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49824-2024</t>
        </is>
      </c>
      <c r="B577" s="1" t="n">
        <v>45597</v>
      </c>
      <c r="C577" s="1" t="n">
        <v>46035</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45222-2023</t>
        </is>
      </c>
      <c r="B578" s="1" t="n">
        <v>45191</v>
      </c>
      <c r="C578" s="1" t="n">
        <v>46035</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13310-2025</t>
        </is>
      </c>
      <c r="B579" s="1" t="n">
        <v>45735.58814814815</v>
      </c>
      <c r="C579" s="1" t="n">
        <v>46035</v>
      </c>
      <c r="D579" t="inlineStr">
        <is>
          <t>SKÅNE LÄN</t>
        </is>
      </c>
      <c r="E579" t="inlineStr">
        <is>
          <t>HÄSSLEHOLM</t>
        </is>
      </c>
      <c r="G579" t="n">
        <v>2</v>
      </c>
      <c r="H579" t="n">
        <v>0</v>
      </c>
      <c r="I579" t="n">
        <v>0</v>
      </c>
      <c r="J579" t="n">
        <v>0</v>
      </c>
      <c r="K579" t="n">
        <v>0</v>
      </c>
      <c r="L579" t="n">
        <v>0</v>
      </c>
      <c r="M579" t="n">
        <v>0</v>
      </c>
      <c r="N579" t="n">
        <v>0</v>
      </c>
      <c r="O579" t="n">
        <v>0</v>
      </c>
      <c r="P579" t="n">
        <v>0</v>
      </c>
      <c r="Q579" t="n">
        <v>0</v>
      </c>
      <c r="R579" s="2" t="inlineStr"/>
    </row>
    <row r="580" ht="15" customHeight="1">
      <c r="A580" t="inlineStr">
        <is>
          <t>A 25538-2024</t>
        </is>
      </c>
      <c r="B580" s="1" t="n">
        <v>45463</v>
      </c>
      <c r="C580" s="1" t="n">
        <v>46035</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51024-2025</t>
        </is>
      </c>
      <c r="B581" s="1" t="n">
        <v>45947.395</v>
      </c>
      <c r="C581" s="1" t="n">
        <v>46035</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15055-2023</t>
        </is>
      </c>
      <c r="B582" s="1" t="n">
        <v>45015</v>
      </c>
      <c r="C582" s="1" t="n">
        <v>46035</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25324-2024</t>
        </is>
      </c>
      <c r="B583" s="1" t="n">
        <v>45462.804375</v>
      </c>
      <c r="C583" s="1" t="n">
        <v>46035</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6327-2021</t>
        </is>
      </c>
      <c r="B584" s="1" t="n">
        <v>44235</v>
      </c>
      <c r="C584" s="1" t="n">
        <v>46035</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32585-2025</t>
        </is>
      </c>
      <c r="B585" s="1" t="n">
        <v>45838.60021990741</v>
      </c>
      <c r="C585" s="1" t="n">
        <v>46035</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5478-2021</t>
        </is>
      </c>
      <c r="B586" s="1" t="n">
        <v>44230</v>
      </c>
      <c r="C586" s="1" t="n">
        <v>46035</v>
      </c>
      <c r="D586" t="inlineStr">
        <is>
          <t>SKÅNE LÄN</t>
        </is>
      </c>
      <c r="E586" t="inlineStr">
        <is>
          <t>HÄSSLEHOLM</t>
        </is>
      </c>
      <c r="G586" t="n">
        <v>0.1</v>
      </c>
      <c r="H586" t="n">
        <v>0</v>
      </c>
      <c r="I586" t="n">
        <v>0</v>
      </c>
      <c r="J586" t="n">
        <v>0</v>
      </c>
      <c r="K586" t="n">
        <v>0</v>
      </c>
      <c r="L586" t="n">
        <v>0</v>
      </c>
      <c r="M586" t="n">
        <v>0</v>
      </c>
      <c r="N586" t="n">
        <v>0</v>
      </c>
      <c r="O586" t="n">
        <v>0</v>
      </c>
      <c r="P586" t="n">
        <v>0</v>
      </c>
      <c r="Q586" t="n">
        <v>0</v>
      </c>
      <c r="R586" s="2" t="inlineStr"/>
    </row>
    <row r="587" ht="15" customHeight="1">
      <c r="A587" t="inlineStr">
        <is>
          <t>A 2290-2024</t>
        </is>
      </c>
      <c r="B587" s="1" t="n">
        <v>45310</v>
      </c>
      <c r="C587" s="1" t="n">
        <v>46035</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32592-2025</t>
        </is>
      </c>
      <c r="B588" s="1" t="n">
        <v>45838.61020833333</v>
      </c>
      <c r="C588" s="1" t="n">
        <v>46035</v>
      </c>
      <c r="D588" t="inlineStr">
        <is>
          <t>SKÅNE LÄN</t>
        </is>
      </c>
      <c r="E588" t="inlineStr">
        <is>
          <t>HÄSSLEHOLM</t>
        </is>
      </c>
      <c r="G588" t="n">
        <v>2.1</v>
      </c>
      <c r="H588" t="n">
        <v>0</v>
      </c>
      <c r="I588" t="n">
        <v>0</v>
      </c>
      <c r="J588" t="n">
        <v>0</v>
      </c>
      <c r="K588" t="n">
        <v>0</v>
      </c>
      <c r="L588" t="n">
        <v>0</v>
      </c>
      <c r="M588" t="n">
        <v>0</v>
      </c>
      <c r="N588" t="n">
        <v>0</v>
      </c>
      <c r="O588" t="n">
        <v>0</v>
      </c>
      <c r="P588" t="n">
        <v>0</v>
      </c>
      <c r="Q588" t="n">
        <v>0</v>
      </c>
      <c r="R588" s="2" t="inlineStr"/>
    </row>
    <row r="589" ht="15" customHeight="1">
      <c r="A589" t="inlineStr">
        <is>
          <t>A 13316-2023</t>
        </is>
      </c>
      <c r="B589" s="1" t="n">
        <v>45005.39013888889</v>
      </c>
      <c r="C589" s="1" t="n">
        <v>46035</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51097-2025</t>
        </is>
      </c>
      <c r="B590" s="1" t="n">
        <v>45947.48018518519</v>
      </c>
      <c r="C590" s="1" t="n">
        <v>46035</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65235-2021</t>
        </is>
      </c>
      <c r="B591" s="1" t="n">
        <v>44515</v>
      </c>
      <c r="C591" s="1" t="n">
        <v>46035</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13358-2023</t>
        </is>
      </c>
      <c r="B592" s="1" t="n">
        <v>45005</v>
      </c>
      <c r="C592" s="1" t="n">
        <v>46035</v>
      </c>
      <c r="D592" t="inlineStr">
        <is>
          <t>SKÅNE LÄN</t>
        </is>
      </c>
      <c r="E592" t="inlineStr">
        <is>
          <t>HÄSSLEHOLM</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5316-2023</t>
        </is>
      </c>
      <c r="B593" s="1" t="n">
        <v>44959</v>
      </c>
      <c r="C593" s="1" t="n">
        <v>46035</v>
      </c>
      <c r="D593" t="inlineStr">
        <is>
          <t>SKÅNE LÄN</t>
        </is>
      </c>
      <c r="E593" t="inlineStr">
        <is>
          <t>HÄSSLEHOLM</t>
        </is>
      </c>
      <c r="G593" t="n">
        <v>2.1</v>
      </c>
      <c r="H593" t="n">
        <v>0</v>
      </c>
      <c r="I593" t="n">
        <v>0</v>
      </c>
      <c r="J593" t="n">
        <v>0</v>
      </c>
      <c r="K593" t="n">
        <v>0</v>
      </c>
      <c r="L593" t="n">
        <v>0</v>
      </c>
      <c r="M593" t="n">
        <v>0</v>
      </c>
      <c r="N593" t="n">
        <v>0</v>
      </c>
      <c r="O593" t="n">
        <v>0</v>
      </c>
      <c r="P593" t="n">
        <v>0</v>
      </c>
      <c r="Q593" t="n">
        <v>0</v>
      </c>
      <c r="R593" s="2" t="inlineStr"/>
    </row>
    <row r="594" ht="15" customHeight="1">
      <c r="A594" t="inlineStr">
        <is>
          <t>A 32794-2023</t>
        </is>
      </c>
      <c r="B594" s="1" t="n">
        <v>45124.40446759259</v>
      </c>
      <c r="C594" s="1" t="n">
        <v>46035</v>
      </c>
      <c r="D594" t="inlineStr">
        <is>
          <t>SKÅNE LÄN</t>
        </is>
      </c>
      <c r="E594" t="inlineStr">
        <is>
          <t>HÄSSLEHOLM</t>
        </is>
      </c>
      <c r="G594" t="n">
        <v>1.8</v>
      </c>
      <c r="H594" t="n">
        <v>0</v>
      </c>
      <c r="I594" t="n">
        <v>0</v>
      </c>
      <c r="J594" t="n">
        <v>0</v>
      </c>
      <c r="K594" t="n">
        <v>0</v>
      </c>
      <c r="L594" t="n">
        <v>0</v>
      </c>
      <c r="M594" t="n">
        <v>0</v>
      </c>
      <c r="N594" t="n">
        <v>0</v>
      </c>
      <c r="O594" t="n">
        <v>0</v>
      </c>
      <c r="P594" t="n">
        <v>0</v>
      </c>
      <c r="Q594" t="n">
        <v>0</v>
      </c>
      <c r="R594" s="2" t="inlineStr"/>
    </row>
    <row r="595" ht="15" customHeight="1">
      <c r="A595" t="inlineStr">
        <is>
          <t>A 28211-2022</t>
        </is>
      </c>
      <c r="B595" s="1" t="n">
        <v>44746</v>
      </c>
      <c r="C595" s="1" t="n">
        <v>46035</v>
      </c>
      <c r="D595" t="inlineStr">
        <is>
          <t>SKÅNE LÄN</t>
        </is>
      </c>
      <c r="E595" t="inlineStr">
        <is>
          <t>HÄSSLEHOLM</t>
        </is>
      </c>
      <c r="G595" t="n">
        <v>2.8</v>
      </c>
      <c r="H595" t="n">
        <v>0</v>
      </c>
      <c r="I595" t="n">
        <v>0</v>
      </c>
      <c r="J595" t="n">
        <v>0</v>
      </c>
      <c r="K595" t="n">
        <v>0</v>
      </c>
      <c r="L595" t="n">
        <v>0</v>
      </c>
      <c r="M595" t="n">
        <v>0</v>
      </c>
      <c r="N595" t="n">
        <v>0</v>
      </c>
      <c r="O595" t="n">
        <v>0</v>
      </c>
      <c r="P595" t="n">
        <v>0</v>
      </c>
      <c r="Q595" t="n">
        <v>0</v>
      </c>
      <c r="R595" s="2" t="inlineStr"/>
    </row>
    <row r="596" ht="15" customHeight="1">
      <c r="A596" t="inlineStr">
        <is>
          <t>A 12162-2023</t>
        </is>
      </c>
      <c r="B596" s="1" t="n">
        <v>44998.49619212963</v>
      </c>
      <c r="C596" s="1" t="n">
        <v>46035</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14702-2025</t>
        </is>
      </c>
      <c r="B597" s="1" t="n">
        <v>45742.60403935185</v>
      </c>
      <c r="C597" s="1" t="n">
        <v>46035</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9669-2025</t>
        </is>
      </c>
      <c r="B598" s="1" t="n">
        <v>45716.32921296296</v>
      </c>
      <c r="C598" s="1" t="n">
        <v>46035</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59109-2023</t>
        </is>
      </c>
      <c r="B599" s="1" t="n">
        <v>45253.30819444444</v>
      </c>
      <c r="C599" s="1" t="n">
        <v>46035</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29649-2025</t>
        </is>
      </c>
      <c r="B600" s="1" t="n">
        <v>45825.47446759259</v>
      </c>
      <c r="C600" s="1" t="n">
        <v>46035</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58888-2024</t>
        </is>
      </c>
      <c r="B601" s="1" t="n">
        <v>45636.45962962963</v>
      </c>
      <c r="C601" s="1" t="n">
        <v>46035</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51795-2025</t>
        </is>
      </c>
      <c r="B602" s="1" t="n">
        <v>45951</v>
      </c>
      <c r="C602" s="1" t="n">
        <v>46035</v>
      </c>
      <c r="D602" t="inlineStr">
        <is>
          <t>SKÅNE LÄN</t>
        </is>
      </c>
      <c r="E602" t="inlineStr">
        <is>
          <t>HÄSSLEHOLM</t>
        </is>
      </c>
      <c r="G602" t="n">
        <v>2.4</v>
      </c>
      <c r="H602" t="n">
        <v>0</v>
      </c>
      <c r="I602" t="n">
        <v>0</v>
      </c>
      <c r="J602" t="n">
        <v>0</v>
      </c>
      <c r="K602" t="n">
        <v>0</v>
      </c>
      <c r="L602" t="n">
        <v>0</v>
      </c>
      <c r="M602" t="n">
        <v>0</v>
      </c>
      <c r="N602" t="n">
        <v>0</v>
      </c>
      <c r="O602" t="n">
        <v>0</v>
      </c>
      <c r="P602" t="n">
        <v>0</v>
      </c>
      <c r="Q602" t="n">
        <v>0</v>
      </c>
      <c r="R602" s="2" t="inlineStr"/>
    </row>
    <row r="603" ht="15" customHeight="1">
      <c r="A603" t="inlineStr">
        <is>
          <t>A 51796-2025</t>
        </is>
      </c>
      <c r="B603" s="1" t="n">
        <v>45951.74546296296</v>
      </c>
      <c r="C603" s="1" t="n">
        <v>46035</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33948-2025</t>
        </is>
      </c>
      <c r="B604" s="1" t="n">
        <v>45842.65945601852</v>
      </c>
      <c r="C604" s="1" t="n">
        <v>46035</v>
      </c>
      <c r="D604" t="inlineStr">
        <is>
          <t>SKÅNE LÄN</t>
        </is>
      </c>
      <c r="E604" t="inlineStr">
        <is>
          <t>HÄSSLEHOLM</t>
        </is>
      </c>
      <c r="G604" t="n">
        <v>8.5</v>
      </c>
      <c r="H604" t="n">
        <v>0</v>
      </c>
      <c r="I604" t="n">
        <v>0</v>
      </c>
      <c r="J604" t="n">
        <v>0</v>
      </c>
      <c r="K604" t="n">
        <v>0</v>
      </c>
      <c r="L604" t="n">
        <v>0</v>
      </c>
      <c r="M604" t="n">
        <v>0</v>
      </c>
      <c r="N604" t="n">
        <v>0</v>
      </c>
      <c r="O604" t="n">
        <v>0</v>
      </c>
      <c r="P604" t="n">
        <v>0</v>
      </c>
      <c r="Q604" t="n">
        <v>0</v>
      </c>
      <c r="R604" s="2" t="inlineStr"/>
    </row>
    <row r="605" ht="15" customHeight="1">
      <c r="A605" t="inlineStr">
        <is>
          <t>A 21028-2021</t>
        </is>
      </c>
      <c r="B605" s="1" t="n">
        <v>44319</v>
      </c>
      <c r="C605" s="1" t="n">
        <v>46035</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33875-2025</t>
        </is>
      </c>
      <c r="B606" s="1" t="n">
        <v>45842.55300925926</v>
      </c>
      <c r="C606" s="1" t="n">
        <v>46035</v>
      </c>
      <c r="D606" t="inlineStr">
        <is>
          <t>SKÅNE LÄN</t>
        </is>
      </c>
      <c r="E606" t="inlineStr">
        <is>
          <t>HÄSSLEHOLM</t>
        </is>
      </c>
      <c r="G606" t="n">
        <v>1.9</v>
      </c>
      <c r="H606" t="n">
        <v>0</v>
      </c>
      <c r="I606" t="n">
        <v>0</v>
      </c>
      <c r="J606" t="n">
        <v>0</v>
      </c>
      <c r="K606" t="n">
        <v>0</v>
      </c>
      <c r="L606" t="n">
        <v>0</v>
      </c>
      <c r="M606" t="n">
        <v>0</v>
      </c>
      <c r="N606" t="n">
        <v>0</v>
      </c>
      <c r="O606" t="n">
        <v>0</v>
      </c>
      <c r="P606" t="n">
        <v>0</v>
      </c>
      <c r="Q606" t="n">
        <v>0</v>
      </c>
      <c r="R606" s="2" t="inlineStr"/>
    </row>
    <row r="607" ht="15" customHeight="1">
      <c r="A607" t="inlineStr">
        <is>
          <t>A 33877-2025</t>
        </is>
      </c>
      <c r="B607" s="1" t="n">
        <v>45842.55564814815</v>
      </c>
      <c r="C607" s="1" t="n">
        <v>46035</v>
      </c>
      <c r="D607" t="inlineStr">
        <is>
          <t>SKÅNE LÄN</t>
        </is>
      </c>
      <c r="E607" t="inlineStr">
        <is>
          <t>HÄSSLEHOLM</t>
        </is>
      </c>
      <c r="G607" t="n">
        <v>3.9</v>
      </c>
      <c r="H607" t="n">
        <v>0</v>
      </c>
      <c r="I607" t="n">
        <v>0</v>
      </c>
      <c r="J607" t="n">
        <v>0</v>
      </c>
      <c r="K607" t="n">
        <v>0</v>
      </c>
      <c r="L607" t="n">
        <v>0</v>
      </c>
      <c r="M607" t="n">
        <v>0</v>
      </c>
      <c r="N607" t="n">
        <v>0</v>
      </c>
      <c r="O607" t="n">
        <v>0</v>
      </c>
      <c r="P607" t="n">
        <v>0</v>
      </c>
      <c r="Q607" t="n">
        <v>0</v>
      </c>
      <c r="R607" s="2" t="inlineStr"/>
    </row>
    <row r="608" ht="15" customHeight="1">
      <c r="A608" t="inlineStr">
        <is>
          <t>A 33879-2025</t>
        </is>
      </c>
      <c r="B608" s="1" t="n">
        <v>45842.55766203703</v>
      </c>
      <c r="C608" s="1" t="n">
        <v>46035</v>
      </c>
      <c r="D608" t="inlineStr">
        <is>
          <t>SKÅNE LÄN</t>
        </is>
      </c>
      <c r="E608" t="inlineStr">
        <is>
          <t>HÄSSLEHOLM</t>
        </is>
      </c>
      <c r="G608" t="n">
        <v>6.1</v>
      </c>
      <c r="H608" t="n">
        <v>0</v>
      </c>
      <c r="I608" t="n">
        <v>0</v>
      </c>
      <c r="J608" t="n">
        <v>0</v>
      </c>
      <c r="K608" t="n">
        <v>0</v>
      </c>
      <c r="L608" t="n">
        <v>0</v>
      </c>
      <c r="M608" t="n">
        <v>0</v>
      </c>
      <c r="N608" t="n">
        <v>0</v>
      </c>
      <c r="O608" t="n">
        <v>0</v>
      </c>
      <c r="P608" t="n">
        <v>0</v>
      </c>
      <c r="Q608" t="n">
        <v>0</v>
      </c>
      <c r="R608" s="2" t="inlineStr"/>
    </row>
    <row r="609" ht="15" customHeight="1">
      <c r="A609" t="inlineStr">
        <is>
          <t>A 6165-2023</t>
        </is>
      </c>
      <c r="B609" s="1" t="n">
        <v>44964.67114583333</v>
      </c>
      <c r="C609" s="1" t="n">
        <v>46035</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16017-2023</t>
        </is>
      </c>
      <c r="B610" s="1" t="n">
        <v>45026</v>
      </c>
      <c r="C610" s="1" t="n">
        <v>46035</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33562-2025</t>
        </is>
      </c>
      <c r="B611" s="1" t="n">
        <v>45841.57803240741</v>
      </c>
      <c r="C611" s="1" t="n">
        <v>46035</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33950-2025</t>
        </is>
      </c>
      <c r="B612" s="1" t="n">
        <v>45842</v>
      </c>
      <c r="C612" s="1" t="n">
        <v>46035</v>
      </c>
      <c r="D612" t="inlineStr">
        <is>
          <t>SKÅNE LÄN</t>
        </is>
      </c>
      <c r="E612" t="inlineStr">
        <is>
          <t>HÄSSLEHOLM</t>
        </is>
      </c>
      <c r="G612" t="n">
        <v>5.7</v>
      </c>
      <c r="H612" t="n">
        <v>0</v>
      </c>
      <c r="I612" t="n">
        <v>0</v>
      </c>
      <c r="J612" t="n">
        <v>0</v>
      </c>
      <c r="K612" t="n">
        <v>0</v>
      </c>
      <c r="L612" t="n">
        <v>0</v>
      </c>
      <c r="M612" t="n">
        <v>0</v>
      </c>
      <c r="N612" t="n">
        <v>0</v>
      </c>
      <c r="O612" t="n">
        <v>0</v>
      </c>
      <c r="P612" t="n">
        <v>0</v>
      </c>
      <c r="Q612" t="n">
        <v>0</v>
      </c>
      <c r="R612" s="2" t="inlineStr"/>
    </row>
    <row r="613" ht="15" customHeight="1">
      <c r="A613" t="inlineStr">
        <is>
          <t>A 31989-2024</t>
        </is>
      </c>
      <c r="B613" s="1" t="n">
        <v>45510.58085648148</v>
      </c>
      <c r="C613" s="1" t="n">
        <v>46035</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35640-2023</t>
        </is>
      </c>
      <c r="B614" s="1" t="n">
        <v>45147</v>
      </c>
      <c r="C614" s="1" t="n">
        <v>46035</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48771-2024</t>
        </is>
      </c>
      <c r="B615" s="1" t="n">
        <v>45593.61284722222</v>
      </c>
      <c r="C615" s="1" t="n">
        <v>46035</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24241-2023</t>
        </is>
      </c>
      <c r="B616" s="1" t="n">
        <v>45079.61476851852</v>
      </c>
      <c r="C616" s="1" t="n">
        <v>46035</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23987-2024</t>
        </is>
      </c>
      <c r="B617" s="1" t="n">
        <v>45456</v>
      </c>
      <c r="C617" s="1" t="n">
        <v>46035</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19739-2023</t>
        </is>
      </c>
      <c r="B618" s="1" t="n">
        <v>45051</v>
      </c>
      <c r="C618" s="1" t="n">
        <v>46035</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34174-2025</t>
        </is>
      </c>
      <c r="B619" s="1" t="n">
        <v>45844</v>
      </c>
      <c r="C619" s="1" t="n">
        <v>46035</v>
      </c>
      <c r="D619" t="inlineStr">
        <is>
          <t>SKÅNE LÄN</t>
        </is>
      </c>
      <c r="E619" t="inlineStr">
        <is>
          <t>HÄSSLEHOLM</t>
        </is>
      </c>
      <c r="G619" t="n">
        <v>4.7</v>
      </c>
      <c r="H619" t="n">
        <v>0</v>
      </c>
      <c r="I619" t="n">
        <v>0</v>
      </c>
      <c r="J619" t="n">
        <v>0</v>
      </c>
      <c r="K619" t="n">
        <v>0</v>
      </c>
      <c r="L619" t="n">
        <v>0</v>
      </c>
      <c r="M619" t="n">
        <v>0</v>
      </c>
      <c r="N619" t="n">
        <v>0</v>
      </c>
      <c r="O619" t="n">
        <v>0</v>
      </c>
      <c r="P619" t="n">
        <v>0</v>
      </c>
      <c r="Q619" t="n">
        <v>0</v>
      </c>
      <c r="R619" s="2" t="inlineStr"/>
    </row>
    <row r="620" ht="15" customHeight="1">
      <c r="A620" t="inlineStr">
        <is>
          <t>A 59246-2024</t>
        </is>
      </c>
      <c r="B620" s="1" t="n">
        <v>45636</v>
      </c>
      <c r="C620" s="1" t="n">
        <v>46035</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23666-2023</t>
        </is>
      </c>
      <c r="B621" s="1" t="n">
        <v>45077</v>
      </c>
      <c r="C621" s="1" t="n">
        <v>46035</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34177-2025</t>
        </is>
      </c>
      <c r="B622" s="1" t="n">
        <v>45844</v>
      </c>
      <c r="C622" s="1" t="n">
        <v>46035</v>
      </c>
      <c r="D622" t="inlineStr">
        <is>
          <t>SKÅNE LÄN</t>
        </is>
      </c>
      <c r="E622" t="inlineStr">
        <is>
          <t>HÄSSLEHOLM</t>
        </is>
      </c>
      <c r="G622" t="n">
        <v>3</v>
      </c>
      <c r="H622" t="n">
        <v>0</v>
      </c>
      <c r="I622" t="n">
        <v>0</v>
      </c>
      <c r="J622" t="n">
        <v>0</v>
      </c>
      <c r="K622" t="n">
        <v>0</v>
      </c>
      <c r="L622" t="n">
        <v>0</v>
      </c>
      <c r="M622" t="n">
        <v>0</v>
      </c>
      <c r="N622" t="n">
        <v>0</v>
      </c>
      <c r="O622" t="n">
        <v>0</v>
      </c>
      <c r="P622" t="n">
        <v>0</v>
      </c>
      <c r="Q622" t="n">
        <v>0</v>
      </c>
      <c r="R622" s="2" t="inlineStr"/>
    </row>
    <row r="623" ht="15" customHeight="1">
      <c r="A623" t="inlineStr">
        <is>
          <t>A 22678-2025</t>
        </is>
      </c>
      <c r="B623" s="1" t="n">
        <v>45789.49725694444</v>
      </c>
      <c r="C623" s="1" t="n">
        <v>46035</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35237-2023</t>
        </is>
      </c>
      <c r="B624" s="1" t="n">
        <v>45145.74532407407</v>
      </c>
      <c r="C624" s="1" t="n">
        <v>46035</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32958-2023</t>
        </is>
      </c>
      <c r="B625" s="1" t="n">
        <v>45125.52142361111</v>
      </c>
      <c r="C625" s="1" t="n">
        <v>46035</v>
      </c>
      <c r="D625" t="inlineStr">
        <is>
          <t>SKÅNE LÄN</t>
        </is>
      </c>
      <c r="E625" t="inlineStr">
        <is>
          <t>HÄSSLEHOLM</t>
        </is>
      </c>
      <c r="G625" t="n">
        <v>7.9</v>
      </c>
      <c r="H625" t="n">
        <v>0</v>
      </c>
      <c r="I625" t="n">
        <v>0</v>
      </c>
      <c r="J625" t="n">
        <v>0</v>
      </c>
      <c r="K625" t="n">
        <v>0</v>
      </c>
      <c r="L625" t="n">
        <v>0</v>
      </c>
      <c r="M625" t="n">
        <v>0</v>
      </c>
      <c r="N625" t="n">
        <v>0</v>
      </c>
      <c r="O625" t="n">
        <v>0</v>
      </c>
      <c r="P625" t="n">
        <v>0</v>
      </c>
      <c r="Q625" t="n">
        <v>0</v>
      </c>
      <c r="R625" s="2" t="inlineStr"/>
    </row>
    <row r="626" ht="15" customHeight="1">
      <c r="A626" t="inlineStr">
        <is>
          <t>A 5476-2021</t>
        </is>
      </c>
      <c r="B626" s="1" t="n">
        <v>44230</v>
      </c>
      <c r="C626" s="1" t="n">
        <v>46035</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260-2024</t>
        </is>
      </c>
      <c r="B627" s="1" t="n">
        <v>45294</v>
      </c>
      <c r="C627" s="1" t="n">
        <v>46035</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57275-2023</t>
        </is>
      </c>
      <c r="B628" s="1" t="n">
        <v>45245.58886574074</v>
      </c>
      <c r="C628" s="1" t="n">
        <v>46035</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51640-2025</t>
        </is>
      </c>
      <c r="B629" s="1" t="n">
        <v>45951.44361111111</v>
      </c>
      <c r="C629" s="1" t="n">
        <v>46035</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51597-2025</t>
        </is>
      </c>
      <c r="B630" s="1" t="n">
        <v>45951.37163194444</v>
      </c>
      <c r="C630" s="1" t="n">
        <v>46035</v>
      </c>
      <c r="D630" t="inlineStr">
        <is>
          <t>SKÅNE LÄN</t>
        </is>
      </c>
      <c r="E630" t="inlineStr">
        <is>
          <t>HÄSSLEHOLM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27304-2023</t>
        </is>
      </c>
      <c r="B631" s="1" t="n">
        <v>45096.65199074074</v>
      </c>
      <c r="C631" s="1" t="n">
        <v>46035</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48191-2021</t>
        </is>
      </c>
      <c r="B632" s="1" t="n">
        <v>44449</v>
      </c>
      <c r="C632" s="1" t="n">
        <v>46035</v>
      </c>
      <c r="D632" t="inlineStr">
        <is>
          <t>SKÅNE LÄN</t>
        </is>
      </c>
      <c r="E632" t="inlineStr">
        <is>
          <t>HÄSSLEHOLM</t>
        </is>
      </c>
      <c r="G632" t="n">
        <v>6</v>
      </c>
      <c r="H632" t="n">
        <v>0</v>
      </c>
      <c r="I632" t="n">
        <v>0</v>
      </c>
      <c r="J632" t="n">
        <v>0</v>
      </c>
      <c r="K632" t="n">
        <v>0</v>
      </c>
      <c r="L632" t="n">
        <v>0</v>
      </c>
      <c r="M632" t="n">
        <v>0</v>
      </c>
      <c r="N632" t="n">
        <v>0</v>
      </c>
      <c r="O632" t="n">
        <v>0</v>
      </c>
      <c r="P632" t="n">
        <v>0</v>
      </c>
      <c r="Q632" t="n">
        <v>0</v>
      </c>
      <c r="R632" s="2" t="inlineStr"/>
    </row>
    <row r="633" ht="15" customHeight="1">
      <c r="A633" t="inlineStr">
        <is>
          <t>A 6845-2023</t>
        </is>
      </c>
      <c r="B633" s="1" t="n">
        <v>44967</v>
      </c>
      <c r="C633" s="1" t="n">
        <v>46035</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52126-2025</t>
        </is>
      </c>
      <c r="B634" s="1" t="n">
        <v>45952.72109953704</v>
      </c>
      <c r="C634" s="1" t="n">
        <v>46035</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32834-2024</t>
        </is>
      </c>
      <c r="B635" s="1" t="n">
        <v>45516.6025</v>
      </c>
      <c r="C635" s="1" t="n">
        <v>46035</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49199-2024</t>
        </is>
      </c>
      <c r="B636" s="1" t="n">
        <v>45595</v>
      </c>
      <c r="C636" s="1" t="n">
        <v>46035</v>
      </c>
      <c r="D636" t="inlineStr">
        <is>
          <t>SKÅNE LÄN</t>
        </is>
      </c>
      <c r="E636" t="inlineStr">
        <is>
          <t>HÄSSLEHOLM</t>
        </is>
      </c>
      <c r="G636" t="n">
        <v>5.2</v>
      </c>
      <c r="H636" t="n">
        <v>0</v>
      </c>
      <c r="I636" t="n">
        <v>0</v>
      </c>
      <c r="J636" t="n">
        <v>0</v>
      </c>
      <c r="K636" t="n">
        <v>0</v>
      </c>
      <c r="L636" t="n">
        <v>0</v>
      </c>
      <c r="M636" t="n">
        <v>0</v>
      </c>
      <c r="N636" t="n">
        <v>0</v>
      </c>
      <c r="O636" t="n">
        <v>0</v>
      </c>
      <c r="P636" t="n">
        <v>0</v>
      </c>
      <c r="Q636" t="n">
        <v>0</v>
      </c>
      <c r="R636" s="2" t="inlineStr"/>
    </row>
    <row r="637" ht="15" customHeight="1">
      <c r="A637" t="inlineStr">
        <is>
          <t>A 58886-2024</t>
        </is>
      </c>
      <c r="B637" s="1" t="n">
        <v>45636.45380787037</v>
      </c>
      <c r="C637" s="1" t="n">
        <v>46035</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34869-2025</t>
        </is>
      </c>
      <c r="B638" s="1" t="n">
        <v>45849</v>
      </c>
      <c r="C638" s="1" t="n">
        <v>46035</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13345-2025</t>
        </is>
      </c>
      <c r="B639" s="1" t="n">
        <v>45735.63017361111</v>
      </c>
      <c r="C639" s="1" t="n">
        <v>46035</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12469-2023</t>
        </is>
      </c>
      <c r="B640" s="1" t="n">
        <v>44999.62109953703</v>
      </c>
      <c r="C640" s="1" t="n">
        <v>46035</v>
      </c>
      <c r="D640" t="inlineStr">
        <is>
          <t>SKÅNE LÄN</t>
        </is>
      </c>
      <c r="E640" t="inlineStr">
        <is>
          <t>HÄSSLEHOLM</t>
        </is>
      </c>
      <c r="G640" t="n">
        <v>2.6</v>
      </c>
      <c r="H640" t="n">
        <v>0</v>
      </c>
      <c r="I640" t="n">
        <v>0</v>
      </c>
      <c r="J640" t="n">
        <v>0</v>
      </c>
      <c r="K640" t="n">
        <v>0</v>
      </c>
      <c r="L640" t="n">
        <v>0</v>
      </c>
      <c r="M640" t="n">
        <v>0</v>
      </c>
      <c r="N640" t="n">
        <v>0</v>
      </c>
      <c r="O640" t="n">
        <v>0</v>
      </c>
      <c r="P640" t="n">
        <v>0</v>
      </c>
      <c r="Q640" t="n">
        <v>0</v>
      </c>
      <c r="R640" s="2" t="inlineStr"/>
    </row>
    <row r="641" ht="15" customHeight="1">
      <c r="A641" t="inlineStr">
        <is>
          <t>A 35259-2025</t>
        </is>
      </c>
      <c r="B641" s="1" t="n">
        <v>45853.76912037037</v>
      </c>
      <c r="C641" s="1" t="n">
        <v>46035</v>
      </c>
      <c r="D641" t="inlineStr">
        <is>
          <t>SKÅNE LÄN</t>
        </is>
      </c>
      <c r="E641" t="inlineStr">
        <is>
          <t>HÄSSLEHOLM</t>
        </is>
      </c>
      <c r="G641" t="n">
        <v>1.9</v>
      </c>
      <c r="H641" t="n">
        <v>0</v>
      </c>
      <c r="I641" t="n">
        <v>0</v>
      </c>
      <c r="J641" t="n">
        <v>0</v>
      </c>
      <c r="K641" t="n">
        <v>0</v>
      </c>
      <c r="L641" t="n">
        <v>0</v>
      </c>
      <c r="M641" t="n">
        <v>0</v>
      </c>
      <c r="N641" t="n">
        <v>0</v>
      </c>
      <c r="O641" t="n">
        <v>0</v>
      </c>
      <c r="P641" t="n">
        <v>0</v>
      </c>
      <c r="Q641" t="n">
        <v>0</v>
      </c>
      <c r="R641" s="2" t="inlineStr"/>
    </row>
    <row r="642" ht="15" customHeight="1">
      <c r="A642" t="inlineStr">
        <is>
          <t>A 20970-2025</t>
        </is>
      </c>
      <c r="B642" s="1" t="n">
        <v>45777.45417824074</v>
      </c>
      <c r="C642" s="1" t="n">
        <v>46035</v>
      </c>
      <c r="D642" t="inlineStr">
        <is>
          <t>SKÅNE LÄN</t>
        </is>
      </c>
      <c r="E642" t="inlineStr">
        <is>
          <t>HÄSSLEHOLM</t>
        </is>
      </c>
      <c r="G642" t="n">
        <v>2.2</v>
      </c>
      <c r="H642" t="n">
        <v>0</v>
      </c>
      <c r="I642" t="n">
        <v>0</v>
      </c>
      <c r="J642" t="n">
        <v>0</v>
      </c>
      <c r="K642" t="n">
        <v>0</v>
      </c>
      <c r="L642" t="n">
        <v>0</v>
      </c>
      <c r="M642" t="n">
        <v>0</v>
      </c>
      <c r="N642" t="n">
        <v>0</v>
      </c>
      <c r="O642" t="n">
        <v>0</v>
      </c>
      <c r="P642" t="n">
        <v>0</v>
      </c>
      <c r="Q642" t="n">
        <v>0</v>
      </c>
      <c r="R642" s="2" t="inlineStr"/>
    </row>
    <row r="643" ht="15" customHeight="1">
      <c r="A643" t="inlineStr">
        <is>
          <t>A 48663-2024</t>
        </is>
      </c>
      <c r="B643" s="1" t="n">
        <v>45593.48892361111</v>
      </c>
      <c r="C643" s="1" t="n">
        <v>46035</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17413-2025</t>
        </is>
      </c>
      <c r="B644" s="1" t="n">
        <v>45757.37480324074</v>
      </c>
      <c r="C644" s="1" t="n">
        <v>46035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50659-2023</t>
        </is>
      </c>
      <c r="B645" s="1" t="n">
        <v>45217</v>
      </c>
      <c r="C645" s="1" t="n">
        <v>46035</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27464-2022</t>
        </is>
      </c>
      <c r="B646" s="1" t="n">
        <v>44742.58704861111</v>
      </c>
      <c r="C646" s="1" t="n">
        <v>46035</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50525-2024</t>
        </is>
      </c>
      <c r="B647" s="1" t="n">
        <v>45601</v>
      </c>
      <c r="C647" s="1" t="n">
        <v>46035</v>
      </c>
      <c r="D647" t="inlineStr">
        <is>
          <t>SKÅNE LÄN</t>
        </is>
      </c>
      <c r="E647" t="inlineStr">
        <is>
          <t>HÄSSLEHOLM</t>
        </is>
      </c>
      <c r="G647" t="n">
        <v>2.6</v>
      </c>
      <c r="H647" t="n">
        <v>0</v>
      </c>
      <c r="I647" t="n">
        <v>0</v>
      </c>
      <c r="J647" t="n">
        <v>0</v>
      </c>
      <c r="K647" t="n">
        <v>0</v>
      </c>
      <c r="L647" t="n">
        <v>0</v>
      </c>
      <c r="M647" t="n">
        <v>0</v>
      </c>
      <c r="N647" t="n">
        <v>0</v>
      </c>
      <c r="O647" t="n">
        <v>0</v>
      </c>
      <c r="P647" t="n">
        <v>0</v>
      </c>
      <c r="Q647" t="n">
        <v>0</v>
      </c>
      <c r="R647" s="2" t="inlineStr"/>
    </row>
    <row r="648" ht="15" customHeight="1">
      <c r="A648" t="inlineStr">
        <is>
          <t>A 27242-2022</t>
        </is>
      </c>
      <c r="B648" s="1" t="n">
        <v>44741</v>
      </c>
      <c r="C648" s="1" t="n">
        <v>46035</v>
      </c>
      <c r="D648" t="inlineStr">
        <is>
          <t>SKÅNE LÄN</t>
        </is>
      </c>
      <c r="E648" t="inlineStr">
        <is>
          <t>HÄSSLEHOLM</t>
        </is>
      </c>
      <c r="G648" t="n">
        <v>1.9</v>
      </c>
      <c r="H648" t="n">
        <v>0</v>
      </c>
      <c r="I648" t="n">
        <v>0</v>
      </c>
      <c r="J648" t="n">
        <v>0</v>
      </c>
      <c r="K648" t="n">
        <v>0</v>
      </c>
      <c r="L648" t="n">
        <v>0</v>
      </c>
      <c r="M648" t="n">
        <v>0</v>
      </c>
      <c r="N648" t="n">
        <v>0</v>
      </c>
      <c r="O648" t="n">
        <v>0</v>
      </c>
      <c r="P648" t="n">
        <v>0</v>
      </c>
      <c r="Q648" t="n">
        <v>0</v>
      </c>
      <c r="R648" s="2" t="inlineStr"/>
    </row>
    <row r="649" ht="15" customHeight="1">
      <c r="A649" t="inlineStr">
        <is>
          <t>A 41680-2024</t>
        </is>
      </c>
      <c r="B649" s="1" t="n">
        <v>45560</v>
      </c>
      <c r="C649" s="1" t="n">
        <v>46035</v>
      </c>
      <c r="D649" t="inlineStr">
        <is>
          <t>SKÅNE LÄN</t>
        </is>
      </c>
      <c r="E649" t="inlineStr">
        <is>
          <t>HÄSSLEHOLM</t>
        </is>
      </c>
      <c r="G649" t="n">
        <v>0.2</v>
      </c>
      <c r="H649" t="n">
        <v>0</v>
      </c>
      <c r="I649" t="n">
        <v>0</v>
      </c>
      <c r="J649" t="n">
        <v>0</v>
      </c>
      <c r="K649" t="n">
        <v>0</v>
      </c>
      <c r="L649" t="n">
        <v>0</v>
      </c>
      <c r="M649" t="n">
        <v>0</v>
      </c>
      <c r="N649" t="n">
        <v>0</v>
      </c>
      <c r="O649" t="n">
        <v>0</v>
      </c>
      <c r="P649" t="n">
        <v>0</v>
      </c>
      <c r="Q649" t="n">
        <v>0</v>
      </c>
      <c r="R649" s="2" t="inlineStr"/>
    </row>
    <row r="650" ht="15" customHeight="1">
      <c r="A650" t="inlineStr">
        <is>
          <t>A 27197-2021</t>
        </is>
      </c>
      <c r="B650" s="1" t="n">
        <v>44350</v>
      </c>
      <c r="C650" s="1" t="n">
        <v>46035</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36085-2025</t>
        </is>
      </c>
      <c r="B651" s="1" t="n">
        <v>45866.46190972222</v>
      </c>
      <c r="C651" s="1" t="n">
        <v>46035</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33465-2024</t>
        </is>
      </c>
      <c r="B652" s="1" t="n">
        <v>45519.59619212963</v>
      </c>
      <c r="C652" s="1" t="n">
        <v>46035</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36130-2025</t>
        </is>
      </c>
      <c r="B653" s="1" t="n">
        <v>45866.62273148148</v>
      </c>
      <c r="C653" s="1" t="n">
        <v>46035</v>
      </c>
      <c r="D653" t="inlineStr">
        <is>
          <t>SKÅNE LÄN</t>
        </is>
      </c>
      <c r="E653" t="inlineStr">
        <is>
          <t>HÄSSLEHOLM</t>
        </is>
      </c>
      <c r="G653" t="n">
        <v>4.7</v>
      </c>
      <c r="H653" t="n">
        <v>0</v>
      </c>
      <c r="I653" t="n">
        <v>0</v>
      </c>
      <c r="J653" t="n">
        <v>0</v>
      </c>
      <c r="K653" t="n">
        <v>0</v>
      </c>
      <c r="L653" t="n">
        <v>0</v>
      </c>
      <c r="M653" t="n">
        <v>0</v>
      </c>
      <c r="N653" t="n">
        <v>0</v>
      </c>
      <c r="O653" t="n">
        <v>0</v>
      </c>
      <c r="P653" t="n">
        <v>0</v>
      </c>
      <c r="Q653" t="n">
        <v>0</v>
      </c>
      <c r="R653" s="2" t="inlineStr"/>
    </row>
    <row r="654" ht="15" customHeight="1">
      <c r="A654" t="inlineStr">
        <is>
          <t>A 19666-2025</t>
        </is>
      </c>
      <c r="B654" s="1" t="n">
        <v>45770.69326388889</v>
      </c>
      <c r="C654" s="1" t="n">
        <v>46035</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31986-2023</t>
        </is>
      </c>
      <c r="B655" s="1" t="n">
        <v>45119</v>
      </c>
      <c r="C655" s="1" t="n">
        <v>46035</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41209-2023</t>
        </is>
      </c>
      <c r="B656" s="1" t="n">
        <v>45174.43481481481</v>
      </c>
      <c r="C656" s="1" t="n">
        <v>46035</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61197-2024</t>
        </is>
      </c>
      <c r="B657" s="1" t="n">
        <v>45645.63184027778</v>
      </c>
      <c r="C657" s="1" t="n">
        <v>46035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36361-2025</t>
        </is>
      </c>
      <c r="B658" s="1" t="n">
        <v>45867</v>
      </c>
      <c r="C658" s="1" t="n">
        <v>46035</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13549-2025</t>
        </is>
      </c>
      <c r="B659" s="1" t="n">
        <v>45736</v>
      </c>
      <c r="C659" s="1" t="n">
        <v>46035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35833-2023</t>
        </is>
      </c>
      <c r="B660" s="1" t="n">
        <v>45148</v>
      </c>
      <c r="C660" s="1" t="n">
        <v>46035</v>
      </c>
      <c r="D660" t="inlineStr">
        <is>
          <t>SKÅNE LÄN</t>
        </is>
      </c>
      <c r="E660" t="inlineStr">
        <is>
          <t>HÄSSLEHOLM</t>
        </is>
      </c>
      <c r="F660" t="inlineStr">
        <is>
          <t>Kommuner</t>
        </is>
      </c>
      <c r="G660" t="n">
        <v>2</v>
      </c>
      <c r="H660" t="n">
        <v>0</v>
      </c>
      <c r="I660" t="n">
        <v>0</v>
      </c>
      <c r="J660" t="n">
        <v>0</v>
      </c>
      <c r="K660" t="n">
        <v>0</v>
      </c>
      <c r="L660" t="n">
        <v>0</v>
      </c>
      <c r="M660" t="n">
        <v>0</v>
      </c>
      <c r="N660" t="n">
        <v>0</v>
      </c>
      <c r="O660" t="n">
        <v>0</v>
      </c>
      <c r="P660" t="n">
        <v>0</v>
      </c>
      <c r="Q660" t="n">
        <v>0</v>
      </c>
      <c r="R660" s="2" t="inlineStr"/>
    </row>
    <row r="661" ht="15" customHeight="1">
      <c r="A661" t="inlineStr">
        <is>
          <t>A 36358-2025</t>
        </is>
      </c>
      <c r="B661" s="1" t="n">
        <v>45867</v>
      </c>
      <c r="C661" s="1" t="n">
        <v>46035</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36359-2025</t>
        </is>
      </c>
      <c r="B662" s="1" t="n">
        <v>45867</v>
      </c>
      <c r="C662" s="1" t="n">
        <v>46035</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36259-2025</t>
        </is>
      </c>
      <c r="B663" s="1" t="n">
        <v>45867.59799768519</v>
      </c>
      <c r="C663" s="1" t="n">
        <v>46035</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57491-2024</t>
        </is>
      </c>
      <c r="B664" s="1" t="n">
        <v>45629</v>
      </c>
      <c r="C664" s="1" t="n">
        <v>46035</v>
      </c>
      <c r="D664" t="inlineStr">
        <is>
          <t>SKÅNE LÄN</t>
        </is>
      </c>
      <c r="E664" t="inlineStr">
        <is>
          <t>HÄSSLEHOLM</t>
        </is>
      </c>
      <c r="G664" t="n">
        <v>3.2</v>
      </c>
      <c r="H664" t="n">
        <v>0</v>
      </c>
      <c r="I664" t="n">
        <v>0</v>
      </c>
      <c r="J664" t="n">
        <v>0</v>
      </c>
      <c r="K664" t="n">
        <v>0</v>
      </c>
      <c r="L664" t="n">
        <v>0</v>
      </c>
      <c r="M664" t="n">
        <v>0</v>
      </c>
      <c r="N664" t="n">
        <v>0</v>
      </c>
      <c r="O664" t="n">
        <v>0</v>
      </c>
      <c r="P664" t="n">
        <v>0</v>
      </c>
      <c r="Q664" t="n">
        <v>0</v>
      </c>
      <c r="R664" s="2" t="inlineStr"/>
    </row>
    <row r="665" ht="15" customHeight="1">
      <c r="A665" t="inlineStr">
        <is>
          <t>A 58250-2024</t>
        </is>
      </c>
      <c r="B665" s="1" t="n">
        <v>45632.55643518519</v>
      </c>
      <c r="C665" s="1" t="n">
        <v>46035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26207-2021</t>
        </is>
      </c>
      <c r="B666" s="1" t="n">
        <v>44347</v>
      </c>
      <c r="C666" s="1" t="n">
        <v>46035</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53018-2025</t>
        </is>
      </c>
      <c r="B667" s="1" t="n">
        <v>45957.90064814815</v>
      </c>
      <c r="C667" s="1" t="n">
        <v>46035</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53056-2025</t>
        </is>
      </c>
      <c r="B668" s="1" t="n">
        <v>45958.36518518518</v>
      </c>
      <c r="C668" s="1" t="n">
        <v>46035</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8209-2025</t>
        </is>
      </c>
      <c r="B669" s="1" t="n">
        <v>45708.44244212963</v>
      </c>
      <c r="C669" s="1" t="n">
        <v>46035</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36938-2025</t>
        </is>
      </c>
      <c r="B670" s="1" t="n">
        <v>45874.58476851852</v>
      </c>
      <c r="C670" s="1" t="n">
        <v>46035</v>
      </c>
      <c r="D670" t="inlineStr">
        <is>
          <t>SKÅNE LÄN</t>
        </is>
      </c>
      <c r="E670" t="inlineStr">
        <is>
          <t>HÄSSLEHOLM</t>
        </is>
      </c>
      <c r="G670" t="n">
        <v>3.7</v>
      </c>
      <c r="H670" t="n">
        <v>0</v>
      </c>
      <c r="I670" t="n">
        <v>0</v>
      </c>
      <c r="J670" t="n">
        <v>0</v>
      </c>
      <c r="K670" t="n">
        <v>0</v>
      </c>
      <c r="L670" t="n">
        <v>0</v>
      </c>
      <c r="M670" t="n">
        <v>0</v>
      </c>
      <c r="N670" t="n">
        <v>0</v>
      </c>
      <c r="O670" t="n">
        <v>0</v>
      </c>
      <c r="P670" t="n">
        <v>0</v>
      </c>
      <c r="Q670" t="n">
        <v>0</v>
      </c>
      <c r="R670" s="2" t="inlineStr"/>
    </row>
    <row r="671" ht="15" customHeight="1">
      <c r="A671" t="inlineStr">
        <is>
          <t>A 6798-2025</t>
        </is>
      </c>
      <c r="B671" s="1" t="n">
        <v>45700.668125</v>
      </c>
      <c r="C671" s="1" t="n">
        <v>46035</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69357-2021</t>
        </is>
      </c>
      <c r="B672" s="1" t="n">
        <v>44531</v>
      </c>
      <c r="C672" s="1" t="n">
        <v>46035</v>
      </c>
      <c r="D672" t="inlineStr">
        <is>
          <t>SKÅNE LÄN</t>
        </is>
      </c>
      <c r="E672" t="inlineStr">
        <is>
          <t>HÄSSLEHOLM</t>
        </is>
      </c>
      <c r="G672" t="n">
        <v>1.6</v>
      </c>
      <c r="H672" t="n">
        <v>0</v>
      </c>
      <c r="I672" t="n">
        <v>0</v>
      </c>
      <c r="J672" t="n">
        <v>0</v>
      </c>
      <c r="K672" t="n">
        <v>0</v>
      </c>
      <c r="L672" t="n">
        <v>0</v>
      </c>
      <c r="M672" t="n">
        <v>0</v>
      </c>
      <c r="N672" t="n">
        <v>0</v>
      </c>
      <c r="O672" t="n">
        <v>0</v>
      </c>
      <c r="P672" t="n">
        <v>0</v>
      </c>
      <c r="Q672" t="n">
        <v>0</v>
      </c>
      <c r="R672" s="2" t="inlineStr"/>
    </row>
    <row r="673" ht="15" customHeight="1">
      <c r="A673" t="inlineStr">
        <is>
          <t>A 37898-2021</t>
        </is>
      </c>
      <c r="B673" s="1" t="n">
        <v>44403</v>
      </c>
      <c r="C673" s="1" t="n">
        <v>46035</v>
      </c>
      <c r="D673" t="inlineStr">
        <is>
          <t>SKÅNE LÄN</t>
        </is>
      </c>
      <c r="E673" t="inlineStr">
        <is>
          <t>HÄSSLEHOLM</t>
        </is>
      </c>
      <c r="F673" t="inlineStr">
        <is>
          <t>Kommuner</t>
        </is>
      </c>
      <c r="G673" t="n">
        <v>8.4</v>
      </c>
      <c r="H673" t="n">
        <v>0</v>
      </c>
      <c r="I673" t="n">
        <v>0</v>
      </c>
      <c r="J673" t="n">
        <v>0</v>
      </c>
      <c r="K673" t="n">
        <v>0</v>
      </c>
      <c r="L673" t="n">
        <v>0</v>
      </c>
      <c r="M673" t="n">
        <v>0</v>
      </c>
      <c r="N673" t="n">
        <v>0</v>
      </c>
      <c r="O673" t="n">
        <v>0</v>
      </c>
      <c r="P673" t="n">
        <v>0</v>
      </c>
      <c r="Q673" t="n">
        <v>0</v>
      </c>
      <c r="R673" s="2" t="inlineStr"/>
    </row>
    <row r="674" ht="15" customHeight="1">
      <c r="A674" t="inlineStr">
        <is>
          <t>A 35810-2023</t>
        </is>
      </c>
      <c r="B674" s="1" t="n">
        <v>45148.44046296296</v>
      </c>
      <c r="C674" s="1" t="n">
        <v>46035</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23172-2022</t>
        </is>
      </c>
      <c r="B675" s="1" t="n">
        <v>44719</v>
      </c>
      <c r="C675" s="1" t="n">
        <v>46035</v>
      </c>
      <c r="D675" t="inlineStr">
        <is>
          <t>SKÅNE LÄN</t>
        </is>
      </c>
      <c r="E675" t="inlineStr">
        <is>
          <t>HÄSSLEHOLM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23173-2022</t>
        </is>
      </c>
      <c r="B676" s="1" t="n">
        <v>44719.72155092593</v>
      </c>
      <c r="C676" s="1" t="n">
        <v>46035</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52608-2023</t>
        </is>
      </c>
      <c r="B677" s="1" t="n">
        <v>45219</v>
      </c>
      <c r="C677" s="1" t="n">
        <v>46035</v>
      </c>
      <c r="D677" t="inlineStr">
        <is>
          <t>SKÅNE LÄN</t>
        </is>
      </c>
      <c r="E677" t="inlineStr">
        <is>
          <t>HÄSSLEHOLM</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8239-2025</t>
        </is>
      </c>
      <c r="B678" s="1" t="n">
        <v>45708.47984953703</v>
      </c>
      <c r="C678" s="1" t="n">
        <v>46035</v>
      </c>
      <c r="D678" t="inlineStr">
        <is>
          <t>SKÅNE LÄN</t>
        </is>
      </c>
      <c r="E678" t="inlineStr">
        <is>
          <t>HÄSSLEHOLM</t>
        </is>
      </c>
      <c r="G678" t="n">
        <v>2.7</v>
      </c>
      <c r="H678" t="n">
        <v>0</v>
      </c>
      <c r="I678" t="n">
        <v>0</v>
      </c>
      <c r="J678" t="n">
        <v>0</v>
      </c>
      <c r="K678" t="n">
        <v>0</v>
      </c>
      <c r="L678" t="n">
        <v>0</v>
      </c>
      <c r="M678" t="n">
        <v>0</v>
      </c>
      <c r="N678" t="n">
        <v>0</v>
      </c>
      <c r="O678" t="n">
        <v>0</v>
      </c>
      <c r="P678" t="n">
        <v>0</v>
      </c>
      <c r="Q678" t="n">
        <v>0</v>
      </c>
      <c r="R678" s="2" t="inlineStr"/>
    </row>
    <row r="679" ht="15" customHeight="1">
      <c r="A679" t="inlineStr">
        <is>
          <t>A 56355-2023</t>
        </is>
      </c>
      <c r="B679" s="1" t="n">
        <v>45243.3702662037</v>
      </c>
      <c r="C679" s="1" t="n">
        <v>46035</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9394-2025</t>
        </is>
      </c>
      <c r="B680" s="1" t="n">
        <v>45715.36387731481</v>
      </c>
      <c r="C680" s="1" t="n">
        <v>46035</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7305-2025</t>
        </is>
      </c>
      <c r="B681" s="1" t="n">
        <v>45702</v>
      </c>
      <c r="C681" s="1" t="n">
        <v>46035</v>
      </c>
      <c r="D681" t="inlineStr">
        <is>
          <t>SKÅNE LÄN</t>
        </is>
      </c>
      <c r="E681" t="inlineStr">
        <is>
          <t>HÄSSLEHOLM</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52341-2023</t>
        </is>
      </c>
      <c r="B682" s="1" t="n">
        <v>45224.67006944444</v>
      </c>
      <c r="C682" s="1" t="n">
        <v>46035</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37286-2025</t>
        </is>
      </c>
      <c r="B683" s="1" t="n">
        <v>45876.50116898148</v>
      </c>
      <c r="C683" s="1" t="n">
        <v>46035</v>
      </c>
      <c r="D683" t="inlineStr">
        <is>
          <t>SKÅNE LÄN</t>
        </is>
      </c>
      <c r="E683" t="inlineStr">
        <is>
          <t>HÄSSLEHOLM</t>
        </is>
      </c>
      <c r="G683" t="n">
        <v>2.9</v>
      </c>
      <c r="H683" t="n">
        <v>0</v>
      </c>
      <c r="I683" t="n">
        <v>0</v>
      </c>
      <c r="J683" t="n">
        <v>0</v>
      </c>
      <c r="K683" t="n">
        <v>0</v>
      </c>
      <c r="L683" t="n">
        <v>0</v>
      </c>
      <c r="M683" t="n">
        <v>0</v>
      </c>
      <c r="N683" t="n">
        <v>0</v>
      </c>
      <c r="O683" t="n">
        <v>0</v>
      </c>
      <c r="P683" t="n">
        <v>0</v>
      </c>
      <c r="Q683" t="n">
        <v>0</v>
      </c>
      <c r="R683" s="2" t="inlineStr"/>
    </row>
    <row r="684" ht="15" customHeight="1">
      <c r="A684" t="inlineStr">
        <is>
          <t>A 37271-2025</t>
        </is>
      </c>
      <c r="B684" s="1" t="n">
        <v>45876.47828703704</v>
      </c>
      <c r="C684" s="1" t="n">
        <v>46035</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53020-2025</t>
        </is>
      </c>
      <c r="B685" s="1" t="n">
        <v>45957.90707175926</v>
      </c>
      <c r="C685" s="1" t="n">
        <v>46035</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27173-2024</t>
        </is>
      </c>
      <c r="B686" s="1" t="n">
        <v>45471.57048611111</v>
      </c>
      <c r="C686" s="1" t="n">
        <v>46035</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15800-2025</t>
        </is>
      </c>
      <c r="B687" s="1" t="n">
        <v>45748.64831018518</v>
      </c>
      <c r="C687" s="1" t="n">
        <v>46035</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40780-2022</t>
        </is>
      </c>
      <c r="B688" s="1" t="n">
        <v>44820</v>
      </c>
      <c r="C688" s="1" t="n">
        <v>46035</v>
      </c>
      <c r="D688" t="inlineStr">
        <is>
          <t>SKÅNE LÄN</t>
        </is>
      </c>
      <c r="E688" t="inlineStr">
        <is>
          <t>HÄSSLEHOLM</t>
        </is>
      </c>
      <c r="G688" t="n">
        <v>7.4</v>
      </c>
      <c r="H688" t="n">
        <v>0</v>
      </c>
      <c r="I688" t="n">
        <v>0</v>
      </c>
      <c r="J688" t="n">
        <v>0</v>
      </c>
      <c r="K688" t="n">
        <v>0</v>
      </c>
      <c r="L688" t="n">
        <v>0</v>
      </c>
      <c r="M688" t="n">
        <v>0</v>
      </c>
      <c r="N688" t="n">
        <v>0</v>
      </c>
      <c r="O688" t="n">
        <v>0</v>
      </c>
      <c r="P688" t="n">
        <v>0</v>
      </c>
      <c r="Q688" t="n">
        <v>0</v>
      </c>
      <c r="R688" s="2" t="inlineStr"/>
    </row>
    <row r="689" ht="15" customHeight="1">
      <c r="A689" t="inlineStr">
        <is>
          <t>A 51245-2023</t>
        </is>
      </c>
      <c r="B689" s="1" t="n">
        <v>45212</v>
      </c>
      <c r="C689" s="1" t="n">
        <v>46035</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32981-2025</t>
        </is>
      </c>
      <c r="B690" s="1" t="n">
        <v>45839.86820601852</v>
      </c>
      <c r="C690" s="1" t="n">
        <v>46035</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18109-2025</t>
        </is>
      </c>
      <c r="B691" s="1" t="n">
        <v>45761</v>
      </c>
      <c r="C691" s="1" t="n">
        <v>46035</v>
      </c>
      <c r="D691" t="inlineStr">
        <is>
          <t>SKÅNE LÄN</t>
        </is>
      </c>
      <c r="E691" t="inlineStr">
        <is>
          <t>HÄSSLEHOLM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16862-2025</t>
        </is>
      </c>
      <c r="B692" s="1" t="n">
        <v>45751</v>
      </c>
      <c r="C692" s="1" t="n">
        <v>46035</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48747-2022</t>
        </is>
      </c>
      <c r="B693" s="1" t="n">
        <v>44859</v>
      </c>
      <c r="C693" s="1" t="n">
        <v>46035</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7153-2025</t>
        </is>
      </c>
      <c r="B694" s="1" t="n">
        <v>45702.38512731482</v>
      </c>
      <c r="C694" s="1" t="n">
        <v>46035</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7581-2023</t>
        </is>
      </c>
      <c r="B695" s="1" t="n">
        <v>44972.39556712963</v>
      </c>
      <c r="C695" s="1" t="n">
        <v>46035</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21141-2024</t>
        </is>
      </c>
      <c r="B696" s="1" t="n">
        <v>45440.39012731481</v>
      </c>
      <c r="C696" s="1" t="n">
        <v>46035</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11603-2025</t>
        </is>
      </c>
      <c r="B697" s="1" t="n">
        <v>45727</v>
      </c>
      <c r="C697" s="1" t="n">
        <v>46035</v>
      </c>
      <c r="D697" t="inlineStr">
        <is>
          <t>SKÅNE LÄN</t>
        </is>
      </c>
      <c r="E697" t="inlineStr">
        <is>
          <t>HÄSSLEHOLM</t>
        </is>
      </c>
      <c r="G697" t="n">
        <v>5.6</v>
      </c>
      <c r="H697" t="n">
        <v>0</v>
      </c>
      <c r="I697" t="n">
        <v>0</v>
      </c>
      <c r="J697" t="n">
        <v>0</v>
      </c>
      <c r="K697" t="n">
        <v>0</v>
      </c>
      <c r="L697" t="n">
        <v>0</v>
      </c>
      <c r="M697" t="n">
        <v>0</v>
      </c>
      <c r="N697" t="n">
        <v>0</v>
      </c>
      <c r="O697" t="n">
        <v>0</v>
      </c>
      <c r="P697" t="n">
        <v>0</v>
      </c>
      <c r="Q697" t="n">
        <v>0</v>
      </c>
      <c r="R697" s="2" t="inlineStr"/>
    </row>
    <row r="698" ht="15" customHeight="1">
      <c r="A698" t="inlineStr">
        <is>
          <t>A 13712-2025</t>
        </is>
      </c>
      <c r="B698" s="1" t="n">
        <v>45737</v>
      </c>
      <c r="C698" s="1" t="n">
        <v>46035</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46288-2023</t>
        </is>
      </c>
      <c r="B699" s="1" t="n">
        <v>45197.30221064815</v>
      </c>
      <c r="C699" s="1" t="n">
        <v>46035</v>
      </c>
      <c r="D699" t="inlineStr">
        <is>
          <t>SKÅNE LÄN</t>
        </is>
      </c>
      <c r="E699" t="inlineStr">
        <is>
          <t>HÄSSLEHOLM</t>
        </is>
      </c>
      <c r="G699" t="n">
        <v>3</v>
      </c>
      <c r="H699" t="n">
        <v>0</v>
      </c>
      <c r="I699" t="n">
        <v>0</v>
      </c>
      <c r="J699" t="n">
        <v>0</v>
      </c>
      <c r="K699" t="n">
        <v>0</v>
      </c>
      <c r="L699" t="n">
        <v>0</v>
      </c>
      <c r="M699" t="n">
        <v>0</v>
      </c>
      <c r="N699" t="n">
        <v>0</v>
      </c>
      <c r="O699" t="n">
        <v>0</v>
      </c>
      <c r="P699" t="n">
        <v>0</v>
      </c>
      <c r="Q699" t="n">
        <v>0</v>
      </c>
      <c r="R699" s="2" t="inlineStr"/>
    </row>
    <row r="700" ht="15" customHeight="1">
      <c r="A700" t="inlineStr">
        <is>
          <t>A 57967-2023</t>
        </is>
      </c>
      <c r="B700" s="1" t="n">
        <v>45247.57984953704</v>
      </c>
      <c r="C700" s="1" t="n">
        <v>46035</v>
      </c>
      <c r="D700" t="inlineStr">
        <is>
          <t>SKÅNE LÄN</t>
        </is>
      </c>
      <c r="E700" t="inlineStr">
        <is>
          <t>HÄSSLEHOLM</t>
        </is>
      </c>
      <c r="G700" t="n">
        <v>8.6</v>
      </c>
      <c r="H700" t="n">
        <v>0</v>
      </c>
      <c r="I700" t="n">
        <v>0</v>
      </c>
      <c r="J700" t="n">
        <v>0</v>
      </c>
      <c r="K700" t="n">
        <v>0</v>
      </c>
      <c r="L700" t="n">
        <v>0</v>
      </c>
      <c r="M700" t="n">
        <v>0</v>
      </c>
      <c r="N700" t="n">
        <v>0</v>
      </c>
      <c r="O700" t="n">
        <v>0</v>
      </c>
      <c r="P700" t="n">
        <v>0</v>
      </c>
      <c r="Q700" t="n">
        <v>0</v>
      </c>
      <c r="R700" s="2" t="inlineStr"/>
    </row>
    <row r="701" ht="15" customHeight="1">
      <c r="A701" t="inlineStr">
        <is>
          <t>A 19744-2023</t>
        </is>
      </c>
      <c r="B701" s="1" t="n">
        <v>45051</v>
      </c>
      <c r="C701" s="1" t="n">
        <v>46035</v>
      </c>
      <c r="D701" t="inlineStr">
        <is>
          <t>SKÅNE LÄN</t>
        </is>
      </c>
      <c r="E701" t="inlineStr">
        <is>
          <t>HÄSSLEHOLM</t>
        </is>
      </c>
      <c r="G701" t="n">
        <v>0.4</v>
      </c>
      <c r="H701" t="n">
        <v>0</v>
      </c>
      <c r="I701" t="n">
        <v>0</v>
      </c>
      <c r="J701" t="n">
        <v>0</v>
      </c>
      <c r="K701" t="n">
        <v>0</v>
      </c>
      <c r="L701" t="n">
        <v>0</v>
      </c>
      <c r="M701" t="n">
        <v>0</v>
      </c>
      <c r="N701" t="n">
        <v>0</v>
      </c>
      <c r="O701" t="n">
        <v>0</v>
      </c>
      <c r="P701" t="n">
        <v>0</v>
      </c>
      <c r="Q701" t="n">
        <v>0</v>
      </c>
      <c r="R701" s="2" t="inlineStr"/>
    </row>
    <row r="702" ht="15" customHeight="1">
      <c r="A702" t="inlineStr">
        <is>
          <t>A 15990-2023</t>
        </is>
      </c>
      <c r="B702" s="1" t="n">
        <v>45023.39584490741</v>
      </c>
      <c r="C702" s="1" t="n">
        <v>46035</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61474-2025</t>
        </is>
      </c>
      <c r="B703" s="1" t="n">
        <v>46001.61886574074</v>
      </c>
      <c r="C703" s="1" t="n">
        <v>46035</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47907-2021</t>
        </is>
      </c>
      <c r="B704" s="1" t="n">
        <v>44448</v>
      </c>
      <c r="C704" s="1" t="n">
        <v>46035</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7513-2025</t>
        </is>
      </c>
      <c r="B705" s="1" t="n">
        <v>45702</v>
      </c>
      <c r="C705" s="1" t="n">
        <v>46035</v>
      </c>
      <c r="D705" t="inlineStr">
        <is>
          <t>SKÅNE LÄN</t>
        </is>
      </c>
      <c r="E705" t="inlineStr">
        <is>
          <t>HÄSSLEHOLM</t>
        </is>
      </c>
      <c r="F705" t="inlineStr">
        <is>
          <t>Övriga Aktiebolag</t>
        </is>
      </c>
      <c r="G705" t="n">
        <v>2.4</v>
      </c>
      <c r="H705" t="n">
        <v>0</v>
      </c>
      <c r="I705" t="n">
        <v>0</v>
      </c>
      <c r="J705" t="n">
        <v>0</v>
      </c>
      <c r="K705" t="n">
        <v>0</v>
      </c>
      <c r="L705" t="n">
        <v>0</v>
      </c>
      <c r="M705" t="n">
        <v>0</v>
      </c>
      <c r="N705" t="n">
        <v>0</v>
      </c>
      <c r="O705" t="n">
        <v>0</v>
      </c>
      <c r="P705" t="n">
        <v>0</v>
      </c>
      <c r="Q705" t="n">
        <v>0</v>
      </c>
      <c r="R705" s="2" t="inlineStr"/>
    </row>
    <row r="706" ht="15" customHeight="1">
      <c r="A706" t="inlineStr">
        <is>
          <t>A 1557-2023</t>
        </is>
      </c>
      <c r="B706" s="1" t="n">
        <v>44937</v>
      </c>
      <c r="C706" s="1" t="n">
        <v>46035</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44844.713125</v>
      </c>
      <c r="C707" s="1" t="n">
        <v>46035</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53424-2025</t>
        </is>
      </c>
      <c r="B708" s="1" t="n">
        <v>45959</v>
      </c>
      <c r="C708" s="1" t="n">
        <v>46035</v>
      </c>
      <c r="D708" t="inlineStr">
        <is>
          <t>SKÅNE LÄN</t>
        </is>
      </c>
      <c r="E708" t="inlineStr">
        <is>
          <t>HÄSSLEHOLM</t>
        </is>
      </c>
      <c r="G708" t="n">
        <v>3.4</v>
      </c>
      <c r="H708" t="n">
        <v>0</v>
      </c>
      <c r="I708" t="n">
        <v>0</v>
      </c>
      <c r="J708" t="n">
        <v>0</v>
      </c>
      <c r="K708" t="n">
        <v>0</v>
      </c>
      <c r="L708" t="n">
        <v>0</v>
      </c>
      <c r="M708" t="n">
        <v>0</v>
      </c>
      <c r="N708" t="n">
        <v>0</v>
      </c>
      <c r="O708" t="n">
        <v>0</v>
      </c>
      <c r="P708" t="n">
        <v>0</v>
      </c>
      <c r="Q708" t="n">
        <v>0</v>
      </c>
      <c r="R708" s="2" t="inlineStr"/>
    </row>
    <row r="709" ht="15" customHeight="1">
      <c r="A709" t="inlineStr">
        <is>
          <t>A 61322-2025</t>
        </is>
      </c>
      <c r="B709" s="1" t="n">
        <v>46000</v>
      </c>
      <c r="C709" s="1" t="n">
        <v>46035</v>
      </c>
      <c r="D709" t="inlineStr">
        <is>
          <t>SKÅNE LÄN</t>
        </is>
      </c>
      <c r="E709" t="inlineStr">
        <is>
          <t>HÄSSLEHOLM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54874-2022</t>
        </is>
      </c>
      <c r="B710" s="1" t="n">
        <v>44881</v>
      </c>
      <c r="C710" s="1" t="n">
        <v>46035</v>
      </c>
      <c r="D710" t="inlineStr">
        <is>
          <t>SKÅNE LÄN</t>
        </is>
      </c>
      <c r="E710" t="inlineStr">
        <is>
          <t>HÄSSLEHOLM</t>
        </is>
      </c>
      <c r="G710" t="n">
        <v>8.1</v>
      </c>
      <c r="H710" t="n">
        <v>0</v>
      </c>
      <c r="I710" t="n">
        <v>0</v>
      </c>
      <c r="J710" t="n">
        <v>0</v>
      </c>
      <c r="K710" t="n">
        <v>0</v>
      </c>
      <c r="L710" t="n">
        <v>0</v>
      </c>
      <c r="M710" t="n">
        <v>0</v>
      </c>
      <c r="N710" t="n">
        <v>0</v>
      </c>
      <c r="O710" t="n">
        <v>0</v>
      </c>
      <c r="P710" t="n">
        <v>0</v>
      </c>
      <c r="Q710" t="n">
        <v>0</v>
      </c>
      <c r="R710" s="2" t="inlineStr"/>
    </row>
    <row r="711" ht="15" customHeight="1">
      <c r="A711" t="inlineStr">
        <is>
          <t>A 1706-2025</t>
        </is>
      </c>
      <c r="B711" s="1" t="n">
        <v>45670</v>
      </c>
      <c r="C711" s="1" t="n">
        <v>46035</v>
      </c>
      <c r="D711" t="inlineStr">
        <is>
          <t>SKÅNE LÄN</t>
        </is>
      </c>
      <c r="E711" t="inlineStr">
        <is>
          <t>HÄSSLEHOLM</t>
        </is>
      </c>
      <c r="G711" t="n">
        <v>5</v>
      </c>
      <c r="H711" t="n">
        <v>0</v>
      </c>
      <c r="I711" t="n">
        <v>0</v>
      </c>
      <c r="J711" t="n">
        <v>0</v>
      </c>
      <c r="K711" t="n">
        <v>0</v>
      </c>
      <c r="L711" t="n">
        <v>0</v>
      </c>
      <c r="M711" t="n">
        <v>0</v>
      </c>
      <c r="N711" t="n">
        <v>0</v>
      </c>
      <c r="O711" t="n">
        <v>0</v>
      </c>
      <c r="P711" t="n">
        <v>0</v>
      </c>
      <c r="Q711" t="n">
        <v>0</v>
      </c>
      <c r="R711" s="2" t="inlineStr"/>
    </row>
    <row r="712" ht="15" customHeight="1">
      <c r="A712" t="inlineStr">
        <is>
          <t>A 61625-2022</t>
        </is>
      </c>
      <c r="B712" s="1" t="n">
        <v>44916</v>
      </c>
      <c r="C712" s="1" t="n">
        <v>46035</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31268-2024</t>
        </is>
      </c>
      <c r="B713" s="1" t="n">
        <v>45504</v>
      </c>
      <c r="C713" s="1" t="n">
        <v>46035</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13856-2025</t>
        </is>
      </c>
      <c r="B714" s="1" t="n">
        <v>45737.57289351852</v>
      </c>
      <c r="C714" s="1" t="n">
        <v>46035</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36568-2024</t>
        </is>
      </c>
      <c r="B715" s="1" t="n">
        <v>45537</v>
      </c>
      <c r="C715" s="1" t="n">
        <v>46035</v>
      </c>
      <c r="D715" t="inlineStr">
        <is>
          <t>SKÅNE LÄN</t>
        </is>
      </c>
      <c r="E715" t="inlineStr">
        <is>
          <t>HÄSSLEHOLM</t>
        </is>
      </c>
      <c r="G715" t="n">
        <v>4.3</v>
      </c>
      <c r="H715" t="n">
        <v>0</v>
      </c>
      <c r="I715" t="n">
        <v>0</v>
      </c>
      <c r="J715" t="n">
        <v>0</v>
      </c>
      <c r="K715" t="n">
        <v>0</v>
      </c>
      <c r="L715" t="n">
        <v>0</v>
      </c>
      <c r="M715" t="n">
        <v>0</v>
      </c>
      <c r="N715" t="n">
        <v>0</v>
      </c>
      <c r="O715" t="n">
        <v>0</v>
      </c>
      <c r="P715" t="n">
        <v>0</v>
      </c>
      <c r="Q715" t="n">
        <v>0</v>
      </c>
      <c r="R715" s="2" t="inlineStr"/>
    </row>
    <row r="716" ht="15" customHeight="1">
      <c r="A716" t="inlineStr">
        <is>
          <t>A 32794-2021</t>
        </is>
      </c>
      <c r="B716" s="1" t="n">
        <v>44375</v>
      </c>
      <c r="C716" s="1" t="n">
        <v>46035</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13961-2023</t>
        </is>
      </c>
      <c r="B717" s="1" t="n">
        <v>45008</v>
      </c>
      <c r="C717" s="1" t="n">
        <v>46035</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3855-2023</t>
        </is>
      </c>
      <c r="B718" s="1" t="n">
        <v>44951.69708333333</v>
      </c>
      <c r="C718" s="1" t="n">
        <v>46035</v>
      </c>
      <c r="D718" t="inlineStr">
        <is>
          <t>SKÅNE LÄN</t>
        </is>
      </c>
      <c r="E718" t="inlineStr">
        <is>
          <t>HÄSSLEHOLM</t>
        </is>
      </c>
      <c r="G718" t="n">
        <v>2.3</v>
      </c>
      <c r="H718" t="n">
        <v>0</v>
      </c>
      <c r="I718" t="n">
        <v>0</v>
      </c>
      <c r="J718" t="n">
        <v>0</v>
      </c>
      <c r="K718" t="n">
        <v>0</v>
      </c>
      <c r="L718" t="n">
        <v>0</v>
      </c>
      <c r="M718" t="n">
        <v>0</v>
      </c>
      <c r="N718" t="n">
        <v>0</v>
      </c>
      <c r="O718" t="n">
        <v>0</v>
      </c>
      <c r="P718" t="n">
        <v>0</v>
      </c>
      <c r="Q718" t="n">
        <v>0</v>
      </c>
      <c r="R718" s="2" t="inlineStr"/>
    </row>
    <row r="719" ht="15" customHeight="1">
      <c r="A719" t="inlineStr">
        <is>
          <t>A 34301-2024</t>
        </is>
      </c>
      <c r="B719" s="1" t="n">
        <v>45524</v>
      </c>
      <c r="C719" s="1" t="n">
        <v>46035</v>
      </c>
      <c r="D719" t="inlineStr">
        <is>
          <t>SKÅNE LÄN</t>
        </is>
      </c>
      <c r="E719" t="inlineStr">
        <is>
          <t>HÄSSLEHOLM</t>
        </is>
      </c>
      <c r="G719" t="n">
        <v>0.4</v>
      </c>
      <c r="H719" t="n">
        <v>0</v>
      </c>
      <c r="I719" t="n">
        <v>0</v>
      </c>
      <c r="J719" t="n">
        <v>0</v>
      </c>
      <c r="K719" t="n">
        <v>0</v>
      </c>
      <c r="L719" t="n">
        <v>0</v>
      </c>
      <c r="M719" t="n">
        <v>0</v>
      </c>
      <c r="N719" t="n">
        <v>0</v>
      </c>
      <c r="O719" t="n">
        <v>0</v>
      </c>
      <c r="P719" t="n">
        <v>0</v>
      </c>
      <c r="Q719" t="n">
        <v>0</v>
      </c>
      <c r="R719" s="2" t="inlineStr"/>
    </row>
    <row r="720" ht="15" customHeight="1">
      <c r="A720" t="inlineStr">
        <is>
          <t>A 15060-2023</t>
        </is>
      </c>
      <c r="B720" s="1" t="n">
        <v>45015.69832175926</v>
      </c>
      <c r="C720" s="1" t="n">
        <v>46035</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54171-2021</t>
        </is>
      </c>
      <c r="B721" s="1" t="n">
        <v>44470</v>
      </c>
      <c r="C721" s="1" t="n">
        <v>46035</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13347-2025</t>
        </is>
      </c>
      <c r="B722" s="1" t="n">
        <v>45735.63175925926</v>
      </c>
      <c r="C722" s="1" t="n">
        <v>46035</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11260-2021</t>
        </is>
      </c>
      <c r="B723" s="1" t="n">
        <v>44263</v>
      </c>
      <c r="C723" s="1" t="n">
        <v>46035</v>
      </c>
      <c r="D723" t="inlineStr">
        <is>
          <t>SKÅNE LÄN</t>
        </is>
      </c>
      <c r="E723" t="inlineStr">
        <is>
          <t>HÄSSLEHOLM</t>
        </is>
      </c>
      <c r="G723" t="n">
        <v>5.4</v>
      </c>
      <c r="H723" t="n">
        <v>0</v>
      </c>
      <c r="I723" t="n">
        <v>0</v>
      </c>
      <c r="J723" t="n">
        <v>0</v>
      </c>
      <c r="K723" t="n">
        <v>0</v>
      </c>
      <c r="L723" t="n">
        <v>0</v>
      </c>
      <c r="M723" t="n">
        <v>0</v>
      </c>
      <c r="N723" t="n">
        <v>0</v>
      </c>
      <c r="O723" t="n">
        <v>0</v>
      </c>
      <c r="P723" t="n">
        <v>0</v>
      </c>
      <c r="Q723" t="n">
        <v>0</v>
      </c>
      <c r="R723" s="2" t="inlineStr"/>
    </row>
    <row r="724" ht="15" customHeight="1">
      <c r="A724" t="inlineStr">
        <is>
          <t>A 13198-2025</t>
        </is>
      </c>
      <c r="B724" s="1" t="n">
        <v>45735</v>
      </c>
      <c r="C724" s="1" t="n">
        <v>46035</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3135-2023</t>
        </is>
      </c>
      <c r="B725" s="1" t="n">
        <v>44946.51672453704</v>
      </c>
      <c r="C725" s="1" t="n">
        <v>46035</v>
      </c>
      <c r="D725" t="inlineStr">
        <is>
          <t>SKÅNE LÄN</t>
        </is>
      </c>
      <c r="E725" t="inlineStr">
        <is>
          <t>HÄSSLEHOLM</t>
        </is>
      </c>
      <c r="G725" t="n">
        <v>7.2</v>
      </c>
      <c r="H725" t="n">
        <v>0</v>
      </c>
      <c r="I725" t="n">
        <v>0</v>
      </c>
      <c r="J725" t="n">
        <v>0</v>
      </c>
      <c r="K725" t="n">
        <v>0</v>
      </c>
      <c r="L725" t="n">
        <v>0</v>
      </c>
      <c r="M725" t="n">
        <v>0</v>
      </c>
      <c r="N725" t="n">
        <v>0</v>
      </c>
      <c r="O725" t="n">
        <v>0</v>
      </c>
      <c r="P725" t="n">
        <v>0</v>
      </c>
      <c r="Q725" t="n">
        <v>0</v>
      </c>
      <c r="R725" s="2" t="inlineStr"/>
    </row>
    <row r="726" ht="15" customHeight="1">
      <c r="A726" t="inlineStr">
        <is>
          <t>A 59429-2023</t>
        </is>
      </c>
      <c r="B726" s="1" t="n">
        <v>45254.2875</v>
      </c>
      <c r="C726" s="1" t="n">
        <v>46035</v>
      </c>
      <c r="D726" t="inlineStr">
        <is>
          <t>SKÅNE LÄN</t>
        </is>
      </c>
      <c r="E726" t="inlineStr">
        <is>
          <t>HÄSSLEHOLM</t>
        </is>
      </c>
      <c r="G726" t="n">
        <v>0</v>
      </c>
      <c r="H726" t="n">
        <v>0</v>
      </c>
      <c r="I726" t="n">
        <v>0</v>
      </c>
      <c r="J726" t="n">
        <v>0</v>
      </c>
      <c r="K726" t="n">
        <v>0</v>
      </c>
      <c r="L726" t="n">
        <v>0</v>
      </c>
      <c r="M726" t="n">
        <v>0</v>
      </c>
      <c r="N726" t="n">
        <v>0</v>
      </c>
      <c r="O726" t="n">
        <v>0</v>
      </c>
      <c r="P726" t="n">
        <v>0</v>
      </c>
      <c r="Q726" t="n">
        <v>0</v>
      </c>
      <c r="R726" s="2" t="inlineStr"/>
    </row>
    <row r="727" ht="15" customHeight="1">
      <c r="A727" t="inlineStr">
        <is>
          <t>A 40202-2022</t>
        </is>
      </c>
      <c r="B727" s="1" t="n">
        <v>44820.60614583334</v>
      </c>
      <c r="C727" s="1" t="n">
        <v>46035</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54326-2022</t>
        </is>
      </c>
      <c r="B728" s="1" t="n">
        <v>44882.42965277778</v>
      </c>
      <c r="C728" s="1" t="n">
        <v>46035</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41998-2021</t>
        </is>
      </c>
      <c r="B729" s="1" t="n">
        <v>44425</v>
      </c>
      <c r="C729" s="1" t="n">
        <v>46035</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61524-2022</t>
        </is>
      </c>
      <c r="B730" s="1" t="n">
        <v>44910</v>
      </c>
      <c r="C730" s="1" t="n">
        <v>46035</v>
      </c>
      <c r="D730" t="inlineStr">
        <is>
          <t>SKÅNE LÄN</t>
        </is>
      </c>
      <c r="E730" t="inlineStr">
        <is>
          <t>HÄSSLEHOLM</t>
        </is>
      </c>
      <c r="F730" t="inlineStr">
        <is>
          <t>Kyrkan</t>
        </is>
      </c>
      <c r="G730" t="n">
        <v>2.1</v>
      </c>
      <c r="H730" t="n">
        <v>0</v>
      </c>
      <c r="I730" t="n">
        <v>0</v>
      </c>
      <c r="J730" t="n">
        <v>0</v>
      </c>
      <c r="K730" t="n">
        <v>0</v>
      </c>
      <c r="L730" t="n">
        <v>0</v>
      </c>
      <c r="M730" t="n">
        <v>0</v>
      </c>
      <c r="N730" t="n">
        <v>0</v>
      </c>
      <c r="O730" t="n">
        <v>0</v>
      </c>
      <c r="P730" t="n">
        <v>0</v>
      </c>
      <c r="Q730" t="n">
        <v>0</v>
      </c>
      <c r="R730" s="2" t="inlineStr"/>
    </row>
    <row r="731" ht="15" customHeight="1">
      <c r="A731" t="inlineStr">
        <is>
          <t>A 61533-2022</t>
        </is>
      </c>
      <c r="B731" s="1" t="n">
        <v>44910</v>
      </c>
      <c r="C731" s="1" t="n">
        <v>46035</v>
      </c>
      <c r="D731" t="inlineStr">
        <is>
          <t>SKÅNE LÄN</t>
        </is>
      </c>
      <c r="E731" t="inlineStr">
        <is>
          <t>HÄSSLEHOLM</t>
        </is>
      </c>
      <c r="F731" t="inlineStr">
        <is>
          <t>Kyrkan</t>
        </is>
      </c>
      <c r="G731" t="n">
        <v>1</v>
      </c>
      <c r="H731" t="n">
        <v>0</v>
      </c>
      <c r="I731" t="n">
        <v>0</v>
      </c>
      <c r="J731" t="n">
        <v>0</v>
      </c>
      <c r="K731" t="n">
        <v>0</v>
      </c>
      <c r="L731" t="n">
        <v>0</v>
      </c>
      <c r="M731" t="n">
        <v>0</v>
      </c>
      <c r="N731" t="n">
        <v>0</v>
      </c>
      <c r="O731" t="n">
        <v>0</v>
      </c>
      <c r="P731" t="n">
        <v>0</v>
      </c>
      <c r="Q731" t="n">
        <v>0</v>
      </c>
      <c r="R731" s="2" t="inlineStr"/>
    </row>
    <row r="732" ht="15" customHeight="1">
      <c r="A732" t="inlineStr">
        <is>
          <t>A 47161-2025</t>
        </is>
      </c>
      <c r="B732" s="1" t="n">
        <v>45929</v>
      </c>
      <c r="C732" s="1" t="n">
        <v>46035</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54668-2025</t>
        </is>
      </c>
      <c r="B733" s="1" t="n">
        <v>45966.40803240741</v>
      </c>
      <c r="C733" s="1" t="n">
        <v>46035</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8619-2023</t>
        </is>
      </c>
      <c r="B734" s="1" t="n">
        <v>44977.81979166667</v>
      </c>
      <c r="C734" s="1" t="n">
        <v>46035</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54763-2025</t>
        </is>
      </c>
      <c r="B735" s="1" t="n">
        <v>45966.60167824074</v>
      </c>
      <c r="C735" s="1" t="n">
        <v>46035</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49219-2021</t>
        </is>
      </c>
      <c r="B736" s="1" t="n">
        <v>44454</v>
      </c>
      <c r="C736" s="1" t="n">
        <v>46035</v>
      </c>
      <c r="D736" t="inlineStr">
        <is>
          <t>SKÅNE LÄN</t>
        </is>
      </c>
      <c r="E736" t="inlineStr">
        <is>
          <t>HÄSSLEHOLM</t>
        </is>
      </c>
      <c r="G736" t="n">
        <v>7.8</v>
      </c>
      <c r="H736" t="n">
        <v>0</v>
      </c>
      <c r="I736" t="n">
        <v>0</v>
      </c>
      <c r="J736" t="n">
        <v>0</v>
      </c>
      <c r="K736" t="n">
        <v>0</v>
      </c>
      <c r="L736" t="n">
        <v>0</v>
      </c>
      <c r="M736" t="n">
        <v>0</v>
      </c>
      <c r="N736" t="n">
        <v>0</v>
      </c>
      <c r="O736" t="n">
        <v>0</v>
      </c>
      <c r="P736" t="n">
        <v>0</v>
      </c>
      <c r="Q736" t="n">
        <v>0</v>
      </c>
      <c r="R736" s="2" t="inlineStr"/>
    </row>
    <row r="737" ht="15" customHeight="1">
      <c r="A737" t="inlineStr">
        <is>
          <t>A 46000-2021</t>
        </is>
      </c>
      <c r="B737" s="1" t="n">
        <v>44441</v>
      </c>
      <c r="C737" s="1" t="n">
        <v>46035</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62171-2022</t>
        </is>
      </c>
      <c r="B738" s="1" t="n">
        <v>44915</v>
      </c>
      <c r="C738" s="1" t="n">
        <v>46035</v>
      </c>
      <c r="D738" t="inlineStr">
        <is>
          <t>SKÅNE LÄN</t>
        </is>
      </c>
      <c r="E738" t="inlineStr">
        <is>
          <t>HÄSSLEHOLM</t>
        </is>
      </c>
      <c r="F738" t="inlineStr">
        <is>
          <t>Kyrkan</t>
        </is>
      </c>
      <c r="G738" t="n">
        <v>9</v>
      </c>
      <c r="H738" t="n">
        <v>0</v>
      </c>
      <c r="I738" t="n">
        <v>0</v>
      </c>
      <c r="J738" t="n">
        <v>0</v>
      </c>
      <c r="K738" t="n">
        <v>0</v>
      </c>
      <c r="L738" t="n">
        <v>0</v>
      </c>
      <c r="M738" t="n">
        <v>0</v>
      </c>
      <c r="N738" t="n">
        <v>0</v>
      </c>
      <c r="O738" t="n">
        <v>0</v>
      </c>
      <c r="P738" t="n">
        <v>0</v>
      </c>
      <c r="Q738" t="n">
        <v>0</v>
      </c>
      <c r="R738" s="2" t="inlineStr"/>
    </row>
    <row r="739" ht="15" customHeight="1">
      <c r="A739" t="inlineStr">
        <is>
          <t>A 62376-2025</t>
        </is>
      </c>
      <c r="B739" s="1" t="n">
        <v>46006</v>
      </c>
      <c r="C739" s="1" t="n">
        <v>46035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32100-2024</t>
        </is>
      </c>
      <c r="B740" s="1" t="n">
        <v>45511.41451388889</v>
      </c>
      <c r="C740" s="1" t="n">
        <v>46035</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33481-2024</t>
        </is>
      </c>
      <c r="B741" s="1" t="n">
        <v>45519</v>
      </c>
      <c r="C741" s="1" t="n">
        <v>46035</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48807-2021</t>
        </is>
      </c>
      <c r="B742" s="1" t="n">
        <v>44452</v>
      </c>
      <c r="C742" s="1" t="n">
        <v>46035</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54664-2025</t>
        </is>
      </c>
      <c r="B743" s="1" t="n">
        <v>45966.40738425926</v>
      </c>
      <c r="C743" s="1" t="n">
        <v>46035</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46035</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16614-2025</t>
        </is>
      </c>
      <c r="B745" s="1" t="n">
        <v>45754.283125</v>
      </c>
      <c r="C745" s="1" t="n">
        <v>46035</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54771-2025</t>
        </is>
      </c>
      <c r="B746" s="1" t="n">
        <v>45966.60829861111</v>
      </c>
      <c r="C746" s="1" t="n">
        <v>46035</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23723-2023</t>
        </is>
      </c>
      <c r="B747" s="1" t="n">
        <v>45077</v>
      </c>
      <c r="C747" s="1" t="n">
        <v>46035</v>
      </c>
      <c r="D747" t="inlineStr">
        <is>
          <t>SKÅNE LÄN</t>
        </is>
      </c>
      <c r="E747" t="inlineStr">
        <is>
          <t>HÄSSLEHOLM</t>
        </is>
      </c>
      <c r="G747" t="n">
        <v>3.9</v>
      </c>
      <c r="H747" t="n">
        <v>0</v>
      </c>
      <c r="I747" t="n">
        <v>0</v>
      </c>
      <c r="J747" t="n">
        <v>0</v>
      </c>
      <c r="K747" t="n">
        <v>0</v>
      </c>
      <c r="L747" t="n">
        <v>0</v>
      </c>
      <c r="M747" t="n">
        <v>0</v>
      </c>
      <c r="N747" t="n">
        <v>0</v>
      </c>
      <c r="O747" t="n">
        <v>0</v>
      </c>
      <c r="P747" t="n">
        <v>0</v>
      </c>
      <c r="Q747" t="n">
        <v>0</v>
      </c>
      <c r="R747" s="2" t="inlineStr"/>
    </row>
    <row r="748" ht="15" customHeight="1">
      <c r="A748" t="inlineStr">
        <is>
          <t>A 62271-2025</t>
        </is>
      </c>
      <c r="B748" s="1" t="n">
        <v>46006.62256944444</v>
      </c>
      <c r="C748" s="1" t="n">
        <v>46035</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4945-2022</t>
        </is>
      </c>
      <c r="B749" s="1" t="n">
        <v>44593</v>
      </c>
      <c r="C749" s="1" t="n">
        <v>46035</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47248-2023</t>
        </is>
      </c>
      <c r="B750" s="1" t="n">
        <v>45202</v>
      </c>
      <c r="C750" s="1" t="n">
        <v>46035</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38306-2022</t>
        </is>
      </c>
      <c r="B751" s="1" t="n">
        <v>44812.57515046297</v>
      </c>
      <c r="C751" s="1" t="n">
        <v>46035</v>
      </c>
      <c r="D751" t="inlineStr">
        <is>
          <t>SKÅNE LÄN</t>
        </is>
      </c>
      <c r="E751" t="inlineStr">
        <is>
          <t>HÄSSLEHOLM</t>
        </is>
      </c>
      <c r="G751" t="n">
        <v>2.2</v>
      </c>
      <c r="H751" t="n">
        <v>0</v>
      </c>
      <c r="I751" t="n">
        <v>0</v>
      </c>
      <c r="J751" t="n">
        <v>0</v>
      </c>
      <c r="K751" t="n">
        <v>0</v>
      </c>
      <c r="L751" t="n">
        <v>0</v>
      </c>
      <c r="M751" t="n">
        <v>0</v>
      </c>
      <c r="N751" t="n">
        <v>0</v>
      </c>
      <c r="O751" t="n">
        <v>0</v>
      </c>
      <c r="P751" t="n">
        <v>0</v>
      </c>
      <c r="Q751" t="n">
        <v>0</v>
      </c>
      <c r="R751" s="2" t="inlineStr"/>
    </row>
    <row r="752" ht="15" customHeight="1">
      <c r="A752" t="inlineStr">
        <is>
          <t>A 62264-2025</t>
        </is>
      </c>
      <c r="B752" s="1" t="n">
        <v>46006.61644675926</v>
      </c>
      <c r="C752" s="1" t="n">
        <v>46035</v>
      </c>
      <c r="D752" t="inlineStr">
        <is>
          <t>SKÅNE LÄN</t>
        </is>
      </c>
      <c r="E752" t="inlineStr">
        <is>
          <t>HÄSSLEHOLM</t>
        </is>
      </c>
      <c r="G752" t="n">
        <v>7.5</v>
      </c>
      <c r="H752" t="n">
        <v>0</v>
      </c>
      <c r="I752" t="n">
        <v>0</v>
      </c>
      <c r="J752" t="n">
        <v>0</v>
      </c>
      <c r="K752" t="n">
        <v>0</v>
      </c>
      <c r="L752" t="n">
        <v>0</v>
      </c>
      <c r="M752" t="n">
        <v>0</v>
      </c>
      <c r="N752" t="n">
        <v>0</v>
      </c>
      <c r="O752" t="n">
        <v>0</v>
      </c>
      <c r="P752" t="n">
        <v>0</v>
      </c>
      <c r="Q752" t="n">
        <v>0</v>
      </c>
      <c r="R752" s="2" t="inlineStr"/>
    </row>
    <row r="753" ht="15" customHeight="1">
      <c r="A753" t="inlineStr">
        <is>
          <t>A 35845-2022</t>
        </is>
      </c>
      <c r="B753" s="1" t="n">
        <v>44802</v>
      </c>
      <c r="C753" s="1" t="n">
        <v>46035</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12503-2022</t>
        </is>
      </c>
      <c r="B754" s="1" t="n">
        <v>44638</v>
      </c>
      <c r="C754" s="1" t="n">
        <v>46035</v>
      </c>
      <c r="D754" t="inlineStr">
        <is>
          <t>SKÅNE LÄN</t>
        </is>
      </c>
      <c r="E754" t="inlineStr">
        <is>
          <t>HÄSSLEHOLM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54426-2025</t>
        </is>
      </c>
      <c r="B755" s="1" t="n">
        <v>45965</v>
      </c>
      <c r="C755" s="1" t="n">
        <v>46035</v>
      </c>
      <c r="D755" t="inlineStr">
        <is>
          <t>SKÅNE LÄN</t>
        </is>
      </c>
      <c r="E755" t="inlineStr">
        <is>
          <t>HÄSSLEHOLM</t>
        </is>
      </c>
      <c r="G755" t="n">
        <v>3.7</v>
      </c>
      <c r="H755" t="n">
        <v>0</v>
      </c>
      <c r="I755" t="n">
        <v>0</v>
      </c>
      <c r="J755" t="n">
        <v>0</v>
      </c>
      <c r="K755" t="n">
        <v>0</v>
      </c>
      <c r="L755" t="n">
        <v>0</v>
      </c>
      <c r="M755" t="n">
        <v>0</v>
      </c>
      <c r="N755" t="n">
        <v>0</v>
      </c>
      <c r="O755" t="n">
        <v>0</v>
      </c>
      <c r="P755" t="n">
        <v>0</v>
      </c>
      <c r="Q755" t="n">
        <v>0</v>
      </c>
      <c r="R755" s="2" t="inlineStr"/>
    </row>
    <row r="756" ht="15" customHeight="1">
      <c r="A756" t="inlineStr">
        <is>
          <t>A 23950-2023</t>
        </is>
      </c>
      <c r="B756" s="1" t="n">
        <v>45078.61771990741</v>
      </c>
      <c r="C756" s="1" t="n">
        <v>46035</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23952-2023</t>
        </is>
      </c>
      <c r="B757" s="1" t="n">
        <v>45078.62064814815</v>
      </c>
      <c r="C757" s="1" t="n">
        <v>46035</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2144-2023</t>
        </is>
      </c>
      <c r="B758" s="1" t="n">
        <v>44940.79054398148</v>
      </c>
      <c r="C758" s="1" t="n">
        <v>46035</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61680-2022</t>
        </is>
      </c>
      <c r="B759" s="1" t="n">
        <v>44917.36372685185</v>
      </c>
      <c r="C759" s="1" t="n">
        <v>46035</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16550-2025</t>
        </is>
      </c>
      <c r="B760" s="1" t="n">
        <v>45751.69412037037</v>
      </c>
      <c r="C760" s="1" t="n">
        <v>46035</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16285-2025</t>
        </is>
      </c>
      <c r="B761" s="1" t="n">
        <v>45751.30045138889</v>
      </c>
      <c r="C761" s="1" t="n">
        <v>46035</v>
      </c>
      <c r="D761" t="inlineStr">
        <is>
          <t>SKÅNE LÄN</t>
        </is>
      </c>
      <c r="E761" t="inlineStr">
        <is>
          <t>HÄSSLEHOLM</t>
        </is>
      </c>
      <c r="G761" t="n">
        <v>2</v>
      </c>
      <c r="H761" t="n">
        <v>0</v>
      </c>
      <c r="I761" t="n">
        <v>0</v>
      </c>
      <c r="J761" t="n">
        <v>0</v>
      </c>
      <c r="K761" t="n">
        <v>0</v>
      </c>
      <c r="L761" t="n">
        <v>0</v>
      </c>
      <c r="M761" t="n">
        <v>0</v>
      </c>
      <c r="N761" t="n">
        <v>0</v>
      </c>
      <c r="O761" t="n">
        <v>0</v>
      </c>
      <c r="P761" t="n">
        <v>0</v>
      </c>
      <c r="Q761" t="n">
        <v>0</v>
      </c>
      <c r="R761" s="2" t="inlineStr"/>
    </row>
    <row r="762" ht="15" customHeight="1">
      <c r="A762" t="inlineStr">
        <is>
          <t>A 5780-2024</t>
        </is>
      </c>
      <c r="B762" s="1" t="n">
        <v>45335.41983796296</v>
      </c>
      <c r="C762" s="1" t="n">
        <v>46035</v>
      </c>
      <c r="D762" t="inlineStr">
        <is>
          <t>SKÅNE LÄN</t>
        </is>
      </c>
      <c r="E762" t="inlineStr">
        <is>
          <t>HÄSSLEHOLM</t>
        </is>
      </c>
      <c r="G762" t="n">
        <v>2.5</v>
      </c>
      <c r="H762" t="n">
        <v>0</v>
      </c>
      <c r="I762" t="n">
        <v>0</v>
      </c>
      <c r="J762" t="n">
        <v>0</v>
      </c>
      <c r="K762" t="n">
        <v>0</v>
      </c>
      <c r="L762" t="n">
        <v>0</v>
      </c>
      <c r="M762" t="n">
        <v>0</v>
      </c>
      <c r="N762" t="n">
        <v>0</v>
      </c>
      <c r="O762" t="n">
        <v>0</v>
      </c>
      <c r="P762" t="n">
        <v>0</v>
      </c>
      <c r="Q762" t="n">
        <v>0</v>
      </c>
      <c r="R762" s="2" t="inlineStr"/>
    </row>
    <row r="763" ht="15" customHeight="1">
      <c r="A763" t="inlineStr">
        <is>
          <t>A 15897-2025</t>
        </is>
      </c>
      <c r="B763" s="1" t="n">
        <v>45749.41598379629</v>
      </c>
      <c r="C763" s="1" t="n">
        <v>46035</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61504-2022</t>
        </is>
      </c>
      <c r="B764" s="1" t="n">
        <v>44910</v>
      </c>
      <c r="C764" s="1" t="n">
        <v>46035</v>
      </c>
      <c r="D764" t="inlineStr">
        <is>
          <t>SKÅNE LÄN</t>
        </is>
      </c>
      <c r="E764" t="inlineStr">
        <is>
          <t>HÄSSLEHOLM</t>
        </is>
      </c>
      <c r="F764" t="inlineStr">
        <is>
          <t>Kyrkan</t>
        </is>
      </c>
      <c r="G764" t="n">
        <v>2.9</v>
      </c>
      <c r="H764" t="n">
        <v>0</v>
      </c>
      <c r="I764" t="n">
        <v>0</v>
      </c>
      <c r="J764" t="n">
        <v>0</v>
      </c>
      <c r="K764" t="n">
        <v>0</v>
      </c>
      <c r="L764" t="n">
        <v>0</v>
      </c>
      <c r="M764" t="n">
        <v>0</v>
      </c>
      <c r="N764" t="n">
        <v>0</v>
      </c>
      <c r="O764" t="n">
        <v>0</v>
      </c>
      <c r="P764" t="n">
        <v>0</v>
      </c>
      <c r="Q764" t="n">
        <v>0</v>
      </c>
      <c r="R764" s="2" t="inlineStr"/>
    </row>
    <row r="765" ht="15" customHeight="1">
      <c r="A765" t="inlineStr">
        <is>
          <t>A 29275-2023</t>
        </is>
      </c>
      <c r="B765" s="1" t="n">
        <v>45105</v>
      </c>
      <c r="C765" s="1" t="n">
        <v>46035</v>
      </c>
      <c r="D765" t="inlineStr">
        <is>
          <t>SKÅNE LÄN</t>
        </is>
      </c>
      <c r="E765" t="inlineStr">
        <is>
          <t>HÄSSLEHOLM</t>
        </is>
      </c>
      <c r="G765" t="n">
        <v>2.1</v>
      </c>
      <c r="H765" t="n">
        <v>0</v>
      </c>
      <c r="I765" t="n">
        <v>0</v>
      </c>
      <c r="J765" t="n">
        <v>0</v>
      </c>
      <c r="K765" t="n">
        <v>0</v>
      </c>
      <c r="L765" t="n">
        <v>0</v>
      </c>
      <c r="M765" t="n">
        <v>0</v>
      </c>
      <c r="N765" t="n">
        <v>0</v>
      </c>
      <c r="O765" t="n">
        <v>0</v>
      </c>
      <c r="P765" t="n">
        <v>0</v>
      </c>
      <c r="Q765" t="n">
        <v>0</v>
      </c>
      <c r="R765" s="2" t="inlineStr"/>
    </row>
    <row r="766" ht="15" customHeight="1">
      <c r="A766" t="inlineStr">
        <is>
          <t>A 27502-2023</t>
        </is>
      </c>
      <c r="B766" s="1" t="n">
        <v>45092</v>
      </c>
      <c r="C766" s="1" t="n">
        <v>46035</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54473-2023</t>
        </is>
      </c>
      <c r="B767" s="1" t="n">
        <v>45233</v>
      </c>
      <c r="C767" s="1" t="n">
        <v>46035</v>
      </c>
      <c r="D767" t="inlineStr">
        <is>
          <t>SKÅNE LÄN</t>
        </is>
      </c>
      <c r="E767" t="inlineStr">
        <is>
          <t>HÄSSLEHOLM</t>
        </is>
      </c>
      <c r="G767" t="n">
        <v>24.5</v>
      </c>
      <c r="H767" t="n">
        <v>0</v>
      </c>
      <c r="I767" t="n">
        <v>0</v>
      </c>
      <c r="J767" t="n">
        <v>0</v>
      </c>
      <c r="K767" t="n">
        <v>0</v>
      </c>
      <c r="L767" t="n">
        <v>0</v>
      </c>
      <c r="M767" t="n">
        <v>0</v>
      </c>
      <c r="N767" t="n">
        <v>0</v>
      </c>
      <c r="O767" t="n">
        <v>0</v>
      </c>
      <c r="P767" t="n">
        <v>0</v>
      </c>
      <c r="Q767" t="n">
        <v>0</v>
      </c>
      <c r="R767" s="2" t="inlineStr"/>
    </row>
    <row r="768" ht="15" customHeight="1">
      <c r="A768" t="inlineStr">
        <is>
          <t>A 55268-2025</t>
        </is>
      </c>
      <c r="B768" s="1" t="n">
        <v>45968.6715625</v>
      </c>
      <c r="C768" s="1" t="n">
        <v>46035</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26641-2023</t>
        </is>
      </c>
      <c r="B769" s="1" t="n">
        <v>45092.89619212963</v>
      </c>
      <c r="C769" s="1" t="n">
        <v>46035</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27297-2023</t>
        </is>
      </c>
      <c r="B770" s="1" t="n">
        <v>45096</v>
      </c>
      <c r="C770" s="1" t="n">
        <v>46035</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51752-2023</t>
        </is>
      </c>
      <c r="B771" s="1" t="n">
        <v>45222</v>
      </c>
      <c r="C771" s="1" t="n">
        <v>46035</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20800-2023</t>
        </is>
      </c>
      <c r="B772" s="1" t="n">
        <v>45058.61640046296</v>
      </c>
      <c r="C772" s="1" t="n">
        <v>46035</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49219-2024</t>
        </is>
      </c>
      <c r="B773" s="1" t="n">
        <v>45595.40923611111</v>
      </c>
      <c r="C773" s="1" t="n">
        <v>46035</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7152-2025</t>
        </is>
      </c>
      <c r="B774" s="1" t="n">
        <v>45702.3837037037</v>
      </c>
      <c r="C774" s="1" t="n">
        <v>46035</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56065-2025</t>
        </is>
      </c>
      <c r="B775" s="1" t="n">
        <v>45973</v>
      </c>
      <c r="C775" s="1" t="n">
        <v>46035</v>
      </c>
      <c r="D775" t="inlineStr">
        <is>
          <t>SKÅNE LÄN</t>
        </is>
      </c>
      <c r="E775" t="inlineStr">
        <is>
          <t>HÄSSLEHOLM</t>
        </is>
      </c>
      <c r="G775" t="n">
        <v>2</v>
      </c>
      <c r="H775" t="n">
        <v>0</v>
      </c>
      <c r="I775" t="n">
        <v>0</v>
      </c>
      <c r="J775" t="n">
        <v>0</v>
      </c>
      <c r="K775" t="n">
        <v>0</v>
      </c>
      <c r="L775" t="n">
        <v>0</v>
      </c>
      <c r="M775" t="n">
        <v>0</v>
      </c>
      <c r="N775" t="n">
        <v>0</v>
      </c>
      <c r="O775" t="n">
        <v>0</v>
      </c>
      <c r="P775" t="n">
        <v>0</v>
      </c>
      <c r="Q775" t="n">
        <v>0</v>
      </c>
      <c r="R775" s="2" t="inlineStr"/>
    </row>
    <row r="776" ht="15" customHeight="1">
      <c r="A776" t="inlineStr">
        <is>
          <t>A 7160-2025</t>
        </is>
      </c>
      <c r="B776" s="1" t="n">
        <v>45702.3875462963</v>
      </c>
      <c r="C776" s="1" t="n">
        <v>46035</v>
      </c>
      <c r="D776" t="inlineStr">
        <is>
          <t>SKÅNE LÄN</t>
        </is>
      </c>
      <c r="E776" t="inlineStr">
        <is>
          <t>HÄSSLEHOLM</t>
        </is>
      </c>
      <c r="G776" t="n">
        <v>2.5</v>
      </c>
      <c r="H776" t="n">
        <v>0</v>
      </c>
      <c r="I776" t="n">
        <v>0</v>
      </c>
      <c r="J776" t="n">
        <v>0</v>
      </c>
      <c r="K776" t="n">
        <v>0</v>
      </c>
      <c r="L776" t="n">
        <v>0</v>
      </c>
      <c r="M776" t="n">
        <v>0</v>
      </c>
      <c r="N776" t="n">
        <v>0</v>
      </c>
      <c r="O776" t="n">
        <v>0</v>
      </c>
      <c r="P776" t="n">
        <v>0</v>
      </c>
      <c r="Q776" t="n">
        <v>0</v>
      </c>
      <c r="R776" s="2" t="inlineStr"/>
    </row>
    <row r="777" ht="15" customHeight="1">
      <c r="A777" t="inlineStr">
        <is>
          <t>A 14939-2023</t>
        </is>
      </c>
      <c r="B777" s="1" t="n">
        <v>45014</v>
      </c>
      <c r="C777" s="1" t="n">
        <v>46035</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63710-2025</t>
        </is>
      </c>
      <c r="B778" s="1" t="n">
        <v>46014.62143518519</v>
      </c>
      <c r="C778" s="1" t="n">
        <v>46035</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55549-2025</t>
        </is>
      </c>
      <c r="B779" s="1" t="n">
        <v>45971.63805555556</v>
      </c>
      <c r="C779" s="1" t="n">
        <v>46035</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63709-2025</t>
        </is>
      </c>
      <c r="B780" s="1" t="n">
        <v>46014.61700231482</v>
      </c>
      <c r="C780" s="1" t="n">
        <v>46035</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15104-2023</t>
        </is>
      </c>
      <c r="B781" s="1" t="n">
        <v>45016.40576388889</v>
      </c>
      <c r="C781" s="1" t="n">
        <v>46035</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66321-2021</t>
        </is>
      </c>
      <c r="B782" s="1" t="n">
        <v>44518</v>
      </c>
      <c r="C782" s="1" t="n">
        <v>46035</v>
      </c>
      <c r="D782" t="inlineStr">
        <is>
          <t>SKÅNE LÄN</t>
        </is>
      </c>
      <c r="E782" t="inlineStr">
        <is>
          <t>HÄSSLEHOLM</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21494-2023</t>
        </is>
      </c>
      <c r="B783" s="1" t="n">
        <v>45063</v>
      </c>
      <c r="C783" s="1" t="n">
        <v>46035</v>
      </c>
      <c r="D783" t="inlineStr">
        <is>
          <t>SKÅNE LÄN</t>
        </is>
      </c>
      <c r="E783" t="inlineStr">
        <is>
          <t>HÄSSLEHOLM</t>
        </is>
      </c>
      <c r="G783" t="n">
        <v>3.7</v>
      </c>
      <c r="H783" t="n">
        <v>0</v>
      </c>
      <c r="I783" t="n">
        <v>0</v>
      </c>
      <c r="J783" t="n">
        <v>0</v>
      </c>
      <c r="K783" t="n">
        <v>0</v>
      </c>
      <c r="L783" t="n">
        <v>0</v>
      </c>
      <c r="M783" t="n">
        <v>0</v>
      </c>
      <c r="N783" t="n">
        <v>0</v>
      </c>
      <c r="O783" t="n">
        <v>0</v>
      </c>
      <c r="P783" t="n">
        <v>0</v>
      </c>
      <c r="Q783" t="n">
        <v>0</v>
      </c>
      <c r="R783" s="2" t="inlineStr"/>
    </row>
    <row r="784" ht="15" customHeight="1">
      <c r="A784" t="inlineStr">
        <is>
          <t>A 21495-2023</t>
        </is>
      </c>
      <c r="B784" s="1" t="n">
        <v>45063</v>
      </c>
      <c r="C784" s="1" t="n">
        <v>46035</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55455-2025</t>
        </is>
      </c>
      <c r="B785" s="1" t="n">
        <v>45971</v>
      </c>
      <c r="C785" s="1" t="n">
        <v>46035</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40739-2024</t>
        </is>
      </c>
      <c r="B786" s="1" t="n">
        <v>45558</v>
      </c>
      <c r="C786" s="1" t="n">
        <v>46035</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9747-2024</t>
        </is>
      </c>
      <c r="B787" s="1" t="n">
        <v>45362</v>
      </c>
      <c r="C787" s="1" t="n">
        <v>46035</v>
      </c>
      <c r="D787" t="inlineStr">
        <is>
          <t>SKÅNE LÄN</t>
        </is>
      </c>
      <c r="E787" t="inlineStr">
        <is>
          <t>HÄSSLEHOLM</t>
        </is>
      </c>
      <c r="G787" t="n">
        <v>1.8</v>
      </c>
      <c r="H787" t="n">
        <v>0</v>
      </c>
      <c r="I787" t="n">
        <v>0</v>
      </c>
      <c r="J787" t="n">
        <v>0</v>
      </c>
      <c r="K787" t="n">
        <v>0</v>
      </c>
      <c r="L787" t="n">
        <v>0</v>
      </c>
      <c r="M787" t="n">
        <v>0</v>
      </c>
      <c r="N787" t="n">
        <v>0</v>
      </c>
      <c r="O787" t="n">
        <v>0</v>
      </c>
      <c r="P787" t="n">
        <v>0</v>
      </c>
      <c r="Q787" t="n">
        <v>0</v>
      </c>
      <c r="R787" s="2" t="inlineStr"/>
    </row>
    <row r="788" ht="15" customHeight="1">
      <c r="A788" t="inlineStr">
        <is>
          <t>A 55458-2025</t>
        </is>
      </c>
      <c r="B788" s="1" t="n">
        <v>45971</v>
      </c>
      <c r="C788" s="1" t="n">
        <v>46035</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63473-2025</t>
        </is>
      </c>
      <c r="B789" s="1" t="n">
        <v>46013.44364583334</v>
      </c>
      <c r="C789" s="1" t="n">
        <v>46035</v>
      </c>
      <c r="D789" t="inlineStr">
        <is>
          <t>SKÅNE LÄN</t>
        </is>
      </c>
      <c r="E789" t="inlineStr">
        <is>
          <t>HÄSSLEHOLM</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63487-2025</t>
        </is>
      </c>
      <c r="B790" s="1" t="n">
        <v>46013.46878472222</v>
      </c>
      <c r="C790" s="1" t="n">
        <v>46035</v>
      </c>
      <c r="D790" t="inlineStr">
        <is>
          <t>SKÅNE LÄN</t>
        </is>
      </c>
      <c r="E790" t="inlineStr">
        <is>
          <t>HÄSSLEHOLM</t>
        </is>
      </c>
      <c r="F790" t="inlineStr">
        <is>
          <t>Kommuner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46813-2024</t>
        </is>
      </c>
      <c r="B791" s="1" t="n">
        <v>45583</v>
      </c>
      <c r="C791" s="1" t="n">
        <v>46035</v>
      </c>
      <c r="D791" t="inlineStr">
        <is>
          <t>SKÅNE LÄN</t>
        </is>
      </c>
      <c r="E791" t="inlineStr">
        <is>
          <t>HÄSSLEHOLM</t>
        </is>
      </c>
      <c r="G791" t="n">
        <v>14.9</v>
      </c>
      <c r="H791" t="n">
        <v>0</v>
      </c>
      <c r="I791" t="n">
        <v>0</v>
      </c>
      <c r="J791" t="n">
        <v>0</v>
      </c>
      <c r="K791" t="n">
        <v>0</v>
      </c>
      <c r="L791" t="n">
        <v>0</v>
      </c>
      <c r="M791" t="n">
        <v>0</v>
      </c>
      <c r="N791" t="n">
        <v>0</v>
      </c>
      <c r="O791" t="n">
        <v>0</v>
      </c>
      <c r="P791" t="n">
        <v>0</v>
      </c>
      <c r="Q791" t="n">
        <v>0</v>
      </c>
      <c r="R791" s="2" t="inlineStr"/>
    </row>
    <row r="792" ht="15" customHeight="1">
      <c r="A792" t="inlineStr">
        <is>
          <t>A 47352-2025</t>
        </is>
      </c>
      <c r="B792" s="1" t="n">
        <v>45930</v>
      </c>
      <c r="C792" s="1" t="n">
        <v>46035</v>
      </c>
      <c r="D792" t="inlineStr">
        <is>
          <t>SKÅNE LÄN</t>
        </is>
      </c>
      <c r="E792" t="inlineStr">
        <is>
          <t>HÄSSLEHOLM</t>
        </is>
      </c>
      <c r="G792" t="n">
        <v>16.6</v>
      </c>
      <c r="H792" t="n">
        <v>0</v>
      </c>
      <c r="I792" t="n">
        <v>0</v>
      </c>
      <c r="J792" t="n">
        <v>0</v>
      </c>
      <c r="K792" t="n">
        <v>0</v>
      </c>
      <c r="L792" t="n">
        <v>0</v>
      </c>
      <c r="M792" t="n">
        <v>0</v>
      </c>
      <c r="N792" t="n">
        <v>0</v>
      </c>
      <c r="O792" t="n">
        <v>0</v>
      </c>
      <c r="P792" t="n">
        <v>0</v>
      </c>
      <c r="Q792" t="n">
        <v>0</v>
      </c>
      <c r="R792" s="2" t="inlineStr"/>
    </row>
    <row r="793" ht="15" customHeight="1">
      <c r="A793" t="inlineStr">
        <is>
          <t>A 47394-2025</t>
        </is>
      </c>
      <c r="B793" s="1" t="n">
        <v>45930</v>
      </c>
      <c r="C793" s="1" t="n">
        <v>46035</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47422-2025</t>
        </is>
      </c>
      <c r="B794" s="1" t="n">
        <v>45930</v>
      </c>
      <c r="C794" s="1" t="n">
        <v>46035</v>
      </c>
      <c r="D794" t="inlineStr">
        <is>
          <t>SKÅNE LÄN</t>
        </is>
      </c>
      <c r="E794" t="inlineStr">
        <is>
          <t>HÄSSLEHOLM</t>
        </is>
      </c>
      <c r="G794" t="n">
        <v>3.5</v>
      </c>
      <c r="H794" t="n">
        <v>0</v>
      </c>
      <c r="I794" t="n">
        <v>0</v>
      </c>
      <c r="J794" t="n">
        <v>0</v>
      </c>
      <c r="K794" t="n">
        <v>0</v>
      </c>
      <c r="L794" t="n">
        <v>0</v>
      </c>
      <c r="M794" t="n">
        <v>0</v>
      </c>
      <c r="N794" t="n">
        <v>0</v>
      </c>
      <c r="O794" t="n">
        <v>0</v>
      </c>
      <c r="P794" t="n">
        <v>0</v>
      </c>
      <c r="Q794" t="n">
        <v>0</v>
      </c>
      <c r="R794" s="2" t="inlineStr"/>
    </row>
    <row r="795" ht="15" customHeight="1">
      <c r="A795" t="inlineStr">
        <is>
          <t>A 64884-2023</t>
        </is>
      </c>
      <c r="B795" s="1" t="n">
        <v>45282.57809027778</v>
      </c>
      <c r="C795" s="1" t="n">
        <v>46035</v>
      </c>
      <c r="D795" t="inlineStr">
        <is>
          <t>SKÅNE LÄN</t>
        </is>
      </c>
      <c r="E795" t="inlineStr">
        <is>
          <t>HÄSSLEHOLM</t>
        </is>
      </c>
      <c r="G795" t="n">
        <v>4.6</v>
      </c>
      <c r="H795" t="n">
        <v>0</v>
      </c>
      <c r="I795" t="n">
        <v>0</v>
      </c>
      <c r="J795" t="n">
        <v>0</v>
      </c>
      <c r="K795" t="n">
        <v>0</v>
      </c>
      <c r="L795" t="n">
        <v>0</v>
      </c>
      <c r="M795" t="n">
        <v>0</v>
      </c>
      <c r="N795" t="n">
        <v>0</v>
      </c>
      <c r="O795" t="n">
        <v>0</v>
      </c>
      <c r="P795" t="n">
        <v>0</v>
      </c>
      <c r="Q795" t="n">
        <v>0</v>
      </c>
      <c r="R795" s="2" t="inlineStr"/>
    </row>
    <row r="796" ht="15" customHeight="1">
      <c r="A796" t="inlineStr">
        <is>
          <t>A 22140-2023</t>
        </is>
      </c>
      <c r="B796" s="1" t="n">
        <v>45065</v>
      </c>
      <c r="C796" s="1" t="n">
        <v>46035</v>
      </c>
      <c r="D796" t="inlineStr">
        <is>
          <t>SKÅNE LÄN</t>
        </is>
      </c>
      <c r="E796" t="inlineStr">
        <is>
          <t>HÄSSLEHOLM</t>
        </is>
      </c>
      <c r="G796" t="n">
        <v>6.7</v>
      </c>
      <c r="H796" t="n">
        <v>0</v>
      </c>
      <c r="I796" t="n">
        <v>0</v>
      </c>
      <c r="J796" t="n">
        <v>0</v>
      </c>
      <c r="K796" t="n">
        <v>0</v>
      </c>
      <c r="L796" t="n">
        <v>0</v>
      </c>
      <c r="M796" t="n">
        <v>0</v>
      </c>
      <c r="N796" t="n">
        <v>0</v>
      </c>
      <c r="O796" t="n">
        <v>0</v>
      </c>
      <c r="P796" t="n">
        <v>0</v>
      </c>
      <c r="Q796" t="n">
        <v>0</v>
      </c>
      <c r="R796" s="2" t="inlineStr"/>
    </row>
    <row r="797" ht="15" customHeight="1">
      <c r="A797" t="inlineStr">
        <is>
          <t>A 31944-2023</t>
        </is>
      </c>
      <c r="B797" s="1" t="n">
        <v>45119.34895833334</v>
      </c>
      <c r="C797" s="1" t="n">
        <v>46035</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7890-2024</t>
        </is>
      </c>
      <c r="B798" s="1" t="n">
        <v>45350.40780092592</v>
      </c>
      <c r="C798" s="1" t="n">
        <v>46035</v>
      </c>
      <c r="D798" t="inlineStr">
        <is>
          <t>SKÅNE LÄN</t>
        </is>
      </c>
      <c r="E798" t="inlineStr">
        <is>
          <t>HÄSSLEHOLM</t>
        </is>
      </c>
      <c r="G798" t="n">
        <v>1.4</v>
      </c>
      <c r="H798" t="n">
        <v>0</v>
      </c>
      <c r="I798" t="n">
        <v>0</v>
      </c>
      <c r="J798" t="n">
        <v>0</v>
      </c>
      <c r="K798" t="n">
        <v>0</v>
      </c>
      <c r="L798" t="n">
        <v>0</v>
      </c>
      <c r="M798" t="n">
        <v>0</v>
      </c>
      <c r="N798" t="n">
        <v>0</v>
      </c>
      <c r="O798" t="n">
        <v>0</v>
      </c>
      <c r="P798" t="n">
        <v>0</v>
      </c>
      <c r="Q798" t="n">
        <v>0</v>
      </c>
      <c r="R798" s="2" t="inlineStr"/>
    </row>
    <row r="799" ht="15" customHeight="1">
      <c r="A799" t="inlineStr">
        <is>
          <t>A 31946-2023</t>
        </is>
      </c>
      <c r="B799" s="1" t="n">
        <v>45119.35158564815</v>
      </c>
      <c r="C799" s="1" t="n">
        <v>46035</v>
      </c>
      <c r="D799" t="inlineStr">
        <is>
          <t>SKÅNE LÄN</t>
        </is>
      </c>
      <c r="E799" t="inlineStr">
        <is>
          <t>HÄSSLEHOLM</t>
        </is>
      </c>
      <c r="G799" t="n">
        <v>0.3</v>
      </c>
      <c r="H799" t="n">
        <v>0</v>
      </c>
      <c r="I799" t="n">
        <v>0</v>
      </c>
      <c r="J799" t="n">
        <v>0</v>
      </c>
      <c r="K799" t="n">
        <v>0</v>
      </c>
      <c r="L799" t="n">
        <v>0</v>
      </c>
      <c r="M799" t="n">
        <v>0</v>
      </c>
      <c r="N799" t="n">
        <v>0</v>
      </c>
      <c r="O799" t="n">
        <v>0</v>
      </c>
      <c r="P799" t="n">
        <v>0</v>
      </c>
      <c r="Q799" t="n">
        <v>0</v>
      </c>
      <c r="R799" s="2" t="inlineStr"/>
    </row>
    <row r="800" ht="15" customHeight="1">
      <c r="A800" t="inlineStr">
        <is>
          <t>A 8755-2024</t>
        </is>
      </c>
      <c r="B800" s="1" t="n">
        <v>45356</v>
      </c>
      <c r="C800" s="1" t="n">
        <v>46035</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63510-2025</t>
        </is>
      </c>
      <c r="B801" s="1" t="n">
        <v>46013.49172453704</v>
      </c>
      <c r="C801" s="1" t="n">
        <v>46035</v>
      </c>
      <c r="D801" t="inlineStr">
        <is>
          <t>SKÅNE LÄN</t>
        </is>
      </c>
      <c r="E801" t="inlineStr">
        <is>
          <t>HÄSSLEHOLM</t>
        </is>
      </c>
      <c r="F801" t="inlineStr">
        <is>
          <t>Kommuner</t>
        </is>
      </c>
      <c r="G801" t="n">
        <v>2</v>
      </c>
      <c r="H801" t="n">
        <v>0</v>
      </c>
      <c r="I801" t="n">
        <v>0</v>
      </c>
      <c r="J801" t="n">
        <v>0</v>
      </c>
      <c r="K801" t="n">
        <v>0</v>
      </c>
      <c r="L801" t="n">
        <v>0</v>
      </c>
      <c r="M801" t="n">
        <v>0</v>
      </c>
      <c r="N801" t="n">
        <v>0</v>
      </c>
      <c r="O801" t="n">
        <v>0</v>
      </c>
      <c r="P801" t="n">
        <v>0</v>
      </c>
      <c r="Q801" t="n">
        <v>0</v>
      </c>
      <c r="R801" s="2" t="inlineStr"/>
    </row>
    <row r="802" ht="15" customHeight="1">
      <c r="A802" t="inlineStr">
        <is>
          <t>A 63712-2025</t>
        </is>
      </c>
      <c r="B802" s="1" t="n">
        <v>46014.63092592593</v>
      </c>
      <c r="C802" s="1" t="n">
        <v>46035</v>
      </c>
      <c r="D802" t="inlineStr">
        <is>
          <t>SKÅNE LÄN</t>
        </is>
      </c>
      <c r="E802" t="inlineStr">
        <is>
          <t>HÄSSLEHOLM</t>
        </is>
      </c>
      <c r="G802" t="n">
        <v>3.9</v>
      </c>
      <c r="H802" t="n">
        <v>0</v>
      </c>
      <c r="I802" t="n">
        <v>0</v>
      </c>
      <c r="J802" t="n">
        <v>0</v>
      </c>
      <c r="K802" t="n">
        <v>0</v>
      </c>
      <c r="L802" t="n">
        <v>0</v>
      </c>
      <c r="M802" t="n">
        <v>0</v>
      </c>
      <c r="N802" t="n">
        <v>0</v>
      </c>
      <c r="O802" t="n">
        <v>0</v>
      </c>
      <c r="P802" t="n">
        <v>0</v>
      </c>
      <c r="Q802" t="n">
        <v>0</v>
      </c>
      <c r="R802" s="2" t="inlineStr"/>
    </row>
    <row r="803" ht="15" customHeight="1">
      <c r="A803" t="inlineStr">
        <is>
          <t>A 63416-2025</t>
        </is>
      </c>
      <c r="B803" s="1" t="n">
        <v>46013.3232175926</v>
      </c>
      <c r="C803" s="1" t="n">
        <v>46035</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61178-2022</t>
        </is>
      </c>
      <c r="B804" s="1" t="n">
        <v>44915</v>
      </c>
      <c r="C804" s="1" t="n">
        <v>46035</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46035</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61691-2021</t>
        </is>
      </c>
      <c r="B806" s="1" t="n">
        <v>44501</v>
      </c>
      <c r="C806" s="1" t="n">
        <v>46035</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25221-2023</t>
        </is>
      </c>
      <c r="B807" s="1" t="n">
        <v>45086.60842592592</v>
      </c>
      <c r="C807" s="1" t="n">
        <v>46035</v>
      </c>
      <c r="D807" t="inlineStr">
        <is>
          <t>SKÅNE LÄN</t>
        </is>
      </c>
      <c r="E807" t="inlineStr">
        <is>
          <t>HÄSSLEHOLM</t>
        </is>
      </c>
      <c r="G807" t="n">
        <v>2.5</v>
      </c>
      <c r="H807" t="n">
        <v>0</v>
      </c>
      <c r="I807" t="n">
        <v>0</v>
      </c>
      <c r="J807" t="n">
        <v>0</v>
      </c>
      <c r="K807" t="n">
        <v>0</v>
      </c>
      <c r="L807" t="n">
        <v>0</v>
      </c>
      <c r="M807" t="n">
        <v>0</v>
      </c>
      <c r="N807" t="n">
        <v>0</v>
      </c>
      <c r="O807" t="n">
        <v>0</v>
      </c>
      <c r="P807" t="n">
        <v>0</v>
      </c>
      <c r="Q807" t="n">
        <v>0</v>
      </c>
      <c r="R807" s="2" t="inlineStr"/>
    </row>
    <row r="808" ht="15" customHeight="1">
      <c r="A808" t="inlineStr">
        <is>
          <t>A 59390-2021</t>
        </is>
      </c>
      <c r="B808" s="1" t="n">
        <v>44490</v>
      </c>
      <c r="C808" s="1" t="n">
        <v>46035</v>
      </c>
      <c r="D808" t="inlineStr">
        <is>
          <t>SKÅNE LÄN</t>
        </is>
      </c>
      <c r="E808" t="inlineStr">
        <is>
          <t>HÄSSLEHOLM</t>
        </is>
      </c>
      <c r="G808" t="n">
        <v>7.1</v>
      </c>
      <c r="H808" t="n">
        <v>0</v>
      </c>
      <c r="I808" t="n">
        <v>0</v>
      </c>
      <c r="J808" t="n">
        <v>0</v>
      </c>
      <c r="K808" t="n">
        <v>0</v>
      </c>
      <c r="L808" t="n">
        <v>0</v>
      </c>
      <c r="M808" t="n">
        <v>0</v>
      </c>
      <c r="N808" t="n">
        <v>0</v>
      </c>
      <c r="O808" t="n">
        <v>0</v>
      </c>
      <c r="P808" t="n">
        <v>0</v>
      </c>
      <c r="Q808" t="n">
        <v>0</v>
      </c>
      <c r="R808" s="2" t="inlineStr"/>
    </row>
    <row r="809" ht="15" customHeight="1">
      <c r="A809" t="inlineStr">
        <is>
          <t>A 63415-2025</t>
        </is>
      </c>
      <c r="B809" s="1" t="n">
        <v>46013.32163194445</v>
      </c>
      <c r="C809" s="1" t="n">
        <v>46035</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63414-2025</t>
        </is>
      </c>
      <c r="B810" s="1" t="n">
        <v>46013.32008101852</v>
      </c>
      <c r="C810" s="1" t="n">
        <v>46035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47432-2025</t>
        </is>
      </c>
      <c r="B811" s="1" t="n">
        <v>45930</v>
      </c>
      <c r="C811" s="1" t="n">
        <v>46035</v>
      </c>
      <c r="D811" t="inlineStr">
        <is>
          <t>SKÅNE LÄN</t>
        </is>
      </c>
      <c r="E811" t="inlineStr">
        <is>
          <t>HÄSSLEHOLM</t>
        </is>
      </c>
      <c r="G811" t="n">
        <v>3.1</v>
      </c>
      <c r="H811" t="n">
        <v>0</v>
      </c>
      <c r="I811" t="n">
        <v>0</v>
      </c>
      <c r="J811" t="n">
        <v>0</v>
      </c>
      <c r="K811" t="n">
        <v>0</v>
      </c>
      <c r="L811" t="n">
        <v>0</v>
      </c>
      <c r="M811" t="n">
        <v>0</v>
      </c>
      <c r="N811" t="n">
        <v>0</v>
      </c>
      <c r="O811" t="n">
        <v>0</v>
      </c>
      <c r="P811" t="n">
        <v>0</v>
      </c>
      <c r="Q811" t="n">
        <v>0</v>
      </c>
      <c r="R811" s="2" t="inlineStr"/>
    </row>
    <row r="812" ht="15" customHeight="1">
      <c r="A812" t="inlineStr">
        <is>
          <t>A 47450-2025</t>
        </is>
      </c>
      <c r="B812" s="1" t="n">
        <v>45930</v>
      </c>
      <c r="C812" s="1" t="n">
        <v>46035</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63354-2025</t>
        </is>
      </c>
      <c r="B813" s="1" t="n">
        <v>46010.66957175926</v>
      </c>
      <c r="C813" s="1" t="n">
        <v>46035</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63476-2025</t>
        </is>
      </c>
      <c r="B814" s="1" t="n">
        <v>46013.44621527778</v>
      </c>
      <c r="C814" s="1" t="n">
        <v>46035</v>
      </c>
      <c r="D814" t="inlineStr">
        <is>
          <t>SKÅNE LÄN</t>
        </is>
      </c>
      <c r="E814" t="inlineStr">
        <is>
          <t>HÄSSLEHOLM</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50564-2023</t>
        </is>
      </c>
      <c r="B815" s="1" t="n">
        <v>45217.37957175926</v>
      </c>
      <c r="C815" s="1" t="n">
        <v>46035</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15133-2023</t>
        </is>
      </c>
      <c r="B816" s="1" t="n">
        <v>45016</v>
      </c>
      <c r="C816" s="1" t="n">
        <v>46035</v>
      </c>
      <c r="D816" t="inlineStr">
        <is>
          <t>SKÅNE LÄN</t>
        </is>
      </c>
      <c r="E816" t="inlineStr">
        <is>
          <t>HÄSSLEHOLM</t>
        </is>
      </c>
      <c r="G816" t="n">
        <v>7.8</v>
      </c>
      <c r="H816" t="n">
        <v>0</v>
      </c>
      <c r="I816" t="n">
        <v>0</v>
      </c>
      <c r="J816" t="n">
        <v>0</v>
      </c>
      <c r="K816" t="n">
        <v>0</v>
      </c>
      <c r="L816" t="n">
        <v>0</v>
      </c>
      <c r="M816" t="n">
        <v>0</v>
      </c>
      <c r="N816" t="n">
        <v>0</v>
      </c>
      <c r="O816" t="n">
        <v>0</v>
      </c>
      <c r="P816" t="n">
        <v>0</v>
      </c>
      <c r="Q816" t="n">
        <v>0</v>
      </c>
      <c r="R816" s="2" t="inlineStr"/>
    </row>
    <row r="817" ht="15" customHeight="1">
      <c r="A817" t="inlineStr">
        <is>
          <t>A 15053-2023</t>
        </is>
      </c>
      <c r="B817" s="1" t="n">
        <v>45015</v>
      </c>
      <c r="C817" s="1" t="n">
        <v>46035</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23857-2024</t>
        </is>
      </c>
      <c r="B818" s="1" t="n">
        <v>45455</v>
      </c>
      <c r="C818" s="1" t="n">
        <v>46035</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35644-2023</t>
        </is>
      </c>
      <c r="B819" s="1" t="n">
        <v>45147</v>
      </c>
      <c r="C819" s="1" t="n">
        <v>46035</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46185-2022</t>
        </is>
      </c>
      <c r="B820" s="1" t="n">
        <v>44847</v>
      </c>
      <c r="C820" s="1" t="n">
        <v>46035</v>
      </c>
      <c r="D820" t="inlineStr">
        <is>
          <t>SKÅNE LÄN</t>
        </is>
      </c>
      <c r="E820" t="inlineStr">
        <is>
          <t>HÄSSLEHOLM</t>
        </is>
      </c>
      <c r="G820" t="n">
        <v>16.8</v>
      </c>
      <c r="H820" t="n">
        <v>0</v>
      </c>
      <c r="I820" t="n">
        <v>0</v>
      </c>
      <c r="J820" t="n">
        <v>0</v>
      </c>
      <c r="K820" t="n">
        <v>0</v>
      </c>
      <c r="L820" t="n">
        <v>0</v>
      </c>
      <c r="M820" t="n">
        <v>0</v>
      </c>
      <c r="N820" t="n">
        <v>0</v>
      </c>
      <c r="O820" t="n">
        <v>0</v>
      </c>
      <c r="P820" t="n">
        <v>0</v>
      </c>
      <c r="Q820" t="n">
        <v>0</v>
      </c>
      <c r="R820" s="2" t="inlineStr"/>
    </row>
    <row r="821" ht="15" customHeight="1">
      <c r="A821" t="inlineStr">
        <is>
          <t>A 8433-2024</t>
        </is>
      </c>
      <c r="B821" s="1" t="n">
        <v>45353.48434027778</v>
      </c>
      <c r="C821" s="1" t="n">
        <v>46035</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62055-2023</t>
        </is>
      </c>
      <c r="B822" s="1" t="n">
        <v>45266.70287037037</v>
      </c>
      <c r="C822" s="1" t="n">
        <v>46035</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13555-2025</t>
        </is>
      </c>
      <c r="B823" s="1" t="n">
        <v>45736</v>
      </c>
      <c r="C823" s="1" t="n">
        <v>46035</v>
      </c>
      <c r="D823" t="inlineStr">
        <is>
          <t>SKÅNE LÄN</t>
        </is>
      </c>
      <c r="E823" t="inlineStr">
        <is>
          <t>HÄSSLEHOLM</t>
        </is>
      </c>
      <c r="G823" t="n">
        <v>1.1</v>
      </c>
      <c r="H823" t="n">
        <v>0</v>
      </c>
      <c r="I823" t="n">
        <v>0</v>
      </c>
      <c r="J823" t="n">
        <v>0</v>
      </c>
      <c r="K823" t="n">
        <v>0</v>
      </c>
      <c r="L823" t="n">
        <v>0</v>
      </c>
      <c r="M823" t="n">
        <v>0</v>
      </c>
      <c r="N823" t="n">
        <v>0</v>
      </c>
      <c r="O823" t="n">
        <v>0</v>
      </c>
      <c r="P823" t="n">
        <v>0</v>
      </c>
      <c r="Q823" t="n">
        <v>0</v>
      </c>
      <c r="R823" s="2" t="inlineStr"/>
    </row>
    <row r="824" ht="15" customHeight="1">
      <c r="A824" t="inlineStr">
        <is>
          <t>A 28632-2024</t>
        </is>
      </c>
      <c r="B824" s="1" t="n">
        <v>45478</v>
      </c>
      <c r="C824" s="1" t="n">
        <v>46035</v>
      </c>
      <c r="D824" t="inlineStr">
        <is>
          <t>SKÅNE LÄN</t>
        </is>
      </c>
      <c r="E824" t="inlineStr">
        <is>
          <t>HÄSSLEHOLM</t>
        </is>
      </c>
      <c r="G824" t="n">
        <v>4</v>
      </c>
      <c r="H824" t="n">
        <v>0</v>
      </c>
      <c r="I824" t="n">
        <v>0</v>
      </c>
      <c r="J824" t="n">
        <v>0</v>
      </c>
      <c r="K824" t="n">
        <v>0</v>
      </c>
      <c r="L824" t="n">
        <v>0</v>
      </c>
      <c r="M824" t="n">
        <v>0</v>
      </c>
      <c r="N824" t="n">
        <v>0</v>
      </c>
      <c r="O824" t="n">
        <v>0</v>
      </c>
      <c r="P824" t="n">
        <v>0</v>
      </c>
      <c r="Q824" t="n">
        <v>0</v>
      </c>
      <c r="R824" s="2" t="inlineStr"/>
    </row>
    <row r="825" ht="15" customHeight="1">
      <c r="A825" t="inlineStr">
        <is>
          <t>A 56794-2025</t>
        </is>
      </c>
      <c r="B825" s="1" t="n">
        <v>45978.43039351852</v>
      </c>
      <c r="C825" s="1" t="n">
        <v>46035</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56667-2025</t>
        </is>
      </c>
      <c r="B826" s="1" t="n">
        <v>45975.68508101852</v>
      </c>
      <c r="C826" s="1" t="n">
        <v>46035</v>
      </c>
      <c r="D826" t="inlineStr">
        <is>
          <t>SKÅNE LÄN</t>
        </is>
      </c>
      <c r="E826" t="inlineStr">
        <is>
          <t>HÄSSLEHOLM</t>
        </is>
      </c>
      <c r="G826" t="n">
        <v>4.4</v>
      </c>
      <c r="H826" t="n">
        <v>0</v>
      </c>
      <c r="I826" t="n">
        <v>0</v>
      </c>
      <c r="J826" t="n">
        <v>0</v>
      </c>
      <c r="K826" t="n">
        <v>0</v>
      </c>
      <c r="L826" t="n">
        <v>0</v>
      </c>
      <c r="M826" t="n">
        <v>0</v>
      </c>
      <c r="N826" t="n">
        <v>0</v>
      </c>
      <c r="O826" t="n">
        <v>0</v>
      </c>
      <c r="P826" t="n">
        <v>0</v>
      </c>
      <c r="Q826" t="n">
        <v>0</v>
      </c>
      <c r="R826" s="2" t="inlineStr"/>
    </row>
    <row r="827" ht="15" customHeight="1">
      <c r="A827" t="inlineStr">
        <is>
          <t>A 35712-2024</t>
        </is>
      </c>
      <c r="B827" s="1" t="n">
        <v>45532</v>
      </c>
      <c r="C827" s="1" t="n">
        <v>46035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56767-2025</t>
        </is>
      </c>
      <c r="B828" s="1" t="n">
        <v>45978.38178240741</v>
      </c>
      <c r="C828" s="1" t="n">
        <v>46035</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56769-2025</t>
        </is>
      </c>
      <c r="B829" s="1" t="n">
        <v>45978.38429398148</v>
      </c>
      <c r="C829" s="1" t="n">
        <v>46035</v>
      </c>
      <c r="D829" t="inlineStr">
        <is>
          <t>SKÅNE LÄN</t>
        </is>
      </c>
      <c r="E829" t="inlineStr">
        <is>
          <t>HÄSSLEHOLM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33466-2024</t>
        </is>
      </c>
      <c r="B830" s="1" t="n">
        <v>45519</v>
      </c>
      <c r="C830" s="1" t="n">
        <v>46035</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56798-2025</t>
        </is>
      </c>
      <c r="B831" s="1" t="n">
        <v>45978.43378472222</v>
      </c>
      <c r="C831" s="1" t="n">
        <v>46035</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26397-2023</t>
        </is>
      </c>
      <c r="B832" s="1" t="n">
        <v>45087</v>
      </c>
      <c r="C832" s="1" t="n">
        <v>46035</v>
      </c>
      <c r="D832" t="inlineStr">
        <is>
          <t>SKÅNE LÄN</t>
        </is>
      </c>
      <c r="E832" t="inlineStr">
        <is>
          <t>HÄSSLEHOLM</t>
        </is>
      </c>
      <c r="G832" t="n">
        <v>1.7</v>
      </c>
      <c r="H832" t="n">
        <v>0</v>
      </c>
      <c r="I832" t="n">
        <v>0</v>
      </c>
      <c r="J832" t="n">
        <v>0</v>
      </c>
      <c r="K832" t="n">
        <v>0</v>
      </c>
      <c r="L832" t="n">
        <v>0</v>
      </c>
      <c r="M832" t="n">
        <v>0</v>
      </c>
      <c r="N832" t="n">
        <v>0</v>
      </c>
      <c r="O832" t="n">
        <v>0</v>
      </c>
      <c r="P832" t="n">
        <v>0</v>
      </c>
      <c r="Q832" t="n">
        <v>0</v>
      </c>
      <c r="R832" s="2" t="inlineStr"/>
    </row>
    <row r="833" ht="15" customHeight="1">
      <c r="A833" t="inlineStr">
        <is>
          <t>A 27175-2024</t>
        </is>
      </c>
      <c r="B833" s="1" t="n">
        <v>45471.57111111111</v>
      </c>
      <c r="C833" s="1" t="n">
        <v>46035</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1197-2024</t>
        </is>
      </c>
      <c r="B834" s="1" t="n">
        <v>45302</v>
      </c>
      <c r="C834" s="1" t="n">
        <v>46035</v>
      </c>
      <c r="D834" t="inlineStr">
        <is>
          <t>SKÅNE LÄN</t>
        </is>
      </c>
      <c r="E834" t="inlineStr">
        <is>
          <t>HÄSSLEHOLM</t>
        </is>
      </c>
      <c r="G834" t="n">
        <v>1.7</v>
      </c>
      <c r="H834" t="n">
        <v>0</v>
      </c>
      <c r="I834" t="n">
        <v>0</v>
      </c>
      <c r="J834" t="n">
        <v>0</v>
      </c>
      <c r="K834" t="n">
        <v>0</v>
      </c>
      <c r="L834" t="n">
        <v>0</v>
      </c>
      <c r="M834" t="n">
        <v>0</v>
      </c>
      <c r="N834" t="n">
        <v>0</v>
      </c>
      <c r="O834" t="n">
        <v>0</v>
      </c>
      <c r="P834" t="n">
        <v>0</v>
      </c>
      <c r="Q834" t="n">
        <v>0</v>
      </c>
      <c r="R834" s="2" t="inlineStr"/>
    </row>
    <row r="835" ht="15" customHeight="1">
      <c r="A835" t="inlineStr">
        <is>
          <t>A 48097-2024</t>
        </is>
      </c>
      <c r="B835" s="1" t="n">
        <v>45589.61413194444</v>
      </c>
      <c r="C835" s="1" t="n">
        <v>46035</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53077-2022</t>
        </is>
      </c>
      <c r="B836" s="1" t="n">
        <v>44873</v>
      </c>
      <c r="C836" s="1" t="n">
        <v>46035</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56797-2025</t>
        </is>
      </c>
      <c r="B837" s="1" t="n">
        <v>45978.43273148148</v>
      </c>
      <c r="C837" s="1" t="n">
        <v>46035</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19020-2024</t>
        </is>
      </c>
      <c r="B838" s="1" t="n">
        <v>45427.66167824074</v>
      </c>
      <c r="C838" s="1" t="n">
        <v>46035</v>
      </c>
      <c r="D838" t="inlineStr">
        <is>
          <t>SKÅNE LÄN</t>
        </is>
      </c>
      <c r="E838" t="inlineStr">
        <is>
          <t>HÄSSLEHOLM</t>
        </is>
      </c>
      <c r="G838" t="n">
        <v>2.3</v>
      </c>
      <c r="H838" t="n">
        <v>0</v>
      </c>
      <c r="I838" t="n">
        <v>0</v>
      </c>
      <c r="J838" t="n">
        <v>0</v>
      </c>
      <c r="K838" t="n">
        <v>0</v>
      </c>
      <c r="L838" t="n">
        <v>0</v>
      </c>
      <c r="M838" t="n">
        <v>0</v>
      </c>
      <c r="N838" t="n">
        <v>0</v>
      </c>
      <c r="O838" t="n">
        <v>0</v>
      </c>
      <c r="P838" t="n">
        <v>0</v>
      </c>
      <c r="Q838" t="n">
        <v>0</v>
      </c>
      <c r="R838" s="2" t="inlineStr"/>
    </row>
    <row r="839" ht="15" customHeight="1">
      <c r="A839" t="inlineStr">
        <is>
          <t>A 52912-2022</t>
        </is>
      </c>
      <c r="B839" s="1" t="n">
        <v>44872</v>
      </c>
      <c r="C839" s="1" t="n">
        <v>46035</v>
      </c>
      <c r="D839" t="inlineStr">
        <is>
          <t>SKÅNE LÄN</t>
        </is>
      </c>
      <c r="E839" t="inlineStr">
        <is>
          <t>HÄSSLEHOLM</t>
        </is>
      </c>
      <c r="G839" t="n">
        <v>4.7</v>
      </c>
      <c r="H839" t="n">
        <v>0</v>
      </c>
      <c r="I839" t="n">
        <v>0</v>
      </c>
      <c r="J839" t="n">
        <v>0</v>
      </c>
      <c r="K839" t="n">
        <v>0</v>
      </c>
      <c r="L839" t="n">
        <v>0</v>
      </c>
      <c r="M839" t="n">
        <v>0</v>
      </c>
      <c r="N839" t="n">
        <v>0</v>
      </c>
      <c r="O839" t="n">
        <v>0</v>
      </c>
      <c r="P839" t="n">
        <v>0</v>
      </c>
      <c r="Q839" t="n">
        <v>0</v>
      </c>
      <c r="R839" s="2" t="inlineStr"/>
    </row>
    <row r="840" ht="15" customHeight="1">
      <c r="A840" t="inlineStr">
        <is>
          <t>A 24640-2023</t>
        </is>
      </c>
      <c r="B840" s="1" t="n">
        <v>45084.43181712963</v>
      </c>
      <c r="C840" s="1" t="n">
        <v>46035</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22535-2024</t>
        </is>
      </c>
      <c r="B841" s="1" t="n">
        <v>45447</v>
      </c>
      <c r="C841" s="1" t="n">
        <v>46035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30007-2023</t>
        </is>
      </c>
      <c r="B842" s="1" t="n">
        <v>45109.80349537037</v>
      </c>
      <c r="C842" s="1" t="n">
        <v>46035</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30092-2025</t>
        </is>
      </c>
      <c r="B843" s="1" t="n">
        <v>45826</v>
      </c>
      <c r="C843" s="1" t="n">
        <v>46035</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30109-2025</t>
        </is>
      </c>
      <c r="B844" s="1" t="n">
        <v>45826</v>
      </c>
      <c r="C844" s="1" t="n">
        <v>46035</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55569-2025</t>
        </is>
      </c>
      <c r="B845" s="1" t="n">
        <v>45971</v>
      </c>
      <c r="C845" s="1" t="n">
        <v>46035</v>
      </c>
      <c r="D845" t="inlineStr">
        <is>
          <t>SKÅNE LÄN</t>
        </is>
      </c>
      <c r="E845" t="inlineStr">
        <is>
          <t>HÄSSLEHOLM</t>
        </is>
      </c>
      <c r="G845" t="n">
        <v>4.2</v>
      </c>
      <c r="H845" t="n">
        <v>0</v>
      </c>
      <c r="I845" t="n">
        <v>0</v>
      </c>
      <c r="J845" t="n">
        <v>0</v>
      </c>
      <c r="K845" t="n">
        <v>0</v>
      </c>
      <c r="L845" t="n">
        <v>0</v>
      </c>
      <c r="M845" t="n">
        <v>0</v>
      </c>
      <c r="N845" t="n">
        <v>0</v>
      </c>
      <c r="O845" t="n">
        <v>0</v>
      </c>
      <c r="P845" t="n">
        <v>0</v>
      </c>
      <c r="Q845" t="n">
        <v>0</v>
      </c>
      <c r="R845" s="2" t="inlineStr"/>
    </row>
    <row r="846" ht="15" customHeight="1">
      <c r="A846" t="inlineStr">
        <is>
          <t>A 1289-2024</t>
        </is>
      </c>
      <c r="B846" s="1" t="n">
        <v>45303.32234953704</v>
      </c>
      <c r="C846" s="1" t="n">
        <v>46035</v>
      </c>
      <c r="D846" t="inlineStr">
        <is>
          <t>SKÅNE LÄN</t>
        </is>
      </c>
      <c r="E846" t="inlineStr">
        <is>
          <t>HÄSSLEHOLM</t>
        </is>
      </c>
      <c r="G846" t="n">
        <v>4.6</v>
      </c>
      <c r="H846" t="n">
        <v>0</v>
      </c>
      <c r="I846" t="n">
        <v>0</v>
      </c>
      <c r="J846" t="n">
        <v>0</v>
      </c>
      <c r="K846" t="n">
        <v>0</v>
      </c>
      <c r="L846" t="n">
        <v>0</v>
      </c>
      <c r="M846" t="n">
        <v>0</v>
      </c>
      <c r="N846" t="n">
        <v>0</v>
      </c>
      <c r="O846" t="n">
        <v>0</v>
      </c>
      <c r="P846" t="n">
        <v>0</v>
      </c>
      <c r="Q846" t="n">
        <v>0</v>
      </c>
      <c r="R846" s="2" t="inlineStr"/>
    </row>
    <row r="847" ht="15" customHeight="1">
      <c r="A847" t="inlineStr">
        <is>
          <t>A 11715-2023</t>
        </is>
      </c>
      <c r="B847" s="1" t="n">
        <v>44992</v>
      </c>
      <c r="C847" s="1" t="n">
        <v>46035</v>
      </c>
      <c r="D847" t="inlineStr">
        <is>
          <t>SKÅNE LÄN</t>
        </is>
      </c>
      <c r="E847" t="inlineStr">
        <is>
          <t>HÄSSLEHOLM</t>
        </is>
      </c>
      <c r="F847" t="inlineStr">
        <is>
          <t>Övriga Aktiebolag</t>
        </is>
      </c>
      <c r="G847" t="n">
        <v>2</v>
      </c>
      <c r="H847" t="n">
        <v>0</v>
      </c>
      <c r="I847" t="n">
        <v>0</v>
      </c>
      <c r="J847" t="n">
        <v>0</v>
      </c>
      <c r="K847" t="n">
        <v>0</v>
      </c>
      <c r="L847" t="n">
        <v>0</v>
      </c>
      <c r="M847" t="n">
        <v>0</v>
      </c>
      <c r="N847" t="n">
        <v>0</v>
      </c>
      <c r="O847" t="n">
        <v>0</v>
      </c>
      <c r="P847" t="n">
        <v>0</v>
      </c>
      <c r="Q847" t="n">
        <v>0</v>
      </c>
      <c r="R847" s="2" t="inlineStr"/>
    </row>
    <row r="848" ht="15" customHeight="1">
      <c r="A848" t="inlineStr">
        <is>
          <t>A 25606-2024</t>
        </is>
      </c>
      <c r="B848" s="1" t="n">
        <v>45463.63179398148</v>
      </c>
      <c r="C848" s="1" t="n">
        <v>46035</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1538-2024</t>
        </is>
      </c>
      <c r="B849" s="1" t="n">
        <v>45306</v>
      </c>
      <c r="C849" s="1" t="n">
        <v>46035</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25533-2024</t>
        </is>
      </c>
      <c r="B850" s="1" t="n">
        <v>45463</v>
      </c>
      <c r="C850" s="1" t="n">
        <v>46035</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31934-2024</t>
        </is>
      </c>
      <c r="B851" s="1" t="n">
        <v>45510.41177083334</v>
      </c>
      <c r="C851" s="1" t="n">
        <v>46035</v>
      </c>
      <c r="D851" t="inlineStr">
        <is>
          <t>SKÅNE LÄN</t>
        </is>
      </c>
      <c r="E851" t="inlineStr">
        <is>
          <t>HÄSSLEHOLM</t>
        </is>
      </c>
      <c r="G851" t="n">
        <v>1.9</v>
      </c>
      <c r="H851" t="n">
        <v>0</v>
      </c>
      <c r="I851" t="n">
        <v>0</v>
      </c>
      <c r="J851" t="n">
        <v>0</v>
      </c>
      <c r="K851" t="n">
        <v>0</v>
      </c>
      <c r="L851" t="n">
        <v>0</v>
      </c>
      <c r="M851" t="n">
        <v>0</v>
      </c>
      <c r="N851" t="n">
        <v>0</v>
      </c>
      <c r="O851" t="n">
        <v>0</v>
      </c>
      <c r="P851" t="n">
        <v>0</v>
      </c>
      <c r="Q851" t="n">
        <v>0</v>
      </c>
      <c r="R851" s="2" t="inlineStr"/>
    </row>
    <row r="852" ht="15" customHeight="1">
      <c r="A852" t="inlineStr">
        <is>
          <t>A 29847-2024</t>
        </is>
      </c>
      <c r="B852" s="1" t="n">
        <v>45485.6278587963</v>
      </c>
      <c r="C852" s="1" t="n">
        <v>46035</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7653-2024</t>
        </is>
      </c>
      <c r="B853" s="1" t="n">
        <v>45348.69043981482</v>
      </c>
      <c r="C853" s="1" t="n">
        <v>46035</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10594-2025</t>
        </is>
      </c>
      <c r="B854" s="1" t="n">
        <v>45721</v>
      </c>
      <c r="C854" s="1" t="n">
        <v>46035</v>
      </c>
      <c r="D854" t="inlineStr">
        <is>
          <t>SKÅNE LÄN</t>
        </is>
      </c>
      <c r="E854" t="inlineStr">
        <is>
          <t>HÄSSLEHOLM</t>
        </is>
      </c>
      <c r="G854" t="n">
        <v>5.3</v>
      </c>
      <c r="H854" t="n">
        <v>0</v>
      </c>
      <c r="I854" t="n">
        <v>0</v>
      </c>
      <c r="J854" t="n">
        <v>0</v>
      </c>
      <c r="K854" t="n">
        <v>0</v>
      </c>
      <c r="L854" t="n">
        <v>0</v>
      </c>
      <c r="M854" t="n">
        <v>0</v>
      </c>
      <c r="N854" t="n">
        <v>0</v>
      </c>
      <c r="O854" t="n">
        <v>0</v>
      </c>
      <c r="P854" t="n">
        <v>0</v>
      </c>
      <c r="Q854" t="n">
        <v>0</v>
      </c>
      <c r="R854" s="2" t="inlineStr"/>
    </row>
    <row r="855" ht="15" customHeight="1">
      <c r="A855" t="inlineStr">
        <is>
          <t>A 12570-2023</t>
        </is>
      </c>
      <c r="B855" s="1" t="n">
        <v>44999</v>
      </c>
      <c r="C855" s="1" t="n">
        <v>46035</v>
      </c>
      <c r="D855" t="inlineStr">
        <is>
          <t>SKÅNE LÄN</t>
        </is>
      </c>
      <c r="E855" t="inlineStr">
        <is>
          <t>HÄSSLEHOLM</t>
        </is>
      </c>
      <c r="G855" t="n">
        <v>3.4</v>
      </c>
      <c r="H855" t="n">
        <v>0</v>
      </c>
      <c r="I855" t="n">
        <v>0</v>
      </c>
      <c r="J855" t="n">
        <v>0</v>
      </c>
      <c r="K855" t="n">
        <v>0</v>
      </c>
      <c r="L855" t="n">
        <v>0</v>
      </c>
      <c r="M855" t="n">
        <v>0</v>
      </c>
      <c r="N855" t="n">
        <v>0</v>
      </c>
      <c r="O855" t="n">
        <v>0</v>
      </c>
      <c r="P855" t="n">
        <v>0</v>
      </c>
      <c r="Q855" t="n">
        <v>0</v>
      </c>
      <c r="R855" s="2" t="inlineStr"/>
    </row>
    <row r="856" ht="15" customHeight="1">
      <c r="A856" t="inlineStr">
        <is>
          <t>A 14926-2024</t>
        </is>
      </c>
      <c r="B856" s="1" t="n">
        <v>45398</v>
      </c>
      <c r="C856" s="1" t="n">
        <v>46035</v>
      </c>
      <c r="D856" t="inlineStr">
        <is>
          <t>SKÅNE LÄN</t>
        </is>
      </c>
      <c r="E856" t="inlineStr">
        <is>
          <t>HÄSSLEHOLM</t>
        </is>
      </c>
      <c r="G856" t="n">
        <v>3.4</v>
      </c>
      <c r="H856" t="n">
        <v>0</v>
      </c>
      <c r="I856" t="n">
        <v>0</v>
      </c>
      <c r="J856" t="n">
        <v>0</v>
      </c>
      <c r="K856" t="n">
        <v>0</v>
      </c>
      <c r="L856" t="n">
        <v>0</v>
      </c>
      <c r="M856" t="n">
        <v>0</v>
      </c>
      <c r="N856" t="n">
        <v>0</v>
      </c>
      <c r="O856" t="n">
        <v>0</v>
      </c>
      <c r="P856" t="n">
        <v>0</v>
      </c>
      <c r="Q856" t="n">
        <v>0</v>
      </c>
      <c r="R856" s="2" t="inlineStr"/>
    </row>
    <row r="857" ht="15" customHeight="1">
      <c r="A857" t="inlineStr">
        <is>
          <t>A 2688-2024</t>
        </is>
      </c>
      <c r="B857" s="1" t="n">
        <v>45314</v>
      </c>
      <c r="C857" s="1" t="n">
        <v>46035</v>
      </c>
      <c r="D857" t="inlineStr">
        <is>
          <t>SKÅNE LÄN</t>
        </is>
      </c>
      <c r="E857" t="inlineStr">
        <is>
          <t>HÄSSLEHOLM</t>
        </is>
      </c>
      <c r="F857" t="inlineStr">
        <is>
          <t>Övriga Aktiebolag</t>
        </is>
      </c>
      <c r="G857" t="n">
        <v>2.8</v>
      </c>
      <c r="H857" t="n">
        <v>0</v>
      </c>
      <c r="I857" t="n">
        <v>0</v>
      </c>
      <c r="J857" t="n">
        <v>0</v>
      </c>
      <c r="K857" t="n">
        <v>0</v>
      </c>
      <c r="L857" t="n">
        <v>0</v>
      </c>
      <c r="M857" t="n">
        <v>0</v>
      </c>
      <c r="N857" t="n">
        <v>0</v>
      </c>
      <c r="O857" t="n">
        <v>0</v>
      </c>
      <c r="P857" t="n">
        <v>0</v>
      </c>
      <c r="Q857" t="n">
        <v>0</v>
      </c>
      <c r="R857" s="2" t="inlineStr"/>
    </row>
    <row r="858" ht="15" customHeight="1">
      <c r="A858" t="inlineStr">
        <is>
          <t>A 36733-2023</t>
        </is>
      </c>
      <c r="B858" s="1" t="n">
        <v>45153.69989583334</v>
      </c>
      <c r="C858" s="1" t="n">
        <v>46035</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57817-2025</t>
        </is>
      </c>
      <c r="B859" s="1" t="n">
        <v>45981.59475694445</v>
      </c>
      <c r="C859" s="1" t="n">
        <v>46035</v>
      </c>
      <c r="D859" t="inlineStr">
        <is>
          <t>SKÅNE LÄN</t>
        </is>
      </c>
      <c r="E859" t="inlineStr">
        <is>
          <t>HÄSSLEHOLM</t>
        </is>
      </c>
      <c r="G859" t="n">
        <v>3.8</v>
      </c>
      <c r="H859" t="n">
        <v>0</v>
      </c>
      <c r="I859" t="n">
        <v>0</v>
      </c>
      <c r="J859" t="n">
        <v>0</v>
      </c>
      <c r="K859" t="n">
        <v>0</v>
      </c>
      <c r="L859" t="n">
        <v>0</v>
      </c>
      <c r="M859" t="n">
        <v>0</v>
      </c>
      <c r="N859" t="n">
        <v>0</v>
      </c>
      <c r="O859" t="n">
        <v>0</v>
      </c>
      <c r="P859" t="n">
        <v>0</v>
      </c>
      <c r="Q859" t="n">
        <v>0</v>
      </c>
      <c r="R859" s="2" t="inlineStr"/>
    </row>
    <row r="860" ht="15" customHeight="1">
      <c r="A860" t="inlineStr">
        <is>
          <t>A 8244-2023</t>
        </is>
      </c>
      <c r="B860" s="1" t="n">
        <v>44974</v>
      </c>
      <c r="C860" s="1" t="n">
        <v>46035</v>
      </c>
      <c r="D860" t="inlineStr">
        <is>
          <t>SKÅNE LÄN</t>
        </is>
      </c>
      <c r="E860" t="inlineStr">
        <is>
          <t>HÄSSLEHOLM</t>
        </is>
      </c>
      <c r="G860" t="n">
        <v>1.2</v>
      </c>
      <c r="H860" t="n">
        <v>0</v>
      </c>
      <c r="I860" t="n">
        <v>0</v>
      </c>
      <c r="J860" t="n">
        <v>0</v>
      </c>
      <c r="K860" t="n">
        <v>0</v>
      </c>
      <c r="L860" t="n">
        <v>0</v>
      </c>
      <c r="M860" t="n">
        <v>0</v>
      </c>
      <c r="N860" t="n">
        <v>0</v>
      </c>
      <c r="O860" t="n">
        <v>0</v>
      </c>
      <c r="P860" t="n">
        <v>0</v>
      </c>
      <c r="Q860" t="n">
        <v>0</v>
      </c>
      <c r="R860" s="2" t="inlineStr"/>
    </row>
    <row r="861" ht="15" customHeight="1">
      <c r="A861" t="inlineStr">
        <is>
          <t>A 8246-2023</t>
        </is>
      </c>
      <c r="B861" s="1" t="n">
        <v>44974</v>
      </c>
      <c r="C861" s="1" t="n">
        <v>46035</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34834-2023</t>
        </is>
      </c>
      <c r="B862" s="1" t="n">
        <v>45141.7199537037</v>
      </c>
      <c r="C862" s="1" t="n">
        <v>46035</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20510-2021</t>
        </is>
      </c>
      <c r="B863" s="1" t="n">
        <v>44315</v>
      </c>
      <c r="C863" s="1" t="n">
        <v>46035</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24679-2023</t>
        </is>
      </c>
      <c r="B864" s="1" t="n">
        <v>45084</v>
      </c>
      <c r="C864" s="1" t="n">
        <v>46035</v>
      </c>
      <c r="D864" t="inlineStr">
        <is>
          <t>SKÅNE LÄN</t>
        </is>
      </c>
      <c r="E864" t="inlineStr">
        <is>
          <t>HÄSSLEHOLM</t>
        </is>
      </c>
      <c r="G864" t="n">
        <v>7.1</v>
      </c>
      <c r="H864" t="n">
        <v>0</v>
      </c>
      <c r="I864" t="n">
        <v>0</v>
      </c>
      <c r="J864" t="n">
        <v>0</v>
      </c>
      <c r="K864" t="n">
        <v>0</v>
      </c>
      <c r="L864" t="n">
        <v>0</v>
      </c>
      <c r="M864" t="n">
        <v>0</v>
      </c>
      <c r="N864" t="n">
        <v>0</v>
      </c>
      <c r="O864" t="n">
        <v>0</v>
      </c>
      <c r="P864" t="n">
        <v>0</v>
      </c>
      <c r="Q864" t="n">
        <v>0</v>
      </c>
      <c r="R864" s="2" t="inlineStr"/>
    </row>
    <row r="865" ht="15" customHeight="1">
      <c r="A865" t="inlineStr">
        <is>
          <t>A 15508-2023</t>
        </is>
      </c>
      <c r="B865" s="1" t="n">
        <v>45020.50045138889</v>
      </c>
      <c r="C865" s="1" t="n">
        <v>46035</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34187-2023</t>
        </is>
      </c>
      <c r="B866" s="1" t="n">
        <v>45138</v>
      </c>
      <c r="C866" s="1" t="n">
        <v>46035</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11019-2025</t>
        </is>
      </c>
      <c r="B867" s="1" t="n">
        <v>45723</v>
      </c>
      <c r="C867" s="1" t="n">
        <v>46035</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56062-2024</t>
        </is>
      </c>
      <c r="B868" s="1" t="n">
        <v>45624.37105324074</v>
      </c>
      <c r="C868" s="1" t="n">
        <v>46035</v>
      </c>
      <c r="D868" t="inlineStr">
        <is>
          <t>SKÅNE LÄN</t>
        </is>
      </c>
      <c r="E868" t="inlineStr">
        <is>
          <t>HÄSSLEHOLM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45299-2024</t>
        </is>
      </c>
      <c r="B869" s="1" t="n">
        <v>45576.40599537037</v>
      </c>
      <c r="C869" s="1" t="n">
        <v>46035</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34369-2023</t>
        </is>
      </c>
      <c r="B870" s="1" t="n">
        <v>45139.47817129629</v>
      </c>
      <c r="C870" s="1" t="n">
        <v>46035</v>
      </c>
      <c r="D870" t="inlineStr">
        <is>
          <t>SKÅNE LÄN</t>
        </is>
      </c>
      <c r="E870" t="inlineStr">
        <is>
          <t>HÄSSLEHOLM</t>
        </is>
      </c>
      <c r="G870" t="n">
        <v>2</v>
      </c>
      <c r="H870" t="n">
        <v>0</v>
      </c>
      <c r="I870" t="n">
        <v>0</v>
      </c>
      <c r="J870" t="n">
        <v>0</v>
      </c>
      <c r="K870" t="n">
        <v>0</v>
      </c>
      <c r="L870" t="n">
        <v>0</v>
      </c>
      <c r="M870" t="n">
        <v>0</v>
      </c>
      <c r="N870" t="n">
        <v>0</v>
      </c>
      <c r="O870" t="n">
        <v>0</v>
      </c>
      <c r="P870" t="n">
        <v>0</v>
      </c>
      <c r="Q870" t="n">
        <v>0</v>
      </c>
      <c r="R870" s="2" t="inlineStr"/>
    </row>
    <row r="871" ht="15" customHeight="1">
      <c r="A871" t="inlineStr">
        <is>
          <t>A 58241-2025</t>
        </is>
      </c>
      <c r="B871" s="1" t="n">
        <v>45985.38797453704</v>
      </c>
      <c r="C871" s="1" t="n">
        <v>46035</v>
      </c>
      <c r="D871" t="inlineStr">
        <is>
          <t>SKÅNE LÄN</t>
        </is>
      </c>
      <c r="E871" t="inlineStr">
        <is>
          <t>HÄSSLEHOLM</t>
        </is>
      </c>
      <c r="G871" t="n">
        <v>3.6</v>
      </c>
      <c r="H871" t="n">
        <v>0</v>
      </c>
      <c r="I871" t="n">
        <v>0</v>
      </c>
      <c r="J871" t="n">
        <v>0</v>
      </c>
      <c r="K871" t="n">
        <v>0</v>
      </c>
      <c r="L871" t="n">
        <v>0</v>
      </c>
      <c r="M871" t="n">
        <v>0</v>
      </c>
      <c r="N871" t="n">
        <v>0</v>
      </c>
      <c r="O871" t="n">
        <v>0</v>
      </c>
      <c r="P871" t="n">
        <v>0</v>
      </c>
      <c r="Q871" t="n">
        <v>0</v>
      </c>
      <c r="R871" s="2" t="inlineStr"/>
    </row>
    <row r="872" ht="15" customHeight="1">
      <c r="A872" t="inlineStr">
        <is>
          <t>A 58689-2025</t>
        </is>
      </c>
      <c r="B872" s="1" t="n">
        <v>45986</v>
      </c>
      <c r="C872" s="1" t="n">
        <v>46035</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11753-2025</t>
        </is>
      </c>
      <c r="B873" s="1" t="n">
        <v>45727</v>
      </c>
      <c r="C873" s="1" t="n">
        <v>46035</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8378-2023</t>
        </is>
      </c>
      <c r="B874" s="1" t="n">
        <v>44971</v>
      </c>
      <c r="C874" s="1" t="n">
        <v>46035</v>
      </c>
      <c r="D874" t="inlineStr">
        <is>
          <t>SKÅNE LÄN</t>
        </is>
      </c>
      <c r="E874" t="inlineStr">
        <is>
          <t>HÄSSLEHOLM</t>
        </is>
      </c>
      <c r="G874" t="n">
        <v>1.2</v>
      </c>
      <c r="H874" t="n">
        <v>0</v>
      </c>
      <c r="I874" t="n">
        <v>0</v>
      </c>
      <c r="J874" t="n">
        <v>0</v>
      </c>
      <c r="K874" t="n">
        <v>0</v>
      </c>
      <c r="L874" t="n">
        <v>0</v>
      </c>
      <c r="M874" t="n">
        <v>0</v>
      </c>
      <c r="N874" t="n">
        <v>0</v>
      </c>
      <c r="O874" t="n">
        <v>0</v>
      </c>
      <c r="P874" t="n">
        <v>0</v>
      </c>
      <c r="Q874" t="n">
        <v>0</v>
      </c>
      <c r="R874" s="2" t="inlineStr"/>
    </row>
    <row r="875" ht="15" customHeight="1">
      <c r="A875" t="inlineStr">
        <is>
          <t>A 60704-2023</t>
        </is>
      </c>
      <c r="B875" s="1" t="n">
        <v>45260.51340277777</v>
      </c>
      <c r="C875" s="1" t="n">
        <v>46035</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61569-2023</t>
        </is>
      </c>
      <c r="B876" s="1" t="n">
        <v>45265</v>
      </c>
      <c r="C876" s="1" t="n">
        <v>46035</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61215-2025</t>
        </is>
      </c>
      <c r="B877" s="1" t="n">
        <v>46000</v>
      </c>
      <c r="C877" s="1" t="n">
        <v>46035</v>
      </c>
      <c r="D877" t="inlineStr">
        <is>
          <t>SKÅNE LÄN</t>
        </is>
      </c>
      <c r="E877" t="inlineStr">
        <is>
          <t>HÄSSLEHOLM</t>
        </is>
      </c>
      <c r="G877" t="n">
        <v>3.5</v>
      </c>
      <c r="H877" t="n">
        <v>0</v>
      </c>
      <c r="I877" t="n">
        <v>0</v>
      </c>
      <c r="J877" t="n">
        <v>0</v>
      </c>
      <c r="K877" t="n">
        <v>0</v>
      </c>
      <c r="L877" t="n">
        <v>0</v>
      </c>
      <c r="M877" t="n">
        <v>0</v>
      </c>
      <c r="N877" t="n">
        <v>0</v>
      </c>
      <c r="O877" t="n">
        <v>0</v>
      </c>
      <c r="P877" t="n">
        <v>0</v>
      </c>
      <c r="Q877" t="n">
        <v>0</v>
      </c>
      <c r="R877" s="2" t="inlineStr"/>
    </row>
    <row r="878" ht="15" customHeight="1">
      <c r="A878" t="inlineStr">
        <is>
          <t>A 931-2026</t>
        </is>
      </c>
      <c r="B878" s="1" t="n">
        <v>46030.51495370371</v>
      </c>
      <c r="C878" s="1" t="n">
        <v>46035</v>
      </c>
      <c r="D878" t="inlineStr">
        <is>
          <t>SKÅNE LÄN</t>
        </is>
      </c>
      <c r="E878" t="inlineStr">
        <is>
          <t>HÄSSLEHOLM</t>
        </is>
      </c>
      <c r="F878" t="inlineStr">
        <is>
          <t>Övriga Aktiebolag</t>
        </is>
      </c>
      <c r="G878" t="n">
        <v>2.3</v>
      </c>
      <c r="H878" t="n">
        <v>0</v>
      </c>
      <c r="I878" t="n">
        <v>0</v>
      </c>
      <c r="J878" t="n">
        <v>0</v>
      </c>
      <c r="K878" t="n">
        <v>0</v>
      </c>
      <c r="L878" t="n">
        <v>0</v>
      </c>
      <c r="M878" t="n">
        <v>0</v>
      </c>
      <c r="N878" t="n">
        <v>0</v>
      </c>
      <c r="O878" t="n">
        <v>0</v>
      </c>
      <c r="P878" t="n">
        <v>0</v>
      </c>
      <c r="Q878" t="n">
        <v>0</v>
      </c>
      <c r="R878" s="2" t="inlineStr"/>
    </row>
    <row r="879" ht="15" customHeight="1">
      <c r="A879" t="inlineStr">
        <is>
          <t>A 315-2022</t>
        </is>
      </c>
      <c r="B879" s="1" t="n">
        <v>44565.55630787037</v>
      </c>
      <c r="C879" s="1" t="n">
        <v>46035</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31161-2024</t>
        </is>
      </c>
      <c r="B880" s="1" t="n">
        <v>45503</v>
      </c>
      <c r="C880" s="1" t="n">
        <v>46035</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33067-2024</t>
        </is>
      </c>
      <c r="B881" s="1" t="n">
        <v>45517.6520949074</v>
      </c>
      <c r="C881" s="1" t="n">
        <v>46035</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63284-2025</t>
        </is>
      </c>
      <c r="B882" s="1" t="n">
        <v>46010</v>
      </c>
      <c r="C882" s="1" t="n">
        <v>46035</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38888-2023</t>
        </is>
      </c>
      <c r="B883" s="1" t="n">
        <v>45161</v>
      </c>
      <c r="C883" s="1" t="n">
        <v>46035</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5992-2022</t>
        </is>
      </c>
      <c r="B884" s="1" t="n">
        <v>44599</v>
      </c>
      <c r="C884" s="1" t="n">
        <v>46035</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46035</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3248-2022</t>
        </is>
      </c>
      <c r="B886" s="1" t="n">
        <v>44583</v>
      </c>
      <c r="C886" s="1" t="n">
        <v>46035</v>
      </c>
      <c r="D886" t="inlineStr">
        <is>
          <t>SKÅNE LÄN</t>
        </is>
      </c>
      <c r="E886" t="inlineStr">
        <is>
          <t>HÄSSLEHOLM</t>
        </is>
      </c>
      <c r="G886" t="n">
        <v>3</v>
      </c>
      <c r="H886" t="n">
        <v>0</v>
      </c>
      <c r="I886" t="n">
        <v>0</v>
      </c>
      <c r="J886" t="n">
        <v>0</v>
      </c>
      <c r="K886" t="n">
        <v>0</v>
      </c>
      <c r="L886" t="n">
        <v>0</v>
      </c>
      <c r="M886" t="n">
        <v>0</v>
      </c>
      <c r="N886" t="n">
        <v>0</v>
      </c>
      <c r="O886" t="n">
        <v>0</v>
      </c>
      <c r="P886" t="n">
        <v>0</v>
      </c>
      <c r="Q886" t="n">
        <v>0</v>
      </c>
      <c r="R886" s="2" t="inlineStr"/>
    </row>
    <row r="887" ht="15" customHeight="1">
      <c r="A887" t="inlineStr">
        <is>
          <t>A 6310-2025</t>
        </is>
      </c>
      <c r="B887" s="1" t="n">
        <v>45698</v>
      </c>
      <c r="C887" s="1" t="n">
        <v>46035</v>
      </c>
      <c r="D887" t="inlineStr">
        <is>
          <t>SKÅNE LÄN</t>
        </is>
      </c>
      <c r="E887" t="inlineStr">
        <is>
          <t>HÄSSLEHOLM</t>
        </is>
      </c>
      <c r="G887" t="n">
        <v>2.7</v>
      </c>
      <c r="H887" t="n">
        <v>0</v>
      </c>
      <c r="I887" t="n">
        <v>0</v>
      </c>
      <c r="J887" t="n">
        <v>0</v>
      </c>
      <c r="K887" t="n">
        <v>0</v>
      </c>
      <c r="L887" t="n">
        <v>0</v>
      </c>
      <c r="M887" t="n">
        <v>0</v>
      </c>
      <c r="N887" t="n">
        <v>0</v>
      </c>
      <c r="O887" t="n">
        <v>0</v>
      </c>
      <c r="P887" t="n">
        <v>0</v>
      </c>
      <c r="Q887" t="n">
        <v>0</v>
      </c>
      <c r="R887" s="2" t="inlineStr"/>
    </row>
    <row r="888" ht="15" customHeight="1">
      <c r="A888" t="inlineStr">
        <is>
          <t>A 58933-2025</t>
        </is>
      </c>
      <c r="B888" s="1" t="n">
        <v>45987.56107638889</v>
      </c>
      <c r="C888" s="1" t="n">
        <v>46035</v>
      </c>
      <c r="D888" t="inlineStr">
        <is>
          <t>SKÅNE LÄN</t>
        </is>
      </c>
      <c r="E888" t="inlineStr">
        <is>
          <t>HÄSSLEHOLM</t>
        </is>
      </c>
      <c r="G888" t="n">
        <v>2.3</v>
      </c>
      <c r="H888" t="n">
        <v>0</v>
      </c>
      <c r="I888" t="n">
        <v>0</v>
      </c>
      <c r="J888" t="n">
        <v>0</v>
      </c>
      <c r="K888" t="n">
        <v>0</v>
      </c>
      <c r="L888" t="n">
        <v>0</v>
      </c>
      <c r="M888" t="n">
        <v>0</v>
      </c>
      <c r="N888" t="n">
        <v>0</v>
      </c>
      <c r="O888" t="n">
        <v>0</v>
      </c>
      <c r="P888" t="n">
        <v>0</v>
      </c>
      <c r="Q888" t="n">
        <v>0</v>
      </c>
      <c r="R888" s="2" t="inlineStr"/>
    </row>
    <row r="889" ht="15" customHeight="1">
      <c r="A889" t="inlineStr">
        <is>
          <t>A 16474-2025</t>
        </is>
      </c>
      <c r="B889" s="1" t="n">
        <v>45751.56834490741</v>
      </c>
      <c r="C889" s="1" t="n">
        <v>46035</v>
      </c>
      <c r="D889" t="inlineStr">
        <is>
          <t>SKÅNE LÄN</t>
        </is>
      </c>
      <c r="E889" t="inlineStr">
        <is>
          <t>HÄSSLEHOLM</t>
        </is>
      </c>
      <c r="G889" t="n">
        <v>5.9</v>
      </c>
      <c r="H889" t="n">
        <v>0</v>
      </c>
      <c r="I889" t="n">
        <v>0</v>
      </c>
      <c r="J889" t="n">
        <v>0</v>
      </c>
      <c r="K889" t="n">
        <v>0</v>
      </c>
      <c r="L889" t="n">
        <v>0</v>
      </c>
      <c r="M889" t="n">
        <v>0</v>
      </c>
      <c r="N889" t="n">
        <v>0</v>
      </c>
      <c r="O889" t="n">
        <v>0</v>
      </c>
      <c r="P889" t="n">
        <v>0</v>
      </c>
      <c r="Q889" t="n">
        <v>0</v>
      </c>
      <c r="R889" s="2" t="inlineStr"/>
    </row>
    <row r="890" ht="15" customHeight="1">
      <c r="A890" t="inlineStr">
        <is>
          <t>A 8524-2024</t>
        </is>
      </c>
      <c r="B890" s="1" t="n">
        <v>45355.48570601852</v>
      </c>
      <c r="C890" s="1" t="n">
        <v>46035</v>
      </c>
      <c r="D890" t="inlineStr">
        <is>
          <t>SKÅNE LÄN</t>
        </is>
      </c>
      <c r="E890" t="inlineStr">
        <is>
          <t>HÄSSLEHOLM</t>
        </is>
      </c>
      <c r="G890" t="n">
        <v>4</v>
      </c>
      <c r="H890" t="n">
        <v>0</v>
      </c>
      <c r="I890" t="n">
        <v>0</v>
      </c>
      <c r="J890" t="n">
        <v>0</v>
      </c>
      <c r="K890" t="n">
        <v>0</v>
      </c>
      <c r="L890" t="n">
        <v>0</v>
      </c>
      <c r="M890" t="n">
        <v>0</v>
      </c>
      <c r="N890" t="n">
        <v>0</v>
      </c>
      <c r="O890" t="n">
        <v>0</v>
      </c>
      <c r="P890" t="n">
        <v>0</v>
      </c>
      <c r="Q890" t="n">
        <v>0</v>
      </c>
      <c r="R890" s="2" t="inlineStr"/>
    </row>
    <row r="891" ht="15" customHeight="1">
      <c r="A891" t="inlineStr">
        <is>
          <t>A 22157-2024</t>
        </is>
      </c>
      <c r="B891" s="1" t="n">
        <v>45445.85290509259</v>
      </c>
      <c r="C891" s="1" t="n">
        <v>46035</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14145-2023</t>
        </is>
      </c>
      <c r="B892" s="1" t="n">
        <v>45009</v>
      </c>
      <c r="C892" s="1" t="n">
        <v>46035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12344-2023</t>
        </is>
      </c>
      <c r="B893" s="1" t="n">
        <v>44999</v>
      </c>
      <c r="C893" s="1" t="n">
        <v>46035</v>
      </c>
      <c r="D893" t="inlineStr">
        <is>
          <t>SKÅNE LÄN</t>
        </is>
      </c>
      <c r="E893" t="inlineStr">
        <is>
          <t>HÄSSLEHOLM</t>
        </is>
      </c>
      <c r="G893" t="n">
        <v>2.4</v>
      </c>
      <c r="H893" t="n">
        <v>0</v>
      </c>
      <c r="I893" t="n">
        <v>0</v>
      </c>
      <c r="J893" t="n">
        <v>0</v>
      </c>
      <c r="K893" t="n">
        <v>0</v>
      </c>
      <c r="L893" t="n">
        <v>0</v>
      </c>
      <c r="M893" t="n">
        <v>0</v>
      </c>
      <c r="N893" t="n">
        <v>0</v>
      </c>
      <c r="O893" t="n">
        <v>0</v>
      </c>
      <c r="P893" t="n">
        <v>0</v>
      </c>
      <c r="Q893" t="n">
        <v>0</v>
      </c>
      <c r="R893" s="2" t="inlineStr"/>
    </row>
    <row r="894" ht="15" customHeight="1">
      <c r="A894" t="inlineStr">
        <is>
          <t>A 54798-2025</t>
        </is>
      </c>
      <c r="B894" s="1" t="n">
        <v>45966</v>
      </c>
      <c r="C894" s="1" t="n">
        <v>46035</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54807-2025</t>
        </is>
      </c>
      <c r="B895" s="1" t="n">
        <v>45966</v>
      </c>
      <c r="C895" s="1" t="n">
        <v>46035</v>
      </c>
      <c r="D895" t="inlineStr">
        <is>
          <t>SKÅNE LÄN</t>
        </is>
      </c>
      <c r="E895" t="inlineStr">
        <is>
          <t>HÄSSLEHOLM</t>
        </is>
      </c>
      <c r="G895" t="n">
        <v>1.3</v>
      </c>
      <c r="H895" t="n">
        <v>0</v>
      </c>
      <c r="I895" t="n">
        <v>0</v>
      </c>
      <c r="J895" t="n">
        <v>0</v>
      </c>
      <c r="K895" t="n">
        <v>0</v>
      </c>
      <c r="L895" t="n">
        <v>0</v>
      </c>
      <c r="M895" t="n">
        <v>0</v>
      </c>
      <c r="N895" t="n">
        <v>0</v>
      </c>
      <c r="O895" t="n">
        <v>0</v>
      </c>
      <c r="P895" t="n">
        <v>0</v>
      </c>
      <c r="Q895" t="n">
        <v>0</v>
      </c>
      <c r="R895" s="2" t="inlineStr"/>
    </row>
    <row r="896" ht="15" customHeight="1">
      <c r="A896" t="inlineStr">
        <is>
          <t>A 58272-2024</t>
        </is>
      </c>
      <c r="B896" s="1" t="n">
        <v>45632.57025462963</v>
      </c>
      <c r="C896" s="1" t="n">
        <v>46035</v>
      </c>
      <c r="D896" t="inlineStr">
        <is>
          <t>SKÅNE LÄN</t>
        </is>
      </c>
      <c r="E896" t="inlineStr">
        <is>
          <t>HÄSSLEHOLM</t>
        </is>
      </c>
      <c r="G896" t="n">
        <v>2.3</v>
      </c>
      <c r="H896" t="n">
        <v>0</v>
      </c>
      <c r="I896" t="n">
        <v>0</v>
      </c>
      <c r="J896" t="n">
        <v>0</v>
      </c>
      <c r="K896" t="n">
        <v>0</v>
      </c>
      <c r="L896" t="n">
        <v>0</v>
      </c>
      <c r="M896" t="n">
        <v>0</v>
      </c>
      <c r="N896" t="n">
        <v>0</v>
      </c>
      <c r="O896" t="n">
        <v>0</v>
      </c>
      <c r="P896" t="n">
        <v>0</v>
      </c>
      <c r="Q896" t="n">
        <v>0</v>
      </c>
      <c r="R896" s="2" t="inlineStr"/>
    </row>
    <row r="897" ht="15" customHeight="1">
      <c r="A897" t="inlineStr">
        <is>
          <t>A 706-2026</t>
        </is>
      </c>
      <c r="B897" s="1" t="n">
        <v>46029.61739583333</v>
      </c>
      <c r="C897" s="1" t="n">
        <v>46035</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31391-2023</t>
        </is>
      </c>
      <c r="B898" s="1" t="n">
        <v>45114.56143518518</v>
      </c>
      <c r="C898" s="1" t="n">
        <v>46035</v>
      </c>
      <c r="D898" t="inlineStr">
        <is>
          <t>SKÅNE LÄN</t>
        </is>
      </c>
      <c r="E898" t="inlineStr">
        <is>
          <t>HÄSSLEHOLM</t>
        </is>
      </c>
      <c r="G898" t="n">
        <v>3.1</v>
      </c>
      <c r="H898" t="n">
        <v>0</v>
      </c>
      <c r="I898" t="n">
        <v>0</v>
      </c>
      <c r="J898" t="n">
        <v>0</v>
      </c>
      <c r="K898" t="n">
        <v>0</v>
      </c>
      <c r="L898" t="n">
        <v>0</v>
      </c>
      <c r="M898" t="n">
        <v>0</v>
      </c>
      <c r="N898" t="n">
        <v>0</v>
      </c>
      <c r="O898" t="n">
        <v>0</v>
      </c>
      <c r="P898" t="n">
        <v>0</v>
      </c>
      <c r="Q898" t="n">
        <v>0</v>
      </c>
      <c r="R898" s="2" t="inlineStr"/>
    </row>
    <row r="899" ht="15" customHeight="1">
      <c r="A899" t="inlineStr">
        <is>
          <t>A 45361-2023</t>
        </is>
      </c>
      <c r="B899" s="1" t="n">
        <v>45192.49068287037</v>
      </c>
      <c r="C899" s="1" t="n">
        <v>46035</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32008-2024</t>
        </is>
      </c>
      <c r="B900" s="1" t="n">
        <v>45510</v>
      </c>
      <c r="C900" s="1" t="n">
        <v>46035</v>
      </c>
      <c r="D900" t="inlineStr">
        <is>
          <t>SKÅNE LÄN</t>
        </is>
      </c>
      <c r="E900" t="inlineStr">
        <is>
          <t>HÄSSLEHOLM</t>
        </is>
      </c>
      <c r="G900" t="n">
        <v>5.1</v>
      </c>
      <c r="H900" t="n">
        <v>0</v>
      </c>
      <c r="I900" t="n">
        <v>0</v>
      </c>
      <c r="J900" t="n">
        <v>0</v>
      </c>
      <c r="K900" t="n">
        <v>0</v>
      </c>
      <c r="L900" t="n">
        <v>0</v>
      </c>
      <c r="M900" t="n">
        <v>0</v>
      </c>
      <c r="N900" t="n">
        <v>0</v>
      </c>
      <c r="O900" t="n">
        <v>0</v>
      </c>
      <c r="P900" t="n">
        <v>0</v>
      </c>
      <c r="Q900" t="n">
        <v>0</v>
      </c>
      <c r="R900" s="2" t="inlineStr"/>
    </row>
    <row r="901" ht="15" customHeight="1">
      <c r="A901" t="inlineStr">
        <is>
          <t>A 45220-2023</t>
        </is>
      </c>
      <c r="B901" s="1" t="n">
        <v>45191</v>
      </c>
      <c r="C901" s="1" t="n">
        <v>46035</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38712-2024</t>
        </is>
      </c>
      <c r="B902" s="1" t="n">
        <v>45547</v>
      </c>
      <c r="C902" s="1" t="n">
        <v>46035</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1645-2026</t>
        </is>
      </c>
      <c r="B903" s="1" t="n">
        <v>46034.5069212963</v>
      </c>
      <c r="C903" s="1" t="n">
        <v>46035</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57647-2024</t>
        </is>
      </c>
      <c r="B904" s="1" t="n">
        <v>45630</v>
      </c>
      <c r="C904" s="1" t="n">
        <v>46035</v>
      </c>
      <c r="D904" t="inlineStr">
        <is>
          <t>SKÅNE LÄN</t>
        </is>
      </c>
      <c r="E904" t="inlineStr">
        <is>
          <t>HÄSSLEHOLM</t>
        </is>
      </c>
      <c r="G904" t="n">
        <v>2.9</v>
      </c>
      <c r="H904" t="n">
        <v>0</v>
      </c>
      <c r="I904" t="n">
        <v>0</v>
      </c>
      <c r="J904" t="n">
        <v>0</v>
      </c>
      <c r="K904" t="n">
        <v>0</v>
      </c>
      <c r="L904" t="n">
        <v>0</v>
      </c>
      <c r="M904" t="n">
        <v>0</v>
      </c>
      <c r="N904" t="n">
        <v>0</v>
      </c>
      <c r="O904" t="n">
        <v>0</v>
      </c>
      <c r="P904" t="n">
        <v>0</v>
      </c>
      <c r="Q904" t="n">
        <v>0</v>
      </c>
      <c r="R904" s="2" t="inlineStr"/>
    </row>
    <row r="905" ht="15" customHeight="1">
      <c r="A905" t="inlineStr">
        <is>
          <t>A 62417-2025</t>
        </is>
      </c>
      <c r="B905" s="1" t="n">
        <v>46007</v>
      </c>
      <c r="C905" s="1" t="n">
        <v>46035</v>
      </c>
      <c r="D905" t="inlineStr">
        <is>
          <t>SKÅNE LÄN</t>
        </is>
      </c>
      <c r="E905" t="inlineStr">
        <is>
          <t>HÄSSLEHOLM</t>
        </is>
      </c>
      <c r="G905" t="n">
        <v>2</v>
      </c>
      <c r="H905" t="n">
        <v>0</v>
      </c>
      <c r="I905" t="n">
        <v>0</v>
      </c>
      <c r="J905" t="n">
        <v>0</v>
      </c>
      <c r="K905" t="n">
        <v>0</v>
      </c>
      <c r="L905" t="n">
        <v>0</v>
      </c>
      <c r="M905" t="n">
        <v>0</v>
      </c>
      <c r="N905" t="n">
        <v>0</v>
      </c>
      <c r="O905" t="n">
        <v>0</v>
      </c>
      <c r="P905" t="n">
        <v>0</v>
      </c>
      <c r="Q905" t="n">
        <v>0</v>
      </c>
      <c r="R905" s="2" t="inlineStr"/>
    </row>
    <row r="906" ht="15" customHeight="1">
      <c r="A906" t="inlineStr">
        <is>
          <t>A 53055-2021</t>
        </is>
      </c>
      <c r="B906" s="1" t="n">
        <v>44467</v>
      </c>
      <c r="C906" s="1" t="n">
        <v>46035</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61182-2024</t>
        </is>
      </c>
      <c r="B907" s="1" t="n">
        <v>45645</v>
      </c>
      <c r="C907" s="1" t="n">
        <v>46035</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13990-2022</t>
        </is>
      </c>
      <c r="B908" s="1" t="n">
        <v>44650</v>
      </c>
      <c r="C908" s="1" t="n">
        <v>46035</v>
      </c>
      <c r="D908" t="inlineStr">
        <is>
          <t>SKÅNE LÄN</t>
        </is>
      </c>
      <c r="E908" t="inlineStr">
        <is>
          <t>HÄSSLEHOLM</t>
        </is>
      </c>
      <c r="G908" t="n">
        <v>3.6</v>
      </c>
      <c r="H908" t="n">
        <v>0</v>
      </c>
      <c r="I908" t="n">
        <v>0</v>
      </c>
      <c r="J908" t="n">
        <v>0</v>
      </c>
      <c r="K908" t="n">
        <v>0</v>
      </c>
      <c r="L908" t="n">
        <v>0</v>
      </c>
      <c r="M908" t="n">
        <v>0</v>
      </c>
      <c r="N908" t="n">
        <v>0</v>
      </c>
      <c r="O908" t="n">
        <v>0</v>
      </c>
      <c r="P908" t="n">
        <v>0</v>
      </c>
      <c r="Q908" t="n">
        <v>0</v>
      </c>
      <c r="R908" s="2" t="inlineStr"/>
    </row>
    <row r="909" ht="15" customHeight="1">
      <c r="A909" t="inlineStr">
        <is>
          <t>A 25219-2023</t>
        </is>
      </c>
      <c r="B909" s="1" t="n">
        <v>45086.60541666667</v>
      </c>
      <c r="C909" s="1" t="n">
        <v>46035</v>
      </c>
      <c r="D909" t="inlineStr">
        <is>
          <t>SKÅNE LÄN</t>
        </is>
      </c>
      <c r="E909" t="inlineStr">
        <is>
          <t>HÄSSLEHOLM</t>
        </is>
      </c>
      <c r="G909" t="n">
        <v>6.9</v>
      </c>
      <c r="H909" t="n">
        <v>0</v>
      </c>
      <c r="I909" t="n">
        <v>0</v>
      </c>
      <c r="J909" t="n">
        <v>0</v>
      </c>
      <c r="K909" t="n">
        <v>0</v>
      </c>
      <c r="L909" t="n">
        <v>0</v>
      </c>
      <c r="M909" t="n">
        <v>0</v>
      </c>
      <c r="N909" t="n">
        <v>0</v>
      </c>
      <c r="O909" t="n">
        <v>0</v>
      </c>
      <c r="P909" t="n">
        <v>0</v>
      </c>
      <c r="Q909" t="n">
        <v>0</v>
      </c>
      <c r="R909" s="2" t="inlineStr"/>
    </row>
    <row r="910" ht="15" customHeight="1">
      <c r="A910" t="inlineStr">
        <is>
          <t>A 9302-2025</t>
        </is>
      </c>
      <c r="B910" s="1" t="n">
        <v>45714.67233796296</v>
      </c>
      <c r="C910" s="1" t="n">
        <v>46035</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9322-2025</t>
        </is>
      </c>
      <c r="B911" s="1" t="n">
        <v>45714.72241898148</v>
      </c>
      <c r="C911" s="1" t="n">
        <v>46035</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37300-2023</t>
        </is>
      </c>
      <c r="B912" s="1" t="n">
        <v>45156</v>
      </c>
      <c r="C912" s="1" t="n">
        <v>46035</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1659-2026</t>
        </is>
      </c>
      <c r="B913" s="1" t="n">
        <v>46034.55335648148</v>
      </c>
      <c r="C913" s="1" t="n">
        <v>46035</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39915-2023</t>
        </is>
      </c>
      <c r="B914" s="1" t="n">
        <v>45168.4684375</v>
      </c>
      <c r="C914" s="1" t="n">
        <v>46035</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35890-2023</t>
        </is>
      </c>
      <c r="B915" s="1" t="n">
        <v>45148</v>
      </c>
      <c r="C915" s="1" t="n">
        <v>46035</v>
      </c>
      <c r="D915" t="inlineStr">
        <is>
          <t>SKÅNE LÄN</t>
        </is>
      </c>
      <c r="E915" t="inlineStr">
        <is>
          <t>HÄSSLEHOLM</t>
        </is>
      </c>
      <c r="G915" t="n">
        <v>2</v>
      </c>
      <c r="H915" t="n">
        <v>0</v>
      </c>
      <c r="I915" t="n">
        <v>0</v>
      </c>
      <c r="J915" t="n">
        <v>0</v>
      </c>
      <c r="K915" t="n">
        <v>0</v>
      </c>
      <c r="L915" t="n">
        <v>0</v>
      </c>
      <c r="M915" t="n">
        <v>0</v>
      </c>
      <c r="N915" t="n">
        <v>0</v>
      </c>
      <c r="O915" t="n">
        <v>0</v>
      </c>
      <c r="P915" t="n">
        <v>0</v>
      </c>
      <c r="Q915" t="n">
        <v>0</v>
      </c>
      <c r="R915" s="2" t="inlineStr"/>
    </row>
    <row r="916" ht="15" customHeight="1">
      <c r="A916" t="inlineStr">
        <is>
          <t>A 35895-2023</t>
        </is>
      </c>
      <c r="B916" s="1" t="n">
        <v>45148</v>
      </c>
      <c r="C916" s="1" t="n">
        <v>46035</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1640-2026</t>
        </is>
      </c>
      <c r="B917" s="1" t="n">
        <v>46034.4961574074</v>
      </c>
      <c r="C917" s="1" t="n">
        <v>46035</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1616-2025</t>
        </is>
      </c>
      <c r="B918" s="1" t="n">
        <v>45670</v>
      </c>
      <c r="C918" s="1" t="n">
        <v>46035</v>
      </c>
      <c r="D918" t="inlineStr">
        <is>
          <t>SKÅNE LÄN</t>
        </is>
      </c>
      <c r="E918" t="inlineStr">
        <is>
          <t>HÄSSLEHOLM</t>
        </is>
      </c>
      <c r="G918" t="n">
        <v>3.6</v>
      </c>
      <c r="H918" t="n">
        <v>0</v>
      </c>
      <c r="I918" t="n">
        <v>0</v>
      </c>
      <c r="J918" t="n">
        <v>0</v>
      </c>
      <c r="K918" t="n">
        <v>0</v>
      </c>
      <c r="L918" t="n">
        <v>0</v>
      </c>
      <c r="M918" t="n">
        <v>0</v>
      </c>
      <c r="N918" t="n">
        <v>0</v>
      </c>
      <c r="O918" t="n">
        <v>0</v>
      </c>
      <c r="P918" t="n">
        <v>0</v>
      </c>
      <c r="Q918" t="n">
        <v>0</v>
      </c>
      <c r="R918" s="2" t="inlineStr"/>
    </row>
    <row r="919" ht="15" customHeight="1">
      <c r="A919" t="inlineStr">
        <is>
          <t>A 32154-2024</t>
        </is>
      </c>
      <c r="B919" s="1" t="n">
        <v>45511</v>
      </c>
      <c r="C919" s="1" t="n">
        <v>46035</v>
      </c>
      <c r="D919" t="inlineStr">
        <is>
          <t>SKÅNE LÄN</t>
        </is>
      </c>
      <c r="E919" t="inlineStr">
        <is>
          <t>HÄSSLEHOLM</t>
        </is>
      </c>
      <c r="G919" t="n">
        <v>6.4</v>
      </c>
      <c r="H919" t="n">
        <v>0</v>
      </c>
      <c r="I919" t="n">
        <v>0</v>
      </c>
      <c r="J919" t="n">
        <v>0</v>
      </c>
      <c r="K919" t="n">
        <v>0</v>
      </c>
      <c r="L919" t="n">
        <v>0</v>
      </c>
      <c r="M919" t="n">
        <v>0</v>
      </c>
      <c r="N919" t="n">
        <v>0</v>
      </c>
      <c r="O919" t="n">
        <v>0</v>
      </c>
      <c r="P919" t="n">
        <v>0</v>
      </c>
      <c r="Q919" t="n">
        <v>0</v>
      </c>
      <c r="R919" s="2" t="inlineStr"/>
    </row>
    <row r="920" ht="15" customHeight="1">
      <c r="A920" t="inlineStr">
        <is>
          <t>A 59722-2025</t>
        </is>
      </c>
      <c r="B920" s="1" t="n">
        <v>45992.5474537037</v>
      </c>
      <c r="C920" s="1" t="n">
        <v>46035</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4750-2024</t>
        </is>
      </c>
      <c r="B921" s="1" t="n">
        <v>45328</v>
      </c>
      <c r="C921" s="1" t="n">
        <v>46035</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23956-2023</t>
        </is>
      </c>
      <c r="B922" s="1" t="n">
        <v>45078.62302083334</v>
      </c>
      <c r="C922" s="1" t="n">
        <v>46035</v>
      </c>
      <c r="D922" t="inlineStr">
        <is>
          <t>SKÅNE LÄN</t>
        </is>
      </c>
      <c r="E922" t="inlineStr">
        <is>
          <t>HÄSSLEHOLM</t>
        </is>
      </c>
      <c r="G922" t="n">
        <v>0.1</v>
      </c>
      <c r="H922" t="n">
        <v>0</v>
      </c>
      <c r="I922" t="n">
        <v>0</v>
      </c>
      <c r="J922" t="n">
        <v>0</v>
      </c>
      <c r="K922" t="n">
        <v>0</v>
      </c>
      <c r="L922" t="n">
        <v>0</v>
      </c>
      <c r="M922" t="n">
        <v>0</v>
      </c>
      <c r="N922" t="n">
        <v>0</v>
      </c>
      <c r="O922" t="n">
        <v>0</v>
      </c>
      <c r="P922" t="n">
        <v>0</v>
      </c>
      <c r="Q922" t="n">
        <v>0</v>
      </c>
      <c r="R922" s="2" t="inlineStr"/>
    </row>
    <row r="923" ht="15" customHeight="1">
      <c r="A923" t="inlineStr">
        <is>
          <t>A 11708-2025</t>
        </is>
      </c>
      <c r="B923" s="1" t="n">
        <v>45727.58626157408</v>
      </c>
      <c r="C923" s="1" t="n">
        <v>46035</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58632-2025</t>
        </is>
      </c>
      <c r="B924" s="1" t="n">
        <v>45986</v>
      </c>
      <c r="C924" s="1" t="n">
        <v>46035</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1658-2026</t>
        </is>
      </c>
      <c r="B925" s="1" t="n">
        <v>46034.55091435185</v>
      </c>
      <c r="C925" s="1" t="n">
        <v>46035</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48112-2024</t>
        </is>
      </c>
      <c r="B926" s="1" t="n">
        <v>45589.6295949074</v>
      </c>
      <c r="C926" s="1" t="n">
        <v>46035</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1656-2026</t>
        </is>
      </c>
      <c r="B927" s="1" t="n">
        <v>46034.54035879629</v>
      </c>
      <c r="C927" s="1" t="n">
        <v>46035</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24246-2023</t>
        </is>
      </c>
      <c r="B928" s="1" t="n">
        <v>45079</v>
      </c>
      <c r="C928" s="1" t="n">
        <v>46035</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24249-2023</t>
        </is>
      </c>
      <c r="B929" s="1" t="n">
        <v>45079.62466435185</v>
      </c>
      <c r="C929" s="1" t="n">
        <v>46035</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52548-2023</t>
        </is>
      </c>
      <c r="B930" s="1" t="n">
        <v>45218</v>
      </c>
      <c r="C930" s="1" t="n">
        <v>46035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8160-2024</t>
        </is>
      </c>
      <c r="B931" s="1" t="n">
        <v>45351</v>
      </c>
      <c r="C931" s="1" t="n">
        <v>46035</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43696-2024</t>
        </is>
      </c>
      <c r="B932" s="1" t="n">
        <v>45569.58855324074</v>
      </c>
      <c r="C932" s="1" t="n">
        <v>46035</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12182-2025</t>
        </is>
      </c>
      <c r="B933" s="1" t="n">
        <v>45729</v>
      </c>
      <c r="C933" s="1" t="n">
        <v>46035</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20185-2023</t>
        </is>
      </c>
      <c r="B934" s="1" t="n">
        <v>45055.56795138889</v>
      </c>
      <c r="C934" s="1" t="n">
        <v>46035</v>
      </c>
      <c r="D934" t="inlineStr">
        <is>
          <t>SKÅNE LÄN</t>
        </is>
      </c>
      <c r="E934" t="inlineStr">
        <is>
          <t>HÄSSLEHOLM</t>
        </is>
      </c>
      <c r="G934" t="n">
        <v>3.5</v>
      </c>
      <c r="H934" t="n">
        <v>0</v>
      </c>
      <c r="I934" t="n">
        <v>0</v>
      </c>
      <c r="J934" t="n">
        <v>0</v>
      </c>
      <c r="K934" t="n">
        <v>0</v>
      </c>
      <c r="L934" t="n">
        <v>0</v>
      </c>
      <c r="M934" t="n">
        <v>0</v>
      </c>
      <c r="N934" t="n">
        <v>0</v>
      </c>
      <c r="O934" t="n">
        <v>0</v>
      </c>
      <c r="P934" t="n">
        <v>0</v>
      </c>
      <c r="Q934" t="n">
        <v>0</v>
      </c>
      <c r="R934" s="2" t="inlineStr"/>
    </row>
    <row r="935" ht="15" customHeight="1">
      <c r="A935" t="inlineStr">
        <is>
          <t>A 38376-2022</t>
        </is>
      </c>
      <c r="B935" s="1" t="n">
        <v>44812</v>
      </c>
      <c r="C935" s="1" t="n">
        <v>46035</v>
      </c>
      <c r="D935" t="inlineStr">
        <is>
          <t>SKÅNE LÄN</t>
        </is>
      </c>
      <c r="E935" t="inlineStr">
        <is>
          <t>HÄSSLEHOLM</t>
        </is>
      </c>
      <c r="G935" t="n">
        <v>1.9</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46035</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61436-2024</t>
        </is>
      </c>
      <c r="B937" s="1" t="n">
        <v>45646.46329861111</v>
      </c>
      <c r="C937" s="1" t="n">
        <v>46035</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54435-2024</t>
        </is>
      </c>
      <c r="B938" s="1" t="n">
        <v>45617.49494212963</v>
      </c>
      <c r="C938" s="1" t="n">
        <v>46035</v>
      </c>
      <c r="D938" t="inlineStr">
        <is>
          <t>SKÅNE LÄN</t>
        </is>
      </c>
      <c r="E938" t="inlineStr">
        <is>
          <t>HÄSSLEHOLM</t>
        </is>
      </c>
      <c r="G938" t="n">
        <v>2.3</v>
      </c>
      <c r="H938" t="n">
        <v>0</v>
      </c>
      <c r="I938" t="n">
        <v>0</v>
      </c>
      <c r="J938" t="n">
        <v>0</v>
      </c>
      <c r="K938" t="n">
        <v>0</v>
      </c>
      <c r="L938" t="n">
        <v>0</v>
      </c>
      <c r="M938" t="n">
        <v>0</v>
      </c>
      <c r="N938" t="n">
        <v>0</v>
      </c>
      <c r="O938" t="n">
        <v>0</v>
      </c>
      <c r="P938" t="n">
        <v>0</v>
      </c>
      <c r="Q938" t="n">
        <v>0</v>
      </c>
      <c r="R938" s="2" t="inlineStr"/>
    </row>
    <row r="939" ht="15" customHeight="1">
      <c r="A939" t="inlineStr">
        <is>
          <t>A 720-2025</t>
        </is>
      </c>
      <c r="B939" s="1" t="n">
        <v>45665.3744212963</v>
      </c>
      <c r="C939" s="1" t="n">
        <v>46035</v>
      </c>
      <c r="D939" t="inlineStr">
        <is>
          <t>SKÅNE LÄN</t>
        </is>
      </c>
      <c r="E939" t="inlineStr">
        <is>
          <t>HÄSSLEHOLM</t>
        </is>
      </c>
      <c r="G939" t="n">
        <v>1.3</v>
      </c>
      <c r="H939" t="n">
        <v>0</v>
      </c>
      <c r="I939" t="n">
        <v>0</v>
      </c>
      <c r="J939" t="n">
        <v>0</v>
      </c>
      <c r="K939" t="n">
        <v>0</v>
      </c>
      <c r="L939" t="n">
        <v>0</v>
      </c>
      <c r="M939" t="n">
        <v>0</v>
      </c>
      <c r="N939" t="n">
        <v>0</v>
      </c>
      <c r="O939" t="n">
        <v>0</v>
      </c>
      <c r="P939" t="n">
        <v>0</v>
      </c>
      <c r="Q939" t="n">
        <v>0</v>
      </c>
      <c r="R939" s="2" t="inlineStr"/>
    </row>
    <row r="940" ht="15" customHeight="1">
      <c r="A940" t="inlineStr">
        <is>
          <t>A 31581-2023</t>
        </is>
      </c>
      <c r="B940" s="1" t="n">
        <v>45117.45165509259</v>
      </c>
      <c r="C940" s="1" t="n">
        <v>46035</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33597-2023</t>
        </is>
      </c>
      <c r="B941" s="1" t="n">
        <v>45132</v>
      </c>
      <c r="C941" s="1" t="n">
        <v>46035</v>
      </c>
      <c r="D941" t="inlineStr">
        <is>
          <t>SKÅNE LÄN</t>
        </is>
      </c>
      <c r="E941" t="inlineStr">
        <is>
          <t>HÄSSLEHOLM</t>
        </is>
      </c>
      <c r="G941" t="n">
        <v>3.9</v>
      </c>
      <c r="H941" t="n">
        <v>0</v>
      </c>
      <c r="I941" t="n">
        <v>0</v>
      </c>
      <c r="J941" t="n">
        <v>0</v>
      </c>
      <c r="K941" t="n">
        <v>0</v>
      </c>
      <c r="L941" t="n">
        <v>0</v>
      </c>
      <c r="M941" t="n">
        <v>0</v>
      </c>
      <c r="N941" t="n">
        <v>0</v>
      </c>
      <c r="O941" t="n">
        <v>0</v>
      </c>
      <c r="P941" t="n">
        <v>0</v>
      </c>
      <c r="Q941" t="n">
        <v>0</v>
      </c>
      <c r="R941" s="2" t="inlineStr"/>
    </row>
    <row r="942" ht="15" customHeight="1">
      <c r="A942" t="inlineStr">
        <is>
          <t>A 33599-2023</t>
        </is>
      </c>
      <c r="B942" s="1" t="n">
        <v>45132</v>
      </c>
      <c r="C942" s="1" t="n">
        <v>46035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33938-2023</t>
        </is>
      </c>
      <c r="B943" s="1" t="n">
        <v>45124</v>
      </c>
      <c r="C943" s="1" t="n">
        <v>46035</v>
      </c>
      <c r="D943" t="inlineStr">
        <is>
          <t>SKÅNE LÄN</t>
        </is>
      </c>
      <c r="E943" t="inlineStr">
        <is>
          <t>HÄSSLEHOLM</t>
        </is>
      </c>
      <c r="G943" t="n">
        <v>1.8</v>
      </c>
      <c r="H943" t="n">
        <v>0</v>
      </c>
      <c r="I943" t="n">
        <v>0</v>
      </c>
      <c r="J943" t="n">
        <v>0</v>
      </c>
      <c r="K943" t="n">
        <v>0</v>
      </c>
      <c r="L943" t="n">
        <v>0</v>
      </c>
      <c r="M943" t="n">
        <v>0</v>
      </c>
      <c r="N943" t="n">
        <v>0</v>
      </c>
      <c r="O943" t="n">
        <v>0</v>
      </c>
      <c r="P943" t="n">
        <v>0</v>
      </c>
      <c r="Q943" t="n">
        <v>0</v>
      </c>
      <c r="R943" s="2" t="inlineStr"/>
    </row>
    <row r="944" ht="15" customHeight="1">
      <c r="A944" t="inlineStr">
        <is>
          <t>A 22693-2022</t>
        </is>
      </c>
      <c r="B944" s="1" t="n">
        <v>44714.54729166667</v>
      </c>
      <c r="C944" s="1" t="n">
        <v>46035</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35889-2023</t>
        </is>
      </c>
      <c r="B945" s="1" t="n">
        <v>45148</v>
      </c>
      <c r="C945" s="1" t="n">
        <v>46035</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35894-2023</t>
        </is>
      </c>
      <c r="B946" s="1" t="n">
        <v>45148</v>
      </c>
      <c r="C946" s="1" t="n">
        <v>46035</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35974-2022</t>
        </is>
      </c>
      <c r="B947" s="1" t="n">
        <v>44802</v>
      </c>
      <c r="C947" s="1" t="n">
        <v>46035</v>
      </c>
      <c r="D947" t="inlineStr">
        <is>
          <t>SKÅNE LÄN</t>
        </is>
      </c>
      <c r="E947" t="inlineStr">
        <is>
          <t>HÄSSLEHOLM</t>
        </is>
      </c>
      <c r="G947" t="n">
        <v>3.8</v>
      </c>
      <c r="H947" t="n">
        <v>0</v>
      </c>
      <c r="I947" t="n">
        <v>0</v>
      </c>
      <c r="J947" t="n">
        <v>0</v>
      </c>
      <c r="K947" t="n">
        <v>0</v>
      </c>
      <c r="L947" t="n">
        <v>0</v>
      </c>
      <c r="M947" t="n">
        <v>0</v>
      </c>
      <c r="N947" t="n">
        <v>0</v>
      </c>
      <c r="O947" t="n">
        <v>0</v>
      </c>
      <c r="P947" t="n">
        <v>0</v>
      </c>
      <c r="Q947" t="n">
        <v>0</v>
      </c>
      <c r="R947" s="2" t="inlineStr"/>
    </row>
    <row r="948" ht="15" customHeight="1">
      <c r="A948" t="inlineStr">
        <is>
          <t>A 24906-2022</t>
        </is>
      </c>
      <c r="B948" s="1" t="n">
        <v>44728</v>
      </c>
      <c r="C948" s="1" t="n">
        <v>46035</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7150-2025</t>
        </is>
      </c>
      <c r="B949" s="1" t="n">
        <v>45702.38239583333</v>
      </c>
      <c r="C949" s="1" t="n">
        <v>46035</v>
      </c>
      <c r="D949" t="inlineStr">
        <is>
          <t>SKÅNE LÄN</t>
        </is>
      </c>
      <c r="E949" t="inlineStr">
        <is>
          <t>HÄSSLEHOLM</t>
        </is>
      </c>
      <c r="G949" t="n">
        <v>2.3</v>
      </c>
      <c r="H949" t="n">
        <v>0</v>
      </c>
      <c r="I949" t="n">
        <v>0</v>
      </c>
      <c r="J949" t="n">
        <v>0</v>
      </c>
      <c r="K949" t="n">
        <v>0</v>
      </c>
      <c r="L949" t="n">
        <v>0</v>
      </c>
      <c r="M949" t="n">
        <v>0</v>
      </c>
      <c r="N949" t="n">
        <v>0</v>
      </c>
      <c r="O949" t="n">
        <v>0</v>
      </c>
      <c r="P949" t="n">
        <v>0</v>
      </c>
      <c r="Q949" t="n">
        <v>0</v>
      </c>
      <c r="R949" s="2" t="inlineStr"/>
    </row>
    <row r="950" ht="15" customHeight="1">
      <c r="A950" t="inlineStr">
        <is>
          <t>A 55303-2024</t>
        </is>
      </c>
      <c r="B950" s="1" t="n">
        <v>45621.6434837963</v>
      </c>
      <c r="C950" s="1" t="n">
        <v>46035</v>
      </c>
      <c r="D950" t="inlineStr">
        <is>
          <t>SKÅNE LÄN</t>
        </is>
      </c>
      <c r="E950" t="inlineStr">
        <is>
          <t>HÄSSLEHOLM</t>
        </is>
      </c>
      <c r="G950" t="n">
        <v>3.3</v>
      </c>
      <c r="H950" t="n">
        <v>0</v>
      </c>
      <c r="I950" t="n">
        <v>0</v>
      </c>
      <c r="J950" t="n">
        <v>0</v>
      </c>
      <c r="K950" t="n">
        <v>0</v>
      </c>
      <c r="L950" t="n">
        <v>0</v>
      </c>
      <c r="M950" t="n">
        <v>0</v>
      </c>
      <c r="N950" t="n">
        <v>0</v>
      </c>
      <c r="O950" t="n">
        <v>0</v>
      </c>
      <c r="P950" t="n">
        <v>0</v>
      </c>
      <c r="Q950" t="n">
        <v>0</v>
      </c>
      <c r="R950" s="2" t="inlineStr"/>
    </row>
    <row r="951" ht="15" customHeight="1">
      <c r="A951" t="inlineStr">
        <is>
          <t>A 16397-2022</t>
        </is>
      </c>
      <c r="B951" s="1" t="n">
        <v>44671</v>
      </c>
      <c r="C951" s="1" t="n">
        <v>46035</v>
      </c>
      <c r="D951" t="inlineStr">
        <is>
          <t>SKÅNE LÄN</t>
        </is>
      </c>
      <c r="E951" t="inlineStr">
        <is>
          <t>HÄSSLEHOLM</t>
        </is>
      </c>
      <c r="G951" t="n">
        <v>2.7</v>
      </c>
      <c r="H951" t="n">
        <v>0</v>
      </c>
      <c r="I951" t="n">
        <v>0</v>
      </c>
      <c r="J951" t="n">
        <v>0</v>
      </c>
      <c r="K951" t="n">
        <v>0</v>
      </c>
      <c r="L951" t="n">
        <v>0</v>
      </c>
      <c r="M951" t="n">
        <v>0</v>
      </c>
      <c r="N951" t="n">
        <v>0</v>
      </c>
      <c r="O951" t="n">
        <v>0</v>
      </c>
      <c r="P951" t="n">
        <v>0</v>
      </c>
      <c r="Q951" t="n">
        <v>0</v>
      </c>
      <c r="R951" s="2" t="inlineStr"/>
    </row>
    <row r="952" ht="15" customHeight="1">
      <c r="A952" t="inlineStr">
        <is>
          <t>A 16398-2022</t>
        </is>
      </c>
      <c r="B952" s="1" t="n">
        <v>44671</v>
      </c>
      <c r="C952" s="1" t="n">
        <v>46035</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59434-2023</t>
        </is>
      </c>
      <c r="B953" s="1" t="n">
        <v>45254.30440972222</v>
      </c>
      <c r="C953" s="1" t="n">
        <v>46035</v>
      </c>
      <c r="D953" t="inlineStr">
        <is>
          <t>SKÅNE LÄN</t>
        </is>
      </c>
      <c r="E953" t="inlineStr">
        <is>
          <t>HÄSSLEHOLM</t>
        </is>
      </c>
      <c r="G953" t="n">
        <v>3.6</v>
      </c>
      <c r="H953" t="n">
        <v>0</v>
      </c>
      <c r="I953" t="n">
        <v>0</v>
      </c>
      <c r="J953" t="n">
        <v>0</v>
      </c>
      <c r="K953" t="n">
        <v>0</v>
      </c>
      <c r="L953" t="n">
        <v>0</v>
      </c>
      <c r="M953" t="n">
        <v>0</v>
      </c>
      <c r="N953" t="n">
        <v>0</v>
      </c>
      <c r="O953" t="n">
        <v>0</v>
      </c>
      <c r="P953" t="n">
        <v>0</v>
      </c>
      <c r="Q953" t="n">
        <v>0</v>
      </c>
      <c r="R953" s="2" t="inlineStr"/>
    </row>
    <row r="954" ht="15" customHeight="1">
      <c r="A954" t="inlineStr">
        <is>
          <t>A 55284-2023</t>
        </is>
      </c>
      <c r="B954" s="1" t="n">
        <v>45237.74259259259</v>
      </c>
      <c r="C954" s="1" t="n">
        <v>46035</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22384-2024</t>
        </is>
      </c>
      <c r="B955" s="1" t="n">
        <v>45446.65592592592</v>
      </c>
      <c r="C955" s="1" t="n">
        <v>46035</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46641-2023</t>
        </is>
      </c>
      <c r="B956" s="1" t="n">
        <v>45198.44523148148</v>
      </c>
      <c r="C956" s="1" t="n">
        <v>46035</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46645-2023</t>
        </is>
      </c>
      <c r="B957" s="1" t="n">
        <v>45198.44686342592</v>
      </c>
      <c r="C957" s="1" t="n">
        <v>46035</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59556-2023</t>
        </is>
      </c>
      <c r="B958" s="1" t="n">
        <v>45254.56313657408</v>
      </c>
      <c r="C958" s="1" t="n">
        <v>46035</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9543-2025</t>
        </is>
      </c>
      <c r="B959" s="1" t="n">
        <v>45715</v>
      </c>
      <c r="C959" s="1" t="n">
        <v>46035</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51571-2023</t>
        </is>
      </c>
      <c r="B960" s="1" t="n">
        <v>45222</v>
      </c>
      <c r="C960" s="1" t="n">
        <v>46035</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27291-2023</t>
        </is>
      </c>
      <c r="B961" s="1" t="n">
        <v>45096</v>
      </c>
      <c r="C961" s="1" t="n">
        <v>46035</v>
      </c>
      <c r="D961" t="inlineStr">
        <is>
          <t>SKÅNE LÄN</t>
        </is>
      </c>
      <c r="E961" t="inlineStr">
        <is>
          <t>HÄSSLEHOLM</t>
        </is>
      </c>
      <c r="G961" t="n">
        <v>3.5</v>
      </c>
      <c r="H961" t="n">
        <v>0</v>
      </c>
      <c r="I961" t="n">
        <v>0</v>
      </c>
      <c r="J961" t="n">
        <v>0</v>
      </c>
      <c r="K961" t="n">
        <v>0</v>
      </c>
      <c r="L961" t="n">
        <v>0</v>
      </c>
      <c r="M961" t="n">
        <v>0</v>
      </c>
      <c r="N961" t="n">
        <v>0</v>
      </c>
      <c r="O961" t="n">
        <v>0</v>
      </c>
      <c r="P961" t="n">
        <v>0</v>
      </c>
      <c r="Q961" t="n">
        <v>0</v>
      </c>
      <c r="R961" s="2" t="inlineStr"/>
    </row>
    <row r="962" ht="15" customHeight="1">
      <c r="A962" t="inlineStr">
        <is>
          <t>A 48798-2023</t>
        </is>
      </c>
      <c r="B962" s="1" t="n">
        <v>45209.25318287037</v>
      </c>
      <c r="C962" s="1" t="n">
        <v>46035</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48627-2023</t>
        </is>
      </c>
      <c r="B963" s="1" t="n">
        <v>45208.57371527778</v>
      </c>
      <c r="C963" s="1" t="n">
        <v>46035</v>
      </c>
      <c r="D963" t="inlineStr">
        <is>
          <t>SKÅNE LÄN</t>
        </is>
      </c>
      <c r="E963" t="inlineStr">
        <is>
          <t>HÄSSLEHOLM</t>
        </is>
      </c>
      <c r="G963" t="n">
        <v>1.9</v>
      </c>
      <c r="H963" t="n">
        <v>0</v>
      </c>
      <c r="I963" t="n">
        <v>0</v>
      </c>
      <c r="J963" t="n">
        <v>0</v>
      </c>
      <c r="K963" t="n">
        <v>0</v>
      </c>
      <c r="L963" t="n">
        <v>0</v>
      </c>
      <c r="M963" t="n">
        <v>0</v>
      </c>
      <c r="N963" t="n">
        <v>0</v>
      </c>
      <c r="O963" t="n">
        <v>0</v>
      </c>
      <c r="P963" t="n">
        <v>0</v>
      </c>
      <c r="Q963" t="n">
        <v>0</v>
      </c>
      <c r="R963" s="2" t="inlineStr"/>
    </row>
    <row r="964" ht="15" customHeight="1">
      <c r="A964" t="inlineStr">
        <is>
          <t>A 17152-2025</t>
        </is>
      </c>
      <c r="B964" s="1" t="n">
        <v>45756.33318287037</v>
      </c>
      <c r="C964" s="1" t="n">
        <v>46035</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48326-2023</t>
        </is>
      </c>
      <c r="B965" s="1" t="n">
        <v>45205</v>
      </c>
      <c r="C965" s="1" t="n">
        <v>46035</v>
      </c>
      <c r="D965" t="inlineStr">
        <is>
          <t>SKÅNE LÄN</t>
        </is>
      </c>
      <c r="E965" t="inlineStr">
        <is>
          <t>HÄSSLEHOLM</t>
        </is>
      </c>
      <c r="G965" t="n">
        <v>12.7</v>
      </c>
      <c r="H965" t="n">
        <v>0</v>
      </c>
      <c r="I965" t="n">
        <v>0</v>
      </c>
      <c r="J965" t="n">
        <v>0</v>
      </c>
      <c r="K965" t="n">
        <v>0</v>
      </c>
      <c r="L965" t="n">
        <v>0</v>
      </c>
      <c r="M965" t="n">
        <v>0</v>
      </c>
      <c r="N965" t="n">
        <v>0</v>
      </c>
      <c r="O965" t="n">
        <v>0</v>
      </c>
      <c r="P965" t="n">
        <v>0</v>
      </c>
      <c r="Q965" t="n">
        <v>0</v>
      </c>
      <c r="R965" s="2" t="inlineStr"/>
    </row>
    <row r="966" ht="15" customHeight="1">
      <c r="A966" t="inlineStr">
        <is>
          <t>A 10752-2025</t>
        </is>
      </c>
      <c r="B966" s="1" t="n">
        <v>45722</v>
      </c>
      <c r="C966" s="1" t="n">
        <v>46035</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54462-2022</t>
        </is>
      </c>
      <c r="B967" s="1" t="n">
        <v>44882</v>
      </c>
      <c r="C967" s="1" t="n">
        <v>46035</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3890-2024</t>
        </is>
      </c>
      <c r="B968" s="1" t="n">
        <v>45322.45366898148</v>
      </c>
      <c r="C968" s="1" t="n">
        <v>46035</v>
      </c>
      <c r="D968" t="inlineStr">
        <is>
          <t>SKÅNE LÄN</t>
        </is>
      </c>
      <c r="E968" t="inlineStr">
        <is>
          <t>HÄSSLEHOLM</t>
        </is>
      </c>
      <c r="G968" t="n">
        <v>3</v>
      </c>
      <c r="H968" t="n">
        <v>0</v>
      </c>
      <c r="I968" t="n">
        <v>0</v>
      </c>
      <c r="J968" t="n">
        <v>0</v>
      </c>
      <c r="K968" t="n">
        <v>0</v>
      </c>
      <c r="L968" t="n">
        <v>0</v>
      </c>
      <c r="M968" t="n">
        <v>0</v>
      </c>
      <c r="N968" t="n">
        <v>0</v>
      </c>
      <c r="O968" t="n">
        <v>0</v>
      </c>
      <c r="P968" t="n">
        <v>0</v>
      </c>
      <c r="Q968" t="n">
        <v>0</v>
      </c>
      <c r="R968" s="2" t="inlineStr"/>
    </row>
    <row r="969" ht="15" customHeight="1">
      <c r="A969" t="inlineStr">
        <is>
          <t>A 54471-2023</t>
        </is>
      </c>
      <c r="B969" s="1" t="n">
        <v>45233.4640162037</v>
      </c>
      <c r="C969" s="1" t="n">
        <v>46035</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57963-2023</t>
        </is>
      </c>
      <c r="B970" s="1" t="n">
        <v>45247.57732638889</v>
      </c>
      <c r="C970" s="1" t="n">
        <v>46035</v>
      </c>
      <c r="D970" t="inlineStr">
        <is>
          <t>SKÅNE LÄN</t>
        </is>
      </c>
      <c r="E970" t="inlineStr">
        <is>
          <t>HÄSSLEHOLM</t>
        </is>
      </c>
      <c r="G970" t="n">
        <v>4.6</v>
      </c>
      <c r="H970" t="n">
        <v>0</v>
      </c>
      <c r="I970" t="n">
        <v>0</v>
      </c>
      <c r="J970" t="n">
        <v>0</v>
      </c>
      <c r="K970" t="n">
        <v>0</v>
      </c>
      <c r="L970" t="n">
        <v>0</v>
      </c>
      <c r="M970" t="n">
        <v>0</v>
      </c>
      <c r="N970" t="n">
        <v>0</v>
      </c>
      <c r="O970" t="n">
        <v>0</v>
      </c>
      <c r="P970" t="n">
        <v>0</v>
      </c>
      <c r="Q970" t="n">
        <v>0</v>
      </c>
      <c r="R970" s="2" t="inlineStr"/>
    </row>
    <row r="971" ht="15" customHeight="1">
      <c r="A971" t="inlineStr">
        <is>
          <t>A 59028-2023</t>
        </is>
      </c>
      <c r="B971" s="1" t="n">
        <v>45252.67900462963</v>
      </c>
      <c r="C971" s="1" t="n">
        <v>46035</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13544-2025</t>
        </is>
      </c>
      <c r="B972" s="1" t="n">
        <v>45736</v>
      </c>
      <c r="C972" s="1" t="n">
        <v>46035</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2712-2024</t>
        </is>
      </c>
      <c r="B973" s="1" t="n">
        <v>45314</v>
      </c>
      <c r="C973" s="1" t="n">
        <v>46035</v>
      </c>
      <c r="D973" t="inlineStr">
        <is>
          <t>SKÅNE LÄN</t>
        </is>
      </c>
      <c r="E973" t="inlineStr">
        <is>
          <t>HÄSSLEHOLM</t>
        </is>
      </c>
      <c r="G973" t="n">
        <v>11.3</v>
      </c>
      <c r="H973" t="n">
        <v>0</v>
      </c>
      <c r="I973" t="n">
        <v>0</v>
      </c>
      <c r="J973" t="n">
        <v>0</v>
      </c>
      <c r="K973" t="n">
        <v>0</v>
      </c>
      <c r="L973" t="n">
        <v>0</v>
      </c>
      <c r="M973" t="n">
        <v>0</v>
      </c>
      <c r="N973" t="n">
        <v>0</v>
      </c>
      <c r="O973" t="n">
        <v>0</v>
      </c>
      <c r="P973" t="n">
        <v>0</v>
      </c>
      <c r="Q973" t="n">
        <v>0</v>
      </c>
      <c r="R973" s="2" t="inlineStr"/>
    </row>
    <row r="974" ht="15" customHeight="1">
      <c r="A974" t="inlineStr">
        <is>
          <t>A 260-2024</t>
        </is>
      </c>
      <c r="B974" s="1" t="n">
        <v>45294</v>
      </c>
      <c r="C974" s="1" t="n">
        <v>46035</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8263-2025</t>
        </is>
      </c>
      <c r="B975" s="1" t="n">
        <v>45708.50398148148</v>
      </c>
      <c r="C975" s="1" t="n">
        <v>46035</v>
      </c>
      <c r="D975" t="inlineStr">
        <is>
          <t>SKÅNE LÄN</t>
        </is>
      </c>
      <c r="E975" t="inlineStr">
        <is>
          <t>HÄSSLEHOLM</t>
        </is>
      </c>
      <c r="G975" t="n">
        <v>2.9</v>
      </c>
      <c r="H975" t="n">
        <v>0</v>
      </c>
      <c r="I975" t="n">
        <v>0</v>
      </c>
      <c r="J975" t="n">
        <v>0</v>
      </c>
      <c r="K975" t="n">
        <v>0</v>
      </c>
      <c r="L975" t="n">
        <v>0</v>
      </c>
      <c r="M975" t="n">
        <v>0</v>
      </c>
      <c r="N975" t="n">
        <v>0</v>
      </c>
      <c r="O975" t="n">
        <v>0</v>
      </c>
      <c r="P975" t="n">
        <v>0</v>
      </c>
      <c r="Q975" t="n">
        <v>0</v>
      </c>
      <c r="R975" s="2" t="inlineStr"/>
    </row>
    <row r="976" ht="15" customHeight="1">
      <c r="A976" t="inlineStr">
        <is>
          <t>A 30006-2023</t>
        </is>
      </c>
      <c r="B976" s="1" t="n">
        <v>45109.79962962963</v>
      </c>
      <c r="C976" s="1" t="n">
        <v>46035</v>
      </c>
      <c r="D976" t="inlineStr">
        <is>
          <t>SKÅNE LÄN</t>
        </is>
      </c>
      <c r="E976" t="inlineStr">
        <is>
          <t>HÄSSLEHOLM</t>
        </is>
      </c>
      <c r="G976" t="n">
        <v>1.7</v>
      </c>
      <c r="H976" t="n">
        <v>0</v>
      </c>
      <c r="I976" t="n">
        <v>0</v>
      </c>
      <c r="J976" t="n">
        <v>0</v>
      </c>
      <c r="K976" t="n">
        <v>0</v>
      </c>
      <c r="L976" t="n">
        <v>0</v>
      </c>
      <c r="M976" t="n">
        <v>0</v>
      </c>
      <c r="N976" t="n">
        <v>0</v>
      </c>
      <c r="O976" t="n">
        <v>0</v>
      </c>
      <c r="P976" t="n">
        <v>0</v>
      </c>
      <c r="Q976" t="n">
        <v>0</v>
      </c>
      <c r="R976" s="2" t="inlineStr"/>
    </row>
    <row r="977" ht="15" customHeight="1">
      <c r="A977" t="inlineStr">
        <is>
          <t>A 42364-2023</t>
        </is>
      </c>
      <c r="B977" s="1" t="n">
        <v>45180.54754629629</v>
      </c>
      <c r="C977" s="1" t="n">
        <v>46035</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61578-2023</t>
        </is>
      </c>
      <c r="B978" s="1" t="n">
        <v>45265.47399305556</v>
      </c>
      <c r="C978" s="1" t="n">
        <v>46035</v>
      </c>
      <c r="D978" t="inlineStr">
        <is>
          <t>SKÅNE LÄN</t>
        </is>
      </c>
      <c r="E978" t="inlineStr">
        <is>
          <t>HÄSSLEHOLM</t>
        </is>
      </c>
      <c r="G978" t="n">
        <v>1.2</v>
      </c>
      <c r="H978" t="n">
        <v>0</v>
      </c>
      <c r="I978" t="n">
        <v>0</v>
      </c>
      <c r="J978" t="n">
        <v>0</v>
      </c>
      <c r="K978" t="n">
        <v>0</v>
      </c>
      <c r="L978" t="n">
        <v>0</v>
      </c>
      <c r="M978" t="n">
        <v>0</v>
      </c>
      <c r="N978" t="n">
        <v>0</v>
      </c>
      <c r="O978" t="n">
        <v>0</v>
      </c>
      <c r="P978" t="n">
        <v>0</v>
      </c>
      <c r="Q978" t="n">
        <v>0</v>
      </c>
      <c r="R978" s="2" t="inlineStr"/>
    </row>
    <row r="979" ht="15" customHeight="1">
      <c r="A979" t="inlineStr">
        <is>
          <t>A 2597-2024</t>
        </is>
      </c>
      <c r="B979" s="1" t="n">
        <v>45313</v>
      </c>
      <c r="C979" s="1" t="n">
        <v>46035</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62277-2023</t>
        </is>
      </c>
      <c r="B980" s="1" t="n">
        <v>45266</v>
      </c>
      <c r="C980" s="1" t="n">
        <v>46035</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3888-2024</t>
        </is>
      </c>
      <c r="B981" s="1" t="n">
        <v>45322.45089120371</v>
      </c>
      <c r="C981" s="1" t="n">
        <v>46035</v>
      </c>
      <c r="D981" t="inlineStr">
        <is>
          <t>SKÅNE LÄN</t>
        </is>
      </c>
      <c r="E981" t="inlineStr">
        <is>
          <t>HÄSSLEHOLM</t>
        </is>
      </c>
      <c r="G981" t="n">
        <v>2.4</v>
      </c>
      <c r="H981" t="n">
        <v>0</v>
      </c>
      <c r="I981" t="n">
        <v>0</v>
      </c>
      <c r="J981" t="n">
        <v>0</v>
      </c>
      <c r="K981" t="n">
        <v>0</v>
      </c>
      <c r="L981" t="n">
        <v>0</v>
      </c>
      <c r="M981" t="n">
        <v>0</v>
      </c>
      <c r="N981" t="n">
        <v>0</v>
      </c>
      <c r="O981" t="n">
        <v>0</v>
      </c>
      <c r="P981" t="n">
        <v>0</v>
      </c>
      <c r="Q981" t="n">
        <v>0</v>
      </c>
      <c r="R981" s="2" t="inlineStr"/>
    </row>
    <row r="982" ht="15" customHeight="1">
      <c r="A982" t="inlineStr">
        <is>
          <t>A 3889-2024</t>
        </is>
      </c>
      <c r="B982" s="1" t="n">
        <v>45322.45234953704</v>
      </c>
      <c r="C982" s="1" t="n">
        <v>46035</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8249-2023</t>
        </is>
      </c>
      <c r="B983" s="1" t="n">
        <v>44974</v>
      </c>
      <c r="C983" s="1" t="n">
        <v>46035</v>
      </c>
      <c r="D983" t="inlineStr">
        <is>
          <t>SKÅNE LÄN</t>
        </is>
      </c>
      <c r="E983" t="inlineStr">
        <is>
          <t>HÄSSLEHOLM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3480-2024</t>
        </is>
      </c>
      <c r="B984" s="1" t="n">
        <v>45320.43998842593</v>
      </c>
      <c r="C984" s="1" t="n">
        <v>46035</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55218-2023</t>
        </is>
      </c>
      <c r="B985" s="1" t="n">
        <v>45237</v>
      </c>
      <c r="C985" s="1" t="n">
        <v>46035</v>
      </c>
      <c r="D985" t="inlineStr">
        <is>
          <t>SKÅNE LÄN</t>
        </is>
      </c>
      <c r="E985" t="inlineStr">
        <is>
          <t>HÄSSLEHOLM</t>
        </is>
      </c>
      <c r="G985" t="n">
        <v>2</v>
      </c>
      <c r="H985" t="n">
        <v>0</v>
      </c>
      <c r="I985" t="n">
        <v>0</v>
      </c>
      <c r="J985" t="n">
        <v>0</v>
      </c>
      <c r="K985" t="n">
        <v>0</v>
      </c>
      <c r="L985" t="n">
        <v>0</v>
      </c>
      <c r="M985" t="n">
        <v>0</v>
      </c>
      <c r="N985" t="n">
        <v>0</v>
      </c>
      <c r="O985" t="n">
        <v>0</v>
      </c>
      <c r="P985" t="n">
        <v>0</v>
      </c>
      <c r="Q985" t="n">
        <v>0</v>
      </c>
      <c r="R985" s="2" t="inlineStr"/>
    </row>
    <row r="986" ht="15" customHeight="1">
      <c r="A986" t="inlineStr">
        <is>
          <t>A 1119-2024</t>
        </is>
      </c>
      <c r="B986" s="1" t="n">
        <v>45302</v>
      </c>
      <c r="C986" s="1" t="n">
        <v>46035</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9393-2025</t>
        </is>
      </c>
      <c r="B987" s="1" t="n">
        <v>45715.36230324074</v>
      </c>
      <c r="C987" s="1" t="n">
        <v>46035</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11422-2025</t>
        </is>
      </c>
      <c r="B988" s="1" t="n">
        <v>45726</v>
      </c>
      <c r="C988" s="1" t="n">
        <v>46035</v>
      </c>
      <c r="D988" t="inlineStr">
        <is>
          <t>SKÅNE LÄN</t>
        </is>
      </c>
      <c r="E988" t="inlineStr">
        <is>
          <t>HÄSSLEHOLM</t>
        </is>
      </c>
      <c r="G988" t="n">
        <v>14.9</v>
      </c>
      <c r="H988" t="n">
        <v>0</v>
      </c>
      <c r="I988" t="n">
        <v>0</v>
      </c>
      <c r="J988" t="n">
        <v>0</v>
      </c>
      <c r="K988" t="n">
        <v>0</v>
      </c>
      <c r="L988" t="n">
        <v>0</v>
      </c>
      <c r="M988" t="n">
        <v>0</v>
      </c>
      <c r="N988" t="n">
        <v>0</v>
      </c>
      <c r="O988" t="n">
        <v>0</v>
      </c>
      <c r="P988" t="n">
        <v>0</v>
      </c>
      <c r="Q988" t="n">
        <v>0</v>
      </c>
      <c r="R988" s="2" t="inlineStr"/>
    </row>
    <row r="989" ht="15" customHeight="1">
      <c r="A989" t="inlineStr">
        <is>
          <t>A 57277-2023</t>
        </is>
      </c>
      <c r="B989" s="1" t="n">
        <v>45245.59104166667</v>
      </c>
      <c r="C989" s="1" t="n">
        <v>46035</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9611-2025</t>
        </is>
      </c>
      <c r="B990" s="1" t="n">
        <v>45715</v>
      </c>
      <c r="C990" s="1" t="n">
        <v>46035</v>
      </c>
      <c r="D990" t="inlineStr">
        <is>
          <t>SKÅNE LÄN</t>
        </is>
      </c>
      <c r="E990" t="inlineStr">
        <is>
          <t>HÄSSLEHOLM</t>
        </is>
      </c>
      <c r="G990" t="n">
        <v>2.1</v>
      </c>
      <c r="H990" t="n">
        <v>0</v>
      </c>
      <c r="I990" t="n">
        <v>0</v>
      </c>
      <c r="J990" t="n">
        <v>0</v>
      </c>
      <c r="K990" t="n">
        <v>0</v>
      </c>
      <c r="L990" t="n">
        <v>0</v>
      </c>
      <c r="M990" t="n">
        <v>0</v>
      </c>
      <c r="N990" t="n">
        <v>0</v>
      </c>
      <c r="O990" t="n">
        <v>0</v>
      </c>
      <c r="P990" t="n">
        <v>0</v>
      </c>
      <c r="Q990" t="n">
        <v>0</v>
      </c>
      <c r="R990" s="2" t="inlineStr"/>
    </row>
    <row r="991" ht="15" customHeight="1">
      <c r="A991" t="inlineStr">
        <is>
          <t>A 5284-2023</t>
        </is>
      </c>
      <c r="B991" s="1" t="n">
        <v>44959.50608796296</v>
      </c>
      <c r="C991" s="1" t="n">
        <v>46035</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5285-2023</t>
        </is>
      </c>
      <c r="B992" s="1" t="n">
        <v>44959.50783564815</v>
      </c>
      <c r="C992" s="1" t="n">
        <v>46035</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57272-2023</t>
        </is>
      </c>
      <c r="B993" s="1" t="n">
        <v>45245</v>
      </c>
      <c r="C993" s="1" t="n">
        <v>46035</v>
      </c>
      <c r="D993" t="inlineStr">
        <is>
          <t>SKÅNE LÄN</t>
        </is>
      </c>
      <c r="E993" t="inlineStr">
        <is>
          <t>HÄSSLEHOLM</t>
        </is>
      </c>
      <c r="G993" t="n">
        <v>2.3</v>
      </c>
      <c r="H993" t="n">
        <v>0</v>
      </c>
      <c r="I993" t="n">
        <v>0</v>
      </c>
      <c r="J993" t="n">
        <v>0</v>
      </c>
      <c r="K993" t="n">
        <v>0</v>
      </c>
      <c r="L993" t="n">
        <v>0</v>
      </c>
      <c r="M993" t="n">
        <v>0</v>
      </c>
      <c r="N993" t="n">
        <v>0</v>
      </c>
      <c r="O993" t="n">
        <v>0</v>
      </c>
      <c r="P993" t="n">
        <v>0</v>
      </c>
      <c r="Q993" t="n">
        <v>0</v>
      </c>
      <c r="R993" s="2" t="inlineStr"/>
    </row>
    <row r="994" ht="15" customHeight="1">
      <c r="A994" t="inlineStr">
        <is>
          <t>A 2479-2024</t>
        </is>
      </c>
      <c r="B994" s="1" t="n">
        <v>45313.40148148148</v>
      </c>
      <c r="C994" s="1" t="n">
        <v>46035</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31160-2024</t>
        </is>
      </c>
      <c r="B995" s="1" t="n">
        <v>45503</v>
      </c>
      <c r="C995" s="1" t="n">
        <v>46035</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50664-2023</t>
        </is>
      </c>
      <c r="B996" s="1" t="n">
        <v>45217</v>
      </c>
      <c r="C996" s="1" t="n">
        <v>46035</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56490-2021</t>
        </is>
      </c>
      <c r="B997" s="1" t="n">
        <v>44480</v>
      </c>
      <c r="C997" s="1" t="n">
        <v>46035</v>
      </c>
      <c r="D997" t="inlineStr">
        <is>
          <t>SKÅNE LÄN</t>
        </is>
      </c>
      <c r="E997" t="inlineStr">
        <is>
          <t>HÄSSLEHOLM</t>
        </is>
      </c>
      <c r="F997" t="inlineStr">
        <is>
          <t>Kyrkan</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417-2022</t>
        </is>
      </c>
      <c r="B998" s="1" t="n">
        <v>44565.84615740741</v>
      </c>
      <c r="C998" s="1" t="n">
        <v>46035</v>
      </c>
      <c r="D998" t="inlineStr">
        <is>
          <t>SKÅNE LÄN</t>
        </is>
      </c>
      <c r="E998" t="inlineStr">
        <is>
          <t>HÄSSLEHOLM</t>
        </is>
      </c>
      <c r="G998" t="n">
        <v>0</v>
      </c>
      <c r="H998" t="n">
        <v>0</v>
      </c>
      <c r="I998" t="n">
        <v>0</v>
      </c>
      <c r="J998" t="n">
        <v>0</v>
      </c>
      <c r="K998" t="n">
        <v>0</v>
      </c>
      <c r="L998" t="n">
        <v>0</v>
      </c>
      <c r="M998" t="n">
        <v>0</v>
      </c>
      <c r="N998" t="n">
        <v>0</v>
      </c>
      <c r="O998" t="n">
        <v>0</v>
      </c>
      <c r="P998" t="n">
        <v>0</v>
      </c>
      <c r="Q998" t="n">
        <v>0</v>
      </c>
      <c r="R998" s="2" t="inlineStr"/>
    </row>
    <row r="999" ht="15" customHeight="1">
      <c r="A999" t="inlineStr">
        <is>
          <t>A 61934-2023</t>
        </is>
      </c>
      <c r="B999" s="1" t="n">
        <v>45266.54125</v>
      </c>
      <c r="C999" s="1" t="n">
        <v>46035</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41459-2022</t>
        </is>
      </c>
      <c r="B1000" s="1" t="n">
        <v>44826.93372685185</v>
      </c>
      <c r="C1000" s="1" t="n">
        <v>46035</v>
      </c>
      <c r="D1000" t="inlineStr">
        <is>
          <t>SKÅNE LÄN</t>
        </is>
      </c>
      <c r="E1000" t="inlineStr">
        <is>
          <t>HÄSSLEHOLM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19151-2023</t>
        </is>
      </c>
      <c r="B1001" s="1" t="n">
        <v>45044</v>
      </c>
      <c r="C1001" s="1" t="n">
        <v>46035</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54658-2023</t>
        </is>
      </c>
      <c r="B1002" s="1" t="n">
        <v>45235</v>
      </c>
      <c r="C1002" s="1" t="n">
        <v>46035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42370-2023</t>
        </is>
      </c>
      <c r="B1003" s="1" t="n">
        <v>45180</v>
      </c>
      <c r="C1003" s="1" t="n">
        <v>46035</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16951-2025</t>
        </is>
      </c>
      <c r="B1004" s="1" t="n">
        <v>45755</v>
      </c>
      <c r="C1004" s="1" t="n">
        <v>46035</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18063-2023</t>
        </is>
      </c>
      <c r="B1005" s="1" t="n">
        <v>45040.62850694444</v>
      </c>
      <c r="C1005" s="1" t="n">
        <v>46035</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14674-2025</t>
        </is>
      </c>
      <c r="B1006" s="1" t="n">
        <v>45742.55548611111</v>
      </c>
      <c r="C1006" s="1" t="n">
        <v>46035</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54777-2022</t>
        </is>
      </c>
      <c r="B1007" s="1" t="n">
        <v>44883</v>
      </c>
      <c r="C1007" s="1" t="n">
        <v>46035</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23683-2023</t>
        </is>
      </c>
      <c r="B1008" s="1" t="n">
        <v>45077</v>
      </c>
      <c r="C1008" s="1" t="n">
        <v>46035</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23955-2023</t>
        </is>
      </c>
      <c r="B1009" s="1" t="n">
        <v>45078.62217592593</v>
      </c>
      <c r="C1009" s="1" t="n">
        <v>46035</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23860-2024</t>
        </is>
      </c>
      <c r="B1010" s="1" t="n">
        <v>45455</v>
      </c>
      <c r="C1010" s="1" t="n">
        <v>46035</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524-2024</t>
        </is>
      </c>
      <c r="B1011" s="1" t="n">
        <v>45299</v>
      </c>
      <c r="C1011" s="1" t="n">
        <v>46035</v>
      </c>
      <c r="D1011" t="inlineStr">
        <is>
          <t>SKÅNE LÄN</t>
        </is>
      </c>
      <c r="E1011" t="inlineStr">
        <is>
          <t>HÄSSLEHOLM</t>
        </is>
      </c>
      <c r="G1011" t="n">
        <v>29.4</v>
      </c>
      <c r="H1011" t="n">
        <v>0</v>
      </c>
      <c r="I1011" t="n">
        <v>0</v>
      </c>
      <c r="J1011" t="n">
        <v>0</v>
      </c>
      <c r="K1011" t="n">
        <v>0</v>
      </c>
      <c r="L1011" t="n">
        <v>0</v>
      </c>
      <c r="M1011" t="n">
        <v>0</v>
      </c>
      <c r="N1011" t="n">
        <v>0</v>
      </c>
      <c r="O1011" t="n">
        <v>0</v>
      </c>
      <c r="P1011" t="n">
        <v>0</v>
      </c>
      <c r="Q1011" t="n">
        <v>0</v>
      </c>
      <c r="R1011" s="2" t="inlineStr"/>
    </row>
    <row r="1012" ht="15" customHeight="1">
      <c r="A1012" t="inlineStr">
        <is>
          <t>A 54518-2022</t>
        </is>
      </c>
      <c r="B1012" s="1" t="n">
        <v>44882</v>
      </c>
      <c r="C1012" s="1" t="n">
        <v>46035</v>
      </c>
      <c r="D1012" t="inlineStr">
        <is>
          <t>SKÅNE LÄN</t>
        </is>
      </c>
      <c r="E1012" t="inlineStr">
        <is>
          <t>HÄSSLEHOLM</t>
        </is>
      </c>
      <c r="F1012" t="inlineStr">
        <is>
          <t>Övriga Aktiebolag</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7094-2023</t>
        </is>
      </c>
      <c r="B1013" s="1" t="n">
        <v>44970.36958333333</v>
      </c>
      <c r="C1013" s="1" t="n">
        <v>46035</v>
      </c>
      <c r="D1013" t="inlineStr">
        <is>
          <t>SKÅNE LÄN</t>
        </is>
      </c>
      <c r="E1013" t="inlineStr">
        <is>
          <t>HÄSSLEHOLM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3500-2024</t>
        </is>
      </c>
      <c r="B1014" s="1" t="n">
        <v>45320</v>
      </c>
      <c r="C1014" s="1" t="n">
        <v>46035</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11266-2025</t>
        </is>
      </c>
      <c r="B1015" s="1" t="n">
        <v>45726</v>
      </c>
      <c r="C1015" s="1" t="n">
        <v>46035</v>
      </c>
      <c r="D1015" t="inlineStr">
        <is>
          <t>SKÅNE LÄN</t>
        </is>
      </c>
      <c r="E1015" t="inlineStr">
        <is>
          <t>HÄSSLEHOLM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49950-2023</t>
        </is>
      </c>
      <c r="B1016" s="1" t="n">
        <v>45215</v>
      </c>
      <c r="C1016" s="1" t="n">
        <v>46035</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29853-2024</t>
        </is>
      </c>
      <c r="B1017" s="1" t="n">
        <v>45485.65844907407</v>
      </c>
      <c r="C1017" s="1" t="n">
        <v>46035</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57695-2023</t>
        </is>
      </c>
      <c r="B1018" s="1" t="n">
        <v>45246</v>
      </c>
      <c r="C1018" s="1" t="n">
        <v>46035</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9615-2025</t>
        </is>
      </c>
      <c r="B1019" s="1" t="n">
        <v>45715</v>
      </c>
      <c r="C1019" s="1" t="n">
        <v>46035</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42232-2022</t>
        </is>
      </c>
      <c r="B1020" s="1" t="n">
        <v>44830.77591435185</v>
      </c>
      <c r="C1020" s="1" t="n">
        <v>46035</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38829-2024</t>
        </is>
      </c>
      <c r="B1021" s="1" t="n">
        <v>45547.57247685185</v>
      </c>
      <c r="C1021" s="1" t="n">
        <v>46035</v>
      </c>
      <c r="D1021" t="inlineStr">
        <is>
          <t>SKÅNE LÄN</t>
        </is>
      </c>
      <c r="E1021" t="inlineStr">
        <is>
          <t>HÄSSLEHOLM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25542-2024</t>
        </is>
      </c>
      <c r="B1022" s="1" t="n">
        <v>45463</v>
      </c>
      <c r="C1022" s="1" t="n">
        <v>46035</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55454-2021</t>
        </is>
      </c>
      <c r="B1023" s="1" t="n">
        <v>44475</v>
      </c>
      <c r="C1023" s="1" t="n">
        <v>46035</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61489-2024</t>
        </is>
      </c>
      <c r="B1024" s="1" t="n">
        <v>45646.54875</v>
      </c>
      <c r="C1024" s="1" t="n">
        <v>46035</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26879-2024</t>
        </is>
      </c>
      <c r="B1025" s="1" t="n">
        <v>45470</v>
      </c>
      <c r="C1025" s="1" t="n">
        <v>46035</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59728-2022</t>
        </is>
      </c>
      <c r="B1026" s="1" t="n">
        <v>44900</v>
      </c>
      <c r="C1026" s="1" t="n">
        <v>46035</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3294-2025</t>
        </is>
      </c>
      <c r="B1027" s="1" t="n">
        <v>45679.64125</v>
      </c>
      <c r="C1027" s="1" t="n">
        <v>46035</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13897-2024</t>
        </is>
      </c>
      <c r="B1028" s="1" t="n">
        <v>45391</v>
      </c>
      <c r="C1028" s="1" t="n">
        <v>46035</v>
      </c>
      <c r="D1028" t="inlineStr">
        <is>
          <t>SKÅNE LÄN</t>
        </is>
      </c>
      <c r="E1028" t="inlineStr">
        <is>
          <t>HÄSSLEHOLM</t>
        </is>
      </c>
      <c r="F1028" t="inlineStr">
        <is>
          <t>Kommuner</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7604-2024</t>
        </is>
      </c>
      <c r="B1029" s="1" t="n">
        <v>45348</v>
      </c>
      <c r="C1029" s="1" t="n">
        <v>46035</v>
      </c>
      <c r="D1029" t="inlineStr">
        <is>
          <t>SKÅNE LÄN</t>
        </is>
      </c>
      <c r="E1029" t="inlineStr">
        <is>
          <t>HÄSSLEHOLM</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36706-2022</t>
        </is>
      </c>
      <c r="B1030" s="1" t="n">
        <v>44805.32891203704</v>
      </c>
      <c r="C1030" s="1" t="n">
        <v>46035</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441-2022</t>
        </is>
      </c>
      <c r="B1031" s="1" t="n">
        <v>44565.97125</v>
      </c>
      <c r="C1031" s="1" t="n">
        <v>46035</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3364-2023</t>
        </is>
      </c>
      <c r="B1032" s="1" t="n">
        <v>44949</v>
      </c>
      <c r="C1032" s="1" t="n">
        <v>46035</v>
      </c>
      <c r="D1032" t="inlineStr">
        <is>
          <t>SKÅNE LÄN</t>
        </is>
      </c>
      <c r="E1032" t="inlineStr">
        <is>
          <t>HÄSSLEHOLM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43629-2023</t>
        </is>
      </c>
      <c r="B1033" s="1" t="n">
        <v>45184</v>
      </c>
      <c r="C1033" s="1" t="n">
        <v>46035</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57656-2022</t>
        </is>
      </c>
      <c r="B1034" s="1" t="n">
        <v>44897.4325925926</v>
      </c>
      <c r="C1034" s="1" t="n">
        <v>46035</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8250-2023</t>
        </is>
      </c>
      <c r="B1035" s="1" t="n">
        <v>44974</v>
      </c>
      <c r="C1035" s="1" t="n">
        <v>46035</v>
      </c>
      <c r="D1035" t="inlineStr">
        <is>
          <t>SKÅNE LÄN</t>
        </is>
      </c>
      <c r="E1035" t="inlineStr">
        <is>
          <t>HÄSSLEHOLM</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6101-2022</t>
        </is>
      </c>
      <c r="B1036" s="1" t="n">
        <v>44599.63016203704</v>
      </c>
      <c r="C1036" s="1" t="n">
        <v>46035</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6842-2023</t>
        </is>
      </c>
      <c r="B1037" s="1" t="n">
        <v>44967</v>
      </c>
      <c r="C1037" s="1" t="n">
        <v>46035</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7202-2022</t>
        </is>
      </c>
      <c r="B1038" s="1" t="n">
        <v>44606</v>
      </c>
      <c r="C1038" s="1" t="n">
        <v>46035</v>
      </c>
      <c r="D1038" t="inlineStr">
        <is>
          <t>SKÅNE LÄN</t>
        </is>
      </c>
      <c r="E1038" t="inlineStr">
        <is>
          <t>HÄSSLEHOLM</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5054-2022</t>
        </is>
      </c>
      <c r="B1039" s="1" t="n">
        <v>44593.69065972222</v>
      </c>
      <c r="C1039" s="1" t="n">
        <v>46035</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49181-2024</t>
        </is>
      </c>
      <c r="B1040" s="1" t="n">
        <v>45595</v>
      </c>
      <c r="C1040" s="1" t="n">
        <v>46035</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3349-2023</t>
        </is>
      </c>
      <c r="B1041" s="1" t="n">
        <v>44949</v>
      </c>
      <c r="C1041" s="1" t="n">
        <v>46035</v>
      </c>
      <c r="D1041" t="inlineStr">
        <is>
          <t>SKÅNE LÄN</t>
        </is>
      </c>
      <c r="E1041" t="inlineStr">
        <is>
          <t>HÄSSLEHOLM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49384-2021</t>
        </is>
      </c>
      <c r="B1042" s="1" t="n">
        <v>44454</v>
      </c>
      <c r="C1042" s="1" t="n">
        <v>46035</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60959-2022</t>
        </is>
      </c>
      <c r="B1043" s="1" t="n">
        <v>44914.64777777778</v>
      </c>
      <c r="C1043" s="1" t="n">
        <v>46035</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3746-2024</t>
        </is>
      </c>
      <c r="B1044" s="1" t="n">
        <v>45321.50745370371</v>
      </c>
      <c r="C1044" s="1" t="n">
        <v>46035</v>
      </c>
      <c r="D1044" t="inlineStr">
        <is>
          <t>SKÅNE LÄN</t>
        </is>
      </c>
      <c r="E1044" t="inlineStr">
        <is>
          <t>HÄSSLEHOLM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6638-2021</t>
        </is>
      </c>
      <c r="B1045" s="1" t="n">
        <v>44235</v>
      </c>
      <c r="C1045" s="1" t="n">
        <v>46035</v>
      </c>
      <c r="D1045" t="inlineStr">
        <is>
          <t>SKÅNE LÄN</t>
        </is>
      </c>
      <c r="E1045" t="inlineStr">
        <is>
          <t>HÄSSLEHOLM</t>
        </is>
      </c>
      <c r="G1045" t="n">
        <v>112.4</v>
      </c>
      <c r="H1045" t="n">
        <v>0</v>
      </c>
      <c r="I1045" t="n">
        <v>0</v>
      </c>
      <c r="J1045" t="n">
        <v>0</v>
      </c>
      <c r="K1045" t="n">
        <v>0</v>
      </c>
      <c r="L1045" t="n">
        <v>0</v>
      </c>
      <c r="M1045" t="n">
        <v>0</v>
      </c>
      <c r="N1045" t="n">
        <v>0</v>
      </c>
      <c r="O1045" t="n">
        <v>0</v>
      </c>
      <c r="P1045" t="n">
        <v>0</v>
      </c>
      <c r="Q1045" t="n">
        <v>0</v>
      </c>
      <c r="R1045" s="2" t="inlineStr"/>
    </row>
    <row r="1046" ht="15" customHeight="1">
      <c r="A1046" t="inlineStr">
        <is>
          <t>A 44262-2021</t>
        </is>
      </c>
      <c r="B1046" s="1" t="n">
        <v>44434</v>
      </c>
      <c r="C1046" s="1" t="n">
        <v>46035</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1553-2023</t>
        </is>
      </c>
      <c r="B1047" s="1" t="n">
        <v>44937</v>
      </c>
      <c r="C1047" s="1" t="n">
        <v>46035</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1562-2023</t>
        </is>
      </c>
      <c r="B1048" s="1" t="n">
        <v>44937.60450231482</v>
      </c>
      <c r="C1048" s="1" t="n">
        <v>46035</v>
      </c>
      <c r="D1048" t="inlineStr">
        <is>
          <t>SKÅNE LÄN</t>
        </is>
      </c>
      <c r="E1048" t="inlineStr">
        <is>
          <t>HÄSSLEHOLM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3452-2023</t>
        </is>
      </c>
      <c r="B1049" s="1" t="n">
        <v>44949</v>
      </c>
      <c r="C1049" s="1" t="n">
        <v>46035</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2596-2024</t>
        </is>
      </c>
      <c r="B1050" s="1" t="n">
        <v>45313.69969907407</v>
      </c>
      <c r="C1050" s="1" t="n">
        <v>46035</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2681-2024</t>
        </is>
      </c>
      <c r="B1051" s="1" t="n">
        <v>45314</v>
      </c>
      <c r="C1051" s="1" t="n">
        <v>46035</v>
      </c>
      <c r="D1051" t="inlineStr">
        <is>
          <t>SKÅNE LÄN</t>
        </is>
      </c>
      <c r="E1051" t="inlineStr">
        <is>
          <t>HÄSSLEHOLM</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4187-2023</t>
        </is>
      </c>
      <c r="B1052" s="1" t="n">
        <v>44953</v>
      </c>
      <c r="C1052" s="1" t="n">
        <v>46035</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4382-2023</t>
        </is>
      </c>
      <c r="B1053" s="1" t="n">
        <v>44955.61152777778</v>
      </c>
      <c r="C1053" s="1" t="n">
        <v>46035</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49107-2023</t>
        </is>
      </c>
      <c r="B1054" s="1" t="n">
        <v>45210.44337962963</v>
      </c>
      <c r="C1054" s="1" t="n">
        <v>46035</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5282-2023</t>
        </is>
      </c>
      <c r="B1055" s="1" t="n">
        <v>44959.50471064815</v>
      </c>
      <c r="C1055" s="1" t="n">
        <v>46035</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6180-2021</t>
        </is>
      </c>
      <c r="B1056" s="1" t="n">
        <v>44232</v>
      </c>
      <c r="C1056" s="1" t="n">
        <v>46035</v>
      </c>
      <c r="D1056" t="inlineStr">
        <is>
          <t>SKÅNE LÄN</t>
        </is>
      </c>
      <c r="E1056" t="inlineStr">
        <is>
          <t>HÄSSLEHOLM</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53897-2023</t>
        </is>
      </c>
      <c r="B1057" s="1" t="n">
        <v>45231.53934027778</v>
      </c>
      <c r="C1057" s="1" t="n">
        <v>46035</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20990-2023</t>
        </is>
      </c>
      <c r="B1058" s="1" t="n">
        <v>45061.46186342592</v>
      </c>
      <c r="C1058" s="1" t="n">
        <v>46035</v>
      </c>
      <c r="D1058" t="inlineStr">
        <is>
          <t>SKÅNE LÄN</t>
        </is>
      </c>
      <c r="E1058" t="inlineStr">
        <is>
          <t>HÄSSLEHOLM</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22696-2023</t>
        </is>
      </c>
      <c r="B1059" s="1" t="n">
        <v>45071.69464120371</v>
      </c>
      <c r="C1059" s="1" t="n">
        <v>46035</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33873-2021</t>
        </is>
      </c>
      <c r="B1060" s="1" t="n">
        <v>44378</v>
      </c>
      <c r="C1060" s="1" t="n">
        <v>46035</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34348-2022</t>
        </is>
      </c>
      <c r="B1061" s="1" t="n">
        <v>44792</v>
      </c>
      <c r="C1061" s="1" t="n">
        <v>46035</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6836-2023</t>
        </is>
      </c>
      <c r="B1062" s="1" t="n">
        <v>44967</v>
      </c>
      <c r="C1062" s="1" t="n">
        <v>46035</v>
      </c>
      <c r="D1062" t="inlineStr">
        <is>
          <t>SKÅNE LÄN</t>
        </is>
      </c>
      <c r="E1062" t="inlineStr">
        <is>
          <t>HÄSSLEHOLM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31931-2024</t>
        </is>
      </c>
      <c r="B1063" s="1" t="n">
        <v>45510.40878472223</v>
      </c>
      <c r="C1063" s="1" t="n">
        <v>46035</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8803-2023</t>
        </is>
      </c>
      <c r="B1064" s="1" t="n">
        <v>44978.61712962963</v>
      </c>
      <c r="C1064" s="1" t="n">
        <v>46035</v>
      </c>
      <c r="D1064" t="inlineStr">
        <is>
          <t>SKÅNE LÄN</t>
        </is>
      </c>
      <c r="E1064" t="inlineStr">
        <is>
          <t>HÄSSLEHOLM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11681-2023</t>
        </is>
      </c>
      <c r="B1065" s="1" t="n">
        <v>44992</v>
      </c>
      <c r="C1065" s="1" t="n">
        <v>46035</v>
      </c>
      <c r="D1065" t="inlineStr">
        <is>
          <t>SKÅNE LÄN</t>
        </is>
      </c>
      <c r="E1065" t="inlineStr">
        <is>
          <t>HÄSSLEHOLM</t>
        </is>
      </c>
      <c r="F1065" t="inlineStr">
        <is>
          <t>Övriga Aktiebolag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46222-2022</t>
        </is>
      </c>
      <c r="B1066" s="1" t="n">
        <v>44847.58725694445</v>
      </c>
      <c r="C1066" s="1" t="n">
        <v>46035</v>
      </c>
      <c r="D1066" t="inlineStr">
        <is>
          <t>SKÅNE LÄN</t>
        </is>
      </c>
      <c r="E1066" t="inlineStr">
        <is>
          <t>HÄSSLEHOLM</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50249-2024</t>
        </is>
      </c>
      <c r="B1067" s="1" t="n">
        <v>45600.56866898148</v>
      </c>
      <c r="C1067" s="1" t="n">
        <v>46035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60843-2022</t>
        </is>
      </c>
      <c r="B1068" s="1" t="n">
        <v>44914</v>
      </c>
      <c r="C1068" s="1" t="n">
        <v>46035</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51040-2024</t>
        </is>
      </c>
      <c r="B1069" s="1" t="n">
        <v>45603.43222222223</v>
      </c>
      <c r="C1069" s="1" t="n">
        <v>46035</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56881-2021</t>
        </is>
      </c>
      <c r="B1070" s="1" t="n">
        <v>44481</v>
      </c>
      <c r="C1070" s="1" t="n">
        <v>46035</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45653-2024</t>
        </is>
      </c>
      <c r="B1071" s="1" t="n">
        <v>45579.48872685185</v>
      </c>
      <c r="C1071" s="1" t="n">
        <v>46035</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56956-2024</t>
        </is>
      </c>
      <c r="B1072" s="1" t="n">
        <v>45626</v>
      </c>
      <c r="C1072" s="1" t="n">
        <v>46035</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45392-2024</t>
        </is>
      </c>
      <c r="B1073" s="1" t="n">
        <v>45576.55008101852</v>
      </c>
      <c r="C1073" s="1" t="n">
        <v>46035</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20187-2023</t>
        </is>
      </c>
      <c r="B1074" s="1" t="n">
        <v>45055.57027777778</v>
      </c>
      <c r="C1074" s="1" t="n">
        <v>46035</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1543-2024</t>
        </is>
      </c>
      <c r="B1075" s="1" t="n">
        <v>45306</v>
      </c>
      <c r="C1075" s="1" t="n">
        <v>46035</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37038-2022</t>
        </is>
      </c>
      <c r="B1076" s="1" t="n">
        <v>44806.44232638889</v>
      </c>
      <c r="C1076" s="1" t="n">
        <v>46035</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16454-2023</t>
        </is>
      </c>
      <c r="B1077" s="1" t="n">
        <v>45029.48425925926</v>
      </c>
      <c r="C1077" s="1" t="n">
        <v>46035</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31572-2022</t>
        </is>
      </c>
      <c r="B1078" s="1" t="n">
        <v>44775</v>
      </c>
      <c r="C1078" s="1" t="n">
        <v>46035</v>
      </c>
      <c r="D1078" t="inlineStr">
        <is>
          <t>SKÅNE LÄN</t>
        </is>
      </c>
      <c r="E1078" t="inlineStr">
        <is>
          <t>HÄSSLEHOLM</t>
        </is>
      </c>
      <c r="F1078" t="inlineStr">
        <is>
          <t>Kommuner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70087-2021</t>
        </is>
      </c>
      <c r="B1079" s="1" t="n">
        <v>44533</v>
      </c>
      <c r="C1079" s="1" t="n">
        <v>46035</v>
      </c>
      <c r="D1079" t="inlineStr">
        <is>
          <t>SKÅNE LÄN</t>
        </is>
      </c>
      <c r="E1079" t="inlineStr">
        <is>
          <t>HÄSSLEHOLM</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9375-2023</t>
        </is>
      </c>
      <c r="B1080" s="1" t="n">
        <v>44981</v>
      </c>
      <c r="C1080" s="1" t="n">
        <v>46035</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29287-2023</t>
        </is>
      </c>
      <c r="B1081" s="1" t="n">
        <v>45098</v>
      </c>
      <c r="C1081" s="1" t="n">
        <v>46035</v>
      </c>
      <c r="D1081" t="inlineStr">
        <is>
          <t>SKÅNE LÄN</t>
        </is>
      </c>
      <c r="E1081" t="inlineStr">
        <is>
          <t>HÄSSLEHOLM</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55416-2021</t>
        </is>
      </c>
      <c r="B1082" s="1" t="n">
        <v>44475</v>
      </c>
      <c r="C1082" s="1" t="n">
        <v>46035</v>
      </c>
      <c r="D1082" t="inlineStr">
        <is>
          <t>SKÅNE LÄN</t>
        </is>
      </c>
      <c r="E1082" t="inlineStr">
        <is>
          <t>HÄSSLEHOLM</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60509-2023</t>
        </is>
      </c>
      <c r="B1083" s="1" t="n">
        <v>45259</v>
      </c>
      <c r="C1083" s="1" t="n">
        <v>46035</v>
      </c>
      <c r="D1083" t="inlineStr">
        <is>
          <t>SKÅNE LÄN</t>
        </is>
      </c>
      <c r="E1083" t="inlineStr">
        <is>
          <t>HÄSSLEHOLM</t>
        </is>
      </c>
      <c r="F1083" t="inlineStr">
        <is>
          <t>Övriga Aktiebolag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21310-2022</t>
        </is>
      </c>
      <c r="B1084" s="1" t="n">
        <v>44705</v>
      </c>
      <c r="C1084" s="1" t="n">
        <v>46035</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9485-2023</t>
        </is>
      </c>
      <c r="B1085" s="1" t="n">
        <v>44981.60901620371</v>
      </c>
      <c r="C1085" s="1" t="n">
        <v>46035</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9502-2023</t>
        </is>
      </c>
      <c r="B1086" s="1" t="n">
        <v>44981.63278935185</v>
      </c>
      <c r="C1086" s="1" t="n">
        <v>46035</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10928-2024</t>
        </is>
      </c>
      <c r="B1087" s="1" t="n">
        <v>45370</v>
      </c>
      <c r="C1087" s="1" t="n">
        <v>46035</v>
      </c>
      <c r="D1087" t="inlineStr">
        <is>
          <t>SKÅNE LÄN</t>
        </is>
      </c>
      <c r="E1087" t="inlineStr">
        <is>
          <t>HÄSSLEHOLM</t>
        </is>
      </c>
      <c r="F1087" t="inlineStr">
        <is>
          <t>Övriga Aktiebolag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5890-2023</t>
        </is>
      </c>
      <c r="B1088" s="1" t="n">
        <v>44963.64527777778</v>
      </c>
      <c r="C1088" s="1" t="n">
        <v>46035</v>
      </c>
      <c r="D1088" t="inlineStr">
        <is>
          <t>SKÅNE LÄN</t>
        </is>
      </c>
      <c r="E1088" t="inlineStr">
        <is>
          <t>HÄSSLEHOLM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5894-2023</t>
        </is>
      </c>
      <c r="B1089" s="1" t="n">
        <v>44963.65148148148</v>
      </c>
      <c r="C1089" s="1" t="n">
        <v>46035</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12843-2023</t>
        </is>
      </c>
      <c r="B1090" s="1" t="n">
        <v>45001.48423611111</v>
      </c>
      <c r="C1090" s="1" t="n">
        <v>46035</v>
      </c>
      <c r="D1090" t="inlineStr">
        <is>
          <t>SKÅNE LÄN</t>
        </is>
      </c>
      <c r="E1090" t="inlineStr">
        <is>
          <t>HÄSSLEHOLM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10944-2024</t>
        </is>
      </c>
      <c r="B1091" s="1" t="n">
        <v>45370</v>
      </c>
      <c r="C1091" s="1" t="n">
        <v>46035</v>
      </c>
      <c r="D1091" t="inlineStr">
        <is>
          <t>SKÅNE LÄN</t>
        </is>
      </c>
      <c r="E1091" t="inlineStr">
        <is>
          <t>HÄSSLEHOLM</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13309-2025</t>
        </is>
      </c>
      <c r="B1092" s="1" t="n">
        <v>45735.58512731481</v>
      </c>
      <c r="C1092" s="1" t="n">
        <v>46035</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5980-2024</t>
        </is>
      </c>
      <c r="B1093" s="1" t="n">
        <v>45335</v>
      </c>
      <c r="C1093" s="1" t="n">
        <v>46035</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42372-2024</t>
        </is>
      </c>
      <c r="B1094" s="1" t="n">
        <v>45564.5127199074</v>
      </c>
      <c r="C1094" s="1" t="n">
        <v>46035</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17699-2024</t>
        </is>
      </c>
      <c r="B1095" s="1" t="n">
        <v>45418.46094907408</v>
      </c>
      <c r="C1095" s="1" t="n">
        <v>46035</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17702-2024</t>
        </is>
      </c>
      <c r="B1096" s="1" t="n">
        <v>45418.46534722222</v>
      </c>
      <c r="C1096" s="1" t="n">
        <v>46035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20566-2023</t>
        </is>
      </c>
      <c r="B1097" s="1" t="n">
        <v>45057</v>
      </c>
      <c r="C1097" s="1" t="n">
        <v>46035</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32967-2023</t>
        </is>
      </c>
      <c r="B1098" s="1" t="n">
        <v>45125</v>
      </c>
      <c r="C1098" s="1" t="n">
        <v>46035</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32968-2023</t>
        </is>
      </c>
      <c r="B1099" s="1" t="n">
        <v>45125</v>
      </c>
      <c r="C1099" s="1" t="n">
        <v>46035</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42231-2022</t>
        </is>
      </c>
      <c r="B1100" s="1" t="n">
        <v>44830.77003472222</v>
      </c>
      <c r="C1100" s="1" t="n">
        <v>46035</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54982-2024</t>
        </is>
      </c>
      <c r="B1101" s="1" t="n">
        <v>45620.7580787037</v>
      </c>
      <c r="C1101" s="1" t="n">
        <v>46035</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36795-2023</t>
        </is>
      </c>
      <c r="B1102" s="1" t="n">
        <v>45154.38245370371</v>
      </c>
      <c r="C1102" s="1" t="n">
        <v>46035</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15698-2023</t>
        </is>
      </c>
      <c r="B1103" s="1" t="n">
        <v>45021</v>
      </c>
      <c r="C1103" s="1" t="n">
        <v>46035</v>
      </c>
      <c r="D1103" t="inlineStr">
        <is>
          <t>SKÅNE LÄN</t>
        </is>
      </c>
      <c r="E1103" t="inlineStr">
        <is>
          <t>HÄSSLEHOLM</t>
        </is>
      </c>
      <c r="F1103" t="inlineStr">
        <is>
          <t>Kommuner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12584-2025</t>
        </is>
      </c>
      <c r="B1104" s="1" t="n">
        <v>45732</v>
      </c>
      <c r="C1104" s="1" t="n">
        <v>46035</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31998-2023</t>
        </is>
      </c>
      <c r="B1105" s="1" t="n">
        <v>45119</v>
      </c>
      <c r="C1105" s="1" t="n">
        <v>46035</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4140-2023</t>
        </is>
      </c>
      <c r="B1106" s="1" t="n">
        <v>44953</v>
      </c>
      <c r="C1106" s="1" t="n">
        <v>46035</v>
      </c>
      <c r="D1106" t="inlineStr">
        <is>
          <t>SKÅNE LÄN</t>
        </is>
      </c>
      <c r="E1106" t="inlineStr">
        <is>
          <t>HÄSSLEHOLM</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25077-2024</t>
        </is>
      </c>
      <c r="B1107" s="1" t="n">
        <v>45462</v>
      </c>
      <c r="C1107" s="1" t="n">
        <v>46035</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46942-2024</t>
        </is>
      </c>
      <c r="B1108" s="1" t="n">
        <v>45585.6684375</v>
      </c>
      <c r="C1108" s="1" t="n">
        <v>46035</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33257-2024</t>
        </is>
      </c>
      <c r="B1109" s="1" t="n">
        <v>45518</v>
      </c>
      <c r="C1109" s="1" t="n">
        <v>46035</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17492-2025</t>
        </is>
      </c>
      <c r="B1110" s="1" t="n">
        <v>45747</v>
      </c>
      <c r="C1110" s="1" t="n">
        <v>46035</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51618-2024</t>
        </is>
      </c>
      <c r="B1111" s="1" t="n">
        <v>45604.82615740741</v>
      </c>
      <c r="C1111" s="1" t="n">
        <v>46035</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10409-2024</t>
        </is>
      </c>
      <c r="B1112" s="1" t="n">
        <v>45365.6978125</v>
      </c>
      <c r="C1112" s="1" t="n">
        <v>46035</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31995-2023</t>
        </is>
      </c>
      <c r="B1113" s="1" t="n">
        <v>45107</v>
      </c>
      <c r="C1113" s="1" t="n">
        <v>46035</v>
      </c>
      <c r="D1113" t="inlineStr">
        <is>
          <t>SKÅNE LÄN</t>
        </is>
      </c>
      <c r="E1113" t="inlineStr">
        <is>
          <t>HÄSSLEHOLM</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4356-2024</t>
        </is>
      </c>
      <c r="B1114" s="1" t="n">
        <v>45325.36195601852</v>
      </c>
      <c r="C1114" s="1" t="n">
        <v>46035</v>
      </c>
      <c r="D1114" t="inlineStr">
        <is>
          <t>SKÅNE LÄN</t>
        </is>
      </c>
      <c r="E1114" t="inlineStr">
        <is>
          <t>HÄSSLEHOLM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46035</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34888-2023</t>
        </is>
      </c>
      <c r="B1116" s="1" t="n">
        <v>45142.388125</v>
      </c>
      <c r="C1116" s="1" t="n">
        <v>46035</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20435-2021</t>
        </is>
      </c>
      <c r="B1117" s="1" t="n">
        <v>44315.5793287037</v>
      </c>
      <c r="C1117" s="1" t="n">
        <v>46035</v>
      </c>
      <c r="D1117" t="inlineStr">
        <is>
          <t>SKÅNE LÄN</t>
        </is>
      </c>
      <c r="E1117" t="inlineStr">
        <is>
          <t>HÄSSLEHOLM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53085-2022</t>
        </is>
      </c>
      <c r="B1118" s="1" t="n">
        <v>44873</v>
      </c>
      <c r="C1118" s="1" t="n">
        <v>46035</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16388-2025</t>
        </is>
      </c>
      <c r="B1119" s="1" t="n">
        <v>45751.42787037037</v>
      </c>
      <c r="C1119" s="1" t="n">
        <v>46035</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16668-2025</t>
        </is>
      </c>
      <c r="B1120" s="1" t="n">
        <v>45754.43009259259</v>
      </c>
      <c r="C1120" s="1" t="n">
        <v>46035</v>
      </c>
      <c r="D1120" t="inlineStr">
        <is>
          <t>SKÅNE LÄN</t>
        </is>
      </c>
      <c r="E1120" t="inlineStr">
        <is>
          <t>HÄSSLEHOLM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9709-2023</t>
        </is>
      </c>
      <c r="B1121" s="1" t="n">
        <v>44984.48376157408</v>
      </c>
      <c r="C1121" s="1" t="n">
        <v>46035</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13646-2024</t>
        </is>
      </c>
      <c r="B1122" s="1" t="n">
        <v>45387</v>
      </c>
      <c r="C1122" s="1" t="n">
        <v>46035</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21867-2023</t>
        </is>
      </c>
      <c r="B1123" s="1" t="n">
        <v>45063</v>
      </c>
      <c r="C1123" s="1" t="n">
        <v>46035</v>
      </c>
      <c r="D1123" t="inlineStr">
        <is>
          <t>SKÅNE LÄN</t>
        </is>
      </c>
      <c r="E1123" t="inlineStr">
        <is>
          <t>HÄSSLEHOLM</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13087-2023</t>
        </is>
      </c>
      <c r="B1124" s="1" t="n">
        <v>45001</v>
      </c>
      <c r="C1124" s="1" t="n">
        <v>46035</v>
      </c>
      <c r="D1124" t="inlineStr">
        <is>
          <t>SKÅNE LÄN</t>
        </is>
      </c>
      <c r="E1124" t="inlineStr">
        <is>
          <t>HÄSSLEHOLM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52968-2022</t>
        </is>
      </c>
      <c r="B1125" s="1" t="n">
        <v>44875</v>
      </c>
      <c r="C1125" s="1" t="n">
        <v>46035</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62167-2022</t>
        </is>
      </c>
      <c r="B1126" s="1" t="n">
        <v>44915</v>
      </c>
      <c r="C1126" s="1" t="n">
        <v>46035</v>
      </c>
      <c r="D1126" t="inlineStr">
        <is>
          <t>SKÅNE LÄN</t>
        </is>
      </c>
      <c r="E1126" t="inlineStr">
        <is>
          <t>HÄSSLEHOLM</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62234-2022</t>
        </is>
      </c>
      <c r="B1127" s="1" t="n">
        <v>44922</v>
      </c>
      <c r="C1127" s="1" t="n">
        <v>46035</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44741-2023</t>
        </is>
      </c>
      <c r="B1128" s="1" t="n">
        <v>45190.38804398148</v>
      </c>
      <c r="C1128" s="1" t="n">
        <v>46035</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9397-2025</t>
        </is>
      </c>
      <c r="B1129" s="1" t="n">
        <v>45715.37361111111</v>
      </c>
      <c r="C1129" s="1" t="n">
        <v>46035</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6583-2021</t>
        </is>
      </c>
      <c r="B1130" s="1" t="n">
        <v>44236</v>
      </c>
      <c r="C1130" s="1" t="n">
        <v>46035</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50899-2024</t>
        </is>
      </c>
      <c r="B1131" s="1" t="n">
        <v>45602.68584490741</v>
      </c>
      <c r="C1131" s="1" t="n">
        <v>46035</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48624-2021</t>
        </is>
      </c>
      <c r="B1132" s="1" t="n">
        <v>44452</v>
      </c>
      <c r="C1132" s="1" t="n">
        <v>46035</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10802-2024</t>
        </is>
      </c>
      <c r="B1133" s="1" t="n">
        <v>45369</v>
      </c>
      <c r="C1133" s="1" t="n">
        <v>46035</v>
      </c>
      <c r="D1133" t="inlineStr">
        <is>
          <t>SKÅNE LÄN</t>
        </is>
      </c>
      <c r="E1133" t="inlineStr">
        <is>
          <t>HÄSSLEHOLM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48046-2023</t>
        </is>
      </c>
      <c r="B1134" s="1" t="n">
        <v>45204.85201388889</v>
      </c>
      <c r="C1134" s="1" t="n">
        <v>46035</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11607-2025</t>
        </is>
      </c>
      <c r="B1135" s="1" t="n">
        <v>45727</v>
      </c>
      <c r="C1135" s="1" t="n">
        <v>46035</v>
      </c>
      <c r="D1135" t="inlineStr">
        <is>
          <t>SKÅNE LÄN</t>
        </is>
      </c>
      <c r="E1135" t="inlineStr">
        <is>
          <t>HÄSSLEHOLM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13808-2021</t>
        </is>
      </c>
      <c r="B1136" s="1" t="n">
        <v>44276</v>
      </c>
      <c r="C1136" s="1" t="n">
        <v>46035</v>
      </c>
      <c r="D1136" t="inlineStr">
        <is>
          <t>SKÅNE LÄN</t>
        </is>
      </c>
      <c r="E1136" t="inlineStr">
        <is>
          <t>HÄSSLEHOLM</t>
        </is>
      </c>
      <c r="G1136" t="n">
        <v>10.3</v>
      </c>
      <c r="H1136" t="n">
        <v>0</v>
      </c>
      <c r="I1136" t="n">
        <v>0</v>
      </c>
      <c r="J1136" t="n">
        <v>0</v>
      </c>
      <c r="K1136" t="n">
        <v>0</v>
      </c>
      <c r="L1136" t="n">
        <v>0</v>
      </c>
      <c r="M1136" t="n">
        <v>0</v>
      </c>
      <c r="N1136" t="n">
        <v>0</v>
      </c>
      <c r="O1136" t="n">
        <v>0</v>
      </c>
      <c r="P1136" t="n">
        <v>0</v>
      </c>
      <c r="Q1136" t="n">
        <v>0</v>
      </c>
      <c r="R1136" s="2" t="inlineStr"/>
    </row>
    <row r="1137" ht="15" customHeight="1">
      <c r="A1137" t="inlineStr">
        <is>
          <t>A 49106-2023</t>
        </is>
      </c>
      <c r="B1137" s="1" t="n">
        <v>45210</v>
      </c>
      <c r="C1137" s="1" t="n">
        <v>46035</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58815-2023</t>
        </is>
      </c>
      <c r="B1138" s="1" t="n">
        <v>45247</v>
      </c>
      <c r="C1138" s="1" t="n">
        <v>46035</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9697-2023</t>
        </is>
      </c>
      <c r="B1139" s="1" t="n">
        <v>44984</v>
      </c>
      <c r="C1139" s="1" t="n">
        <v>46035</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27478-2023</t>
        </is>
      </c>
      <c r="B1140" s="1" t="n">
        <v>45092</v>
      </c>
      <c r="C1140" s="1" t="n">
        <v>46035</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1170-2025</t>
        </is>
      </c>
      <c r="B1141" s="1" t="n">
        <v>45667.29226851852</v>
      </c>
      <c r="C1141" s="1" t="n">
        <v>46035</v>
      </c>
      <c r="D1141" t="inlineStr">
        <is>
          <t>SKÅNE LÄN</t>
        </is>
      </c>
      <c r="E1141" t="inlineStr">
        <is>
          <t>HÄSSLEHOLM</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57749-2023</t>
        </is>
      </c>
      <c r="B1142" s="1" t="n">
        <v>45246</v>
      </c>
      <c r="C1142" s="1" t="n">
        <v>46035</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44940-2023</t>
        </is>
      </c>
      <c r="B1143" s="1" t="n">
        <v>45190.68653935185</v>
      </c>
      <c r="C1143" s="1" t="n">
        <v>46035</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18800-2023</t>
        </is>
      </c>
      <c r="B1144" s="1" t="n">
        <v>45044</v>
      </c>
      <c r="C1144" s="1" t="n">
        <v>46035</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25206-2023</t>
        </is>
      </c>
      <c r="B1145" s="1" t="n">
        <v>45086.59318287037</v>
      </c>
      <c r="C1145" s="1" t="n">
        <v>46035</v>
      </c>
      <c r="D1145" t="inlineStr">
        <is>
          <t>SKÅNE LÄN</t>
        </is>
      </c>
      <c r="E1145" t="inlineStr">
        <is>
          <t>HÄSSLEHOLM</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5116-2023</t>
        </is>
      </c>
      <c r="B1146" s="1" t="n">
        <v>44958.67546296296</v>
      </c>
      <c r="C1146" s="1" t="n">
        <v>46035</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10220-2023</t>
        </is>
      </c>
      <c r="B1147" s="1" t="n">
        <v>44986.60916666667</v>
      </c>
      <c r="C1147" s="1" t="n">
        <v>46035</v>
      </c>
      <c r="D1147" t="inlineStr">
        <is>
          <t>SKÅNE LÄN</t>
        </is>
      </c>
      <c r="E1147" t="inlineStr">
        <is>
          <t>HÄSSLEHOLM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25611-2024</t>
        </is>
      </c>
      <c r="B1148" s="1" t="n">
        <v>45463</v>
      </c>
      <c r="C1148" s="1" t="n">
        <v>46035</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26536-2022</t>
        </is>
      </c>
      <c r="B1149" s="1" t="n">
        <v>44739.45496527778</v>
      </c>
      <c r="C1149" s="1" t="n">
        <v>46035</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16334-2024</t>
        </is>
      </c>
      <c r="B1150" s="1" t="n">
        <v>45407.54856481482</v>
      </c>
      <c r="C1150" s="1" t="n">
        <v>46035</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41873-2023</t>
        </is>
      </c>
      <c r="B1151" s="1" t="n">
        <v>45176</v>
      </c>
      <c r="C1151" s="1" t="n">
        <v>46035</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60973-2024</t>
        </is>
      </c>
      <c r="B1152" s="1" t="n">
        <v>45644</v>
      </c>
      <c r="C1152" s="1" t="n">
        <v>46035</v>
      </c>
      <c r="D1152" t="inlineStr">
        <is>
          <t>SKÅNE LÄN</t>
        </is>
      </c>
      <c r="E1152" t="inlineStr">
        <is>
          <t>HÄSSLEHOLM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38228-2021</t>
        </is>
      </c>
      <c r="B1153" s="1" t="n">
        <v>44405</v>
      </c>
      <c r="C1153" s="1" t="n">
        <v>46035</v>
      </c>
      <c r="D1153" t="inlineStr">
        <is>
          <t>SKÅNE LÄN</t>
        </is>
      </c>
      <c r="E1153" t="inlineStr">
        <is>
          <t>HÄSSLEHOLM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14655-2025</t>
        </is>
      </c>
      <c r="B1154" s="1" t="n">
        <v>45742.5072337963</v>
      </c>
      <c r="C1154" s="1" t="n">
        <v>46035</v>
      </c>
      <c r="D1154" t="inlineStr">
        <is>
          <t>SKÅNE LÄN</t>
        </is>
      </c>
      <c r="E1154" t="inlineStr">
        <is>
          <t>HÄSSLEHOLM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59763-2022</t>
        </is>
      </c>
      <c r="B1155" s="1" t="n">
        <v>44900</v>
      </c>
      <c r="C1155" s="1" t="n">
        <v>46035</v>
      </c>
      <c r="D1155" t="inlineStr">
        <is>
          <t>SKÅNE LÄN</t>
        </is>
      </c>
      <c r="E1155" t="inlineStr">
        <is>
          <t>HÄSSLEHOLM</t>
        </is>
      </c>
      <c r="F1155" t="inlineStr">
        <is>
          <t>Övriga Aktiebolag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43061-2024</t>
        </is>
      </c>
      <c r="B1156" s="1" t="n">
        <v>45567</v>
      </c>
      <c r="C1156" s="1" t="n">
        <v>46035</v>
      </c>
      <c r="D1156" t="inlineStr">
        <is>
          <t>SKÅNE LÄN</t>
        </is>
      </c>
      <c r="E1156" t="inlineStr">
        <is>
          <t>HÄSSLEHOLM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21328-2023</t>
        </is>
      </c>
      <c r="B1157" s="1" t="n">
        <v>45062</v>
      </c>
      <c r="C1157" s="1" t="n">
        <v>46035</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10277-2023</t>
        </is>
      </c>
      <c r="B1158" s="1" t="n">
        <v>44986</v>
      </c>
      <c r="C1158" s="1" t="n">
        <v>46035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10290-2023</t>
        </is>
      </c>
      <c r="B1159" s="1" t="n">
        <v>44986</v>
      </c>
      <c r="C1159" s="1" t="n">
        <v>46035</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6619-2024</t>
        </is>
      </c>
      <c r="B1160" s="1" t="n">
        <v>45341.6021412037</v>
      </c>
      <c r="C1160" s="1" t="n">
        <v>46035</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20666-2023</t>
        </is>
      </c>
      <c r="B1161" s="1" t="n">
        <v>45058.35664351852</v>
      </c>
      <c r="C1161" s="1" t="n">
        <v>46035</v>
      </c>
      <c r="D1161" t="inlineStr">
        <is>
          <t>SKÅNE LÄN</t>
        </is>
      </c>
      <c r="E1161" t="inlineStr">
        <is>
          <t>HÄSSLEHOLM</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19593-2023</t>
        </is>
      </c>
      <c r="B1162" s="1" t="n">
        <v>45050.75895833333</v>
      </c>
      <c r="C1162" s="1" t="n">
        <v>46035</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7494-2023</t>
        </is>
      </c>
      <c r="B1163" s="1" t="n">
        <v>44971.70835648148</v>
      </c>
      <c r="C1163" s="1" t="n">
        <v>46035</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6087-2025</t>
        </is>
      </c>
      <c r="B1164" s="1" t="n">
        <v>45697.69782407407</v>
      </c>
      <c r="C1164" s="1" t="n">
        <v>46035</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50571-2023</t>
        </is>
      </c>
      <c r="B1165" s="1" t="n">
        <v>45217.38359953704</v>
      </c>
      <c r="C1165" s="1" t="n">
        <v>46035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18041-2023</t>
        </is>
      </c>
      <c r="B1166" s="1" t="n">
        <v>45040</v>
      </c>
      <c r="C1166" s="1" t="n">
        <v>46035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16950-2025</t>
        </is>
      </c>
      <c r="B1167" s="1" t="n">
        <v>45755</v>
      </c>
      <c r="C1167" s="1" t="n">
        <v>46035</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58618-2024</t>
        </is>
      </c>
      <c r="B1168" s="1" t="n">
        <v>45635.56150462963</v>
      </c>
      <c r="C1168" s="1" t="n">
        <v>46035</v>
      </c>
      <c r="D1168" t="inlineStr">
        <is>
          <t>SKÅNE LÄN</t>
        </is>
      </c>
      <c r="E1168" t="inlineStr">
        <is>
          <t>HÄSSLEHOLM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52337-2023</t>
        </is>
      </c>
      <c r="B1169" s="1" t="n">
        <v>45224.66359953704</v>
      </c>
      <c r="C1169" s="1" t="n">
        <v>46035</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c r="A1170" t="inlineStr">
        <is>
          <t>A 13084-2025</t>
        </is>
      </c>
      <c r="B1170" s="1" t="n">
        <v>45734</v>
      </c>
      <c r="C1170" s="1" t="n">
        <v>46035</v>
      </c>
      <c r="D1170" t="inlineStr">
        <is>
          <t>SKÅNE LÄN</t>
        </is>
      </c>
      <c r="E1170" t="inlineStr">
        <is>
          <t>HÄSSLEHOLM</t>
        </is>
      </c>
      <c r="G1170" t="n">
        <v>2.3</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2026-01-13T10:47:44Z</dcterms:created>
  <dcterms:modified xmlns:dcterms="http://purl.org/dc/terms/" xmlns:xsi="http://www.w3.org/2001/XMLSchema-instance" xsi:type="dcterms:W3CDTF">2026-01-13T10:47:52Z</dcterms:modified>
</cp:coreProperties>
</file>