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46053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46053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46053</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46053</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46053</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46053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46053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46053</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46053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8253-2025</t>
        </is>
      </c>
      <c r="B11" s="1" t="n">
        <v>45708.49460648148</v>
      </c>
      <c r="C11" s="1" t="n">
        <v>46053</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46053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45673.380625</v>
      </c>
      <c r="C13" s="1" t="n">
        <v>46053</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28736-2025</t>
        </is>
      </c>
      <c r="B14" s="1" t="n">
        <v>45820.3816087963</v>
      </c>
      <c r="C14" s="1" t="n">
        <v>46053</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46053</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46053</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13705-2022</t>
        </is>
      </c>
      <c r="B17" s="1" t="n">
        <v>44648</v>
      </c>
      <c r="C17" s="1" t="n">
        <v>46053</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46602-2023</t>
        </is>
      </c>
      <c r="B18" s="1" t="n">
        <v>45194</v>
      </c>
      <c r="C18" s="1" t="n">
        <v>46053</v>
      </c>
      <c r="D18" t="inlineStr">
        <is>
          <t>SKÅNE LÄN</t>
        </is>
      </c>
      <c r="E18" t="inlineStr">
        <is>
          <t>HÄSSLEHOLM</t>
        </is>
      </c>
      <c r="G18" t="n">
        <v>7.3</v>
      </c>
      <c r="H18" t="n">
        <v>0</v>
      </c>
      <c r="I18" t="n">
        <v>0</v>
      </c>
      <c r="J18" t="n">
        <v>0</v>
      </c>
      <c r="K18" t="n">
        <v>1</v>
      </c>
      <c r="L18" t="n">
        <v>0</v>
      </c>
      <c r="M18" t="n">
        <v>0</v>
      </c>
      <c r="N18" t="n">
        <v>0</v>
      </c>
      <c r="O18" t="n">
        <v>1</v>
      </c>
      <c r="P18" t="n">
        <v>1</v>
      </c>
      <c r="Q18" t="n">
        <v>1</v>
      </c>
      <c r="R18" s="2" t="inlineStr">
        <is>
          <t>Lungrot</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7862-2024</t>
        </is>
      </c>
      <c r="B19" s="1" t="n">
        <v>45348</v>
      </c>
      <c r="C19" s="1" t="n">
        <v>46053</v>
      </c>
      <c r="D19" t="inlineStr">
        <is>
          <t>SKÅNE LÄN</t>
        </is>
      </c>
      <c r="E19" t="inlineStr">
        <is>
          <t>HÄSSLEHOLM</t>
        </is>
      </c>
      <c r="G19" t="n">
        <v>5</v>
      </c>
      <c r="H19" t="n">
        <v>0</v>
      </c>
      <c r="I19" t="n">
        <v>1</v>
      </c>
      <c r="J19" t="n">
        <v>0</v>
      </c>
      <c r="K19" t="n">
        <v>0</v>
      </c>
      <c r="L19" t="n">
        <v>0</v>
      </c>
      <c r="M19" t="n">
        <v>0</v>
      </c>
      <c r="N19" t="n">
        <v>0</v>
      </c>
      <c r="O19" t="n">
        <v>0</v>
      </c>
      <c r="P19" t="n">
        <v>0</v>
      </c>
      <c r="Q19" t="n">
        <v>1</v>
      </c>
      <c r="R19" s="2" t="inlineStr">
        <is>
          <t>Stor revmossa</t>
        </is>
      </c>
      <c r="S19">
        <f>HYPERLINK("https://klasma.github.io/Logging_1293/artfynd/A 7862-2024 artfynd.xlsx", "A 7862-2024")</f>
        <v/>
      </c>
      <c r="T19">
        <f>HYPERLINK("https://klasma.github.io/Logging_1293/kartor/A 7862-2024 karta.png", "A 7862-2024")</f>
        <v/>
      </c>
      <c r="V19">
        <f>HYPERLINK("https://klasma.github.io/Logging_1293/klagomål/A 7862-2024 FSC-klagomål.docx", "A 7862-2024")</f>
        <v/>
      </c>
      <c r="W19">
        <f>HYPERLINK("https://klasma.github.io/Logging_1293/klagomålsmail/A 7862-2024 FSC-klagomål mail.docx", "A 7862-2024")</f>
        <v/>
      </c>
      <c r="X19">
        <f>HYPERLINK("https://klasma.github.io/Logging_1293/tillsyn/A 7862-2024 tillsynsbegäran.docx", "A 7862-2024")</f>
        <v/>
      </c>
      <c r="Y19">
        <f>HYPERLINK("https://klasma.github.io/Logging_1293/tillsynsmail/A 7862-2024 tillsynsbegäran mail.docx", "A 7862-2024")</f>
        <v/>
      </c>
    </row>
    <row r="20" ht="15" customHeight="1">
      <c r="A20" t="inlineStr">
        <is>
          <t>A 20280-2025</t>
        </is>
      </c>
      <c r="B20" s="1" t="n">
        <v>45774.38790509259</v>
      </c>
      <c r="C20" s="1" t="n">
        <v>46053</v>
      </c>
      <c r="D20" t="inlineStr">
        <is>
          <t>SKÅNE LÄN</t>
        </is>
      </c>
      <c r="E20" t="inlineStr">
        <is>
          <t>HÄSSLEHOLM</t>
        </is>
      </c>
      <c r="G20" t="n">
        <v>3</v>
      </c>
      <c r="H20" t="n">
        <v>0</v>
      </c>
      <c r="I20" t="n">
        <v>0</v>
      </c>
      <c r="J20" t="n">
        <v>0</v>
      </c>
      <c r="K20" t="n">
        <v>1</v>
      </c>
      <c r="L20" t="n">
        <v>0</v>
      </c>
      <c r="M20" t="n">
        <v>0</v>
      </c>
      <c r="N20" t="n">
        <v>0</v>
      </c>
      <c r="O20" t="n">
        <v>1</v>
      </c>
      <c r="P20" t="n">
        <v>1</v>
      </c>
      <c r="Q20" t="n">
        <v>1</v>
      </c>
      <c r="R20" s="2" t="inlineStr">
        <is>
          <t>Revig blodrot</t>
        </is>
      </c>
      <c r="S20">
        <f>HYPERLINK("https://klasma.github.io/Logging_1293/artfynd/A 20280-2025 artfynd.xlsx", "A 20280-2025")</f>
        <v/>
      </c>
      <c r="T20">
        <f>HYPERLINK("https://klasma.github.io/Logging_1293/kartor/A 20280-2025 karta.png", "A 20280-2025")</f>
        <v/>
      </c>
      <c r="V20">
        <f>HYPERLINK("https://klasma.github.io/Logging_1293/klagomål/A 20280-2025 FSC-klagomål.docx", "A 20280-2025")</f>
        <v/>
      </c>
      <c r="W20">
        <f>HYPERLINK("https://klasma.github.io/Logging_1293/klagomålsmail/A 20280-2025 FSC-klagomål mail.docx", "A 20280-2025")</f>
        <v/>
      </c>
      <c r="X20">
        <f>HYPERLINK("https://klasma.github.io/Logging_1293/tillsyn/A 20280-2025 tillsynsbegäran.docx", "A 20280-2025")</f>
        <v/>
      </c>
      <c r="Y20">
        <f>HYPERLINK("https://klasma.github.io/Logging_1293/tillsynsmail/A 20280-2025 tillsynsbegäran mail.docx", "A 20280-2025")</f>
        <v/>
      </c>
    </row>
    <row r="21" ht="15" customHeight="1">
      <c r="A21" t="inlineStr">
        <is>
          <t>A 61707-2024</t>
        </is>
      </c>
      <c r="B21" s="1" t="n">
        <v>45648.61747685185</v>
      </c>
      <c r="C21" s="1" t="n">
        <v>46053</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43874-2022</t>
        </is>
      </c>
      <c r="B22" s="1" t="n">
        <v>44838.44738425926</v>
      </c>
      <c r="C22" s="1" t="n">
        <v>46053</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6634-2024</t>
        </is>
      </c>
      <c r="B23" s="1" t="n">
        <v>45341</v>
      </c>
      <c r="C23" s="1" t="n">
        <v>46053</v>
      </c>
      <c r="D23" t="inlineStr">
        <is>
          <t>SKÅNE LÄN</t>
        </is>
      </c>
      <c r="E23" t="inlineStr">
        <is>
          <t>HÄSSLEHOLM</t>
        </is>
      </c>
      <c r="G23" t="n">
        <v>1.9</v>
      </c>
      <c r="H23" t="n">
        <v>0</v>
      </c>
      <c r="I23" t="n">
        <v>0</v>
      </c>
      <c r="J23" t="n">
        <v>0</v>
      </c>
      <c r="K23" t="n">
        <v>1</v>
      </c>
      <c r="L23" t="n">
        <v>0</v>
      </c>
      <c r="M23" t="n">
        <v>0</v>
      </c>
      <c r="N23" t="n">
        <v>0</v>
      </c>
      <c r="O23" t="n">
        <v>1</v>
      </c>
      <c r="P23" t="n">
        <v>1</v>
      </c>
      <c r="Q23" t="n">
        <v>1</v>
      </c>
      <c r="R23" s="2" t="inlineStr">
        <is>
          <t>Revig blodrot</t>
        </is>
      </c>
      <c r="S23">
        <f>HYPERLINK("https://klasma.github.io/Logging_1293/artfynd/A 6634-2024 artfynd.xlsx", "A 6634-2024")</f>
        <v/>
      </c>
      <c r="T23">
        <f>HYPERLINK("https://klasma.github.io/Logging_1293/kartor/A 6634-2024 karta.png", "A 6634-2024")</f>
        <v/>
      </c>
      <c r="V23">
        <f>HYPERLINK("https://klasma.github.io/Logging_1293/klagomål/A 6634-2024 FSC-klagomål.docx", "A 6634-2024")</f>
        <v/>
      </c>
      <c r="W23">
        <f>HYPERLINK("https://klasma.github.io/Logging_1293/klagomålsmail/A 6634-2024 FSC-klagomål mail.docx", "A 6634-2024")</f>
        <v/>
      </c>
      <c r="X23">
        <f>HYPERLINK("https://klasma.github.io/Logging_1293/tillsyn/A 6634-2024 tillsynsbegäran.docx", "A 6634-2024")</f>
        <v/>
      </c>
      <c r="Y23">
        <f>HYPERLINK("https://klasma.github.io/Logging_1293/tillsynsmail/A 6634-2024 tillsynsbegäran mail.docx", "A 6634-2024")</f>
        <v/>
      </c>
    </row>
    <row r="24" ht="15" customHeight="1">
      <c r="A24" t="inlineStr">
        <is>
          <t>A 40613-2025</t>
        </is>
      </c>
      <c r="B24" s="1" t="n">
        <v>45896</v>
      </c>
      <c r="C24" s="1" t="n">
        <v>46053</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60925-2024</t>
        </is>
      </c>
      <c r="B25" s="1" t="n">
        <v>45645.3550462963</v>
      </c>
      <c r="C25" s="1" t="n">
        <v>46053</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54523-2024</t>
        </is>
      </c>
      <c r="B26" s="1" t="n">
        <v>45617</v>
      </c>
      <c r="C26" s="1" t="n">
        <v>46053</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46053</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4619-2025</t>
        </is>
      </c>
      <c r="B28" s="1" t="n">
        <v>45687</v>
      </c>
      <c r="C28" s="1" t="n">
        <v>46053</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9289-2025</t>
        </is>
      </c>
      <c r="B29" s="1" t="n">
        <v>45714</v>
      </c>
      <c r="C29" s="1" t="n">
        <v>46053</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14933-2023</t>
        </is>
      </c>
      <c r="B30" s="1" t="n">
        <v>45014</v>
      </c>
      <c r="C30" s="1" t="n">
        <v>46053</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8223-2025</t>
        </is>
      </c>
      <c r="B31" s="1" t="n">
        <v>45708.46127314815</v>
      </c>
      <c r="C31" s="1" t="n">
        <v>46053</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36690-2025</t>
        </is>
      </c>
      <c r="B32" s="1" t="n">
        <v>45873.42915509259</v>
      </c>
      <c r="C32" s="1" t="n">
        <v>46053</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57533-2025</t>
        </is>
      </c>
      <c r="B33" s="1" t="n">
        <v>45980.63923611111</v>
      </c>
      <c r="C33" s="1" t="n">
        <v>46053</v>
      </c>
      <c r="D33" t="inlineStr">
        <is>
          <t>SKÅNE LÄN</t>
        </is>
      </c>
      <c r="E33" t="inlineStr">
        <is>
          <t>HÄSSLEHOLM</t>
        </is>
      </c>
      <c r="G33" t="n">
        <v>0.9</v>
      </c>
      <c r="H33" t="n">
        <v>0</v>
      </c>
      <c r="I33" t="n">
        <v>1</v>
      </c>
      <c r="J33" t="n">
        <v>0</v>
      </c>
      <c r="K33" t="n">
        <v>0</v>
      </c>
      <c r="L33" t="n">
        <v>0</v>
      </c>
      <c r="M33" t="n">
        <v>0</v>
      </c>
      <c r="N33" t="n">
        <v>0</v>
      </c>
      <c r="O33" t="n">
        <v>0</v>
      </c>
      <c r="P33" t="n">
        <v>0</v>
      </c>
      <c r="Q33" t="n">
        <v>1</v>
      </c>
      <c r="R33" s="2" t="inlineStr">
        <is>
          <t>Strutbräken</t>
        </is>
      </c>
      <c r="S33">
        <f>HYPERLINK("https://klasma.github.io/Logging_1293/artfynd/A 57533-2025 artfynd.xlsx", "A 57533-2025")</f>
        <v/>
      </c>
      <c r="T33">
        <f>HYPERLINK("https://klasma.github.io/Logging_1293/kartor/A 57533-2025 karta.png", "A 57533-2025")</f>
        <v/>
      </c>
      <c r="V33">
        <f>HYPERLINK("https://klasma.github.io/Logging_1293/klagomål/A 57533-2025 FSC-klagomål.docx", "A 57533-2025")</f>
        <v/>
      </c>
      <c r="W33">
        <f>HYPERLINK("https://klasma.github.io/Logging_1293/klagomålsmail/A 57533-2025 FSC-klagomål mail.docx", "A 57533-2025")</f>
        <v/>
      </c>
      <c r="X33">
        <f>HYPERLINK("https://klasma.github.io/Logging_1293/tillsyn/A 57533-2025 tillsynsbegäran.docx", "A 57533-2025")</f>
        <v/>
      </c>
      <c r="Y33">
        <f>HYPERLINK("https://klasma.github.io/Logging_1293/tillsynsmail/A 57533-2025 tillsynsbegäran mail.docx", "A 57533-2025")</f>
        <v/>
      </c>
    </row>
    <row r="34" ht="15" customHeight="1">
      <c r="A34" t="inlineStr">
        <is>
          <t>A 16107-2025</t>
        </is>
      </c>
      <c r="B34" s="1" t="n">
        <v>45750.34537037037</v>
      </c>
      <c r="C34" s="1" t="n">
        <v>46053</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49572-2022</t>
        </is>
      </c>
      <c r="B35" s="1" t="n">
        <v>44862.335</v>
      </c>
      <c r="C35" s="1" t="n">
        <v>46053</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29272-2023</t>
        </is>
      </c>
      <c r="B36" s="1" t="n">
        <v>45105</v>
      </c>
      <c r="C36" s="1" t="n">
        <v>46053</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7655-2021</t>
        </is>
      </c>
      <c r="B37" s="1" t="n">
        <v>44242</v>
      </c>
      <c r="C37" s="1" t="n">
        <v>46053</v>
      </c>
      <c r="D37" t="inlineStr">
        <is>
          <t>SKÅNE LÄN</t>
        </is>
      </c>
      <c r="E37" t="inlineStr">
        <is>
          <t>HÄSSLEHOLM</t>
        </is>
      </c>
      <c r="G37" t="n">
        <v>0.8</v>
      </c>
      <c r="H37" t="n">
        <v>0</v>
      </c>
      <c r="I37" t="n">
        <v>0</v>
      </c>
      <c r="J37" t="n">
        <v>0</v>
      </c>
      <c r="K37" t="n">
        <v>0</v>
      </c>
      <c r="L37" t="n">
        <v>0</v>
      </c>
      <c r="M37" t="n">
        <v>0</v>
      </c>
      <c r="N37" t="n">
        <v>0</v>
      </c>
      <c r="O37" t="n">
        <v>0</v>
      </c>
      <c r="P37" t="n">
        <v>0</v>
      </c>
      <c r="Q37" t="n">
        <v>0</v>
      </c>
      <c r="R37" s="2" t="inlineStr"/>
    </row>
    <row r="38" ht="15" customHeight="1">
      <c r="A38" t="inlineStr">
        <is>
          <t>A 37457-2022</t>
        </is>
      </c>
      <c r="B38" s="1" t="n">
        <v>44809</v>
      </c>
      <c r="C38" s="1" t="n">
        <v>46053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46053</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46053</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18011-2021</t>
        </is>
      </c>
      <c r="B41" s="1" t="n">
        <v>44302.28030092592</v>
      </c>
      <c r="C41" s="1" t="n">
        <v>46053</v>
      </c>
      <c r="D41" t="inlineStr">
        <is>
          <t>SKÅNE LÄN</t>
        </is>
      </c>
      <c r="E41" t="inlineStr">
        <is>
          <t>HÄSSLEHOLM</t>
        </is>
      </c>
      <c r="G41" t="n">
        <v>0.4</v>
      </c>
      <c r="H41" t="n">
        <v>0</v>
      </c>
      <c r="I41" t="n">
        <v>0</v>
      </c>
      <c r="J41" t="n">
        <v>0</v>
      </c>
      <c r="K41" t="n">
        <v>0</v>
      </c>
      <c r="L41" t="n">
        <v>0</v>
      </c>
      <c r="M41" t="n">
        <v>0</v>
      </c>
      <c r="N41" t="n">
        <v>0</v>
      </c>
      <c r="O41" t="n">
        <v>0</v>
      </c>
      <c r="P41" t="n">
        <v>0</v>
      </c>
      <c r="Q41" t="n">
        <v>0</v>
      </c>
      <c r="R41" s="2" t="inlineStr"/>
    </row>
    <row r="42" ht="15" customHeight="1">
      <c r="A42" t="inlineStr">
        <is>
          <t>A 22907-2021</t>
        </is>
      </c>
      <c r="B42" s="1" t="n">
        <v>44328.48032407407</v>
      </c>
      <c r="C42" s="1" t="n">
        <v>46053</v>
      </c>
      <c r="D42" t="inlineStr">
        <is>
          <t>SKÅNE LÄN</t>
        </is>
      </c>
      <c r="E42" t="inlineStr">
        <is>
          <t>HÄSSLEHOLM</t>
        </is>
      </c>
      <c r="G42" t="n">
        <v>0.5</v>
      </c>
      <c r="H42" t="n">
        <v>0</v>
      </c>
      <c r="I42" t="n">
        <v>0</v>
      </c>
      <c r="J42" t="n">
        <v>0</v>
      </c>
      <c r="K42" t="n">
        <v>0</v>
      </c>
      <c r="L42" t="n">
        <v>0</v>
      </c>
      <c r="M42" t="n">
        <v>0</v>
      </c>
      <c r="N42" t="n">
        <v>0</v>
      </c>
      <c r="O42" t="n">
        <v>0</v>
      </c>
      <c r="P42" t="n">
        <v>0</v>
      </c>
      <c r="Q42" t="n">
        <v>0</v>
      </c>
      <c r="R42" s="2" t="inlineStr"/>
    </row>
    <row r="43" ht="15" customHeight="1">
      <c r="A43" t="inlineStr">
        <is>
          <t>A 44794-2021</t>
        </is>
      </c>
      <c r="B43" s="1" t="n">
        <v>44438</v>
      </c>
      <c r="C43" s="1" t="n">
        <v>46053</v>
      </c>
      <c r="D43" t="inlineStr">
        <is>
          <t>SKÅNE LÄN</t>
        </is>
      </c>
      <c r="E43" t="inlineStr">
        <is>
          <t>HÄSSLEHOLM</t>
        </is>
      </c>
      <c r="G43" t="n">
        <v>0.3</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46053</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55155-2022</t>
        </is>
      </c>
      <c r="B45" s="1" t="n">
        <v>44886.68671296296</v>
      </c>
      <c r="C45" s="1" t="n">
        <v>46053</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35099-2022</t>
        </is>
      </c>
      <c r="B46" s="1" t="n">
        <v>44797</v>
      </c>
      <c r="C46" s="1" t="n">
        <v>46053</v>
      </c>
      <c r="D46" t="inlineStr">
        <is>
          <t>SKÅNE LÄN</t>
        </is>
      </c>
      <c r="E46" t="inlineStr">
        <is>
          <t>HÄSSLEHOLM</t>
        </is>
      </c>
      <c r="G46" t="n">
        <v>4.1</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46053</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54178-2021</t>
        </is>
      </c>
      <c r="B48" s="1" t="n">
        <v>44470</v>
      </c>
      <c r="C48" s="1" t="n">
        <v>46053</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46053</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46053</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46053</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46053</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46053</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46053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46053</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46053</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46053</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46053</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46053</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46053</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14402-2022</t>
        </is>
      </c>
      <c r="B61" s="1" t="n">
        <v>44652</v>
      </c>
      <c r="C61" s="1" t="n">
        <v>46053</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46053</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46053</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46053</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24496-2021</t>
        </is>
      </c>
      <c r="B65" s="1" t="n">
        <v>44337</v>
      </c>
      <c r="C65" s="1" t="n">
        <v>46053</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46053</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46053</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46053</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46053</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46053</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46053</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46053</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46053</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46053</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46053</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46053</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46053</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46053</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46053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46053</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46053</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46053</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46053</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46053</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46053</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46053</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46053</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46053</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46053</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46053</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46053</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46053</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46053</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46053</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46053</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6962-2021</t>
        </is>
      </c>
      <c r="B96" s="1" t="n">
        <v>44237</v>
      </c>
      <c r="C96" s="1" t="n">
        <v>46053</v>
      </c>
      <c r="D96" t="inlineStr">
        <is>
          <t>SKÅNE LÄN</t>
        </is>
      </c>
      <c r="E96" t="inlineStr">
        <is>
          <t>HÄSSLEHOLM</t>
        </is>
      </c>
      <c r="G96" t="n">
        <v>4.2</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46053</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7522-2021</t>
        </is>
      </c>
      <c r="B98" s="1" t="n">
        <v>44238</v>
      </c>
      <c r="C98" s="1" t="n">
        <v>46053</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3277-2022</t>
        </is>
      </c>
      <c r="B99" s="1" t="n">
        <v>44584.41274305555</v>
      </c>
      <c r="C99" s="1" t="n">
        <v>46053</v>
      </c>
      <c r="D99" t="inlineStr">
        <is>
          <t>SKÅNE LÄN</t>
        </is>
      </c>
      <c r="E99" t="inlineStr">
        <is>
          <t>HÄSSLEHOLM</t>
        </is>
      </c>
      <c r="G99" t="n">
        <v>0.2</v>
      </c>
      <c r="H99" t="n">
        <v>0</v>
      </c>
      <c r="I99" t="n">
        <v>0</v>
      </c>
      <c r="J99" t="n">
        <v>0</v>
      </c>
      <c r="K99" t="n">
        <v>0</v>
      </c>
      <c r="L99" t="n">
        <v>0</v>
      </c>
      <c r="M99" t="n">
        <v>0</v>
      </c>
      <c r="N99" t="n">
        <v>0</v>
      </c>
      <c r="O99" t="n">
        <v>0</v>
      </c>
      <c r="P99" t="n">
        <v>0</v>
      </c>
      <c r="Q99" t="n">
        <v>0</v>
      </c>
      <c r="R99" s="2" t="inlineStr"/>
    </row>
    <row r="100" ht="15" customHeight="1">
      <c r="A100" t="inlineStr">
        <is>
          <t>A 22320-2021</t>
        </is>
      </c>
      <c r="B100" s="1" t="n">
        <v>44323</v>
      </c>
      <c r="C100" s="1" t="n">
        <v>46053</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8278-2021</t>
        </is>
      </c>
      <c r="B101" s="1" t="n">
        <v>44244</v>
      </c>
      <c r="C101" s="1" t="n">
        <v>46053</v>
      </c>
      <c r="D101" t="inlineStr">
        <is>
          <t>SKÅNE LÄN</t>
        </is>
      </c>
      <c r="E101" t="inlineStr">
        <is>
          <t>HÄSSLEHOLM</t>
        </is>
      </c>
      <c r="F101" t="inlineStr">
        <is>
          <t>Kyrkan</t>
        </is>
      </c>
      <c r="G101" t="n">
        <v>1.4</v>
      </c>
      <c r="H101" t="n">
        <v>0</v>
      </c>
      <c r="I101" t="n">
        <v>0</v>
      </c>
      <c r="J101" t="n">
        <v>0</v>
      </c>
      <c r="K101" t="n">
        <v>0</v>
      </c>
      <c r="L101" t="n">
        <v>0</v>
      </c>
      <c r="M101" t="n">
        <v>0</v>
      </c>
      <c r="N101" t="n">
        <v>0</v>
      </c>
      <c r="O101" t="n">
        <v>0</v>
      </c>
      <c r="P101" t="n">
        <v>0</v>
      </c>
      <c r="Q101" t="n">
        <v>0</v>
      </c>
      <c r="R101" s="2" t="inlineStr"/>
    </row>
    <row r="102" ht="15" customHeight="1">
      <c r="A102" t="inlineStr">
        <is>
          <t>A 14054-2021</t>
        </is>
      </c>
      <c r="B102" s="1" t="n">
        <v>44277</v>
      </c>
      <c r="C102" s="1" t="n">
        <v>46053</v>
      </c>
      <c r="D102" t="inlineStr">
        <is>
          <t>SKÅNE LÄN</t>
        </is>
      </c>
      <c r="E102" t="inlineStr">
        <is>
          <t>HÄSSLEHOLM</t>
        </is>
      </c>
      <c r="G102" t="n">
        <v>2</v>
      </c>
      <c r="H102" t="n">
        <v>0</v>
      </c>
      <c r="I102" t="n">
        <v>0</v>
      </c>
      <c r="J102" t="n">
        <v>0</v>
      </c>
      <c r="K102" t="n">
        <v>0</v>
      </c>
      <c r="L102" t="n">
        <v>0</v>
      </c>
      <c r="M102" t="n">
        <v>0</v>
      </c>
      <c r="N102" t="n">
        <v>0</v>
      </c>
      <c r="O102" t="n">
        <v>0</v>
      </c>
      <c r="P102" t="n">
        <v>0</v>
      </c>
      <c r="Q102" t="n">
        <v>0</v>
      </c>
      <c r="R102" s="2" t="inlineStr"/>
    </row>
    <row r="103" ht="15" customHeight="1">
      <c r="A103" t="inlineStr">
        <is>
          <t>A 9257-2021</t>
        </is>
      </c>
      <c r="B103" s="1" t="n">
        <v>44250</v>
      </c>
      <c r="C103" s="1" t="n">
        <v>46053</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4156-2022</t>
        </is>
      </c>
      <c r="B104" s="1" t="n">
        <v>44588</v>
      </c>
      <c r="C104" s="1" t="n">
        <v>46053</v>
      </c>
      <c r="D104" t="inlineStr">
        <is>
          <t>SKÅNE LÄN</t>
        </is>
      </c>
      <c r="E104" t="inlineStr">
        <is>
          <t>HÄSSLEHOLM</t>
        </is>
      </c>
      <c r="G104" t="n">
        <v>0.8</v>
      </c>
      <c r="H104" t="n">
        <v>0</v>
      </c>
      <c r="I104" t="n">
        <v>0</v>
      </c>
      <c r="J104" t="n">
        <v>0</v>
      </c>
      <c r="K104" t="n">
        <v>0</v>
      </c>
      <c r="L104" t="n">
        <v>0</v>
      </c>
      <c r="M104" t="n">
        <v>0</v>
      </c>
      <c r="N104" t="n">
        <v>0</v>
      </c>
      <c r="O104" t="n">
        <v>0</v>
      </c>
      <c r="P104" t="n">
        <v>0</v>
      </c>
      <c r="Q104" t="n">
        <v>0</v>
      </c>
      <c r="R104" s="2" t="inlineStr"/>
    </row>
    <row r="105" ht="15" customHeight="1">
      <c r="A105" t="inlineStr">
        <is>
          <t>A 19449-2021</t>
        </is>
      </c>
      <c r="B105" s="1" t="n">
        <v>44310.88846064815</v>
      </c>
      <c r="C105" s="1" t="n">
        <v>46053</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41581-2021</t>
        </is>
      </c>
      <c r="B106" s="1" t="n">
        <v>44425.40167824074</v>
      </c>
      <c r="C106" s="1" t="n">
        <v>46053</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44328-2021</t>
        </is>
      </c>
      <c r="B107" s="1" t="n">
        <v>44435</v>
      </c>
      <c r="C107" s="1" t="n">
        <v>46053</v>
      </c>
      <c r="D107" t="inlineStr">
        <is>
          <t>SKÅNE LÄN</t>
        </is>
      </c>
      <c r="E107" t="inlineStr">
        <is>
          <t>HÄSSLEHOLM</t>
        </is>
      </c>
      <c r="G107" t="n">
        <v>2.7</v>
      </c>
      <c r="H107" t="n">
        <v>0</v>
      </c>
      <c r="I107" t="n">
        <v>0</v>
      </c>
      <c r="J107" t="n">
        <v>0</v>
      </c>
      <c r="K107" t="n">
        <v>0</v>
      </c>
      <c r="L107" t="n">
        <v>0</v>
      </c>
      <c r="M107" t="n">
        <v>0</v>
      </c>
      <c r="N107" t="n">
        <v>0</v>
      </c>
      <c r="O107" t="n">
        <v>0</v>
      </c>
      <c r="P107" t="n">
        <v>0</v>
      </c>
      <c r="Q107" t="n">
        <v>0</v>
      </c>
      <c r="R107" s="2" t="inlineStr"/>
    </row>
    <row r="108" ht="15" customHeight="1">
      <c r="A108" t="inlineStr">
        <is>
          <t>A 34684-2021</t>
        </is>
      </c>
      <c r="B108" s="1" t="n">
        <v>44382</v>
      </c>
      <c r="C108" s="1" t="n">
        <v>46053</v>
      </c>
      <c r="D108" t="inlineStr">
        <is>
          <t>SKÅNE LÄN</t>
        </is>
      </c>
      <c r="E108" t="inlineStr">
        <is>
          <t>HÄSSLEHOLM</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74293-2021</t>
        </is>
      </c>
      <c r="B109" s="1" t="n">
        <v>44558</v>
      </c>
      <c r="C109" s="1" t="n">
        <v>46053</v>
      </c>
      <c r="D109" t="inlineStr">
        <is>
          <t>SKÅNE LÄN</t>
        </is>
      </c>
      <c r="E109" t="inlineStr">
        <is>
          <t>HÄSSLEHOLM</t>
        </is>
      </c>
      <c r="F109" t="inlineStr">
        <is>
          <t>Kyrkan</t>
        </is>
      </c>
      <c r="G109" t="n">
        <v>3.3</v>
      </c>
      <c r="H109" t="n">
        <v>0</v>
      </c>
      <c r="I109" t="n">
        <v>0</v>
      </c>
      <c r="J109" t="n">
        <v>0</v>
      </c>
      <c r="K109" t="n">
        <v>0</v>
      </c>
      <c r="L109" t="n">
        <v>0</v>
      </c>
      <c r="M109" t="n">
        <v>0</v>
      </c>
      <c r="N109" t="n">
        <v>0</v>
      </c>
      <c r="O109" t="n">
        <v>0</v>
      </c>
      <c r="P109" t="n">
        <v>0</v>
      </c>
      <c r="Q109" t="n">
        <v>0</v>
      </c>
      <c r="R109" s="2" t="inlineStr"/>
    </row>
    <row r="110" ht="15" customHeight="1">
      <c r="A110" t="inlineStr">
        <is>
          <t>A 46217-2022</t>
        </is>
      </c>
      <c r="B110" s="1" t="n">
        <v>44846</v>
      </c>
      <c r="C110" s="1" t="n">
        <v>46053</v>
      </c>
      <c r="D110" t="inlineStr">
        <is>
          <t>SKÅNE LÄN</t>
        </is>
      </c>
      <c r="E110" t="inlineStr">
        <is>
          <t>HÄSSLEHOLM</t>
        </is>
      </c>
      <c r="G110" t="n">
        <v>3.1</v>
      </c>
      <c r="H110" t="n">
        <v>0</v>
      </c>
      <c r="I110" t="n">
        <v>0</v>
      </c>
      <c r="J110" t="n">
        <v>0</v>
      </c>
      <c r="K110" t="n">
        <v>0</v>
      </c>
      <c r="L110" t="n">
        <v>0</v>
      </c>
      <c r="M110" t="n">
        <v>0</v>
      </c>
      <c r="N110" t="n">
        <v>0</v>
      </c>
      <c r="O110" t="n">
        <v>0</v>
      </c>
      <c r="P110" t="n">
        <v>0</v>
      </c>
      <c r="Q110" t="n">
        <v>0</v>
      </c>
      <c r="R110" s="2" t="inlineStr"/>
    </row>
    <row r="111" ht="15" customHeight="1">
      <c r="A111" t="inlineStr">
        <is>
          <t>A 45349-2022</t>
        </is>
      </c>
      <c r="B111" s="1" t="n">
        <v>44844.6118287037</v>
      </c>
      <c r="C111" s="1" t="n">
        <v>46053</v>
      </c>
      <c r="D111" t="inlineStr">
        <is>
          <t>SKÅNE LÄN</t>
        </is>
      </c>
      <c r="E111" t="inlineStr">
        <is>
          <t>HÄSSLEHOLM</t>
        </is>
      </c>
      <c r="G111" t="n">
        <v>6.2</v>
      </c>
      <c r="H111" t="n">
        <v>0</v>
      </c>
      <c r="I111" t="n">
        <v>0</v>
      </c>
      <c r="J111" t="n">
        <v>0</v>
      </c>
      <c r="K111" t="n">
        <v>0</v>
      </c>
      <c r="L111" t="n">
        <v>0</v>
      </c>
      <c r="M111" t="n">
        <v>0</v>
      </c>
      <c r="N111" t="n">
        <v>0</v>
      </c>
      <c r="O111" t="n">
        <v>0</v>
      </c>
      <c r="P111" t="n">
        <v>0</v>
      </c>
      <c r="Q111" t="n">
        <v>0</v>
      </c>
      <c r="R111" s="2" t="inlineStr"/>
    </row>
    <row r="112" ht="15" customHeight="1">
      <c r="A112" t="inlineStr">
        <is>
          <t>A 15118-2022</t>
        </is>
      </c>
      <c r="B112" s="1" t="n">
        <v>44659</v>
      </c>
      <c r="C112" s="1" t="n">
        <v>46053</v>
      </c>
      <c r="D112" t="inlineStr">
        <is>
          <t>SKÅNE LÄN</t>
        </is>
      </c>
      <c r="E112" t="inlineStr">
        <is>
          <t>HÄSSLEHOLM</t>
        </is>
      </c>
      <c r="F112" t="inlineStr">
        <is>
          <t>Kyrkan</t>
        </is>
      </c>
      <c r="G112" t="n">
        <v>0.7</v>
      </c>
      <c r="H112" t="n">
        <v>0</v>
      </c>
      <c r="I112" t="n">
        <v>0</v>
      </c>
      <c r="J112" t="n">
        <v>0</v>
      </c>
      <c r="K112" t="n">
        <v>0</v>
      </c>
      <c r="L112" t="n">
        <v>0</v>
      </c>
      <c r="M112" t="n">
        <v>0</v>
      </c>
      <c r="N112" t="n">
        <v>0</v>
      </c>
      <c r="O112" t="n">
        <v>0</v>
      </c>
      <c r="P112" t="n">
        <v>0</v>
      </c>
      <c r="Q112" t="n">
        <v>0</v>
      </c>
      <c r="R112" s="2" t="inlineStr"/>
    </row>
    <row r="113" ht="15" customHeight="1">
      <c r="A113" t="inlineStr">
        <is>
          <t>A 43639-2021</t>
        </is>
      </c>
      <c r="B113" s="1" t="n">
        <v>44433</v>
      </c>
      <c r="C113" s="1" t="n">
        <v>46053</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7701-2021</t>
        </is>
      </c>
      <c r="B114" s="1" t="n">
        <v>44242</v>
      </c>
      <c r="C114" s="1" t="n">
        <v>46053</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52461-2021</t>
        </is>
      </c>
      <c r="B115" s="1" t="n">
        <v>44466</v>
      </c>
      <c r="C115" s="1" t="n">
        <v>46053</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3276-2022</t>
        </is>
      </c>
      <c r="B116" s="1" t="n">
        <v>44584.40916666666</v>
      </c>
      <c r="C116" s="1" t="n">
        <v>46053</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63972-2021</t>
        </is>
      </c>
      <c r="B117" s="1" t="n">
        <v>44509.89649305555</v>
      </c>
      <c r="C117" s="1" t="n">
        <v>46053</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5564-2022</t>
        </is>
      </c>
      <c r="B118" s="1" t="n">
        <v>44595</v>
      </c>
      <c r="C118" s="1" t="n">
        <v>46053</v>
      </c>
      <c r="D118" t="inlineStr">
        <is>
          <t>SKÅNE LÄN</t>
        </is>
      </c>
      <c r="E118" t="inlineStr">
        <is>
          <t>HÄSSLEHOLM</t>
        </is>
      </c>
      <c r="G118" t="n">
        <v>0.3</v>
      </c>
      <c r="H118" t="n">
        <v>0</v>
      </c>
      <c r="I118" t="n">
        <v>0</v>
      </c>
      <c r="J118" t="n">
        <v>0</v>
      </c>
      <c r="K118" t="n">
        <v>0</v>
      </c>
      <c r="L118" t="n">
        <v>0</v>
      </c>
      <c r="M118" t="n">
        <v>0</v>
      </c>
      <c r="N118" t="n">
        <v>0</v>
      </c>
      <c r="O118" t="n">
        <v>0</v>
      </c>
      <c r="P118" t="n">
        <v>0</v>
      </c>
      <c r="Q118" t="n">
        <v>0</v>
      </c>
      <c r="R118" s="2" t="inlineStr"/>
    </row>
    <row r="119" ht="15" customHeight="1">
      <c r="A119" t="inlineStr">
        <is>
          <t>A 20659-2021</t>
        </is>
      </c>
      <c r="B119" s="1" t="n">
        <v>44316</v>
      </c>
      <c r="C119" s="1" t="n">
        <v>46053</v>
      </c>
      <c r="D119" t="inlineStr">
        <is>
          <t>SKÅNE LÄN</t>
        </is>
      </c>
      <c r="E119" t="inlineStr">
        <is>
          <t>HÄSSLEHOLM</t>
        </is>
      </c>
      <c r="G119" t="n">
        <v>2.8</v>
      </c>
      <c r="H119" t="n">
        <v>0</v>
      </c>
      <c r="I119" t="n">
        <v>0</v>
      </c>
      <c r="J119" t="n">
        <v>0</v>
      </c>
      <c r="K119" t="n">
        <v>0</v>
      </c>
      <c r="L119" t="n">
        <v>0</v>
      </c>
      <c r="M119" t="n">
        <v>0</v>
      </c>
      <c r="N119" t="n">
        <v>0</v>
      </c>
      <c r="O119" t="n">
        <v>0</v>
      </c>
      <c r="P119" t="n">
        <v>0</v>
      </c>
      <c r="Q119" t="n">
        <v>0</v>
      </c>
      <c r="R119" s="2" t="inlineStr"/>
    </row>
    <row r="120" ht="15" customHeight="1">
      <c r="A120" t="inlineStr">
        <is>
          <t>A 37334-2021</t>
        </is>
      </c>
      <c r="B120" s="1" t="n">
        <v>44397.57800925926</v>
      </c>
      <c r="C120" s="1" t="n">
        <v>46053</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34027-2021</t>
        </is>
      </c>
      <c r="B121" s="1" t="n">
        <v>44379</v>
      </c>
      <c r="C121" s="1" t="n">
        <v>46053</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21535-2021</t>
        </is>
      </c>
      <c r="B122" s="1" t="n">
        <v>44321</v>
      </c>
      <c r="C122" s="1" t="n">
        <v>46053</v>
      </c>
      <c r="D122" t="inlineStr">
        <is>
          <t>SKÅNE LÄN</t>
        </is>
      </c>
      <c r="E122" t="inlineStr">
        <is>
          <t>HÄSSLEHOLM</t>
        </is>
      </c>
      <c r="G122" t="n">
        <v>2.8</v>
      </c>
      <c r="H122" t="n">
        <v>0</v>
      </c>
      <c r="I122" t="n">
        <v>0</v>
      </c>
      <c r="J122" t="n">
        <v>0</v>
      </c>
      <c r="K122" t="n">
        <v>0</v>
      </c>
      <c r="L122" t="n">
        <v>0</v>
      </c>
      <c r="M122" t="n">
        <v>0</v>
      </c>
      <c r="N122" t="n">
        <v>0</v>
      </c>
      <c r="O122" t="n">
        <v>0</v>
      </c>
      <c r="P122" t="n">
        <v>0</v>
      </c>
      <c r="Q122" t="n">
        <v>0</v>
      </c>
      <c r="R122" s="2" t="inlineStr"/>
    </row>
    <row r="123" ht="15" customHeight="1">
      <c r="A123" t="inlineStr">
        <is>
          <t>A 32792-2021</t>
        </is>
      </c>
      <c r="B123" s="1" t="n">
        <v>44375</v>
      </c>
      <c r="C123" s="1" t="n">
        <v>46053</v>
      </c>
      <c r="D123" t="inlineStr">
        <is>
          <t>SKÅNE LÄN</t>
        </is>
      </c>
      <c r="E123" t="inlineStr">
        <is>
          <t>HÄSSLEHOLM</t>
        </is>
      </c>
      <c r="G123" t="n">
        <v>1</v>
      </c>
      <c r="H123" t="n">
        <v>0</v>
      </c>
      <c r="I123" t="n">
        <v>0</v>
      </c>
      <c r="J123" t="n">
        <v>0</v>
      </c>
      <c r="K123" t="n">
        <v>0</v>
      </c>
      <c r="L123" t="n">
        <v>0</v>
      </c>
      <c r="M123" t="n">
        <v>0</v>
      </c>
      <c r="N123" t="n">
        <v>0</v>
      </c>
      <c r="O123" t="n">
        <v>0</v>
      </c>
      <c r="P123" t="n">
        <v>0</v>
      </c>
      <c r="Q123" t="n">
        <v>0</v>
      </c>
      <c r="R123" s="2" t="inlineStr"/>
    </row>
    <row r="124" ht="15" customHeight="1">
      <c r="A124" t="inlineStr">
        <is>
          <t>A 3167-2022</t>
        </is>
      </c>
      <c r="B124" s="1" t="n">
        <v>44582</v>
      </c>
      <c r="C124" s="1" t="n">
        <v>46053</v>
      </c>
      <c r="D124" t="inlineStr">
        <is>
          <t>SKÅNE LÄN</t>
        </is>
      </c>
      <c r="E124" t="inlineStr">
        <is>
          <t>HÄSSLEHOLM</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33736-2021</t>
        </is>
      </c>
      <c r="B125" s="1" t="n">
        <v>44378</v>
      </c>
      <c r="C125" s="1" t="n">
        <v>46053</v>
      </c>
      <c r="D125" t="inlineStr">
        <is>
          <t>SKÅNE LÄN</t>
        </is>
      </c>
      <c r="E125" t="inlineStr">
        <is>
          <t>HÄSSLEHOLM</t>
        </is>
      </c>
      <c r="G125" t="n">
        <v>7.6</v>
      </c>
      <c r="H125" t="n">
        <v>0</v>
      </c>
      <c r="I125" t="n">
        <v>0</v>
      </c>
      <c r="J125" t="n">
        <v>0</v>
      </c>
      <c r="K125" t="n">
        <v>0</v>
      </c>
      <c r="L125" t="n">
        <v>0</v>
      </c>
      <c r="M125" t="n">
        <v>0</v>
      </c>
      <c r="N125" t="n">
        <v>0</v>
      </c>
      <c r="O125" t="n">
        <v>0</v>
      </c>
      <c r="P125" t="n">
        <v>0</v>
      </c>
      <c r="Q125" t="n">
        <v>0</v>
      </c>
      <c r="R125" s="2" t="inlineStr"/>
    </row>
    <row r="126" ht="15" customHeight="1">
      <c r="A126" t="inlineStr">
        <is>
          <t>A 4161-2022</t>
        </is>
      </c>
      <c r="B126" s="1" t="n">
        <v>44588</v>
      </c>
      <c r="C126" s="1" t="n">
        <v>46053</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34679-2021</t>
        </is>
      </c>
      <c r="B127" s="1" t="n">
        <v>44382</v>
      </c>
      <c r="C127" s="1" t="n">
        <v>46053</v>
      </c>
      <c r="D127" t="inlineStr">
        <is>
          <t>SKÅNE LÄN</t>
        </is>
      </c>
      <c r="E127" t="inlineStr">
        <is>
          <t>HÄSSLEHOLM</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40702-2021</t>
        </is>
      </c>
      <c r="B128" s="1" t="n">
        <v>44420.61719907408</v>
      </c>
      <c r="C128" s="1" t="n">
        <v>46053</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21029-2021</t>
        </is>
      </c>
      <c r="B129" s="1" t="n">
        <v>44319.63366898148</v>
      </c>
      <c r="C129" s="1" t="n">
        <v>46053</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1535-2022</t>
        </is>
      </c>
      <c r="B130" s="1" t="n">
        <v>44573</v>
      </c>
      <c r="C130" s="1" t="n">
        <v>46053</v>
      </c>
      <c r="D130" t="inlineStr">
        <is>
          <t>SKÅNE LÄN</t>
        </is>
      </c>
      <c r="E130" t="inlineStr">
        <is>
          <t>HÄSSLEHOLM</t>
        </is>
      </c>
      <c r="G130" t="n">
        <v>15</v>
      </c>
      <c r="H130" t="n">
        <v>0</v>
      </c>
      <c r="I130" t="n">
        <v>0</v>
      </c>
      <c r="J130" t="n">
        <v>0</v>
      </c>
      <c r="K130" t="n">
        <v>0</v>
      </c>
      <c r="L130" t="n">
        <v>0</v>
      </c>
      <c r="M130" t="n">
        <v>0</v>
      </c>
      <c r="N130" t="n">
        <v>0</v>
      </c>
      <c r="O130" t="n">
        <v>0</v>
      </c>
      <c r="P130" t="n">
        <v>0</v>
      </c>
      <c r="Q130" t="n">
        <v>0</v>
      </c>
      <c r="R130" s="2" t="inlineStr"/>
    </row>
    <row r="131" ht="15" customHeight="1">
      <c r="A131" t="inlineStr">
        <is>
          <t>A 13982-2021</t>
        </is>
      </c>
      <c r="B131" s="1" t="n">
        <v>44277.57800925926</v>
      </c>
      <c r="C131" s="1" t="n">
        <v>46053</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64607-2021</t>
        </is>
      </c>
      <c r="B132" s="1" t="n">
        <v>44511</v>
      </c>
      <c r="C132" s="1" t="n">
        <v>46053</v>
      </c>
      <c r="D132" t="inlineStr">
        <is>
          <t>SKÅNE LÄN</t>
        </is>
      </c>
      <c r="E132" t="inlineStr">
        <is>
          <t>HÄSSLEHOLM</t>
        </is>
      </c>
      <c r="G132" t="n">
        <v>1.5</v>
      </c>
      <c r="H132" t="n">
        <v>0</v>
      </c>
      <c r="I132" t="n">
        <v>0</v>
      </c>
      <c r="J132" t="n">
        <v>0</v>
      </c>
      <c r="K132" t="n">
        <v>0</v>
      </c>
      <c r="L132" t="n">
        <v>0</v>
      </c>
      <c r="M132" t="n">
        <v>0</v>
      </c>
      <c r="N132" t="n">
        <v>0</v>
      </c>
      <c r="O132" t="n">
        <v>0</v>
      </c>
      <c r="P132" t="n">
        <v>0</v>
      </c>
      <c r="Q132" t="n">
        <v>0</v>
      </c>
      <c r="R132" s="2" t="inlineStr"/>
    </row>
    <row r="133" ht="15" customHeight="1">
      <c r="A133" t="inlineStr">
        <is>
          <t>A 18515-2021</t>
        </is>
      </c>
      <c r="B133" s="1" t="n">
        <v>44305</v>
      </c>
      <c r="C133" s="1" t="n">
        <v>46053</v>
      </c>
      <c r="D133" t="inlineStr">
        <is>
          <t>SKÅNE LÄN</t>
        </is>
      </c>
      <c r="E133" t="inlineStr">
        <is>
          <t>HÄSSLEHOLM</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18523-2021</t>
        </is>
      </c>
      <c r="B134" s="1" t="n">
        <v>44305</v>
      </c>
      <c r="C134" s="1" t="n">
        <v>46053</v>
      </c>
      <c r="D134" t="inlineStr">
        <is>
          <t>SKÅNE LÄN</t>
        </is>
      </c>
      <c r="E134" t="inlineStr">
        <is>
          <t>HÄSSLEHOLM</t>
        </is>
      </c>
      <c r="F134" t="inlineStr">
        <is>
          <t>Övriga Aktiebolag</t>
        </is>
      </c>
      <c r="G134" t="n">
        <v>1.2</v>
      </c>
      <c r="H134" t="n">
        <v>0</v>
      </c>
      <c r="I134" t="n">
        <v>0</v>
      </c>
      <c r="J134" t="n">
        <v>0</v>
      </c>
      <c r="K134" t="n">
        <v>0</v>
      </c>
      <c r="L134" t="n">
        <v>0</v>
      </c>
      <c r="M134" t="n">
        <v>0</v>
      </c>
      <c r="N134" t="n">
        <v>0</v>
      </c>
      <c r="O134" t="n">
        <v>0</v>
      </c>
      <c r="P134" t="n">
        <v>0</v>
      </c>
      <c r="Q134" t="n">
        <v>0</v>
      </c>
      <c r="R134" s="2" t="inlineStr"/>
    </row>
    <row r="135" ht="15" customHeight="1">
      <c r="A135" t="inlineStr">
        <is>
          <t>A 12617-2021</t>
        </is>
      </c>
      <c r="B135" s="1" t="n">
        <v>44270.45030092593</v>
      </c>
      <c r="C135" s="1" t="n">
        <v>46053</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2631-2022</t>
        </is>
      </c>
      <c r="B136" s="1" t="n">
        <v>44580</v>
      </c>
      <c r="C136" s="1" t="n">
        <v>46053</v>
      </c>
      <c r="D136" t="inlineStr">
        <is>
          <t>SKÅNE LÄN</t>
        </is>
      </c>
      <c r="E136" t="inlineStr">
        <is>
          <t>HÄSSLEHOLM</t>
        </is>
      </c>
      <c r="G136" t="n">
        <v>0.9</v>
      </c>
      <c r="H136" t="n">
        <v>0</v>
      </c>
      <c r="I136" t="n">
        <v>0</v>
      </c>
      <c r="J136" t="n">
        <v>0</v>
      </c>
      <c r="K136" t="n">
        <v>0</v>
      </c>
      <c r="L136" t="n">
        <v>0</v>
      </c>
      <c r="M136" t="n">
        <v>0</v>
      </c>
      <c r="N136" t="n">
        <v>0</v>
      </c>
      <c r="O136" t="n">
        <v>0</v>
      </c>
      <c r="P136" t="n">
        <v>0</v>
      </c>
      <c r="Q136" t="n">
        <v>0</v>
      </c>
      <c r="R136" s="2" t="inlineStr"/>
    </row>
    <row r="137" ht="15" customHeight="1">
      <c r="A137" t="inlineStr">
        <is>
          <t>A 15423-2022</t>
        </is>
      </c>
      <c r="B137" s="1" t="n">
        <v>44659</v>
      </c>
      <c r="C137" s="1" t="n">
        <v>46053</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56989-2021</t>
        </is>
      </c>
      <c r="B138" s="1" t="n">
        <v>44482</v>
      </c>
      <c r="C138" s="1" t="n">
        <v>46053</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51159-2021</t>
        </is>
      </c>
      <c r="B139" s="1" t="n">
        <v>44461</v>
      </c>
      <c r="C139" s="1" t="n">
        <v>46053</v>
      </c>
      <c r="D139" t="inlineStr">
        <is>
          <t>SKÅNE LÄN</t>
        </is>
      </c>
      <c r="E139" t="inlineStr">
        <is>
          <t>HÄSSLEHOLM</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25383-2021</t>
        </is>
      </c>
      <c r="B140" s="1" t="n">
        <v>44342</v>
      </c>
      <c r="C140" s="1" t="n">
        <v>46053</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27330-2021</t>
        </is>
      </c>
      <c r="B141" s="1" t="n">
        <v>44351</v>
      </c>
      <c r="C141" s="1" t="n">
        <v>46053</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354-2022</t>
        </is>
      </c>
      <c r="B142" s="1" t="n">
        <v>44565.62510416667</v>
      </c>
      <c r="C142" s="1" t="n">
        <v>46053</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32892-2021</t>
        </is>
      </c>
      <c r="B143" s="1" t="n">
        <v>44375</v>
      </c>
      <c r="C143" s="1" t="n">
        <v>46053</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39102-2022</t>
        </is>
      </c>
      <c r="B144" s="1" t="n">
        <v>44817.43260416666</v>
      </c>
      <c r="C144" s="1" t="n">
        <v>46053</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47112-2021</t>
        </is>
      </c>
      <c r="B145" s="1" t="n">
        <v>44446</v>
      </c>
      <c r="C145" s="1" t="n">
        <v>46053</v>
      </c>
      <c r="D145" t="inlineStr">
        <is>
          <t>SKÅNE LÄN</t>
        </is>
      </c>
      <c r="E145" t="inlineStr">
        <is>
          <t>HÄSSLEHOLM</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6414-2022</t>
        </is>
      </c>
      <c r="B146" s="1" t="n">
        <v>44600</v>
      </c>
      <c r="C146" s="1" t="n">
        <v>46053</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56431-2021</t>
        </is>
      </c>
      <c r="B147" s="1" t="n">
        <v>44480</v>
      </c>
      <c r="C147" s="1" t="n">
        <v>46053</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46053</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74297-2021</t>
        </is>
      </c>
      <c r="B149" s="1" t="n">
        <v>44558</v>
      </c>
      <c r="C149" s="1" t="n">
        <v>46053</v>
      </c>
      <c r="D149" t="inlineStr">
        <is>
          <t>SKÅNE LÄN</t>
        </is>
      </c>
      <c r="E149" t="inlineStr">
        <is>
          <t>HÄSSLEHOLM</t>
        </is>
      </c>
      <c r="F149" t="inlineStr">
        <is>
          <t>Kyrkan</t>
        </is>
      </c>
      <c r="G149" t="n">
        <v>3.8</v>
      </c>
      <c r="H149" t="n">
        <v>0</v>
      </c>
      <c r="I149" t="n">
        <v>0</v>
      </c>
      <c r="J149" t="n">
        <v>0</v>
      </c>
      <c r="K149" t="n">
        <v>0</v>
      </c>
      <c r="L149" t="n">
        <v>0</v>
      </c>
      <c r="M149" t="n">
        <v>0</v>
      </c>
      <c r="N149" t="n">
        <v>0</v>
      </c>
      <c r="O149" t="n">
        <v>0</v>
      </c>
      <c r="P149" t="n">
        <v>0</v>
      </c>
      <c r="Q149" t="n">
        <v>0</v>
      </c>
      <c r="R149" s="2" t="inlineStr"/>
    </row>
    <row r="150" ht="15" customHeight="1">
      <c r="A150" t="inlineStr">
        <is>
          <t>A 52295-2021</t>
        </is>
      </c>
      <c r="B150" s="1" t="n">
        <v>44463</v>
      </c>
      <c r="C150" s="1" t="n">
        <v>46053</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6973-2021</t>
        </is>
      </c>
      <c r="B151" s="1" t="n">
        <v>44237</v>
      </c>
      <c r="C151" s="1" t="n">
        <v>46053</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68909-2021</t>
        </is>
      </c>
      <c r="B152" s="1" t="n">
        <v>44530.46730324074</v>
      </c>
      <c r="C152" s="1" t="n">
        <v>46053</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23003-2021</t>
        </is>
      </c>
      <c r="B153" s="1" t="n">
        <v>44328</v>
      </c>
      <c r="C153" s="1" t="n">
        <v>46053</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5091-2022</t>
        </is>
      </c>
      <c r="B154" s="1" t="n">
        <v>44593.85114583333</v>
      </c>
      <c r="C154" s="1" t="n">
        <v>46053</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15986-2022</t>
        </is>
      </c>
      <c r="B155" s="1" t="n">
        <v>44664</v>
      </c>
      <c r="C155" s="1" t="n">
        <v>46053</v>
      </c>
      <c r="D155" t="inlineStr">
        <is>
          <t>SKÅNE LÄN</t>
        </is>
      </c>
      <c r="E155" t="inlineStr">
        <is>
          <t>HÄSSLEHOLM</t>
        </is>
      </c>
      <c r="F155" t="inlineStr">
        <is>
          <t>Kyrkan</t>
        </is>
      </c>
      <c r="G155" t="n">
        <v>6</v>
      </c>
      <c r="H155" t="n">
        <v>0</v>
      </c>
      <c r="I155" t="n">
        <v>0</v>
      </c>
      <c r="J155" t="n">
        <v>0</v>
      </c>
      <c r="K155" t="n">
        <v>0</v>
      </c>
      <c r="L155" t="n">
        <v>0</v>
      </c>
      <c r="M155" t="n">
        <v>0</v>
      </c>
      <c r="N155" t="n">
        <v>0</v>
      </c>
      <c r="O155" t="n">
        <v>0</v>
      </c>
      <c r="P155" t="n">
        <v>0</v>
      </c>
      <c r="Q155" t="n">
        <v>0</v>
      </c>
      <c r="R155" s="2" t="inlineStr"/>
    </row>
    <row r="156" ht="15" customHeight="1">
      <c r="A156" t="inlineStr">
        <is>
          <t>A 60260-2021</t>
        </is>
      </c>
      <c r="B156" s="1" t="n">
        <v>44495</v>
      </c>
      <c r="C156" s="1" t="n">
        <v>46053</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52786-2021</t>
        </is>
      </c>
      <c r="B157" s="1" t="n">
        <v>44467.36061342592</v>
      </c>
      <c r="C157" s="1" t="n">
        <v>46053</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51888-2021</t>
        </is>
      </c>
      <c r="B158" s="1" t="n">
        <v>44462</v>
      </c>
      <c r="C158" s="1" t="n">
        <v>46053</v>
      </c>
      <c r="D158" t="inlineStr">
        <is>
          <t>SKÅNE LÄN</t>
        </is>
      </c>
      <c r="E158" t="inlineStr">
        <is>
          <t>HÄSSLEHOLM</t>
        </is>
      </c>
      <c r="G158" t="n">
        <v>5.6</v>
      </c>
      <c r="H158" t="n">
        <v>0</v>
      </c>
      <c r="I158" t="n">
        <v>0</v>
      </c>
      <c r="J158" t="n">
        <v>0</v>
      </c>
      <c r="K158" t="n">
        <v>0</v>
      </c>
      <c r="L158" t="n">
        <v>0</v>
      </c>
      <c r="M158" t="n">
        <v>0</v>
      </c>
      <c r="N158" t="n">
        <v>0</v>
      </c>
      <c r="O158" t="n">
        <v>0</v>
      </c>
      <c r="P158" t="n">
        <v>0</v>
      </c>
      <c r="Q158" t="n">
        <v>0</v>
      </c>
      <c r="R158" s="2" t="inlineStr"/>
    </row>
    <row r="159" ht="15" customHeight="1">
      <c r="A159" t="inlineStr">
        <is>
          <t>A 29143-2021</t>
        </is>
      </c>
      <c r="B159" s="1" t="n">
        <v>44358.6319212963</v>
      </c>
      <c r="C159" s="1" t="n">
        <v>46053</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44669-2022</t>
        </is>
      </c>
      <c r="B160" s="1" t="n">
        <v>44840</v>
      </c>
      <c r="C160" s="1" t="n">
        <v>46053</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44735.6803125</v>
      </c>
      <c r="C161" s="1" t="n">
        <v>46053</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25469-2022</t>
        </is>
      </c>
      <c r="B162" s="1" t="n">
        <v>44732</v>
      </c>
      <c r="C162" s="1" t="n">
        <v>46053</v>
      </c>
      <c r="D162" t="inlineStr">
        <is>
          <t>SKÅNE LÄN</t>
        </is>
      </c>
      <c r="E162" t="inlineStr">
        <is>
          <t>HÄSSLEHOLM</t>
        </is>
      </c>
      <c r="G162" t="n">
        <v>4.2</v>
      </c>
      <c r="H162" t="n">
        <v>0</v>
      </c>
      <c r="I162" t="n">
        <v>0</v>
      </c>
      <c r="J162" t="n">
        <v>0</v>
      </c>
      <c r="K162" t="n">
        <v>0</v>
      </c>
      <c r="L162" t="n">
        <v>0</v>
      </c>
      <c r="M162" t="n">
        <v>0</v>
      </c>
      <c r="N162" t="n">
        <v>0</v>
      </c>
      <c r="O162" t="n">
        <v>0</v>
      </c>
      <c r="P162" t="n">
        <v>0</v>
      </c>
      <c r="Q162" t="n">
        <v>0</v>
      </c>
      <c r="R162" s="2" t="inlineStr"/>
    </row>
    <row r="163" ht="15" customHeight="1">
      <c r="A163" t="inlineStr">
        <is>
          <t>A 73513-2021</t>
        </is>
      </c>
      <c r="B163" s="1" t="n">
        <v>44551.69012731482</v>
      </c>
      <c r="C163" s="1" t="n">
        <v>46053</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2858-2022</t>
        </is>
      </c>
      <c r="B164" s="1" t="n">
        <v>44581</v>
      </c>
      <c r="C164" s="1" t="n">
        <v>46053</v>
      </c>
      <c r="D164" t="inlineStr">
        <is>
          <t>SKÅNE LÄN</t>
        </is>
      </c>
      <c r="E164" t="inlineStr">
        <is>
          <t>HÄSSLEHOLM</t>
        </is>
      </c>
      <c r="F164" t="inlineStr">
        <is>
          <t>Övriga Aktiebolag</t>
        </is>
      </c>
      <c r="G164" t="n">
        <v>1.3</v>
      </c>
      <c r="H164" t="n">
        <v>0</v>
      </c>
      <c r="I164" t="n">
        <v>0</v>
      </c>
      <c r="J164" t="n">
        <v>0</v>
      </c>
      <c r="K164" t="n">
        <v>0</v>
      </c>
      <c r="L164" t="n">
        <v>0</v>
      </c>
      <c r="M164" t="n">
        <v>0</v>
      </c>
      <c r="N164" t="n">
        <v>0</v>
      </c>
      <c r="O164" t="n">
        <v>0</v>
      </c>
      <c r="P164" t="n">
        <v>0</v>
      </c>
      <c r="Q164" t="n">
        <v>0</v>
      </c>
      <c r="R164" s="2" t="inlineStr"/>
    </row>
    <row r="165" ht="15" customHeight="1">
      <c r="A165" t="inlineStr">
        <is>
          <t>A 27959-2022</t>
        </is>
      </c>
      <c r="B165" s="1" t="n">
        <v>44744</v>
      </c>
      <c r="C165" s="1" t="n">
        <v>46053</v>
      </c>
      <c r="D165" t="inlineStr">
        <is>
          <t>SKÅNE LÄN</t>
        </is>
      </c>
      <c r="E165" t="inlineStr">
        <is>
          <t>HÄSSLEHOLM</t>
        </is>
      </c>
      <c r="G165" t="n">
        <v>3</v>
      </c>
      <c r="H165" t="n">
        <v>0</v>
      </c>
      <c r="I165" t="n">
        <v>0</v>
      </c>
      <c r="J165" t="n">
        <v>0</v>
      </c>
      <c r="K165" t="n">
        <v>0</v>
      </c>
      <c r="L165" t="n">
        <v>0</v>
      </c>
      <c r="M165" t="n">
        <v>0</v>
      </c>
      <c r="N165" t="n">
        <v>0</v>
      </c>
      <c r="O165" t="n">
        <v>0</v>
      </c>
      <c r="P165" t="n">
        <v>0</v>
      </c>
      <c r="Q165" t="n">
        <v>0</v>
      </c>
      <c r="R165" s="2" t="inlineStr"/>
    </row>
    <row r="166" ht="15" customHeight="1">
      <c r="A166" t="inlineStr">
        <is>
          <t>A 6967-2021</t>
        </is>
      </c>
      <c r="B166" s="1" t="n">
        <v>44237</v>
      </c>
      <c r="C166" s="1" t="n">
        <v>46053</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418-2022</t>
        </is>
      </c>
      <c r="B167" s="1" t="n">
        <v>44565.84958333334</v>
      </c>
      <c r="C167" s="1" t="n">
        <v>46053</v>
      </c>
      <c r="D167" t="inlineStr">
        <is>
          <t>SKÅNE LÄN</t>
        </is>
      </c>
      <c r="E167" t="inlineStr">
        <is>
          <t>HÄSSLEHOLM</t>
        </is>
      </c>
      <c r="G167" t="n">
        <v>0</v>
      </c>
      <c r="H167" t="n">
        <v>0</v>
      </c>
      <c r="I167" t="n">
        <v>0</v>
      </c>
      <c r="J167" t="n">
        <v>0</v>
      </c>
      <c r="K167" t="n">
        <v>0</v>
      </c>
      <c r="L167" t="n">
        <v>0</v>
      </c>
      <c r="M167" t="n">
        <v>0</v>
      </c>
      <c r="N167" t="n">
        <v>0</v>
      </c>
      <c r="O167" t="n">
        <v>0</v>
      </c>
      <c r="P167" t="n">
        <v>0</v>
      </c>
      <c r="Q167" t="n">
        <v>0</v>
      </c>
      <c r="R167" s="2" t="inlineStr"/>
    </row>
    <row r="168" ht="15" customHeight="1">
      <c r="A168" t="inlineStr">
        <is>
          <t>A 23830-2021</t>
        </is>
      </c>
      <c r="B168" s="1" t="n">
        <v>44335</v>
      </c>
      <c r="C168" s="1" t="n">
        <v>46053</v>
      </c>
      <c r="D168" t="inlineStr">
        <is>
          <t>SKÅNE LÄN</t>
        </is>
      </c>
      <c r="E168" t="inlineStr">
        <is>
          <t>HÄSSLEHOLM</t>
        </is>
      </c>
      <c r="G168" t="n">
        <v>18.7</v>
      </c>
      <c r="H168" t="n">
        <v>0</v>
      </c>
      <c r="I168" t="n">
        <v>0</v>
      </c>
      <c r="J168" t="n">
        <v>0</v>
      </c>
      <c r="K168" t="n">
        <v>0</v>
      </c>
      <c r="L168" t="n">
        <v>0</v>
      </c>
      <c r="M168" t="n">
        <v>0</v>
      </c>
      <c r="N168" t="n">
        <v>0</v>
      </c>
      <c r="O168" t="n">
        <v>0</v>
      </c>
      <c r="P168" t="n">
        <v>0</v>
      </c>
      <c r="Q168" t="n">
        <v>0</v>
      </c>
      <c r="R168" s="2" t="inlineStr"/>
    </row>
    <row r="169" ht="15" customHeight="1">
      <c r="A169" t="inlineStr">
        <is>
          <t>A 7729-2021</t>
        </is>
      </c>
      <c r="B169" s="1" t="n">
        <v>44242</v>
      </c>
      <c r="C169" s="1" t="n">
        <v>46053</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11616-2021</t>
        </is>
      </c>
      <c r="B170" s="1" t="n">
        <v>44264.63064814815</v>
      </c>
      <c r="C170" s="1" t="n">
        <v>46053</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51893-2021</t>
        </is>
      </c>
      <c r="B171" s="1" t="n">
        <v>44462</v>
      </c>
      <c r="C171" s="1" t="n">
        <v>46053</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55394-2022</t>
        </is>
      </c>
      <c r="B172" s="1" t="n">
        <v>44887.57112268519</v>
      </c>
      <c r="C172" s="1" t="n">
        <v>46053</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45357-2022</t>
        </is>
      </c>
      <c r="B173" s="1" t="n">
        <v>44844.61952546296</v>
      </c>
      <c r="C173" s="1" t="n">
        <v>46053</v>
      </c>
      <c r="D173" t="inlineStr">
        <is>
          <t>SKÅNE LÄN</t>
        </is>
      </c>
      <c r="E173" t="inlineStr">
        <is>
          <t>HÄSSLEHOLM</t>
        </is>
      </c>
      <c r="G173" t="n">
        <v>5.8</v>
      </c>
      <c r="H173" t="n">
        <v>0</v>
      </c>
      <c r="I173" t="n">
        <v>0</v>
      </c>
      <c r="J173" t="n">
        <v>0</v>
      </c>
      <c r="K173" t="n">
        <v>0</v>
      </c>
      <c r="L173" t="n">
        <v>0</v>
      </c>
      <c r="M173" t="n">
        <v>0</v>
      </c>
      <c r="N173" t="n">
        <v>0</v>
      </c>
      <c r="O173" t="n">
        <v>0</v>
      </c>
      <c r="P173" t="n">
        <v>0</v>
      </c>
      <c r="Q173" t="n">
        <v>0</v>
      </c>
      <c r="R173" s="2" t="inlineStr"/>
    </row>
    <row r="174" ht="15" customHeight="1">
      <c r="A174" t="inlineStr">
        <is>
          <t>A 45989-2021</t>
        </is>
      </c>
      <c r="B174" s="1" t="n">
        <v>44441.74627314815</v>
      </c>
      <c r="C174" s="1" t="n">
        <v>46053</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7248-2021</t>
        </is>
      </c>
      <c r="B175" s="1" t="n">
        <v>44236</v>
      </c>
      <c r="C175" s="1" t="n">
        <v>46053</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8695-2021</t>
        </is>
      </c>
      <c r="B176" s="1" t="n">
        <v>44246</v>
      </c>
      <c r="C176" s="1" t="n">
        <v>46053</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13811-2021</t>
        </is>
      </c>
      <c r="B177" s="1" t="n">
        <v>44276</v>
      </c>
      <c r="C177" s="1" t="n">
        <v>46053</v>
      </c>
      <c r="D177" t="inlineStr">
        <is>
          <t>SKÅNE LÄN</t>
        </is>
      </c>
      <c r="E177" t="inlineStr">
        <is>
          <t>HÄSSLEHOLM</t>
        </is>
      </c>
      <c r="G177" t="n">
        <v>8</v>
      </c>
      <c r="H177" t="n">
        <v>0</v>
      </c>
      <c r="I177" t="n">
        <v>0</v>
      </c>
      <c r="J177" t="n">
        <v>0</v>
      </c>
      <c r="K177" t="n">
        <v>0</v>
      </c>
      <c r="L177" t="n">
        <v>0</v>
      </c>
      <c r="M177" t="n">
        <v>0</v>
      </c>
      <c r="N177" t="n">
        <v>0</v>
      </c>
      <c r="O177" t="n">
        <v>0</v>
      </c>
      <c r="P177" t="n">
        <v>0</v>
      </c>
      <c r="Q177" t="n">
        <v>0</v>
      </c>
      <c r="R177" s="2" t="inlineStr"/>
    </row>
    <row r="178" ht="15" customHeight="1">
      <c r="A178" t="inlineStr">
        <is>
          <t>A 7904-2022</t>
        </is>
      </c>
      <c r="B178" s="1" t="n">
        <v>44607</v>
      </c>
      <c r="C178" s="1" t="n">
        <v>46053</v>
      </c>
      <c r="D178" t="inlineStr">
        <is>
          <t>SKÅNE LÄN</t>
        </is>
      </c>
      <c r="E178" t="inlineStr">
        <is>
          <t>HÄSSLEHOLM</t>
        </is>
      </c>
      <c r="F178" t="inlineStr">
        <is>
          <t>Kyrkan</t>
        </is>
      </c>
      <c r="G178" t="n">
        <v>3.9</v>
      </c>
      <c r="H178" t="n">
        <v>0</v>
      </c>
      <c r="I178" t="n">
        <v>0</v>
      </c>
      <c r="J178" t="n">
        <v>0</v>
      </c>
      <c r="K178" t="n">
        <v>0</v>
      </c>
      <c r="L178" t="n">
        <v>0</v>
      </c>
      <c r="M178" t="n">
        <v>0</v>
      </c>
      <c r="N178" t="n">
        <v>0</v>
      </c>
      <c r="O178" t="n">
        <v>0</v>
      </c>
      <c r="P178" t="n">
        <v>0</v>
      </c>
      <c r="Q178" t="n">
        <v>0</v>
      </c>
      <c r="R178" s="2" t="inlineStr"/>
    </row>
    <row r="179" ht="15" customHeight="1">
      <c r="A179" t="inlineStr">
        <is>
          <t>A 9453-2021</t>
        </is>
      </c>
      <c r="B179" s="1" t="n">
        <v>44251</v>
      </c>
      <c r="C179" s="1" t="n">
        <v>46053</v>
      </c>
      <c r="D179" t="inlineStr">
        <is>
          <t>SKÅNE LÄN</t>
        </is>
      </c>
      <c r="E179" t="inlineStr">
        <is>
          <t>HÄSSLEHOLM</t>
        </is>
      </c>
      <c r="G179" t="n">
        <v>1.4</v>
      </c>
      <c r="H179" t="n">
        <v>0</v>
      </c>
      <c r="I179" t="n">
        <v>0</v>
      </c>
      <c r="J179" t="n">
        <v>0</v>
      </c>
      <c r="K179" t="n">
        <v>0</v>
      </c>
      <c r="L179" t="n">
        <v>0</v>
      </c>
      <c r="M179" t="n">
        <v>0</v>
      </c>
      <c r="N179" t="n">
        <v>0</v>
      </c>
      <c r="O179" t="n">
        <v>0</v>
      </c>
      <c r="P179" t="n">
        <v>0</v>
      </c>
      <c r="Q179" t="n">
        <v>0</v>
      </c>
      <c r="R179" s="2" t="inlineStr"/>
    </row>
    <row r="180" ht="15" customHeight="1">
      <c r="A180" t="inlineStr">
        <is>
          <t>A 51895-2021</t>
        </is>
      </c>
      <c r="B180" s="1" t="n">
        <v>44462</v>
      </c>
      <c r="C180" s="1" t="n">
        <v>46053</v>
      </c>
      <c r="D180" t="inlineStr">
        <is>
          <t>SKÅNE LÄN</t>
        </is>
      </c>
      <c r="E180" t="inlineStr">
        <is>
          <t>HÄSSLEHOLM</t>
        </is>
      </c>
      <c r="G180" t="n">
        <v>5.7</v>
      </c>
      <c r="H180" t="n">
        <v>0</v>
      </c>
      <c r="I180" t="n">
        <v>0</v>
      </c>
      <c r="J180" t="n">
        <v>0</v>
      </c>
      <c r="K180" t="n">
        <v>0</v>
      </c>
      <c r="L180" t="n">
        <v>0</v>
      </c>
      <c r="M180" t="n">
        <v>0</v>
      </c>
      <c r="N180" t="n">
        <v>0</v>
      </c>
      <c r="O180" t="n">
        <v>0</v>
      </c>
      <c r="P180" t="n">
        <v>0</v>
      </c>
      <c r="Q180" t="n">
        <v>0</v>
      </c>
      <c r="R180" s="2" t="inlineStr"/>
    </row>
    <row r="181" ht="15" customHeight="1">
      <c r="A181" t="inlineStr">
        <is>
          <t>A 7250-2022</t>
        </is>
      </c>
      <c r="B181" s="1" t="n">
        <v>44606</v>
      </c>
      <c r="C181" s="1" t="n">
        <v>46053</v>
      </c>
      <c r="D181" t="inlineStr">
        <is>
          <t>SKÅNE LÄN</t>
        </is>
      </c>
      <c r="E181" t="inlineStr">
        <is>
          <t>HÄSSLEHOLM</t>
        </is>
      </c>
      <c r="F181" t="inlineStr">
        <is>
          <t>Övriga Aktiebolag</t>
        </is>
      </c>
      <c r="G181" t="n">
        <v>2.6</v>
      </c>
      <c r="H181" t="n">
        <v>0</v>
      </c>
      <c r="I181" t="n">
        <v>0</v>
      </c>
      <c r="J181" t="n">
        <v>0</v>
      </c>
      <c r="K181" t="n">
        <v>0</v>
      </c>
      <c r="L181" t="n">
        <v>0</v>
      </c>
      <c r="M181" t="n">
        <v>0</v>
      </c>
      <c r="N181" t="n">
        <v>0</v>
      </c>
      <c r="O181" t="n">
        <v>0</v>
      </c>
      <c r="P181" t="n">
        <v>0</v>
      </c>
      <c r="Q181" t="n">
        <v>0</v>
      </c>
      <c r="R181" s="2" t="inlineStr"/>
    </row>
    <row r="182" ht="15" customHeight="1">
      <c r="A182" t="inlineStr">
        <is>
          <t>A 219-2022</t>
        </is>
      </c>
      <c r="B182" s="1" t="n">
        <v>44564</v>
      </c>
      <c r="C182" s="1" t="n">
        <v>46053</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6048-2022</t>
        </is>
      </c>
      <c r="B183" s="1" t="n">
        <v>44599.5174537037</v>
      </c>
      <c r="C183" s="1" t="n">
        <v>46053</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53576-2022</t>
        </is>
      </c>
      <c r="B184" s="1" t="n">
        <v>44875</v>
      </c>
      <c r="C184" s="1" t="n">
        <v>46053</v>
      </c>
      <c r="D184" t="inlineStr">
        <is>
          <t>SKÅNE LÄN</t>
        </is>
      </c>
      <c r="E184" t="inlineStr">
        <is>
          <t>HÄSSLEHOLM</t>
        </is>
      </c>
      <c r="F184" t="inlineStr">
        <is>
          <t>Övriga Aktiebolag</t>
        </is>
      </c>
      <c r="G184" t="n">
        <v>1.2</v>
      </c>
      <c r="H184" t="n">
        <v>0</v>
      </c>
      <c r="I184" t="n">
        <v>0</v>
      </c>
      <c r="J184" t="n">
        <v>0</v>
      </c>
      <c r="K184" t="n">
        <v>0</v>
      </c>
      <c r="L184" t="n">
        <v>0</v>
      </c>
      <c r="M184" t="n">
        <v>0</v>
      </c>
      <c r="N184" t="n">
        <v>0</v>
      </c>
      <c r="O184" t="n">
        <v>0</v>
      </c>
      <c r="P184" t="n">
        <v>0</v>
      </c>
      <c r="Q184" t="n">
        <v>0</v>
      </c>
      <c r="R184" s="2" t="inlineStr"/>
    </row>
    <row r="185" ht="15" customHeight="1">
      <c r="A185" t="inlineStr">
        <is>
          <t>A 6253-2022</t>
        </is>
      </c>
      <c r="B185" s="1" t="n">
        <v>44600</v>
      </c>
      <c r="C185" s="1" t="n">
        <v>46053</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55412-2022</t>
        </is>
      </c>
      <c r="B186" s="1" t="n">
        <v>44882</v>
      </c>
      <c r="C186" s="1" t="n">
        <v>46053</v>
      </c>
      <c r="D186" t="inlineStr">
        <is>
          <t>SKÅNE LÄN</t>
        </is>
      </c>
      <c r="E186" t="inlineStr">
        <is>
          <t>HÄSSLEHOLM</t>
        </is>
      </c>
      <c r="F186" t="inlineStr">
        <is>
          <t>Övriga Aktiebolag</t>
        </is>
      </c>
      <c r="G186" t="n">
        <v>4</v>
      </c>
      <c r="H186" t="n">
        <v>0</v>
      </c>
      <c r="I186" t="n">
        <v>0</v>
      </c>
      <c r="J186" t="n">
        <v>0</v>
      </c>
      <c r="K186" t="n">
        <v>0</v>
      </c>
      <c r="L186" t="n">
        <v>0</v>
      </c>
      <c r="M186" t="n">
        <v>0</v>
      </c>
      <c r="N186" t="n">
        <v>0</v>
      </c>
      <c r="O186" t="n">
        <v>0</v>
      </c>
      <c r="P186" t="n">
        <v>0</v>
      </c>
      <c r="Q186" t="n">
        <v>0</v>
      </c>
      <c r="R186" s="2" t="inlineStr"/>
    </row>
    <row r="187" ht="15" customHeight="1">
      <c r="A187" t="inlineStr">
        <is>
          <t>A 7262-2022</t>
        </is>
      </c>
      <c r="B187" s="1" t="n">
        <v>44606</v>
      </c>
      <c r="C187" s="1" t="n">
        <v>46053</v>
      </c>
      <c r="D187" t="inlineStr">
        <is>
          <t>SKÅNE LÄN</t>
        </is>
      </c>
      <c r="E187" t="inlineStr">
        <is>
          <t>HÄSSLEHOLM</t>
        </is>
      </c>
      <c r="F187" t="inlineStr">
        <is>
          <t>Övriga Aktiebolag</t>
        </is>
      </c>
      <c r="G187" t="n">
        <v>1</v>
      </c>
      <c r="H187" t="n">
        <v>0</v>
      </c>
      <c r="I187" t="n">
        <v>0</v>
      </c>
      <c r="J187" t="n">
        <v>0</v>
      </c>
      <c r="K187" t="n">
        <v>0</v>
      </c>
      <c r="L187" t="n">
        <v>0</v>
      </c>
      <c r="M187" t="n">
        <v>0</v>
      </c>
      <c r="N187" t="n">
        <v>0</v>
      </c>
      <c r="O187" t="n">
        <v>0</v>
      </c>
      <c r="P187" t="n">
        <v>0</v>
      </c>
      <c r="Q187" t="n">
        <v>0</v>
      </c>
      <c r="R187" s="2" t="inlineStr"/>
    </row>
    <row r="188" ht="15" customHeight="1">
      <c r="A188" t="inlineStr">
        <is>
          <t>A 64826-2021</t>
        </is>
      </c>
      <c r="B188" s="1" t="n">
        <v>44512.55935185185</v>
      </c>
      <c r="C188" s="1" t="n">
        <v>46053</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23967-2022</t>
        </is>
      </c>
      <c r="B189" s="1" t="n">
        <v>44722.74079861111</v>
      </c>
      <c r="C189" s="1" t="n">
        <v>46053</v>
      </c>
      <c r="D189" t="inlineStr">
        <is>
          <t>SKÅNE LÄN</t>
        </is>
      </c>
      <c r="E189" t="inlineStr">
        <is>
          <t>HÄSSLEHOLM</t>
        </is>
      </c>
      <c r="F189" t="inlineStr">
        <is>
          <t>Kyrkan</t>
        </is>
      </c>
      <c r="G189" t="n">
        <v>12.4</v>
      </c>
      <c r="H189" t="n">
        <v>0</v>
      </c>
      <c r="I189" t="n">
        <v>0</v>
      </c>
      <c r="J189" t="n">
        <v>0</v>
      </c>
      <c r="K189" t="n">
        <v>0</v>
      </c>
      <c r="L189" t="n">
        <v>0</v>
      </c>
      <c r="M189" t="n">
        <v>0</v>
      </c>
      <c r="N189" t="n">
        <v>0</v>
      </c>
      <c r="O189" t="n">
        <v>0</v>
      </c>
      <c r="P189" t="n">
        <v>0</v>
      </c>
      <c r="Q189" t="n">
        <v>0</v>
      </c>
      <c r="R189" s="2" t="inlineStr"/>
    </row>
    <row r="190" ht="15" customHeight="1">
      <c r="A190" t="inlineStr">
        <is>
          <t>A 8177-2022</t>
        </is>
      </c>
      <c r="B190" s="1" t="n">
        <v>44607</v>
      </c>
      <c r="C190" s="1" t="n">
        <v>46053</v>
      </c>
      <c r="D190" t="inlineStr">
        <is>
          <t>SKÅNE LÄN</t>
        </is>
      </c>
      <c r="E190" t="inlineStr">
        <is>
          <t>HÄSSLEHOLM</t>
        </is>
      </c>
      <c r="F190" t="inlineStr">
        <is>
          <t>Kyrkan</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25464-2022</t>
        </is>
      </c>
      <c r="B191" s="1" t="n">
        <v>44729</v>
      </c>
      <c r="C191" s="1" t="n">
        <v>46053</v>
      </c>
      <c r="D191" t="inlineStr">
        <is>
          <t>SKÅNE LÄN</t>
        </is>
      </c>
      <c r="E191" t="inlineStr">
        <is>
          <t>HÄSSLEHOLM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6965-2021</t>
        </is>
      </c>
      <c r="B192" s="1" t="n">
        <v>44237</v>
      </c>
      <c r="C192" s="1" t="n">
        <v>46053</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30344-2022</t>
        </is>
      </c>
      <c r="B193" s="1" t="n">
        <v>44760.50783564815</v>
      </c>
      <c r="C193" s="1" t="n">
        <v>46053</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56527-2021</t>
        </is>
      </c>
      <c r="B194" s="1" t="n">
        <v>44480</v>
      </c>
      <c r="C194" s="1" t="n">
        <v>46053</v>
      </c>
      <c r="D194" t="inlineStr">
        <is>
          <t>SKÅNE LÄN</t>
        </is>
      </c>
      <c r="E194" t="inlineStr">
        <is>
          <t>HÄSSLEHOLM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25788-2021</t>
        </is>
      </c>
      <c r="B195" s="1" t="n">
        <v>44343</v>
      </c>
      <c r="C195" s="1" t="n">
        <v>46053</v>
      </c>
      <c r="D195" t="inlineStr">
        <is>
          <t>SKÅNE LÄN</t>
        </is>
      </c>
      <c r="E195" t="inlineStr">
        <is>
          <t>HÄSSLEHOLM</t>
        </is>
      </c>
      <c r="G195" t="n">
        <v>4.8</v>
      </c>
      <c r="H195" t="n">
        <v>0</v>
      </c>
      <c r="I195" t="n">
        <v>0</v>
      </c>
      <c r="J195" t="n">
        <v>0</v>
      </c>
      <c r="K195" t="n">
        <v>0</v>
      </c>
      <c r="L195" t="n">
        <v>0</v>
      </c>
      <c r="M195" t="n">
        <v>0</v>
      </c>
      <c r="N195" t="n">
        <v>0</v>
      </c>
      <c r="O195" t="n">
        <v>0</v>
      </c>
      <c r="P195" t="n">
        <v>0</v>
      </c>
      <c r="Q195" t="n">
        <v>0</v>
      </c>
      <c r="R195" s="2" t="inlineStr"/>
    </row>
    <row r="196" ht="15" customHeight="1">
      <c r="A196" t="inlineStr">
        <is>
          <t>A 25955-2022</t>
        </is>
      </c>
      <c r="B196" s="1" t="n">
        <v>44734</v>
      </c>
      <c r="C196" s="1" t="n">
        <v>46053</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3992-2022</t>
        </is>
      </c>
      <c r="B197" s="1" t="n">
        <v>44587</v>
      </c>
      <c r="C197" s="1" t="n">
        <v>46053</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20657-2022</t>
        </is>
      </c>
      <c r="B198" s="1" t="n">
        <v>44700</v>
      </c>
      <c r="C198" s="1" t="n">
        <v>46053</v>
      </c>
      <c r="D198" t="inlineStr">
        <is>
          <t>SKÅNE LÄN</t>
        </is>
      </c>
      <c r="E198" t="inlineStr">
        <is>
          <t>HÄSSLEHOLM</t>
        </is>
      </c>
      <c r="G198" t="n">
        <v>3.8</v>
      </c>
      <c r="H198" t="n">
        <v>0</v>
      </c>
      <c r="I198" t="n">
        <v>0</v>
      </c>
      <c r="J198" t="n">
        <v>0</v>
      </c>
      <c r="K198" t="n">
        <v>0</v>
      </c>
      <c r="L198" t="n">
        <v>0</v>
      </c>
      <c r="M198" t="n">
        <v>0</v>
      </c>
      <c r="N198" t="n">
        <v>0</v>
      </c>
      <c r="O198" t="n">
        <v>0</v>
      </c>
      <c r="P198" t="n">
        <v>0</v>
      </c>
      <c r="Q198" t="n">
        <v>0</v>
      </c>
      <c r="R198" s="2" t="inlineStr"/>
    </row>
    <row r="199" ht="15" customHeight="1">
      <c r="A199" t="inlineStr">
        <is>
          <t>A 28236-2022</t>
        </is>
      </c>
      <c r="B199" s="1" t="n">
        <v>44746</v>
      </c>
      <c r="C199" s="1" t="n">
        <v>46053</v>
      </c>
      <c r="D199" t="inlineStr">
        <is>
          <t>SKÅNE LÄN</t>
        </is>
      </c>
      <c r="E199" t="inlineStr">
        <is>
          <t>HÄSSLEHOLM</t>
        </is>
      </c>
      <c r="G199" t="n">
        <v>3.5</v>
      </c>
      <c r="H199" t="n">
        <v>0</v>
      </c>
      <c r="I199" t="n">
        <v>0</v>
      </c>
      <c r="J199" t="n">
        <v>0</v>
      </c>
      <c r="K199" t="n">
        <v>0</v>
      </c>
      <c r="L199" t="n">
        <v>0</v>
      </c>
      <c r="M199" t="n">
        <v>0</v>
      </c>
      <c r="N199" t="n">
        <v>0</v>
      </c>
      <c r="O199" t="n">
        <v>0</v>
      </c>
      <c r="P199" t="n">
        <v>0</v>
      </c>
      <c r="Q199" t="n">
        <v>0</v>
      </c>
      <c r="R199" s="2" t="inlineStr"/>
    </row>
    <row r="200" ht="15" customHeight="1">
      <c r="A200" t="inlineStr">
        <is>
          <t>A 5016-2024</t>
        </is>
      </c>
      <c r="B200" s="1" t="n">
        <v>45329</v>
      </c>
      <c r="C200" s="1" t="n">
        <v>46053</v>
      </c>
      <c r="D200" t="inlineStr">
        <is>
          <t>SKÅNE LÄN</t>
        </is>
      </c>
      <c r="E200" t="inlineStr">
        <is>
          <t>HÄSSLEHOLM</t>
        </is>
      </c>
      <c r="G200" t="n">
        <v>3.2</v>
      </c>
      <c r="H200" t="n">
        <v>0</v>
      </c>
      <c r="I200" t="n">
        <v>0</v>
      </c>
      <c r="J200" t="n">
        <v>0</v>
      </c>
      <c r="K200" t="n">
        <v>0</v>
      </c>
      <c r="L200" t="n">
        <v>0</v>
      </c>
      <c r="M200" t="n">
        <v>0</v>
      </c>
      <c r="N200" t="n">
        <v>0</v>
      </c>
      <c r="O200" t="n">
        <v>0</v>
      </c>
      <c r="P200" t="n">
        <v>0</v>
      </c>
      <c r="Q200" t="n">
        <v>0</v>
      </c>
      <c r="R200" s="2" t="inlineStr"/>
    </row>
    <row r="201" ht="15" customHeight="1">
      <c r="A201" t="inlineStr">
        <is>
          <t>A 4512-2024</t>
        </is>
      </c>
      <c r="B201" s="1" t="n">
        <v>45327.6312962963</v>
      </c>
      <c r="C201" s="1" t="n">
        <v>46053</v>
      </c>
      <c r="D201" t="inlineStr">
        <is>
          <t>SKÅNE LÄN</t>
        </is>
      </c>
      <c r="E201" t="inlineStr">
        <is>
          <t>HÄSSLEHOLM</t>
        </is>
      </c>
      <c r="G201" t="n">
        <v>2</v>
      </c>
      <c r="H201" t="n">
        <v>0</v>
      </c>
      <c r="I201" t="n">
        <v>0</v>
      </c>
      <c r="J201" t="n">
        <v>0</v>
      </c>
      <c r="K201" t="n">
        <v>0</v>
      </c>
      <c r="L201" t="n">
        <v>0</v>
      </c>
      <c r="M201" t="n">
        <v>0</v>
      </c>
      <c r="N201" t="n">
        <v>0</v>
      </c>
      <c r="O201" t="n">
        <v>0</v>
      </c>
      <c r="P201" t="n">
        <v>0</v>
      </c>
      <c r="Q201" t="n">
        <v>0</v>
      </c>
      <c r="R201" s="2" t="inlineStr"/>
    </row>
    <row r="202" ht="15" customHeight="1">
      <c r="A202" t="inlineStr">
        <is>
          <t>A 4916-2024</t>
        </is>
      </c>
      <c r="B202" s="1" t="n">
        <v>45329</v>
      </c>
      <c r="C202" s="1" t="n">
        <v>46053</v>
      </c>
      <c r="D202" t="inlineStr">
        <is>
          <t>SKÅNE LÄN</t>
        </is>
      </c>
      <c r="E202" t="inlineStr">
        <is>
          <t>HÄSSLEHOLM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20279-2025</t>
        </is>
      </c>
      <c r="B203" s="1" t="n">
        <v>45774.38643518519</v>
      </c>
      <c r="C203" s="1" t="n">
        <v>46053</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18580-2023</t>
        </is>
      </c>
      <c r="B204" s="1" t="n">
        <v>45043.37037037037</v>
      </c>
      <c r="C204" s="1" t="n">
        <v>46053</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7306-2025</t>
        </is>
      </c>
      <c r="B205" s="1" t="n">
        <v>45702</v>
      </c>
      <c r="C205" s="1" t="n">
        <v>46053</v>
      </c>
      <c r="D205" t="inlineStr">
        <is>
          <t>SKÅNE LÄN</t>
        </is>
      </c>
      <c r="E205" t="inlineStr">
        <is>
          <t>HÄSSLEHOLM</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7308-2025</t>
        </is>
      </c>
      <c r="B206" s="1" t="n">
        <v>45702</v>
      </c>
      <c r="C206" s="1" t="n">
        <v>46053</v>
      </c>
      <c r="D206" t="inlineStr">
        <is>
          <t>SKÅNE LÄN</t>
        </is>
      </c>
      <c r="E206" t="inlineStr">
        <is>
          <t>HÄSSLEHOLM</t>
        </is>
      </c>
      <c r="F206" t="inlineStr">
        <is>
          <t>Övriga Aktiebolag</t>
        </is>
      </c>
      <c r="G206" t="n">
        <v>4.8</v>
      </c>
      <c r="H206" t="n">
        <v>0</v>
      </c>
      <c r="I206" t="n">
        <v>0</v>
      </c>
      <c r="J206" t="n">
        <v>0</v>
      </c>
      <c r="K206" t="n">
        <v>0</v>
      </c>
      <c r="L206" t="n">
        <v>0</v>
      </c>
      <c r="M206" t="n">
        <v>0</v>
      </c>
      <c r="N206" t="n">
        <v>0</v>
      </c>
      <c r="O206" t="n">
        <v>0</v>
      </c>
      <c r="P206" t="n">
        <v>0</v>
      </c>
      <c r="Q206" t="n">
        <v>0</v>
      </c>
      <c r="R206" s="2" t="inlineStr"/>
    </row>
    <row r="207" ht="15" customHeight="1">
      <c r="A207" t="inlineStr">
        <is>
          <t>A 62199-2022</t>
        </is>
      </c>
      <c r="B207" s="1" t="n">
        <v>44915</v>
      </c>
      <c r="C207" s="1" t="n">
        <v>46053</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17335-2024</t>
        </is>
      </c>
      <c r="B208" s="1" t="n">
        <v>45414.5687962963</v>
      </c>
      <c r="C208" s="1" t="n">
        <v>46053</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14157-2021</t>
        </is>
      </c>
      <c r="B209" s="1" t="n">
        <v>44278.43246527778</v>
      </c>
      <c r="C209" s="1" t="n">
        <v>46053</v>
      </c>
      <c r="D209" t="inlineStr">
        <is>
          <t>SKÅNE LÄN</t>
        </is>
      </c>
      <c r="E209" t="inlineStr">
        <is>
          <t>HÄSSLEHOLM</t>
        </is>
      </c>
      <c r="G209" t="n">
        <v>10.5</v>
      </c>
      <c r="H209" t="n">
        <v>0</v>
      </c>
      <c r="I209" t="n">
        <v>0</v>
      </c>
      <c r="J209" t="n">
        <v>0</v>
      </c>
      <c r="K209" t="n">
        <v>0</v>
      </c>
      <c r="L209" t="n">
        <v>0</v>
      </c>
      <c r="M209" t="n">
        <v>0</v>
      </c>
      <c r="N209" t="n">
        <v>0</v>
      </c>
      <c r="O209" t="n">
        <v>0</v>
      </c>
      <c r="P209" t="n">
        <v>0</v>
      </c>
      <c r="Q209" t="n">
        <v>0</v>
      </c>
      <c r="R209" s="2" t="inlineStr"/>
    </row>
    <row r="210" ht="15" customHeight="1">
      <c r="A210" t="inlineStr">
        <is>
          <t>A 50000-2023</t>
        </is>
      </c>
      <c r="B210" s="1" t="n">
        <v>45215.4434837963</v>
      </c>
      <c r="C210" s="1" t="n">
        <v>46053</v>
      </c>
      <c r="D210" t="inlineStr">
        <is>
          <t>SKÅNE LÄN</t>
        </is>
      </c>
      <c r="E210" t="inlineStr">
        <is>
          <t>HÄSSLEHOLM</t>
        </is>
      </c>
      <c r="G210" t="n">
        <v>1.6</v>
      </c>
      <c r="H210" t="n">
        <v>0</v>
      </c>
      <c r="I210" t="n">
        <v>0</v>
      </c>
      <c r="J210" t="n">
        <v>0</v>
      </c>
      <c r="K210" t="n">
        <v>0</v>
      </c>
      <c r="L210" t="n">
        <v>0</v>
      </c>
      <c r="M210" t="n">
        <v>0</v>
      </c>
      <c r="N210" t="n">
        <v>0</v>
      </c>
      <c r="O210" t="n">
        <v>0</v>
      </c>
      <c r="P210" t="n">
        <v>0</v>
      </c>
      <c r="Q210" t="n">
        <v>0</v>
      </c>
      <c r="R210" s="2" t="inlineStr"/>
    </row>
    <row r="211" ht="15" customHeight="1">
      <c r="A211" t="inlineStr">
        <is>
          <t>A 677-2024</t>
        </is>
      </c>
      <c r="B211" s="1" t="n">
        <v>45300</v>
      </c>
      <c r="C211" s="1" t="n">
        <v>46053</v>
      </c>
      <c r="D211" t="inlineStr">
        <is>
          <t>SKÅNE LÄN</t>
        </is>
      </c>
      <c r="E211" t="inlineStr">
        <is>
          <t>HÄSSLEHOLM</t>
        </is>
      </c>
      <c r="G211" t="n">
        <v>6.8</v>
      </c>
      <c r="H211" t="n">
        <v>0</v>
      </c>
      <c r="I211" t="n">
        <v>0</v>
      </c>
      <c r="J211" t="n">
        <v>0</v>
      </c>
      <c r="K211" t="n">
        <v>0</v>
      </c>
      <c r="L211" t="n">
        <v>0</v>
      </c>
      <c r="M211" t="n">
        <v>0</v>
      </c>
      <c r="N211" t="n">
        <v>0</v>
      </c>
      <c r="O211" t="n">
        <v>0</v>
      </c>
      <c r="P211" t="n">
        <v>0</v>
      </c>
      <c r="Q211" t="n">
        <v>0</v>
      </c>
      <c r="R211" s="2" t="inlineStr"/>
    </row>
    <row r="212" ht="15" customHeight="1">
      <c r="A212" t="inlineStr">
        <is>
          <t>A 50607-2023</t>
        </is>
      </c>
      <c r="B212" s="1" t="n">
        <v>45210</v>
      </c>
      <c r="C212" s="1" t="n">
        <v>46053</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50616-2023</t>
        </is>
      </c>
      <c r="B213" s="1" t="n">
        <v>45210</v>
      </c>
      <c r="C213" s="1" t="n">
        <v>46053</v>
      </c>
      <c r="D213" t="inlineStr">
        <is>
          <t>SKÅNE LÄN</t>
        </is>
      </c>
      <c r="E213" t="inlineStr">
        <is>
          <t>HÄSSLEHOLM</t>
        </is>
      </c>
      <c r="G213" t="n">
        <v>1.1</v>
      </c>
      <c r="H213" t="n">
        <v>0</v>
      </c>
      <c r="I213" t="n">
        <v>0</v>
      </c>
      <c r="J213" t="n">
        <v>0</v>
      </c>
      <c r="K213" t="n">
        <v>0</v>
      </c>
      <c r="L213" t="n">
        <v>0</v>
      </c>
      <c r="M213" t="n">
        <v>0</v>
      </c>
      <c r="N213" t="n">
        <v>0</v>
      </c>
      <c r="O213" t="n">
        <v>0</v>
      </c>
      <c r="P213" t="n">
        <v>0</v>
      </c>
      <c r="Q213" t="n">
        <v>0</v>
      </c>
      <c r="R213" s="2" t="inlineStr"/>
    </row>
    <row r="214" ht="15" customHeight="1">
      <c r="A214" t="inlineStr">
        <is>
          <t>A 9323-2025</t>
        </is>
      </c>
      <c r="B214" s="1" t="n">
        <v>45714.73532407408</v>
      </c>
      <c r="C214" s="1" t="n">
        <v>46053</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26642-2023</t>
        </is>
      </c>
      <c r="B215" s="1" t="n">
        <v>45092.8975</v>
      </c>
      <c r="C215" s="1" t="n">
        <v>46053</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15562-2024</t>
        </is>
      </c>
      <c r="B216" s="1" t="n">
        <v>45401.64975694445</v>
      </c>
      <c r="C216" s="1" t="n">
        <v>46053</v>
      </c>
      <c r="D216" t="inlineStr">
        <is>
          <t>SKÅNE LÄN</t>
        </is>
      </c>
      <c r="E216" t="inlineStr">
        <is>
          <t>HÄSSLEHOLM</t>
        </is>
      </c>
      <c r="G216" t="n">
        <v>0.8</v>
      </c>
      <c r="H216" t="n">
        <v>0</v>
      </c>
      <c r="I216" t="n">
        <v>0</v>
      </c>
      <c r="J216" t="n">
        <v>0</v>
      </c>
      <c r="K216" t="n">
        <v>0</v>
      </c>
      <c r="L216" t="n">
        <v>0</v>
      </c>
      <c r="M216" t="n">
        <v>0</v>
      </c>
      <c r="N216" t="n">
        <v>0</v>
      </c>
      <c r="O216" t="n">
        <v>0</v>
      </c>
      <c r="P216" t="n">
        <v>0</v>
      </c>
      <c r="Q216" t="n">
        <v>0</v>
      </c>
      <c r="R216" s="2" t="inlineStr"/>
    </row>
    <row r="217" ht="15" customHeight="1">
      <c r="A217" t="inlineStr">
        <is>
          <t>A 6791-2021</t>
        </is>
      </c>
      <c r="B217" s="1" t="n">
        <v>44236</v>
      </c>
      <c r="C217" s="1" t="n">
        <v>46053</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23946-2023</t>
        </is>
      </c>
      <c r="B218" s="1" t="n">
        <v>45078.61601851852</v>
      </c>
      <c r="C218" s="1" t="n">
        <v>46053</v>
      </c>
      <c r="D218" t="inlineStr">
        <is>
          <t>SKÅNE LÄN</t>
        </is>
      </c>
      <c r="E218" t="inlineStr">
        <is>
          <t>HÄSSLEHOLM</t>
        </is>
      </c>
      <c r="G218" t="n">
        <v>0.2</v>
      </c>
      <c r="H218" t="n">
        <v>0</v>
      </c>
      <c r="I218" t="n">
        <v>0</v>
      </c>
      <c r="J218" t="n">
        <v>0</v>
      </c>
      <c r="K218" t="n">
        <v>0</v>
      </c>
      <c r="L218" t="n">
        <v>0</v>
      </c>
      <c r="M218" t="n">
        <v>0</v>
      </c>
      <c r="N218" t="n">
        <v>0</v>
      </c>
      <c r="O218" t="n">
        <v>0</v>
      </c>
      <c r="P218" t="n">
        <v>0</v>
      </c>
      <c r="Q218" t="n">
        <v>0</v>
      </c>
      <c r="R218" s="2" t="inlineStr"/>
    </row>
    <row r="219" ht="15" customHeight="1">
      <c r="A219" t="inlineStr">
        <is>
          <t>A 27991-2024</t>
        </is>
      </c>
      <c r="B219" s="1" t="n">
        <v>45476</v>
      </c>
      <c r="C219" s="1" t="n">
        <v>46053</v>
      </c>
      <c r="D219" t="inlineStr">
        <is>
          <t>SKÅNE LÄN</t>
        </is>
      </c>
      <c r="E219" t="inlineStr">
        <is>
          <t>HÄSSLEHOLM</t>
        </is>
      </c>
      <c r="G219" t="n">
        <v>5.8</v>
      </c>
      <c r="H219" t="n">
        <v>0</v>
      </c>
      <c r="I219" t="n">
        <v>0</v>
      </c>
      <c r="J219" t="n">
        <v>0</v>
      </c>
      <c r="K219" t="n">
        <v>0</v>
      </c>
      <c r="L219" t="n">
        <v>0</v>
      </c>
      <c r="M219" t="n">
        <v>0</v>
      </c>
      <c r="N219" t="n">
        <v>0</v>
      </c>
      <c r="O219" t="n">
        <v>0</v>
      </c>
      <c r="P219" t="n">
        <v>0</v>
      </c>
      <c r="Q219" t="n">
        <v>0</v>
      </c>
      <c r="R219" s="2" t="inlineStr"/>
    </row>
    <row r="220" ht="15" customHeight="1">
      <c r="A220" t="inlineStr">
        <is>
          <t>A 6612-2024</t>
        </is>
      </c>
      <c r="B220" s="1" t="n">
        <v>45341.58859953703</v>
      </c>
      <c r="C220" s="1" t="n">
        <v>46053</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5887-2025</t>
        </is>
      </c>
      <c r="B221" s="1" t="n">
        <v>45695.37925925926</v>
      </c>
      <c r="C221" s="1" t="n">
        <v>46053</v>
      </c>
      <c r="D221" t="inlineStr">
        <is>
          <t>SKÅNE LÄN</t>
        </is>
      </c>
      <c r="E221" t="inlineStr">
        <is>
          <t>HÄSSLEHOLM</t>
        </is>
      </c>
      <c r="G221" t="n">
        <v>4.8</v>
      </c>
      <c r="H221" t="n">
        <v>0</v>
      </c>
      <c r="I221" t="n">
        <v>0</v>
      </c>
      <c r="J221" t="n">
        <v>0</v>
      </c>
      <c r="K221" t="n">
        <v>0</v>
      </c>
      <c r="L221" t="n">
        <v>0</v>
      </c>
      <c r="M221" t="n">
        <v>0</v>
      </c>
      <c r="N221" t="n">
        <v>0</v>
      </c>
      <c r="O221" t="n">
        <v>0</v>
      </c>
      <c r="P221" t="n">
        <v>0</v>
      </c>
      <c r="Q221" t="n">
        <v>0</v>
      </c>
      <c r="R221" s="2" t="inlineStr"/>
    </row>
    <row r="222" ht="15" customHeight="1">
      <c r="A222" t="inlineStr">
        <is>
          <t>A 49250-2022</t>
        </is>
      </c>
      <c r="B222" s="1" t="n">
        <v>44858</v>
      </c>
      <c r="C222" s="1" t="n">
        <v>46053</v>
      </c>
      <c r="D222" t="inlineStr">
        <is>
          <t>SKÅNE LÄN</t>
        </is>
      </c>
      <c r="E222" t="inlineStr">
        <is>
          <t>HÄSSLEHOLM</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8760-2024</t>
        </is>
      </c>
      <c r="B223" s="1" t="n">
        <v>45356.53420138889</v>
      </c>
      <c r="C223" s="1" t="n">
        <v>46053</v>
      </c>
      <c r="D223" t="inlineStr">
        <is>
          <t>SKÅNE LÄN</t>
        </is>
      </c>
      <c r="E223" t="inlineStr">
        <is>
          <t>HÄSSLEHOLM</t>
        </is>
      </c>
      <c r="G223" t="n">
        <v>6.1</v>
      </c>
      <c r="H223" t="n">
        <v>0</v>
      </c>
      <c r="I223" t="n">
        <v>0</v>
      </c>
      <c r="J223" t="n">
        <v>0</v>
      </c>
      <c r="K223" t="n">
        <v>0</v>
      </c>
      <c r="L223" t="n">
        <v>0</v>
      </c>
      <c r="M223" t="n">
        <v>0</v>
      </c>
      <c r="N223" t="n">
        <v>0</v>
      </c>
      <c r="O223" t="n">
        <v>0</v>
      </c>
      <c r="P223" t="n">
        <v>0</v>
      </c>
      <c r="Q223" t="n">
        <v>0</v>
      </c>
      <c r="R223" s="2" t="inlineStr"/>
    </row>
    <row r="224" ht="15" customHeight="1">
      <c r="A224" t="inlineStr">
        <is>
          <t>A 48889-2024</t>
        </is>
      </c>
      <c r="B224" s="1" t="n">
        <v>45594.33754629629</v>
      </c>
      <c r="C224" s="1" t="n">
        <v>46053</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8759-2024</t>
        </is>
      </c>
      <c r="B225" s="1" t="n">
        <v>45356.52271990741</v>
      </c>
      <c r="C225" s="1" t="n">
        <v>46053</v>
      </c>
      <c r="D225" t="inlineStr">
        <is>
          <t>SKÅNE LÄN</t>
        </is>
      </c>
      <c r="E225" t="inlineStr">
        <is>
          <t>HÄSSLEHOLM</t>
        </is>
      </c>
      <c r="G225" t="n">
        <v>5.7</v>
      </c>
      <c r="H225" t="n">
        <v>0</v>
      </c>
      <c r="I225" t="n">
        <v>0</v>
      </c>
      <c r="J225" t="n">
        <v>0</v>
      </c>
      <c r="K225" t="n">
        <v>0</v>
      </c>
      <c r="L225" t="n">
        <v>0</v>
      </c>
      <c r="M225" t="n">
        <v>0</v>
      </c>
      <c r="N225" t="n">
        <v>0</v>
      </c>
      <c r="O225" t="n">
        <v>0</v>
      </c>
      <c r="P225" t="n">
        <v>0</v>
      </c>
      <c r="Q225" t="n">
        <v>0</v>
      </c>
      <c r="R225" s="2" t="inlineStr"/>
    </row>
    <row r="226" ht="15" customHeight="1">
      <c r="A226" t="inlineStr">
        <is>
          <t>A 10020-2024</t>
        </is>
      </c>
      <c r="B226" s="1" t="n">
        <v>45363.96944444445</v>
      </c>
      <c r="C226" s="1" t="n">
        <v>46053</v>
      </c>
      <c r="D226" t="inlineStr">
        <is>
          <t>SKÅNE LÄN</t>
        </is>
      </c>
      <c r="E226" t="inlineStr">
        <is>
          <t>HÄSSLEHOLM</t>
        </is>
      </c>
      <c r="G226" t="n">
        <v>5.3</v>
      </c>
      <c r="H226" t="n">
        <v>0</v>
      </c>
      <c r="I226" t="n">
        <v>0</v>
      </c>
      <c r="J226" t="n">
        <v>0</v>
      </c>
      <c r="K226" t="n">
        <v>0</v>
      </c>
      <c r="L226" t="n">
        <v>0</v>
      </c>
      <c r="M226" t="n">
        <v>0</v>
      </c>
      <c r="N226" t="n">
        <v>0</v>
      </c>
      <c r="O226" t="n">
        <v>0</v>
      </c>
      <c r="P226" t="n">
        <v>0</v>
      </c>
      <c r="Q226" t="n">
        <v>0</v>
      </c>
      <c r="R226" s="2" t="inlineStr"/>
    </row>
    <row r="227" ht="15" customHeight="1">
      <c r="A227" t="inlineStr">
        <is>
          <t>A 1560-2023</t>
        </is>
      </c>
      <c r="B227" s="1" t="n">
        <v>44937</v>
      </c>
      <c r="C227" s="1" t="n">
        <v>46053</v>
      </c>
      <c r="D227" t="inlineStr">
        <is>
          <t>SKÅNE LÄN</t>
        </is>
      </c>
      <c r="E227" t="inlineStr">
        <is>
          <t>HÄSSLEHOLM</t>
        </is>
      </c>
      <c r="G227" t="n">
        <v>6.8</v>
      </c>
      <c r="H227" t="n">
        <v>0</v>
      </c>
      <c r="I227" t="n">
        <v>0</v>
      </c>
      <c r="J227" t="n">
        <v>0</v>
      </c>
      <c r="K227" t="n">
        <v>0</v>
      </c>
      <c r="L227" t="n">
        <v>0</v>
      </c>
      <c r="M227" t="n">
        <v>0</v>
      </c>
      <c r="N227" t="n">
        <v>0</v>
      </c>
      <c r="O227" t="n">
        <v>0</v>
      </c>
      <c r="P227" t="n">
        <v>0</v>
      </c>
      <c r="Q227" t="n">
        <v>0</v>
      </c>
      <c r="R227" s="2" t="inlineStr"/>
    </row>
    <row r="228" ht="15" customHeight="1">
      <c r="A228" t="inlineStr">
        <is>
          <t>A 2567-2024</t>
        </is>
      </c>
      <c r="B228" s="1" t="n">
        <v>45313.62460648148</v>
      </c>
      <c r="C228" s="1" t="n">
        <v>46053</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12936-2025</t>
        </is>
      </c>
      <c r="B229" s="1" t="n">
        <v>45734</v>
      </c>
      <c r="C229" s="1" t="n">
        <v>46053</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34342-2021</t>
        </is>
      </c>
      <c r="B230" s="1" t="n">
        <v>44379</v>
      </c>
      <c r="C230" s="1" t="n">
        <v>46053</v>
      </c>
      <c r="D230" t="inlineStr">
        <is>
          <t>SKÅNE LÄN</t>
        </is>
      </c>
      <c r="E230" t="inlineStr">
        <is>
          <t>HÄSSLEHOLM</t>
        </is>
      </c>
      <c r="G230" t="n">
        <v>7</v>
      </c>
      <c r="H230" t="n">
        <v>0</v>
      </c>
      <c r="I230" t="n">
        <v>0</v>
      </c>
      <c r="J230" t="n">
        <v>0</v>
      </c>
      <c r="K230" t="n">
        <v>0</v>
      </c>
      <c r="L230" t="n">
        <v>0</v>
      </c>
      <c r="M230" t="n">
        <v>0</v>
      </c>
      <c r="N230" t="n">
        <v>0</v>
      </c>
      <c r="O230" t="n">
        <v>0</v>
      </c>
      <c r="P230" t="n">
        <v>0</v>
      </c>
      <c r="Q230" t="n">
        <v>0</v>
      </c>
      <c r="R230" s="2" t="inlineStr"/>
    </row>
    <row r="231" ht="15" customHeight="1">
      <c r="A231" t="inlineStr">
        <is>
          <t>A 25726-2025</t>
        </is>
      </c>
      <c r="B231" s="1" t="n">
        <v>45803</v>
      </c>
      <c r="C231" s="1" t="n">
        <v>46053</v>
      </c>
      <c r="D231" t="inlineStr">
        <is>
          <t>SKÅNE LÄN</t>
        </is>
      </c>
      <c r="E231" t="inlineStr">
        <is>
          <t>HÄSSLEHOLM</t>
        </is>
      </c>
      <c r="G231" t="n">
        <v>5.5</v>
      </c>
      <c r="H231" t="n">
        <v>0</v>
      </c>
      <c r="I231" t="n">
        <v>0</v>
      </c>
      <c r="J231" t="n">
        <v>0</v>
      </c>
      <c r="K231" t="n">
        <v>0</v>
      </c>
      <c r="L231" t="n">
        <v>0</v>
      </c>
      <c r="M231" t="n">
        <v>0</v>
      </c>
      <c r="N231" t="n">
        <v>0</v>
      </c>
      <c r="O231" t="n">
        <v>0</v>
      </c>
      <c r="P231" t="n">
        <v>0</v>
      </c>
      <c r="Q231" t="n">
        <v>0</v>
      </c>
      <c r="R231" s="2" t="inlineStr"/>
    </row>
    <row r="232" ht="15" customHeight="1">
      <c r="A232" t="inlineStr">
        <is>
          <t>A 8749-2024</t>
        </is>
      </c>
      <c r="B232" s="1" t="n">
        <v>45356.50387731481</v>
      </c>
      <c r="C232" s="1" t="n">
        <v>46053</v>
      </c>
      <c r="D232" t="inlineStr">
        <is>
          <t>SKÅNE LÄN</t>
        </is>
      </c>
      <c r="E232" t="inlineStr">
        <is>
          <t>HÄSSLEHOLM</t>
        </is>
      </c>
      <c r="G232" t="n">
        <v>2.9</v>
      </c>
      <c r="H232" t="n">
        <v>0</v>
      </c>
      <c r="I232" t="n">
        <v>0</v>
      </c>
      <c r="J232" t="n">
        <v>0</v>
      </c>
      <c r="K232" t="n">
        <v>0</v>
      </c>
      <c r="L232" t="n">
        <v>0</v>
      </c>
      <c r="M232" t="n">
        <v>0</v>
      </c>
      <c r="N232" t="n">
        <v>0</v>
      </c>
      <c r="O232" t="n">
        <v>0</v>
      </c>
      <c r="P232" t="n">
        <v>0</v>
      </c>
      <c r="Q232" t="n">
        <v>0</v>
      </c>
      <c r="R232" s="2" t="inlineStr"/>
    </row>
    <row r="233" ht="15" customHeight="1">
      <c r="A233" t="inlineStr">
        <is>
          <t>A 8752-2024</t>
        </is>
      </c>
      <c r="B233" s="1" t="n">
        <v>45356</v>
      </c>
      <c r="C233" s="1" t="n">
        <v>46053</v>
      </c>
      <c r="D233" t="inlineStr">
        <is>
          <t>SKÅNE LÄN</t>
        </is>
      </c>
      <c r="E233" t="inlineStr">
        <is>
          <t>HÄSSLEHOLM</t>
        </is>
      </c>
      <c r="G233" t="n">
        <v>3.4</v>
      </c>
      <c r="H233" t="n">
        <v>0</v>
      </c>
      <c r="I233" t="n">
        <v>0</v>
      </c>
      <c r="J233" t="n">
        <v>0</v>
      </c>
      <c r="K233" t="n">
        <v>0</v>
      </c>
      <c r="L233" t="n">
        <v>0</v>
      </c>
      <c r="M233" t="n">
        <v>0</v>
      </c>
      <c r="N233" t="n">
        <v>0</v>
      </c>
      <c r="O233" t="n">
        <v>0</v>
      </c>
      <c r="P233" t="n">
        <v>0</v>
      </c>
      <c r="Q233" t="n">
        <v>0</v>
      </c>
      <c r="R233" s="2" t="inlineStr"/>
    </row>
    <row r="234" ht="15" customHeight="1">
      <c r="A234" t="inlineStr">
        <is>
          <t>A 42906-2022</t>
        </is>
      </c>
      <c r="B234" s="1" t="n">
        <v>44833</v>
      </c>
      <c r="C234" s="1" t="n">
        <v>46053</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29994-2023</t>
        </is>
      </c>
      <c r="B235" s="1" t="n">
        <v>45109.60038194444</v>
      </c>
      <c r="C235" s="1" t="n">
        <v>46053</v>
      </c>
      <c r="D235" t="inlineStr">
        <is>
          <t>SKÅNE LÄN</t>
        </is>
      </c>
      <c r="E235" t="inlineStr">
        <is>
          <t>HÄSSLEHOLM</t>
        </is>
      </c>
      <c r="G235" t="n">
        <v>2.8</v>
      </c>
      <c r="H235" t="n">
        <v>0</v>
      </c>
      <c r="I235" t="n">
        <v>0</v>
      </c>
      <c r="J235" t="n">
        <v>0</v>
      </c>
      <c r="K235" t="n">
        <v>0</v>
      </c>
      <c r="L235" t="n">
        <v>0</v>
      </c>
      <c r="M235" t="n">
        <v>0</v>
      </c>
      <c r="N235" t="n">
        <v>0</v>
      </c>
      <c r="O235" t="n">
        <v>0</v>
      </c>
      <c r="P235" t="n">
        <v>0</v>
      </c>
      <c r="Q235" t="n">
        <v>0</v>
      </c>
      <c r="R235" s="2" t="inlineStr"/>
    </row>
    <row r="236" ht="15" customHeight="1">
      <c r="A236" t="inlineStr">
        <is>
          <t>A 15036-2024</t>
        </is>
      </c>
      <c r="B236" s="1" t="n">
        <v>45399.48100694444</v>
      </c>
      <c r="C236" s="1" t="n">
        <v>46053</v>
      </c>
      <c r="D236" t="inlineStr">
        <is>
          <t>SKÅNE LÄN</t>
        </is>
      </c>
      <c r="E236" t="inlineStr">
        <is>
          <t>HÄSSLEHOLM</t>
        </is>
      </c>
      <c r="G236" t="n">
        <v>1.6</v>
      </c>
      <c r="H236" t="n">
        <v>0</v>
      </c>
      <c r="I236" t="n">
        <v>0</v>
      </c>
      <c r="J236" t="n">
        <v>0</v>
      </c>
      <c r="K236" t="n">
        <v>0</v>
      </c>
      <c r="L236" t="n">
        <v>0</v>
      </c>
      <c r="M236" t="n">
        <v>0</v>
      </c>
      <c r="N236" t="n">
        <v>0</v>
      </c>
      <c r="O236" t="n">
        <v>0</v>
      </c>
      <c r="P236" t="n">
        <v>0</v>
      </c>
      <c r="Q236" t="n">
        <v>0</v>
      </c>
      <c r="R236" s="2" t="inlineStr"/>
    </row>
    <row r="237" ht="15" customHeight="1">
      <c r="A237" t="inlineStr">
        <is>
          <t>A 20872-2025</t>
        </is>
      </c>
      <c r="B237" s="1" t="n">
        <v>45777.34688657407</v>
      </c>
      <c r="C237" s="1" t="n">
        <v>46053</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58915-2023</t>
        </is>
      </c>
      <c r="B238" s="1" t="n">
        <v>45250</v>
      </c>
      <c r="C238" s="1" t="n">
        <v>46053</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18648-2021</t>
        </is>
      </c>
      <c r="B239" s="1" t="n">
        <v>44306.70583333333</v>
      </c>
      <c r="C239" s="1" t="n">
        <v>46053</v>
      </c>
      <c r="D239" t="inlineStr">
        <is>
          <t>SKÅNE LÄN</t>
        </is>
      </c>
      <c r="E239" t="inlineStr">
        <is>
          <t>HÄSSLEHOLM</t>
        </is>
      </c>
      <c r="G239" t="n">
        <v>2.5</v>
      </c>
      <c r="H239" t="n">
        <v>0</v>
      </c>
      <c r="I239" t="n">
        <v>0</v>
      </c>
      <c r="J239" t="n">
        <v>0</v>
      </c>
      <c r="K239" t="n">
        <v>0</v>
      </c>
      <c r="L239" t="n">
        <v>0</v>
      </c>
      <c r="M239" t="n">
        <v>0</v>
      </c>
      <c r="N239" t="n">
        <v>0</v>
      </c>
      <c r="O239" t="n">
        <v>0</v>
      </c>
      <c r="P239" t="n">
        <v>0</v>
      </c>
      <c r="Q239" t="n">
        <v>0</v>
      </c>
      <c r="R239" s="2" t="inlineStr"/>
    </row>
    <row r="240" ht="15" customHeight="1">
      <c r="A240" t="inlineStr">
        <is>
          <t>A 20494-2024</t>
        </is>
      </c>
      <c r="B240" s="1" t="n">
        <v>45435</v>
      </c>
      <c r="C240" s="1" t="n">
        <v>46053</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21091-2025</t>
        </is>
      </c>
      <c r="B241" s="1" t="n">
        <v>45777</v>
      </c>
      <c r="C241" s="1" t="n">
        <v>46053</v>
      </c>
      <c r="D241" t="inlineStr">
        <is>
          <t>SKÅNE LÄN</t>
        </is>
      </c>
      <c r="E241" t="inlineStr">
        <is>
          <t>HÄSSLEHOLM</t>
        </is>
      </c>
      <c r="G241" t="n">
        <v>3.4</v>
      </c>
      <c r="H241" t="n">
        <v>0</v>
      </c>
      <c r="I241" t="n">
        <v>0</v>
      </c>
      <c r="J241" t="n">
        <v>0</v>
      </c>
      <c r="K241" t="n">
        <v>0</v>
      </c>
      <c r="L241" t="n">
        <v>0</v>
      </c>
      <c r="M241" t="n">
        <v>0</v>
      </c>
      <c r="N241" t="n">
        <v>0</v>
      </c>
      <c r="O241" t="n">
        <v>0</v>
      </c>
      <c r="P241" t="n">
        <v>0</v>
      </c>
      <c r="Q241" t="n">
        <v>0</v>
      </c>
      <c r="R241" s="2" t="inlineStr"/>
    </row>
    <row r="242" ht="15" customHeight="1">
      <c r="A242" t="inlineStr">
        <is>
          <t>A 57033-2022</t>
        </is>
      </c>
      <c r="B242" s="1" t="n">
        <v>44895.31270833333</v>
      </c>
      <c r="C242" s="1" t="n">
        <v>46053</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21206-2025</t>
        </is>
      </c>
      <c r="B243" s="1" t="n">
        <v>45779.48318287037</v>
      </c>
      <c r="C243" s="1" t="n">
        <v>46053</v>
      </c>
      <c r="D243" t="inlineStr">
        <is>
          <t>SKÅNE LÄN</t>
        </is>
      </c>
      <c r="E243" t="inlineStr">
        <is>
          <t>HÄSSLEHOLM</t>
        </is>
      </c>
      <c r="G243" t="n">
        <v>2.2</v>
      </c>
      <c r="H243" t="n">
        <v>0</v>
      </c>
      <c r="I243" t="n">
        <v>0</v>
      </c>
      <c r="J243" t="n">
        <v>0</v>
      </c>
      <c r="K243" t="n">
        <v>0</v>
      </c>
      <c r="L243" t="n">
        <v>0</v>
      </c>
      <c r="M243" t="n">
        <v>0</v>
      </c>
      <c r="N243" t="n">
        <v>0</v>
      </c>
      <c r="O243" t="n">
        <v>0</v>
      </c>
      <c r="P243" t="n">
        <v>0</v>
      </c>
      <c r="Q243" t="n">
        <v>0</v>
      </c>
      <c r="R243" s="2" t="inlineStr"/>
    </row>
    <row r="244" ht="15" customHeight="1">
      <c r="A244" t="inlineStr">
        <is>
          <t>A 44697-2021</t>
        </is>
      </c>
      <c r="B244" s="1" t="n">
        <v>44438</v>
      </c>
      <c r="C244" s="1" t="n">
        <v>46053</v>
      </c>
      <c r="D244" t="inlineStr">
        <is>
          <t>SKÅNE LÄN</t>
        </is>
      </c>
      <c r="E244" t="inlineStr">
        <is>
          <t>HÄSSLEHOLM</t>
        </is>
      </c>
      <c r="G244" t="n">
        <v>4.8</v>
      </c>
      <c r="H244" t="n">
        <v>0</v>
      </c>
      <c r="I244" t="n">
        <v>0</v>
      </c>
      <c r="J244" t="n">
        <v>0</v>
      </c>
      <c r="K244" t="n">
        <v>0</v>
      </c>
      <c r="L244" t="n">
        <v>0</v>
      </c>
      <c r="M244" t="n">
        <v>0</v>
      </c>
      <c r="N244" t="n">
        <v>0</v>
      </c>
      <c r="O244" t="n">
        <v>0</v>
      </c>
      <c r="P244" t="n">
        <v>0</v>
      </c>
      <c r="Q244" t="n">
        <v>0</v>
      </c>
      <c r="R244" s="2" t="inlineStr"/>
    </row>
    <row r="245" ht="15" customHeight="1">
      <c r="A245" t="inlineStr">
        <is>
          <t>A 53067-2022</t>
        </is>
      </c>
      <c r="B245" s="1" t="n">
        <v>44873</v>
      </c>
      <c r="C245" s="1" t="n">
        <v>46053</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61929-2023</t>
        </is>
      </c>
      <c r="B246" s="1" t="n">
        <v>45266</v>
      </c>
      <c r="C246" s="1" t="n">
        <v>46053</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1120-2024</t>
        </is>
      </c>
      <c r="B247" s="1" t="n">
        <v>45302.4452662037</v>
      </c>
      <c r="C247" s="1" t="n">
        <v>46053</v>
      </c>
      <c r="D247" t="inlineStr">
        <is>
          <t>SKÅNE LÄN</t>
        </is>
      </c>
      <c r="E247" t="inlineStr">
        <is>
          <t>HÄSSLEHOLM</t>
        </is>
      </c>
      <c r="G247" t="n">
        <v>2.7</v>
      </c>
      <c r="H247" t="n">
        <v>0</v>
      </c>
      <c r="I247" t="n">
        <v>0</v>
      </c>
      <c r="J247" t="n">
        <v>0</v>
      </c>
      <c r="K247" t="n">
        <v>0</v>
      </c>
      <c r="L247" t="n">
        <v>0</v>
      </c>
      <c r="M247" t="n">
        <v>0</v>
      </c>
      <c r="N247" t="n">
        <v>0</v>
      </c>
      <c r="O247" t="n">
        <v>0</v>
      </c>
      <c r="P247" t="n">
        <v>0</v>
      </c>
      <c r="Q247" t="n">
        <v>0</v>
      </c>
      <c r="R247" s="2" t="inlineStr"/>
    </row>
    <row r="248" ht="15" customHeight="1">
      <c r="A248" t="inlineStr">
        <is>
          <t>A 4734-2025</t>
        </is>
      </c>
      <c r="B248" s="1" t="n">
        <v>45688.44030092593</v>
      </c>
      <c r="C248" s="1" t="n">
        <v>46053</v>
      </c>
      <c r="D248" t="inlineStr">
        <is>
          <t>SKÅNE LÄN</t>
        </is>
      </c>
      <c r="E248" t="inlineStr">
        <is>
          <t>HÄSSLEHOLM</t>
        </is>
      </c>
      <c r="G248" t="n">
        <v>19.6</v>
      </c>
      <c r="H248" t="n">
        <v>0</v>
      </c>
      <c r="I248" t="n">
        <v>0</v>
      </c>
      <c r="J248" t="n">
        <v>0</v>
      </c>
      <c r="K248" t="n">
        <v>0</v>
      </c>
      <c r="L248" t="n">
        <v>0</v>
      </c>
      <c r="M248" t="n">
        <v>0</v>
      </c>
      <c r="N248" t="n">
        <v>0</v>
      </c>
      <c r="O248" t="n">
        <v>0</v>
      </c>
      <c r="P248" t="n">
        <v>0</v>
      </c>
      <c r="Q248" t="n">
        <v>0</v>
      </c>
      <c r="R248" s="2" t="inlineStr"/>
    </row>
    <row r="249" ht="15" customHeight="1">
      <c r="A249" t="inlineStr">
        <is>
          <t>A 27177-2024</t>
        </is>
      </c>
      <c r="B249" s="1" t="n">
        <v>45471.57201388889</v>
      </c>
      <c r="C249" s="1" t="n">
        <v>46053</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29845-2024</t>
        </is>
      </c>
      <c r="B250" s="1" t="n">
        <v>45485.6212037037</v>
      </c>
      <c r="C250" s="1" t="n">
        <v>46053</v>
      </c>
      <c r="D250" t="inlineStr">
        <is>
          <t>SKÅNE LÄN</t>
        </is>
      </c>
      <c r="E250" t="inlineStr">
        <is>
          <t>HÄSSLEHOLM</t>
        </is>
      </c>
      <c r="G250" t="n">
        <v>1.3</v>
      </c>
      <c r="H250" t="n">
        <v>0</v>
      </c>
      <c r="I250" t="n">
        <v>0</v>
      </c>
      <c r="J250" t="n">
        <v>0</v>
      </c>
      <c r="K250" t="n">
        <v>0</v>
      </c>
      <c r="L250" t="n">
        <v>0</v>
      </c>
      <c r="M250" t="n">
        <v>0</v>
      </c>
      <c r="N250" t="n">
        <v>0</v>
      </c>
      <c r="O250" t="n">
        <v>0</v>
      </c>
      <c r="P250" t="n">
        <v>0</v>
      </c>
      <c r="Q250" t="n">
        <v>0</v>
      </c>
      <c r="R250" s="2" t="inlineStr"/>
    </row>
    <row r="251" ht="15" customHeight="1">
      <c r="A251" t="inlineStr">
        <is>
          <t>A 20006-2025</t>
        </is>
      </c>
      <c r="B251" s="1" t="n">
        <v>45772.05032407407</v>
      </c>
      <c r="C251" s="1" t="n">
        <v>46053</v>
      </c>
      <c r="D251" t="inlineStr">
        <is>
          <t>SKÅNE LÄN</t>
        </is>
      </c>
      <c r="E251" t="inlineStr">
        <is>
          <t>HÄSSLEHOLM</t>
        </is>
      </c>
      <c r="G251" t="n">
        <v>3.9</v>
      </c>
      <c r="H251" t="n">
        <v>0</v>
      </c>
      <c r="I251" t="n">
        <v>0</v>
      </c>
      <c r="J251" t="n">
        <v>0</v>
      </c>
      <c r="K251" t="n">
        <v>0</v>
      </c>
      <c r="L251" t="n">
        <v>0</v>
      </c>
      <c r="M251" t="n">
        <v>0</v>
      </c>
      <c r="N251" t="n">
        <v>0</v>
      </c>
      <c r="O251" t="n">
        <v>0</v>
      </c>
      <c r="P251" t="n">
        <v>0</v>
      </c>
      <c r="Q251" t="n">
        <v>0</v>
      </c>
      <c r="R251" s="2" t="inlineStr"/>
    </row>
    <row r="252" ht="15" customHeight="1">
      <c r="A252" t="inlineStr">
        <is>
          <t>A 42428-2022</t>
        </is>
      </c>
      <c r="B252" s="1" t="n">
        <v>44831</v>
      </c>
      <c r="C252" s="1" t="n">
        <v>46053</v>
      </c>
      <c r="D252" t="inlineStr">
        <is>
          <t>SKÅNE LÄN</t>
        </is>
      </c>
      <c r="E252" t="inlineStr">
        <is>
          <t>HÄSSLEHOLM</t>
        </is>
      </c>
      <c r="G252" t="n">
        <v>2.8</v>
      </c>
      <c r="H252" t="n">
        <v>0</v>
      </c>
      <c r="I252" t="n">
        <v>0</v>
      </c>
      <c r="J252" t="n">
        <v>0</v>
      </c>
      <c r="K252" t="n">
        <v>0</v>
      </c>
      <c r="L252" t="n">
        <v>0</v>
      </c>
      <c r="M252" t="n">
        <v>0</v>
      </c>
      <c r="N252" t="n">
        <v>0</v>
      </c>
      <c r="O252" t="n">
        <v>0</v>
      </c>
      <c r="P252" t="n">
        <v>0</v>
      </c>
      <c r="Q252" t="n">
        <v>0</v>
      </c>
      <c r="R252" s="2" t="inlineStr"/>
    </row>
    <row r="253" ht="15" customHeight="1">
      <c r="A253" t="inlineStr">
        <is>
          <t>A 61533-2024</t>
        </is>
      </c>
      <c r="B253" s="1" t="n">
        <v>45646</v>
      </c>
      <c r="C253" s="1" t="n">
        <v>46053</v>
      </c>
      <c r="D253" t="inlineStr">
        <is>
          <t>SKÅNE LÄN</t>
        </is>
      </c>
      <c r="E253" t="inlineStr">
        <is>
          <t>HÄSSLEHOLM</t>
        </is>
      </c>
      <c r="G253" t="n">
        <v>4.5</v>
      </c>
      <c r="H253" t="n">
        <v>0</v>
      </c>
      <c r="I253" t="n">
        <v>0</v>
      </c>
      <c r="J253" t="n">
        <v>0</v>
      </c>
      <c r="K253" t="n">
        <v>0</v>
      </c>
      <c r="L253" t="n">
        <v>0</v>
      </c>
      <c r="M253" t="n">
        <v>0</v>
      </c>
      <c r="N253" t="n">
        <v>0</v>
      </c>
      <c r="O253" t="n">
        <v>0</v>
      </c>
      <c r="P253" t="n">
        <v>0</v>
      </c>
      <c r="Q253" t="n">
        <v>0</v>
      </c>
      <c r="R253" s="2" t="inlineStr"/>
    </row>
    <row r="254" ht="15" customHeight="1">
      <c r="A254" t="inlineStr">
        <is>
          <t>A 22595-2024</t>
        </is>
      </c>
      <c r="B254" s="1" t="n">
        <v>45447.61053240741</v>
      </c>
      <c r="C254" s="1" t="n">
        <v>46053</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61537-2024</t>
        </is>
      </c>
      <c r="B255" s="1" t="n">
        <v>45646</v>
      </c>
      <c r="C255" s="1" t="n">
        <v>46053</v>
      </c>
      <c r="D255" t="inlineStr">
        <is>
          <t>SKÅNE LÄN</t>
        </is>
      </c>
      <c r="E255" t="inlineStr">
        <is>
          <t>HÄSSLEHOLM</t>
        </is>
      </c>
      <c r="G255" t="n">
        <v>3.7</v>
      </c>
      <c r="H255" t="n">
        <v>0</v>
      </c>
      <c r="I255" t="n">
        <v>0</v>
      </c>
      <c r="J255" t="n">
        <v>0</v>
      </c>
      <c r="K255" t="n">
        <v>0</v>
      </c>
      <c r="L255" t="n">
        <v>0</v>
      </c>
      <c r="M255" t="n">
        <v>0</v>
      </c>
      <c r="N255" t="n">
        <v>0</v>
      </c>
      <c r="O255" t="n">
        <v>0</v>
      </c>
      <c r="P255" t="n">
        <v>0</v>
      </c>
      <c r="Q255" t="n">
        <v>0</v>
      </c>
      <c r="R255" s="2" t="inlineStr"/>
    </row>
    <row r="256" ht="15" customHeight="1">
      <c r="A256" t="inlineStr">
        <is>
          <t>A 21638-2025</t>
        </is>
      </c>
      <c r="B256" s="1" t="n">
        <v>45783.43087962963</v>
      </c>
      <c r="C256" s="1" t="n">
        <v>46053</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7818-2024</t>
        </is>
      </c>
      <c r="B257" s="1" t="n">
        <v>45349.68872685185</v>
      </c>
      <c r="C257" s="1" t="n">
        <v>46053</v>
      </c>
      <c r="D257" t="inlineStr">
        <is>
          <t>SKÅNE LÄN</t>
        </is>
      </c>
      <c r="E257" t="inlineStr">
        <is>
          <t>HÄSSLEHOLM</t>
        </is>
      </c>
      <c r="G257" t="n">
        <v>2.5</v>
      </c>
      <c r="H257" t="n">
        <v>0</v>
      </c>
      <c r="I257" t="n">
        <v>0</v>
      </c>
      <c r="J257" t="n">
        <v>0</v>
      </c>
      <c r="K257" t="n">
        <v>0</v>
      </c>
      <c r="L257" t="n">
        <v>0</v>
      </c>
      <c r="M257" t="n">
        <v>0</v>
      </c>
      <c r="N257" t="n">
        <v>0</v>
      </c>
      <c r="O257" t="n">
        <v>0</v>
      </c>
      <c r="P257" t="n">
        <v>0</v>
      </c>
      <c r="Q257" t="n">
        <v>0</v>
      </c>
      <c r="R257" s="2" t="inlineStr"/>
    </row>
    <row r="258" ht="15" customHeight="1">
      <c r="A258" t="inlineStr">
        <is>
          <t>A 38148-2022</t>
        </is>
      </c>
      <c r="B258" s="1" t="n">
        <v>44811</v>
      </c>
      <c r="C258" s="1" t="n">
        <v>46053</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26403-2024</t>
        </is>
      </c>
      <c r="B259" s="1" t="n">
        <v>45469.44505787037</v>
      </c>
      <c r="C259" s="1" t="n">
        <v>46053</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26403-2024</t>
        </is>
      </c>
      <c r="B260" s="1" t="n">
        <v>45469.44505787037</v>
      </c>
      <c r="C260" s="1" t="n">
        <v>46053</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48184-2025</t>
        </is>
      </c>
      <c r="B261" s="1" t="n">
        <v>45933.46131944445</v>
      </c>
      <c r="C261" s="1" t="n">
        <v>46053</v>
      </c>
      <c r="D261" t="inlineStr">
        <is>
          <t>SKÅNE LÄN</t>
        </is>
      </c>
      <c r="E261" t="inlineStr">
        <is>
          <t>HÄSSLEHOLM</t>
        </is>
      </c>
      <c r="G261" t="n">
        <v>3</v>
      </c>
      <c r="H261" t="n">
        <v>0</v>
      </c>
      <c r="I261" t="n">
        <v>0</v>
      </c>
      <c r="J261" t="n">
        <v>0</v>
      </c>
      <c r="K261" t="n">
        <v>0</v>
      </c>
      <c r="L261" t="n">
        <v>0</v>
      </c>
      <c r="M261" t="n">
        <v>0</v>
      </c>
      <c r="N261" t="n">
        <v>0</v>
      </c>
      <c r="O261" t="n">
        <v>0</v>
      </c>
      <c r="P261" t="n">
        <v>0</v>
      </c>
      <c r="Q261" t="n">
        <v>0</v>
      </c>
      <c r="R261" s="2" t="inlineStr"/>
    </row>
    <row r="262" ht="15" customHeight="1">
      <c r="A262" t="inlineStr">
        <is>
          <t>A 48185-2025</t>
        </is>
      </c>
      <c r="B262" s="1" t="n">
        <v>45933.46434027778</v>
      </c>
      <c r="C262" s="1" t="n">
        <v>46053</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61186-2022</t>
        </is>
      </c>
      <c r="B263" s="1" t="n">
        <v>44915.50745370371</v>
      </c>
      <c r="C263" s="1" t="n">
        <v>46053</v>
      </c>
      <c r="D263" t="inlineStr">
        <is>
          <t>SKÅNE LÄN</t>
        </is>
      </c>
      <c r="E263" t="inlineStr">
        <is>
          <t>HÄSSLEHOLM</t>
        </is>
      </c>
      <c r="G263" t="n">
        <v>2.9</v>
      </c>
      <c r="H263" t="n">
        <v>0</v>
      </c>
      <c r="I263" t="n">
        <v>0</v>
      </c>
      <c r="J263" t="n">
        <v>0</v>
      </c>
      <c r="K263" t="n">
        <v>0</v>
      </c>
      <c r="L263" t="n">
        <v>0</v>
      </c>
      <c r="M263" t="n">
        <v>0</v>
      </c>
      <c r="N263" t="n">
        <v>0</v>
      </c>
      <c r="O263" t="n">
        <v>0</v>
      </c>
      <c r="P263" t="n">
        <v>0</v>
      </c>
      <c r="Q263" t="n">
        <v>0</v>
      </c>
      <c r="R263" s="2" t="inlineStr"/>
    </row>
    <row r="264" ht="15" customHeight="1">
      <c r="A264" t="inlineStr">
        <is>
          <t>A 13018-2024</t>
        </is>
      </c>
      <c r="B264" s="1" t="n">
        <v>45385.58274305556</v>
      </c>
      <c r="C264" s="1" t="n">
        <v>46053</v>
      </c>
      <c r="D264" t="inlineStr">
        <is>
          <t>SKÅNE LÄN</t>
        </is>
      </c>
      <c r="E264" t="inlineStr">
        <is>
          <t>HÄSSLEHOLM</t>
        </is>
      </c>
      <c r="G264" t="n">
        <v>4.8</v>
      </c>
      <c r="H264" t="n">
        <v>0</v>
      </c>
      <c r="I264" t="n">
        <v>0</v>
      </c>
      <c r="J264" t="n">
        <v>0</v>
      </c>
      <c r="K264" t="n">
        <v>0</v>
      </c>
      <c r="L264" t="n">
        <v>0</v>
      </c>
      <c r="M264" t="n">
        <v>0</v>
      </c>
      <c r="N264" t="n">
        <v>0</v>
      </c>
      <c r="O264" t="n">
        <v>0</v>
      </c>
      <c r="P264" t="n">
        <v>0</v>
      </c>
      <c r="Q264" t="n">
        <v>0</v>
      </c>
      <c r="R264" s="2" t="inlineStr"/>
    </row>
    <row r="265" ht="15" customHeight="1">
      <c r="A265" t="inlineStr">
        <is>
          <t>A 39111-2023</t>
        </is>
      </c>
      <c r="B265" s="1" t="n">
        <v>45164.87140046297</v>
      </c>
      <c r="C265" s="1" t="n">
        <v>46053</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60851-2024</t>
        </is>
      </c>
      <c r="B266" s="1" t="n">
        <v>45644.66182870371</v>
      </c>
      <c r="C266" s="1" t="n">
        <v>46053</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24776-2025</t>
        </is>
      </c>
      <c r="B267" s="1" t="n">
        <v>45799.40640046296</v>
      </c>
      <c r="C267" s="1" t="n">
        <v>46053</v>
      </c>
      <c r="D267" t="inlineStr">
        <is>
          <t>SKÅNE LÄN</t>
        </is>
      </c>
      <c r="E267" t="inlineStr">
        <is>
          <t>HÄSSLEHOLM</t>
        </is>
      </c>
      <c r="G267" t="n">
        <v>5.4</v>
      </c>
      <c r="H267" t="n">
        <v>0</v>
      </c>
      <c r="I267" t="n">
        <v>0</v>
      </c>
      <c r="J267" t="n">
        <v>0</v>
      </c>
      <c r="K267" t="n">
        <v>0</v>
      </c>
      <c r="L267" t="n">
        <v>0</v>
      </c>
      <c r="M267" t="n">
        <v>0</v>
      </c>
      <c r="N267" t="n">
        <v>0</v>
      </c>
      <c r="O267" t="n">
        <v>0</v>
      </c>
      <c r="P267" t="n">
        <v>0</v>
      </c>
      <c r="Q267" t="n">
        <v>0</v>
      </c>
      <c r="R267" s="2" t="inlineStr"/>
    </row>
    <row r="268" ht="15" customHeight="1">
      <c r="A268" t="inlineStr">
        <is>
          <t>A 317-2025</t>
        </is>
      </c>
      <c r="B268" s="1" t="n">
        <v>45660</v>
      </c>
      <c r="C268" s="1" t="n">
        <v>46053</v>
      </c>
      <c r="D268" t="inlineStr">
        <is>
          <t>SKÅNE LÄN</t>
        </is>
      </c>
      <c r="E268" t="inlineStr">
        <is>
          <t>HÄSSLEHOLM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34342-2021</t>
        </is>
      </c>
      <c r="B269" s="1" t="n">
        <v>44379</v>
      </c>
      <c r="C269" s="1" t="n">
        <v>46053</v>
      </c>
      <c r="D269" t="inlineStr">
        <is>
          <t>SKÅNE LÄN</t>
        </is>
      </c>
      <c r="E269" t="inlineStr">
        <is>
          <t>HÄSSLEHOLM</t>
        </is>
      </c>
      <c r="G269" t="n">
        <v>7</v>
      </c>
      <c r="H269" t="n">
        <v>0</v>
      </c>
      <c r="I269" t="n">
        <v>0</v>
      </c>
      <c r="J269" t="n">
        <v>0</v>
      </c>
      <c r="K269" t="n">
        <v>0</v>
      </c>
      <c r="L269" t="n">
        <v>0</v>
      </c>
      <c r="M269" t="n">
        <v>0</v>
      </c>
      <c r="N269" t="n">
        <v>0</v>
      </c>
      <c r="O269" t="n">
        <v>0</v>
      </c>
      <c r="P269" t="n">
        <v>0</v>
      </c>
      <c r="Q269" t="n">
        <v>0</v>
      </c>
      <c r="R269" s="2" t="inlineStr"/>
    </row>
    <row r="270" ht="15" customHeight="1">
      <c r="A270" t="inlineStr">
        <is>
          <t>A 21625-2025</t>
        </is>
      </c>
      <c r="B270" s="1" t="n">
        <v>45783.41252314814</v>
      </c>
      <c r="C270" s="1" t="n">
        <v>46053</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26857-2025</t>
        </is>
      </c>
      <c r="B271" s="1" t="n">
        <v>45810</v>
      </c>
      <c r="C271" s="1" t="n">
        <v>46053</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42776-2021</t>
        </is>
      </c>
      <c r="B272" s="1" t="n">
        <v>44428</v>
      </c>
      <c r="C272" s="1" t="n">
        <v>46053</v>
      </c>
      <c r="D272" t="inlineStr">
        <is>
          <t>SKÅNE LÄN</t>
        </is>
      </c>
      <c r="E272" t="inlineStr">
        <is>
          <t>HÄSSLEHOLM</t>
        </is>
      </c>
      <c r="G272" t="n">
        <v>3.2</v>
      </c>
      <c r="H272" t="n">
        <v>0</v>
      </c>
      <c r="I272" t="n">
        <v>0</v>
      </c>
      <c r="J272" t="n">
        <v>0</v>
      </c>
      <c r="K272" t="n">
        <v>0</v>
      </c>
      <c r="L272" t="n">
        <v>0</v>
      </c>
      <c r="M272" t="n">
        <v>0</v>
      </c>
      <c r="N272" t="n">
        <v>0</v>
      </c>
      <c r="O272" t="n">
        <v>0</v>
      </c>
      <c r="P272" t="n">
        <v>0</v>
      </c>
      <c r="Q272" t="n">
        <v>0</v>
      </c>
      <c r="R272" s="2" t="inlineStr"/>
    </row>
    <row r="273" ht="15" customHeight="1">
      <c r="A273" t="inlineStr">
        <is>
          <t>A 9239-2025</t>
        </is>
      </c>
      <c r="B273" s="1" t="n">
        <v>45714</v>
      </c>
      <c r="C273" s="1" t="n">
        <v>46053</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16121-2025</t>
        </is>
      </c>
      <c r="B274" s="1" t="n">
        <v>45750.40384259259</v>
      </c>
      <c r="C274" s="1" t="n">
        <v>46053</v>
      </c>
      <c r="D274" t="inlineStr">
        <is>
          <t>SKÅNE LÄN</t>
        </is>
      </c>
      <c r="E274" t="inlineStr">
        <is>
          <t>HÄSSLEHOLM</t>
        </is>
      </c>
      <c r="G274" t="n">
        <v>1.6</v>
      </c>
      <c r="H274" t="n">
        <v>0</v>
      </c>
      <c r="I274" t="n">
        <v>0</v>
      </c>
      <c r="J274" t="n">
        <v>0</v>
      </c>
      <c r="K274" t="n">
        <v>0</v>
      </c>
      <c r="L274" t="n">
        <v>0</v>
      </c>
      <c r="M274" t="n">
        <v>0</v>
      </c>
      <c r="N274" t="n">
        <v>0</v>
      </c>
      <c r="O274" t="n">
        <v>0</v>
      </c>
      <c r="P274" t="n">
        <v>0</v>
      </c>
      <c r="Q274" t="n">
        <v>0</v>
      </c>
      <c r="R274" s="2" t="inlineStr"/>
    </row>
    <row r="275" ht="15" customHeight="1">
      <c r="A275" t="inlineStr">
        <is>
          <t>A 60920-2024</t>
        </is>
      </c>
      <c r="B275" s="1" t="n">
        <v>45645.34442129629</v>
      </c>
      <c r="C275" s="1" t="n">
        <v>46053</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28599-2024</t>
        </is>
      </c>
      <c r="B276" s="1" t="n">
        <v>45478.4247800926</v>
      </c>
      <c r="C276" s="1" t="n">
        <v>46053</v>
      </c>
      <c r="D276" t="inlineStr">
        <is>
          <t>SKÅNE LÄN</t>
        </is>
      </c>
      <c r="E276" t="inlineStr">
        <is>
          <t>HÄSSLEHOLM</t>
        </is>
      </c>
      <c r="G276" t="n">
        <v>8.6</v>
      </c>
      <c r="H276" t="n">
        <v>0</v>
      </c>
      <c r="I276" t="n">
        <v>0</v>
      </c>
      <c r="J276" t="n">
        <v>0</v>
      </c>
      <c r="K276" t="n">
        <v>0</v>
      </c>
      <c r="L276" t="n">
        <v>0</v>
      </c>
      <c r="M276" t="n">
        <v>0</v>
      </c>
      <c r="N276" t="n">
        <v>0</v>
      </c>
      <c r="O276" t="n">
        <v>0</v>
      </c>
      <c r="P276" t="n">
        <v>0</v>
      </c>
      <c r="Q276" t="n">
        <v>0</v>
      </c>
      <c r="R276" s="2" t="inlineStr"/>
    </row>
    <row r="277" ht="15" customHeight="1">
      <c r="A277" t="inlineStr">
        <is>
          <t>A 1703-2025</t>
        </is>
      </c>
      <c r="B277" s="1" t="n">
        <v>45670.80732638889</v>
      </c>
      <c r="C277" s="1" t="n">
        <v>46053</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11446-2025</t>
        </is>
      </c>
      <c r="B278" s="1" t="n">
        <v>45726</v>
      </c>
      <c r="C278" s="1" t="n">
        <v>46053</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22024-2025</t>
        </is>
      </c>
      <c r="B279" s="1" t="n">
        <v>45784.85322916666</v>
      </c>
      <c r="C279" s="1" t="n">
        <v>46053</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12780-2024</t>
        </is>
      </c>
      <c r="B280" s="1" t="n">
        <v>45384.59726851852</v>
      </c>
      <c r="C280" s="1" t="n">
        <v>46053</v>
      </c>
      <c r="D280" t="inlineStr">
        <is>
          <t>SKÅNE LÄN</t>
        </is>
      </c>
      <c r="E280" t="inlineStr">
        <is>
          <t>HÄSSLEHOLM</t>
        </is>
      </c>
      <c r="G280" t="n">
        <v>0.7</v>
      </c>
      <c r="H280" t="n">
        <v>0</v>
      </c>
      <c r="I280" t="n">
        <v>0</v>
      </c>
      <c r="J280" t="n">
        <v>0</v>
      </c>
      <c r="K280" t="n">
        <v>0</v>
      </c>
      <c r="L280" t="n">
        <v>0</v>
      </c>
      <c r="M280" t="n">
        <v>0</v>
      </c>
      <c r="N280" t="n">
        <v>0</v>
      </c>
      <c r="O280" t="n">
        <v>0</v>
      </c>
      <c r="P280" t="n">
        <v>0</v>
      </c>
      <c r="Q280" t="n">
        <v>0</v>
      </c>
      <c r="R280" s="2" t="inlineStr"/>
    </row>
    <row r="281" ht="15" customHeight="1">
      <c r="A281" t="inlineStr">
        <is>
          <t>A 16860-2025</t>
        </is>
      </c>
      <c r="B281" s="1" t="n">
        <v>45751</v>
      </c>
      <c r="C281" s="1" t="n">
        <v>46053</v>
      </c>
      <c r="D281" t="inlineStr">
        <is>
          <t>SKÅNE LÄN</t>
        </is>
      </c>
      <c r="E281" t="inlineStr">
        <is>
          <t>HÄSSLEHOLM</t>
        </is>
      </c>
      <c r="G281" t="n">
        <v>1.3</v>
      </c>
      <c r="H281" t="n">
        <v>0</v>
      </c>
      <c r="I281" t="n">
        <v>0</v>
      </c>
      <c r="J281" t="n">
        <v>0</v>
      </c>
      <c r="K281" t="n">
        <v>0</v>
      </c>
      <c r="L281" t="n">
        <v>0</v>
      </c>
      <c r="M281" t="n">
        <v>0</v>
      </c>
      <c r="N281" t="n">
        <v>0</v>
      </c>
      <c r="O281" t="n">
        <v>0</v>
      </c>
      <c r="P281" t="n">
        <v>0</v>
      </c>
      <c r="Q281" t="n">
        <v>0</v>
      </c>
      <c r="R281" s="2" t="inlineStr"/>
    </row>
    <row r="282" ht="15" customHeight="1">
      <c r="A282" t="inlineStr">
        <is>
          <t>A 29274-2023</t>
        </is>
      </c>
      <c r="B282" s="1" t="n">
        <v>45105</v>
      </c>
      <c r="C282" s="1" t="n">
        <v>46053</v>
      </c>
      <c r="D282" t="inlineStr">
        <is>
          <t>SKÅNE LÄN</t>
        </is>
      </c>
      <c r="E282" t="inlineStr">
        <is>
          <t>HÄSSLEHOLM</t>
        </is>
      </c>
      <c r="G282" t="n">
        <v>3.4</v>
      </c>
      <c r="H282" t="n">
        <v>0</v>
      </c>
      <c r="I282" t="n">
        <v>0</v>
      </c>
      <c r="J282" t="n">
        <v>0</v>
      </c>
      <c r="K282" t="n">
        <v>0</v>
      </c>
      <c r="L282" t="n">
        <v>0</v>
      </c>
      <c r="M282" t="n">
        <v>0</v>
      </c>
      <c r="N282" t="n">
        <v>0</v>
      </c>
      <c r="O282" t="n">
        <v>0</v>
      </c>
      <c r="P282" t="n">
        <v>0</v>
      </c>
      <c r="Q282" t="n">
        <v>0</v>
      </c>
      <c r="R282" s="2" t="inlineStr"/>
    </row>
    <row r="283" ht="15" customHeight="1">
      <c r="A283" t="inlineStr">
        <is>
          <t>A 34890-2023</t>
        </is>
      </c>
      <c r="B283" s="1" t="n">
        <v>45142.39475694444</v>
      </c>
      <c r="C283" s="1" t="n">
        <v>46053</v>
      </c>
      <c r="D283" t="inlineStr">
        <is>
          <t>SKÅNE LÄN</t>
        </is>
      </c>
      <c r="E283" t="inlineStr">
        <is>
          <t>HÄSSLEHOLM</t>
        </is>
      </c>
      <c r="G283" t="n">
        <v>4</v>
      </c>
      <c r="H283" t="n">
        <v>0</v>
      </c>
      <c r="I283" t="n">
        <v>0</v>
      </c>
      <c r="J283" t="n">
        <v>0</v>
      </c>
      <c r="K283" t="n">
        <v>0</v>
      </c>
      <c r="L283" t="n">
        <v>0</v>
      </c>
      <c r="M283" t="n">
        <v>0</v>
      </c>
      <c r="N283" t="n">
        <v>0</v>
      </c>
      <c r="O283" t="n">
        <v>0</v>
      </c>
      <c r="P283" t="n">
        <v>0</v>
      </c>
      <c r="Q283" t="n">
        <v>0</v>
      </c>
      <c r="R283" s="2" t="inlineStr"/>
    </row>
    <row r="284" ht="15" customHeight="1">
      <c r="A284" t="inlineStr">
        <is>
          <t>A 3886-2024</t>
        </is>
      </c>
      <c r="B284" s="1" t="n">
        <v>45322.44539351852</v>
      </c>
      <c r="C284" s="1" t="n">
        <v>46053</v>
      </c>
      <c r="D284" t="inlineStr">
        <is>
          <t>SKÅNE LÄN</t>
        </is>
      </c>
      <c r="E284" t="inlineStr">
        <is>
          <t>HÄSSLEHOLM</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9556-2025</t>
        </is>
      </c>
      <c r="B285" s="1" t="n">
        <v>45714</v>
      </c>
      <c r="C285" s="1" t="n">
        <v>46053</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28457-2024</t>
        </is>
      </c>
      <c r="B286" s="1" t="n">
        <v>45477.68884259259</v>
      </c>
      <c r="C286" s="1" t="n">
        <v>46053</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61932-2023</t>
        </is>
      </c>
      <c r="B287" s="1" t="n">
        <v>45266.53761574074</v>
      </c>
      <c r="C287" s="1" t="n">
        <v>46053</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13149-2024</t>
        </is>
      </c>
      <c r="B288" s="1" t="n">
        <v>45386</v>
      </c>
      <c r="C288" s="1" t="n">
        <v>46053</v>
      </c>
      <c r="D288" t="inlineStr">
        <is>
          <t>SKÅNE LÄN</t>
        </is>
      </c>
      <c r="E288" t="inlineStr">
        <is>
          <t>HÄSSLEHOLM</t>
        </is>
      </c>
      <c r="G288" t="n">
        <v>1.1</v>
      </c>
      <c r="H288" t="n">
        <v>0</v>
      </c>
      <c r="I288" t="n">
        <v>0</v>
      </c>
      <c r="J288" t="n">
        <v>0</v>
      </c>
      <c r="K288" t="n">
        <v>0</v>
      </c>
      <c r="L288" t="n">
        <v>0</v>
      </c>
      <c r="M288" t="n">
        <v>0</v>
      </c>
      <c r="N288" t="n">
        <v>0</v>
      </c>
      <c r="O288" t="n">
        <v>0</v>
      </c>
      <c r="P288" t="n">
        <v>0</v>
      </c>
      <c r="Q288" t="n">
        <v>0</v>
      </c>
      <c r="R288" s="2" t="inlineStr"/>
    </row>
    <row r="289" ht="15" customHeight="1">
      <c r="A289" t="inlineStr">
        <is>
          <t>A 53466-2024</t>
        </is>
      </c>
      <c r="B289" s="1" t="n">
        <v>45614.55304398148</v>
      </c>
      <c r="C289" s="1" t="n">
        <v>46053</v>
      </c>
      <c r="D289" t="inlineStr">
        <is>
          <t>SKÅNE LÄN</t>
        </is>
      </c>
      <c r="E289" t="inlineStr">
        <is>
          <t>HÄSSLEHOLM</t>
        </is>
      </c>
      <c r="G289" t="n">
        <v>1.3</v>
      </c>
      <c r="H289" t="n">
        <v>0</v>
      </c>
      <c r="I289" t="n">
        <v>0</v>
      </c>
      <c r="J289" t="n">
        <v>0</v>
      </c>
      <c r="K289" t="n">
        <v>0</v>
      </c>
      <c r="L289" t="n">
        <v>0</v>
      </c>
      <c r="M289" t="n">
        <v>0</v>
      </c>
      <c r="N289" t="n">
        <v>0</v>
      </c>
      <c r="O289" t="n">
        <v>0</v>
      </c>
      <c r="P289" t="n">
        <v>0</v>
      </c>
      <c r="Q289" t="n">
        <v>0</v>
      </c>
      <c r="R289" s="2" t="inlineStr"/>
    </row>
    <row r="290" ht="15" customHeight="1">
      <c r="A290" t="inlineStr">
        <is>
          <t>A 22594-2024</t>
        </is>
      </c>
      <c r="B290" s="1" t="n">
        <v>45447.60892361111</v>
      </c>
      <c r="C290" s="1" t="n">
        <v>46053</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39453-2025</t>
        </is>
      </c>
      <c r="B291" s="1" t="n">
        <v>45889</v>
      </c>
      <c r="C291" s="1" t="n">
        <v>46053</v>
      </c>
      <c r="D291" t="inlineStr">
        <is>
          <t>SKÅNE LÄN</t>
        </is>
      </c>
      <c r="E291" t="inlineStr">
        <is>
          <t>HÄSSLEHOLM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55056-2021</t>
        </is>
      </c>
      <c r="B292" s="1" t="n">
        <v>44474.62072916667</v>
      </c>
      <c r="C292" s="1" t="n">
        <v>46053</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10230-2025</t>
        </is>
      </c>
      <c r="B293" s="1" t="n">
        <v>45720</v>
      </c>
      <c r="C293" s="1" t="n">
        <v>46053</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4042-2023</t>
        </is>
      </c>
      <c r="B294" s="1" t="n">
        <v>44952.59950231481</v>
      </c>
      <c r="C294" s="1" t="n">
        <v>46053</v>
      </c>
      <c r="D294" t="inlineStr">
        <is>
          <t>SKÅNE LÄN</t>
        </is>
      </c>
      <c r="E294" t="inlineStr">
        <is>
          <t>HÄSSLEHOLM</t>
        </is>
      </c>
      <c r="G294" t="n">
        <v>2.7</v>
      </c>
      <c r="H294" t="n">
        <v>0</v>
      </c>
      <c r="I294" t="n">
        <v>0</v>
      </c>
      <c r="J294" t="n">
        <v>0</v>
      </c>
      <c r="K294" t="n">
        <v>0</v>
      </c>
      <c r="L294" t="n">
        <v>0</v>
      </c>
      <c r="M294" t="n">
        <v>0</v>
      </c>
      <c r="N294" t="n">
        <v>0</v>
      </c>
      <c r="O294" t="n">
        <v>0</v>
      </c>
      <c r="P294" t="n">
        <v>0</v>
      </c>
      <c r="Q294" t="n">
        <v>0</v>
      </c>
      <c r="R294" s="2" t="inlineStr"/>
    </row>
    <row r="295" ht="15" customHeight="1">
      <c r="A295" t="inlineStr">
        <is>
          <t>A 3123-2023</t>
        </is>
      </c>
      <c r="B295" s="1" t="n">
        <v>44946.4925</v>
      </c>
      <c r="C295" s="1" t="n">
        <v>46053</v>
      </c>
      <c r="D295" t="inlineStr">
        <is>
          <t>SKÅNE LÄN</t>
        </is>
      </c>
      <c r="E295" t="inlineStr">
        <is>
          <t>HÄSSLEHOLM</t>
        </is>
      </c>
      <c r="G295" t="n">
        <v>3.5</v>
      </c>
      <c r="H295" t="n">
        <v>0</v>
      </c>
      <c r="I295" t="n">
        <v>0</v>
      </c>
      <c r="J295" t="n">
        <v>0</v>
      </c>
      <c r="K295" t="n">
        <v>0</v>
      </c>
      <c r="L295" t="n">
        <v>0</v>
      </c>
      <c r="M295" t="n">
        <v>0</v>
      </c>
      <c r="N295" t="n">
        <v>0</v>
      </c>
      <c r="O295" t="n">
        <v>0</v>
      </c>
      <c r="P295" t="n">
        <v>0</v>
      </c>
      <c r="Q295" t="n">
        <v>0</v>
      </c>
      <c r="R295" s="2" t="inlineStr"/>
    </row>
    <row r="296" ht="15" customHeight="1">
      <c r="A296" t="inlineStr">
        <is>
          <t>A 3126-2023</t>
        </is>
      </c>
      <c r="B296" s="1" t="n">
        <v>44946.49570601852</v>
      </c>
      <c r="C296" s="1" t="n">
        <v>46053</v>
      </c>
      <c r="D296" t="inlineStr">
        <is>
          <t>SKÅNE LÄN</t>
        </is>
      </c>
      <c r="E296" t="inlineStr">
        <is>
          <t>HÄSSLEHOLM</t>
        </is>
      </c>
      <c r="G296" t="n">
        <v>2.2</v>
      </c>
      <c r="H296" t="n">
        <v>0</v>
      </c>
      <c r="I296" t="n">
        <v>0</v>
      </c>
      <c r="J296" t="n">
        <v>0</v>
      </c>
      <c r="K296" t="n">
        <v>0</v>
      </c>
      <c r="L296" t="n">
        <v>0</v>
      </c>
      <c r="M296" t="n">
        <v>0</v>
      </c>
      <c r="N296" t="n">
        <v>0</v>
      </c>
      <c r="O296" t="n">
        <v>0</v>
      </c>
      <c r="P296" t="n">
        <v>0</v>
      </c>
      <c r="Q296" t="n">
        <v>0</v>
      </c>
      <c r="R296" s="2" t="inlineStr"/>
    </row>
    <row r="297" ht="15" customHeight="1">
      <c r="A297" t="inlineStr">
        <is>
          <t>A 19735-2023</t>
        </is>
      </c>
      <c r="B297" s="1" t="n">
        <v>45051.52199074074</v>
      </c>
      <c r="C297" s="1" t="n">
        <v>46053</v>
      </c>
      <c r="D297" t="inlineStr">
        <is>
          <t>SKÅNE LÄN</t>
        </is>
      </c>
      <c r="E297" t="inlineStr">
        <is>
          <t>HÄSSLEHOLM</t>
        </is>
      </c>
      <c r="G297" t="n">
        <v>4</v>
      </c>
      <c r="H297" t="n">
        <v>0</v>
      </c>
      <c r="I297" t="n">
        <v>0</v>
      </c>
      <c r="J297" t="n">
        <v>0</v>
      </c>
      <c r="K297" t="n">
        <v>0</v>
      </c>
      <c r="L297" t="n">
        <v>0</v>
      </c>
      <c r="M297" t="n">
        <v>0</v>
      </c>
      <c r="N297" t="n">
        <v>0</v>
      </c>
      <c r="O297" t="n">
        <v>0</v>
      </c>
      <c r="P297" t="n">
        <v>0</v>
      </c>
      <c r="Q297" t="n">
        <v>0</v>
      </c>
      <c r="R297" s="2" t="inlineStr"/>
    </row>
    <row r="298" ht="15" customHeight="1">
      <c r="A298" t="inlineStr">
        <is>
          <t>A 48797-2023</t>
        </is>
      </c>
      <c r="B298" s="1" t="n">
        <v>45209.24986111111</v>
      </c>
      <c r="C298" s="1" t="n">
        <v>46053</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5532-2025</t>
        </is>
      </c>
      <c r="B299" s="1" t="n">
        <v>45693</v>
      </c>
      <c r="C299" s="1" t="n">
        <v>46053</v>
      </c>
      <c r="D299" t="inlineStr">
        <is>
          <t>SKÅNE LÄN</t>
        </is>
      </c>
      <c r="E299" t="inlineStr">
        <is>
          <t>HÄSSLEHOLM</t>
        </is>
      </c>
      <c r="G299" t="n">
        <v>2.4</v>
      </c>
      <c r="H299" t="n">
        <v>0</v>
      </c>
      <c r="I299" t="n">
        <v>0</v>
      </c>
      <c r="J299" t="n">
        <v>0</v>
      </c>
      <c r="K299" t="n">
        <v>0</v>
      </c>
      <c r="L299" t="n">
        <v>0</v>
      </c>
      <c r="M299" t="n">
        <v>0</v>
      </c>
      <c r="N299" t="n">
        <v>0</v>
      </c>
      <c r="O299" t="n">
        <v>0</v>
      </c>
      <c r="P299" t="n">
        <v>0</v>
      </c>
      <c r="Q299" t="n">
        <v>0</v>
      </c>
      <c r="R299" s="2" t="inlineStr"/>
    </row>
    <row r="300" ht="15" customHeight="1">
      <c r="A300" t="inlineStr">
        <is>
          <t>A 55662-2022</t>
        </is>
      </c>
      <c r="B300" s="1" t="n">
        <v>44883</v>
      </c>
      <c r="C300" s="1" t="n">
        <v>46053</v>
      </c>
      <c r="D300" t="inlineStr">
        <is>
          <t>SKÅNE LÄN</t>
        </is>
      </c>
      <c r="E300" t="inlineStr">
        <is>
          <t>HÄSSLEHOLM</t>
        </is>
      </c>
      <c r="F300" t="inlineStr">
        <is>
          <t>Övriga Aktiebolag</t>
        </is>
      </c>
      <c r="G300" t="n">
        <v>2.6</v>
      </c>
      <c r="H300" t="n">
        <v>0</v>
      </c>
      <c r="I300" t="n">
        <v>0</v>
      </c>
      <c r="J300" t="n">
        <v>0</v>
      </c>
      <c r="K300" t="n">
        <v>0</v>
      </c>
      <c r="L300" t="n">
        <v>0</v>
      </c>
      <c r="M300" t="n">
        <v>0</v>
      </c>
      <c r="N300" t="n">
        <v>0</v>
      </c>
      <c r="O300" t="n">
        <v>0</v>
      </c>
      <c r="P300" t="n">
        <v>0</v>
      </c>
      <c r="Q300" t="n">
        <v>0</v>
      </c>
      <c r="R300" s="2" t="inlineStr"/>
    </row>
    <row r="301" ht="15" customHeight="1">
      <c r="A301" t="inlineStr">
        <is>
          <t>A 25213-2023</t>
        </is>
      </c>
      <c r="B301" s="1" t="n">
        <v>45086.60010416667</v>
      </c>
      <c r="C301" s="1" t="n">
        <v>46053</v>
      </c>
      <c r="D301" t="inlineStr">
        <is>
          <t>SKÅNE LÄN</t>
        </is>
      </c>
      <c r="E301" t="inlineStr">
        <is>
          <t>HÄSSLEHOLM</t>
        </is>
      </c>
      <c r="G301" t="n">
        <v>7.2</v>
      </c>
      <c r="H301" t="n">
        <v>0</v>
      </c>
      <c r="I301" t="n">
        <v>0</v>
      </c>
      <c r="J301" t="n">
        <v>0</v>
      </c>
      <c r="K301" t="n">
        <v>0</v>
      </c>
      <c r="L301" t="n">
        <v>0</v>
      </c>
      <c r="M301" t="n">
        <v>0</v>
      </c>
      <c r="N301" t="n">
        <v>0</v>
      </c>
      <c r="O301" t="n">
        <v>0</v>
      </c>
      <c r="P301" t="n">
        <v>0</v>
      </c>
      <c r="Q301" t="n">
        <v>0</v>
      </c>
      <c r="R301" s="2" t="inlineStr"/>
    </row>
    <row r="302" ht="15" customHeight="1">
      <c r="A302" t="inlineStr">
        <is>
          <t>A 39457-2025</t>
        </is>
      </c>
      <c r="B302" s="1" t="n">
        <v>45889.76887731482</v>
      </c>
      <c r="C302" s="1" t="n">
        <v>46053</v>
      </c>
      <c r="D302" t="inlineStr">
        <is>
          <t>SKÅNE LÄN</t>
        </is>
      </c>
      <c r="E302" t="inlineStr">
        <is>
          <t>HÄSSLEHOLM</t>
        </is>
      </c>
      <c r="G302" t="n">
        <v>6.6</v>
      </c>
      <c r="H302" t="n">
        <v>0</v>
      </c>
      <c r="I302" t="n">
        <v>0</v>
      </c>
      <c r="J302" t="n">
        <v>0</v>
      </c>
      <c r="K302" t="n">
        <v>0</v>
      </c>
      <c r="L302" t="n">
        <v>0</v>
      </c>
      <c r="M302" t="n">
        <v>0</v>
      </c>
      <c r="N302" t="n">
        <v>0</v>
      </c>
      <c r="O302" t="n">
        <v>0</v>
      </c>
      <c r="P302" t="n">
        <v>0</v>
      </c>
      <c r="Q302" t="n">
        <v>0</v>
      </c>
      <c r="R302" s="2" t="inlineStr"/>
    </row>
    <row r="303" ht="15" customHeight="1">
      <c r="A303" t="inlineStr">
        <is>
          <t>A 29844-2024</t>
        </is>
      </c>
      <c r="B303" s="1" t="n">
        <v>45485</v>
      </c>
      <c r="C303" s="1" t="n">
        <v>46053</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40536-2024</t>
        </is>
      </c>
      <c r="B304" s="1" t="n">
        <v>45555.61314814815</v>
      </c>
      <c r="C304" s="1" t="n">
        <v>46053</v>
      </c>
      <c r="D304" t="inlineStr">
        <is>
          <t>SKÅNE LÄN</t>
        </is>
      </c>
      <c r="E304" t="inlineStr">
        <is>
          <t>HÄSSLEHOLM</t>
        </is>
      </c>
      <c r="G304" t="n">
        <v>1</v>
      </c>
      <c r="H304" t="n">
        <v>0</v>
      </c>
      <c r="I304" t="n">
        <v>0</v>
      </c>
      <c r="J304" t="n">
        <v>0</v>
      </c>
      <c r="K304" t="n">
        <v>0</v>
      </c>
      <c r="L304" t="n">
        <v>0</v>
      </c>
      <c r="M304" t="n">
        <v>0</v>
      </c>
      <c r="N304" t="n">
        <v>0</v>
      </c>
      <c r="O304" t="n">
        <v>0</v>
      </c>
      <c r="P304" t="n">
        <v>0</v>
      </c>
      <c r="Q304" t="n">
        <v>0</v>
      </c>
      <c r="R304" s="2" t="inlineStr"/>
    </row>
    <row r="305" ht="15" customHeight="1">
      <c r="A305" t="inlineStr">
        <is>
          <t>A 51287-2022</t>
        </is>
      </c>
      <c r="B305" s="1" t="n">
        <v>44868.83146990741</v>
      </c>
      <c r="C305" s="1" t="n">
        <v>46053</v>
      </c>
      <c r="D305" t="inlineStr">
        <is>
          <t>SKÅNE LÄN</t>
        </is>
      </c>
      <c r="E305" t="inlineStr">
        <is>
          <t>HÄSSLEHOLM</t>
        </is>
      </c>
      <c r="G305" t="n">
        <v>2.2</v>
      </c>
      <c r="H305" t="n">
        <v>0</v>
      </c>
      <c r="I305" t="n">
        <v>0</v>
      </c>
      <c r="J305" t="n">
        <v>0</v>
      </c>
      <c r="K305" t="n">
        <v>0</v>
      </c>
      <c r="L305" t="n">
        <v>0</v>
      </c>
      <c r="M305" t="n">
        <v>0</v>
      </c>
      <c r="N305" t="n">
        <v>0</v>
      </c>
      <c r="O305" t="n">
        <v>0</v>
      </c>
      <c r="P305" t="n">
        <v>0</v>
      </c>
      <c r="Q305" t="n">
        <v>0</v>
      </c>
      <c r="R305" s="2" t="inlineStr"/>
    </row>
    <row r="306" ht="15" customHeight="1">
      <c r="A306" t="inlineStr">
        <is>
          <t>A 33266-2024</t>
        </is>
      </c>
      <c r="B306" s="1" t="n">
        <v>45518</v>
      </c>
      <c r="C306" s="1" t="n">
        <v>46053</v>
      </c>
      <c r="D306" t="inlineStr">
        <is>
          <t>SKÅNE LÄN</t>
        </is>
      </c>
      <c r="E306" t="inlineStr">
        <is>
          <t>HÄSSLEHOLM</t>
        </is>
      </c>
      <c r="G306" t="n">
        <v>3.2</v>
      </c>
      <c r="H306" t="n">
        <v>0</v>
      </c>
      <c r="I306" t="n">
        <v>0</v>
      </c>
      <c r="J306" t="n">
        <v>0</v>
      </c>
      <c r="K306" t="n">
        <v>0</v>
      </c>
      <c r="L306" t="n">
        <v>0</v>
      </c>
      <c r="M306" t="n">
        <v>0</v>
      </c>
      <c r="N306" t="n">
        <v>0</v>
      </c>
      <c r="O306" t="n">
        <v>0</v>
      </c>
      <c r="P306" t="n">
        <v>0</v>
      </c>
      <c r="Q306" t="n">
        <v>0</v>
      </c>
      <c r="R306" s="2" t="inlineStr"/>
    </row>
    <row r="307" ht="15" customHeight="1">
      <c r="A307" t="inlineStr">
        <is>
          <t>A 56386-2023</t>
        </is>
      </c>
      <c r="B307" s="1" t="n">
        <v>45243</v>
      </c>
      <c r="C307" s="1" t="n">
        <v>46053</v>
      </c>
      <c r="D307" t="inlineStr">
        <is>
          <t>SKÅNE LÄN</t>
        </is>
      </c>
      <c r="E307" t="inlineStr">
        <is>
          <t>HÄSSLEHOLM</t>
        </is>
      </c>
      <c r="G307" t="n">
        <v>2</v>
      </c>
      <c r="H307" t="n">
        <v>0</v>
      </c>
      <c r="I307" t="n">
        <v>0</v>
      </c>
      <c r="J307" t="n">
        <v>0</v>
      </c>
      <c r="K307" t="n">
        <v>0</v>
      </c>
      <c r="L307" t="n">
        <v>0</v>
      </c>
      <c r="M307" t="n">
        <v>0</v>
      </c>
      <c r="N307" t="n">
        <v>0</v>
      </c>
      <c r="O307" t="n">
        <v>0</v>
      </c>
      <c r="P307" t="n">
        <v>0</v>
      </c>
      <c r="Q307" t="n">
        <v>0</v>
      </c>
      <c r="R307" s="2" t="inlineStr"/>
    </row>
    <row r="308" ht="15" customHeight="1">
      <c r="A308" t="inlineStr">
        <is>
          <t>A 24865-2024</t>
        </is>
      </c>
      <c r="B308" s="1" t="n">
        <v>45461.48974537037</v>
      </c>
      <c r="C308" s="1" t="n">
        <v>46053</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2490-2024</t>
        </is>
      </c>
      <c r="B309" s="1" t="n">
        <v>45313.43649305555</v>
      </c>
      <c r="C309" s="1" t="n">
        <v>46053</v>
      </c>
      <c r="D309" t="inlineStr">
        <is>
          <t>SKÅNE LÄN</t>
        </is>
      </c>
      <c r="E309" t="inlineStr">
        <is>
          <t>HÄSSLEHOLM</t>
        </is>
      </c>
      <c r="G309" t="n">
        <v>4</v>
      </c>
      <c r="H309" t="n">
        <v>0</v>
      </c>
      <c r="I309" t="n">
        <v>0</v>
      </c>
      <c r="J309" t="n">
        <v>0</v>
      </c>
      <c r="K309" t="n">
        <v>0</v>
      </c>
      <c r="L309" t="n">
        <v>0</v>
      </c>
      <c r="M309" t="n">
        <v>0</v>
      </c>
      <c r="N309" t="n">
        <v>0</v>
      </c>
      <c r="O309" t="n">
        <v>0</v>
      </c>
      <c r="P309" t="n">
        <v>0</v>
      </c>
      <c r="Q309" t="n">
        <v>0</v>
      </c>
      <c r="R309" s="2" t="inlineStr"/>
    </row>
    <row r="310" ht="15" customHeight="1">
      <c r="A310" t="inlineStr">
        <is>
          <t>A 50244-2024</t>
        </is>
      </c>
      <c r="B310" s="1" t="n">
        <v>45600.56502314815</v>
      </c>
      <c r="C310" s="1" t="n">
        <v>46053</v>
      </c>
      <c r="D310" t="inlineStr">
        <is>
          <t>SKÅNE LÄN</t>
        </is>
      </c>
      <c r="E310" t="inlineStr">
        <is>
          <t>HÄSSLEHOLM</t>
        </is>
      </c>
      <c r="G310" t="n">
        <v>1.9</v>
      </c>
      <c r="H310" t="n">
        <v>0</v>
      </c>
      <c r="I310" t="n">
        <v>0</v>
      </c>
      <c r="J310" t="n">
        <v>0</v>
      </c>
      <c r="K310" t="n">
        <v>0</v>
      </c>
      <c r="L310" t="n">
        <v>0</v>
      </c>
      <c r="M310" t="n">
        <v>0</v>
      </c>
      <c r="N310" t="n">
        <v>0</v>
      </c>
      <c r="O310" t="n">
        <v>0</v>
      </c>
      <c r="P310" t="n">
        <v>0</v>
      </c>
      <c r="Q310" t="n">
        <v>0</v>
      </c>
      <c r="R310" s="2" t="inlineStr"/>
    </row>
    <row r="311" ht="15" customHeight="1">
      <c r="A311" t="inlineStr">
        <is>
          <t>A 39366-2025</t>
        </is>
      </c>
      <c r="B311" s="1" t="n">
        <v>45889</v>
      </c>
      <c r="C311" s="1" t="n">
        <v>46053</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9924-2025</t>
        </is>
      </c>
      <c r="B312" s="1" t="n">
        <v>45717.72505787037</v>
      </c>
      <c r="C312" s="1" t="n">
        <v>46053</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33927-2021</t>
        </is>
      </c>
      <c r="B313" s="1" t="n">
        <v>44378</v>
      </c>
      <c r="C313" s="1" t="n">
        <v>46053</v>
      </c>
      <c r="D313" t="inlineStr">
        <is>
          <t>SKÅNE LÄN</t>
        </is>
      </c>
      <c r="E313" t="inlineStr">
        <is>
          <t>HÄSSLEHOLM</t>
        </is>
      </c>
      <c r="G313" t="n">
        <v>16.7</v>
      </c>
      <c r="H313" t="n">
        <v>0</v>
      </c>
      <c r="I313" t="n">
        <v>0</v>
      </c>
      <c r="J313" t="n">
        <v>0</v>
      </c>
      <c r="K313" t="n">
        <v>0</v>
      </c>
      <c r="L313" t="n">
        <v>0</v>
      </c>
      <c r="M313" t="n">
        <v>0</v>
      </c>
      <c r="N313" t="n">
        <v>0</v>
      </c>
      <c r="O313" t="n">
        <v>0</v>
      </c>
      <c r="P313" t="n">
        <v>0</v>
      </c>
      <c r="Q313" t="n">
        <v>0</v>
      </c>
      <c r="R313" s="2" t="inlineStr"/>
    </row>
    <row r="314" ht="15" customHeight="1">
      <c r="A314" t="inlineStr">
        <is>
          <t>A 25057-2024</t>
        </is>
      </c>
      <c r="B314" s="1" t="n">
        <v>45462</v>
      </c>
      <c r="C314" s="1" t="n">
        <v>46053</v>
      </c>
      <c r="D314" t="inlineStr">
        <is>
          <t>SKÅNE LÄN</t>
        </is>
      </c>
      <c r="E314" t="inlineStr">
        <is>
          <t>HÄSSLEHOLM</t>
        </is>
      </c>
      <c r="G314" t="n">
        <v>4.3</v>
      </c>
      <c r="H314" t="n">
        <v>0</v>
      </c>
      <c r="I314" t="n">
        <v>0</v>
      </c>
      <c r="J314" t="n">
        <v>0</v>
      </c>
      <c r="K314" t="n">
        <v>0</v>
      </c>
      <c r="L314" t="n">
        <v>0</v>
      </c>
      <c r="M314" t="n">
        <v>0</v>
      </c>
      <c r="N314" t="n">
        <v>0</v>
      </c>
      <c r="O314" t="n">
        <v>0</v>
      </c>
      <c r="P314" t="n">
        <v>0</v>
      </c>
      <c r="Q314" t="n">
        <v>0</v>
      </c>
      <c r="R314" s="2" t="inlineStr"/>
    </row>
    <row r="315" ht="15" customHeight="1">
      <c r="A315" t="inlineStr">
        <is>
          <t>A 13007-2024</t>
        </is>
      </c>
      <c r="B315" s="1" t="n">
        <v>45385.57092592592</v>
      </c>
      <c r="C315" s="1" t="n">
        <v>46053</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23007-2025</t>
        </is>
      </c>
      <c r="B316" s="1" t="n">
        <v>45790</v>
      </c>
      <c r="C316" s="1" t="n">
        <v>46053</v>
      </c>
      <c r="D316" t="inlineStr">
        <is>
          <t>SKÅNE LÄN</t>
        </is>
      </c>
      <c r="E316" t="inlineStr">
        <is>
          <t>HÄSSLEHOLM</t>
        </is>
      </c>
      <c r="G316" t="n">
        <v>0.4</v>
      </c>
      <c r="H316" t="n">
        <v>0</v>
      </c>
      <c r="I316" t="n">
        <v>0</v>
      </c>
      <c r="J316" t="n">
        <v>0</v>
      </c>
      <c r="K316" t="n">
        <v>0</v>
      </c>
      <c r="L316" t="n">
        <v>0</v>
      </c>
      <c r="M316" t="n">
        <v>0</v>
      </c>
      <c r="N316" t="n">
        <v>0</v>
      </c>
      <c r="O316" t="n">
        <v>0</v>
      </c>
      <c r="P316" t="n">
        <v>0</v>
      </c>
      <c r="Q316" t="n">
        <v>0</v>
      </c>
      <c r="R316" s="2" t="inlineStr"/>
    </row>
    <row r="317" ht="15" customHeight="1">
      <c r="A317" t="inlineStr">
        <is>
          <t>A 10028-2024</t>
        </is>
      </c>
      <c r="B317" s="1" t="n">
        <v>45363.97292824074</v>
      </c>
      <c r="C317" s="1" t="n">
        <v>46053</v>
      </c>
      <c r="D317" t="inlineStr">
        <is>
          <t>SKÅNE LÄN</t>
        </is>
      </c>
      <c r="E317" t="inlineStr">
        <is>
          <t>HÄSSLEHOLM</t>
        </is>
      </c>
      <c r="G317" t="n">
        <v>1.8</v>
      </c>
      <c r="H317" t="n">
        <v>0</v>
      </c>
      <c r="I317" t="n">
        <v>0</v>
      </c>
      <c r="J317" t="n">
        <v>0</v>
      </c>
      <c r="K317" t="n">
        <v>0</v>
      </c>
      <c r="L317" t="n">
        <v>0</v>
      </c>
      <c r="M317" t="n">
        <v>0</v>
      </c>
      <c r="N317" t="n">
        <v>0</v>
      </c>
      <c r="O317" t="n">
        <v>0</v>
      </c>
      <c r="P317" t="n">
        <v>0</v>
      </c>
      <c r="Q317" t="n">
        <v>0</v>
      </c>
      <c r="R317" s="2" t="inlineStr"/>
    </row>
    <row r="318" ht="15" customHeight="1">
      <c r="A318" t="inlineStr">
        <is>
          <t>A 7221-2025</t>
        </is>
      </c>
      <c r="B318" s="1" t="n">
        <v>45701</v>
      </c>
      <c r="C318" s="1" t="n">
        <v>46053</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74030-2021</t>
        </is>
      </c>
      <c r="B319" s="1" t="n">
        <v>44553</v>
      </c>
      <c r="C319" s="1" t="n">
        <v>46053</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27606-2024</t>
        </is>
      </c>
      <c r="B320" s="1" t="n">
        <v>45474</v>
      </c>
      <c r="C320" s="1" t="n">
        <v>46053</v>
      </c>
      <c r="D320" t="inlineStr">
        <is>
          <t>SKÅNE LÄN</t>
        </is>
      </c>
      <c r="E320" t="inlineStr">
        <is>
          <t>HÄSSLEHOLM</t>
        </is>
      </c>
      <c r="G320" t="n">
        <v>3.6</v>
      </c>
      <c r="H320" t="n">
        <v>0</v>
      </c>
      <c r="I320" t="n">
        <v>0</v>
      </c>
      <c r="J320" t="n">
        <v>0</v>
      </c>
      <c r="K320" t="n">
        <v>0</v>
      </c>
      <c r="L320" t="n">
        <v>0</v>
      </c>
      <c r="M320" t="n">
        <v>0</v>
      </c>
      <c r="N320" t="n">
        <v>0</v>
      </c>
      <c r="O320" t="n">
        <v>0</v>
      </c>
      <c r="P320" t="n">
        <v>0</v>
      </c>
      <c r="Q320" t="n">
        <v>0</v>
      </c>
      <c r="R320" s="2" t="inlineStr"/>
    </row>
    <row r="321" ht="15" customHeight="1">
      <c r="A321" t="inlineStr">
        <is>
          <t>A 61158-2022</t>
        </is>
      </c>
      <c r="B321" s="1" t="n">
        <v>44915.47112268519</v>
      </c>
      <c r="C321" s="1" t="n">
        <v>46053</v>
      </c>
      <c r="D321" t="inlineStr">
        <is>
          <t>SKÅNE LÄN</t>
        </is>
      </c>
      <c r="E321" t="inlineStr">
        <is>
          <t>HÄSSLEHOLM</t>
        </is>
      </c>
      <c r="G321" t="n">
        <v>8.4</v>
      </c>
      <c r="H321" t="n">
        <v>0</v>
      </c>
      <c r="I321" t="n">
        <v>0</v>
      </c>
      <c r="J321" t="n">
        <v>0</v>
      </c>
      <c r="K321" t="n">
        <v>0</v>
      </c>
      <c r="L321" t="n">
        <v>0</v>
      </c>
      <c r="M321" t="n">
        <v>0</v>
      </c>
      <c r="N321" t="n">
        <v>0</v>
      </c>
      <c r="O321" t="n">
        <v>0</v>
      </c>
      <c r="P321" t="n">
        <v>0</v>
      </c>
      <c r="Q321" t="n">
        <v>0</v>
      </c>
      <c r="R321" s="2" t="inlineStr"/>
    </row>
    <row r="322" ht="15" customHeight="1">
      <c r="A322" t="inlineStr">
        <is>
          <t>A 12468-2024</t>
        </is>
      </c>
      <c r="B322" s="1" t="n">
        <v>45379</v>
      </c>
      <c r="C322" s="1" t="n">
        <v>46053</v>
      </c>
      <c r="D322" t="inlineStr">
        <is>
          <t>SKÅNE LÄN</t>
        </is>
      </c>
      <c r="E322" t="inlineStr">
        <is>
          <t>HÄSSLEHOLM</t>
        </is>
      </c>
      <c r="G322" t="n">
        <v>15.5</v>
      </c>
      <c r="H322" t="n">
        <v>0</v>
      </c>
      <c r="I322" t="n">
        <v>0</v>
      </c>
      <c r="J322" t="n">
        <v>0</v>
      </c>
      <c r="K322" t="n">
        <v>0</v>
      </c>
      <c r="L322" t="n">
        <v>0</v>
      </c>
      <c r="M322" t="n">
        <v>0</v>
      </c>
      <c r="N322" t="n">
        <v>0</v>
      </c>
      <c r="O322" t="n">
        <v>0</v>
      </c>
      <c r="P322" t="n">
        <v>0</v>
      </c>
      <c r="Q322" t="n">
        <v>0</v>
      </c>
      <c r="R322" s="2" t="inlineStr"/>
    </row>
    <row r="323" ht="15" customHeight="1">
      <c r="A323" t="inlineStr">
        <is>
          <t>A 56735-2024</t>
        </is>
      </c>
      <c r="B323" s="1" t="n">
        <v>45628.36234953703</v>
      </c>
      <c r="C323" s="1" t="n">
        <v>46053</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2621-2025</t>
        </is>
      </c>
      <c r="B324" s="1" t="n">
        <v>45675.60765046296</v>
      </c>
      <c r="C324" s="1" t="n">
        <v>46053</v>
      </c>
      <c r="D324" t="inlineStr">
        <is>
          <t>SKÅNE LÄN</t>
        </is>
      </c>
      <c r="E324" t="inlineStr">
        <is>
          <t>HÄSSLEHOLM</t>
        </is>
      </c>
      <c r="F324" t="inlineStr">
        <is>
          <t>Kommuner</t>
        </is>
      </c>
      <c r="G324" t="n">
        <v>3</v>
      </c>
      <c r="H324" t="n">
        <v>0</v>
      </c>
      <c r="I324" t="n">
        <v>0</v>
      </c>
      <c r="J324" t="n">
        <v>0</v>
      </c>
      <c r="K324" t="n">
        <v>0</v>
      </c>
      <c r="L324" t="n">
        <v>0</v>
      </c>
      <c r="M324" t="n">
        <v>0</v>
      </c>
      <c r="N324" t="n">
        <v>0</v>
      </c>
      <c r="O324" t="n">
        <v>0</v>
      </c>
      <c r="P324" t="n">
        <v>0</v>
      </c>
      <c r="Q324" t="n">
        <v>0</v>
      </c>
      <c r="R324" s="2" t="inlineStr"/>
    </row>
    <row r="325" ht="15" customHeight="1">
      <c r="A325" t="inlineStr">
        <is>
          <t>A 4009-2024</t>
        </is>
      </c>
      <c r="B325" s="1" t="n">
        <v>45323</v>
      </c>
      <c r="C325" s="1" t="n">
        <v>46053</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39934-2025</t>
        </is>
      </c>
      <c r="B326" s="1" t="n">
        <v>45891.71465277778</v>
      </c>
      <c r="C326" s="1" t="n">
        <v>46053</v>
      </c>
      <c r="D326" t="inlineStr">
        <is>
          <t>SKÅNE LÄN</t>
        </is>
      </c>
      <c r="E326" t="inlineStr">
        <is>
          <t>HÄSSLEHOLM</t>
        </is>
      </c>
      <c r="G326" t="n">
        <v>0.7</v>
      </c>
      <c r="H326" t="n">
        <v>0</v>
      </c>
      <c r="I326" t="n">
        <v>0</v>
      </c>
      <c r="J326" t="n">
        <v>0</v>
      </c>
      <c r="K326" t="n">
        <v>0</v>
      </c>
      <c r="L326" t="n">
        <v>0</v>
      </c>
      <c r="M326" t="n">
        <v>0</v>
      </c>
      <c r="N326" t="n">
        <v>0</v>
      </c>
      <c r="O326" t="n">
        <v>0</v>
      </c>
      <c r="P326" t="n">
        <v>0</v>
      </c>
      <c r="Q326" t="n">
        <v>0</v>
      </c>
      <c r="R326" s="2" t="inlineStr"/>
    </row>
    <row r="327" ht="15" customHeight="1">
      <c r="A327" t="inlineStr">
        <is>
          <t>A 23005-2025</t>
        </is>
      </c>
      <c r="B327" s="1" t="n">
        <v>45790</v>
      </c>
      <c r="C327" s="1" t="n">
        <v>46053</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60848-2022</t>
        </is>
      </c>
      <c r="B328" s="1" t="n">
        <v>44914</v>
      </c>
      <c r="C328" s="1" t="n">
        <v>46053</v>
      </c>
      <c r="D328" t="inlineStr">
        <is>
          <t>SKÅNE LÄN</t>
        </is>
      </c>
      <c r="E328" t="inlineStr">
        <is>
          <t>HÄSSLEHOLM</t>
        </is>
      </c>
      <c r="G328" t="n">
        <v>0.5</v>
      </c>
      <c r="H328" t="n">
        <v>0</v>
      </c>
      <c r="I328" t="n">
        <v>0</v>
      </c>
      <c r="J328" t="n">
        <v>0</v>
      </c>
      <c r="K328" t="n">
        <v>0</v>
      </c>
      <c r="L328" t="n">
        <v>0</v>
      </c>
      <c r="M328" t="n">
        <v>0</v>
      </c>
      <c r="N328" t="n">
        <v>0</v>
      </c>
      <c r="O328" t="n">
        <v>0</v>
      </c>
      <c r="P328" t="n">
        <v>0</v>
      </c>
      <c r="Q328" t="n">
        <v>0</v>
      </c>
      <c r="R328" s="2" t="inlineStr"/>
    </row>
    <row r="329" ht="15" customHeight="1">
      <c r="A329" t="inlineStr">
        <is>
          <t>A 8737-2025</t>
        </is>
      </c>
      <c r="B329" s="1" t="n">
        <v>45712.54578703704</v>
      </c>
      <c r="C329" s="1" t="n">
        <v>46053</v>
      </c>
      <c r="D329" t="inlineStr">
        <is>
          <t>SKÅNE LÄN</t>
        </is>
      </c>
      <c r="E329" t="inlineStr">
        <is>
          <t>HÄSSLEHOLM</t>
        </is>
      </c>
      <c r="G329" t="n">
        <v>2.7</v>
      </c>
      <c r="H329" t="n">
        <v>0</v>
      </c>
      <c r="I329" t="n">
        <v>0</v>
      </c>
      <c r="J329" t="n">
        <v>0</v>
      </c>
      <c r="K329" t="n">
        <v>0</v>
      </c>
      <c r="L329" t="n">
        <v>0</v>
      </c>
      <c r="M329" t="n">
        <v>0</v>
      </c>
      <c r="N329" t="n">
        <v>0</v>
      </c>
      <c r="O329" t="n">
        <v>0</v>
      </c>
      <c r="P329" t="n">
        <v>0</v>
      </c>
      <c r="Q329" t="n">
        <v>0</v>
      </c>
      <c r="R329" s="2" t="inlineStr"/>
    </row>
    <row r="330" ht="15" customHeight="1">
      <c r="A330" t="inlineStr">
        <is>
          <t>A 22587-2025</t>
        </is>
      </c>
      <c r="B330" s="1" t="n">
        <v>45789.39974537037</v>
      </c>
      <c r="C330" s="1" t="n">
        <v>46053</v>
      </c>
      <c r="D330" t="inlineStr">
        <is>
          <t>SKÅNE LÄN</t>
        </is>
      </c>
      <c r="E330" t="inlineStr">
        <is>
          <t>HÄSSLEHOLM</t>
        </is>
      </c>
      <c r="G330" t="n">
        <v>5.7</v>
      </c>
      <c r="H330" t="n">
        <v>0</v>
      </c>
      <c r="I330" t="n">
        <v>0</v>
      </c>
      <c r="J330" t="n">
        <v>0</v>
      </c>
      <c r="K330" t="n">
        <v>0</v>
      </c>
      <c r="L330" t="n">
        <v>0</v>
      </c>
      <c r="M330" t="n">
        <v>0</v>
      </c>
      <c r="N330" t="n">
        <v>0</v>
      </c>
      <c r="O330" t="n">
        <v>0</v>
      </c>
      <c r="P330" t="n">
        <v>0</v>
      </c>
      <c r="Q330" t="n">
        <v>0</v>
      </c>
      <c r="R330" s="2" t="inlineStr"/>
    </row>
    <row r="331" ht="15" customHeight="1">
      <c r="A331" t="inlineStr">
        <is>
          <t>A 22592-2025</t>
        </is>
      </c>
      <c r="B331" s="1" t="n">
        <v>45789.40502314815</v>
      </c>
      <c r="C331" s="1" t="n">
        <v>46053</v>
      </c>
      <c r="D331" t="inlineStr">
        <is>
          <t>SKÅNE LÄN</t>
        </is>
      </c>
      <c r="E331" t="inlineStr">
        <is>
          <t>HÄSSLEHOLM</t>
        </is>
      </c>
      <c r="G331" t="n">
        <v>7.1</v>
      </c>
      <c r="H331" t="n">
        <v>0</v>
      </c>
      <c r="I331" t="n">
        <v>0</v>
      </c>
      <c r="J331" t="n">
        <v>0</v>
      </c>
      <c r="K331" t="n">
        <v>0</v>
      </c>
      <c r="L331" t="n">
        <v>0</v>
      </c>
      <c r="M331" t="n">
        <v>0</v>
      </c>
      <c r="N331" t="n">
        <v>0</v>
      </c>
      <c r="O331" t="n">
        <v>0</v>
      </c>
      <c r="P331" t="n">
        <v>0</v>
      </c>
      <c r="Q331" t="n">
        <v>0</v>
      </c>
      <c r="R331" s="2" t="inlineStr"/>
    </row>
    <row r="332" ht="15" customHeight="1">
      <c r="A332" t="inlineStr">
        <is>
          <t>A 39937-2025</t>
        </is>
      </c>
      <c r="B332" s="1" t="n">
        <v>45891.73162037037</v>
      </c>
      <c r="C332" s="1" t="n">
        <v>46053</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9555-2025</t>
        </is>
      </c>
      <c r="B333" s="1" t="n">
        <v>45714</v>
      </c>
      <c r="C333" s="1" t="n">
        <v>46053</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57649-2022</t>
        </is>
      </c>
      <c r="B334" s="1" t="n">
        <v>44897.42755787037</v>
      </c>
      <c r="C334" s="1" t="n">
        <v>46053</v>
      </c>
      <c r="D334" t="inlineStr">
        <is>
          <t>SKÅNE LÄN</t>
        </is>
      </c>
      <c r="E334" t="inlineStr">
        <is>
          <t>HÄSSLEHOLM</t>
        </is>
      </c>
      <c r="G334" t="n">
        <v>0.5</v>
      </c>
      <c r="H334" t="n">
        <v>0</v>
      </c>
      <c r="I334" t="n">
        <v>0</v>
      </c>
      <c r="J334" t="n">
        <v>0</v>
      </c>
      <c r="K334" t="n">
        <v>0</v>
      </c>
      <c r="L334" t="n">
        <v>0</v>
      </c>
      <c r="M334" t="n">
        <v>0</v>
      </c>
      <c r="N334" t="n">
        <v>0</v>
      </c>
      <c r="O334" t="n">
        <v>0</v>
      </c>
      <c r="P334" t="n">
        <v>0</v>
      </c>
      <c r="Q334" t="n">
        <v>0</v>
      </c>
      <c r="R334" s="2" t="inlineStr"/>
    </row>
    <row r="335" ht="15" customHeight="1">
      <c r="A335" t="inlineStr">
        <is>
          <t>A 57665-2022</t>
        </is>
      </c>
      <c r="B335" s="1" t="n">
        <v>44897.4494212963</v>
      </c>
      <c r="C335" s="1" t="n">
        <v>46053</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57676-2022</t>
        </is>
      </c>
      <c r="B336" s="1" t="n">
        <v>44897</v>
      </c>
      <c r="C336" s="1" t="n">
        <v>46053</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17171-2025</t>
        </is>
      </c>
      <c r="B337" s="1" t="n">
        <v>45755</v>
      </c>
      <c r="C337" s="1" t="n">
        <v>46053</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48722-2025</t>
        </is>
      </c>
      <c r="B338" s="1" t="n">
        <v>45935</v>
      </c>
      <c r="C338" s="1" t="n">
        <v>46053</v>
      </c>
      <c r="D338" t="inlineStr">
        <is>
          <t>SKÅNE LÄN</t>
        </is>
      </c>
      <c r="E338" t="inlineStr">
        <is>
          <t>HÄSSLEHOLM</t>
        </is>
      </c>
      <c r="G338" t="n">
        <v>4.3</v>
      </c>
      <c r="H338" t="n">
        <v>0</v>
      </c>
      <c r="I338" t="n">
        <v>0</v>
      </c>
      <c r="J338" t="n">
        <v>0</v>
      </c>
      <c r="K338" t="n">
        <v>0</v>
      </c>
      <c r="L338" t="n">
        <v>0</v>
      </c>
      <c r="M338" t="n">
        <v>0</v>
      </c>
      <c r="N338" t="n">
        <v>0</v>
      </c>
      <c r="O338" t="n">
        <v>0</v>
      </c>
      <c r="P338" t="n">
        <v>0</v>
      </c>
      <c r="Q338" t="n">
        <v>0</v>
      </c>
      <c r="R338" s="2" t="inlineStr"/>
    </row>
    <row r="339" ht="15" customHeight="1">
      <c r="A339" t="inlineStr">
        <is>
          <t>A 40241-2025</t>
        </is>
      </c>
      <c r="B339" s="1" t="n">
        <v>45894.87251157407</v>
      </c>
      <c r="C339" s="1" t="n">
        <v>46053</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13954-2023</t>
        </is>
      </c>
      <c r="B340" s="1" t="n">
        <v>45008</v>
      </c>
      <c r="C340" s="1" t="n">
        <v>46053</v>
      </c>
      <c r="D340" t="inlineStr">
        <is>
          <t>SKÅNE LÄN</t>
        </is>
      </c>
      <c r="E340" t="inlineStr">
        <is>
          <t>HÄSSLEHOLM</t>
        </is>
      </c>
      <c r="G340" t="n">
        <v>1.9</v>
      </c>
      <c r="H340" t="n">
        <v>0</v>
      </c>
      <c r="I340" t="n">
        <v>0</v>
      </c>
      <c r="J340" t="n">
        <v>0</v>
      </c>
      <c r="K340" t="n">
        <v>0</v>
      </c>
      <c r="L340" t="n">
        <v>0</v>
      </c>
      <c r="M340" t="n">
        <v>0</v>
      </c>
      <c r="N340" t="n">
        <v>0</v>
      </c>
      <c r="O340" t="n">
        <v>0</v>
      </c>
      <c r="P340" t="n">
        <v>0</v>
      </c>
      <c r="Q340" t="n">
        <v>0</v>
      </c>
      <c r="R340" s="2" t="inlineStr"/>
    </row>
    <row r="341" ht="15" customHeight="1">
      <c r="A341" t="inlineStr">
        <is>
          <t>A 51018-2023</t>
        </is>
      </c>
      <c r="B341" s="1" t="n">
        <v>45218</v>
      </c>
      <c r="C341" s="1" t="n">
        <v>46053</v>
      </c>
      <c r="D341" t="inlineStr">
        <is>
          <t>SKÅNE LÄN</t>
        </is>
      </c>
      <c r="E341" t="inlineStr">
        <is>
          <t>HÄSSLEHOLM</t>
        </is>
      </c>
      <c r="G341" t="n">
        <v>3.1</v>
      </c>
      <c r="H341" t="n">
        <v>0</v>
      </c>
      <c r="I341" t="n">
        <v>0</v>
      </c>
      <c r="J341" t="n">
        <v>0</v>
      </c>
      <c r="K341" t="n">
        <v>0</v>
      </c>
      <c r="L341" t="n">
        <v>0</v>
      </c>
      <c r="M341" t="n">
        <v>0</v>
      </c>
      <c r="N341" t="n">
        <v>0</v>
      </c>
      <c r="O341" t="n">
        <v>0</v>
      </c>
      <c r="P341" t="n">
        <v>0</v>
      </c>
      <c r="Q341" t="n">
        <v>0</v>
      </c>
      <c r="R341" s="2" t="inlineStr"/>
    </row>
    <row r="342" ht="15" customHeight="1">
      <c r="A342" t="inlineStr">
        <is>
          <t>A 40152-2024</t>
        </is>
      </c>
      <c r="B342" s="1" t="n">
        <v>45554</v>
      </c>
      <c r="C342" s="1" t="n">
        <v>46053</v>
      </c>
      <c r="D342" t="inlineStr">
        <is>
          <t>SKÅNE LÄN</t>
        </is>
      </c>
      <c r="E342" t="inlineStr">
        <is>
          <t>HÄSSLEHOLM</t>
        </is>
      </c>
      <c r="G342" t="n">
        <v>1.1</v>
      </c>
      <c r="H342" t="n">
        <v>0</v>
      </c>
      <c r="I342" t="n">
        <v>0</v>
      </c>
      <c r="J342" t="n">
        <v>0</v>
      </c>
      <c r="K342" t="n">
        <v>0</v>
      </c>
      <c r="L342" t="n">
        <v>0</v>
      </c>
      <c r="M342" t="n">
        <v>0</v>
      </c>
      <c r="N342" t="n">
        <v>0</v>
      </c>
      <c r="O342" t="n">
        <v>0</v>
      </c>
      <c r="P342" t="n">
        <v>0</v>
      </c>
      <c r="Q342" t="n">
        <v>0</v>
      </c>
      <c r="R342" s="2" t="inlineStr"/>
    </row>
    <row r="343" ht="15" customHeight="1">
      <c r="A343" t="inlineStr">
        <is>
          <t>A 31254-2024</t>
        </is>
      </c>
      <c r="B343" s="1" t="n">
        <v>45503</v>
      </c>
      <c r="C343" s="1" t="n">
        <v>46053</v>
      </c>
      <c r="D343" t="inlineStr">
        <is>
          <t>SKÅNE LÄN</t>
        </is>
      </c>
      <c r="E343" t="inlineStr">
        <is>
          <t>HÄSSLEHOLM</t>
        </is>
      </c>
      <c r="G343" t="n">
        <v>2.2</v>
      </c>
      <c r="H343" t="n">
        <v>0</v>
      </c>
      <c r="I343" t="n">
        <v>0</v>
      </c>
      <c r="J343" t="n">
        <v>0</v>
      </c>
      <c r="K343" t="n">
        <v>0</v>
      </c>
      <c r="L343" t="n">
        <v>0</v>
      </c>
      <c r="M343" t="n">
        <v>0</v>
      </c>
      <c r="N343" t="n">
        <v>0</v>
      </c>
      <c r="O343" t="n">
        <v>0</v>
      </c>
      <c r="P343" t="n">
        <v>0</v>
      </c>
      <c r="Q343" t="n">
        <v>0</v>
      </c>
      <c r="R343" s="2" t="inlineStr"/>
    </row>
    <row r="344" ht="15" customHeight="1">
      <c r="A344" t="inlineStr">
        <is>
          <t>A 27825-2024</t>
        </is>
      </c>
      <c r="B344" s="1" t="n">
        <v>45475</v>
      </c>
      <c r="C344" s="1" t="n">
        <v>46053</v>
      </c>
      <c r="D344" t="inlineStr">
        <is>
          <t>SKÅNE LÄN</t>
        </is>
      </c>
      <c r="E344" t="inlineStr">
        <is>
          <t>HÄSSLEHOLM</t>
        </is>
      </c>
      <c r="F344" t="inlineStr">
        <is>
          <t>Kommuner</t>
        </is>
      </c>
      <c r="G344" t="n">
        <v>1.1</v>
      </c>
      <c r="H344" t="n">
        <v>0</v>
      </c>
      <c r="I344" t="n">
        <v>0</v>
      </c>
      <c r="J344" t="n">
        <v>0</v>
      </c>
      <c r="K344" t="n">
        <v>0</v>
      </c>
      <c r="L344" t="n">
        <v>0</v>
      </c>
      <c r="M344" t="n">
        <v>0</v>
      </c>
      <c r="N344" t="n">
        <v>0</v>
      </c>
      <c r="O344" t="n">
        <v>0</v>
      </c>
      <c r="P344" t="n">
        <v>0</v>
      </c>
      <c r="Q344" t="n">
        <v>0</v>
      </c>
      <c r="R344" s="2" t="inlineStr"/>
    </row>
    <row r="345" ht="15" customHeight="1">
      <c r="A345" t="inlineStr">
        <is>
          <t>A 54671-2022</t>
        </is>
      </c>
      <c r="B345" s="1" t="n">
        <v>44883</v>
      </c>
      <c r="C345" s="1" t="n">
        <v>46053</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53887-2023</t>
        </is>
      </c>
      <c r="B346" s="1" t="n">
        <v>45231.52675925926</v>
      </c>
      <c r="C346" s="1" t="n">
        <v>46053</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37764-2022</t>
        </is>
      </c>
      <c r="B347" s="1" t="n">
        <v>44810</v>
      </c>
      <c r="C347" s="1" t="n">
        <v>46053</v>
      </c>
      <c r="D347" t="inlineStr">
        <is>
          <t>SKÅNE LÄN</t>
        </is>
      </c>
      <c r="E347" t="inlineStr">
        <is>
          <t>HÄSSLEHOLM</t>
        </is>
      </c>
      <c r="F347" t="inlineStr">
        <is>
          <t>Kyrkan</t>
        </is>
      </c>
      <c r="G347" t="n">
        <v>9.4</v>
      </c>
      <c r="H347" t="n">
        <v>0</v>
      </c>
      <c r="I347" t="n">
        <v>0</v>
      </c>
      <c r="J347" t="n">
        <v>0</v>
      </c>
      <c r="K347" t="n">
        <v>0</v>
      </c>
      <c r="L347" t="n">
        <v>0</v>
      </c>
      <c r="M347" t="n">
        <v>0</v>
      </c>
      <c r="N347" t="n">
        <v>0</v>
      </c>
      <c r="O347" t="n">
        <v>0</v>
      </c>
      <c r="P347" t="n">
        <v>0</v>
      </c>
      <c r="Q347" t="n">
        <v>0</v>
      </c>
      <c r="R347" s="2" t="inlineStr"/>
    </row>
    <row r="348" ht="15" customHeight="1">
      <c r="A348" t="inlineStr">
        <is>
          <t>A 49167-2022</t>
        </is>
      </c>
      <c r="B348" s="1" t="n">
        <v>44860</v>
      </c>
      <c r="C348" s="1" t="n">
        <v>46053</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28071-2023</t>
        </is>
      </c>
      <c r="B349" s="1" t="n">
        <v>45099.37755787037</v>
      </c>
      <c r="C349" s="1" t="n">
        <v>46053</v>
      </c>
      <c r="D349" t="inlineStr">
        <is>
          <t>SKÅNE LÄN</t>
        </is>
      </c>
      <c r="E349" t="inlineStr">
        <is>
          <t>HÄSSLEHOLM</t>
        </is>
      </c>
      <c r="G349" t="n">
        <v>0.8</v>
      </c>
      <c r="H349" t="n">
        <v>0</v>
      </c>
      <c r="I349" t="n">
        <v>0</v>
      </c>
      <c r="J349" t="n">
        <v>0</v>
      </c>
      <c r="K349" t="n">
        <v>0</v>
      </c>
      <c r="L349" t="n">
        <v>0</v>
      </c>
      <c r="M349" t="n">
        <v>0</v>
      </c>
      <c r="N349" t="n">
        <v>0</v>
      </c>
      <c r="O349" t="n">
        <v>0</v>
      </c>
      <c r="P349" t="n">
        <v>0</v>
      </c>
      <c r="Q349" t="n">
        <v>0</v>
      </c>
      <c r="R349" s="2" t="inlineStr"/>
    </row>
    <row r="350" ht="15" customHeight="1">
      <c r="A350" t="inlineStr">
        <is>
          <t>A 3507-2024</t>
        </is>
      </c>
      <c r="B350" s="1" t="n">
        <v>45320.4906712963</v>
      </c>
      <c r="C350" s="1" t="n">
        <v>46053</v>
      </c>
      <c r="D350" t="inlineStr">
        <is>
          <t>SKÅNE LÄN</t>
        </is>
      </c>
      <c r="E350" t="inlineStr">
        <is>
          <t>HÄSSLEHOLM</t>
        </is>
      </c>
      <c r="G350" t="n">
        <v>6.4</v>
      </c>
      <c r="H350" t="n">
        <v>0</v>
      </c>
      <c r="I350" t="n">
        <v>0</v>
      </c>
      <c r="J350" t="n">
        <v>0</v>
      </c>
      <c r="K350" t="n">
        <v>0</v>
      </c>
      <c r="L350" t="n">
        <v>0</v>
      </c>
      <c r="M350" t="n">
        <v>0</v>
      </c>
      <c r="N350" t="n">
        <v>0</v>
      </c>
      <c r="O350" t="n">
        <v>0</v>
      </c>
      <c r="P350" t="n">
        <v>0</v>
      </c>
      <c r="Q350" t="n">
        <v>0</v>
      </c>
      <c r="R350" s="2" t="inlineStr"/>
    </row>
    <row r="351" ht="15" customHeight="1">
      <c r="A351" t="inlineStr">
        <is>
          <t>A 4119-2024</t>
        </is>
      </c>
      <c r="B351" s="1" t="n">
        <v>45323.67920138889</v>
      </c>
      <c r="C351" s="1" t="n">
        <v>46053</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48877-2024</t>
        </is>
      </c>
      <c r="B352" s="1" t="n">
        <v>45594.31729166667</v>
      </c>
      <c r="C352" s="1" t="n">
        <v>46053</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47647-2024</t>
        </is>
      </c>
      <c r="B353" s="1" t="n">
        <v>45588</v>
      </c>
      <c r="C353" s="1" t="n">
        <v>46053</v>
      </c>
      <c r="D353" t="inlineStr">
        <is>
          <t>SKÅNE LÄN</t>
        </is>
      </c>
      <c r="E353" t="inlineStr">
        <is>
          <t>HÄSSLEHOLM</t>
        </is>
      </c>
      <c r="G353" t="n">
        <v>6.5</v>
      </c>
      <c r="H353" t="n">
        <v>0</v>
      </c>
      <c r="I353" t="n">
        <v>0</v>
      </c>
      <c r="J353" t="n">
        <v>0</v>
      </c>
      <c r="K353" t="n">
        <v>0</v>
      </c>
      <c r="L353" t="n">
        <v>0</v>
      </c>
      <c r="M353" t="n">
        <v>0</v>
      </c>
      <c r="N353" t="n">
        <v>0</v>
      </c>
      <c r="O353" t="n">
        <v>0</v>
      </c>
      <c r="P353" t="n">
        <v>0</v>
      </c>
      <c r="Q353" t="n">
        <v>0</v>
      </c>
      <c r="R353" s="2" t="inlineStr"/>
    </row>
    <row r="354" ht="15" customHeight="1">
      <c r="A354" t="inlineStr">
        <is>
          <t>A 1619-2022</t>
        </is>
      </c>
      <c r="B354" s="1" t="n">
        <v>44573</v>
      </c>
      <c r="C354" s="1" t="n">
        <v>46053</v>
      </c>
      <c r="D354" t="inlineStr">
        <is>
          <t>SKÅNE LÄN</t>
        </is>
      </c>
      <c r="E354" t="inlineStr">
        <is>
          <t>HÄSSLEHOLM</t>
        </is>
      </c>
      <c r="G354" t="n">
        <v>1.8</v>
      </c>
      <c r="H354" t="n">
        <v>0</v>
      </c>
      <c r="I354" t="n">
        <v>0</v>
      </c>
      <c r="J354" t="n">
        <v>0</v>
      </c>
      <c r="K354" t="n">
        <v>0</v>
      </c>
      <c r="L354" t="n">
        <v>0</v>
      </c>
      <c r="M354" t="n">
        <v>0</v>
      </c>
      <c r="N354" t="n">
        <v>0</v>
      </c>
      <c r="O354" t="n">
        <v>0</v>
      </c>
      <c r="P354" t="n">
        <v>0</v>
      </c>
      <c r="Q354" t="n">
        <v>0</v>
      </c>
      <c r="R354" s="2" t="inlineStr"/>
    </row>
    <row r="355" ht="15" customHeight="1">
      <c r="A355" t="inlineStr">
        <is>
          <t>A 37486-2024</t>
        </is>
      </c>
      <c r="B355" s="1" t="n">
        <v>45541</v>
      </c>
      <c r="C355" s="1" t="n">
        <v>46053</v>
      </c>
      <c r="D355" t="inlineStr">
        <is>
          <t>SKÅNE LÄN</t>
        </is>
      </c>
      <c r="E355" t="inlineStr">
        <is>
          <t>HÄSSLEHOLM</t>
        </is>
      </c>
      <c r="G355" t="n">
        <v>8.5</v>
      </c>
      <c r="H355" t="n">
        <v>0</v>
      </c>
      <c r="I355" t="n">
        <v>0</v>
      </c>
      <c r="J355" t="n">
        <v>0</v>
      </c>
      <c r="K355" t="n">
        <v>0</v>
      </c>
      <c r="L355" t="n">
        <v>0</v>
      </c>
      <c r="M355" t="n">
        <v>0</v>
      </c>
      <c r="N355" t="n">
        <v>0</v>
      </c>
      <c r="O355" t="n">
        <v>0</v>
      </c>
      <c r="P355" t="n">
        <v>0</v>
      </c>
      <c r="Q355" t="n">
        <v>0</v>
      </c>
      <c r="R355" s="2" t="inlineStr"/>
    </row>
    <row r="356" ht="15" customHeight="1">
      <c r="A356" t="inlineStr">
        <is>
          <t>A 44838-2023</t>
        </is>
      </c>
      <c r="B356" s="1" t="n">
        <v>45190</v>
      </c>
      <c r="C356" s="1" t="n">
        <v>46053</v>
      </c>
      <c r="D356" t="inlineStr">
        <is>
          <t>SKÅNE LÄN</t>
        </is>
      </c>
      <c r="E356" t="inlineStr">
        <is>
          <t>HÄSSLEHOLM</t>
        </is>
      </c>
      <c r="F356" t="inlineStr">
        <is>
          <t>Kommuner</t>
        </is>
      </c>
      <c r="G356" t="n">
        <v>2</v>
      </c>
      <c r="H356" t="n">
        <v>0</v>
      </c>
      <c r="I356" t="n">
        <v>0</v>
      </c>
      <c r="J356" t="n">
        <v>0</v>
      </c>
      <c r="K356" t="n">
        <v>0</v>
      </c>
      <c r="L356" t="n">
        <v>0</v>
      </c>
      <c r="M356" t="n">
        <v>0</v>
      </c>
      <c r="N356" t="n">
        <v>0</v>
      </c>
      <c r="O356" t="n">
        <v>0</v>
      </c>
      <c r="P356" t="n">
        <v>0</v>
      </c>
      <c r="Q356" t="n">
        <v>0</v>
      </c>
      <c r="R356" s="2" t="inlineStr"/>
    </row>
    <row r="357" ht="15" customHeight="1">
      <c r="A357" t="inlineStr">
        <is>
          <t>A 15072-2024</t>
        </is>
      </c>
      <c r="B357" s="1" t="n">
        <v>45399.5996875</v>
      </c>
      <c r="C357" s="1" t="n">
        <v>46053</v>
      </c>
      <c r="D357" t="inlineStr">
        <is>
          <t>SKÅNE LÄN</t>
        </is>
      </c>
      <c r="E357" t="inlineStr">
        <is>
          <t>HÄSSLEHOLM</t>
        </is>
      </c>
      <c r="G357" t="n">
        <v>1.4</v>
      </c>
      <c r="H357" t="n">
        <v>0</v>
      </c>
      <c r="I357" t="n">
        <v>0</v>
      </c>
      <c r="J357" t="n">
        <v>0</v>
      </c>
      <c r="K357" t="n">
        <v>0</v>
      </c>
      <c r="L357" t="n">
        <v>0</v>
      </c>
      <c r="M357" t="n">
        <v>0</v>
      </c>
      <c r="N357" t="n">
        <v>0</v>
      </c>
      <c r="O357" t="n">
        <v>0</v>
      </c>
      <c r="P357" t="n">
        <v>0</v>
      </c>
      <c r="Q357" t="n">
        <v>0</v>
      </c>
      <c r="R357" s="2" t="inlineStr"/>
    </row>
    <row r="358" ht="15" customHeight="1">
      <c r="A358" t="inlineStr">
        <is>
          <t>A 22132-2024</t>
        </is>
      </c>
      <c r="B358" s="1" t="n">
        <v>45444.37234953704</v>
      </c>
      <c r="C358" s="1" t="n">
        <v>46053</v>
      </c>
      <c r="D358" t="inlineStr">
        <is>
          <t>SKÅNE LÄN</t>
        </is>
      </c>
      <c r="E358" t="inlineStr">
        <is>
          <t>HÄSSLEHOLM</t>
        </is>
      </c>
      <c r="G358" t="n">
        <v>3.1</v>
      </c>
      <c r="H358" t="n">
        <v>0</v>
      </c>
      <c r="I358" t="n">
        <v>0</v>
      </c>
      <c r="J358" t="n">
        <v>0</v>
      </c>
      <c r="K358" t="n">
        <v>0</v>
      </c>
      <c r="L358" t="n">
        <v>0</v>
      </c>
      <c r="M358" t="n">
        <v>0</v>
      </c>
      <c r="N358" t="n">
        <v>0</v>
      </c>
      <c r="O358" t="n">
        <v>0</v>
      </c>
      <c r="P358" t="n">
        <v>0</v>
      </c>
      <c r="Q358" t="n">
        <v>0</v>
      </c>
      <c r="R358" s="2" t="inlineStr"/>
    </row>
    <row r="359" ht="15" customHeight="1">
      <c r="A359" t="inlineStr">
        <is>
          <t>A 54171-2022</t>
        </is>
      </c>
      <c r="B359" s="1" t="n">
        <v>44881</v>
      </c>
      <c r="C359" s="1" t="n">
        <v>46053</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16930-2024</t>
        </is>
      </c>
      <c r="B360" s="1" t="n">
        <v>45411</v>
      </c>
      <c r="C360" s="1" t="n">
        <v>46053</v>
      </c>
      <c r="D360" t="inlineStr">
        <is>
          <t>SKÅNE LÄN</t>
        </is>
      </c>
      <c r="E360" t="inlineStr">
        <is>
          <t>HÄSSLEHOLM</t>
        </is>
      </c>
      <c r="G360" t="n">
        <v>1</v>
      </c>
      <c r="H360" t="n">
        <v>0</v>
      </c>
      <c r="I360" t="n">
        <v>0</v>
      </c>
      <c r="J360" t="n">
        <v>0</v>
      </c>
      <c r="K360" t="n">
        <v>0</v>
      </c>
      <c r="L360" t="n">
        <v>0</v>
      </c>
      <c r="M360" t="n">
        <v>0</v>
      </c>
      <c r="N360" t="n">
        <v>0</v>
      </c>
      <c r="O360" t="n">
        <v>0</v>
      </c>
      <c r="P360" t="n">
        <v>0</v>
      </c>
      <c r="Q360" t="n">
        <v>0</v>
      </c>
      <c r="R360" s="2" t="inlineStr"/>
    </row>
    <row r="361" ht="15" customHeight="1">
      <c r="A361" t="inlineStr">
        <is>
          <t>A 11262-2025</t>
        </is>
      </c>
      <c r="B361" s="1" t="n">
        <v>45726</v>
      </c>
      <c r="C361" s="1" t="n">
        <v>46053</v>
      </c>
      <c r="D361" t="inlineStr">
        <is>
          <t>SKÅNE LÄN</t>
        </is>
      </c>
      <c r="E361" t="inlineStr">
        <is>
          <t>HÄSSLEHOLM</t>
        </is>
      </c>
      <c r="G361" t="n">
        <v>1.9</v>
      </c>
      <c r="H361" t="n">
        <v>0</v>
      </c>
      <c r="I361" t="n">
        <v>0</v>
      </c>
      <c r="J361" t="n">
        <v>0</v>
      </c>
      <c r="K361" t="n">
        <v>0</v>
      </c>
      <c r="L361" t="n">
        <v>0</v>
      </c>
      <c r="M361" t="n">
        <v>0</v>
      </c>
      <c r="N361" t="n">
        <v>0</v>
      </c>
      <c r="O361" t="n">
        <v>0</v>
      </c>
      <c r="P361" t="n">
        <v>0</v>
      </c>
      <c r="Q361" t="n">
        <v>0</v>
      </c>
      <c r="R361" s="2" t="inlineStr"/>
    </row>
    <row r="362" ht="15" customHeight="1">
      <c r="A362" t="inlineStr">
        <is>
          <t>A 5395-2024</t>
        </is>
      </c>
      <c r="B362" s="1" t="n">
        <v>45331</v>
      </c>
      <c r="C362" s="1" t="n">
        <v>46053</v>
      </c>
      <c r="D362" t="inlineStr">
        <is>
          <t>SKÅNE LÄN</t>
        </is>
      </c>
      <c r="E362" t="inlineStr">
        <is>
          <t>HÄSSLEHOLM</t>
        </is>
      </c>
      <c r="G362" t="n">
        <v>2.6</v>
      </c>
      <c r="H362" t="n">
        <v>0</v>
      </c>
      <c r="I362" t="n">
        <v>0</v>
      </c>
      <c r="J362" t="n">
        <v>0</v>
      </c>
      <c r="K362" t="n">
        <v>0</v>
      </c>
      <c r="L362" t="n">
        <v>0</v>
      </c>
      <c r="M362" t="n">
        <v>0</v>
      </c>
      <c r="N362" t="n">
        <v>0</v>
      </c>
      <c r="O362" t="n">
        <v>0</v>
      </c>
      <c r="P362" t="n">
        <v>0</v>
      </c>
      <c r="Q362" t="n">
        <v>0</v>
      </c>
      <c r="R362" s="2" t="inlineStr"/>
    </row>
    <row r="363" ht="15" customHeight="1">
      <c r="A363" t="inlineStr">
        <is>
          <t>A 56069-2024</t>
        </is>
      </c>
      <c r="B363" s="1" t="n">
        <v>45624.38006944444</v>
      </c>
      <c r="C363" s="1" t="n">
        <v>46053</v>
      </c>
      <c r="D363" t="inlineStr">
        <is>
          <t>SKÅNE LÄN</t>
        </is>
      </c>
      <c r="E363" t="inlineStr">
        <is>
          <t>HÄSSLEHOLM</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60797-2024</t>
        </is>
      </c>
      <c r="B364" s="1" t="n">
        <v>45644</v>
      </c>
      <c r="C364" s="1" t="n">
        <v>46053</v>
      </c>
      <c r="D364" t="inlineStr">
        <is>
          <t>SKÅNE LÄN</t>
        </is>
      </c>
      <c r="E364" t="inlineStr">
        <is>
          <t>HÄSSLEHOLM</t>
        </is>
      </c>
      <c r="G364" t="n">
        <v>3.4</v>
      </c>
      <c r="H364" t="n">
        <v>0</v>
      </c>
      <c r="I364" t="n">
        <v>0</v>
      </c>
      <c r="J364" t="n">
        <v>0</v>
      </c>
      <c r="K364" t="n">
        <v>0</v>
      </c>
      <c r="L364" t="n">
        <v>0</v>
      </c>
      <c r="M364" t="n">
        <v>0</v>
      </c>
      <c r="N364" t="n">
        <v>0</v>
      </c>
      <c r="O364" t="n">
        <v>0</v>
      </c>
      <c r="P364" t="n">
        <v>0</v>
      </c>
      <c r="Q364" t="n">
        <v>0</v>
      </c>
      <c r="R364" s="2" t="inlineStr"/>
    </row>
    <row r="365" ht="15" customHeight="1">
      <c r="A365" t="inlineStr">
        <is>
          <t>A 3245-2022</t>
        </is>
      </c>
      <c r="B365" s="1" t="n">
        <v>44583.39136574074</v>
      </c>
      <c r="C365" s="1" t="n">
        <v>46053</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24034-2025</t>
        </is>
      </c>
      <c r="B366" s="1" t="n">
        <v>45796.48251157408</v>
      </c>
      <c r="C366" s="1" t="n">
        <v>46053</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41400-2025</t>
        </is>
      </c>
      <c r="B367" s="1" t="n">
        <v>45901</v>
      </c>
      <c r="C367" s="1" t="n">
        <v>46053</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31255-2024</t>
        </is>
      </c>
      <c r="B368" s="1" t="n">
        <v>45503.69114583333</v>
      </c>
      <c r="C368" s="1" t="n">
        <v>46053</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24039-2025</t>
        </is>
      </c>
      <c r="B369" s="1" t="n">
        <v>45796.48675925926</v>
      </c>
      <c r="C369" s="1" t="n">
        <v>46053</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4787-2023</t>
        </is>
      </c>
      <c r="B370" s="1" t="n">
        <v>44957.60079861111</v>
      </c>
      <c r="C370" s="1" t="n">
        <v>46053</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4788-2023</t>
        </is>
      </c>
      <c r="B371" s="1" t="n">
        <v>44957.60130787037</v>
      </c>
      <c r="C371" s="1" t="n">
        <v>46053</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32210-2024</t>
        </is>
      </c>
      <c r="B372" s="1" t="n">
        <v>45511.67777777778</v>
      </c>
      <c r="C372" s="1" t="n">
        <v>46053</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6596-2021</t>
        </is>
      </c>
      <c r="B373" s="1" t="n">
        <v>44236</v>
      </c>
      <c r="C373" s="1" t="n">
        <v>46053</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59431-2023</t>
        </is>
      </c>
      <c r="B374" s="1" t="n">
        <v>45254.29207175926</v>
      </c>
      <c r="C374" s="1" t="n">
        <v>46053</v>
      </c>
      <c r="D374" t="inlineStr">
        <is>
          <t>SKÅNE LÄN</t>
        </is>
      </c>
      <c r="E374" t="inlineStr">
        <is>
          <t>HÄSSLEHOLM</t>
        </is>
      </c>
      <c r="G374" t="n">
        <v>1.7</v>
      </c>
      <c r="H374" t="n">
        <v>0</v>
      </c>
      <c r="I374" t="n">
        <v>0</v>
      </c>
      <c r="J374" t="n">
        <v>0</v>
      </c>
      <c r="K374" t="n">
        <v>0</v>
      </c>
      <c r="L374" t="n">
        <v>0</v>
      </c>
      <c r="M374" t="n">
        <v>0</v>
      </c>
      <c r="N374" t="n">
        <v>0</v>
      </c>
      <c r="O374" t="n">
        <v>0</v>
      </c>
      <c r="P374" t="n">
        <v>0</v>
      </c>
      <c r="Q374" t="n">
        <v>0</v>
      </c>
      <c r="R374" s="2" t="inlineStr"/>
    </row>
    <row r="375" ht="15" customHeight="1">
      <c r="A375" t="inlineStr">
        <is>
          <t>A 59433-2023</t>
        </is>
      </c>
      <c r="B375" s="1" t="n">
        <v>45254.29768518519</v>
      </c>
      <c r="C375" s="1" t="n">
        <v>46053</v>
      </c>
      <c r="D375" t="inlineStr">
        <is>
          <t>SKÅNE LÄN</t>
        </is>
      </c>
      <c r="E375" t="inlineStr">
        <is>
          <t>HÄSSLEHOLM</t>
        </is>
      </c>
      <c r="G375" t="n">
        <v>3.1</v>
      </c>
      <c r="H375" t="n">
        <v>0</v>
      </c>
      <c r="I375" t="n">
        <v>0</v>
      </c>
      <c r="J375" t="n">
        <v>0</v>
      </c>
      <c r="K375" t="n">
        <v>0</v>
      </c>
      <c r="L375" t="n">
        <v>0</v>
      </c>
      <c r="M375" t="n">
        <v>0</v>
      </c>
      <c r="N375" t="n">
        <v>0</v>
      </c>
      <c r="O375" t="n">
        <v>0</v>
      </c>
      <c r="P375" t="n">
        <v>0</v>
      </c>
      <c r="Q375" t="n">
        <v>0</v>
      </c>
      <c r="R375" s="2" t="inlineStr"/>
    </row>
    <row r="376" ht="15" customHeight="1">
      <c r="A376" t="inlineStr">
        <is>
          <t>A 41401-2025</t>
        </is>
      </c>
      <c r="B376" s="1" t="n">
        <v>45901</v>
      </c>
      <c r="C376" s="1" t="n">
        <v>46053</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7681-2025</t>
        </is>
      </c>
      <c r="B377" s="1" t="n">
        <v>45706.36758101852</v>
      </c>
      <c r="C377" s="1" t="n">
        <v>46053</v>
      </c>
      <c r="D377" t="inlineStr">
        <is>
          <t>SKÅNE LÄN</t>
        </is>
      </c>
      <c r="E377" t="inlineStr">
        <is>
          <t>HÄSSLEHOLM</t>
        </is>
      </c>
      <c r="G377" t="n">
        <v>1.9</v>
      </c>
      <c r="H377" t="n">
        <v>0</v>
      </c>
      <c r="I377" t="n">
        <v>0</v>
      </c>
      <c r="J377" t="n">
        <v>0</v>
      </c>
      <c r="K377" t="n">
        <v>0</v>
      </c>
      <c r="L377" t="n">
        <v>0</v>
      </c>
      <c r="M377" t="n">
        <v>0</v>
      </c>
      <c r="N377" t="n">
        <v>0</v>
      </c>
      <c r="O377" t="n">
        <v>0</v>
      </c>
      <c r="P377" t="n">
        <v>0</v>
      </c>
      <c r="Q377" t="n">
        <v>0</v>
      </c>
      <c r="R377" s="2" t="inlineStr"/>
    </row>
    <row r="378" ht="15" customHeight="1">
      <c r="A378" t="inlineStr">
        <is>
          <t>A 23864-2024</t>
        </is>
      </c>
      <c r="B378" s="1" t="n">
        <v>45455</v>
      </c>
      <c r="C378" s="1" t="n">
        <v>46053</v>
      </c>
      <c r="D378" t="inlineStr">
        <is>
          <t>SKÅNE LÄN</t>
        </is>
      </c>
      <c r="E378" t="inlineStr">
        <is>
          <t>HÄSSLEHOLM</t>
        </is>
      </c>
      <c r="G378" t="n">
        <v>6.2</v>
      </c>
      <c r="H378" t="n">
        <v>0</v>
      </c>
      <c r="I378" t="n">
        <v>0</v>
      </c>
      <c r="J378" t="n">
        <v>0</v>
      </c>
      <c r="K378" t="n">
        <v>0</v>
      </c>
      <c r="L378" t="n">
        <v>0</v>
      </c>
      <c r="M378" t="n">
        <v>0</v>
      </c>
      <c r="N378" t="n">
        <v>0</v>
      </c>
      <c r="O378" t="n">
        <v>0</v>
      </c>
      <c r="P378" t="n">
        <v>0</v>
      </c>
      <c r="Q378" t="n">
        <v>0</v>
      </c>
      <c r="R378" s="2" t="inlineStr"/>
    </row>
    <row r="379" ht="15" customHeight="1">
      <c r="A379" t="inlineStr">
        <is>
          <t>A 24032-2025</t>
        </is>
      </c>
      <c r="B379" s="1" t="n">
        <v>45796.478125</v>
      </c>
      <c r="C379" s="1" t="n">
        <v>46053</v>
      </c>
      <c r="D379" t="inlineStr">
        <is>
          <t>SKÅNE LÄN</t>
        </is>
      </c>
      <c r="E379" t="inlineStr">
        <is>
          <t>HÄSSLEHOLM</t>
        </is>
      </c>
      <c r="G379" t="n">
        <v>2.2</v>
      </c>
      <c r="H379" t="n">
        <v>0</v>
      </c>
      <c r="I379" t="n">
        <v>0</v>
      </c>
      <c r="J379" t="n">
        <v>0</v>
      </c>
      <c r="K379" t="n">
        <v>0</v>
      </c>
      <c r="L379" t="n">
        <v>0</v>
      </c>
      <c r="M379" t="n">
        <v>0</v>
      </c>
      <c r="N379" t="n">
        <v>0</v>
      </c>
      <c r="O379" t="n">
        <v>0</v>
      </c>
      <c r="P379" t="n">
        <v>0</v>
      </c>
      <c r="Q379" t="n">
        <v>0</v>
      </c>
      <c r="R379" s="2" t="inlineStr"/>
    </row>
    <row r="380" ht="15" customHeight="1">
      <c r="A380" t="inlineStr">
        <is>
          <t>A 5252-2025</t>
        </is>
      </c>
      <c r="B380" s="1" t="n">
        <v>45692.3449537037</v>
      </c>
      <c r="C380" s="1" t="n">
        <v>46053</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24047-2025</t>
        </is>
      </c>
      <c r="B381" s="1" t="n">
        <v>45796.49528935185</v>
      </c>
      <c r="C381" s="1" t="n">
        <v>46053</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54174-2022</t>
        </is>
      </c>
      <c r="B382" s="1" t="n">
        <v>44881</v>
      </c>
      <c r="C382" s="1" t="n">
        <v>46053</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52235-2021</t>
        </is>
      </c>
      <c r="B383" s="1" t="n">
        <v>44463.60085648148</v>
      </c>
      <c r="C383" s="1" t="n">
        <v>46053</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60789-2024</t>
        </is>
      </c>
      <c r="B384" s="1" t="n">
        <v>45644</v>
      </c>
      <c r="C384" s="1" t="n">
        <v>46053</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24029-2025</t>
        </is>
      </c>
      <c r="B385" s="1" t="n">
        <v>45796.47552083333</v>
      </c>
      <c r="C385" s="1" t="n">
        <v>46053</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53302-2022</t>
        </is>
      </c>
      <c r="B386" s="1" t="n">
        <v>44877</v>
      </c>
      <c r="C386" s="1" t="n">
        <v>46053</v>
      </c>
      <c r="D386" t="inlineStr">
        <is>
          <t>SKÅNE LÄN</t>
        </is>
      </c>
      <c r="E386" t="inlineStr">
        <is>
          <t>HÄSSLEHOLM</t>
        </is>
      </c>
      <c r="G386" t="n">
        <v>0.1</v>
      </c>
      <c r="H386" t="n">
        <v>0</v>
      </c>
      <c r="I386" t="n">
        <v>0</v>
      </c>
      <c r="J386" t="n">
        <v>0</v>
      </c>
      <c r="K386" t="n">
        <v>0</v>
      </c>
      <c r="L386" t="n">
        <v>0</v>
      </c>
      <c r="M386" t="n">
        <v>0</v>
      </c>
      <c r="N386" t="n">
        <v>0</v>
      </c>
      <c r="O386" t="n">
        <v>0</v>
      </c>
      <c r="P386" t="n">
        <v>0</v>
      </c>
      <c r="Q386" t="n">
        <v>0</v>
      </c>
      <c r="R386" s="2" t="inlineStr"/>
    </row>
    <row r="387" ht="15" customHeight="1">
      <c r="A387" t="inlineStr">
        <is>
          <t>A 52642-2021</t>
        </is>
      </c>
      <c r="B387" s="1" t="n">
        <v>44466.64298611111</v>
      </c>
      <c r="C387" s="1" t="n">
        <v>46053</v>
      </c>
      <c r="D387" t="inlineStr">
        <is>
          <t>SKÅNE LÄN</t>
        </is>
      </c>
      <c r="E387" t="inlineStr">
        <is>
          <t>HÄSSLEHOLM</t>
        </is>
      </c>
      <c r="G387" t="n">
        <v>3.7</v>
      </c>
      <c r="H387" t="n">
        <v>0</v>
      </c>
      <c r="I387" t="n">
        <v>0</v>
      </c>
      <c r="J387" t="n">
        <v>0</v>
      </c>
      <c r="K387" t="n">
        <v>0</v>
      </c>
      <c r="L387" t="n">
        <v>0</v>
      </c>
      <c r="M387" t="n">
        <v>0</v>
      </c>
      <c r="N387" t="n">
        <v>0</v>
      </c>
      <c r="O387" t="n">
        <v>0</v>
      </c>
      <c r="P387" t="n">
        <v>0</v>
      </c>
      <c r="Q387" t="n">
        <v>0</v>
      </c>
      <c r="R387" s="2" t="inlineStr"/>
    </row>
    <row r="388" ht="15" customHeight="1">
      <c r="A388" t="inlineStr">
        <is>
          <t>A 29850-2024</t>
        </is>
      </c>
      <c r="B388" s="1" t="n">
        <v>45485.64620370371</v>
      </c>
      <c r="C388" s="1" t="n">
        <v>46053</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49135-2025</t>
        </is>
      </c>
      <c r="B389" s="1" t="n">
        <v>45938.00990740741</v>
      </c>
      <c r="C389" s="1" t="n">
        <v>46053</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49136-2025</t>
        </is>
      </c>
      <c r="B390" s="1" t="n">
        <v>45938.01277777777</v>
      </c>
      <c r="C390" s="1" t="n">
        <v>46053</v>
      </c>
      <c r="D390" t="inlineStr">
        <is>
          <t>SKÅNE LÄN</t>
        </is>
      </c>
      <c r="E390" t="inlineStr">
        <is>
          <t>HÄSSLEHOLM</t>
        </is>
      </c>
      <c r="G390" t="n">
        <v>1.1</v>
      </c>
      <c r="H390" t="n">
        <v>0</v>
      </c>
      <c r="I390" t="n">
        <v>0</v>
      </c>
      <c r="J390" t="n">
        <v>0</v>
      </c>
      <c r="K390" t="n">
        <v>0</v>
      </c>
      <c r="L390" t="n">
        <v>0</v>
      </c>
      <c r="M390" t="n">
        <v>0</v>
      </c>
      <c r="N390" t="n">
        <v>0</v>
      </c>
      <c r="O390" t="n">
        <v>0</v>
      </c>
      <c r="P390" t="n">
        <v>0</v>
      </c>
      <c r="Q390" t="n">
        <v>0</v>
      </c>
      <c r="R390" s="2" t="inlineStr"/>
    </row>
    <row r="391" ht="15" customHeight="1">
      <c r="A391" t="inlineStr">
        <is>
          <t>A 49137-2025</t>
        </is>
      </c>
      <c r="B391" s="1" t="n">
        <v>45938.05672453704</v>
      </c>
      <c r="C391" s="1" t="n">
        <v>46053</v>
      </c>
      <c r="D391" t="inlineStr">
        <is>
          <t>SKÅNE LÄN</t>
        </is>
      </c>
      <c r="E391" t="inlineStr">
        <is>
          <t>HÄSSLEHOLM</t>
        </is>
      </c>
      <c r="G391" t="n">
        <v>1.8</v>
      </c>
      <c r="H391" t="n">
        <v>0</v>
      </c>
      <c r="I391" t="n">
        <v>0</v>
      </c>
      <c r="J391" t="n">
        <v>0</v>
      </c>
      <c r="K391" t="n">
        <v>0</v>
      </c>
      <c r="L391" t="n">
        <v>0</v>
      </c>
      <c r="M391" t="n">
        <v>0</v>
      </c>
      <c r="N391" t="n">
        <v>0</v>
      </c>
      <c r="O391" t="n">
        <v>0</v>
      </c>
      <c r="P391" t="n">
        <v>0</v>
      </c>
      <c r="Q391" t="n">
        <v>0</v>
      </c>
      <c r="R391" s="2" t="inlineStr"/>
    </row>
    <row r="392" ht="15" customHeight="1">
      <c r="A392" t="inlineStr">
        <is>
          <t>A 24675-2025</t>
        </is>
      </c>
      <c r="B392" s="1" t="n">
        <v>45798.653125</v>
      </c>
      <c r="C392" s="1" t="n">
        <v>46053</v>
      </c>
      <c r="D392" t="inlineStr">
        <is>
          <t>SKÅNE LÄN</t>
        </is>
      </c>
      <c r="E392" t="inlineStr">
        <is>
          <t>HÄSSLEHOLM</t>
        </is>
      </c>
      <c r="G392" t="n">
        <v>1.8</v>
      </c>
      <c r="H392" t="n">
        <v>0</v>
      </c>
      <c r="I392" t="n">
        <v>0</v>
      </c>
      <c r="J392" t="n">
        <v>0</v>
      </c>
      <c r="K392" t="n">
        <v>0</v>
      </c>
      <c r="L392" t="n">
        <v>0</v>
      </c>
      <c r="M392" t="n">
        <v>0</v>
      </c>
      <c r="N392" t="n">
        <v>0</v>
      </c>
      <c r="O392" t="n">
        <v>0</v>
      </c>
      <c r="P392" t="n">
        <v>0</v>
      </c>
      <c r="Q392" t="n">
        <v>0</v>
      </c>
      <c r="R392" s="2" t="inlineStr"/>
    </row>
    <row r="393" ht="15" customHeight="1">
      <c r="A393" t="inlineStr">
        <is>
          <t>A 35711-2024</t>
        </is>
      </c>
      <c r="B393" s="1" t="n">
        <v>45532</v>
      </c>
      <c r="C393" s="1" t="n">
        <v>46053</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10562-2025</t>
        </is>
      </c>
      <c r="B394" s="1" t="n">
        <v>45721.52913194444</v>
      </c>
      <c r="C394" s="1" t="n">
        <v>46053</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32512-2024</t>
        </is>
      </c>
      <c r="B395" s="1" t="n">
        <v>45513.45613425926</v>
      </c>
      <c r="C395" s="1" t="n">
        <v>46053</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55522-2024</t>
        </is>
      </c>
      <c r="B396" s="1" t="n">
        <v>45622</v>
      </c>
      <c r="C396" s="1" t="n">
        <v>46053</v>
      </c>
      <c r="D396" t="inlineStr">
        <is>
          <t>SKÅNE LÄN</t>
        </is>
      </c>
      <c r="E396" t="inlineStr">
        <is>
          <t>HÄSSLEHOLM</t>
        </is>
      </c>
      <c r="G396" t="n">
        <v>5.6</v>
      </c>
      <c r="H396" t="n">
        <v>0</v>
      </c>
      <c r="I396" t="n">
        <v>0</v>
      </c>
      <c r="J396" t="n">
        <v>0</v>
      </c>
      <c r="K396" t="n">
        <v>0</v>
      </c>
      <c r="L396" t="n">
        <v>0</v>
      </c>
      <c r="M396" t="n">
        <v>0</v>
      </c>
      <c r="N396" t="n">
        <v>0</v>
      </c>
      <c r="O396" t="n">
        <v>0</v>
      </c>
      <c r="P396" t="n">
        <v>0</v>
      </c>
      <c r="Q396" t="n">
        <v>0</v>
      </c>
      <c r="R396" s="2" t="inlineStr"/>
    </row>
    <row r="397" ht="15" customHeight="1">
      <c r="A397" t="inlineStr">
        <is>
          <t>A 5242-2025</t>
        </is>
      </c>
      <c r="B397" s="1" t="n">
        <v>45692.32883101852</v>
      </c>
      <c r="C397" s="1" t="n">
        <v>46053</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62041-2022</t>
        </is>
      </c>
      <c r="B398" s="1" t="n">
        <v>44918.55743055556</v>
      </c>
      <c r="C398" s="1" t="n">
        <v>46053</v>
      </c>
      <c r="D398" t="inlineStr">
        <is>
          <t>SKÅNE LÄN</t>
        </is>
      </c>
      <c r="E398" t="inlineStr">
        <is>
          <t>HÄSSLEHOLM</t>
        </is>
      </c>
      <c r="G398" t="n">
        <v>2.8</v>
      </c>
      <c r="H398" t="n">
        <v>0</v>
      </c>
      <c r="I398" t="n">
        <v>0</v>
      </c>
      <c r="J398" t="n">
        <v>0</v>
      </c>
      <c r="K398" t="n">
        <v>0</v>
      </c>
      <c r="L398" t="n">
        <v>0</v>
      </c>
      <c r="M398" t="n">
        <v>0</v>
      </c>
      <c r="N398" t="n">
        <v>0</v>
      </c>
      <c r="O398" t="n">
        <v>0</v>
      </c>
      <c r="P398" t="n">
        <v>0</v>
      </c>
      <c r="Q398" t="n">
        <v>0</v>
      </c>
      <c r="R398" s="2" t="inlineStr"/>
    </row>
    <row r="399" ht="15" customHeight="1">
      <c r="A399" t="inlineStr">
        <is>
          <t>A 42735-2024</t>
        </is>
      </c>
      <c r="B399" s="1" t="n">
        <v>45566.47274305556</v>
      </c>
      <c r="C399" s="1" t="n">
        <v>46053</v>
      </c>
      <c r="D399" t="inlineStr">
        <is>
          <t>SKÅNE LÄN</t>
        </is>
      </c>
      <c r="E399" t="inlineStr">
        <is>
          <t>HÄSSLEHOLM</t>
        </is>
      </c>
      <c r="G399" t="n">
        <v>3.7</v>
      </c>
      <c r="H399" t="n">
        <v>0</v>
      </c>
      <c r="I399" t="n">
        <v>0</v>
      </c>
      <c r="J399" t="n">
        <v>0</v>
      </c>
      <c r="K399" t="n">
        <v>0</v>
      </c>
      <c r="L399" t="n">
        <v>0</v>
      </c>
      <c r="M399" t="n">
        <v>0</v>
      </c>
      <c r="N399" t="n">
        <v>0</v>
      </c>
      <c r="O399" t="n">
        <v>0</v>
      </c>
      <c r="P399" t="n">
        <v>0</v>
      </c>
      <c r="Q399" t="n">
        <v>0</v>
      </c>
      <c r="R399" s="2" t="inlineStr"/>
    </row>
    <row r="400" ht="15" customHeight="1">
      <c r="A400" t="inlineStr">
        <is>
          <t>A 24658-2025</t>
        </is>
      </c>
      <c r="B400" s="1" t="n">
        <v>45798.64134259259</v>
      </c>
      <c r="C400" s="1" t="n">
        <v>46053</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40734-2024</t>
        </is>
      </c>
      <c r="B401" s="1" t="n">
        <v>45558</v>
      </c>
      <c r="C401" s="1" t="n">
        <v>46053</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40738-2024</t>
        </is>
      </c>
      <c r="B402" s="1" t="n">
        <v>45558</v>
      </c>
      <c r="C402" s="1" t="n">
        <v>46053</v>
      </c>
      <c r="D402" t="inlineStr">
        <is>
          <t>SKÅNE LÄN</t>
        </is>
      </c>
      <c r="E402" t="inlineStr">
        <is>
          <t>HÄSSLEHOLM</t>
        </is>
      </c>
      <c r="G402" t="n">
        <v>2.6</v>
      </c>
      <c r="H402" t="n">
        <v>0</v>
      </c>
      <c r="I402" t="n">
        <v>0</v>
      </c>
      <c r="J402" t="n">
        <v>0</v>
      </c>
      <c r="K402" t="n">
        <v>0</v>
      </c>
      <c r="L402" t="n">
        <v>0</v>
      </c>
      <c r="M402" t="n">
        <v>0</v>
      </c>
      <c r="N402" t="n">
        <v>0</v>
      </c>
      <c r="O402" t="n">
        <v>0</v>
      </c>
      <c r="P402" t="n">
        <v>0</v>
      </c>
      <c r="Q402" t="n">
        <v>0</v>
      </c>
      <c r="R402" s="2" t="inlineStr"/>
    </row>
    <row r="403" ht="15" customHeight="1">
      <c r="A403" t="inlineStr">
        <is>
          <t>A 24250-2025</t>
        </is>
      </c>
      <c r="B403" s="1" t="n">
        <v>45797.40260416667</v>
      </c>
      <c r="C403" s="1" t="n">
        <v>46053</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32826-2024</t>
        </is>
      </c>
      <c r="B404" s="1" t="n">
        <v>45516.59056712963</v>
      </c>
      <c r="C404" s="1" t="n">
        <v>46053</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24985-2025</t>
        </is>
      </c>
      <c r="B405" s="1" t="n">
        <v>45799.60256944445</v>
      </c>
      <c r="C405" s="1" t="n">
        <v>46053</v>
      </c>
      <c r="D405" t="inlineStr">
        <is>
          <t>SKÅNE LÄN</t>
        </is>
      </c>
      <c r="E405" t="inlineStr">
        <is>
          <t>HÄSSLEHOLM</t>
        </is>
      </c>
      <c r="G405" t="n">
        <v>2.3</v>
      </c>
      <c r="H405" t="n">
        <v>0</v>
      </c>
      <c r="I405" t="n">
        <v>0</v>
      </c>
      <c r="J405" t="n">
        <v>0</v>
      </c>
      <c r="K405" t="n">
        <v>0</v>
      </c>
      <c r="L405" t="n">
        <v>0</v>
      </c>
      <c r="M405" t="n">
        <v>0</v>
      </c>
      <c r="N405" t="n">
        <v>0</v>
      </c>
      <c r="O405" t="n">
        <v>0</v>
      </c>
      <c r="P405" t="n">
        <v>0</v>
      </c>
      <c r="Q405" t="n">
        <v>0</v>
      </c>
      <c r="R405" s="2" t="inlineStr"/>
    </row>
    <row r="406" ht="15" customHeight="1">
      <c r="A406" t="inlineStr">
        <is>
          <t>A 37141-2021</t>
        </is>
      </c>
      <c r="B406" s="1" t="n">
        <v>44396</v>
      </c>
      <c r="C406" s="1" t="n">
        <v>46053</v>
      </c>
      <c r="D406" t="inlineStr">
        <is>
          <t>SKÅNE LÄN</t>
        </is>
      </c>
      <c r="E406" t="inlineStr">
        <is>
          <t>HÄSSLEHOLM</t>
        </is>
      </c>
      <c r="G406" t="n">
        <v>12.8</v>
      </c>
      <c r="H406" t="n">
        <v>0</v>
      </c>
      <c r="I406" t="n">
        <v>0</v>
      </c>
      <c r="J406" t="n">
        <v>0</v>
      </c>
      <c r="K406" t="n">
        <v>0</v>
      </c>
      <c r="L406" t="n">
        <v>0</v>
      </c>
      <c r="M406" t="n">
        <v>0</v>
      </c>
      <c r="N406" t="n">
        <v>0</v>
      </c>
      <c r="O406" t="n">
        <v>0</v>
      </c>
      <c r="P406" t="n">
        <v>0</v>
      </c>
      <c r="Q406" t="n">
        <v>0</v>
      </c>
      <c r="R406" s="2" t="inlineStr"/>
    </row>
    <row r="407" ht="15" customHeight="1">
      <c r="A407" t="inlineStr">
        <is>
          <t>A 27837-2024</t>
        </is>
      </c>
      <c r="B407" s="1" t="n">
        <v>45475</v>
      </c>
      <c r="C407" s="1" t="n">
        <v>46053</v>
      </c>
      <c r="D407" t="inlineStr">
        <is>
          <t>SKÅNE LÄN</t>
        </is>
      </c>
      <c r="E407" t="inlineStr">
        <is>
          <t>HÄSSLEHOLM</t>
        </is>
      </c>
      <c r="F407" t="inlineStr">
        <is>
          <t>Kommuner</t>
        </is>
      </c>
      <c r="G407" t="n">
        <v>2.3</v>
      </c>
      <c r="H407" t="n">
        <v>0</v>
      </c>
      <c r="I407" t="n">
        <v>0</v>
      </c>
      <c r="J407" t="n">
        <v>0</v>
      </c>
      <c r="K407" t="n">
        <v>0</v>
      </c>
      <c r="L407" t="n">
        <v>0</v>
      </c>
      <c r="M407" t="n">
        <v>0</v>
      </c>
      <c r="N407" t="n">
        <v>0</v>
      </c>
      <c r="O407" t="n">
        <v>0</v>
      </c>
      <c r="P407" t="n">
        <v>0</v>
      </c>
      <c r="Q407" t="n">
        <v>0</v>
      </c>
      <c r="R407" s="2" t="inlineStr"/>
    </row>
    <row r="408" ht="15" customHeight="1">
      <c r="A408" t="inlineStr">
        <is>
          <t>A 29659-2024</t>
        </is>
      </c>
      <c r="B408" s="1" t="n">
        <v>45484.92587962963</v>
      </c>
      <c r="C408" s="1" t="n">
        <v>46053</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1679-2022</t>
        </is>
      </c>
      <c r="B409" s="1" t="n">
        <v>44573</v>
      </c>
      <c r="C409" s="1" t="n">
        <v>46053</v>
      </c>
      <c r="D409" t="inlineStr">
        <is>
          <t>SKÅNE LÄN</t>
        </is>
      </c>
      <c r="E409" t="inlineStr">
        <is>
          <t>HÄSSLEHOLM</t>
        </is>
      </c>
      <c r="F409" t="inlineStr">
        <is>
          <t>Kyrkan</t>
        </is>
      </c>
      <c r="G409" t="n">
        <v>4.3</v>
      </c>
      <c r="H409" t="n">
        <v>0</v>
      </c>
      <c r="I409" t="n">
        <v>0</v>
      </c>
      <c r="J409" t="n">
        <v>0</v>
      </c>
      <c r="K409" t="n">
        <v>0</v>
      </c>
      <c r="L409" t="n">
        <v>0</v>
      </c>
      <c r="M409" t="n">
        <v>0</v>
      </c>
      <c r="N409" t="n">
        <v>0</v>
      </c>
      <c r="O409" t="n">
        <v>0</v>
      </c>
      <c r="P409" t="n">
        <v>0</v>
      </c>
      <c r="Q409" t="n">
        <v>0</v>
      </c>
      <c r="R409" s="2" t="inlineStr"/>
    </row>
    <row r="410" ht="15" customHeight="1">
      <c r="A410" t="inlineStr">
        <is>
          <t>A 45399-2022</t>
        </is>
      </c>
      <c r="B410" s="1" t="n">
        <v>44844.70513888889</v>
      </c>
      <c r="C410" s="1" t="n">
        <v>46053</v>
      </c>
      <c r="D410" t="inlineStr">
        <is>
          <t>SKÅNE LÄN</t>
        </is>
      </c>
      <c r="E410" t="inlineStr">
        <is>
          <t>HÄSSLEHOLM</t>
        </is>
      </c>
      <c r="G410" t="n">
        <v>0</v>
      </c>
      <c r="H410" t="n">
        <v>0</v>
      </c>
      <c r="I410" t="n">
        <v>0</v>
      </c>
      <c r="J410" t="n">
        <v>0</v>
      </c>
      <c r="K410" t="n">
        <v>0</v>
      </c>
      <c r="L410" t="n">
        <v>0</v>
      </c>
      <c r="M410" t="n">
        <v>0</v>
      </c>
      <c r="N410" t="n">
        <v>0</v>
      </c>
      <c r="O410" t="n">
        <v>0</v>
      </c>
      <c r="P410" t="n">
        <v>0</v>
      </c>
      <c r="Q410" t="n">
        <v>0</v>
      </c>
      <c r="R410" s="2" t="inlineStr"/>
    </row>
    <row r="411" ht="15" customHeight="1">
      <c r="A411" t="inlineStr">
        <is>
          <t>A 49379-2021</t>
        </is>
      </c>
      <c r="B411" s="1" t="n">
        <v>44454</v>
      </c>
      <c r="C411" s="1" t="n">
        <v>46053</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259-2024</t>
        </is>
      </c>
      <c r="B412" s="1" t="n">
        <v>45294</v>
      </c>
      <c r="C412" s="1" t="n">
        <v>46053</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32881-2024</t>
        </is>
      </c>
      <c r="B413" s="1" t="n">
        <v>45516</v>
      </c>
      <c r="C413" s="1" t="n">
        <v>46053</v>
      </c>
      <c r="D413" t="inlineStr">
        <is>
          <t>SKÅNE LÄN</t>
        </is>
      </c>
      <c r="E413" t="inlineStr">
        <is>
          <t>HÄSSLEHOLM</t>
        </is>
      </c>
      <c r="G413" t="n">
        <v>6.3</v>
      </c>
      <c r="H413" t="n">
        <v>0</v>
      </c>
      <c r="I413" t="n">
        <v>0</v>
      </c>
      <c r="J413" t="n">
        <v>0</v>
      </c>
      <c r="K413" t="n">
        <v>0</v>
      </c>
      <c r="L413" t="n">
        <v>0</v>
      </c>
      <c r="M413" t="n">
        <v>0</v>
      </c>
      <c r="N413" t="n">
        <v>0</v>
      </c>
      <c r="O413" t="n">
        <v>0</v>
      </c>
      <c r="P413" t="n">
        <v>0</v>
      </c>
      <c r="Q413" t="n">
        <v>0</v>
      </c>
      <c r="R413" s="2" t="inlineStr"/>
    </row>
    <row r="414" ht="15" customHeight="1">
      <c r="A414" t="inlineStr">
        <is>
          <t>A 2743-2023</t>
        </is>
      </c>
      <c r="B414" s="1" t="n">
        <v>44944</v>
      </c>
      <c r="C414" s="1" t="n">
        <v>46053</v>
      </c>
      <c r="D414" t="inlineStr">
        <is>
          <t>SKÅNE LÄN</t>
        </is>
      </c>
      <c r="E414" t="inlineStr">
        <is>
          <t>HÄSSLEHOLM</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42520-2025</t>
        </is>
      </c>
      <c r="B415" s="1" t="n">
        <v>45905.54846064815</v>
      </c>
      <c r="C415" s="1" t="n">
        <v>46053</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43333-2025</t>
        </is>
      </c>
      <c r="B416" s="1" t="n">
        <v>45910</v>
      </c>
      <c r="C416" s="1" t="n">
        <v>46053</v>
      </c>
      <c r="D416" t="inlineStr">
        <is>
          <t>SKÅNE LÄN</t>
        </is>
      </c>
      <c r="E416" t="inlineStr">
        <is>
          <t>HÄSSLEHOLM</t>
        </is>
      </c>
      <c r="G416" t="n">
        <v>10.1</v>
      </c>
      <c r="H416" t="n">
        <v>0</v>
      </c>
      <c r="I416" t="n">
        <v>0</v>
      </c>
      <c r="J416" t="n">
        <v>0</v>
      </c>
      <c r="K416" t="n">
        <v>0</v>
      </c>
      <c r="L416" t="n">
        <v>0</v>
      </c>
      <c r="M416" t="n">
        <v>0</v>
      </c>
      <c r="N416" t="n">
        <v>0</v>
      </c>
      <c r="O416" t="n">
        <v>0</v>
      </c>
      <c r="P416" t="n">
        <v>0</v>
      </c>
      <c r="Q416" t="n">
        <v>0</v>
      </c>
      <c r="R416" s="2" t="inlineStr"/>
    </row>
    <row r="417" ht="15" customHeight="1">
      <c r="A417" t="inlineStr">
        <is>
          <t>A 25372-2025</t>
        </is>
      </c>
      <c r="B417" s="1" t="n">
        <v>45799</v>
      </c>
      <c r="C417" s="1" t="n">
        <v>46053</v>
      </c>
      <c r="D417" t="inlineStr">
        <is>
          <t>SKÅNE LÄN</t>
        </is>
      </c>
      <c r="E417" t="inlineStr">
        <is>
          <t>HÄSSLEHOLM</t>
        </is>
      </c>
      <c r="G417" t="n">
        <v>3.1</v>
      </c>
      <c r="H417" t="n">
        <v>0</v>
      </c>
      <c r="I417" t="n">
        <v>0</v>
      </c>
      <c r="J417" t="n">
        <v>0</v>
      </c>
      <c r="K417" t="n">
        <v>0</v>
      </c>
      <c r="L417" t="n">
        <v>0</v>
      </c>
      <c r="M417" t="n">
        <v>0</v>
      </c>
      <c r="N417" t="n">
        <v>0</v>
      </c>
      <c r="O417" t="n">
        <v>0</v>
      </c>
      <c r="P417" t="n">
        <v>0</v>
      </c>
      <c r="Q417" t="n">
        <v>0</v>
      </c>
      <c r="R417" s="2" t="inlineStr"/>
    </row>
    <row r="418" ht="15" customHeight="1">
      <c r="A418" t="inlineStr">
        <is>
          <t>A 9399-2025</t>
        </is>
      </c>
      <c r="B418" s="1" t="n">
        <v>45715.37861111111</v>
      </c>
      <c r="C418" s="1" t="n">
        <v>46053</v>
      </c>
      <c r="D418" t="inlineStr">
        <is>
          <t>SKÅNE LÄN</t>
        </is>
      </c>
      <c r="E418" t="inlineStr">
        <is>
          <t>HÄSSLEHOLM</t>
        </is>
      </c>
      <c r="G418" t="n">
        <v>5.2</v>
      </c>
      <c r="H418" t="n">
        <v>0</v>
      </c>
      <c r="I418" t="n">
        <v>0</v>
      </c>
      <c r="J418" t="n">
        <v>0</v>
      </c>
      <c r="K418" t="n">
        <v>0</v>
      </c>
      <c r="L418" t="n">
        <v>0</v>
      </c>
      <c r="M418" t="n">
        <v>0</v>
      </c>
      <c r="N418" t="n">
        <v>0</v>
      </c>
      <c r="O418" t="n">
        <v>0</v>
      </c>
      <c r="P418" t="n">
        <v>0</v>
      </c>
      <c r="Q418" t="n">
        <v>0</v>
      </c>
      <c r="R418" s="2" t="inlineStr"/>
    </row>
    <row r="419" ht="15" customHeight="1">
      <c r="A419" t="inlineStr">
        <is>
          <t>A 43332-2025</t>
        </is>
      </c>
      <c r="B419" s="1" t="n">
        <v>45910.70217592592</v>
      </c>
      <c r="C419" s="1" t="n">
        <v>46053</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62044-2022</t>
        </is>
      </c>
      <c r="B420" s="1" t="n">
        <v>44918.55976851852</v>
      </c>
      <c r="C420" s="1" t="n">
        <v>46053</v>
      </c>
      <c r="D420" t="inlineStr">
        <is>
          <t>SKÅNE LÄN</t>
        </is>
      </c>
      <c r="E420" t="inlineStr">
        <is>
          <t>HÄSSLEHOLM</t>
        </is>
      </c>
      <c r="G420" t="n">
        <v>2.1</v>
      </c>
      <c r="H420" t="n">
        <v>0</v>
      </c>
      <c r="I420" t="n">
        <v>0</v>
      </c>
      <c r="J420" t="n">
        <v>0</v>
      </c>
      <c r="K420" t="n">
        <v>0</v>
      </c>
      <c r="L420" t="n">
        <v>0</v>
      </c>
      <c r="M420" t="n">
        <v>0</v>
      </c>
      <c r="N420" t="n">
        <v>0</v>
      </c>
      <c r="O420" t="n">
        <v>0</v>
      </c>
      <c r="P420" t="n">
        <v>0</v>
      </c>
      <c r="Q420" t="n">
        <v>0</v>
      </c>
      <c r="R420" s="2" t="inlineStr"/>
    </row>
    <row r="421" ht="15" customHeight="1">
      <c r="A421" t="inlineStr">
        <is>
          <t>A 51565-2023</t>
        </is>
      </c>
      <c r="B421" s="1" t="n">
        <v>45222</v>
      </c>
      <c r="C421" s="1" t="n">
        <v>46053</v>
      </c>
      <c r="D421" t="inlineStr">
        <is>
          <t>SKÅNE LÄN</t>
        </is>
      </c>
      <c r="E421" t="inlineStr">
        <is>
          <t>HÄSSLEHOLM</t>
        </is>
      </c>
      <c r="G421" t="n">
        <v>2.1</v>
      </c>
      <c r="H421" t="n">
        <v>0</v>
      </c>
      <c r="I421" t="n">
        <v>0</v>
      </c>
      <c r="J421" t="n">
        <v>0</v>
      </c>
      <c r="K421" t="n">
        <v>0</v>
      </c>
      <c r="L421" t="n">
        <v>0</v>
      </c>
      <c r="M421" t="n">
        <v>0</v>
      </c>
      <c r="N421" t="n">
        <v>0</v>
      </c>
      <c r="O421" t="n">
        <v>0</v>
      </c>
      <c r="P421" t="n">
        <v>0</v>
      </c>
      <c r="Q421" t="n">
        <v>0</v>
      </c>
      <c r="R421" s="2" t="inlineStr"/>
    </row>
    <row r="422" ht="15" customHeight="1">
      <c r="A422" t="inlineStr">
        <is>
          <t>A 6164-2023</t>
        </is>
      </c>
      <c r="B422" s="1" t="n">
        <v>44964.66871527778</v>
      </c>
      <c r="C422" s="1" t="n">
        <v>46053</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25430-2025</t>
        </is>
      </c>
      <c r="B423" s="1" t="n">
        <v>45800.78212962963</v>
      </c>
      <c r="C423" s="1" t="n">
        <v>46053</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11470-2025</t>
        </is>
      </c>
      <c r="B424" s="1" t="n">
        <v>45726</v>
      </c>
      <c r="C424" s="1" t="n">
        <v>46053</v>
      </c>
      <c r="D424" t="inlineStr">
        <is>
          <t>SKÅNE LÄN</t>
        </is>
      </c>
      <c r="E424" t="inlineStr">
        <is>
          <t>HÄSSLEHOLM</t>
        </is>
      </c>
      <c r="G424" t="n">
        <v>0.4</v>
      </c>
      <c r="H424" t="n">
        <v>0</v>
      </c>
      <c r="I424" t="n">
        <v>0</v>
      </c>
      <c r="J424" t="n">
        <v>0</v>
      </c>
      <c r="K424" t="n">
        <v>0</v>
      </c>
      <c r="L424" t="n">
        <v>0</v>
      </c>
      <c r="M424" t="n">
        <v>0</v>
      </c>
      <c r="N424" t="n">
        <v>0</v>
      </c>
      <c r="O424" t="n">
        <v>0</v>
      </c>
      <c r="P424" t="n">
        <v>0</v>
      </c>
      <c r="Q424" t="n">
        <v>0</v>
      </c>
      <c r="R424" s="2" t="inlineStr"/>
    </row>
    <row r="425" ht="15" customHeight="1">
      <c r="A425" t="inlineStr">
        <is>
          <t>A 43516-2025</t>
        </is>
      </c>
      <c r="B425" s="1" t="n">
        <v>45911</v>
      </c>
      <c r="C425" s="1" t="n">
        <v>46053</v>
      </c>
      <c r="D425" t="inlineStr">
        <is>
          <t>SKÅNE LÄN</t>
        </is>
      </c>
      <c r="E425" t="inlineStr">
        <is>
          <t>HÄSSLEHOLM</t>
        </is>
      </c>
      <c r="G425" t="n">
        <v>2.4</v>
      </c>
      <c r="H425" t="n">
        <v>0</v>
      </c>
      <c r="I425" t="n">
        <v>0</v>
      </c>
      <c r="J425" t="n">
        <v>0</v>
      </c>
      <c r="K425" t="n">
        <v>0</v>
      </c>
      <c r="L425" t="n">
        <v>0</v>
      </c>
      <c r="M425" t="n">
        <v>0</v>
      </c>
      <c r="N425" t="n">
        <v>0</v>
      </c>
      <c r="O425" t="n">
        <v>0</v>
      </c>
      <c r="P425" t="n">
        <v>0</v>
      </c>
      <c r="Q425" t="n">
        <v>0</v>
      </c>
      <c r="R425" s="2" t="inlineStr"/>
    </row>
    <row r="426" ht="15" customHeight="1">
      <c r="A426" t="inlineStr">
        <is>
          <t>A 37318-2024</t>
        </is>
      </c>
      <c r="B426" s="1" t="n">
        <v>45540</v>
      </c>
      <c r="C426" s="1" t="n">
        <v>46053</v>
      </c>
      <c r="D426" t="inlineStr">
        <is>
          <t>SKÅNE LÄN</t>
        </is>
      </c>
      <c r="E426" t="inlineStr">
        <is>
          <t>HÄSSLEHOLM</t>
        </is>
      </c>
      <c r="G426" t="n">
        <v>3.9</v>
      </c>
      <c r="H426" t="n">
        <v>0</v>
      </c>
      <c r="I426" t="n">
        <v>0</v>
      </c>
      <c r="J426" t="n">
        <v>0</v>
      </c>
      <c r="K426" t="n">
        <v>0</v>
      </c>
      <c r="L426" t="n">
        <v>0</v>
      </c>
      <c r="M426" t="n">
        <v>0</v>
      </c>
      <c r="N426" t="n">
        <v>0</v>
      </c>
      <c r="O426" t="n">
        <v>0</v>
      </c>
      <c r="P426" t="n">
        <v>0</v>
      </c>
      <c r="Q426" t="n">
        <v>0</v>
      </c>
      <c r="R426" s="2" t="inlineStr"/>
    </row>
    <row r="427" ht="15" customHeight="1">
      <c r="A427" t="inlineStr">
        <is>
          <t>A 58891-2022</t>
        </is>
      </c>
      <c r="B427" s="1" t="n">
        <v>44896</v>
      </c>
      <c r="C427" s="1" t="n">
        <v>46053</v>
      </c>
      <c r="D427" t="inlineStr">
        <is>
          <t>SKÅNE LÄN</t>
        </is>
      </c>
      <c r="E427" t="inlineStr">
        <is>
          <t>HÄSSLEHOLM</t>
        </is>
      </c>
      <c r="F427" t="inlineStr">
        <is>
          <t>Kyrkan</t>
        </is>
      </c>
      <c r="G427" t="n">
        <v>1.6</v>
      </c>
      <c r="H427" t="n">
        <v>0</v>
      </c>
      <c r="I427" t="n">
        <v>0</v>
      </c>
      <c r="J427" t="n">
        <v>0</v>
      </c>
      <c r="K427" t="n">
        <v>0</v>
      </c>
      <c r="L427" t="n">
        <v>0</v>
      </c>
      <c r="M427" t="n">
        <v>0</v>
      </c>
      <c r="N427" t="n">
        <v>0</v>
      </c>
      <c r="O427" t="n">
        <v>0</v>
      </c>
      <c r="P427" t="n">
        <v>0</v>
      </c>
      <c r="Q427" t="n">
        <v>0</v>
      </c>
      <c r="R427" s="2" t="inlineStr"/>
    </row>
    <row r="428" ht="15" customHeight="1">
      <c r="A428" t="inlineStr">
        <is>
          <t>A 37324-2024</t>
        </is>
      </c>
      <c r="B428" s="1" t="n">
        <v>45540.50104166667</v>
      </c>
      <c r="C428" s="1" t="n">
        <v>46053</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25176-2024</t>
        </is>
      </c>
      <c r="B429" s="1" t="n">
        <v>45462.54582175926</v>
      </c>
      <c r="C429" s="1" t="n">
        <v>46053</v>
      </c>
      <c r="D429" t="inlineStr">
        <is>
          <t>SKÅNE LÄN</t>
        </is>
      </c>
      <c r="E429" t="inlineStr">
        <is>
          <t>HÄSSLEHOLM</t>
        </is>
      </c>
      <c r="G429" t="n">
        <v>3.8</v>
      </c>
      <c r="H429" t="n">
        <v>0</v>
      </c>
      <c r="I429" t="n">
        <v>0</v>
      </c>
      <c r="J429" t="n">
        <v>0</v>
      </c>
      <c r="K429" t="n">
        <v>0</v>
      </c>
      <c r="L429" t="n">
        <v>0</v>
      </c>
      <c r="M429" t="n">
        <v>0</v>
      </c>
      <c r="N429" t="n">
        <v>0</v>
      </c>
      <c r="O429" t="n">
        <v>0</v>
      </c>
      <c r="P429" t="n">
        <v>0</v>
      </c>
      <c r="Q429" t="n">
        <v>0</v>
      </c>
      <c r="R429" s="2" t="inlineStr"/>
    </row>
    <row r="430" ht="15" customHeight="1">
      <c r="A430" t="inlineStr">
        <is>
          <t>A 43738-2025</t>
        </is>
      </c>
      <c r="B430" s="1" t="n">
        <v>45912.45037037037</v>
      </c>
      <c r="C430" s="1" t="n">
        <v>46053</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43741-2025</t>
        </is>
      </c>
      <c r="B431" s="1" t="n">
        <v>45912.45541666666</v>
      </c>
      <c r="C431" s="1" t="n">
        <v>46053</v>
      </c>
      <c r="D431" t="inlineStr">
        <is>
          <t>SKÅNE LÄN</t>
        </is>
      </c>
      <c r="E431" t="inlineStr">
        <is>
          <t>HÄSSLEHOLM</t>
        </is>
      </c>
      <c r="G431" t="n">
        <v>4.3</v>
      </c>
      <c r="H431" t="n">
        <v>0</v>
      </c>
      <c r="I431" t="n">
        <v>0</v>
      </c>
      <c r="J431" t="n">
        <v>0</v>
      </c>
      <c r="K431" t="n">
        <v>0</v>
      </c>
      <c r="L431" t="n">
        <v>0</v>
      </c>
      <c r="M431" t="n">
        <v>0</v>
      </c>
      <c r="N431" t="n">
        <v>0</v>
      </c>
      <c r="O431" t="n">
        <v>0</v>
      </c>
      <c r="P431" t="n">
        <v>0</v>
      </c>
      <c r="Q431" t="n">
        <v>0</v>
      </c>
      <c r="R431" s="2" t="inlineStr"/>
    </row>
    <row r="432" ht="15" customHeight="1">
      <c r="A432" t="inlineStr">
        <is>
          <t>A 25615-2025</t>
        </is>
      </c>
      <c r="B432" s="1" t="n">
        <v>45803</v>
      </c>
      <c r="C432" s="1" t="n">
        <v>46053</v>
      </c>
      <c r="D432" t="inlineStr">
        <is>
          <t>SKÅNE LÄN</t>
        </is>
      </c>
      <c r="E432" t="inlineStr">
        <is>
          <t>HÄSSLEHOLM</t>
        </is>
      </c>
      <c r="G432" t="n">
        <v>2.6</v>
      </c>
      <c r="H432" t="n">
        <v>0</v>
      </c>
      <c r="I432" t="n">
        <v>0</v>
      </c>
      <c r="J432" t="n">
        <v>0</v>
      </c>
      <c r="K432" t="n">
        <v>0</v>
      </c>
      <c r="L432" t="n">
        <v>0</v>
      </c>
      <c r="M432" t="n">
        <v>0</v>
      </c>
      <c r="N432" t="n">
        <v>0</v>
      </c>
      <c r="O432" t="n">
        <v>0</v>
      </c>
      <c r="P432" t="n">
        <v>0</v>
      </c>
      <c r="Q432" t="n">
        <v>0</v>
      </c>
      <c r="R432" s="2" t="inlineStr"/>
    </row>
    <row r="433" ht="15" customHeight="1">
      <c r="A433" t="inlineStr">
        <is>
          <t>A 25431-2025</t>
        </is>
      </c>
      <c r="B433" s="1" t="n">
        <v>45800.78340277778</v>
      </c>
      <c r="C433" s="1" t="n">
        <v>46053</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25432-2025</t>
        </is>
      </c>
      <c r="B434" s="1" t="n">
        <v>45800.7847800926</v>
      </c>
      <c r="C434" s="1" t="n">
        <v>46053</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11412-2025</t>
        </is>
      </c>
      <c r="B435" s="1" t="n">
        <v>45726</v>
      </c>
      <c r="C435" s="1" t="n">
        <v>46053</v>
      </c>
      <c r="D435" t="inlineStr">
        <is>
          <t>SKÅNE LÄN</t>
        </is>
      </c>
      <c r="E435" t="inlineStr">
        <is>
          <t>HÄSSLEHOLM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43869-2025</t>
        </is>
      </c>
      <c r="B436" s="1" t="n">
        <v>45912.66452546296</v>
      </c>
      <c r="C436" s="1" t="n">
        <v>46053</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11466-2025</t>
        </is>
      </c>
      <c r="B437" s="1" t="n">
        <v>45726</v>
      </c>
      <c r="C437" s="1" t="n">
        <v>46053</v>
      </c>
      <c r="D437" t="inlineStr">
        <is>
          <t>SKÅNE LÄN</t>
        </is>
      </c>
      <c r="E437" t="inlineStr">
        <is>
          <t>HÄSSLEHOLM</t>
        </is>
      </c>
      <c r="G437" t="n">
        <v>3.2</v>
      </c>
      <c r="H437" t="n">
        <v>0</v>
      </c>
      <c r="I437" t="n">
        <v>0</v>
      </c>
      <c r="J437" t="n">
        <v>0</v>
      </c>
      <c r="K437" t="n">
        <v>0</v>
      </c>
      <c r="L437" t="n">
        <v>0</v>
      </c>
      <c r="M437" t="n">
        <v>0</v>
      </c>
      <c r="N437" t="n">
        <v>0</v>
      </c>
      <c r="O437" t="n">
        <v>0</v>
      </c>
      <c r="P437" t="n">
        <v>0</v>
      </c>
      <c r="Q437" t="n">
        <v>0</v>
      </c>
      <c r="R437" s="2" t="inlineStr"/>
    </row>
    <row r="438" ht="15" customHeight="1">
      <c r="A438" t="inlineStr">
        <is>
          <t>A 3726-2024</t>
        </is>
      </c>
      <c r="B438" s="1" t="n">
        <v>45321</v>
      </c>
      <c r="C438" s="1" t="n">
        <v>46053</v>
      </c>
      <c r="D438" t="inlineStr">
        <is>
          <t>SKÅNE LÄN</t>
        </is>
      </c>
      <c r="E438" t="inlineStr">
        <is>
          <t>HÄSSLEHOLM</t>
        </is>
      </c>
      <c r="G438" t="n">
        <v>0.3</v>
      </c>
      <c r="H438" t="n">
        <v>0</v>
      </c>
      <c r="I438" t="n">
        <v>0</v>
      </c>
      <c r="J438" t="n">
        <v>0</v>
      </c>
      <c r="K438" t="n">
        <v>0</v>
      </c>
      <c r="L438" t="n">
        <v>0</v>
      </c>
      <c r="M438" t="n">
        <v>0</v>
      </c>
      <c r="N438" t="n">
        <v>0</v>
      </c>
      <c r="O438" t="n">
        <v>0</v>
      </c>
      <c r="P438" t="n">
        <v>0</v>
      </c>
      <c r="Q438" t="n">
        <v>0</v>
      </c>
      <c r="R438" s="2" t="inlineStr"/>
    </row>
    <row r="439" ht="15" customHeight="1">
      <c r="A439" t="inlineStr">
        <is>
          <t>A 26232-2025</t>
        </is>
      </c>
      <c r="B439" s="1" t="n">
        <v>45805.56642361111</v>
      </c>
      <c r="C439" s="1" t="n">
        <v>46053</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39044-2024</t>
        </is>
      </c>
      <c r="B440" s="1" t="n">
        <v>45548.47707175926</v>
      </c>
      <c r="C440" s="1" t="n">
        <v>46053</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44330-2025</t>
        </is>
      </c>
      <c r="B441" s="1" t="n">
        <v>45916.42120370371</v>
      </c>
      <c r="C441" s="1" t="n">
        <v>46053</v>
      </c>
      <c r="D441" t="inlineStr">
        <is>
          <t>SKÅNE LÄN</t>
        </is>
      </c>
      <c r="E441" t="inlineStr">
        <is>
          <t>HÄSSLEHOLM</t>
        </is>
      </c>
      <c r="G441" t="n">
        <v>2.7</v>
      </c>
      <c r="H441" t="n">
        <v>0</v>
      </c>
      <c r="I441" t="n">
        <v>0</v>
      </c>
      <c r="J441" t="n">
        <v>0</v>
      </c>
      <c r="K441" t="n">
        <v>0</v>
      </c>
      <c r="L441" t="n">
        <v>0</v>
      </c>
      <c r="M441" t="n">
        <v>0</v>
      </c>
      <c r="N441" t="n">
        <v>0</v>
      </c>
      <c r="O441" t="n">
        <v>0</v>
      </c>
      <c r="P441" t="n">
        <v>0</v>
      </c>
      <c r="Q441" t="n">
        <v>0</v>
      </c>
      <c r="R441" s="2" t="inlineStr"/>
    </row>
    <row r="442" ht="15" customHeight="1">
      <c r="A442" t="inlineStr">
        <is>
          <t>A 44523-2025</t>
        </is>
      </c>
      <c r="B442" s="1" t="n">
        <v>45916</v>
      </c>
      <c r="C442" s="1" t="n">
        <v>46053</v>
      </c>
      <c r="D442" t="inlineStr">
        <is>
          <t>SKÅNE LÄN</t>
        </is>
      </c>
      <c r="E442" t="inlineStr">
        <is>
          <t>HÄSSLEHOLM</t>
        </is>
      </c>
      <c r="G442" t="n">
        <v>1.6</v>
      </c>
      <c r="H442" t="n">
        <v>0</v>
      </c>
      <c r="I442" t="n">
        <v>0</v>
      </c>
      <c r="J442" t="n">
        <v>0</v>
      </c>
      <c r="K442" t="n">
        <v>0</v>
      </c>
      <c r="L442" t="n">
        <v>0</v>
      </c>
      <c r="M442" t="n">
        <v>0</v>
      </c>
      <c r="N442" t="n">
        <v>0</v>
      </c>
      <c r="O442" t="n">
        <v>0</v>
      </c>
      <c r="P442" t="n">
        <v>0</v>
      </c>
      <c r="Q442" t="n">
        <v>0</v>
      </c>
      <c r="R442" s="2" t="inlineStr"/>
    </row>
    <row r="443" ht="15" customHeight="1">
      <c r="A443" t="inlineStr">
        <is>
          <t>A 14255-2024</t>
        </is>
      </c>
      <c r="B443" s="1" t="n">
        <v>45393</v>
      </c>
      <c r="C443" s="1" t="n">
        <v>46053</v>
      </c>
      <c r="D443" t="inlineStr">
        <is>
          <t>SKÅNE LÄN</t>
        </is>
      </c>
      <c r="E443" t="inlineStr">
        <is>
          <t>HÄSSLEHOLM</t>
        </is>
      </c>
      <c r="G443" t="n">
        <v>11.9</v>
      </c>
      <c r="H443" t="n">
        <v>0</v>
      </c>
      <c r="I443" t="n">
        <v>0</v>
      </c>
      <c r="J443" t="n">
        <v>0</v>
      </c>
      <c r="K443" t="n">
        <v>0</v>
      </c>
      <c r="L443" t="n">
        <v>0</v>
      </c>
      <c r="M443" t="n">
        <v>0</v>
      </c>
      <c r="N443" t="n">
        <v>0</v>
      </c>
      <c r="O443" t="n">
        <v>0</v>
      </c>
      <c r="P443" t="n">
        <v>0</v>
      </c>
      <c r="Q443" t="n">
        <v>0</v>
      </c>
      <c r="R443" s="2" t="inlineStr"/>
    </row>
    <row r="444" ht="15" customHeight="1">
      <c r="A444" t="inlineStr">
        <is>
          <t>A 26244-2025</t>
        </is>
      </c>
      <c r="B444" s="1" t="n">
        <v>45805.57364583333</v>
      </c>
      <c r="C444" s="1" t="n">
        <v>46053</v>
      </c>
      <c r="D444" t="inlineStr">
        <is>
          <t>SKÅNE LÄN</t>
        </is>
      </c>
      <c r="E444" t="inlineStr">
        <is>
          <t>HÄSSLEHOLM</t>
        </is>
      </c>
      <c r="G444" t="n">
        <v>1.4</v>
      </c>
      <c r="H444" t="n">
        <v>0</v>
      </c>
      <c r="I444" t="n">
        <v>0</v>
      </c>
      <c r="J444" t="n">
        <v>0</v>
      </c>
      <c r="K444" t="n">
        <v>0</v>
      </c>
      <c r="L444" t="n">
        <v>0</v>
      </c>
      <c r="M444" t="n">
        <v>0</v>
      </c>
      <c r="N444" t="n">
        <v>0</v>
      </c>
      <c r="O444" t="n">
        <v>0</v>
      </c>
      <c r="P444" t="n">
        <v>0</v>
      </c>
      <c r="Q444" t="n">
        <v>0</v>
      </c>
      <c r="R444" s="2" t="inlineStr"/>
    </row>
    <row r="445" ht="15" customHeight="1">
      <c r="A445" t="inlineStr">
        <is>
          <t>A 44515-2025</t>
        </is>
      </c>
      <c r="B445" s="1" t="n">
        <v>45916.7062037037</v>
      </c>
      <c r="C445" s="1" t="n">
        <v>46053</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20058-2023</t>
        </is>
      </c>
      <c r="B446" s="1" t="n">
        <v>45054.68476851852</v>
      </c>
      <c r="C446" s="1" t="n">
        <v>46053</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10897-2023</t>
        </is>
      </c>
      <c r="B447" s="1" t="n">
        <v>44985</v>
      </c>
      <c r="C447" s="1" t="n">
        <v>46053</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38358-2024</t>
        </is>
      </c>
      <c r="B448" s="1" t="n">
        <v>45545.79068287037</v>
      </c>
      <c r="C448" s="1" t="n">
        <v>46053</v>
      </c>
      <c r="D448" t="inlineStr">
        <is>
          <t>SKÅNE LÄN</t>
        </is>
      </c>
      <c r="E448" t="inlineStr">
        <is>
          <t>HÄSSLEHOLM</t>
        </is>
      </c>
      <c r="G448" t="n">
        <v>9</v>
      </c>
      <c r="H448" t="n">
        <v>0</v>
      </c>
      <c r="I448" t="n">
        <v>0</v>
      </c>
      <c r="J448" t="n">
        <v>0</v>
      </c>
      <c r="K448" t="n">
        <v>0</v>
      </c>
      <c r="L448" t="n">
        <v>0</v>
      </c>
      <c r="M448" t="n">
        <v>0</v>
      </c>
      <c r="N448" t="n">
        <v>0</v>
      </c>
      <c r="O448" t="n">
        <v>0</v>
      </c>
      <c r="P448" t="n">
        <v>0</v>
      </c>
      <c r="Q448" t="n">
        <v>0</v>
      </c>
      <c r="R448" s="2" t="inlineStr"/>
    </row>
    <row r="449" ht="15" customHeight="1">
      <c r="A449" t="inlineStr">
        <is>
          <t>A 16108-2025</t>
        </is>
      </c>
      <c r="B449" s="1" t="n">
        <v>45750.34667824074</v>
      </c>
      <c r="C449" s="1" t="n">
        <v>46053</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44624-2025</t>
        </is>
      </c>
      <c r="B450" s="1" t="n">
        <v>45917.47152777778</v>
      </c>
      <c r="C450" s="1" t="n">
        <v>46053</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44611-2025</t>
        </is>
      </c>
      <c r="B451" s="1" t="n">
        <v>45917.45109953704</v>
      </c>
      <c r="C451" s="1" t="n">
        <v>46053</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45084-2025</t>
        </is>
      </c>
      <c r="B452" s="1" t="n">
        <v>45918</v>
      </c>
      <c r="C452" s="1" t="n">
        <v>46053</v>
      </c>
      <c r="D452" t="inlineStr">
        <is>
          <t>SKÅNE LÄN</t>
        </is>
      </c>
      <c r="E452" t="inlineStr">
        <is>
          <t>HÄSSLEHOLM</t>
        </is>
      </c>
      <c r="G452" t="n">
        <v>1.4</v>
      </c>
      <c r="H452" t="n">
        <v>0</v>
      </c>
      <c r="I452" t="n">
        <v>0</v>
      </c>
      <c r="J452" t="n">
        <v>0</v>
      </c>
      <c r="K452" t="n">
        <v>0</v>
      </c>
      <c r="L452" t="n">
        <v>0</v>
      </c>
      <c r="M452" t="n">
        <v>0</v>
      </c>
      <c r="N452" t="n">
        <v>0</v>
      </c>
      <c r="O452" t="n">
        <v>0</v>
      </c>
      <c r="P452" t="n">
        <v>0</v>
      </c>
      <c r="Q452" t="n">
        <v>0</v>
      </c>
      <c r="R452" s="2" t="inlineStr"/>
    </row>
    <row r="453" ht="15" customHeight="1">
      <c r="A453" t="inlineStr">
        <is>
          <t>A 56986-2024</t>
        </is>
      </c>
      <c r="B453" s="1" t="n">
        <v>45626</v>
      </c>
      <c r="C453" s="1" t="n">
        <v>46053</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44616-2025</t>
        </is>
      </c>
      <c r="B454" s="1" t="n">
        <v>45917.45572916666</v>
      </c>
      <c r="C454" s="1" t="n">
        <v>46053</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49111-2023</t>
        </is>
      </c>
      <c r="B455" s="1" t="n">
        <v>45210.44464120371</v>
      </c>
      <c r="C455" s="1" t="n">
        <v>46053</v>
      </c>
      <c r="D455" t="inlineStr">
        <is>
          <t>SKÅNE LÄN</t>
        </is>
      </c>
      <c r="E455" t="inlineStr">
        <is>
          <t>HÄSSLEHOLM</t>
        </is>
      </c>
      <c r="G455" t="n">
        <v>0.2</v>
      </c>
      <c r="H455" t="n">
        <v>0</v>
      </c>
      <c r="I455" t="n">
        <v>0</v>
      </c>
      <c r="J455" t="n">
        <v>0</v>
      </c>
      <c r="K455" t="n">
        <v>0</v>
      </c>
      <c r="L455" t="n">
        <v>0</v>
      </c>
      <c r="M455" t="n">
        <v>0</v>
      </c>
      <c r="N455" t="n">
        <v>0</v>
      </c>
      <c r="O455" t="n">
        <v>0</v>
      </c>
      <c r="P455" t="n">
        <v>0</v>
      </c>
      <c r="Q455" t="n">
        <v>0</v>
      </c>
      <c r="R455" s="2" t="inlineStr"/>
    </row>
    <row r="456" ht="15" customHeight="1">
      <c r="A456" t="inlineStr">
        <is>
          <t>A 44614-2025</t>
        </is>
      </c>
      <c r="B456" s="1" t="n">
        <v>45917.45422453704</v>
      </c>
      <c r="C456" s="1" t="n">
        <v>46053</v>
      </c>
      <c r="D456" t="inlineStr">
        <is>
          <t>SKÅNE LÄN</t>
        </is>
      </c>
      <c r="E456" t="inlineStr">
        <is>
          <t>HÄSSLEHOLM</t>
        </is>
      </c>
      <c r="G456" t="n">
        <v>5.4</v>
      </c>
      <c r="H456" t="n">
        <v>0</v>
      </c>
      <c r="I456" t="n">
        <v>0</v>
      </c>
      <c r="J456" t="n">
        <v>0</v>
      </c>
      <c r="K456" t="n">
        <v>0</v>
      </c>
      <c r="L456" t="n">
        <v>0</v>
      </c>
      <c r="M456" t="n">
        <v>0</v>
      </c>
      <c r="N456" t="n">
        <v>0</v>
      </c>
      <c r="O456" t="n">
        <v>0</v>
      </c>
      <c r="P456" t="n">
        <v>0</v>
      </c>
      <c r="Q456" t="n">
        <v>0</v>
      </c>
      <c r="R456" s="2" t="inlineStr"/>
    </row>
    <row r="457" ht="15" customHeight="1">
      <c r="A457" t="inlineStr">
        <is>
          <t>A 45495-2025</t>
        </is>
      </c>
      <c r="B457" s="1" t="n">
        <v>45922.56369212963</v>
      </c>
      <c r="C457" s="1" t="n">
        <v>46053</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45176-2025</t>
        </is>
      </c>
      <c r="B458" s="1" t="n">
        <v>45919.52307870371</v>
      </c>
      <c r="C458" s="1" t="n">
        <v>46053</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45273-2025</t>
        </is>
      </c>
      <c r="B459" s="1" t="n">
        <v>45919.70486111111</v>
      </c>
      <c r="C459" s="1" t="n">
        <v>46053</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45314-2025</t>
        </is>
      </c>
      <c r="B460" s="1" t="n">
        <v>45921.81738425926</v>
      </c>
      <c r="C460" s="1" t="n">
        <v>46053</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16368-2025</t>
        </is>
      </c>
      <c r="B461" s="1" t="n">
        <v>45751</v>
      </c>
      <c r="C461" s="1" t="n">
        <v>46053</v>
      </c>
      <c r="D461" t="inlineStr">
        <is>
          <t>SKÅNE LÄN</t>
        </is>
      </c>
      <c r="E461" t="inlineStr">
        <is>
          <t>HÄSSLEHOLM</t>
        </is>
      </c>
      <c r="G461" t="n">
        <v>5</v>
      </c>
      <c r="H461" t="n">
        <v>0</v>
      </c>
      <c r="I461" t="n">
        <v>0</v>
      </c>
      <c r="J461" t="n">
        <v>0</v>
      </c>
      <c r="K461" t="n">
        <v>0</v>
      </c>
      <c r="L461" t="n">
        <v>0</v>
      </c>
      <c r="M461" t="n">
        <v>0</v>
      </c>
      <c r="N461" t="n">
        <v>0</v>
      </c>
      <c r="O461" t="n">
        <v>0</v>
      </c>
      <c r="P461" t="n">
        <v>0</v>
      </c>
      <c r="Q461" t="n">
        <v>0</v>
      </c>
      <c r="R461" s="2" t="inlineStr"/>
    </row>
    <row r="462" ht="15" customHeight="1">
      <c r="A462" t="inlineStr">
        <is>
          <t>A 34299-2024</t>
        </is>
      </c>
      <c r="B462" s="1" t="n">
        <v>45524</v>
      </c>
      <c r="C462" s="1" t="n">
        <v>46053</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45516-2025</t>
        </is>
      </c>
      <c r="B463" s="1" t="n">
        <v>45922</v>
      </c>
      <c r="C463" s="1" t="n">
        <v>46053</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60846-2022</t>
        </is>
      </c>
      <c r="B464" s="1" t="n">
        <v>44914</v>
      </c>
      <c r="C464" s="1" t="n">
        <v>46053</v>
      </c>
      <c r="D464" t="inlineStr">
        <is>
          <t>SKÅNE LÄN</t>
        </is>
      </c>
      <c r="E464" t="inlineStr">
        <is>
          <t>HÄSSLEHOLM</t>
        </is>
      </c>
      <c r="G464" t="n">
        <v>2.1</v>
      </c>
      <c r="H464" t="n">
        <v>0</v>
      </c>
      <c r="I464" t="n">
        <v>0</v>
      </c>
      <c r="J464" t="n">
        <v>0</v>
      </c>
      <c r="K464" t="n">
        <v>0</v>
      </c>
      <c r="L464" t="n">
        <v>0</v>
      </c>
      <c r="M464" t="n">
        <v>0</v>
      </c>
      <c r="N464" t="n">
        <v>0</v>
      </c>
      <c r="O464" t="n">
        <v>0</v>
      </c>
      <c r="P464" t="n">
        <v>0</v>
      </c>
      <c r="Q464" t="n">
        <v>0</v>
      </c>
      <c r="R464" s="2" t="inlineStr"/>
    </row>
    <row r="465" ht="15" customHeight="1">
      <c r="A465" t="inlineStr">
        <is>
          <t>A 45514-2025</t>
        </is>
      </c>
      <c r="B465" s="1" t="n">
        <v>45922</v>
      </c>
      <c r="C465" s="1" t="n">
        <v>46053</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45221-2025</t>
        </is>
      </c>
      <c r="B466" s="1" t="n">
        <v>45919.57760416667</v>
      </c>
      <c r="C466" s="1" t="n">
        <v>46053</v>
      </c>
      <c r="D466" t="inlineStr">
        <is>
          <t>SKÅNE LÄN</t>
        </is>
      </c>
      <c r="E466" t="inlineStr">
        <is>
          <t>HÄSSLEHOLM</t>
        </is>
      </c>
      <c r="G466" t="n">
        <v>1.7</v>
      </c>
      <c r="H466" t="n">
        <v>0</v>
      </c>
      <c r="I466" t="n">
        <v>0</v>
      </c>
      <c r="J466" t="n">
        <v>0</v>
      </c>
      <c r="K466" t="n">
        <v>0</v>
      </c>
      <c r="L466" t="n">
        <v>0</v>
      </c>
      <c r="M466" t="n">
        <v>0</v>
      </c>
      <c r="N466" t="n">
        <v>0</v>
      </c>
      <c r="O466" t="n">
        <v>0</v>
      </c>
      <c r="P466" t="n">
        <v>0</v>
      </c>
      <c r="Q466" t="n">
        <v>0</v>
      </c>
      <c r="R466" s="2" t="inlineStr"/>
    </row>
    <row r="467" ht="15" customHeight="1">
      <c r="A467" t="inlineStr">
        <is>
          <t>A 45414-2025</t>
        </is>
      </c>
      <c r="B467" s="1" t="n">
        <v>45920</v>
      </c>
      <c r="C467" s="1" t="n">
        <v>46053</v>
      </c>
      <c r="D467" t="inlineStr">
        <is>
          <t>SKÅNE LÄN</t>
        </is>
      </c>
      <c r="E467" t="inlineStr">
        <is>
          <t>HÄSSLEHOLM</t>
        </is>
      </c>
      <c r="G467" t="n">
        <v>14.7</v>
      </c>
      <c r="H467" t="n">
        <v>0</v>
      </c>
      <c r="I467" t="n">
        <v>0</v>
      </c>
      <c r="J467" t="n">
        <v>0</v>
      </c>
      <c r="K467" t="n">
        <v>0</v>
      </c>
      <c r="L467" t="n">
        <v>0</v>
      </c>
      <c r="M467" t="n">
        <v>0</v>
      </c>
      <c r="N467" t="n">
        <v>0</v>
      </c>
      <c r="O467" t="n">
        <v>0</v>
      </c>
      <c r="P467" t="n">
        <v>0</v>
      </c>
      <c r="Q467" t="n">
        <v>0</v>
      </c>
      <c r="R467" s="2" t="inlineStr"/>
    </row>
    <row r="468" ht="15" customHeight="1">
      <c r="A468" t="inlineStr">
        <is>
          <t>A 45443-2025</t>
        </is>
      </c>
      <c r="B468" s="1" t="n">
        <v>45920</v>
      </c>
      <c r="C468" s="1" t="n">
        <v>46053</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45496-2025</t>
        </is>
      </c>
      <c r="B469" s="1" t="n">
        <v>45922</v>
      </c>
      <c r="C469" s="1" t="n">
        <v>46053</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45458-2025</t>
        </is>
      </c>
      <c r="B470" s="1" t="n">
        <v>45920</v>
      </c>
      <c r="C470" s="1" t="n">
        <v>46053</v>
      </c>
      <c r="D470" t="inlineStr">
        <is>
          <t>SKÅNE LÄN</t>
        </is>
      </c>
      <c r="E470" t="inlineStr">
        <is>
          <t>HÄSSLEHOLM</t>
        </is>
      </c>
      <c r="G470" t="n">
        <v>1</v>
      </c>
      <c r="H470" t="n">
        <v>0</v>
      </c>
      <c r="I470" t="n">
        <v>0</v>
      </c>
      <c r="J470" t="n">
        <v>0</v>
      </c>
      <c r="K470" t="n">
        <v>0</v>
      </c>
      <c r="L470" t="n">
        <v>0</v>
      </c>
      <c r="M470" t="n">
        <v>0</v>
      </c>
      <c r="N470" t="n">
        <v>0</v>
      </c>
      <c r="O470" t="n">
        <v>0</v>
      </c>
      <c r="P470" t="n">
        <v>0</v>
      </c>
      <c r="Q470" t="n">
        <v>0</v>
      </c>
      <c r="R470" s="2" t="inlineStr"/>
    </row>
    <row r="471" ht="15" customHeight="1">
      <c r="A471" t="inlineStr">
        <is>
          <t>A 45465-2025</t>
        </is>
      </c>
      <c r="B471" s="1" t="n">
        <v>45920</v>
      </c>
      <c r="C471" s="1" t="n">
        <v>46053</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54408-2024</t>
        </is>
      </c>
      <c r="B472" s="1" t="n">
        <v>45617.47263888889</v>
      </c>
      <c r="C472" s="1" t="n">
        <v>46053</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49845-2025</t>
        </is>
      </c>
      <c r="B473" s="1" t="n">
        <v>45940.48015046296</v>
      </c>
      <c r="C473" s="1" t="n">
        <v>46053</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14008-2023</t>
        </is>
      </c>
      <c r="B474" s="1" t="n">
        <v>45008.56725694444</v>
      </c>
      <c r="C474" s="1" t="n">
        <v>46053</v>
      </c>
      <c r="D474" t="inlineStr">
        <is>
          <t>SKÅNE LÄN</t>
        </is>
      </c>
      <c r="E474" t="inlineStr">
        <is>
          <t>HÄSSLEHOLM</t>
        </is>
      </c>
      <c r="G474" t="n">
        <v>3.3</v>
      </c>
      <c r="H474" t="n">
        <v>0</v>
      </c>
      <c r="I474" t="n">
        <v>0</v>
      </c>
      <c r="J474" t="n">
        <v>0</v>
      </c>
      <c r="K474" t="n">
        <v>0</v>
      </c>
      <c r="L474" t="n">
        <v>0</v>
      </c>
      <c r="M474" t="n">
        <v>0</v>
      </c>
      <c r="N474" t="n">
        <v>0</v>
      </c>
      <c r="O474" t="n">
        <v>0</v>
      </c>
      <c r="P474" t="n">
        <v>0</v>
      </c>
      <c r="Q474" t="n">
        <v>0</v>
      </c>
      <c r="R474" s="2" t="inlineStr"/>
    </row>
    <row r="475" ht="15" customHeight="1">
      <c r="A475" t="inlineStr">
        <is>
          <t>A 20493-2024</t>
        </is>
      </c>
      <c r="B475" s="1" t="n">
        <v>45435</v>
      </c>
      <c r="C475" s="1" t="n">
        <v>46053</v>
      </c>
      <c r="D475" t="inlineStr">
        <is>
          <t>SKÅNE LÄN</t>
        </is>
      </c>
      <c r="E475" t="inlineStr">
        <is>
          <t>HÄSSLEHOLM</t>
        </is>
      </c>
      <c r="G475" t="n">
        <v>1.2</v>
      </c>
      <c r="H475" t="n">
        <v>0</v>
      </c>
      <c r="I475" t="n">
        <v>0</v>
      </c>
      <c r="J475" t="n">
        <v>0</v>
      </c>
      <c r="K475" t="n">
        <v>0</v>
      </c>
      <c r="L475" t="n">
        <v>0</v>
      </c>
      <c r="M475" t="n">
        <v>0</v>
      </c>
      <c r="N475" t="n">
        <v>0</v>
      </c>
      <c r="O475" t="n">
        <v>0</v>
      </c>
      <c r="P475" t="n">
        <v>0</v>
      </c>
      <c r="Q475" t="n">
        <v>0</v>
      </c>
      <c r="R475" s="2" t="inlineStr"/>
    </row>
    <row r="476" ht="15" customHeight="1">
      <c r="A476" t="inlineStr">
        <is>
          <t>A 13851-2025</t>
        </is>
      </c>
      <c r="B476" s="1" t="n">
        <v>45737.56777777777</v>
      </c>
      <c r="C476" s="1" t="n">
        <v>46053</v>
      </c>
      <c r="D476" t="inlineStr">
        <is>
          <t>SKÅNE LÄN</t>
        </is>
      </c>
      <c r="E476" t="inlineStr">
        <is>
          <t>HÄSSLEHOLM</t>
        </is>
      </c>
      <c r="G476" t="n">
        <v>3</v>
      </c>
      <c r="H476" t="n">
        <v>0</v>
      </c>
      <c r="I476" t="n">
        <v>0</v>
      </c>
      <c r="J476" t="n">
        <v>0</v>
      </c>
      <c r="K476" t="n">
        <v>0</v>
      </c>
      <c r="L476" t="n">
        <v>0</v>
      </c>
      <c r="M476" t="n">
        <v>0</v>
      </c>
      <c r="N476" t="n">
        <v>0</v>
      </c>
      <c r="O476" t="n">
        <v>0</v>
      </c>
      <c r="P476" t="n">
        <v>0</v>
      </c>
      <c r="Q476" t="n">
        <v>0</v>
      </c>
      <c r="R476" s="2" t="inlineStr"/>
    </row>
    <row r="477" ht="15" customHeight="1">
      <c r="A477" t="inlineStr">
        <is>
          <t>A 9678-2025</t>
        </is>
      </c>
      <c r="B477" s="1" t="n">
        <v>45716</v>
      </c>
      <c r="C477" s="1" t="n">
        <v>46053</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27393-2025</t>
        </is>
      </c>
      <c r="B478" s="1" t="n">
        <v>45812.68295138889</v>
      </c>
      <c r="C478" s="1" t="n">
        <v>46053</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45683-2025</t>
        </is>
      </c>
      <c r="B479" s="1" t="n">
        <v>45923.37590277778</v>
      </c>
      <c r="C479" s="1" t="n">
        <v>46053</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41874-2024</t>
        </is>
      </c>
      <c r="B480" s="1" t="n">
        <v>45561</v>
      </c>
      <c r="C480" s="1" t="n">
        <v>46053</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11121-2023</t>
        </is>
      </c>
      <c r="B481" s="1" t="n">
        <v>44986</v>
      </c>
      <c r="C481" s="1" t="n">
        <v>46053</v>
      </c>
      <c r="D481" t="inlineStr">
        <is>
          <t>SKÅNE LÄN</t>
        </is>
      </c>
      <c r="E481" t="inlineStr">
        <is>
          <t>HÄSSLEHOLM</t>
        </is>
      </c>
      <c r="F481" t="inlineStr">
        <is>
          <t>Kommuner</t>
        </is>
      </c>
      <c r="G481" t="n">
        <v>5.8</v>
      </c>
      <c r="H481" t="n">
        <v>0</v>
      </c>
      <c r="I481" t="n">
        <v>0</v>
      </c>
      <c r="J481" t="n">
        <v>0</v>
      </c>
      <c r="K481" t="n">
        <v>0</v>
      </c>
      <c r="L481" t="n">
        <v>0</v>
      </c>
      <c r="M481" t="n">
        <v>0</v>
      </c>
      <c r="N481" t="n">
        <v>0</v>
      </c>
      <c r="O481" t="n">
        <v>0</v>
      </c>
      <c r="P481" t="n">
        <v>0</v>
      </c>
      <c r="Q481" t="n">
        <v>0</v>
      </c>
      <c r="R481" s="2" t="inlineStr"/>
    </row>
    <row r="482" ht="15" customHeight="1">
      <c r="A482" t="inlineStr">
        <is>
          <t>A 11798-2022</t>
        </is>
      </c>
      <c r="B482" s="1" t="n">
        <v>44634.64900462963</v>
      </c>
      <c r="C482" s="1" t="n">
        <v>46053</v>
      </c>
      <c r="D482" t="inlineStr">
        <is>
          <t>SKÅNE LÄN</t>
        </is>
      </c>
      <c r="E482" t="inlineStr">
        <is>
          <t>HÄSSLEHOLM</t>
        </is>
      </c>
      <c r="G482" t="n">
        <v>2.8</v>
      </c>
      <c r="H482" t="n">
        <v>0</v>
      </c>
      <c r="I482" t="n">
        <v>0</v>
      </c>
      <c r="J482" t="n">
        <v>0</v>
      </c>
      <c r="K482" t="n">
        <v>0</v>
      </c>
      <c r="L482" t="n">
        <v>0</v>
      </c>
      <c r="M482" t="n">
        <v>0</v>
      </c>
      <c r="N482" t="n">
        <v>0</v>
      </c>
      <c r="O482" t="n">
        <v>0</v>
      </c>
      <c r="P482" t="n">
        <v>0</v>
      </c>
      <c r="Q482" t="n">
        <v>0</v>
      </c>
      <c r="R482" s="2" t="inlineStr"/>
    </row>
    <row r="483" ht="15" customHeight="1">
      <c r="A483" t="inlineStr">
        <is>
          <t>A 45763-2025</t>
        </is>
      </c>
      <c r="B483" s="1" t="n">
        <v>45923.51778935185</v>
      </c>
      <c r="C483" s="1" t="n">
        <v>46053</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45764-2025</t>
        </is>
      </c>
      <c r="B484" s="1" t="n">
        <v>45923.52037037037</v>
      </c>
      <c r="C484" s="1" t="n">
        <v>46053</v>
      </c>
      <c r="D484" t="inlineStr">
        <is>
          <t>SKÅNE LÄN</t>
        </is>
      </c>
      <c r="E484" t="inlineStr">
        <is>
          <t>HÄSSLEHOLM</t>
        </is>
      </c>
      <c r="G484" t="n">
        <v>6.3</v>
      </c>
      <c r="H484" t="n">
        <v>0</v>
      </c>
      <c r="I484" t="n">
        <v>0</v>
      </c>
      <c r="J484" t="n">
        <v>0</v>
      </c>
      <c r="K484" t="n">
        <v>0</v>
      </c>
      <c r="L484" t="n">
        <v>0</v>
      </c>
      <c r="M484" t="n">
        <v>0</v>
      </c>
      <c r="N484" t="n">
        <v>0</v>
      </c>
      <c r="O484" t="n">
        <v>0</v>
      </c>
      <c r="P484" t="n">
        <v>0</v>
      </c>
      <c r="Q484" t="n">
        <v>0</v>
      </c>
      <c r="R484" s="2" t="inlineStr"/>
    </row>
    <row r="485" ht="15" customHeight="1">
      <c r="A485" t="inlineStr">
        <is>
          <t>A 11116-2023</t>
        </is>
      </c>
      <c r="B485" s="1" t="n">
        <v>44986</v>
      </c>
      <c r="C485" s="1" t="n">
        <v>46053</v>
      </c>
      <c r="D485" t="inlineStr">
        <is>
          <t>SKÅNE LÄN</t>
        </is>
      </c>
      <c r="E485" t="inlineStr">
        <is>
          <t>HÄSSLEHOLM</t>
        </is>
      </c>
      <c r="F485" t="inlineStr">
        <is>
          <t>Kommuner</t>
        </is>
      </c>
      <c r="G485" t="n">
        <v>15.1</v>
      </c>
      <c r="H485" t="n">
        <v>0</v>
      </c>
      <c r="I485" t="n">
        <v>0</v>
      </c>
      <c r="J485" t="n">
        <v>0</v>
      </c>
      <c r="K485" t="n">
        <v>0</v>
      </c>
      <c r="L485" t="n">
        <v>0</v>
      </c>
      <c r="M485" t="n">
        <v>0</v>
      </c>
      <c r="N485" t="n">
        <v>0</v>
      </c>
      <c r="O485" t="n">
        <v>0</v>
      </c>
      <c r="P485" t="n">
        <v>0</v>
      </c>
      <c r="Q485" t="n">
        <v>0</v>
      </c>
      <c r="R485" s="2" t="inlineStr"/>
    </row>
    <row r="486" ht="15" customHeight="1">
      <c r="A486" t="inlineStr">
        <is>
          <t>A 13890-2024</t>
        </is>
      </c>
      <c r="B486" s="1" t="n">
        <v>45391</v>
      </c>
      <c r="C486" s="1" t="n">
        <v>46053</v>
      </c>
      <c r="D486" t="inlineStr">
        <is>
          <t>SKÅNE LÄN</t>
        </is>
      </c>
      <c r="E486" t="inlineStr">
        <is>
          <t>HÄSSLEHOLM</t>
        </is>
      </c>
      <c r="F486" t="inlineStr">
        <is>
          <t>Kommuner</t>
        </is>
      </c>
      <c r="G486" t="n">
        <v>1.4</v>
      </c>
      <c r="H486" t="n">
        <v>0</v>
      </c>
      <c r="I486" t="n">
        <v>0</v>
      </c>
      <c r="J486" t="n">
        <v>0</v>
      </c>
      <c r="K486" t="n">
        <v>0</v>
      </c>
      <c r="L486" t="n">
        <v>0</v>
      </c>
      <c r="M486" t="n">
        <v>0</v>
      </c>
      <c r="N486" t="n">
        <v>0</v>
      </c>
      <c r="O486" t="n">
        <v>0</v>
      </c>
      <c r="P486" t="n">
        <v>0</v>
      </c>
      <c r="Q486" t="n">
        <v>0</v>
      </c>
      <c r="R486" s="2" t="inlineStr"/>
    </row>
    <row r="487" ht="15" customHeight="1">
      <c r="A487" t="inlineStr">
        <is>
          <t>A 39223-2024</t>
        </is>
      </c>
      <c r="B487" s="1" t="n">
        <v>45550</v>
      </c>
      <c r="C487" s="1" t="n">
        <v>46053</v>
      </c>
      <c r="D487" t="inlineStr">
        <is>
          <t>SKÅNE LÄN</t>
        </is>
      </c>
      <c r="E487" t="inlineStr">
        <is>
          <t>HÄSSLEHOLM</t>
        </is>
      </c>
      <c r="G487" t="n">
        <v>3.1</v>
      </c>
      <c r="H487" t="n">
        <v>0</v>
      </c>
      <c r="I487" t="n">
        <v>0</v>
      </c>
      <c r="J487" t="n">
        <v>0</v>
      </c>
      <c r="K487" t="n">
        <v>0</v>
      </c>
      <c r="L487" t="n">
        <v>0</v>
      </c>
      <c r="M487" t="n">
        <v>0</v>
      </c>
      <c r="N487" t="n">
        <v>0</v>
      </c>
      <c r="O487" t="n">
        <v>0</v>
      </c>
      <c r="P487" t="n">
        <v>0</v>
      </c>
      <c r="Q487" t="n">
        <v>0</v>
      </c>
      <c r="R487" s="2" t="inlineStr"/>
    </row>
    <row r="488" ht="15" customHeight="1">
      <c r="A488" t="inlineStr">
        <is>
          <t>A 45762-2025</t>
        </is>
      </c>
      <c r="B488" s="1" t="n">
        <v>45923.51548611111</v>
      </c>
      <c r="C488" s="1" t="n">
        <v>46053</v>
      </c>
      <c r="D488" t="inlineStr">
        <is>
          <t>SKÅNE LÄN</t>
        </is>
      </c>
      <c r="E488" t="inlineStr">
        <is>
          <t>HÄSSLEHOLM</t>
        </is>
      </c>
      <c r="G488" t="n">
        <v>2.3</v>
      </c>
      <c r="H488" t="n">
        <v>0</v>
      </c>
      <c r="I488" t="n">
        <v>0</v>
      </c>
      <c r="J488" t="n">
        <v>0</v>
      </c>
      <c r="K488" t="n">
        <v>0</v>
      </c>
      <c r="L488" t="n">
        <v>0</v>
      </c>
      <c r="M488" t="n">
        <v>0</v>
      </c>
      <c r="N488" t="n">
        <v>0</v>
      </c>
      <c r="O488" t="n">
        <v>0</v>
      </c>
      <c r="P488" t="n">
        <v>0</v>
      </c>
      <c r="Q488" t="n">
        <v>0</v>
      </c>
      <c r="R488" s="2" t="inlineStr"/>
    </row>
    <row r="489" ht="15" customHeight="1">
      <c r="A489" t="inlineStr">
        <is>
          <t>A 9668-2025</t>
        </is>
      </c>
      <c r="B489" s="1" t="n">
        <v>45716</v>
      </c>
      <c r="C489" s="1" t="n">
        <v>46053</v>
      </c>
      <c r="D489" t="inlineStr">
        <is>
          <t>SKÅNE LÄN</t>
        </is>
      </c>
      <c r="E489" t="inlineStr">
        <is>
          <t>HÄSSLEHOLM</t>
        </is>
      </c>
      <c r="G489" t="n">
        <v>1.2</v>
      </c>
      <c r="H489" t="n">
        <v>0</v>
      </c>
      <c r="I489" t="n">
        <v>0</v>
      </c>
      <c r="J489" t="n">
        <v>0</v>
      </c>
      <c r="K489" t="n">
        <v>0</v>
      </c>
      <c r="L489" t="n">
        <v>0</v>
      </c>
      <c r="M489" t="n">
        <v>0</v>
      </c>
      <c r="N489" t="n">
        <v>0</v>
      </c>
      <c r="O489" t="n">
        <v>0</v>
      </c>
      <c r="P489" t="n">
        <v>0</v>
      </c>
      <c r="Q489" t="n">
        <v>0</v>
      </c>
      <c r="R489" s="2" t="inlineStr"/>
    </row>
    <row r="490" ht="15" customHeight="1">
      <c r="A490" t="inlineStr">
        <is>
          <t>A 6122-2021</t>
        </is>
      </c>
      <c r="B490" s="1" t="n">
        <v>44232.55091435185</v>
      </c>
      <c r="C490" s="1" t="n">
        <v>46053</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13932-2023</t>
        </is>
      </c>
      <c r="B491" s="1" t="n">
        <v>45008.43935185186</v>
      </c>
      <c r="C491" s="1" t="n">
        <v>46053</v>
      </c>
      <c r="D491" t="inlineStr">
        <is>
          <t>SKÅNE LÄN</t>
        </is>
      </c>
      <c r="E491" t="inlineStr">
        <is>
          <t>HÄSSLEHOLM</t>
        </is>
      </c>
      <c r="G491" t="n">
        <v>3.3</v>
      </c>
      <c r="H491" t="n">
        <v>0</v>
      </c>
      <c r="I491" t="n">
        <v>0</v>
      </c>
      <c r="J491" t="n">
        <v>0</v>
      </c>
      <c r="K491" t="n">
        <v>0</v>
      </c>
      <c r="L491" t="n">
        <v>0</v>
      </c>
      <c r="M491" t="n">
        <v>0</v>
      </c>
      <c r="N491" t="n">
        <v>0</v>
      </c>
      <c r="O491" t="n">
        <v>0</v>
      </c>
      <c r="P491" t="n">
        <v>0</v>
      </c>
      <c r="Q491" t="n">
        <v>0</v>
      </c>
      <c r="R491" s="2" t="inlineStr"/>
    </row>
    <row r="492" ht="15" customHeight="1">
      <c r="A492" t="inlineStr">
        <is>
          <t>A 46605-2025</t>
        </is>
      </c>
      <c r="B492" s="1" t="n">
        <v>45926.41214120371</v>
      </c>
      <c r="C492" s="1" t="n">
        <v>46053</v>
      </c>
      <c r="D492" t="inlineStr">
        <is>
          <t>SKÅNE LÄN</t>
        </is>
      </c>
      <c r="E492" t="inlineStr">
        <is>
          <t>HÄSSLEHOLM</t>
        </is>
      </c>
      <c r="G492" t="n">
        <v>0.4</v>
      </c>
      <c r="H492" t="n">
        <v>0</v>
      </c>
      <c r="I492" t="n">
        <v>0</v>
      </c>
      <c r="J492" t="n">
        <v>0</v>
      </c>
      <c r="K492" t="n">
        <v>0</v>
      </c>
      <c r="L492" t="n">
        <v>0</v>
      </c>
      <c r="M492" t="n">
        <v>0</v>
      </c>
      <c r="N492" t="n">
        <v>0</v>
      </c>
      <c r="O492" t="n">
        <v>0</v>
      </c>
      <c r="P492" t="n">
        <v>0</v>
      </c>
      <c r="Q492" t="n">
        <v>0</v>
      </c>
      <c r="R492" s="2" t="inlineStr"/>
    </row>
    <row r="493" ht="15" customHeight="1">
      <c r="A493" t="inlineStr">
        <is>
          <t>A 17138-2025</t>
        </is>
      </c>
      <c r="B493" s="1" t="n">
        <v>45755.80378472222</v>
      </c>
      <c r="C493" s="1" t="n">
        <v>46053</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28240-2025</t>
        </is>
      </c>
      <c r="B494" s="1" t="n">
        <v>45817</v>
      </c>
      <c r="C494" s="1" t="n">
        <v>46053</v>
      </c>
      <c r="D494" t="inlineStr">
        <is>
          <t>SKÅNE LÄN</t>
        </is>
      </c>
      <c r="E494" t="inlineStr">
        <is>
          <t>HÄSSLEHOLM</t>
        </is>
      </c>
      <c r="G494" t="n">
        <v>7.7</v>
      </c>
      <c r="H494" t="n">
        <v>0</v>
      </c>
      <c r="I494" t="n">
        <v>0</v>
      </c>
      <c r="J494" t="n">
        <v>0</v>
      </c>
      <c r="K494" t="n">
        <v>0</v>
      </c>
      <c r="L494" t="n">
        <v>0</v>
      </c>
      <c r="M494" t="n">
        <v>0</v>
      </c>
      <c r="N494" t="n">
        <v>0</v>
      </c>
      <c r="O494" t="n">
        <v>0</v>
      </c>
      <c r="P494" t="n">
        <v>0</v>
      </c>
      <c r="Q494" t="n">
        <v>0</v>
      </c>
      <c r="R494" s="2" t="inlineStr"/>
    </row>
    <row r="495" ht="15" customHeight="1">
      <c r="A495" t="inlineStr">
        <is>
          <t>A 24904-2025</t>
        </is>
      </c>
      <c r="B495" s="1" t="n">
        <v>45799</v>
      </c>
      <c r="C495" s="1" t="n">
        <v>46053</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50676-2025</t>
        </is>
      </c>
      <c r="B496" s="1" t="n">
        <v>45945</v>
      </c>
      <c r="C496" s="1" t="n">
        <v>46053</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50677-2025</t>
        </is>
      </c>
      <c r="B497" s="1" t="n">
        <v>45945</v>
      </c>
      <c r="C497" s="1" t="n">
        <v>46053</v>
      </c>
      <c r="D497" t="inlineStr">
        <is>
          <t>SKÅNE LÄN</t>
        </is>
      </c>
      <c r="E497" t="inlineStr">
        <is>
          <t>HÄSSLEHOLM</t>
        </is>
      </c>
      <c r="G497" t="n">
        <v>2.3</v>
      </c>
      <c r="H497" t="n">
        <v>0</v>
      </c>
      <c r="I497" t="n">
        <v>0</v>
      </c>
      <c r="J497" t="n">
        <v>0</v>
      </c>
      <c r="K497" t="n">
        <v>0</v>
      </c>
      <c r="L497" t="n">
        <v>0</v>
      </c>
      <c r="M497" t="n">
        <v>0</v>
      </c>
      <c r="N497" t="n">
        <v>0</v>
      </c>
      <c r="O497" t="n">
        <v>0</v>
      </c>
      <c r="P497" t="n">
        <v>0</v>
      </c>
      <c r="Q497" t="n">
        <v>0</v>
      </c>
      <c r="R497" s="2" t="inlineStr"/>
    </row>
    <row r="498" ht="15" customHeight="1">
      <c r="A498" t="inlineStr">
        <is>
          <t>A 15512-2025</t>
        </is>
      </c>
      <c r="B498" s="1" t="n">
        <v>45747</v>
      </c>
      <c r="C498" s="1" t="n">
        <v>46053</v>
      </c>
      <c r="D498" t="inlineStr">
        <is>
          <t>SKÅNE LÄN</t>
        </is>
      </c>
      <c r="E498" t="inlineStr">
        <is>
          <t>HÄSSLEHOLM</t>
        </is>
      </c>
      <c r="G498" t="n">
        <v>3.5</v>
      </c>
      <c r="H498" t="n">
        <v>0</v>
      </c>
      <c r="I498" t="n">
        <v>0</v>
      </c>
      <c r="J498" t="n">
        <v>0</v>
      </c>
      <c r="K498" t="n">
        <v>0</v>
      </c>
      <c r="L498" t="n">
        <v>0</v>
      </c>
      <c r="M498" t="n">
        <v>0</v>
      </c>
      <c r="N498" t="n">
        <v>0</v>
      </c>
      <c r="O498" t="n">
        <v>0</v>
      </c>
      <c r="P498" t="n">
        <v>0</v>
      </c>
      <c r="Q498" t="n">
        <v>0</v>
      </c>
      <c r="R498" s="2" t="inlineStr"/>
    </row>
    <row r="499" ht="15" customHeight="1">
      <c r="A499" t="inlineStr">
        <is>
          <t>A 50834-2025</t>
        </is>
      </c>
      <c r="B499" s="1" t="n">
        <v>45946.55746527778</v>
      </c>
      <c r="C499" s="1" t="n">
        <v>46053</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14700-2023</t>
        </is>
      </c>
      <c r="B500" s="1" t="n">
        <v>45014.38376157408</v>
      </c>
      <c r="C500" s="1" t="n">
        <v>46053</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46761-2025</t>
        </is>
      </c>
      <c r="B501" s="1" t="n">
        <v>45926.62289351852</v>
      </c>
      <c r="C501" s="1" t="n">
        <v>46053</v>
      </c>
      <c r="D501" t="inlineStr">
        <is>
          <t>SKÅNE LÄN</t>
        </is>
      </c>
      <c r="E501" t="inlineStr">
        <is>
          <t>HÄSSLEHOLM</t>
        </is>
      </c>
      <c r="G501" t="n">
        <v>1.6</v>
      </c>
      <c r="H501" t="n">
        <v>0</v>
      </c>
      <c r="I501" t="n">
        <v>0</v>
      </c>
      <c r="J501" t="n">
        <v>0</v>
      </c>
      <c r="K501" t="n">
        <v>0</v>
      </c>
      <c r="L501" t="n">
        <v>0</v>
      </c>
      <c r="M501" t="n">
        <v>0</v>
      </c>
      <c r="N501" t="n">
        <v>0</v>
      </c>
      <c r="O501" t="n">
        <v>0</v>
      </c>
      <c r="P501" t="n">
        <v>0</v>
      </c>
      <c r="Q501" t="n">
        <v>0</v>
      </c>
      <c r="R501" s="2" t="inlineStr"/>
    </row>
    <row r="502" ht="15" customHeight="1">
      <c r="A502" t="inlineStr">
        <is>
          <t>A 28095-2025</t>
        </is>
      </c>
      <c r="B502" s="1" t="n">
        <v>45817</v>
      </c>
      <c r="C502" s="1" t="n">
        <v>46053</v>
      </c>
      <c r="D502" t="inlineStr">
        <is>
          <t>SKÅNE LÄN</t>
        </is>
      </c>
      <c r="E502" t="inlineStr">
        <is>
          <t>HÄSSLEHOLM</t>
        </is>
      </c>
      <c r="G502" t="n">
        <v>2.5</v>
      </c>
      <c r="H502" t="n">
        <v>0</v>
      </c>
      <c r="I502" t="n">
        <v>0</v>
      </c>
      <c r="J502" t="n">
        <v>0</v>
      </c>
      <c r="K502" t="n">
        <v>0</v>
      </c>
      <c r="L502" t="n">
        <v>0</v>
      </c>
      <c r="M502" t="n">
        <v>0</v>
      </c>
      <c r="N502" t="n">
        <v>0</v>
      </c>
      <c r="O502" t="n">
        <v>0</v>
      </c>
      <c r="P502" t="n">
        <v>0</v>
      </c>
      <c r="Q502" t="n">
        <v>0</v>
      </c>
      <c r="R502" s="2" t="inlineStr"/>
    </row>
    <row r="503" ht="15" customHeight="1">
      <c r="A503" t="inlineStr">
        <is>
          <t>A 3531-2023</t>
        </is>
      </c>
      <c r="B503" s="1" t="n">
        <v>44950</v>
      </c>
      <c r="C503" s="1" t="n">
        <v>46053</v>
      </c>
      <c r="D503" t="inlineStr">
        <is>
          <t>SKÅNE LÄN</t>
        </is>
      </c>
      <c r="E503" t="inlineStr">
        <is>
          <t>HÄSSLEHOLM</t>
        </is>
      </c>
      <c r="G503" t="n">
        <v>10.1</v>
      </c>
      <c r="H503" t="n">
        <v>0</v>
      </c>
      <c r="I503" t="n">
        <v>0</v>
      </c>
      <c r="J503" t="n">
        <v>0</v>
      </c>
      <c r="K503" t="n">
        <v>0</v>
      </c>
      <c r="L503" t="n">
        <v>0</v>
      </c>
      <c r="M503" t="n">
        <v>0</v>
      </c>
      <c r="N503" t="n">
        <v>0</v>
      </c>
      <c r="O503" t="n">
        <v>0</v>
      </c>
      <c r="P503" t="n">
        <v>0</v>
      </c>
      <c r="Q503" t="n">
        <v>0</v>
      </c>
      <c r="R503" s="2" t="inlineStr"/>
    </row>
    <row r="504" ht="15" customHeight="1">
      <c r="A504" t="inlineStr">
        <is>
          <t>A 50839-2025</t>
        </is>
      </c>
      <c r="B504" s="1" t="n">
        <v>45946</v>
      </c>
      <c r="C504" s="1" t="n">
        <v>46053</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50678-2025</t>
        </is>
      </c>
      <c r="B505" s="1" t="n">
        <v>45945</v>
      </c>
      <c r="C505" s="1" t="n">
        <v>46053</v>
      </c>
      <c r="D505" t="inlineStr">
        <is>
          <t>SKÅNE LÄN</t>
        </is>
      </c>
      <c r="E505" t="inlineStr">
        <is>
          <t>HÄSSLEHOLM</t>
        </is>
      </c>
      <c r="G505" t="n">
        <v>1.2</v>
      </c>
      <c r="H505" t="n">
        <v>0</v>
      </c>
      <c r="I505" t="n">
        <v>0</v>
      </c>
      <c r="J505" t="n">
        <v>0</v>
      </c>
      <c r="K505" t="n">
        <v>0</v>
      </c>
      <c r="L505" t="n">
        <v>0</v>
      </c>
      <c r="M505" t="n">
        <v>0</v>
      </c>
      <c r="N505" t="n">
        <v>0</v>
      </c>
      <c r="O505" t="n">
        <v>0</v>
      </c>
      <c r="P505" t="n">
        <v>0</v>
      </c>
      <c r="Q505" t="n">
        <v>0</v>
      </c>
      <c r="R505" s="2" t="inlineStr"/>
    </row>
    <row r="506" ht="15" customHeight="1">
      <c r="A506" t="inlineStr">
        <is>
          <t>A 4579-2025</t>
        </is>
      </c>
      <c r="B506" s="1" t="n">
        <v>45687.5009375</v>
      </c>
      <c r="C506" s="1" t="n">
        <v>46053</v>
      </c>
      <c r="D506" t="inlineStr">
        <is>
          <t>SKÅNE LÄN</t>
        </is>
      </c>
      <c r="E506" t="inlineStr">
        <is>
          <t>HÄSSLEHOLM</t>
        </is>
      </c>
      <c r="G506" t="n">
        <v>2.8</v>
      </c>
      <c r="H506" t="n">
        <v>0</v>
      </c>
      <c r="I506" t="n">
        <v>0</v>
      </c>
      <c r="J506" t="n">
        <v>0</v>
      </c>
      <c r="K506" t="n">
        <v>0</v>
      </c>
      <c r="L506" t="n">
        <v>0</v>
      </c>
      <c r="M506" t="n">
        <v>0</v>
      </c>
      <c r="N506" t="n">
        <v>0</v>
      </c>
      <c r="O506" t="n">
        <v>0</v>
      </c>
      <c r="P506" t="n">
        <v>0</v>
      </c>
      <c r="Q506" t="n">
        <v>0</v>
      </c>
      <c r="R506" s="2" t="inlineStr"/>
    </row>
    <row r="507" ht="15" customHeight="1">
      <c r="A507" t="inlineStr">
        <is>
          <t>A 1886-2025</t>
        </is>
      </c>
      <c r="B507" s="1" t="n">
        <v>45671</v>
      </c>
      <c r="C507" s="1" t="n">
        <v>46053</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18623-2023</t>
        </is>
      </c>
      <c r="B508" s="1" t="n">
        <v>45043</v>
      </c>
      <c r="C508" s="1" t="n">
        <v>46053</v>
      </c>
      <c r="D508" t="inlineStr">
        <is>
          <t>SKÅNE LÄN</t>
        </is>
      </c>
      <c r="E508" t="inlineStr">
        <is>
          <t>HÄSSLEHOLM</t>
        </is>
      </c>
      <c r="G508" t="n">
        <v>3.2</v>
      </c>
      <c r="H508" t="n">
        <v>0</v>
      </c>
      <c r="I508" t="n">
        <v>0</v>
      </c>
      <c r="J508" t="n">
        <v>0</v>
      </c>
      <c r="K508" t="n">
        <v>0</v>
      </c>
      <c r="L508" t="n">
        <v>0</v>
      </c>
      <c r="M508" t="n">
        <v>0</v>
      </c>
      <c r="N508" t="n">
        <v>0</v>
      </c>
      <c r="O508" t="n">
        <v>0</v>
      </c>
      <c r="P508" t="n">
        <v>0</v>
      </c>
      <c r="Q508" t="n">
        <v>0</v>
      </c>
      <c r="R508" s="2" t="inlineStr"/>
    </row>
    <row r="509" ht="15" customHeight="1">
      <c r="A509" t="inlineStr">
        <is>
          <t>A 15536-2025</t>
        </is>
      </c>
      <c r="B509" s="1" t="n">
        <v>45747</v>
      </c>
      <c r="C509" s="1" t="n">
        <v>46053</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27940-2025</t>
        </is>
      </c>
      <c r="B510" s="1" t="n">
        <v>45817.50439814815</v>
      </c>
      <c r="C510" s="1" t="n">
        <v>46053</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46786-2025</t>
        </is>
      </c>
      <c r="B511" s="1" t="n">
        <v>45926.64484953704</v>
      </c>
      <c r="C511" s="1" t="n">
        <v>46053</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50829-2025</t>
        </is>
      </c>
      <c r="B512" s="1" t="n">
        <v>45946.55309027778</v>
      </c>
      <c r="C512" s="1" t="n">
        <v>46053</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27887-2025</t>
        </is>
      </c>
      <c r="B513" s="1" t="n">
        <v>45817.45994212963</v>
      </c>
      <c r="C513" s="1" t="n">
        <v>46053</v>
      </c>
      <c r="D513" t="inlineStr">
        <is>
          <t>SKÅNE LÄN</t>
        </is>
      </c>
      <c r="E513" t="inlineStr">
        <is>
          <t>HÄSSLEHOLM</t>
        </is>
      </c>
      <c r="G513" t="n">
        <v>4.8</v>
      </c>
      <c r="H513" t="n">
        <v>0</v>
      </c>
      <c r="I513" t="n">
        <v>0</v>
      </c>
      <c r="J513" t="n">
        <v>0</v>
      </c>
      <c r="K513" t="n">
        <v>0</v>
      </c>
      <c r="L513" t="n">
        <v>0</v>
      </c>
      <c r="M513" t="n">
        <v>0</v>
      </c>
      <c r="N513" t="n">
        <v>0</v>
      </c>
      <c r="O513" t="n">
        <v>0</v>
      </c>
      <c r="P513" t="n">
        <v>0</v>
      </c>
      <c r="Q513" t="n">
        <v>0</v>
      </c>
      <c r="R513" s="2" t="inlineStr"/>
    </row>
    <row r="514" ht="15" customHeight="1">
      <c r="A514" t="inlineStr">
        <is>
          <t>A 49827-2022</t>
        </is>
      </c>
      <c r="B514" s="1" t="n">
        <v>44859</v>
      </c>
      <c r="C514" s="1" t="n">
        <v>46053</v>
      </c>
      <c r="D514" t="inlineStr">
        <is>
          <t>SKÅNE LÄN</t>
        </is>
      </c>
      <c r="E514" t="inlineStr">
        <is>
          <t>HÄSSLEHOLM</t>
        </is>
      </c>
      <c r="G514" t="n">
        <v>6.1</v>
      </c>
      <c r="H514" t="n">
        <v>0</v>
      </c>
      <c r="I514" t="n">
        <v>0</v>
      </c>
      <c r="J514" t="n">
        <v>0</v>
      </c>
      <c r="K514" t="n">
        <v>0</v>
      </c>
      <c r="L514" t="n">
        <v>0</v>
      </c>
      <c r="M514" t="n">
        <v>0</v>
      </c>
      <c r="N514" t="n">
        <v>0</v>
      </c>
      <c r="O514" t="n">
        <v>0</v>
      </c>
      <c r="P514" t="n">
        <v>0</v>
      </c>
      <c r="Q514" t="n">
        <v>0</v>
      </c>
      <c r="R514" s="2" t="inlineStr"/>
    </row>
    <row r="515" ht="15" customHeight="1">
      <c r="A515" t="inlineStr">
        <is>
          <t>A 10115-2024</t>
        </is>
      </c>
      <c r="B515" s="1" t="n">
        <v>45364.55339120371</v>
      </c>
      <c r="C515" s="1" t="n">
        <v>46053</v>
      </c>
      <c r="D515" t="inlineStr">
        <is>
          <t>SKÅNE LÄN</t>
        </is>
      </c>
      <c r="E515" t="inlineStr">
        <is>
          <t>HÄSSLEHOLM</t>
        </is>
      </c>
      <c r="G515" t="n">
        <v>7</v>
      </c>
      <c r="H515" t="n">
        <v>0</v>
      </c>
      <c r="I515" t="n">
        <v>0</v>
      </c>
      <c r="J515" t="n">
        <v>0</v>
      </c>
      <c r="K515" t="n">
        <v>0</v>
      </c>
      <c r="L515" t="n">
        <v>0</v>
      </c>
      <c r="M515" t="n">
        <v>0</v>
      </c>
      <c r="N515" t="n">
        <v>0</v>
      </c>
      <c r="O515" t="n">
        <v>0</v>
      </c>
      <c r="P515" t="n">
        <v>0</v>
      </c>
      <c r="Q515" t="n">
        <v>0</v>
      </c>
      <c r="R515" s="2" t="inlineStr"/>
    </row>
    <row r="516" ht="15" customHeight="1">
      <c r="A516" t="inlineStr">
        <is>
          <t>A 28251-2025</t>
        </is>
      </c>
      <c r="B516" s="1" t="n">
        <v>45817</v>
      </c>
      <c r="C516" s="1" t="n">
        <v>46053</v>
      </c>
      <c r="D516" t="inlineStr">
        <is>
          <t>SKÅNE LÄN</t>
        </is>
      </c>
      <c r="E516" t="inlineStr">
        <is>
          <t>HÄSSLEHOLM</t>
        </is>
      </c>
      <c r="G516" t="n">
        <v>7.2</v>
      </c>
      <c r="H516" t="n">
        <v>0</v>
      </c>
      <c r="I516" t="n">
        <v>0</v>
      </c>
      <c r="J516" t="n">
        <v>0</v>
      </c>
      <c r="K516" t="n">
        <v>0</v>
      </c>
      <c r="L516" t="n">
        <v>0</v>
      </c>
      <c r="M516" t="n">
        <v>0</v>
      </c>
      <c r="N516" t="n">
        <v>0</v>
      </c>
      <c r="O516" t="n">
        <v>0</v>
      </c>
      <c r="P516" t="n">
        <v>0</v>
      </c>
      <c r="Q516" t="n">
        <v>0</v>
      </c>
      <c r="R516" s="2" t="inlineStr"/>
    </row>
    <row r="517" ht="15" customHeight="1">
      <c r="A517" t="inlineStr">
        <is>
          <t>A 27934-2025</t>
        </is>
      </c>
      <c r="B517" s="1" t="n">
        <v>45817.49761574074</v>
      </c>
      <c r="C517" s="1" t="n">
        <v>46053</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3663-2024</t>
        </is>
      </c>
      <c r="B518" s="1" t="n">
        <v>45321.34775462963</v>
      </c>
      <c r="C518" s="1" t="n">
        <v>46053</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28122-2025</t>
        </is>
      </c>
      <c r="B519" s="1" t="n">
        <v>45817</v>
      </c>
      <c r="C519" s="1" t="n">
        <v>46053</v>
      </c>
      <c r="D519" t="inlineStr">
        <is>
          <t>SKÅNE LÄN</t>
        </is>
      </c>
      <c r="E519" t="inlineStr">
        <is>
          <t>HÄSSLEHOLM</t>
        </is>
      </c>
      <c r="G519" t="n">
        <v>2.4</v>
      </c>
      <c r="H519" t="n">
        <v>0</v>
      </c>
      <c r="I519" t="n">
        <v>0</v>
      </c>
      <c r="J519" t="n">
        <v>0</v>
      </c>
      <c r="K519" t="n">
        <v>0</v>
      </c>
      <c r="L519" t="n">
        <v>0</v>
      </c>
      <c r="M519" t="n">
        <v>0</v>
      </c>
      <c r="N519" t="n">
        <v>0</v>
      </c>
      <c r="O519" t="n">
        <v>0</v>
      </c>
      <c r="P519" t="n">
        <v>0</v>
      </c>
      <c r="Q519" t="n">
        <v>0</v>
      </c>
      <c r="R519" s="2" t="inlineStr"/>
    </row>
    <row r="520" ht="15" customHeight="1">
      <c r="A520" t="inlineStr">
        <is>
          <t>A 47259-2025</t>
        </is>
      </c>
      <c r="B520" s="1" t="n">
        <v>45930</v>
      </c>
      <c r="C520" s="1" t="n">
        <v>46053</v>
      </c>
      <c r="D520" t="inlineStr">
        <is>
          <t>SKÅNE LÄN</t>
        </is>
      </c>
      <c r="E520" t="inlineStr">
        <is>
          <t>HÄSSLEHOLM</t>
        </is>
      </c>
      <c r="G520" t="n">
        <v>1.6</v>
      </c>
      <c r="H520" t="n">
        <v>0</v>
      </c>
      <c r="I520" t="n">
        <v>0</v>
      </c>
      <c r="J520" t="n">
        <v>0</v>
      </c>
      <c r="K520" t="n">
        <v>0</v>
      </c>
      <c r="L520" t="n">
        <v>0</v>
      </c>
      <c r="M520" t="n">
        <v>0</v>
      </c>
      <c r="N520" t="n">
        <v>0</v>
      </c>
      <c r="O520" t="n">
        <v>0</v>
      </c>
      <c r="P520" t="n">
        <v>0</v>
      </c>
      <c r="Q520" t="n">
        <v>0</v>
      </c>
      <c r="R520" s="2" t="inlineStr"/>
    </row>
    <row r="521" ht="15" customHeight="1">
      <c r="A521" t="inlineStr">
        <is>
          <t>A 67801-2021</t>
        </is>
      </c>
      <c r="B521" s="1" t="n">
        <v>44525</v>
      </c>
      <c r="C521" s="1" t="n">
        <v>46053</v>
      </c>
      <c r="D521" t="inlineStr">
        <is>
          <t>SKÅNE LÄN</t>
        </is>
      </c>
      <c r="E521" t="inlineStr">
        <is>
          <t>HÄSSLEHOLM</t>
        </is>
      </c>
      <c r="G521" t="n">
        <v>2.2</v>
      </c>
      <c r="H521" t="n">
        <v>0</v>
      </c>
      <c r="I521" t="n">
        <v>0</v>
      </c>
      <c r="J521" t="n">
        <v>0</v>
      </c>
      <c r="K521" t="n">
        <v>0</v>
      </c>
      <c r="L521" t="n">
        <v>0</v>
      </c>
      <c r="M521" t="n">
        <v>0</v>
      </c>
      <c r="N521" t="n">
        <v>0</v>
      </c>
      <c r="O521" t="n">
        <v>0</v>
      </c>
      <c r="P521" t="n">
        <v>0</v>
      </c>
      <c r="Q521" t="n">
        <v>0</v>
      </c>
      <c r="R521" s="2" t="inlineStr"/>
    </row>
    <row r="522" ht="15" customHeight="1">
      <c r="A522" t="inlineStr">
        <is>
          <t>A 7771-2021</t>
        </is>
      </c>
      <c r="B522" s="1" t="n">
        <v>44242</v>
      </c>
      <c r="C522" s="1" t="n">
        <v>46053</v>
      </c>
      <c r="D522" t="inlineStr">
        <is>
          <t>SKÅNE LÄN</t>
        </is>
      </c>
      <c r="E522" t="inlineStr">
        <is>
          <t>HÄSSLEHOLM</t>
        </is>
      </c>
      <c r="G522" t="n">
        <v>4.2</v>
      </c>
      <c r="H522" t="n">
        <v>0</v>
      </c>
      <c r="I522" t="n">
        <v>0</v>
      </c>
      <c r="J522" t="n">
        <v>0</v>
      </c>
      <c r="K522" t="n">
        <v>0</v>
      </c>
      <c r="L522" t="n">
        <v>0</v>
      </c>
      <c r="M522" t="n">
        <v>0</v>
      </c>
      <c r="N522" t="n">
        <v>0</v>
      </c>
      <c r="O522" t="n">
        <v>0</v>
      </c>
      <c r="P522" t="n">
        <v>0</v>
      </c>
      <c r="Q522" t="n">
        <v>0</v>
      </c>
      <c r="R522" s="2" t="inlineStr"/>
    </row>
    <row r="523" ht="15" customHeight="1">
      <c r="A523" t="inlineStr">
        <is>
          <t>A 45398-2024</t>
        </is>
      </c>
      <c r="B523" s="1" t="n">
        <v>45576.56260416667</v>
      </c>
      <c r="C523" s="1" t="n">
        <v>46053</v>
      </c>
      <c r="D523" t="inlineStr">
        <is>
          <t>SKÅNE LÄN</t>
        </is>
      </c>
      <c r="E523" t="inlineStr">
        <is>
          <t>HÄSSLEHOLM</t>
        </is>
      </c>
      <c r="G523" t="n">
        <v>4.2</v>
      </c>
      <c r="H523" t="n">
        <v>0</v>
      </c>
      <c r="I523" t="n">
        <v>0</v>
      </c>
      <c r="J523" t="n">
        <v>0</v>
      </c>
      <c r="K523" t="n">
        <v>0</v>
      </c>
      <c r="L523" t="n">
        <v>0</v>
      </c>
      <c r="M523" t="n">
        <v>0</v>
      </c>
      <c r="N523" t="n">
        <v>0</v>
      </c>
      <c r="O523" t="n">
        <v>0</v>
      </c>
      <c r="P523" t="n">
        <v>0</v>
      </c>
      <c r="Q523" t="n">
        <v>0</v>
      </c>
      <c r="R523" s="2" t="inlineStr"/>
    </row>
    <row r="524" ht="15" customHeight="1">
      <c r="A524" t="inlineStr">
        <is>
          <t>A 4809-2025</t>
        </is>
      </c>
      <c r="B524" s="1" t="n">
        <v>45688.60148148148</v>
      </c>
      <c r="C524" s="1" t="n">
        <v>46053</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59030-2024</t>
        </is>
      </c>
      <c r="B525" s="1" t="n">
        <v>45636.68916666666</v>
      </c>
      <c r="C525" s="1" t="n">
        <v>46053</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47473-2025</t>
        </is>
      </c>
      <c r="B526" s="1" t="n">
        <v>45930.67763888889</v>
      </c>
      <c r="C526" s="1" t="n">
        <v>46053</v>
      </c>
      <c r="D526" t="inlineStr">
        <is>
          <t>SKÅNE LÄN</t>
        </is>
      </c>
      <c r="E526" t="inlineStr">
        <is>
          <t>HÄSSLEHOLM</t>
        </is>
      </c>
      <c r="G526" t="n">
        <v>4.7</v>
      </c>
      <c r="H526" t="n">
        <v>0</v>
      </c>
      <c r="I526" t="n">
        <v>0</v>
      </c>
      <c r="J526" t="n">
        <v>0</v>
      </c>
      <c r="K526" t="n">
        <v>0</v>
      </c>
      <c r="L526" t="n">
        <v>0</v>
      </c>
      <c r="M526" t="n">
        <v>0</v>
      </c>
      <c r="N526" t="n">
        <v>0</v>
      </c>
      <c r="O526" t="n">
        <v>0</v>
      </c>
      <c r="P526" t="n">
        <v>0</v>
      </c>
      <c r="Q526" t="n">
        <v>0</v>
      </c>
      <c r="R526" s="2" t="inlineStr"/>
    </row>
    <row r="527" ht="15" customHeight="1">
      <c r="A527" t="inlineStr">
        <is>
          <t>A 46855-2025</t>
        </is>
      </c>
      <c r="B527" s="1" t="n">
        <v>45928.88497685185</v>
      </c>
      <c r="C527" s="1" t="n">
        <v>46053</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47466-2025</t>
        </is>
      </c>
      <c r="B528" s="1" t="n">
        <v>45930.66677083333</v>
      </c>
      <c r="C528" s="1" t="n">
        <v>46053</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7481-2023</t>
        </is>
      </c>
      <c r="B529" s="1" t="n">
        <v>44971</v>
      </c>
      <c r="C529" s="1" t="n">
        <v>46053</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47126-2025</t>
        </is>
      </c>
      <c r="B530" s="1" t="n">
        <v>45929.685625</v>
      </c>
      <c r="C530" s="1" t="n">
        <v>46053</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47127-2025</t>
        </is>
      </c>
      <c r="B531" s="1" t="n">
        <v>45929.6893287037</v>
      </c>
      <c r="C531" s="1" t="n">
        <v>46053</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29170-2025</t>
        </is>
      </c>
      <c r="B532" s="1" t="n">
        <v>45821.69766203704</v>
      </c>
      <c r="C532" s="1" t="n">
        <v>46053</v>
      </c>
      <c r="D532" t="inlineStr">
        <is>
          <t>SKÅNE LÄN</t>
        </is>
      </c>
      <c r="E532" t="inlineStr">
        <is>
          <t>HÄSSLEHOLM</t>
        </is>
      </c>
      <c r="G532" t="n">
        <v>3.1</v>
      </c>
      <c r="H532" t="n">
        <v>0</v>
      </c>
      <c r="I532" t="n">
        <v>0</v>
      </c>
      <c r="J532" t="n">
        <v>0</v>
      </c>
      <c r="K532" t="n">
        <v>0</v>
      </c>
      <c r="L532" t="n">
        <v>0</v>
      </c>
      <c r="M532" t="n">
        <v>0</v>
      </c>
      <c r="N532" t="n">
        <v>0</v>
      </c>
      <c r="O532" t="n">
        <v>0</v>
      </c>
      <c r="P532" t="n">
        <v>0</v>
      </c>
      <c r="Q532" t="n">
        <v>0</v>
      </c>
      <c r="R532" s="2" t="inlineStr"/>
    </row>
    <row r="533" ht="15" customHeight="1">
      <c r="A533" t="inlineStr">
        <is>
          <t>A 49824-2024</t>
        </is>
      </c>
      <c r="B533" s="1" t="n">
        <v>45597</v>
      </c>
      <c r="C533" s="1" t="n">
        <v>46053</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35150-2023</t>
        </is>
      </c>
      <c r="B534" s="1" t="n">
        <v>45145</v>
      </c>
      <c r="C534" s="1" t="n">
        <v>46053</v>
      </c>
      <c r="D534" t="inlineStr">
        <is>
          <t>SKÅNE LÄN</t>
        </is>
      </c>
      <c r="E534" t="inlineStr">
        <is>
          <t>HÄSSLEHOLM</t>
        </is>
      </c>
      <c r="G534" t="n">
        <v>4.9</v>
      </c>
      <c r="H534" t="n">
        <v>0</v>
      </c>
      <c r="I534" t="n">
        <v>0</v>
      </c>
      <c r="J534" t="n">
        <v>0</v>
      </c>
      <c r="K534" t="n">
        <v>0</v>
      </c>
      <c r="L534" t="n">
        <v>0</v>
      </c>
      <c r="M534" t="n">
        <v>0</v>
      </c>
      <c r="N534" t="n">
        <v>0</v>
      </c>
      <c r="O534" t="n">
        <v>0</v>
      </c>
      <c r="P534" t="n">
        <v>0</v>
      </c>
      <c r="Q534" t="n">
        <v>0</v>
      </c>
      <c r="R534" s="2" t="inlineStr"/>
    </row>
    <row r="535" ht="15" customHeight="1">
      <c r="A535" t="inlineStr">
        <is>
          <t>A 29168-2025</t>
        </is>
      </c>
      <c r="B535" s="1" t="n">
        <v>45821.69547453704</v>
      </c>
      <c r="C535" s="1" t="n">
        <v>46053</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12507-2022</t>
        </is>
      </c>
      <c r="B536" s="1" t="n">
        <v>44638</v>
      </c>
      <c r="C536" s="1" t="n">
        <v>46053</v>
      </c>
      <c r="D536" t="inlineStr">
        <is>
          <t>SKÅNE LÄN</t>
        </is>
      </c>
      <c r="E536" t="inlineStr">
        <is>
          <t>HÄSSLEHOLM</t>
        </is>
      </c>
      <c r="G536" t="n">
        <v>2.7</v>
      </c>
      <c r="H536" t="n">
        <v>0</v>
      </c>
      <c r="I536" t="n">
        <v>0</v>
      </c>
      <c r="J536" t="n">
        <v>0</v>
      </c>
      <c r="K536" t="n">
        <v>0</v>
      </c>
      <c r="L536" t="n">
        <v>0</v>
      </c>
      <c r="M536" t="n">
        <v>0</v>
      </c>
      <c r="N536" t="n">
        <v>0</v>
      </c>
      <c r="O536" t="n">
        <v>0</v>
      </c>
      <c r="P536" t="n">
        <v>0</v>
      </c>
      <c r="Q536" t="n">
        <v>0</v>
      </c>
      <c r="R536" s="2" t="inlineStr"/>
    </row>
    <row r="537" ht="15" customHeight="1">
      <c r="A537" t="inlineStr">
        <is>
          <t>A 29171-2025</t>
        </is>
      </c>
      <c r="B537" s="1" t="n">
        <v>45821.69863425926</v>
      </c>
      <c r="C537" s="1" t="n">
        <v>46053</v>
      </c>
      <c r="D537" t="inlineStr">
        <is>
          <t>SKÅNE LÄN</t>
        </is>
      </c>
      <c r="E537" t="inlineStr">
        <is>
          <t>HÄSSLEHOLM</t>
        </is>
      </c>
      <c r="G537" t="n">
        <v>2.6</v>
      </c>
      <c r="H537" t="n">
        <v>0</v>
      </c>
      <c r="I537" t="n">
        <v>0</v>
      </c>
      <c r="J537" t="n">
        <v>0</v>
      </c>
      <c r="K537" t="n">
        <v>0</v>
      </c>
      <c r="L537" t="n">
        <v>0</v>
      </c>
      <c r="M537" t="n">
        <v>0</v>
      </c>
      <c r="N537" t="n">
        <v>0</v>
      </c>
      <c r="O537" t="n">
        <v>0</v>
      </c>
      <c r="P537" t="n">
        <v>0</v>
      </c>
      <c r="Q537" t="n">
        <v>0</v>
      </c>
      <c r="R537" s="2" t="inlineStr"/>
    </row>
    <row r="538" ht="15" customHeight="1">
      <c r="A538" t="inlineStr">
        <is>
          <t>A 51024-2025</t>
        </is>
      </c>
      <c r="B538" s="1" t="n">
        <v>45947.395</v>
      </c>
      <c r="C538" s="1" t="n">
        <v>46053</v>
      </c>
      <c r="D538" t="inlineStr">
        <is>
          <t>SKÅNE LÄN</t>
        </is>
      </c>
      <c r="E538" t="inlineStr">
        <is>
          <t>HÄSSLEHOLM</t>
        </is>
      </c>
      <c r="G538" t="n">
        <v>1.1</v>
      </c>
      <c r="H538" t="n">
        <v>0</v>
      </c>
      <c r="I538" t="n">
        <v>0</v>
      </c>
      <c r="J538" t="n">
        <v>0</v>
      </c>
      <c r="K538" t="n">
        <v>0</v>
      </c>
      <c r="L538" t="n">
        <v>0</v>
      </c>
      <c r="M538" t="n">
        <v>0</v>
      </c>
      <c r="N538" t="n">
        <v>0</v>
      </c>
      <c r="O538" t="n">
        <v>0</v>
      </c>
      <c r="P538" t="n">
        <v>0</v>
      </c>
      <c r="Q538" t="n">
        <v>0</v>
      </c>
      <c r="R538" s="2" t="inlineStr"/>
    </row>
    <row r="539" ht="15" customHeight="1">
      <c r="A539" t="inlineStr">
        <is>
          <t>A 22690-2022</t>
        </is>
      </c>
      <c r="B539" s="1" t="n">
        <v>44714.5421875</v>
      </c>
      <c r="C539" s="1" t="n">
        <v>46053</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57079-2022</t>
        </is>
      </c>
      <c r="B540" s="1" t="n">
        <v>44895</v>
      </c>
      <c r="C540" s="1" t="n">
        <v>46053</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30010-2025</t>
        </is>
      </c>
      <c r="B541" s="1" t="n">
        <v>45826</v>
      </c>
      <c r="C541" s="1" t="n">
        <v>46053</v>
      </c>
      <c r="D541" t="inlineStr">
        <is>
          <t>SKÅNE LÄN</t>
        </is>
      </c>
      <c r="E541" t="inlineStr">
        <is>
          <t>HÄSSLEHOLM</t>
        </is>
      </c>
      <c r="G541" t="n">
        <v>4.5</v>
      </c>
      <c r="H541" t="n">
        <v>0</v>
      </c>
      <c r="I541" t="n">
        <v>0</v>
      </c>
      <c r="J541" t="n">
        <v>0</v>
      </c>
      <c r="K541" t="n">
        <v>0</v>
      </c>
      <c r="L541" t="n">
        <v>0</v>
      </c>
      <c r="M541" t="n">
        <v>0</v>
      </c>
      <c r="N541" t="n">
        <v>0</v>
      </c>
      <c r="O541" t="n">
        <v>0</v>
      </c>
      <c r="P541" t="n">
        <v>0</v>
      </c>
      <c r="Q541" t="n">
        <v>0</v>
      </c>
      <c r="R541" s="2" t="inlineStr"/>
    </row>
    <row r="542" ht="15" customHeight="1">
      <c r="A542" t="inlineStr">
        <is>
          <t>A 51097-2025</t>
        </is>
      </c>
      <c r="B542" s="1" t="n">
        <v>45947.48018518519</v>
      </c>
      <c r="C542" s="1" t="n">
        <v>46053</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61498-2022</t>
        </is>
      </c>
      <c r="B543" s="1" t="n">
        <v>44910</v>
      </c>
      <c r="C543" s="1" t="n">
        <v>46053</v>
      </c>
      <c r="D543" t="inlineStr">
        <is>
          <t>SKÅNE LÄN</t>
        </is>
      </c>
      <c r="E543" t="inlineStr">
        <is>
          <t>HÄSSLEHOLM</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15417-2022</t>
        </is>
      </c>
      <c r="B544" s="1" t="n">
        <v>44659</v>
      </c>
      <c r="C544" s="1" t="n">
        <v>46053</v>
      </c>
      <c r="D544" t="inlineStr">
        <is>
          <t>SKÅNE LÄN</t>
        </is>
      </c>
      <c r="E544" t="inlineStr">
        <is>
          <t>HÄSSLEHOLM</t>
        </is>
      </c>
      <c r="F544" t="inlineStr">
        <is>
          <t>Kyrkan</t>
        </is>
      </c>
      <c r="G544" t="n">
        <v>2.9</v>
      </c>
      <c r="H544" t="n">
        <v>0</v>
      </c>
      <c r="I544" t="n">
        <v>0</v>
      </c>
      <c r="J544" t="n">
        <v>0</v>
      </c>
      <c r="K544" t="n">
        <v>0</v>
      </c>
      <c r="L544" t="n">
        <v>0</v>
      </c>
      <c r="M544" t="n">
        <v>0</v>
      </c>
      <c r="N544" t="n">
        <v>0</v>
      </c>
      <c r="O544" t="n">
        <v>0</v>
      </c>
      <c r="P544" t="n">
        <v>0</v>
      </c>
      <c r="Q544" t="n">
        <v>0</v>
      </c>
      <c r="R544" s="2" t="inlineStr"/>
    </row>
    <row r="545" ht="15" customHeight="1">
      <c r="A545" t="inlineStr">
        <is>
          <t>A 36240-2023</t>
        </is>
      </c>
      <c r="B545" s="1" t="n">
        <v>45150.89295138889</v>
      </c>
      <c r="C545" s="1" t="n">
        <v>46053</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20564-2023</t>
        </is>
      </c>
      <c r="B546" s="1" t="n">
        <v>45057</v>
      </c>
      <c r="C546" s="1" t="n">
        <v>46053</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41694-2024</t>
        </is>
      </c>
      <c r="B547" s="1" t="n">
        <v>45560.68341435185</v>
      </c>
      <c r="C547" s="1" t="n">
        <v>46053</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47757-2024</t>
        </is>
      </c>
      <c r="B548" s="1" t="n">
        <v>45588.55075231481</v>
      </c>
      <c r="C548" s="1" t="n">
        <v>46053</v>
      </c>
      <c r="D548" t="inlineStr">
        <is>
          <t>SKÅNE LÄN</t>
        </is>
      </c>
      <c r="E548" t="inlineStr">
        <is>
          <t>HÄSSLEHOLM</t>
        </is>
      </c>
      <c r="G548" t="n">
        <v>5.5</v>
      </c>
      <c r="H548" t="n">
        <v>0</v>
      </c>
      <c r="I548" t="n">
        <v>0</v>
      </c>
      <c r="J548" t="n">
        <v>0</v>
      </c>
      <c r="K548" t="n">
        <v>0</v>
      </c>
      <c r="L548" t="n">
        <v>0</v>
      </c>
      <c r="M548" t="n">
        <v>0</v>
      </c>
      <c r="N548" t="n">
        <v>0</v>
      </c>
      <c r="O548" t="n">
        <v>0</v>
      </c>
      <c r="P548" t="n">
        <v>0</v>
      </c>
      <c r="Q548" t="n">
        <v>0</v>
      </c>
      <c r="R548" s="2" t="inlineStr"/>
    </row>
    <row r="549" ht="15" customHeight="1">
      <c r="A549" t="inlineStr">
        <is>
          <t>A 2663-2023</t>
        </is>
      </c>
      <c r="B549" s="1" t="n">
        <v>44942</v>
      </c>
      <c r="C549" s="1" t="n">
        <v>46053</v>
      </c>
      <c r="D549" t="inlineStr">
        <is>
          <t>SKÅNE LÄN</t>
        </is>
      </c>
      <c r="E549" t="inlineStr">
        <is>
          <t>HÄSSLEHOLM</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51795-2025</t>
        </is>
      </c>
      <c r="B550" s="1" t="n">
        <v>45951</v>
      </c>
      <c r="C550" s="1" t="n">
        <v>46053</v>
      </c>
      <c r="D550" t="inlineStr">
        <is>
          <t>SKÅNE LÄN</t>
        </is>
      </c>
      <c r="E550" t="inlineStr">
        <is>
          <t>HÄSSLEHOLM</t>
        </is>
      </c>
      <c r="G550" t="n">
        <v>2.4</v>
      </c>
      <c r="H550" t="n">
        <v>0</v>
      </c>
      <c r="I550" t="n">
        <v>0</v>
      </c>
      <c r="J550" t="n">
        <v>0</v>
      </c>
      <c r="K550" t="n">
        <v>0</v>
      </c>
      <c r="L550" t="n">
        <v>0</v>
      </c>
      <c r="M550" t="n">
        <v>0</v>
      </c>
      <c r="N550" t="n">
        <v>0</v>
      </c>
      <c r="O550" t="n">
        <v>0</v>
      </c>
      <c r="P550" t="n">
        <v>0</v>
      </c>
      <c r="Q550" t="n">
        <v>0</v>
      </c>
      <c r="R550" s="2" t="inlineStr"/>
    </row>
    <row r="551" ht="15" customHeight="1">
      <c r="A551" t="inlineStr">
        <is>
          <t>A 51796-2025</t>
        </is>
      </c>
      <c r="B551" s="1" t="n">
        <v>45951.74546296296</v>
      </c>
      <c r="C551" s="1" t="n">
        <v>46053</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7192-2025</t>
        </is>
      </c>
      <c r="B552" s="1" t="n">
        <v>45702.44746527778</v>
      </c>
      <c r="C552" s="1" t="n">
        <v>46053</v>
      </c>
      <c r="D552" t="inlineStr">
        <is>
          <t>SKÅNE LÄN</t>
        </is>
      </c>
      <c r="E552" t="inlineStr">
        <is>
          <t>HÄSSLEHOLM</t>
        </is>
      </c>
      <c r="G552" t="n">
        <v>1.2</v>
      </c>
      <c r="H552" t="n">
        <v>0</v>
      </c>
      <c r="I552" t="n">
        <v>0</v>
      </c>
      <c r="J552" t="n">
        <v>0</v>
      </c>
      <c r="K552" t="n">
        <v>0</v>
      </c>
      <c r="L552" t="n">
        <v>0</v>
      </c>
      <c r="M552" t="n">
        <v>0</v>
      </c>
      <c r="N552" t="n">
        <v>0</v>
      </c>
      <c r="O552" t="n">
        <v>0</v>
      </c>
      <c r="P552" t="n">
        <v>0</v>
      </c>
      <c r="Q552" t="n">
        <v>0</v>
      </c>
      <c r="R552" s="2" t="inlineStr"/>
    </row>
    <row r="553" ht="15" customHeight="1">
      <c r="A553" t="inlineStr">
        <is>
          <t>A 27954-2022</t>
        </is>
      </c>
      <c r="B553" s="1" t="n">
        <v>44743</v>
      </c>
      <c r="C553" s="1" t="n">
        <v>46053</v>
      </c>
      <c r="D553" t="inlineStr">
        <is>
          <t>SKÅNE LÄN</t>
        </is>
      </c>
      <c r="E553" t="inlineStr">
        <is>
          <t>HÄSSLEHOLM</t>
        </is>
      </c>
      <c r="G553" t="n">
        <v>9.4</v>
      </c>
      <c r="H553" t="n">
        <v>0</v>
      </c>
      <c r="I553" t="n">
        <v>0</v>
      </c>
      <c r="J553" t="n">
        <v>0</v>
      </c>
      <c r="K553" t="n">
        <v>0</v>
      </c>
      <c r="L553" t="n">
        <v>0</v>
      </c>
      <c r="M553" t="n">
        <v>0</v>
      </c>
      <c r="N553" t="n">
        <v>0</v>
      </c>
      <c r="O553" t="n">
        <v>0</v>
      </c>
      <c r="P553" t="n">
        <v>0</v>
      </c>
      <c r="Q553" t="n">
        <v>0</v>
      </c>
      <c r="R553" s="2" t="inlineStr"/>
    </row>
    <row r="554" ht="15" customHeight="1">
      <c r="A554" t="inlineStr">
        <is>
          <t>A 31159-2025</t>
        </is>
      </c>
      <c r="B554" s="1" t="n">
        <v>45832.65322916667</v>
      </c>
      <c r="C554" s="1" t="n">
        <v>46053</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51640-2025</t>
        </is>
      </c>
      <c r="B555" s="1" t="n">
        <v>45951.44361111111</v>
      </c>
      <c r="C555" s="1" t="n">
        <v>46053</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51597-2025</t>
        </is>
      </c>
      <c r="B556" s="1" t="n">
        <v>45951.37163194444</v>
      </c>
      <c r="C556" s="1" t="n">
        <v>46053</v>
      </c>
      <c r="D556" t="inlineStr">
        <is>
          <t>SKÅNE LÄN</t>
        </is>
      </c>
      <c r="E556" t="inlineStr">
        <is>
          <t>HÄSSLEHOLM</t>
        </is>
      </c>
      <c r="G556" t="n">
        <v>3.5</v>
      </c>
      <c r="H556" t="n">
        <v>0</v>
      </c>
      <c r="I556" t="n">
        <v>0</v>
      </c>
      <c r="J556" t="n">
        <v>0</v>
      </c>
      <c r="K556" t="n">
        <v>0</v>
      </c>
      <c r="L556" t="n">
        <v>0</v>
      </c>
      <c r="M556" t="n">
        <v>0</v>
      </c>
      <c r="N556" t="n">
        <v>0</v>
      </c>
      <c r="O556" t="n">
        <v>0</v>
      </c>
      <c r="P556" t="n">
        <v>0</v>
      </c>
      <c r="Q556" t="n">
        <v>0</v>
      </c>
      <c r="R556" s="2" t="inlineStr"/>
    </row>
    <row r="557" ht="15" customHeight="1">
      <c r="A557" t="inlineStr">
        <is>
          <t>A 45984-2021</t>
        </is>
      </c>
      <c r="B557" s="1" t="n">
        <v>44441</v>
      </c>
      <c r="C557" s="1" t="n">
        <v>46053</v>
      </c>
      <c r="D557" t="inlineStr">
        <is>
          <t>SKÅNE LÄN</t>
        </is>
      </c>
      <c r="E557" t="inlineStr">
        <is>
          <t>HÄSSLEHOLM</t>
        </is>
      </c>
      <c r="G557" t="n">
        <v>2.1</v>
      </c>
      <c r="H557" t="n">
        <v>0</v>
      </c>
      <c r="I557" t="n">
        <v>0</v>
      </c>
      <c r="J557" t="n">
        <v>0</v>
      </c>
      <c r="K557" t="n">
        <v>0</v>
      </c>
      <c r="L557" t="n">
        <v>0</v>
      </c>
      <c r="M557" t="n">
        <v>0</v>
      </c>
      <c r="N557" t="n">
        <v>0</v>
      </c>
      <c r="O557" t="n">
        <v>0</v>
      </c>
      <c r="P557" t="n">
        <v>0</v>
      </c>
      <c r="Q557" t="n">
        <v>0</v>
      </c>
      <c r="R557" s="2" t="inlineStr"/>
    </row>
    <row r="558" ht="15" customHeight="1">
      <c r="A558" t="inlineStr">
        <is>
          <t>A 52126-2025</t>
        </is>
      </c>
      <c r="B558" s="1" t="n">
        <v>45952.72109953704</v>
      </c>
      <c r="C558" s="1" t="n">
        <v>46053</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61170-2022</t>
        </is>
      </c>
      <c r="B559" s="1" t="n">
        <v>44915.48543981482</v>
      </c>
      <c r="C559" s="1" t="n">
        <v>46053</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6835-2023</t>
        </is>
      </c>
      <c r="B560" s="1" t="n">
        <v>44967</v>
      </c>
      <c r="C560" s="1" t="n">
        <v>46053</v>
      </c>
      <c r="D560" t="inlineStr">
        <is>
          <t>SKÅNE LÄN</t>
        </is>
      </c>
      <c r="E560" t="inlineStr">
        <is>
          <t>HÄSSLEHOLM</t>
        </is>
      </c>
      <c r="G560" t="n">
        <v>4.8</v>
      </c>
      <c r="H560" t="n">
        <v>0</v>
      </c>
      <c r="I560" t="n">
        <v>0</v>
      </c>
      <c r="J560" t="n">
        <v>0</v>
      </c>
      <c r="K560" t="n">
        <v>0</v>
      </c>
      <c r="L560" t="n">
        <v>0</v>
      </c>
      <c r="M560" t="n">
        <v>0</v>
      </c>
      <c r="N560" t="n">
        <v>0</v>
      </c>
      <c r="O560" t="n">
        <v>0</v>
      </c>
      <c r="P560" t="n">
        <v>0</v>
      </c>
      <c r="Q560" t="n">
        <v>0</v>
      </c>
      <c r="R560" s="2" t="inlineStr"/>
    </row>
    <row r="561" ht="15" customHeight="1">
      <c r="A561" t="inlineStr">
        <is>
          <t>A 9885-2021</t>
        </is>
      </c>
      <c r="B561" s="1" t="n">
        <v>44253</v>
      </c>
      <c r="C561" s="1" t="n">
        <v>46053</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31933-2024</t>
        </is>
      </c>
      <c r="B562" s="1" t="n">
        <v>45510.41123842593</v>
      </c>
      <c r="C562" s="1" t="n">
        <v>46053</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9098-2022</t>
        </is>
      </c>
      <c r="B563" s="1" t="n">
        <v>44615</v>
      </c>
      <c r="C563" s="1" t="n">
        <v>46053</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12338-2024</t>
        </is>
      </c>
      <c r="B564" s="1" t="n">
        <v>45378.72869212963</v>
      </c>
      <c r="C564" s="1" t="n">
        <v>46053</v>
      </c>
      <c r="D564" t="inlineStr">
        <is>
          <t>SKÅNE LÄN</t>
        </is>
      </c>
      <c r="E564" t="inlineStr">
        <is>
          <t>HÄSSLEHOLM</t>
        </is>
      </c>
      <c r="G564" t="n">
        <v>1.8</v>
      </c>
      <c r="H564" t="n">
        <v>0</v>
      </c>
      <c r="I564" t="n">
        <v>0</v>
      </c>
      <c r="J564" t="n">
        <v>0</v>
      </c>
      <c r="K564" t="n">
        <v>0</v>
      </c>
      <c r="L564" t="n">
        <v>0</v>
      </c>
      <c r="M564" t="n">
        <v>0</v>
      </c>
      <c r="N564" t="n">
        <v>0</v>
      </c>
      <c r="O564" t="n">
        <v>0</v>
      </c>
      <c r="P564" t="n">
        <v>0</v>
      </c>
      <c r="Q564" t="n">
        <v>0</v>
      </c>
      <c r="R564" s="2" t="inlineStr"/>
    </row>
    <row r="565" ht="15" customHeight="1">
      <c r="A565" t="inlineStr">
        <is>
          <t>A 34883-2023</t>
        </is>
      </c>
      <c r="B565" s="1" t="n">
        <v>45142.37902777778</v>
      </c>
      <c r="C565" s="1" t="n">
        <v>46053</v>
      </c>
      <c r="D565" t="inlineStr">
        <is>
          <t>SKÅNE LÄN</t>
        </is>
      </c>
      <c r="E565" t="inlineStr">
        <is>
          <t>HÄSSLEHOLM</t>
        </is>
      </c>
      <c r="G565" t="n">
        <v>2.5</v>
      </c>
      <c r="H565" t="n">
        <v>0</v>
      </c>
      <c r="I565" t="n">
        <v>0</v>
      </c>
      <c r="J565" t="n">
        <v>0</v>
      </c>
      <c r="K565" t="n">
        <v>0</v>
      </c>
      <c r="L565" t="n">
        <v>0</v>
      </c>
      <c r="M565" t="n">
        <v>0</v>
      </c>
      <c r="N565" t="n">
        <v>0</v>
      </c>
      <c r="O565" t="n">
        <v>0</v>
      </c>
      <c r="P565" t="n">
        <v>0</v>
      </c>
      <c r="Q565" t="n">
        <v>0</v>
      </c>
      <c r="R565" s="2" t="inlineStr"/>
    </row>
    <row r="566" ht="15" customHeight="1">
      <c r="A566" t="inlineStr">
        <is>
          <t>A 34886-2023</t>
        </is>
      </c>
      <c r="B566" s="1" t="n">
        <v>45142.38450231482</v>
      </c>
      <c r="C566" s="1" t="n">
        <v>46053</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7476-2025</t>
        </is>
      </c>
      <c r="B567" s="1" t="n">
        <v>45702</v>
      </c>
      <c r="C567" s="1" t="n">
        <v>46053</v>
      </c>
      <c r="D567" t="inlineStr">
        <is>
          <t>SKÅNE LÄN</t>
        </is>
      </c>
      <c r="E567" t="inlineStr">
        <is>
          <t>HÄSSLEHOLM</t>
        </is>
      </c>
      <c r="F567" t="inlineStr">
        <is>
          <t>Övriga Aktiebolag</t>
        </is>
      </c>
      <c r="G567" t="n">
        <v>2.1</v>
      </c>
      <c r="H567" t="n">
        <v>0</v>
      </c>
      <c r="I567" t="n">
        <v>0</v>
      </c>
      <c r="J567" t="n">
        <v>0</v>
      </c>
      <c r="K567" t="n">
        <v>0</v>
      </c>
      <c r="L567" t="n">
        <v>0</v>
      </c>
      <c r="M567" t="n">
        <v>0</v>
      </c>
      <c r="N567" t="n">
        <v>0</v>
      </c>
      <c r="O567" t="n">
        <v>0</v>
      </c>
      <c r="P567" t="n">
        <v>0</v>
      </c>
      <c r="Q567" t="n">
        <v>0</v>
      </c>
      <c r="R567" s="2" t="inlineStr"/>
    </row>
    <row r="568" ht="15" customHeight="1">
      <c r="A568" t="inlineStr">
        <is>
          <t>A 54659-2023</t>
        </is>
      </c>
      <c r="B568" s="1" t="n">
        <v>45235</v>
      </c>
      <c r="C568" s="1" t="n">
        <v>46053</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12558-2023</t>
        </is>
      </c>
      <c r="B569" s="1" t="n">
        <v>45000.36103009259</v>
      </c>
      <c r="C569" s="1" t="n">
        <v>46053</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13673-2023</t>
        </is>
      </c>
      <c r="B570" s="1" t="n">
        <v>45006.87957175926</v>
      </c>
      <c r="C570" s="1" t="n">
        <v>46053</v>
      </c>
      <c r="D570" t="inlineStr">
        <is>
          <t>SKÅNE LÄN</t>
        </is>
      </c>
      <c r="E570" t="inlineStr">
        <is>
          <t>HÄSSLEHOLM</t>
        </is>
      </c>
      <c r="G570" t="n">
        <v>3.2</v>
      </c>
      <c r="H570" t="n">
        <v>0</v>
      </c>
      <c r="I570" t="n">
        <v>0</v>
      </c>
      <c r="J570" t="n">
        <v>0</v>
      </c>
      <c r="K570" t="n">
        <v>0</v>
      </c>
      <c r="L570" t="n">
        <v>0</v>
      </c>
      <c r="M570" t="n">
        <v>0</v>
      </c>
      <c r="N570" t="n">
        <v>0</v>
      </c>
      <c r="O570" t="n">
        <v>0</v>
      </c>
      <c r="P570" t="n">
        <v>0</v>
      </c>
      <c r="Q570" t="n">
        <v>0</v>
      </c>
      <c r="R570" s="2" t="inlineStr"/>
    </row>
    <row r="571" ht="15" customHeight="1">
      <c r="A571" t="inlineStr">
        <is>
          <t>A 48844-2023</t>
        </is>
      </c>
      <c r="B571" s="1" t="n">
        <v>45209</v>
      </c>
      <c r="C571" s="1" t="n">
        <v>46053</v>
      </c>
      <c r="D571" t="inlineStr">
        <is>
          <t>SKÅNE LÄN</t>
        </is>
      </c>
      <c r="E571" t="inlineStr">
        <is>
          <t>HÄSSLEHOLM</t>
        </is>
      </c>
      <c r="G571" t="n">
        <v>4</v>
      </c>
      <c r="H571" t="n">
        <v>0</v>
      </c>
      <c r="I571" t="n">
        <v>0</v>
      </c>
      <c r="J571" t="n">
        <v>0</v>
      </c>
      <c r="K571" t="n">
        <v>0</v>
      </c>
      <c r="L571" t="n">
        <v>0</v>
      </c>
      <c r="M571" t="n">
        <v>0</v>
      </c>
      <c r="N571" t="n">
        <v>0</v>
      </c>
      <c r="O571" t="n">
        <v>0</v>
      </c>
      <c r="P571" t="n">
        <v>0</v>
      </c>
      <c r="Q571" t="n">
        <v>0</v>
      </c>
      <c r="R571" s="2" t="inlineStr"/>
    </row>
    <row r="572" ht="15" customHeight="1">
      <c r="A572" t="inlineStr">
        <is>
          <t>A 32585-2025</t>
        </is>
      </c>
      <c r="B572" s="1" t="n">
        <v>45838.60021990741</v>
      </c>
      <c r="C572" s="1" t="n">
        <v>46053</v>
      </c>
      <c r="D572" t="inlineStr">
        <is>
          <t>SKÅNE LÄN</t>
        </is>
      </c>
      <c r="E572" t="inlineStr">
        <is>
          <t>HÄSSLEHOLM</t>
        </is>
      </c>
      <c r="G572" t="n">
        <v>2.1</v>
      </c>
      <c r="H572" t="n">
        <v>0</v>
      </c>
      <c r="I572" t="n">
        <v>0</v>
      </c>
      <c r="J572" t="n">
        <v>0</v>
      </c>
      <c r="K572" t="n">
        <v>0</v>
      </c>
      <c r="L572" t="n">
        <v>0</v>
      </c>
      <c r="M572" t="n">
        <v>0</v>
      </c>
      <c r="N572" t="n">
        <v>0</v>
      </c>
      <c r="O572" t="n">
        <v>0</v>
      </c>
      <c r="P572" t="n">
        <v>0</v>
      </c>
      <c r="Q572" t="n">
        <v>0</v>
      </c>
      <c r="R572" s="2" t="inlineStr"/>
    </row>
    <row r="573" ht="15" customHeight="1">
      <c r="A573" t="inlineStr">
        <is>
          <t>A 53018-2025</t>
        </is>
      </c>
      <c r="B573" s="1" t="n">
        <v>45957.90064814815</v>
      </c>
      <c r="C573" s="1" t="n">
        <v>46053</v>
      </c>
      <c r="D573" t="inlineStr">
        <is>
          <t>SKÅNE LÄN</t>
        </is>
      </c>
      <c r="E573" t="inlineStr">
        <is>
          <t>HÄSSLEHOLM</t>
        </is>
      </c>
      <c r="G573" t="n">
        <v>2.2</v>
      </c>
      <c r="H573" t="n">
        <v>0</v>
      </c>
      <c r="I573" t="n">
        <v>0</v>
      </c>
      <c r="J573" t="n">
        <v>0</v>
      </c>
      <c r="K573" t="n">
        <v>0</v>
      </c>
      <c r="L573" t="n">
        <v>0</v>
      </c>
      <c r="M573" t="n">
        <v>0</v>
      </c>
      <c r="N573" t="n">
        <v>0</v>
      </c>
      <c r="O573" t="n">
        <v>0</v>
      </c>
      <c r="P573" t="n">
        <v>0</v>
      </c>
      <c r="Q573" t="n">
        <v>0</v>
      </c>
      <c r="R573" s="2" t="inlineStr"/>
    </row>
    <row r="574" ht="15" customHeight="1">
      <c r="A574" t="inlineStr">
        <is>
          <t>A 53056-2025</t>
        </is>
      </c>
      <c r="B574" s="1" t="n">
        <v>45958.36518518518</v>
      </c>
      <c r="C574" s="1" t="n">
        <v>46053</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21329-2023</t>
        </is>
      </c>
      <c r="B575" s="1" t="n">
        <v>45062</v>
      </c>
      <c r="C575" s="1" t="n">
        <v>46053</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32592-2025</t>
        </is>
      </c>
      <c r="B576" s="1" t="n">
        <v>45838.61020833333</v>
      </c>
      <c r="C576" s="1" t="n">
        <v>46053</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45222-2023</t>
        </is>
      </c>
      <c r="B577" s="1" t="n">
        <v>45191</v>
      </c>
      <c r="C577" s="1" t="n">
        <v>46053</v>
      </c>
      <c r="D577" t="inlineStr">
        <is>
          <t>SKÅNE LÄN</t>
        </is>
      </c>
      <c r="E577" t="inlineStr">
        <is>
          <t>HÄSSLEHOLM</t>
        </is>
      </c>
      <c r="G577" t="n">
        <v>1.5</v>
      </c>
      <c r="H577" t="n">
        <v>0</v>
      </c>
      <c r="I577" t="n">
        <v>0</v>
      </c>
      <c r="J577" t="n">
        <v>0</v>
      </c>
      <c r="K577" t="n">
        <v>0</v>
      </c>
      <c r="L577" t="n">
        <v>0</v>
      </c>
      <c r="M577" t="n">
        <v>0</v>
      </c>
      <c r="N577" t="n">
        <v>0</v>
      </c>
      <c r="O577" t="n">
        <v>0</v>
      </c>
      <c r="P577" t="n">
        <v>0</v>
      </c>
      <c r="Q577" t="n">
        <v>0</v>
      </c>
      <c r="R577" s="2" t="inlineStr"/>
    </row>
    <row r="578" ht="15" customHeight="1">
      <c r="A578" t="inlineStr">
        <is>
          <t>A 13310-2025</t>
        </is>
      </c>
      <c r="B578" s="1" t="n">
        <v>45735.58814814815</v>
      </c>
      <c r="C578" s="1" t="n">
        <v>46053</v>
      </c>
      <c r="D578" t="inlineStr">
        <is>
          <t>SKÅNE LÄN</t>
        </is>
      </c>
      <c r="E578" t="inlineStr">
        <is>
          <t>HÄSSLEHOLM</t>
        </is>
      </c>
      <c r="G578" t="n">
        <v>2</v>
      </c>
      <c r="H578" t="n">
        <v>0</v>
      </c>
      <c r="I578" t="n">
        <v>0</v>
      </c>
      <c r="J578" t="n">
        <v>0</v>
      </c>
      <c r="K578" t="n">
        <v>0</v>
      </c>
      <c r="L578" t="n">
        <v>0</v>
      </c>
      <c r="M578" t="n">
        <v>0</v>
      </c>
      <c r="N578" t="n">
        <v>0</v>
      </c>
      <c r="O578" t="n">
        <v>0</v>
      </c>
      <c r="P578" t="n">
        <v>0</v>
      </c>
      <c r="Q578" t="n">
        <v>0</v>
      </c>
      <c r="R578" s="2" t="inlineStr"/>
    </row>
    <row r="579" ht="15" customHeight="1">
      <c r="A579" t="inlineStr">
        <is>
          <t>A 53020-2025</t>
        </is>
      </c>
      <c r="B579" s="1" t="n">
        <v>45957.90707175926</v>
      </c>
      <c r="C579" s="1" t="n">
        <v>46053</v>
      </c>
      <c r="D579" t="inlineStr">
        <is>
          <t>SKÅNE LÄN</t>
        </is>
      </c>
      <c r="E579" t="inlineStr">
        <is>
          <t>HÄSSLEHOLM</t>
        </is>
      </c>
      <c r="G579" t="n">
        <v>1.1</v>
      </c>
      <c r="H579" t="n">
        <v>0</v>
      </c>
      <c r="I579" t="n">
        <v>0</v>
      </c>
      <c r="J579" t="n">
        <v>0</v>
      </c>
      <c r="K579" t="n">
        <v>0</v>
      </c>
      <c r="L579" t="n">
        <v>0</v>
      </c>
      <c r="M579" t="n">
        <v>0</v>
      </c>
      <c r="N579" t="n">
        <v>0</v>
      </c>
      <c r="O579" t="n">
        <v>0</v>
      </c>
      <c r="P579" t="n">
        <v>0</v>
      </c>
      <c r="Q579" t="n">
        <v>0</v>
      </c>
      <c r="R579" s="2" t="inlineStr"/>
    </row>
    <row r="580" ht="15" customHeight="1">
      <c r="A580" t="inlineStr">
        <is>
          <t>A 25538-2024</t>
        </is>
      </c>
      <c r="B580" s="1" t="n">
        <v>45463</v>
      </c>
      <c r="C580" s="1" t="n">
        <v>46053</v>
      </c>
      <c r="D580" t="inlineStr">
        <is>
          <t>SKÅNE LÄN</t>
        </is>
      </c>
      <c r="E580" t="inlineStr">
        <is>
          <t>HÄSSLEHOLM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15055-2023</t>
        </is>
      </c>
      <c r="B581" s="1" t="n">
        <v>45015</v>
      </c>
      <c r="C581" s="1" t="n">
        <v>46053</v>
      </c>
      <c r="D581" t="inlineStr">
        <is>
          <t>SKÅNE LÄN</t>
        </is>
      </c>
      <c r="E581" t="inlineStr">
        <is>
          <t>HÄSSLEHOLM</t>
        </is>
      </c>
      <c r="G581" t="n">
        <v>1.9</v>
      </c>
      <c r="H581" t="n">
        <v>0</v>
      </c>
      <c r="I581" t="n">
        <v>0</v>
      </c>
      <c r="J581" t="n">
        <v>0</v>
      </c>
      <c r="K581" t="n">
        <v>0</v>
      </c>
      <c r="L581" t="n">
        <v>0</v>
      </c>
      <c r="M581" t="n">
        <v>0</v>
      </c>
      <c r="N581" t="n">
        <v>0</v>
      </c>
      <c r="O581" t="n">
        <v>0</v>
      </c>
      <c r="P581" t="n">
        <v>0</v>
      </c>
      <c r="Q581" t="n">
        <v>0</v>
      </c>
      <c r="R581" s="2" t="inlineStr"/>
    </row>
    <row r="582" ht="15" customHeight="1">
      <c r="A582" t="inlineStr">
        <is>
          <t>A 29649-2025</t>
        </is>
      </c>
      <c r="B582" s="1" t="n">
        <v>45825.47446759259</v>
      </c>
      <c r="C582" s="1" t="n">
        <v>46053</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33948-2025</t>
        </is>
      </c>
      <c r="B583" s="1" t="n">
        <v>45842.65945601852</v>
      </c>
      <c r="C583" s="1" t="n">
        <v>46053</v>
      </c>
      <c r="D583" t="inlineStr">
        <is>
          <t>SKÅNE LÄN</t>
        </is>
      </c>
      <c r="E583" t="inlineStr">
        <is>
          <t>HÄSSLEHOLM</t>
        </is>
      </c>
      <c r="G583" t="n">
        <v>8.5</v>
      </c>
      <c r="H583" t="n">
        <v>0</v>
      </c>
      <c r="I583" t="n">
        <v>0</v>
      </c>
      <c r="J583" t="n">
        <v>0</v>
      </c>
      <c r="K583" t="n">
        <v>0</v>
      </c>
      <c r="L583" t="n">
        <v>0</v>
      </c>
      <c r="M583" t="n">
        <v>0</v>
      </c>
      <c r="N583" t="n">
        <v>0</v>
      </c>
      <c r="O583" t="n">
        <v>0</v>
      </c>
      <c r="P583" t="n">
        <v>0</v>
      </c>
      <c r="Q583" t="n">
        <v>0</v>
      </c>
      <c r="R583" s="2" t="inlineStr"/>
    </row>
    <row r="584" ht="15" customHeight="1">
      <c r="A584" t="inlineStr">
        <is>
          <t>A 25324-2024</t>
        </is>
      </c>
      <c r="B584" s="1" t="n">
        <v>45462.804375</v>
      </c>
      <c r="C584" s="1" t="n">
        <v>46053</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6327-2021</t>
        </is>
      </c>
      <c r="B585" s="1" t="n">
        <v>44235</v>
      </c>
      <c r="C585" s="1" t="n">
        <v>46053</v>
      </c>
      <c r="D585" t="inlineStr">
        <is>
          <t>SKÅNE LÄN</t>
        </is>
      </c>
      <c r="E585" t="inlineStr">
        <is>
          <t>HÄSSLEHOLM</t>
        </is>
      </c>
      <c r="G585" t="n">
        <v>1.6</v>
      </c>
      <c r="H585" t="n">
        <v>0</v>
      </c>
      <c r="I585" t="n">
        <v>0</v>
      </c>
      <c r="J585" t="n">
        <v>0</v>
      </c>
      <c r="K585" t="n">
        <v>0</v>
      </c>
      <c r="L585" t="n">
        <v>0</v>
      </c>
      <c r="M585" t="n">
        <v>0</v>
      </c>
      <c r="N585" t="n">
        <v>0</v>
      </c>
      <c r="O585" t="n">
        <v>0</v>
      </c>
      <c r="P585" t="n">
        <v>0</v>
      </c>
      <c r="Q585" t="n">
        <v>0</v>
      </c>
      <c r="R585" s="2" t="inlineStr"/>
    </row>
    <row r="586" ht="15" customHeight="1">
      <c r="A586" t="inlineStr">
        <is>
          <t>A 33875-2025</t>
        </is>
      </c>
      <c r="B586" s="1" t="n">
        <v>45842.55300925926</v>
      </c>
      <c r="C586" s="1" t="n">
        <v>46053</v>
      </c>
      <c r="D586" t="inlineStr">
        <is>
          <t>SKÅNE LÄN</t>
        </is>
      </c>
      <c r="E586" t="inlineStr">
        <is>
          <t>HÄSSLEHOLM</t>
        </is>
      </c>
      <c r="G586" t="n">
        <v>1.9</v>
      </c>
      <c r="H586" t="n">
        <v>0</v>
      </c>
      <c r="I586" t="n">
        <v>0</v>
      </c>
      <c r="J586" t="n">
        <v>0</v>
      </c>
      <c r="K586" t="n">
        <v>0</v>
      </c>
      <c r="L586" t="n">
        <v>0</v>
      </c>
      <c r="M586" t="n">
        <v>0</v>
      </c>
      <c r="N586" t="n">
        <v>0</v>
      </c>
      <c r="O586" t="n">
        <v>0</v>
      </c>
      <c r="P586" t="n">
        <v>0</v>
      </c>
      <c r="Q586" t="n">
        <v>0</v>
      </c>
      <c r="R586" s="2" t="inlineStr"/>
    </row>
    <row r="587" ht="15" customHeight="1">
      <c r="A587" t="inlineStr">
        <is>
          <t>A 33877-2025</t>
        </is>
      </c>
      <c r="B587" s="1" t="n">
        <v>45842.55564814815</v>
      </c>
      <c r="C587" s="1" t="n">
        <v>46053</v>
      </c>
      <c r="D587" t="inlineStr">
        <is>
          <t>SKÅNE LÄN</t>
        </is>
      </c>
      <c r="E587" t="inlineStr">
        <is>
          <t>HÄSSLEHOLM</t>
        </is>
      </c>
      <c r="G587" t="n">
        <v>3.9</v>
      </c>
      <c r="H587" t="n">
        <v>0</v>
      </c>
      <c r="I587" t="n">
        <v>0</v>
      </c>
      <c r="J587" t="n">
        <v>0</v>
      </c>
      <c r="K587" t="n">
        <v>0</v>
      </c>
      <c r="L587" t="n">
        <v>0</v>
      </c>
      <c r="M587" t="n">
        <v>0</v>
      </c>
      <c r="N587" t="n">
        <v>0</v>
      </c>
      <c r="O587" t="n">
        <v>0</v>
      </c>
      <c r="P587" t="n">
        <v>0</v>
      </c>
      <c r="Q587" t="n">
        <v>0</v>
      </c>
      <c r="R587" s="2" t="inlineStr"/>
    </row>
    <row r="588" ht="15" customHeight="1">
      <c r="A588" t="inlineStr">
        <is>
          <t>A 33879-2025</t>
        </is>
      </c>
      <c r="B588" s="1" t="n">
        <v>45842.55766203703</v>
      </c>
      <c r="C588" s="1" t="n">
        <v>46053</v>
      </c>
      <c r="D588" t="inlineStr">
        <is>
          <t>SKÅNE LÄN</t>
        </is>
      </c>
      <c r="E588" t="inlineStr">
        <is>
          <t>HÄSSLEHOLM</t>
        </is>
      </c>
      <c r="G588" t="n">
        <v>6.1</v>
      </c>
      <c r="H588" t="n">
        <v>0</v>
      </c>
      <c r="I588" t="n">
        <v>0</v>
      </c>
      <c r="J588" t="n">
        <v>0</v>
      </c>
      <c r="K588" t="n">
        <v>0</v>
      </c>
      <c r="L588" t="n">
        <v>0</v>
      </c>
      <c r="M588" t="n">
        <v>0</v>
      </c>
      <c r="N588" t="n">
        <v>0</v>
      </c>
      <c r="O588" t="n">
        <v>0</v>
      </c>
      <c r="P588" t="n">
        <v>0</v>
      </c>
      <c r="Q588" t="n">
        <v>0</v>
      </c>
      <c r="R588" s="2" t="inlineStr"/>
    </row>
    <row r="589" ht="15" customHeight="1">
      <c r="A589" t="inlineStr">
        <is>
          <t>A 5478-2021</t>
        </is>
      </c>
      <c r="B589" s="1" t="n">
        <v>44230</v>
      </c>
      <c r="C589" s="1" t="n">
        <v>46053</v>
      </c>
      <c r="D589" t="inlineStr">
        <is>
          <t>SKÅNE LÄN</t>
        </is>
      </c>
      <c r="E589" t="inlineStr">
        <is>
          <t>HÄSSLEHOLM</t>
        </is>
      </c>
      <c r="G589" t="n">
        <v>0.1</v>
      </c>
      <c r="H589" t="n">
        <v>0</v>
      </c>
      <c r="I589" t="n">
        <v>0</v>
      </c>
      <c r="J589" t="n">
        <v>0</v>
      </c>
      <c r="K589" t="n">
        <v>0</v>
      </c>
      <c r="L589" t="n">
        <v>0</v>
      </c>
      <c r="M589" t="n">
        <v>0</v>
      </c>
      <c r="N589" t="n">
        <v>0</v>
      </c>
      <c r="O589" t="n">
        <v>0</v>
      </c>
      <c r="P589" t="n">
        <v>0</v>
      </c>
      <c r="Q589" t="n">
        <v>0</v>
      </c>
      <c r="R589" s="2" t="inlineStr"/>
    </row>
    <row r="590" ht="15" customHeight="1">
      <c r="A590" t="inlineStr">
        <is>
          <t>A 2290-2024</t>
        </is>
      </c>
      <c r="B590" s="1" t="n">
        <v>45310</v>
      </c>
      <c r="C590" s="1" t="n">
        <v>46053</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33562-2025</t>
        </is>
      </c>
      <c r="B591" s="1" t="n">
        <v>45841.57803240741</v>
      </c>
      <c r="C591" s="1" t="n">
        <v>46053</v>
      </c>
      <c r="D591" t="inlineStr">
        <is>
          <t>SKÅNE LÄN</t>
        </is>
      </c>
      <c r="E591" t="inlineStr">
        <is>
          <t>HÄSSLEHOLM</t>
        </is>
      </c>
      <c r="G591" t="n">
        <v>2.8</v>
      </c>
      <c r="H591" t="n">
        <v>0</v>
      </c>
      <c r="I591" t="n">
        <v>0</v>
      </c>
      <c r="J591" t="n">
        <v>0</v>
      </c>
      <c r="K591" t="n">
        <v>0</v>
      </c>
      <c r="L591" t="n">
        <v>0</v>
      </c>
      <c r="M591" t="n">
        <v>0</v>
      </c>
      <c r="N591" t="n">
        <v>0</v>
      </c>
      <c r="O591" t="n">
        <v>0</v>
      </c>
      <c r="P591" t="n">
        <v>0</v>
      </c>
      <c r="Q591" t="n">
        <v>0</v>
      </c>
      <c r="R591" s="2" t="inlineStr"/>
    </row>
    <row r="592" ht="15" customHeight="1">
      <c r="A592" t="inlineStr">
        <is>
          <t>A 33950-2025</t>
        </is>
      </c>
      <c r="B592" s="1" t="n">
        <v>45842</v>
      </c>
      <c r="C592" s="1" t="n">
        <v>46053</v>
      </c>
      <c r="D592" t="inlineStr">
        <is>
          <t>SKÅNE LÄN</t>
        </is>
      </c>
      <c r="E592" t="inlineStr">
        <is>
          <t>HÄSSLEHOLM</t>
        </is>
      </c>
      <c r="G592" t="n">
        <v>5.7</v>
      </c>
      <c r="H592" t="n">
        <v>0</v>
      </c>
      <c r="I592" t="n">
        <v>0</v>
      </c>
      <c r="J592" t="n">
        <v>0</v>
      </c>
      <c r="K592" t="n">
        <v>0</v>
      </c>
      <c r="L592" t="n">
        <v>0</v>
      </c>
      <c r="M592" t="n">
        <v>0</v>
      </c>
      <c r="N592" t="n">
        <v>0</v>
      </c>
      <c r="O592" t="n">
        <v>0</v>
      </c>
      <c r="P592" t="n">
        <v>0</v>
      </c>
      <c r="Q592" t="n">
        <v>0</v>
      </c>
      <c r="R592" s="2" t="inlineStr"/>
    </row>
    <row r="593" ht="15" customHeight="1">
      <c r="A593" t="inlineStr">
        <is>
          <t>A 13316-2023</t>
        </is>
      </c>
      <c r="B593" s="1" t="n">
        <v>45005.39013888889</v>
      </c>
      <c r="C593" s="1" t="n">
        <v>46053</v>
      </c>
      <c r="D593" t="inlineStr">
        <is>
          <t>SKÅNE LÄN</t>
        </is>
      </c>
      <c r="E593" t="inlineStr">
        <is>
          <t>HÄSSLEHOLM</t>
        </is>
      </c>
      <c r="G593" t="n">
        <v>0.6</v>
      </c>
      <c r="H593" t="n">
        <v>0</v>
      </c>
      <c r="I593" t="n">
        <v>0</v>
      </c>
      <c r="J593" t="n">
        <v>0</v>
      </c>
      <c r="K593" t="n">
        <v>0</v>
      </c>
      <c r="L593" t="n">
        <v>0</v>
      </c>
      <c r="M593" t="n">
        <v>0</v>
      </c>
      <c r="N593" t="n">
        <v>0</v>
      </c>
      <c r="O593" t="n">
        <v>0</v>
      </c>
      <c r="P593" t="n">
        <v>0</v>
      </c>
      <c r="Q593" t="n">
        <v>0</v>
      </c>
      <c r="R593" s="2" t="inlineStr"/>
    </row>
    <row r="594" ht="15" customHeight="1">
      <c r="A594" t="inlineStr">
        <is>
          <t>A 65235-2021</t>
        </is>
      </c>
      <c r="B594" s="1" t="n">
        <v>44515</v>
      </c>
      <c r="C594" s="1" t="n">
        <v>46053</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13358-2023</t>
        </is>
      </c>
      <c r="B595" s="1" t="n">
        <v>45005</v>
      </c>
      <c r="C595" s="1" t="n">
        <v>46053</v>
      </c>
      <c r="D595" t="inlineStr">
        <is>
          <t>SKÅNE LÄN</t>
        </is>
      </c>
      <c r="E595" t="inlineStr">
        <is>
          <t>HÄSSLEHOLM</t>
        </is>
      </c>
      <c r="F595" t="inlineStr">
        <is>
          <t>Övriga Aktiebolag</t>
        </is>
      </c>
      <c r="G595" t="n">
        <v>0.5</v>
      </c>
      <c r="H595" t="n">
        <v>0</v>
      </c>
      <c r="I595" t="n">
        <v>0</v>
      </c>
      <c r="J595" t="n">
        <v>0</v>
      </c>
      <c r="K595" t="n">
        <v>0</v>
      </c>
      <c r="L595" t="n">
        <v>0</v>
      </c>
      <c r="M595" t="n">
        <v>0</v>
      </c>
      <c r="N595" t="n">
        <v>0</v>
      </c>
      <c r="O595" t="n">
        <v>0</v>
      </c>
      <c r="P595" t="n">
        <v>0</v>
      </c>
      <c r="Q595" t="n">
        <v>0</v>
      </c>
      <c r="R595" s="2" t="inlineStr"/>
    </row>
    <row r="596" ht="15" customHeight="1">
      <c r="A596" t="inlineStr">
        <is>
          <t>A 5316-2023</t>
        </is>
      </c>
      <c r="B596" s="1" t="n">
        <v>44959</v>
      </c>
      <c r="C596" s="1" t="n">
        <v>46053</v>
      </c>
      <c r="D596" t="inlineStr">
        <is>
          <t>SKÅNE LÄN</t>
        </is>
      </c>
      <c r="E596" t="inlineStr">
        <is>
          <t>HÄSSLEHOLM</t>
        </is>
      </c>
      <c r="G596" t="n">
        <v>2.1</v>
      </c>
      <c r="H596" t="n">
        <v>0</v>
      </c>
      <c r="I596" t="n">
        <v>0</v>
      </c>
      <c r="J596" t="n">
        <v>0</v>
      </c>
      <c r="K596" t="n">
        <v>0</v>
      </c>
      <c r="L596" t="n">
        <v>0</v>
      </c>
      <c r="M596" t="n">
        <v>0</v>
      </c>
      <c r="N596" t="n">
        <v>0</v>
      </c>
      <c r="O596" t="n">
        <v>0</v>
      </c>
      <c r="P596" t="n">
        <v>0</v>
      </c>
      <c r="Q596" t="n">
        <v>0</v>
      </c>
      <c r="R596" s="2" t="inlineStr"/>
    </row>
    <row r="597" ht="15" customHeight="1">
      <c r="A597" t="inlineStr">
        <is>
          <t>A 32794-2023</t>
        </is>
      </c>
      <c r="B597" s="1" t="n">
        <v>45124.40446759259</v>
      </c>
      <c r="C597" s="1" t="n">
        <v>46053</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28211-2022</t>
        </is>
      </c>
      <c r="B598" s="1" t="n">
        <v>44746</v>
      </c>
      <c r="C598" s="1" t="n">
        <v>46053</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34174-2025</t>
        </is>
      </c>
      <c r="B599" s="1" t="n">
        <v>45844</v>
      </c>
      <c r="C599" s="1" t="n">
        <v>46053</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12162-2023</t>
        </is>
      </c>
      <c r="B600" s="1" t="n">
        <v>44998.49619212963</v>
      </c>
      <c r="C600" s="1" t="n">
        <v>46053</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53424-2025</t>
        </is>
      </c>
      <c r="B601" s="1" t="n">
        <v>45959</v>
      </c>
      <c r="C601" s="1" t="n">
        <v>46053</v>
      </c>
      <c r="D601" t="inlineStr">
        <is>
          <t>SKÅNE LÄN</t>
        </is>
      </c>
      <c r="E601" t="inlineStr">
        <is>
          <t>HÄSSLEHOLM</t>
        </is>
      </c>
      <c r="G601" t="n">
        <v>3.4</v>
      </c>
      <c r="H601" t="n">
        <v>0</v>
      </c>
      <c r="I601" t="n">
        <v>0</v>
      </c>
      <c r="J601" t="n">
        <v>0</v>
      </c>
      <c r="K601" t="n">
        <v>0</v>
      </c>
      <c r="L601" t="n">
        <v>0</v>
      </c>
      <c r="M601" t="n">
        <v>0</v>
      </c>
      <c r="N601" t="n">
        <v>0</v>
      </c>
      <c r="O601" t="n">
        <v>0</v>
      </c>
      <c r="P601" t="n">
        <v>0</v>
      </c>
      <c r="Q601" t="n">
        <v>0</v>
      </c>
      <c r="R601" s="2" t="inlineStr"/>
    </row>
    <row r="602" ht="15" customHeight="1">
      <c r="A602" t="inlineStr">
        <is>
          <t>A 34177-2025</t>
        </is>
      </c>
      <c r="B602" s="1" t="n">
        <v>45844</v>
      </c>
      <c r="C602" s="1" t="n">
        <v>46053</v>
      </c>
      <c r="D602" t="inlineStr">
        <is>
          <t>SKÅNE LÄN</t>
        </is>
      </c>
      <c r="E602" t="inlineStr">
        <is>
          <t>HÄSSLEHOLM</t>
        </is>
      </c>
      <c r="G602" t="n">
        <v>3</v>
      </c>
      <c r="H602" t="n">
        <v>0</v>
      </c>
      <c r="I602" t="n">
        <v>0</v>
      </c>
      <c r="J602" t="n">
        <v>0</v>
      </c>
      <c r="K602" t="n">
        <v>0</v>
      </c>
      <c r="L602" t="n">
        <v>0</v>
      </c>
      <c r="M602" t="n">
        <v>0</v>
      </c>
      <c r="N602" t="n">
        <v>0</v>
      </c>
      <c r="O602" t="n">
        <v>0</v>
      </c>
      <c r="P602" t="n">
        <v>0</v>
      </c>
      <c r="Q602" t="n">
        <v>0</v>
      </c>
      <c r="R602" s="2" t="inlineStr"/>
    </row>
    <row r="603" ht="15" customHeight="1">
      <c r="A603" t="inlineStr">
        <is>
          <t>A 22678-2025</t>
        </is>
      </c>
      <c r="B603" s="1" t="n">
        <v>45789.49725694444</v>
      </c>
      <c r="C603" s="1" t="n">
        <v>46053</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32958-2023</t>
        </is>
      </c>
      <c r="B604" s="1" t="n">
        <v>45125.52142361111</v>
      </c>
      <c r="C604" s="1" t="n">
        <v>46053</v>
      </c>
      <c r="D604" t="inlineStr">
        <is>
          <t>SKÅNE LÄN</t>
        </is>
      </c>
      <c r="E604" t="inlineStr">
        <is>
          <t>HÄSSLEHOLM</t>
        </is>
      </c>
      <c r="G604" t="n">
        <v>7.9</v>
      </c>
      <c r="H604" t="n">
        <v>0</v>
      </c>
      <c r="I604" t="n">
        <v>0</v>
      </c>
      <c r="J604" t="n">
        <v>0</v>
      </c>
      <c r="K604" t="n">
        <v>0</v>
      </c>
      <c r="L604" t="n">
        <v>0</v>
      </c>
      <c r="M604" t="n">
        <v>0</v>
      </c>
      <c r="N604" t="n">
        <v>0</v>
      </c>
      <c r="O604" t="n">
        <v>0</v>
      </c>
      <c r="P604" t="n">
        <v>0</v>
      </c>
      <c r="Q604" t="n">
        <v>0</v>
      </c>
      <c r="R604" s="2" t="inlineStr"/>
    </row>
    <row r="605" ht="15" customHeight="1">
      <c r="A605" t="inlineStr">
        <is>
          <t>A 14702-2025</t>
        </is>
      </c>
      <c r="B605" s="1" t="n">
        <v>45742.60403935185</v>
      </c>
      <c r="C605" s="1" t="n">
        <v>46053</v>
      </c>
      <c r="D605" t="inlineStr">
        <is>
          <t>SKÅNE LÄN</t>
        </is>
      </c>
      <c r="E605" t="inlineStr">
        <is>
          <t>HÄSSLEHOLM</t>
        </is>
      </c>
      <c r="G605" t="n">
        <v>1.8</v>
      </c>
      <c r="H605" t="n">
        <v>0</v>
      </c>
      <c r="I605" t="n">
        <v>0</v>
      </c>
      <c r="J605" t="n">
        <v>0</v>
      </c>
      <c r="K605" t="n">
        <v>0</v>
      </c>
      <c r="L605" t="n">
        <v>0</v>
      </c>
      <c r="M605" t="n">
        <v>0</v>
      </c>
      <c r="N605" t="n">
        <v>0</v>
      </c>
      <c r="O605" t="n">
        <v>0</v>
      </c>
      <c r="P605" t="n">
        <v>0</v>
      </c>
      <c r="Q605" t="n">
        <v>0</v>
      </c>
      <c r="R605" s="2" t="inlineStr"/>
    </row>
    <row r="606" ht="15" customHeight="1">
      <c r="A606" t="inlineStr">
        <is>
          <t>A 9669-2025</t>
        </is>
      </c>
      <c r="B606" s="1" t="n">
        <v>45716.32921296296</v>
      </c>
      <c r="C606" s="1" t="n">
        <v>46053</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59109-2023</t>
        </is>
      </c>
      <c r="B607" s="1" t="n">
        <v>45253.30819444444</v>
      </c>
      <c r="C607" s="1" t="n">
        <v>46053</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58888-2024</t>
        </is>
      </c>
      <c r="B608" s="1" t="n">
        <v>45636.45962962963</v>
      </c>
      <c r="C608" s="1" t="n">
        <v>46053</v>
      </c>
      <c r="D608" t="inlineStr">
        <is>
          <t>SKÅNE LÄN</t>
        </is>
      </c>
      <c r="E608" t="inlineStr">
        <is>
          <t>HÄSSLEHOLM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21028-2021</t>
        </is>
      </c>
      <c r="B609" s="1" t="n">
        <v>44319</v>
      </c>
      <c r="C609" s="1" t="n">
        <v>46053</v>
      </c>
      <c r="D609" t="inlineStr">
        <is>
          <t>SKÅNE LÄN</t>
        </is>
      </c>
      <c r="E609" t="inlineStr">
        <is>
          <t>HÄSSLEHOLM</t>
        </is>
      </c>
      <c r="G609" t="n">
        <v>3.1</v>
      </c>
      <c r="H609" t="n">
        <v>0</v>
      </c>
      <c r="I609" t="n">
        <v>0</v>
      </c>
      <c r="J609" t="n">
        <v>0</v>
      </c>
      <c r="K609" t="n">
        <v>0</v>
      </c>
      <c r="L609" t="n">
        <v>0</v>
      </c>
      <c r="M609" t="n">
        <v>0</v>
      </c>
      <c r="N609" t="n">
        <v>0</v>
      </c>
      <c r="O609" t="n">
        <v>0</v>
      </c>
      <c r="P609" t="n">
        <v>0</v>
      </c>
      <c r="Q609" t="n">
        <v>0</v>
      </c>
      <c r="R609" s="2" t="inlineStr"/>
    </row>
    <row r="610" ht="15" customHeight="1">
      <c r="A610" t="inlineStr">
        <is>
          <t>A 34869-2025</t>
        </is>
      </c>
      <c r="B610" s="1" t="n">
        <v>45849</v>
      </c>
      <c r="C610" s="1" t="n">
        <v>46053</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6165-2023</t>
        </is>
      </c>
      <c r="B611" s="1" t="n">
        <v>44964.67114583333</v>
      </c>
      <c r="C611" s="1" t="n">
        <v>46053</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16017-2023</t>
        </is>
      </c>
      <c r="B612" s="1" t="n">
        <v>45026</v>
      </c>
      <c r="C612" s="1" t="n">
        <v>46053</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31989-2024</t>
        </is>
      </c>
      <c r="B613" s="1" t="n">
        <v>45510.58085648148</v>
      </c>
      <c r="C613" s="1" t="n">
        <v>46053</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35640-2023</t>
        </is>
      </c>
      <c r="B614" s="1" t="n">
        <v>45147</v>
      </c>
      <c r="C614" s="1" t="n">
        <v>46053</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35259-2025</t>
        </is>
      </c>
      <c r="B615" s="1" t="n">
        <v>45853.76912037037</v>
      </c>
      <c r="C615" s="1" t="n">
        <v>46053</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20970-2025</t>
        </is>
      </c>
      <c r="B616" s="1" t="n">
        <v>45777.45417824074</v>
      </c>
      <c r="C616" s="1" t="n">
        <v>46053</v>
      </c>
      <c r="D616" t="inlineStr">
        <is>
          <t>SKÅNE LÄN</t>
        </is>
      </c>
      <c r="E616" t="inlineStr">
        <is>
          <t>HÄSSLEHOLM</t>
        </is>
      </c>
      <c r="G616" t="n">
        <v>2.2</v>
      </c>
      <c r="H616" t="n">
        <v>0</v>
      </c>
      <c r="I616" t="n">
        <v>0</v>
      </c>
      <c r="J616" t="n">
        <v>0</v>
      </c>
      <c r="K616" t="n">
        <v>0</v>
      </c>
      <c r="L616" t="n">
        <v>0</v>
      </c>
      <c r="M616" t="n">
        <v>0</v>
      </c>
      <c r="N616" t="n">
        <v>0</v>
      </c>
      <c r="O616" t="n">
        <v>0</v>
      </c>
      <c r="P616" t="n">
        <v>0</v>
      </c>
      <c r="Q616" t="n">
        <v>0</v>
      </c>
      <c r="R616" s="2" t="inlineStr"/>
    </row>
    <row r="617" ht="15" customHeight="1">
      <c r="A617" t="inlineStr">
        <is>
          <t>A 48771-2024</t>
        </is>
      </c>
      <c r="B617" s="1" t="n">
        <v>45593.61284722222</v>
      </c>
      <c r="C617" s="1" t="n">
        <v>46053</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24241-2023</t>
        </is>
      </c>
      <c r="B618" s="1" t="n">
        <v>45079.61476851852</v>
      </c>
      <c r="C618" s="1" t="n">
        <v>46053</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23987-2024</t>
        </is>
      </c>
      <c r="B619" s="1" t="n">
        <v>45456</v>
      </c>
      <c r="C619" s="1" t="n">
        <v>46053</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17413-2025</t>
        </is>
      </c>
      <c r="B620" s="1" t="n">
        <v>45757.37480324074</v>
      </c>
      <c r="C620" s="1" t="n">
        <v>46053</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19739-2023</t>
        </is>
      </c>
      <c r="B621" s="1" t="n">
        <v>45051</v>
      </c>
      <c r="C621" s="1" t="n">
        <v>46053</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59246-2024</t>
        </is>
      </c>
      <c r="B622" s="1" t="n">
        <v>45636</v>
      </c>
      <c r="C622" s="1" t="n">
        <v>46053</v>
      </c>
      <c r="D622" t="inlineStr">
        <is>
          <t>SKÅNE LÄN</t>
        </is>
      </c>
      <c r="E622" t="inlineStr">
        <is>
          <t>HÄSSLEHOLM</t>
        </is>
      </c>
      <c r="G622" t="n">
        <v>2.6</v>
      </c>
      <c r="H622" t="n">
        <v>0</v>
      </c>
      <c r="I622" t="n">
        <v>0</v>
      </c>
      <c r="J622" t="n">
        <v>0</v>
      </c>
      <c r="K622" t="n">
        <v>0</v>
      </c>
      <c r="L622" t="n">
        <v>0</v>
      </c>
      <c r="M622" t="n">
        <v>0</v>
      </c>
      <c r="N622" t="n">
        <v>0</v>
      </c>
      <c r="O622" t="n">
        <v>0</v>
      </c>
      <c r="P622" t="n">
        <v>0</v>
      </c>
      <c r="Q622" t="n">
        <v>0</v>
      </c>
      <c r="R622" s="2" t="inlineStr"/>
    </row>
    <row r="623" ht="15" customHeight="1">
      <c r="A623" t="inlineStr">
        <is>
          <t>A 23666-2023</t>
        </is>
      </c>
      <c r="B623" s="1" t="n">
        <v>45077</v>
      </c>
      <c r="C623" s="1" t="n">
        <v>46053</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35237-2023</t>
        </is>
      </c>
      <c r="B624" s="1" t="n">
        <v>45145.74532407407</v>
      </c>
      <c r="C624" s="1" t="n">
        <v>46053</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47161-2025</t>
        </is>
      </c>
      <c r="B625" s="1" t="n">
        <v>45929</v>
      </c>
      <c r="C625" s="1" t="n">
        <v>46053</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5476-2021</t>
        </is>
      </c>
      <c r="B626" s="1" t="n">
        <v>44230</v>
      </c>
      <c r="C626" s="1" t="n">
        <v>46053</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54668-2025</t>
        </is>
      </c>
      <c r="B627" s="1" t="n">
        <v>45966.40803240741</v>
      </c>
      <c r="C627" s="1" t="n">
        <v>46053</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260-2024</t>
        </is>
      </c>
      <c r="B628" s="1" t="n">
        <v>45294</v>
      </c>
      <c r="C628" s="1" t="n">
        <v>46053</v>
      </c>
      <c r="D628" t="inlineStr">
        <is>
          <t>SKÅNE LÄN</t>
        </is>
      </c>
      <c r="E628" t="inlineStr">
        <is>
          <t>HÄSSLEHOLM</t>
        </is>
      </c>
      <c r="G628" t="n">
        <v>0.2</v>
      </c>
      <c r="H628" t="n">
        <v>0</v>
      </c>
      <c r="I628" t="n">
        <v>0</v>
      </c>
      <c r="J628" t="n">
        <v>0</v>
      </c>
      <c r="K628" t="n">
        <v>0</v>
      </c>
      <c r="L628" t="n">
        <v>0</v>
      </c>
      <c r="M628" t="n">
        <v>0</v>
      </c>
      <c r="N628" t="n">
        <v>0</v>
      </c>
      <c r="O628" t="n">
        <v>0</v>
      </c>
      <c r="P628" t="n">
        <v>0</v>
      </c>
      <c r="Q628" t="n">
        <v>0</v>
      </c>
      <c r="R628" s="2" t="inlineStr"/>
    </row>
    <row r="629" ht="15" customHeight="1">
      <c r="A629" t="inlineStr">
        <is>
          <t>A 57275-2023</t>
        </is>
      </c>
      <c r="B629" s="1" t="n">
        <v>45245.58886574074</v>
      </c>
      <c r="C629" s="1" t="n">
        <v>46053</v>
      </c>
      <c r="D629" t="inlineStr">
        <is>
          <t>SKÅNE LÄN</t>
        </is>
      </c>
      <c r="E629" t="inlineStr">
        <is>
          <t>HÄSSLEHOLM</t>
        </is>
      </c>
      <c r="G629" t="n">
        <v>1.7</v>
      </c>
      <c r="H629" t="n">
        <v>0</v>
      </c>
      <c r="I629" t="n">
        <v>0</v>
      </c>
      <c r="J629" t="n">
        <v>0</v>
      </c>
      <c r="K629" t="n">
        <v>0</v>
      </c>
      <c r="L629" t="n">
        <v>0</v>
      </c>
      <c r="M629" t="n">
        <v>0</v>
      </c>
      <c r="N629" t="n">
        <v>0</v>
      </c>
      <c r="O629" t="n">
        <v>0</v>
      </c>
      <c r="P629" t="n">
        <v>0</v>
      </c>
      <c r="Q629" t="n">
        <v>0</v>
      </c>
      <c r="R629" s="2" t="inlineStr"/>
    </row>
    <row r="630" ht="15" customHeight="1">
      <c r="A630" t="inlineStr">
        <is>
          <t>A 54763-2025</t>
        </is>
      </c>
      <c r="B630" s="1" t="n">
        <v>45966.60167824074</v>
      </c>
      <c r="C630" s="1" t="n">
        <v>46053</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27304-2023</t>
        </is>
      </c>
      <c r="B631" s="1" t="n">
        <v>45096.65199074074</v>
      </c>
      <c r="C631" s="1" t="n">
        <v>46053</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48191-2021</t>
        </is>
      </c>
      <c r="B632" s="1" t="n">
        <v>44449</v>
      </c>
      <c r="C632" s="1" t="n">
        <v>46053</v>
      </c>
      <c r="D632" t="inlineStr">
        <is>
          <t>SKÅNE LÄN</t>
        </is>
      </c>
      <c r="E632" t="inlineStr">
        <is>
          <t>HÄSSLEHOLM</t>
        </is>
      </c>
      <c r="G632" t="n">
        <v>6</v>
      </c>
      <c r="H632" t="n">
        <v>0</v>
      </c>
      <c r="I632" t="n">
        <v>0</v>
      </c>
      <c r="J632" t="n">
        <v>0</v>
      </c>
      <c r="K632" t="n">
        <v>0</v>
      </c>
      <c r="L632" t="n">
        <v>0</v>
      </c>
      <c r="M632" t="n">
        <v>0</v>
      </c>
      <c r="N632" t="n">
        <v>0</v>
      </c>
      <c r="O632" t="n">
        <v>0</v>
      </c>
      <c r="P632" t="n">
        <v>0</v>
      </c>
      <c r="Q632" t="n">
        <v>0</v>
      </c>
      <c r="R632" s="2" t="inlineStr"/>
    </row>
    <row r="633" ht="15" customHeight="1">
      <c r="A633" t="inlineStr">
        <is>
          <t>A 54664-2025</t>
        </is>
      </c>
      <c r="B633" s="1" t="n">
        <v>45966.40738425926</v>
      </c>
      <c r="C633" s="1" t="n">
        <v>46053</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6845-2023</t>
        </is>
      </c>
      <c r="B634" s="1" t="n">
        <v>44967</v>
      </c>
      <c r="C634" s="1" t="n">
        <v>46053</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54771-2025</t>
        </is>
      </c>
      <c r="B635" s="1" t="n">
        <v>45966.60829861111</v>
      </c>
      <c r="C635" s="1" t="n">
        <v>46053</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32834-2024</t>
        </is>
      </c>
      <c r="B636" s="1" t="n">
        <v>45516.6025</v>
      </c>
      <c r="C636" s="1" t="n">
        <v>46053</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49199-2024</t>
        </is>
      </c>
      <c r="B637" s="1" t="n">
        <v>45595</v>
      </c>
      <c r="C637" s="1" t="n">
        <v>46053</v>
      </c>
      <c r="D637" t="inlineStr">
        <is>
          <t>SKÅNE LÄN</t>
        </is>
      </c>
      <c r="E637" t="inlineStr">
        <is>
          <t>HÄSSLEHOLM</t>
        </is>
      </c>
      <c r="G637" t="n">
        <v>5.2</v>
      </c>
      <c r="H637" t="n">
        <v>0</v>
      </c>
      <c r="I637" t="n">
        <v>0</v>
      </c>
      <c r="J637" t="n">
        <v>0</v>
      </c>
      <c r="K637" t="n">
        <v>0</v>
      </c>
      <c r="L637" t="n">
        <v>0</v>
      </c>
      <c r="M637" t="n">
        <v>0</v>
      </c>
      <c r="N637" t="n">
        <v>0</v>
      </c>
      <c r="O637" t="n">
        <v>0</v>
      </c>
      <c r="P637" t="n">
        <v>0</v>
      </c>
      <c r="Q637" t="n">
        <v>0</v>
      </c>
      <c r="R637" s="2" t="inlineStr"/>
    </row>
    <row r="638" ht="15" customHeight="1">
      <c r="A638" t="inlineStr">
        <is>
          <t>A 58886-2024</t>
        </is>
      </c>
      <c r="B638" s="1" t="n">
        <v>45636.45380787037</v>
      </c>
      <c r="C638" s="1" t="n">
        <v>46053</v>
      </c>
      <c r="D638" t="inlineStr">
        <is>
          <t>SKÅNE LÄN</t>
        </is>
      </c>
      <c r="E638" t="inlineStr">
        <is>
          <t>HÄSSLEHOLM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36085-2025</t>
        </is>
      </c>
      <c r="B639" s="1" t="n">
        <v>45866.46190972222</v>
      </c>
      <c r="C639" s="1" t="n">
        <v>46053</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13345-2025</t>
        </is>
      </c>
      <c r="B640" s="1" t="n">
        <v>45735.63017361111</v>
      </c>
      <c r="C640" s="1" t="n">
        <v>46053</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12469-2023</t>
        </is>
      </c>
      <c r="B641" s="1" t="n">
        <v>44999.62109953703</v>
      </c>
      <c r="C641" s="1" t="n">
        <v>46053</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36130-2025</t>
        </is>
      </c>
      <c r="B642" s="1" t="n">
        <v>45866.62273148148</v>
      </c>
      <c r="C642" s="1" t="n">
        <v>46053</v>
      </c>
      <c r="D642" t="inlineStr">
        <is>
          <t>SKÅNE LÄN</t>
        </is>
      </c>
      <c r="E642" t="inlineStr">
        <is>
          <t>HÄSSLEHOLM</t>
        </is>
      </c>
      <c r="G642" t="n">
        <v>4.7</v>
      </c>
      <c r="H642" t="n">
        <v>0</v>
      </c>
      <c r="I642" t="n">
        <v>0</v>
      </c>
      <c r="J642" t="n">
        <v>0</v>
      </c>
      <c r="K642" t="n">
        <v>0</v>
      </c>
      <c r="L642" t="n">
        <v>0</v>
      </c>
      <c r="M642" t="n">
        <v>0</v>
      </c>
      <c r="N642" t="n">
        <v>0</v>
      </c>
      <c r="O642" t="n">
        <v>0</v>
      </c>
      <c r="P642" t="n">
        <v>0</v>
      </c>
      <c r="Q642" t="n">
        <v>0</v>
      </c>
      <c r="R642" s="2" t="inlineStr"/>
    </row>
    <row r="643" ht="15" customHeight="1">
      <c r="A643" t="inlineStr">
        <is>
          <t>A 48663-2024</t>
        </is>
      </c>
      <c r="B643" s="1" t="n">
        <v>45593.48892361111</v>
      </c>
      <c r="C643" s="1" t="n">
        <v>46053</v>
      </c>
      <c r="D643" t="inlineStr">
        <is>
          <t>SKÅNE LÄN</t>
        </is>
      </c>
      <c r="E643" t="inlineStr">
        <is>
          <t>HÄSSLEHOLM</t>
        </is>
      </c>
      <c r="G643" t="n">
        <v>1.8</v>
      </c>
      <c r="H643" t="n">
        <v>0</v>
      </c>
      <c r="I643" t="n">
        <v>0</v>
      </c>
      <c r="J643" t="n">
        <v>0</v>
      </c>
      <c r="K643" t="n">
        <v>0</v>
      </c>
      <c r="L643" t="n">
        <v>0</v>
      </c>
      <c r="M643" t="n">
        <v>0</v>
      </c>
      <c r="N643" t="n">
        <v>0</v>
      </c>
      <c r="O643" t="n">
        <v>0</v>
      </c>
      <c r="P643" t="n">
        <v>0</v>
      </c>
      <c r="Q643" t="n">
        <v>0</v>
      </c>
      <c r="R643" s="2" t="inlineStr"/>
    </row>
    <row r="644" ht="15" customHeight="1">
      <c r="A644" t="inlineStr">
        <is>
          <t>A 19666-2025</t>
        </is>
      </c>
      <c r="B644" s="1" t="n">
        <v>45770.69326388889</v>
      </c>
      <c r="C644" s="1" t="n">
        <v>46053</v>
      </c>
      <c r="D644" t="inlineStr">
        <is>
          <t>SKÅNE LÄN</t>
        </is>
      </c>
      <c r="E644" t="inlineStr">
        <is>
          <t>HÄSSLEHOLM</t>
        </is>
      </c>
      <c r="G644" t="n">
        <v>2.4</v>
      </c>
      <c r="H644" t="n">
        <v>0</v>
      </c>
      <c r="I644" t="n">
        <v>0</v>
      </c>
      <c r="J644" t="n">
        <v>0</v>
      </c>
      <c r="K644" t="n">
        <v>0</v>
      </c>
      <c r="L644" t="n">
        <v>0</v>
      </c>
      <c r="M644" t="n">
        <v>0</v>
      </c>
      <c r="N644" t="n">
        <v>0</v>
      </c>
      <c r="O644" t="n">
        <v>0</v>
      </c>
      <c r="P644" t="n">
        <v>0</v>
      </c>
      <c r="Q644" t="n">
        <v>0</v>
      </c>
      <c r="R644" s="2" t="inlineStr"/>
    </row>
    <row r="645" ht="15" customHeight="1">
      <c r="A645" t="inlineStr">
        <is>
          <t>A 50659-2023</t>
        </is>
      </c>
      <c r="B645" s="1" t="n">
        <v>45217</v>
      </c>
      <c r="C645" s="1" t="n">
        <v>46053</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36361-2025</t>
        </is>
      </c>
      <c r="B646" s="1" t="n">
        <v>45867</v>
      </c>
      <c r="C646" s="1" t="n">
        <v>46053</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27464-2022</t>
        </is>
      </c>
      <c r="B647" s="1" t="n">
        <v>44742.58704861111</v>
      </c>
      <c r="C647" s="1" t="n">
        <v>46053</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36358-2025</t>
        </is>
      </c>
      <c r="B648" s="1" t="n">
        <v>45867</v>
      </c>
      <c r="C648" s="1" t="n">
        <v>46053</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36359-2025</t>
        </is>
      </c>
      <c r="B649" s="1" t="n">
        <v>45867</v>
      </c>
      <c r="C649" s="1" t="n">
        <v>46053</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36259-2025</t>
        </is>
      </c>
      <c r="B650" s="1" t="n">
        <v>45867.59799768519</v>
      </c>
      <c r="C650" s="1" t="n">
        <v>46053</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50525-2024</t>
        </is>
      </c>
      <c r="B651" s="1" t="n">
        <v>45601</v>
      </c>
      <c r="C651" s="1" t="n">
        <v>46053</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55268-2025</t>
        </is>
      </c>
      <c r="B652" s="1" t="n">
        <v>45968.6715625</v>
      </c>
      <c r="C652" s="1" t="n">
        <v>46053</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46053</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27297-2023</t>
        </is>
      </c>
      <c r="B654" s="1" t="n">
        <v>45096</v>
      </c>
      <c r="C654" s="1" t="n">
        <v>46053</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27197-2021</t>
        </is>
      </c>
      <c r="B655" s="1" t="n">
        <v>44350</v>
      </c>
      <c r="C655" s="1" t="n">
        <v>46053</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8209-2025</t>
        </is>
      </c>
      <c r="B656" s="1" t="n">
        <v>45708.44244212963</v>
      </c>
      <c r="C656" s="1" t="n">
        <v>46053</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36938-2025</t>
        </is>
      </c>
      <c r="B657" s="1" t="n">
        <v>45874.58476851852</v>
      </c>
      <c r="C657" s="1" t="n">
        <v>46053</v>
      </c>
      <c r="D657" t="inlineStr">
        <is>
          <t>SKÅNE LÄN</t>
        </is>
      </c>
      <c r="E657" t="inlineStr">
        <is>
          <t>HÄSSLEHOLM</t>
        </is>
      </c>
      <c r="G657" t="n">
        <v>3.7</v>
      </c>
      <c r="H657" t="n">
        <v>0</v>
      </c>
      <c r="I657" t="n">
        <v>0</v>
      </c>
      <c r="J657" t="n">
        <v>0</v>
      </c>
      <c r="K657" t="n">
        <v>0</v>
      </c>
      <c r="L657" t="n">
        <v>0</v>
      </c>
      <c r="M657" t="n">
        <v>0</v>
      </c>
      <c r="N657" t="n">
        <v>0</v>
      </c>
      <c r="O657" t="n">
        <v>0</v>
      </c>
      <c r="P657" t="n">
        <v>0</v>
      </c>
      <c r="Q657" t="n">
        <v>0</v>
      </c>
      <c r="R657" s="2" t="inlineStr"/>
    </row>
    <row r="658" ht="15" customHeight="1">
      <c r="A658" t="inlineStr">
        <is>
          <t>A 63710-2025</t>
        </is>
      </c>
      <c r="B658" s="1" t="n">
        <v>46014.62143518519</v>
      </c>
      <c r="C658" s="1" t="n">
        <v>46053</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55549-2025</t>
        </is>
      </c>
      <c r="B659" s="1" t="n">
        <v>45971.63805555556</v>
      </c>
      <c r="C659" s="1" t="n">
        <v>46053</v>
      </c>
      <c r="D659" t="inlineStr">
        <is>
          <t>SKÅNE LÄN</t>
        </is>
      </c>
      <c r="E659" t="inlineStr">
        <is>
          <t>HÄSSLEHOLM</t>
        </is>
      </c>
      <c r="G659" t="n">
        <v>2.6</v>
      </c>
      <c r="H659" t="n">
        <v>0</v>
      </c>
      <c r="I659" t="n">
        <v>0</v>
      </c>
      <c r="J659" t="n">
        <v>0</v>
      </c>
      <c r="K659" t="n">
        <v>0</v>
      </c>
      <c r="L659" t="n">
        <v>0</v>
      </c>
      <c r="M659" t="n">
        <v>0</v>
      </c>
      <c r="N659" t="n">
        <v>0</v>
      </c>
      <c r="O659" t="n">
        <v>0</v>
      </c>
      <c r="P659" t="n">
        <v>0</v>
      </c>
      <c r="Q659" t="n">
        <v>0</v>
      </c>
      <c r="R659" s="2" t="inlineStr"/>
    </row>
    <row r="660" ht="15" customHeight="1">
      <c r="A660" t="inlineStr">
        <is>
          <t>A 63709-2025</t>
        </is>
      </c>
      <c r="B660" s="1" t="n">
        <v>46014.61700231482</v>
      </c>
      <c r="C660" s="1" t="n">
        <v>46053</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55455-2025</t>
        </is>
      </c>
      <c r="B661" s="1" t="n">
        <v>45971</v>
      </c>
      <c r="C661" s="1" t="n">
        <v>46053</v>
      </c>
      <c r="D661" t="inlineStr">
        <is>
          <t>SKÅNE LÄN</t>
        </is>
      </c>
      <c r="E661" t="inlineStr">
        <is>
          <t>HÄSSLEHOLM</t>
        </is>
      </c>
      <c r="G661" t="n">
        <v>0.6</v>
      </c>
      <c r="H661" t="n">
        <v>0</v>
      </c>
      <c r="I661" t="n">
        <v>0</v>
      </c>
      <c r="J661" t="n">
        <v>0</v>
      </c>
      <c r="K661" t="n">
        <v>0</v>
      </c>
      <c r="L661" t="n">
        <v>0</v>
      </c>
      <c r="M661" t="n">
        <v>0</v>
      </c>
      <c r="N661" t="n">
        <v>0</v>
      </c>
      <c r="O661" t="n">
        <v>0</v>
      </c>
      <c r="P661" t="n">
        <v>0</v>
      </c>
      <c r="Q661" t="n">
        <v>0</v>
      </c>
      <c r="R661" s="2" t="inlineStr"/>
    </row>
    <row r="662" ht="15" customHeight="1">
      <c r="A662" t="inlineStr">
        <is>
          <t>A 9747-2024</t>
        </is>
      </c>
      <c r="B662" s="1" t="n">
        <v>45362</v>
      </c>
      <c r="C662" s="1" t="n">
        <v>46053</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33465-2024</t>
        </is>
      </c>
      <c r="B663" s="1" t="n">
        <v>45519.59619212963</v>
      </c>
      <c r="C663" s="1" t="n">
        <v>46053</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55458-2025</t>
        </is>
      </c>
      <c r="B664" s="1" t="n">
        <v>45971</v>
      </c>
      <c r="C664" s="1" t="n">
        <v>46053</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63473-2025</t>
        </is>
      </c>
      <c r="B665" s="1" t="n">
        <v>46013.44364583334</v>
      </c>
      <c r="C665" s="1" t="n">
        <v>46053</v>
      </c>
      <c r="D665" t="inlineStr">
        <is>
          <t>SKÅNE LÄN</t>
        </is>
      </c>
      <c r="E665" t="inlineStr">
        <is>
          <t>HÄSSLEHOLM</t>
        </is>
      </c>
      <c r="F665" t="inlineStr">
        <is>
          <t>Kommuner</t>
        </is>
      </c>
      <c r="G665" t="n">
        <v>5.9</v>
      </c>
      <c r="H665" t="n">
        <v>0</v>
      </c>
      <c r="I665" t="n">
        <v>0</v>
      </c>
      <c r="J665" t="n">
        <v>0</v>
      </c>
      <c r="K665" t="n">
        <v>0</v>
      </c>
      <c r="L665" t="n">
        <v>0</v>
      </c>
      <c r="M665" t="n">
        <v>0</v>
      </c>
      <c r="N665" t="n">
        <v>0</v>
      </c>
      <c r="O665" t="n">
        <v>0</v>
      </c>
      <c r="P665" t="n">
        <v>0</v>
      </c>
      <c r="Q665" t="n">
        <v>0</v>
      </c>
      <c r="R665" s="2" t="inlineStr"/>
    </row>
    <row r="666" ht="15" customHeight="1">
      <c r="A666" t="inlineStr">
        <is>
          <t>A 63487-2025</t>
        </is>
      </c>
      <c r="B666" s="1" t="n">
        <v>46013.46878472222</v>
      </c>
      <c r="C666" s="1" t="n">
        <v>46053</v>
      </c>
      <c r="D666" t="inlineStr">
        <is>
          <t>SKÅNE LÄN</t>
        </is>
      </c>
      <c r="E666" t="inlineStr">
        <is>
          <t>HÄSSLEHOLM</t>
        </is>
      </c>
      <c r="F666" t="inlineStr">
        <is>
          <t>Kommuner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31986-2023</t>
        </is>
      </c>
      <c r="B667" s="1" t="n">
        <v>45119</v>
      </c>
      <c r="C667" s="1" t="n">
        <v>46053</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63712-2025</t>
        </is>
      </c>
      <c r="B668" s="1" t="n">
        <v>46014.63092592593</v>
      </c>
      <c r="C668" s="1" t="n">
        <v>46053</v>
      </c>
      <c r="D668" t="inlineStr">
        <is>
          <t>SKÅNE LÄN</t>
        </is>
      </c>
      <c r="E668" t="inlineStr">
        <is>
          <t>HÄSSLEHOLM</t>
        </is>
      </c>
      <c r="G668" t="n">
        <v>3.9</v>
      </c>
      <c r="H668" t="n">
        <v>0</v>
      </c>
      <c r="I668" t="n">
        <v>0</v>
      </c>
      <c r="J668" t="n">
        <v>0</v>
      </c>
      <c r="K668" t="n">
        <v>0</v>
      </c>
      <c r="L668" t="n">
        <v>0</v>
      </c>
      <c r="M668" t="n">
        <v>0</v>
      </c>
      <c r="N668" t="n">
        <v>0</v>
      </c>
      <c r="O668" t="n">
        <v>0</v>
      </c>
      <c r="P668" t="n">
        <v>0</v>
      </c>
      <c r="Q668" t="n">
        <v>0</v>
      </c>
      <c r="R668" s="2" t="inlineStr"/>
    </row>
    <row r="669" ht="15" customHeight="1">
      <c r="A669" t="inlineStr">
        <is>
          <t>A 41209-2023</t>
        </is>
      </c>
      <c r="B669" s="1" t="n">
        <v>45174.43481481481</v>
      </c>
      <c r="C669" s="1" t="n">
        <v>46053</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61197-2024</t>
        </is>
      </c>
      <c r="B670" s="1" t="n">
        <v>45645.63184027778</v>
      </c>
      <c r="C670" s="1" t="n">
        <v>46053</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13549-2025</t>
        </is>
      </c>
      <c r="B671" s="1" t="n">
        <v>45736</v>
      </c>
      <c r="C671" s="1" t="n">
        <v>46053</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63416-2025</t>
        </is>
      </c>
      <c r="B672" s="1" t="n">
        <v>46013.3232175926</v>
      </c>
      <c r="C672" s="1" t="n">
        <v>46053</v>
      </c>
      <c r="D672" t="inlineStr">
        <is>
          <t>SKÅNE LÄN</t>
        </is>
      </c>
      <c r="E672" t="inlineStr">
        <is>
          <t>HÄSSLEHOLM</t>
        </is>
      </c>
      <c r="G672" t="n">
        <v>1.9</v>
      </c>
      <c r="H672" t="n">
        <v>0</v>
      </c>
      <c r="I672" t="n">
        <v>0</v>
      </c>
      <c r="J672" t="n">
        <v>0</v>
      </c>
      <c r="K672" t="n">
        <v>0</v>
      </c>
      <c r="L672" t="n">
        <v>0</v>
      </c>
      <c r="M672" t="n">
        <v>0</v>
      </c>
      <c r="N672" t="n">
        <v>0</v>
      </c>
      <c r="O672" t="n">
        <v>0</v>
      </c>
      <c r="P672" t="n">
        <v>0</v>
      </c>
      <c r="Q672" t="n">
        <v>0</v>
      </c>
      <c r="R672" s="2" t="inlineStr"/>
    </row>
    <row r="673" ht="15" customHeight="1">
      <c r="A673" t="inlineStr">
        <is>
          <t>A 35833-2023</t>
        </is>
      </c>
      <c r="B673" s="1" t="n">
        <v>45148</v>
      </c>
      <c r="C673" s="1" t="n">
        <v>46053</v>
      </c>
      <c r="D673" t="inlineStr">
        <is>
          <t>SKÅNE LÄN</t>
        </is>
      </c>
      <c r="E673" t="inlineStr">
        <is>
          <t>HÄSSLEHOLM</t>
        </is>
      </c>
      <c r="F673" t="inlineStr">
        <is>
          <t>Kommuner</t>
        </is>
      </c>
      <c r="G673" t="n">
        <v>2</v>
      </c>
      <c r="H673" t="n">
        <v>0</v>
      </c>
      <c r="I673" t="n">
        <v>0</v>
      </c>
      <c r="J673" t="n">
        <v>0</v>
      </c>
      <c r="K673" t="n">
        <v>0</v>
      </c>
      <c r="L673" t="n">
        <v>0</v>
      </c>
      <c r="M673" t="n">
        <v>0</v>
      </c>
      <c r="N673" t="n">
        <v>0</v>
      </c>
      <c r="O673" t="n">
        <v>0</v>
      </c>
      <c r="P673" t="n">
        <v>0</v>
      </c>
      <c r="Q673" t="n">
        <v>0</v>
      </c>
      <c r="R673" s="2" t="inlineStr"/>
    </row>
    <row r="674" ht="15" customHeight="1">
      <c r="A674" t="inlineStr">
        <is>
          <t>A 37286-2025</t>
        </is>
      </c>
      <c r="B674" s="1" t="n">
        <v>45876.50116898148</v>
      </c>
      <c r="C674" s="1" t="n">
        <v>46053</v>
      </c>
      <c r="D674" t="inlineStr">
        <is>
          <t>SKÅNE LÄN</t>
        </is>
      </c>
      <c r="E674" t="inlineStr">
        <is>
          <t>HÄSSLEHOLM</t>
        </is>
      </c>
      <c r="G674" t="n">
        <v>2.9</v>
      </c>
      <c r="H674" t="n">
        <v>0</v>
      </c>
      <c r="I674" t="n">
        <v>0</v>
      </c>
      <c r="J674" t="n">
        <v>0</v>
      </c>
      <c r="K674" t="n">
        <v>0</v>
      </c>
      <c r="L674" t="n">
        <v>0</v>
      </c>
      <c r="M674" t="n">
        <v>0</v>
      </c>
      <c r="N674" t="n">
        <v>0</v>
      </c>
      <c r="O674" t="n">
        <v>0</v>
      </c>
      <c r="P674" t="n">
        <v>0</v>
      </c>
      <c r="Q674" t="n">
        <v>0</v>
      </c>
      <c r="R674" s="2" t="inlineStr"/>
    </row>
    <row r="675" ht="15" customHeight="1">
      <c r="A675" t="inlineStr">
        <is>
          <t>A 37271-2025</t>
        </is>
      </c>
      <c r="B675" s="1" t="n">
        <v>45876.47828703704</v>
      </c>
      <c r="C675" s="1" t="n">
        <v>46053</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57491-2024</t>
        </is>
      </c>
      <c r="B676" s="1" t="n">
        <v>45629</v>
      </c>
      <c r="C676" s="1" t="n">
        <v>46053</v>
      </c>
      <c r="D676" t="inlineStr">
        <is>
          <t>SKÅNE LÄN</t>
        </is>
      </c>
      <c r="E676" t="inlineStr">
        <is>
          <t>HÄSSLEHOLM</t>
        </is>
      </c>
      <c r="G676" t="n">
        <v>3.2</v>
      </c>
      <c r="H676" t="n">
        <v>0</v>
      </c>
      <c r="I676" t="n">
        <v>0</v>
      </c>
      <c r="J676" t="n">
        <v>0</v>
      </c>
      <c r="K676" t="n">
        <v>0</v>
      </c>
      <c r="L676" t="n">
        <v>0</v>
      </c>
      <c r="M676" t="n">
        <v>0</v>
      </c>
      <c r="N676" t="n">
        <v>0</v>
      </c>
      <c r="O676" t="n">
        <v>0</v>
      </c>
      <c r="P676" t="n">
        <v>0</v>
      </c>
      <c r="Q676" t="n">
        <v>0</v>
      </c>
      <c r="R676" s="2" t="inlineStr"/>
    </row>
    <row r="677" ht="15" customHeight="1">
      <c r="A677" t="inlineStr">
        <is>
          <t>A 63415-2025</t>
        </is>
      </c>
      <c r="B677" s="1" t="n">
        <v>46013.32163194445</v>
      </c>
      <c r="C677" s="1" t="n">
        <v>46053</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58250-2024</t>
        </is>
      </c>
      <c r="B678" s="1" t="n">
        <v>45632.55643518519</v>
      </c>
      <c r="C678" s="1" t="n">
        <v>46053</v>
      </c>
      <c r="D678" t="inlineStr">
        <is>
          <t>SKÅNE LÄN</t>
        </is>
      </c>
      <c r="E678" t="inlineStr">
        <is>
          <t>HÄSSLEHOLM</t>
        </is>
      </c>
      <c r="G678" t="n">
        <v>0.5</v>
      </c>
      <c r="H678" t="n">
        <v>0</v>
      </c>
      <c r="I678" t="n">
        <v>0</v>
      </c>
      <c r="J678" t="n">
        <v>0</v>
      </c>
      <c r="K678" t="n">
        <v>0</v>
      </c>
      <c r="L678" t="n">
        <v>0</v>
      </c>
      <c r="M678" t="n">
        <v>0</v>
      </c>
      <c r="N678" t="n">
        <v>0</v>
      </c>
      <c r="O678" t="n">
        <v>0</v>
      </c>
      <c r="P678" t="n">
        <v>0</v>
      </c>
      <c r="Q678" t="n">
        <v>0</v>
      </c>
      <c r="R678" s="2" t="inlineStr"/>
    </row>
    <row r="679" ht="15" customHeight="1">
      <c r="A679" t="inlineStr">
        <is>
          <t>A 26207-2021</t>
        </is>
      </c>
      <c r="B679" s="1" t="n">
        <v>44347</v>
      </c>
      <c r="C679" s="1" t="n">
        <v>46053</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32981-2025</t>
        </is>
      </c>
      <c r="B680" s="1" t="n">
        <v>45839.86820601852</v>
      </c>
      <c r="C680" s="1" t="n">
        <v>46053</v>
      </c>
      <c r="D680" t="inlineStr">
        <is>
          <t>SKÅNE LÄN</t>
        </is>
      </c>
      <c r="E680" t="inlineStr">
        <is>
          <t>HÄSSLEHOLM</t>
        </is>
      </c>
      <c r="G680" t="n">
        <v>2.7</v>
      </c>
      <c r="H680" t="n">
        <v>0</v>
      </c>
      <c r="I680" t="n">
        <v>0</v>
      </c>
      <c r="J680" t="n">
        <v>0</v>
      </c>
      <c r="K680" t="n">
        <v>0</v>
      </c>
      <c r="L680" t="n">
        <v>0</v>
      </c>
      <c r="M680" t="n">
        <v>0</v>
      </c>
      <c r="N680" t="n">
        <v>0</v>
      </c>
      <c r="O680" t="n">
        <v>0</v>
      </c>
      <c r="P680" t="n">
        <v>0</v>
      </c>
      <c r="Q680" t="n">
        <v>0</v>
      </c>
      <c r="R680" s="2" t="inlineStr"/>
    </row>
    <row r="681" ht="15" customHeight="1">
      <c r="A681" t="inlineStr">
        <is>
          <t>A 18109-2025</t>
        </is>
      </c>
      <c r="B681" s="1" t="n">
        <v>45761</v>
      </c>
      <c r="C681" s="1" t="n">
        <v>46053</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16862-2025</t>
        </is>
      </c>
      <c r="B682" s="1" t="n">
        <v>45751</v>
      </c>
      <c r="C682" s="1" t="n">
        <v>46053</v>
      </c>
      <c r="D682" t="inlineStr">
        <is>
          <t>SKÅNE LÄN</t>
        </is>
      </c>
      <c r="E682" t="inlineStr">
        <is>
          <t>HÄSSLEHOLM</t>
        </is>
      </c>
      <c r="G682" t="n">
        <v>2.3</v>
      </c>
      <c r="H682" t="n">
        <v>0</v>
      </c>
      <c r="I682" t="n">
        <v>0</v>
      </c>
      <c r="J682" t="n">
        <v>0</v>
      </c>
      <c r="K682" t="n">
        <v>0</v>
      </c>
      <c r="L682" t="n">
        <v>0</v>
      </c>
      <c r="M682" t="n">
        <v>0</v>
      </c>
      <c r="N682" t="n">
        <v>0</v>
      </c>
      <c r="O682" t="n">
        <v>0</v>
      </c>
      <c r="P682" t="n">
        <v>0</v>
      </c>
      <c r="Q682" t="n">
        <v>0</v>
      </c>
      <c r="R682" s="2" t="inlineStr"/>
    </row>
    <row r="683" ht="15" customHeight="1">
      <c r="A683" t="inlineStr">
        <is>
          <t>A 6798-2025</t>
        </is>
      </c>
      <c r="B683" s="1" t="n">
        <v>45700.668125</v>
      </c>
      <c r="C683" s="1" t="n">
        <v>46053</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63476-2025</t>
        </is>
      </c>
      <c r="B684" s="1" t="n">
        <v>46013.44621527778</v>
      </c>
      <c r="C684" s="1" t="n">
        <v>46053</v>
      </c>
      <c r="D684" t="inlineStr">
        <is>
          <t>SKÅNE LÄN</t>
        </is>
      </c>
      <c r="E684" t="inlineStr">
        <is>
          <t>HÄSSLEHOLM</t>
        </is>
      </c>
      <c r="F684" t="inlineStr">
        <is>
          <t>Kommuner</t>
        </is>
      </c>
      <c r="G684" t="n">
        <v>0.6</v>
      </c>
      <c r="H684" t="n">
        <v>0</v>
      </c>
      <c r="I684" t="n">
        <v>0</v>
      </c>
      <c r="J684" t="n">
        <v>0</v>
      </c>
      <c r="K684" t="n">
        <v>0</v>
      </c>
      <c r="L684" t="n">
        <v>0</v>
      </c>
      <c r="M684" t="n">
        <v>0</v>
      </c>
      <c r="N684" t="n">
        <v>0</v>
      </c>
      <c r="O684" t="n">
        <v>0</v>
      </c>
      <c r="P684" t="n">
        <v>0</v>
      </c>
      <c r="Q684" t="n">
        <v>0</v>
      </c>
      <c r="R684" s="2" t="inlineStr"/>
    </row>
    <row r="685" ht="15" customHeight="1">
      <c r="A685" t="inlineStr">
        <is>
          <t>A 69357-2021</t>
        </is>
      </c>
      <c r="B685" s="1" t="n">
        <v>44531</v>
      </c>
      <c r="C685" s="1" t="n">
        <v>46053</v>
      </c>
      <c r="D685" t="inlineStr">
        <is>
          <t>SKÅNE LÄN</t>
        </is>
      </c>
      <c r="E685" t="inlineStr">
        <is>
          <t>HÄSSLEHOLM</t>
        </is>
      </c>
      <c r="G685" t="n">
        <v>1.6</v>
      </c>
      <c r="H685" t="n">
        <v>0</v>
      </c>
      <c r="I685" t="n">
        <v>0</v>
      </c>
      <c r="J685" t="n">
        <v>0</v>
      </c>
      <c r="K685" t="n">
        <v>0</v>
      </c>
      <c r="L685" t="n">
        <v>0</v>
      </c>
      <c r="M685" t="n">
        <v>0</v>
      </c>
      <c r="N685" t="n">
        <v>0</v>
      </c>
      <c r="O685" t="n">
        <v>0</v>
      </c>
      <c r="P685" t="n">
        <v>0</v>
      </c>
      <c r="Q685" t="n">
        <v>0</v>
      </c>
      <c r="R685" s="2" t="inlineStr"/>
    </row>
    <row r="686" ht="15" customHeight="1">
      <c r="A686" t="inlineStr">
        <is>
          <t>A 37898-2021</t>
        </is>
      </c>
      <c r="B686" s="1" t="n">
        <v>44403</v>
      </c>
      <c r="C686" s="1" t="n">
        <v>46053</v>
      </c>
      <c r="D686" t="inlineStr">
        <is>
          <t>SKÅNE LÄN</t>
        </is>
      </c>
      <c r="E686" t="inlineStr">
        <is>
          <t>HÄSSLEHOLM</t>
        </is>
      </c>
      <c r="F686" t="inlineStr">
        <is>
          <t>Kommuner</t>
        </is>
      </c>
      <c r="G686" t="n">
        <v>8.4</v>
      </c>
      <c r="H686" t="n">
        <v>0</v>
      </c>
      <c r="I686" t="n">
        <v>0</v>
      </c>
      <c r="J686" t="n">
        <v>0</v>
      </c>
      <c r="K686" t="n">
        <v>0</v>
      </c>
      <c r="L686" t="n">
        <v>0</v>
      </c>
      <c r="M686" t="n">
        <v>0</v>
      </c>
      <c r="N686" t="n">
        <v>0</v>
      </c>
      <c r="O686" t="n">
        <v>0</v>
      </c>
      <c r="P686" t="n">
        <v>0</v>
      </c>
      <c r="Q686" t="n">
        <v>0</v>
      </c>
      <c r="R686" s="2" t="inlineStr"/>
    </row>
    <row r="687" ht="15" customHeight="1">
      <c r="A687" t="inlineStr">
        <is>
          <t>A 35810-2023</t>
        </is>
      </c>
      <c r="B687" s="1" t="n">
        <v>45148.44046296296</v>
      </c>
      <c r="C687" s="1" t="n">
        <v>46053</v>
      </c>
      <c r="D687" t="inlineStr">
        <is>
          <t>SKÅNE LÄN</t>
        </is>
      </c>
      <c r="E687" t="inlineStr">
        <is>
          <t>HÄSSLEHOLM</t>
        </is>
      </c>
      <c r="G687" t="n">
        <v>1.2</v>
      </c>
      <c r="H687" t="n">
        <v>0</v>
      </c>
      <c r="I687" t="n">
        <v>0</v>
      </c>
      <c r="J687" t="n">
        <v>0</v>
      </c>
      <c r="K687" t="n">
        <v>0</v>
      </c>
      <c r="L687" t="n">
        <v>0</v>
      </c>
      <c r="M687" t="n">
        <v>0</v>
      </c>
      <c r="N687" t="n">
        <v>0</v>
      </c>
      <c r="O687" t="n">
        <v>0</v>
      </c>
      <c r="P687" t="n">
        <v>0</v>
      </c>
      <c r="Q687" t="n">
        <v>0</v>
      </c>
      <c r="R687" s="2" t="inlineStr"/>
    </row>
    <row r="688" ht="15" customHeight="1">
      <c r="A688" t="inlineStr">
        <is>
          <t>A 23172-2022</t>
        </is>
      </c>
      <c r="B688" s="1" t="n">
        <v>44719</v>
      </c>
      <c r="C688" s="1" t="n">
        <v>46053</v>
      </c>
      <c r="D688" t="inlineStr">
        <is>
          <t>SKÅNE LÄN</t>
        </is>
      </c>
      <c r="E688" t="inlineStr">
        <is>
          <t>HÄSSLEHOLM</t>
        </is>
      </c>
      <c r="F688" t="inlineStr">
        <is>
          <t>Övriga Aktiebolag</t>
        </is>
      </c>
      <c r="G688" t="n">
        <v>0.9</v>
      </c>
      <c r="H688" t="n">
        <v>0</v>
      </c>
      <c r="I688" t="n">
        <v>0</v>
      </c>
      <c r="J688" t="n">
        <v>0</v>
      </c>
      <c r="K688" t="n">
        <v>0</v>
      </c>
      <c r="L688" t="n">
        <v>0</v>
      </c>
      <c r="M688" t="n">
        <v>0</v>
      </c>
      <c r="N688" t="n">
        <v>0</v>
      </c>
      <c r="O688" t="n">
        <v>0</v>
      </c>
      <c r="P688" t="n">
        <v>0</v>
      </c>
      <c r="Q688" t="n">
        <v>0</v>
      </c>
      <c r="R688" s="2" t="inlineStr"/>
    </row>
    <row r="689" ht="15" customHeight="1">
      <c r="A689" t="inlineStr">
        <is>
          <t>A 23173-2022</t>
        </is>
      </c>
      <c r="B689" s="1" t="n">
        <v>44719.72155092593</v>
      </c>
      <c r="C689" s="1" t="n">
        <v>46053</v>
      </c>
      <c r="D689" t="inlineStr">
        <is>
          <t>SKÅNE LÄN</t>
        </is>
      </c>
      <c r="E689" t="inlineStr">
        <is>
          <t>HÄSSLEHOLM</t>
        </is>
      </c>
      <c r="F689" t="inlineStr">
        <is>
          <t>Övriga Aktiebolag</t>
        </is>
      </c>
      <c r="G689" t="n">
        <v>0.9</v>
      </c>
      <c r="H689" t="n">
        <v>0</v>
      </c>
      <c r="I689" t="n">
        <v>0</v>
      </c>
      <c r="J689" t="n">
        <v>0</v>
      </c>
      <c r="K689" t="n">
        <v>0</v>
      </c>
      <c r="L689" t="n">
        <v>0</v>
      </c>
      <c r="M689" t="n">
        <v>0</v>
      </c>
      <c r="N689" t="n">
        <v>0</v>
      </c>
      <c r="O689" t="n">
        <v>0</v>
      </c>
      <c r="P689" t="n">
        <v>0</v>
      </c>
      <c r="Q689" t="n">
        <v>0</v>
      </c>
      <c r="R689" s="2" t="inlineStr"/>
    </row>
    <row r="690" ht="15" customHeight="1">
      <c r="A690" t="inlineStr">
        <is>
          <t>A 52608-2023</t>
        </is>
      </c>
      <c r="B690" s="1" t="n">
        <v>45219</v>
      </c>
      <c r="C690" s="1" t="n">
        <v>46053</v>
      </c>
      <c r="D690" t="inlineStr">
        <is>
          <t>SKÅNE LÄN</t>
        </is>
      </c>
      <c r="E690" t="inlineStr">
        <is>
          <t>HÄSSLEHOLM</t>
        </is>
      </c>
      <c r="F690" t="inlineStr">
        <is>
          <t>Övriga Aktiebolag</t>
        </is>
      </c>
      <c r="G690" t="n">
        <v>2.1</v>
      </c>
      <c r="H690" t="n">
        <v>0</v>
      </c>
      <c r="I690" t="n">
        <v>0</v>
      </c>
      <c r="J690" t="n">
        <v>0</v>
      </c>
      <c r="K690" t="n">
        <v>0</v>
      </c>
      <c r="L690" t="n">
        <v>0</v>
      </c>
      <c r="M690" t="n">
        <v>0</v>
      </c>
      <c r="N690" t="n">
        <v>0</v>
      </c>
      <c r="O690" t="n">
        <v>0</v>
      </c>
      <c r="P690" t="n">
        <v>0</v>
      </c>
      <c r="Q690" t="n">
        <v>0</v>
      </c>
      <c r="R690" s="2" t="inlineStr"/>
    </row>
    <row r="691" ht="15" customHeight="1">
      <c r="A691" t="inlineStr">
        <is>
          <t>A 8239-2025</t>
        </is>
      </c>
      <c r="B691" s="1" t="n">
        <v>45708.47984953703</v>
      </c>
      <c r="C691" s="1" t="n">
        <v>46053</v>
      </c>
      <c r="D691" t="inlineStr">
        <is>
          <t>SKÅNE LÄN</t>
        </is>
      </c>
      <c r="E691" t="inlineStr">
        <is>
          <t>HÄSSLEHOLM</t>
        </is>
      </c>
      <c r="G691" t="n">
        <v>2.7</v>
      </c>
      <c r="H691" t="n">
        <v>0</v>
      </c>
      <c r="I691" t="n">
        <v>0</v>
      </c>
      <c r="J691" t="n">
        <v>0</v>
      </c>
      <c r="K691" t="n">
        <v>0</v>
      </c>
      <c r="L691" t="n">
        <v>0</v>
      </c>
      <c r="M691" t="n">
        <v>0</v>
      </c>
      <c r="N691" t="n">
        <v>0</v>
      </c>
      <c r="O691" t="n">
        <v>0</v>
      </c>
      <c r="P691" t="n">
        <v>0</v>
      </c>
      <c r="Q691" t="n">
        <v>0</v>
      </c>
      <c r="R691" s="2" t="inlineStr"/>
    </row>
    <row r="692" ht="15" customHeight="1">
      <c r="A692" t="inlineStr">
        <is>
          <t>A 56355-2023</t>
        </is>
      </c>
      <c r="B692" s="1" t="n">
        <v>45243.3702662037</v>
      </c>
      <c r="C692" s="1" t="n">
        <v>46053</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9394-2025</t>
        </is>
      </c>
      <c r="B693" s="1" t="n">
        <v>45715.36387731481</v>
      </c>
      <c r="C693" s="1" t="n">
        <v>46053</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7305-2025</t>
        </is>
      </c>
      <c r="B694" s="1" t="n">
        <v>45702</v>
      </c>
      <c r="C694" s="1" t="n">
        <v>46053</v>
      </c>
      <c r="D694" t="inlineStr">
        <is>
          <t>SKÅNE LÄN</t>
        </is>
      </c>
      <c r="E694" t="inlineStr">
        <is>
          <t>HÄSSLEHOLM</t>
        </is>
      </c>
      <c r="F694" t="inlineStr">
        <is>
          <t>Övriga Aktiebolag</t>
        </is>
      </c>
      <c r="G694" t="n">
        <v>2.2</v>
      </c>
      <c r="H694" t="n">
        <v>0</v>
      </c>
      <c r="I694" t="n">
        <v>0</v>
      </c>
      <c r="J694" t="n">
        <v>0</v>
      </c>
      <c r="K694" t="n">
        <v>0</v>
      </c>
      <c r="L694" t="n">
        <v>0</v>
      </c>
      <c r="M694" t="n">
        <v>0</v>
      </c>
      <c r="N694" t="n">
        <v>0</v>
      </c>
      <c r="O694" t="n">
        <v>0</v>
      </c>
      <c r="P694" t="n">
        <v>0</v>
      </c>
      <c r="Q694" t="n">
        <v>0</v>
      </c>
      <c r="R694" s="2" t="inlineStr"/>
    </row>
    <row r="695" ht="15" customHeight="1">
      <c r="A695" t="inlineStr">
        <is>
          <t>A 52341-2023</t>
        </is>
      </c>
      <c r="B695" s="1" t="n">
        <v>45224.67006944444</v>
      </c>
      <c r="C695" s="1" t="n">
        <v>46053</v>
      </c>
      <c r="D695" t="inlineStr">
        <is>
          <t>SKÅNE LÄN</t>
        </is>
      </c>
      <c r="E695" t="inlineStr">
        <is>
          <t>HÄSSLEHOLM</t>
        </is>
      </c>
      <c r="G695" t="n">
        <v>0.6</v>
      </c>
      <c r="H695" t="n">
        <v>0</v>
      </c>
      <c r="I695" t="n">
        <v>0</v>
      </c>
      <c r="J695" t="n">
        <v>0</v>
      </c>
      <c r="K695" t="n">
        <v>0</v>
      </c>
      <c r="L695" t="n">
        <v>0</v>
      </c>
      <c r="M695" t="n">
        <v>0</v>
      </c>
      <c r="N695" t="n">
        <v>0</v>
      </c>
      <c r="O695" t="n">
        <v>0</v>
      </c>
      <c r="P695" t="n">
        <v>0</v>
      </c>
      <c r="Q695" t="n">
        <v>0</v>
      </c>
      <c r="R695" s="2" t="inlineStr"/>
    </row>
    <row r="696" ht="15" customHeight="1">
      <c r="A696" t="inlineStr">
        <is>
          <t>A 27173-2024</t>
        </is>
      </c>
      <c r="B696" s="1" t="n">
        <v>45471.57048611111</v>
      </c>
      <c r="C696" s="1" t="n">
        <v>46053</v>
      </c>
      <c r="D696" t="inlineStr">
        <is>
          <t>SKÅNE LÄN</t>
        </is>
      </c>
      <c r="E696" t="inlineStr">
        <is>
          <t>HÄSSLEHOLM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1557-2023</t>
        </is>
      </c>
      <c r="B697" s="1" t="n">
        <v>44937</v>
      </c>
      <c r="C697" s="1" t="n">
        <v>46053</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56794-2025</t>
        </is>
      </c>
      <c r="B698" s="1" t="n">
        <v>45978.43039351852</v>
      </c>
      <c r="C698" s="1" t="n">
        <v>46053</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15800-2025</t>
        </is>
      </c>
      <c r="B699" s="1" t="n">
        <v>45748.64831018518</v>
      </c>
      <c r="C699" s="1" t="n">
        <v>46053</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40780-2022</t>
        </is>
      </c>
      <c r="B700" s="1" t="n">
        <v>44820</v>
      </c>
      <c r="C700" s="1" t="n">
        <v>46053</v>
      </c>
      <c r="D700" t="inlineStr">
        <is>
          <t>SKÅNE LÄN</t>
        </is>
      </c>
      <c r="E700" t="inlineStr">
        <is>
          <t>HÄSSLEHOLM</t>
        </is>
      </c>
      <c r="G700" t="n">
        <v>7.4</v>
      </c>
      <c r="H700" t="n">
        <v>0</v>
      </c>
      <c r="I700" t="n">
        <v>0</v>
      </c>
      <c r="J700" t="n">
        <v>0</v>
      </c>
      <c r="K700" t="n">
        <v>0</v>
      </c>
      <c r="L700" t="n">
        <v>0</v>
      </c>
      <c r="M700" t="n">
        <v>0</v>
      </c>
      <c r="N700" t="n">
        <v>0</v>
      </c>
      <c r="O700" t="n">
        <v>0</v>
      </c>
      <c r="P700" t="n">
        <v>0</v>
      </c>
      <c r="Q700" t="n">
        <v>0</v>
      </c>
      <c r="R700" s="2" t="inlineStr"/>
    </row>
    <row r="701" ht="15" customHeight="1">
      <c r="A701" t="inlineStr">
        <is>
          <t>A 51245-2023</t>
        </is>
      </c>
      <c r="B701" s="1" t="n">
        <v>45212</v>
      </c>
      <c r="C701" s="1" t="n">
        <v>46053</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56667-2025</t>
        </is>
      </c>
      <c r="B702" s="1" t="n">
        <v>45975.68508101852</v>
      </c>
      <c r="C702" s="1" t="n">
        <v>46053</v>
      </c>
      <c r="D702" t="inlineStr">
        <is>
          <t>SKÅNE LÄN</t>
        </is>
      </c>
      <c r="E702" t="inlineStr">
        <is>
          <t>HÄSSLEHOLM</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56767-2025</t>
        </is>
      </c>
      <c r="B703" s="1" t="n">
        <v>45978.38178240741</v>
      </c>
      <c r="C703" s="1" t="n">
        <v>46053</v>
      </c>
      <c r="D703" t="inlineStr">
        <is>
          <t>SKÅNE LÄN</t>
        </is>
      </c>
      <c r="E703" t="inlineStr">
        <is>
          <t>HÄSSLEHOLM</t>
        </is>
      </c>
      <c r="G703" t="n">
        <v>1.7</v>
      </c>
      <c r="H703" t="n">
        <v>0</v>
      </c>
      <c r="I703" t="n">
        <v>0</v>
      </c>
      <c r="J703" t="n">
        <v>0</v>
      </c>
      <c r="K703" t="n">
        <v>0</v>
      </c>
      <c r="L703" t="n">
        <v>0</v>
      </c>
      <c r="M703" t="n">
        <v>0</v>
      </c>
      <c r="N703" t="n">
        <v>0</v>
      </c>
      <c r="O703" t="n">
        <v>0</v>
      </c>
      <c r="P703" t="n">
        <v>0</v>
      </c>
      <c r="Q703" t="n">
        <v>0</v>
      </c>
      <c r="R703" s="2" t="inlineStr"/>
    </row>
    <row r="704" ht="15" customHeight="1">
      <c r="A704" t="inlineStr">
        <is>
          <t>A 56769-2025</t>
        </is>
      </c>
      <c r="B704" s="1" t="n">
        <v>45978.38429398148</v>
      </c>
      <c r="C704" s="1" t="n">
        <v>46053</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56798-2025</t>
        </is>
      </c>
      <c r="B705" s="1" t="n">
        <v>45978.43378472222</v>
      </c>
      <c r="C705" s="1" t="n">
        <v>46053</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56797-2025</t>
        </is>
      </c>
      <c r="B706" s="1" t="n">
        <v>45978.43273148148</v>
      </c>
      <c r="C706" s="1" t="n">
        <v>46053</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48747-2022</t>
        </is>
      </c>
      <c r="B707" s="1" t="n">
        <v>44859</v>
      </c>
      <c r="C707" s="1" t="n">
        <v>46053</v>
      </c>
      <c r="D707" t="inlineStr">
        <is>
          <t>SKÅNE LÄN</t>
        </is>
      </c>
      <c r="E707" t="inlineStr">
        <is>
          <t>HÄSSLEHOLM</t>
        </is>
      </c>
      <c r="G707" t="n">
        <v>1.9</v>
      </c>
      <c r="H707" t="n">
        <v>0</v>
      </c>
      <c r="I707" t="n">
        <v>0</v>
      </c>
      <c r="J707" t="n">
        <v>0</v>
      </c>
      <c r="K707" t="n">
        <v>0</v>
      </c>
      <c r="L707" t="n">
        <v>0</v>
      </c>
      <c r="M707" t="n">
        <v>0</v>
      </c>
      <c r="N707" t="n">
        <v>0</v>
      </c>
      <c r="O707" t="n">
        <v>0</v>
      </c>
      <c r="P707" t="n">
        <v>0</v>
      </c>
      <c r="Q707" t="n">
        <v>0</v>
      </c>
      <c r="R707" s="2" t="inlineStr"/>
    </row>
    <row r="708" ht="15" customHeight="1">
      <c r="A708" t="inlineStr">
        <is>
          <t>A 7153-2025</t>
        </is>
      </c>
      <c r="B708" s="1" t="n">
        <v>45702.38512731482</v>
      </c>
      <c r="C708" s="1" t="n">
        <v>46053</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30092-2025</t>
        </is>
      </c>
      <c r="B709" s="1" t="n">
        <v>45826</v>
      </c>
      <c r="C709" s="1" t="n">
        <v>46053</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30109-2025</t>
        </is>
      </c>
      <c r="B710" s="1" t="n">
        <v>45826</v>
      </c>
      <c r="C710" s="1" t="n">
        <v>46053</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55569-2025</t>
        </is>
      </c>
      <c r="B711" s="1" t="n">
        <v>45971</v>
      </c>
      <c r="C711" s="1" t="n">
        <v>46053</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7581-2023</t>
        </is>
      </c>
      <c r="B712" s="1" t="n">
        <v>44972.39556712963</v>
      </c>
      <c r="C712" s="1" t="n">
        <v>46053</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21141-2024</t>
        </is>
      </c>
      <c r="B713" s="1" t="n">
        <v>45440.39012731481</v>
      </c>
      <c r="C713" s="1" t="n">
        <v>46053</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11603-2025</t>
        </is>
      </c>
      <c r="B714" s="1" t="n">
        <v>45727</v>
      </c>
      <c r="C714" s="1" t="n">
        <v>46053</v>
      </c>
      <c r="D714" t="inlineStr">
        <is>
          <t>SKÅNE LÄN</t>
        </is>
      </c>
      <c r="E714" t="inlineStr">
        <is>
          <t>HÄSSLEHOLM</t>
        </is>
      </c>
      <c r="G714" t="n">
        <v>5.6</v>
      </c>
      <c r="H714" t="n">
        <v>0</v>
      </c>
      <c r="I714" t="n">
        <v>0</v>
      </c>
      <c r="J714" t="n">
        <v>0</v>
      </c>
      <c r="K714" t="n">
        <v>0</v>
      </c>
      <c r="L714" t="n">
        <v>0</v>
      </c>
      <c r="M714" t="n">
        <v>0</v>
      </c>
      <c r="N714" t="n">
        <v>0</v>
      </c>
      <c r="O714" t="n">
        <v>0</v>
      </c>
      <c r="P714" t="n">
        <v>0</v>
      </c>
      <c r="Q714" t="n">
        <v>0</v>
      </c>
      <c r="R714" s="2" t="inlineStr"/>
    </row>
    <row r="715" ht="15" customHeight="1">
      <c r="A715" t="inlineStr">
        <is>
          <t>A 13712-2025</t>
        </is>
      </c>
      <c r="B715" s="1" t="n">
        <v>45737</v>
      </c>
      <c r="C715" s="1" t="n">
        <v>46053</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46288-2023</t>
        </is>
      </c>
      <c r="B716" s="1" t="n">
        <v>45197.30221064815</v>
      </c>
      <c r="C716" s="1" t="n">
        <v>46053</v>
      </c>
      <c r="D716" t="inlineStr">
        <is>
          <t>SKÅNE LÄN</t>
        </is>
      </c>
      <c r="E716" t="inlineStr">
        <is>
          <t>HÄSSLEHOLM</t>
        </is>
      </c>
      <c r="G716" t="n">
        <v>3</v>
      </c>
      <c r="H716" t="n">
        <v>0</v>
      </c>
      <c r="I716" t="n">
        <v>0</v>
      </c>
      <c r="J716" t="n">
        <v>0</v>
      </c>
      <c r="K716" t="n">
        <v>0</v>
      </c>
      <c r="L716" t="n">
        <v>0</v>
      </c>
      <c r="M716" t="n">
        <v>0</v>
      </c>
      <c r="N716" t="n">
        <v>0</v>
      </c>
      <c r="O716" t="n">
        <v>0</v>
      </c>
      <c r="P716" t="n">
        <v>0</v>
      </c>
      <c r="Q716" t="n">
        <v>0</v>
      </c>
      <c r="R716" s="2" t="inlineStr"/>
    </row>
    <row r="717" ht="15" customHeight="1">
      <c r="A717" t="inlineStr">
        <is>
          <t>A 57967-2023</t>
        </is>
      </c>
      <c r="B717" s="1" t="n">
        <v>45247.57984953704</v>
      </c>
      <c r="C717" s="1" t="n">
        <v>46053</v>
      </c>
      <c r="D717" t="inlineStr">
        <is>
          <t>SKÅNE LÄN</t>
        </is>
      </c>
      <c r="E717" t="inlineStr">
        <is>
          <t>HÄSSLEHOLM</t>
        </is>
      </c>
      <c r="G717" t="n">
        <v>8.6</v>
      </c>
      <c r="H717" t="n">
        <v>0</v>
      </c>
      <c r="I717" t="n">
        <v>0</v>
      </c>
      <c r="J717" t="n">
        <v>0</v>
      </c>
      <c r="K717" t="n">
        <v>0</v>
      </c>
      <c r="L717" t="n">
        <v>0</v>
      </c>
      <c r="M717" t="n">
        <v>0</v>
      </c>
      <c r="N717" t="n">
        <v>0</v>
      </c>
      <c r="O717" t="n">
        <v>0</v>
      </c>
      <c r="P717" t="n">
        <v>0</v>
      </c>
      <c r="Q717" t="n">
        <v>0</v>
      </c>
      <c r="R717" s="2" t="inlineStr"/>
    </row>
    <row r="718" ht="15" customHeight="1">
      <c r="A718" t="inlineStr">
        <is>
          <t>A 57817-2025</t>
        </is>
      </c>
      <c r="B718" s="1" t="n">
        <v>45981.59475694445</v>
      </c>
      <c r="C718" s="1" t="n">
        <v>46053</v>
      </c>
      <c r="D718" t="inlineStr">
        <is>
          <t>SKÅNE LÄN</t>
        </is>
      </c>
      <c r="E718" t="inlineStr">
        <is>
          <t>HÄSSLEHOLM</t>
        </is>
      </c>
      <c r="G718" t="n">
        <v>3.8</v>
      </c>
      <c r="H718" t="n">
        <v>0</v>
      </c>
      <c r="I718" t="n">
        <v>0</v>
      </c>
      <c r="J718" t="n">
        <v>0</v>
      </c>
      <c r="K718" t="n">
        <v>0</v>
      </c>
      <c r="L718" t="n">
        <v>0</v>
      </c>
      <c r="M718" t="n">
        <v>0</v>
      </c>
      <c r="N718" t="n">
        <v>0</v>
      </c>
      <c r="O718" t="n">
        <v>0</v>
      </c>
      <c r="P718" t="n">
        <v>0</v>
      </c>
      <c r="Q718" t="n">
        <v>0</v>
      </c>
      <c r="R718" s="2" t="inlineStr"/>
    </row>
    <row r="719" ht="15" customHeight="1">
      <c r="A719" t="inlineStr">
        <is>
          <t>A 19744-2023</t>
        </is>
      </c>
      <c r="B719" s="1" t="n">
        <v>45051</v>
      </c>
      <c r="C719" s="1" t="n">
        <v>46053</v>
      </c>
      <c r="D719" t="inlineStr">
        <is>
          <t>SKÅNE LÄN</t>
        </is>
      </c>
      <c r="E719" t="inlineStr">
        <is>
          <t>HÄSSLEHOLM</t>
        </is>
      </c>
      <c r="G719" t="n">
        <v>0.4</v>
      </c>
      <c r="H719" t="n">
        <v>0</v>
      </c>
      <c r="I719" t="n">
        <v>0</v>
      </c>
      <c r="J719" t="n">
        <v>0</v>
      </c>
      <c r="K719" t="n">
        <v>0</v>
      </c>
      <c r="L719" t="n">
        <v>0</v>
      </c>
      <c r="M719" t="n">
        <v>0</v>
      </c>
      <c r="N719" t="n">
        <v>0</v>
      </c>
      <c r="O719" t="n">
        <v>0</v>
      </c>
      <c r="P719" t="n">
        <v>0</v>
      </c>
      <c r="Q719" t="n">
        <v>0</v>
      </c>
      <c r="R719" s="2" t="inlineStr"/>
    </row>
    <row r="720" ht="15" customHeight="1">
      <c r="A720" t="inlineStr">
        <is>
          <t>A 15990-2023</t>
        </is>
      </c>
      <c r="B720" s="1" t="n">
        <v>45023.39584490741</v>
      </c>
      <c r="C720" s="1" t="n">
        <v>46053</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47907-2021</t>
        </is>
      </c>
      <c r="B721" s="1" t="n">
        <v>44448</v>
      </c>
      <c r="C721" s="1" t="n">
        <v>46053</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7513-2025</t>
        </is>
      </c>
      <c r="B722" s="1" t="n">
        <v>45702</v>
      </c>
      <c r="C722" s="1" t="n">
        <v>46053</v>
      </c>
      <c r="D722" t="inlineStr">
        <is>
          <t>SKÅNE LÄN</t>
        </is>
      </c>
      <c r="E722" t="inlineStr">
        <is>
          <t>HÄSSLEHOLM</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45400-2022</t>
        </is>
      </c>
      <c r="B723" s="1" t="n">
        <v>44844.713125</v>
      </c>
      <c r="C723" s="1" t="n">
        <v>46053</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54874-2022</t>
        </is>
      </c>
      <c r="B724" s="1" t="n">
        <v>44881</v>
      </c>
      <c r="C724" s="1" t="n">
        <v>46053</v>
      </c>
      <c r="D724" t="inlineStr">
        <is>
          <t>SKÅNE LÄN</t>
        </is>
      </c>
      <c r="E724" t="inlineStr">
        <is>
          <t>HÄSSLEHOLM</t>
        </is>
      </c>
      <c r="G724" t="n">
        <v>8.1</v>
      </c>
      <c r="H724" t="n">
        <v>0</v>
      </c>
      <c r="I724" t="n">
        <v>0</v>
      </c>
      <c r="J724" t="n">
        <v>0</v>
      </c>
      <c r="K724" t="n">
        <v>0</v>
      </c>
      <c r="L724" t="n">
        <v>0</v>
      </c>
      <c r="M724" t="n">
        <v>0</v>
      </c>
      <c r="N724" t="n">
        <v>0</v>
      </c>
      <c r="O724" t="n">
        <v>0</v>
      </c>
      <c r="P724" t="n">
        <v>0</v>
      </c>
      <c r="Q724" t="n">
        <v>0</v>
      </c>
      <c r="R724" s="2" t="inlineStr"/>
    </row>
    <row r="725" ht="15" customHeight="1">
      <c r="A725" t="inlineStr">
        <is>
          <t>A 1706-2025</t>
        </is>
      </c>
      <c r="B725" s="1" t="n">
        <v>45670</v>
      </c>
      <c r="C725" s="1" t="n">
        <v>46053</v>
      </c>
      <c r="D725" t="inlineStr">
        <is>
          <t>SKÅNE LÄN</t>
        </is>
      </c>
      <c r="E725" t="inlineStr">
        <is>
          <t>HÄSSLEHOLM</t>
        </is>
      </c>
      <c r="G725" t="n">
        <v>5</v>
      </c>
      <c r="H725" t="n">
        <v>0</v>
      </c>
      <c r="I725" t="n">
        <v>0</v>
      </c>
      <c r="J725" t="n">
        <v>0</v>
      </c>
      <c r="K725" t="n">
        <v>0</v>
      </c>
      <c r="L725" t="n">
        <v>0</v>
      </c>
      <c r="M725" t="n">
        <v>0</v>
      </c>
      <c r="N725" t="n">
        <v>0</v>
      </c>
      <c r="O725" t="n">
        <v>0</v>
      </c>
      <c r="P725" t="n">
        <v>0</v>
      </c>
      <c r="Q725" t="n">
        <v>0</v>
      </c>
      <c r="R725" s="2" t="inlineStr"/>
    </row>
    <row r="726" ht="15" customHeight="1">
      <c r="A726" t="inlineStr">
        <is>
          <t>A 61625-2022</t>
        </is>
      </c>
      <c r="B726" s="1" t="n">
        <v>44916</v>
      </c>
      <c r="C726" s="1" t="n">
        <v>46053</v>
      </c>
      <c r="D726" t="inlineStr">
        <is>
          <t>SKÅNE LÄN</t>
        </is>
      </c>
      <c r="E726" t="inlineStr">
        <is>
          <t>HÄSSLEHOLM</t>
        </is>
      </c>
      <c r="G726" t="n">
        <v>2.4</v>
      </c>
      <c r="H726" t="n">
        <v>0</v>
      </c>
      <c r="I726" t="n">
        <v>0</v>
      </c>
      <c r="J726" t="n">
        <v>0</v>
      </c>
      <c r="K726" t="n">
        <v>0</v>
      </c>
      <c r="L726" t="n">
        <v>0</v>
      </c>
      <c r="M726" t="n">
        <v>0</v>
      </c>
      <c r="N726" t="n">
        <v>0</v>
      </c>
      <c r="O726" t="n">
        <v>0</v>
      </c>
      <c r="P726" t="n">
        <v>0</v>
      </c>
      <c r="Q726" t="n">
        <v>0</v>
      </c>
      <c r="R726" s="2" t="inlineStr"/>
    </row>
    <row r="727" ht="15" customHeight="1">
      <c r="A727" t="inlineStr">
        <is>
          <t>A 58241-2025</t>
        </is>
      </c>
      <c r="B727" s="1" t="n">
        <v>45985.38797453704</v>
      </c>
      <c r="C727" s="1" t="n">
        <v>46053</v>
      </c>
      <c r="D727" t="inlineStr">
        <is>
          <t>SKÅNE LÄN</t>
        </is>
      </c>
      <c r="E727" t="inlineStr">
        <is>
          <t>HÄSSLEHOLM</t>
        </is>
      </c>
      <c r="G727" t="n">
        <v>3.6</v>
      </c>
      <c r="H727" t="n">
        <v>0</v>
      </c>
      <c r="I727" t="n">
        <v>0</v>
      </c>
      <c r="J727" t="n">
        <v>0</v>
      </c>
      <c r="K727" t="n">
        <v>0</v>
      </c>
      <c r="L727" t="n">
        <v>0</v>
      </c>
      <c r="M727" t="n">
        <v>0</v>
      </c>
      <c r="N727" t="n">
        <v>0</v>
      </c>
      <c r="O727" t="n">
        <v>0</v>
      </c>
      <c r="P727" t="n">
        <v>0</v>
      </c>
      <c r="Q727" t="n">
        <v>0</v>
      </c>
      <c r="R727" s="2" t="inlineStr"/>
    </row>
    <row r="728" ht="15" customHeight="1">
      <c r="A728" t="inlineStr">
        <is>
          <t>A 31268-2024</t>
        </is>
      </c>
      <c r="B728" s="1" t="n">
        <v>45504</v>
      </c>
      <c r="C728" s="1" t="n">
        <v>46053</v>
      </c>
      <c r="D728" t="inlineStr">
        <is>
          <t>SKÅNE LÄN</t>
        </is>
      </c>
      <c r="E728" t="inlineStr">
        <is>
          <t>HÄSSLEHOLM</t>
        </is>
      </c>
      <c r="G728" t="n">
        <v>1.5</v>
      </c>
      <c r="H728" t="n">
        <v>0</v>
      </c>
      <c r="I728" t="n">
        <v>0</v>
      </c>
      <c r="J728" t="n">
        <v>0</v>
      </c>
      <c r="K728" t="n">
        <v>0</v>
      </c>
      <c r="L728" t="n">
        <v>0</v>
      </c>
      <c r="M728" t="n">
        <v>0</v>
      </c>
      <c r="N728" t="n">
        <v>0</v>
      </c>
      <c r="O728" t="n">
        <v>0</v>
      </c>
      <c r="P728" t="n">
        <v>0</v>
      </c>
      <c r="Q728" t="n">
        <v>0</v>
      </c>
      <c r="R728" s="2" t="inlineStr"/>
    </row>
    <row r="729" ht="15" customHeight="1">
      <c r="A729" t="inlineStr">
        <is>
          <t>A 11753-2025</t>
        </is>
      </c>
      <c r="B729" s="1" t="n">
        <v>45727</v>
      </c>
      <c r="C729" s="1" t="n">
        <v>46053</v>
      </c>
      <c r="D729" t="inlineStr">
        <is>
          <t>SKÅNE LÄN</t>
        </is>
      </c>
      <c r="E729" t="inlineStr">
        <is>
          <t>HÄSSLEHOLM</t>
        </is>
      </c>
      <c r="G729" t="n">
        <v>2.7</v>
      </c>
      <c r="H729" t="n">
        <v>0</v>
      </c>
      <c r="I729" t="n">
        <v>0</v>
      </c>
      <c r="J729" t="n">
        <v>0</v>
      </c>
      <c r="K729" t="n">
        <v>0</v>
      </c>
      <c r="L729" t="n">
        <v>0</v>
      </c>
      <c r="M729" t="n">
        <v>0</v>
      </c>
      <c r="N729" t="n">
        <v>0</v>
      </c>
      <c r="O729" t="n">
        <v>0</v>
      </c>
      <c r="P729" t="n">
        <v>0</v>
      </c>
      <c r="Q729" t="n">
        <v>0</v>
      </c>
      <c r="R729" s="2" t="inlineStr"/>
    </row>
    <row r="730" ht="15" customHeight="1">
      <c r="A730" t="inlineStr">
        <is>
          <t>A 13856-2025</t>
        </is>
      </c>
      <c r="B730" s="1" t="n">
        <v>45737.57289351852</v>
      </c>
      <c r="C730" s="1" t="n">
        <v>46053</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36568-2024</t>
        </is>
      </c>
      <c r="B731" s="1" t="n">
        <v>45537</v>
      </c>
      <c r="C731" s="1" t="n">
        <v>46053</v>
      </c>
      <c r="D731" t="inlineStr">
        <is>
          <t>SKÅNE LÄN</t>
        </is>
      </c>
      <c r="E731" t="inlineStr">
        <is>
          <t>HÄSSLEHOLM</t>
        </is>
      </c>
      <c r="G731" t="n">
        <v>4.3</v>
      </c>
      <c r="H731" t="n">
        <v>0</v>
      </c>
      <c r="I731" t="n">
        <v>0</v>
      </c>
      <c r="J731" t="n">
        <v>0</v>
      </c>
      <c r="K731" t="n">
        <v>0</v>
      </c>
      <c r="L731" t="n">
        <v>0</v>
      </c>
      <c r="M731" t="n">
        <v>0</v>
      </c>
      <c r="N731" t="n">
        <v>0</v>
      </c>
      <c r="O731" t="n">
        <v>0</v>
      </c>
      <c r="P731" t="n">
        <v>0</v>
      </c>
      <c r="Q731" t="n">
        <v>0</v>
      </c>
      <c r="R731" s="2" t="inlineStr"/>
    </row>
    <row r="732" ht="15" customHeight="1">
      <c r="A732" t="inlineStr">
        <is>
          <t>A 32794-2021</t>
        </is>
      </c>
      <c r="B732" s="1" t="n">
        <v>44375</v>
      </c>
      <c r="C732" s="1" t="n">
        <v>46053</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13961-2023</t>
        </is>
      </c>
      <c r="B733" s="1" t="n">
        <v>45008</v>
      </c>
      <c r="C733" s="1" t="n">
        <v>46053</v>
      </c>
      <c r="D733" t="inlineStr">
        <is>
          <t>SKÅNE LÄN</t>
        </is>
      </c>
      <c r="E733" t="inlineStr">
        <is>
          <t>HÄSSLEHOLM</t>
        </is>
      </c>
      <c r="G733" t="n">
        <v>3.8</v>
      </c>
      <c r="H733" t="n">
        <v>0</v>
      </c>
      <c r="I733" t="n">
        <v>0</v>
      </c>
      <c r="J733" t="n">
        <v>0</v>
      </c>
      <c r="K733" t="n">
        <v>0</v>
      </c>
      <c r="L733" t="n">
        <v>0</v>
      </c>
      <c r="M733" t="n">
        <v>0</v>
      </c>
      <c r="N733" t="n">
        <v>0</v>
      </c>
      <c r="O733" t="n">
        <v>0</v>
      </c>
      <c r="P733" t="n">
        <v>0</v>
      </c>
      <c r="Q733" t="n">
        <v>0</v>
      </c>
      <c r="R733" s="2" t="inlineStr"/>
    </row>
    <row r="734" ht="15" customHeight="1">
      <c r="A734" t="inlineStr">
        <is>
          <t>A 931-2026</t>
        </is>
      </c>
      <c r="B734" s="1" t="n">
        <v>46030.51495370371</v>
      </c>
      <c r="C734" s="1" t="n">
        <v>46053</v>
      </c>
      <c r="D734" t="inlineStr">
        <is>
          <t>SKÅNE LÄN</t>
        </is>
      </c>
      <c r="E734" t="inlineStr">
        <is>
          <t>HÄSSLEHOLM</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3855-2023</t>
        </is>
      </c>
      <c r="B735" s="1" t="n">
        <v>44951.69708333333</v>
      </c>
      <c r="C735" s="1" t="n">
        <v>46053</v>
      </c>
      <c r="D735" t="inlineStr">
        <is>
          <t>SKÅNE LÄN</t>
        </is>
      </c>
      <c r="E735" t="inlineStr">
        <is>
          <t>HÄSSLEHOLM</t>
        </is>
      </c>
      <c r="G735" t="n">
        <v>2.3</v>
      </c>
      <c r="H735" t="n">
        <v>0</v>
      </c>
      <c r="I735" t="n">
        <v>0</v>
      </c>
      <c r="J735" t="n">
        <v>0</v>
      </c>
      <c r="K735" t="n">
        <v>0</v>
      </c>
      <c r="L735" t="n">
        <v>0</v>
      </c>
      <c r="M735" t="n">
        <v>0</v>
      </c>
      <c r="N735" t="n">
        <v>0</v>
      </c>
      <c r="O735" t="n">
        <v>0</v>
      </c>
      <c r="P735" t="n">
        <v>0</v>
      </c>
      <c r="Q735" t="n">
        <v>0</v>
      </c>
      <c r="R735" s="2" t="inlineStr"/>
    </row>
    <row r="736" ht="15" customHeight="1">
      <c r="A736" t="inlineStr">
        <is>
          <t>A 34301-2024</t>
        </is>
      </c>
      <c r="B736" s="1" t="n">
        <v>45524</v>
      </c>
      <c r="C736" s="1" t="n">
        <v>46053</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15060-2023</t>
        </is>
      </c>
      <c r="B737" s="1" t="n">
        <v>45015.69832175926</v>
      </c>
      <c r="C737" s="1" t="n">
        <v>46053</v>
      </c>
      <c r="D737" t="inlineStr">
        <is>
          <t>SKÅNE LÄN</t>
        </is>
      </c>
      <c r="E737" t="inlineStr">
        <is>
          <t>HÄSSLEHOLM</t>
        </is>
      </c>
      <c r="G737" t="n">
        <v>1.7</v>
      </c>
      <c r="H737" t="n">
        <v>0</v>
      </c>
      <c r="I737" t="n">
        <v>0</v>
      </c>
      <c r="J737" t="n">
        <v>0</v>
      </c>
      <c r="K737" t="n">
        <v>0</v>
      </c>
      <c r="L737" t="n">
        <v>0</v>
      </c>
      <c r="M737" t="n">
        <v>0</v>
      </c>
      <c r="N737" t="n">
        <v>0</v>
      </c>
      <c r="O737" t="n">
        <v>0</v>
      </c>
      <c r="P737" t="n">
        <v>0</v>
      </c>
      <c r="Q737" t="n">
        <v>0</v>
      </c>
      <c r="R737" s="2" t="inlineStr"/>
    </row>
    <row r="738" ht="15" customHeight="1">
      <c r="A738" t="inlineStr">
        <is>
          <t>A 54171-2021</t>
        </is>
      </c>
      <c r="B738" s="1" t="n">
        <v>44470</v>
      </c>
      <c r="C738" s="1" t="n">
        <v>46053</v>
      </c>
      <c r="D738" t="inlineStr">
        <is>
          <t>SKÅNE LÄN</t>
        </is>
      </c>
      <c r="E738" t="inlineStr">
        <is>
          <t>HÄSSLEHOLM</t>
        </is>
      </c>
      <c r="G738" t="n">
        <v>1</v>
      </c>
      <c r="H738" t="n">
        <v>0</v>
      </c>
      <c r="I738" t="n">
        <v>0</v>
      </c>
      <c r="J738" t="n">
        <v>0</v>
      </c>
      <c r="K738" t="n">
        <v>0</v>
      </c>
      <c r="L738" t="n">
        <v>0</v>
      </c>
      <c r="M738" t="n">
        <v>0</v>
      </c>
      <c r="N738" t="n">
        <v>0</v>
      </c>
      <c r="O738" t="n">
        <v>0</v>
      </c>
      <c r="P738" t="n">
        <v>0</v>
      </c>
      <c r="Q738" t="n">
        <v>0</v>
      </c>
      <c r="R738" s="2" t="inlineStr"/>
    </row>
    <row r="739" ht="15" customHeight="1">
      <c r="A739" t="inlineStr">
        <is>
          <t>A 58933-2025</t>
        </is>
      </c>
      <c r="B739" s="1" t="n">
        <v>45987.56107638889</v>
      </c>
      <c r="C739" s="1" t="n">
        <v>46053</v>
      </c>
      <c r="D739" t="inlineStr">
        <is>
          <t>SKÅNE LÄN</t>
        </is>
      </c>
      <c r="E739" t="inlineStr">
        <is>
          <t>HÄSSLEHOLM</t>
        </is>
      </c>
      <c r="G739" t="n">
        <v>2.3</v>
      </c>
      <c r="H739" t="n">
        <v>0</v>
      </c>
      <c r="I739" t="n">
        <v>0</v>
      </c>
      <c r="J739" t="n">
        <v>0</v>
      </c>
      <c r="K739" t="n">
        <v>0</v>
      </c>
      <c r="L739" t="n">
        <v>0</v>
      </c>
      <c r="M739" t="n">
        <v>0</v>
      </c>
      <c r="N739" t="n">
        <v>0</v>
      </c>
      <c r="O739" t="n">
        <v>0</v>
      </c>
      <c r="P739" t="n">
        <v>0</v>
      </c>
      <c r="Q739" t="n">
        <v>0</v>
      </c>
      <c r="R739" s="2" t="inlineStr"/>
    </row>
    <row r="740" ht="15" customHeight="1">
      <c r="A740" t="inlineStr">
        <is>
          <t>A 13347-2025</t>
        </is>
      </c>
      <c r="B740" s="1" t="n">
        <v>45735.63175925926</v>
      </c>
      <c r="C740" s="1" t="n">
        <v>46053</v>
      </c>
      <c r="D740" t="inlineStr">
        <is>
          <t>SKÅNE LÄN</t>
        </is>
      </c>
      <c r="E740" t="inlineStr">
        <is>
          <t>HÄSSLEHOLM</t>
        </is>
      </c>
      <c r="G740" t="n">
        <v>0.7</v>
      </c>
      <c r="H740" t="n">
        <v>0</v>
      </c>
      <c r="I740" t="n">
        <v>0</v>
      </c>
      <c r="J740" t="n">
        <v>0</v>
      </c>
      <c r="K740" t="n">
        <v>0</v>
      </c>
      <c r="L740" t="n">
        <v>0</v>
      </c>
      <c r="M740" t="n">
        <v>0</v>
      </c>
      <c r="N740" t="n">
        <v>0</v>
      </c>
      <c r="O740" t="n">
        <v>0</v>
      </c>
      <c r="P740" t="n">
        <v>0</v>
      </c>
      <c r="Q740" t="n">
        <v>0</v>
      </c>
      <c r="R740" s="2" t="inlineStr"/>
    </row>
    <row r="741" ht="15" customHeight="1">
      <c r="A741" t="inlineStr">
        <is>
          <t>A 11260-2021</t>
        </is>
      </c>
      <c r="B741" s="1" t="n">
        <v>44263</v>
      </c>
      <c r="C741" s="1" t="n">
        <v>46053</v>
      </c>
      <c r="D741" t="inlineStr">
        <is>
          <t>SKÅNE LÄN</t>
        </is>
      </c>
      <c r="E741" t="inlineStr">
        <is>
          <t>HÄSSLEHOLM</t>
        </is>
      </c>
      <c r="G741" t="n">
        <v>5.4</v>
      </c>
      <c r="H741" t="n">
        <v>0</v>
      </c>
      <c r="I741" t="n">
        <v>0</v>
      </c>
      <c r="J741" t="n">
        <v>0</v>
      </c>
      <c r="K741" t="n">
        <v>0</v>
      </c>
      <c r="L741" t="n">
        <v>0</v>
      </c>
      <c r="M741" t="n">
        <v>0</v>
      </c>
      <c r="N741" t="n">
        <v>0</v>
      </c>
      <c r="O741" t="n">
        <v>0</v>
      </c>
      <c r="P741" t="n">
        <v>0</v>
      </c>
      <c r="Q741" t="n">
        <v>0</v>
      </c>
      <c r="R741" s="2" t="inlineStr"/>
    </row>
    <row r="742" ht="15" customHeight="1">
      <c r="A742" t="inlineStr">
        <is>
          <t>A 13198-2025</t>
        </is>
      </c>
      <c r="B742" s="1" t="n">
        <v>45735</v>
      </c>
      <c r="C742" s="1" t="n">
        <v>46053</v>
      </c>
      <c r="D742" t="inlineStr">
        <is>
          <t>SKÅNE LÄN</t>
        </is>
      </c>
      <c r="E742" t="inlineStr">
        <is>
          <t>HÄSSLEHOLM</t>
        </is>
      </c>
      <c r="G742" t="n">
        <v>0.7</v>
      </c>
      <c r="H742" t="n">
        <v>0</v>
      </c>
      <c r="I742" t="n">
        <v>0</v>
      </c>
      <c r="J742" t="n">
        <v>0</v>
      </c>
      <c r="K742" t="n">
        <v>0</v>
      </c>
      <c r="L742" t="n">
        <v>0</v>
      </c>
      <c r="M742" t="n">
        <v>0</v>
      </c>
      <c r="N742" t="n">
        <v>0</v>
      </c>
      <c r="O742" t="n">
        <v>0</v>
      </c>
      <c r="P742" t="n">
        <v>0</v>
      </c>
      <c r="Q742" t="n">
        <v>0</v>
      </c>
      <c r="R742" s="2" t="inlineStr"/>
    </row>
    <row r="743" ht="15" customHeight="1">
      <c r="A743" t="inlineStr">
        <is>
          <t>A 3135-2023</t>
        </is>
      </c>
      <c r="B743" s="1" t="n">
        <v>44946.51672453704</v>
      </c>
      <c r="C743" s="1" t="n">
        <v>46053</v>
      </c>
      <c r="D743" t="inlineStr">
        <is>
          <t>SKÅNE LÄN</t>
        </is>
      </c>
      <c r="E743" t="inlineStr">
        <is>
          <t>HÄSSLEHOLM</t>
        </is>
      </c>
      <c r="G743" t="n">
        <v>7.2</v>
      </c>
      <c r="H743" t="n">
        <v>0</v>
      </c>
      <c r="I743" t="n">
        <v>0</v>
      </c>
      <c r="J743" t="n">
        <v>0</v>
      </c>
      <c r="K743" t="n">
        <v>0</v>
      </c>
      <c r="L743" t="n">
        <v>0</v>
      </c>
      <c r="M743" t="n">
        <v>0</v>
      </c>
      <c r="N743" t="n">
        <v>0</v>
      </c>
      <c r="O743" t="n">
        <v>0</v>
      </c>
      <c r="P743" t="n">
        <v>0</v>
      </c>
      <c r="Q743" t="n">
        <v>0</v>
      </c>
      <c r="R743" s="2" t="inlineStr"/>
    </row>
    <row r="744" ht="15" customHeight="1">
      <c r="A744" t="inlineStr">
        <is>
          <t>A 59429-2023</t>
        </is>
      </c>
      <c r="B744" s="1" t="n">
        <v>45254.2875</v>
      </c>
      <c r="C744" s="1" t="n">
        <v>46053</v>
      </c>
      <c r="D744" t="inlineStr">
        <is>
          <t>SKÅNE LÄN</t>
        </is>
      </c>
      <c r="E744" t="inlineStr">
        <is>
          <t>HÄSSLEHOLM</t>
        </is>
      </c>
      <c r="G744" t="n">
        <v>0</v>
      </c>
      <c r="H744" t="n">
        <v>0</v>
      </c>
      <c r="I744" t="n">
        <v>0</v>
      </c>
      <c r="J744" t="n">
        <v>0</v>
      </c>
      <c r="K744" t="n">
        <v>0</v>
      </c>
      <c r="L744" t="n">
        <v>0</v>
      </c>
      <c r="M744" t="n">
        <v>0</v>
      </c>
      <c r="N744" t="n">
        <v>0</v>
      </c>
      <c r="O744" t="n">
        <v>0</v>
      </c>
      <c r="P744" t="n">
        <v>0</v>
      </c>
      <c r="Q744" t="n">
        <v>0</v>
      </c>
      <c r="R744" s="2" t="inlineStr"/>
    </row>
    <row r="745" ht="15" customHeight="1">
      <c r="A745" t="inlineStr">
        <is>
          <t>A 706-2026</t>
        </is>
      </c>
      <c r="B745" s="1" t="n">
        <v>46029.61739583333</v>
      </c>
      <c r="C745" s="1" t="n">
        <v>46053</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40202-2022</t>
        </is>
      </c>
      <c r="B746" s="1" t="n">
        <v>44820.60614583334</v>
      </c>
      <c r="C746" s="1" t="n">
        <v>46053</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54326-2022</t>
        </is>
      </c>
      <c r="B747" s="1" t="n">
        <v>44882.42965277778</v>
      </c>
      <c r="C747" s="1" t="n">
        <v>46053</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1645-2026</t>
        </is>
      </c>
      <c r="B748" s="1" t="n">
        <v>46034.5069212963</v>
      </c>
      <c r="C748" s="1" t="n">
        <v>46053</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41998-2021</t>
        </is>
      </c>
      <c r="B749" s="1" t="n">
        <v>44425</v>
      </c>
      <c r="C749" s="1" t="n">
        <v>46053</v>
      </c>
      <c r="D749" t="inlineStr">
        <is>
          <t>SKÅNE LÄN</t>
        </is>
      </c>
      <c r="E749" t="inlineStr">
        <is>
          <t>HÄSSLEHOLM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53055-2021</t>
        </is>
      </c>
      <c r="B750" s="1" t="n">
        <v>44467</v>
      </c>
      <c r="C750" s="1" t="n">
        <v>46053</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61524-2022</t>
        </is>
      </c>
      <c r="B751" s="1" t="n">
        <v>44910</v>
      </c>
      <c r="C751" s="1" t="n">
        <v>46053</v>
      </c>
      <c r="D751" t="inlineStr">
        <is>
          <t>SKÅNE LÄN</t>
        </is>
      </c>
      <c r="E751" t="inlineStr">
        <is>
          <t>HÄSSLEHOLM</t>
        </is>
      </c>
      <c r="F751" t="inlineStr">
        <is>
          <t>Kyrkan</t>
        </is>
      </c>
      <c r="G751" t="n">
        <v>2.1</v>
      </c>
      <c r="H751" t="n">
        <v>0</v>
      </c>
      <c r="I751" t="n">
        <v>0</v>
      </c>
      <c r="J751" t="n">
        <v>0</v>
      </c>
      <c r="K751" t="n">
        <v>0</v>
      </c>
      <c r="L751" t="n">
        <v>0</v>
      </c>
      <c r="M751" t="n">
        <v>0</v>
      </c>
      <c r="N751" t="n">
        <v>0</v>
      </c>
      <c r="O751" t="n">
        <v>0</v>
      </c>
      <c r="P751" t="n">
        <v>0</v>
      </c>
      <c r="Q751" t="n">
        <v>0</v>
      </c>
      <c r="R751" s="2" t="inlineStr"/>
    </row>
    <row r="752" ht="15" customHeight="1">
      <c r="A752" t="inlineStr">
        <is>
          <t>A 61533-2022</t>
        </is>
      </c>
      <c r="B752" s="1" t="n">
        <v>44910</v>
      </c>
      <c r="C752" s="1" t="n">
        <v>46053</v>
      </c>
      <c r="D752" t="inlineStr">
        <is>
          <t>SKÅNE LÄN</t>
        </is>
      </c>
      <c r="E752" t="inlineStr">
        <is>
          <t>HÄSSLEHOLM</t>
        </is>
      </c>
      <c r="F752" t="inlineStr">
        <is>
          <t>Kyrkan</t>
        </is>
      </c>
      <c r="G752" t="n">
        <v>1</v>
      </c>
      <c r="H752" t="n">
        <v>0</v>
      </c>
      <c r="I752" t="n">
        <v>0</v>
      </c>
      <c r="J752" t="n">
        <v>0</v>
      </c>
      <c r="K752" t="n">
        <v>0</v>
      </c>
      <c r="L752" t="n">
        <v>0</v>
      </c>
      <c r="M752" t="n">
        <v>0</v>
      </c>
      <c r="N752" t="n">
        <v>0</v>
      </c>
      <c r="O752" t="n">
        <v>0</v>
      </c>
      <c r="P752" t="n">
        <v>0</v>
      </c>
      <c r="Q752" t="n">
        <v>0</v>
      </c>
      <c r="R752" s="2" t="inlineStr"/>
    </row>
    <row r="753" ht="15" customHeight="1">
      <c r="A753" t="inlineStr">
        <is>
          <t>A 8619-2023</t>
        </is>
      </c>
      <c r="B753" s="1" t="n">
        <v>44977.81979166667</v>
      </c>
      <c r="C753" s="1" t="n">
        <v>46053</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49219-2021</t>
        </is>
      </c>
      <c r="B754" s="1" t="n">
        <v>44454</v>
      </c>
      <c r="C754" s="1" t="n">
        <v>46053</v>
      </c>
      <c r="D754" t="inlineStr">
        <is>
          <t>SKÅNE LÄN</t>
        </is>
      </c>
      <c r="E754" t="inlineStr">
        <is>
          <t>HÄSSLEHOLM</t>
        </is>
      </c>
      <c r="G754" t="n">
        <v>7.8</v>
      </c>
      <c r="H754" t="n">
        <v>0</v>
      </c>
      <c r="I754" t="n">
        <v>0</v>
      </c>
      <c r="J754" t="n">
        <v>0</v>
      </c>
      <c r="K754" t="n">
        <v>0</v>
      </c>
      <c r="L754" t="n">
        <v>0</v>
      </c>
      <c r="M754" t="n">
        <v>0</v>
      </c>
      <c r="N754" t="n">
        <v>0</v>
      </c>
      <c r="O754" t="n">
        <v>0</v>
      </c>
      <c r="P754" t="n">
        <v>0</v>
      </c>
      <c r="Q754" t="n">
        <v>0</v>
      </c>
      <c r="R754" s="2" t="inlineStr"/>
    </row>
    <row r="755" ht="15" customHeight="1">
      <c r="A755" t="inlineStr">
        <is>
          <t>A 46000-2021</t>
        </is>
      </c>
      <c r="B755" s="1" t="n">
        <v>44441</v>
      </c>
      <c r="C755" s="1" t="n">
        <v>46053</v>
      </c>
      <c r="D755" t="inlineStr">
        <is>
          <t>SKÅNE LÄN</t>
        </is>
      </c>
      <c r="E755" t="inlineStr">
        <is>
          <t>HÄSSLEHOLM</t>
        </is>
      </c>
      <c r="G755" t="n">
        <v>1.6</v>
      </c>
      <c r="H755" t="n">
        <v>0</v>
      </c>
      <c r="I755" t="n">
        <v>0</v>
      </c>
      <c r="J755" t="n">
        <v>0</v>
      </c>
      <c r="K755" t="n">
        <v>0</v>
      </c>
      <c r="L755" t="n">
        <v>0</v>
      </c>
      <c r="M755" t="n">
        <v>0</v>
      </c>
      <c r="N755" t="n">
        <v>0</v>
      </c>
      <c r="O755" t="n">
        <v>0</v>
      </c>
      <c r="P755" t="n">
        <v>0</v>
      </c>
      <c r="Q755" t="n">
        <v>0</v>
      </c>
      <c r="R755" s="2" t="inlineStr"/>
    </row>
    <row r="756" ht="15" customHeight="1">
      <c r="A756" t="inlineStr">
        <is>
          <t>A 62171-2022</t>
        </is>
      </c>
      <c r="B756" s="1" t="n">
        <v>44915</v>
      </c>
      <c r="C756" s="1" t="n">
        <v>46053</v>
      </c>
      <c r="D756" t="inlineStr">
        <is>
          <t>SKÅNE LÄN</t>
        </is>
      </c>
      <c r="E756" t="inlineStr">
        <is>
          <t>HÄSSLEHOLM</t>
        </is>
      </c>
      <c r="F756" t="inlineStr">
        <is>
          <t>Kyrkan</t>
        </is>
      </c>
      <c r="G756" t="n">
        <v>9</v>
      </c>
      <c r="H756" t="n">
        <v>0</v>
      </c>
      <c r="I756" t="n">
        <v>0</v>
      </c>
      <c r="J756" t="n">
        <v>0</v>
      </c>
      <c r="K756" t="n">
        <v>0</v>
      </c>
      <c r="L756" t="n">
        <v>0</v>
      </c>
      <c r="M756" t="n">
        <v>0</v>
      </c>
      <c r="N756" t="n">
        <v>0</v>
      </c>
      <c r="O756" t="n">
        <v>0</v>
      </c>
      <c r="P756" t="n">
        <v>0</v>
      </c>
      <c r="Q756" t="n">
        <v>0</v>
      </c>
      <c r="R756" s="2" t="inlineStr"/>
    </row>
    <row r="757" ht="15" customHeight="1">
      <c r="A757" t="inlineStr">
        <is>
          <t>A 32100-2024</t>
        </is>
      </c>
      <c r="B757" s="1" t="n">
        <v>45511.41451388889</v>
      </c>
      <c r="C757" s="1" t="n">
        <v>46053</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33481-2024</t>
        </is>
      </c>
      <c r="B758" s="1" t="n">
        <v>45519</v>
      </c>
      <c r="C758" s="1" t="n">
        <v>46053</v>
      </c>
      <c r="D758" t="inlineStr">
        <is>
          <t>SKÅNE LÄN</t>
        </is>
      </c>
      <c r="E758" t="inlineStr">
        <is>
          <t>HÄSSLEHOLM</t>
        </is>
      </c>
      <c r="G758" t="n">
        <v>3</v>
      </c>
      <c r="H758" t="n">
        <v>0</v>
      </c>
      <c r="I758" t="n">
        <v>0</v>
      </c>
      <c r="J758" t="n">
        <v>0</v>
      </c>
      <c r="K758" t="n">
        <v>0</v>
      </c>
      <c r="L758" t="n">
        <v>0</v>
      </c>
      <c r="M758" t="n">
        <v>0</v>
      </c>
      <c r="N758" t="n">
        <v>0</v>
      </c>
      <c r="O758" t="n">
        <v>0</v>
      </c>
      <c r="P758" t="n">
        <v>0</v>
      </c>
      <c r="Q758" t="n">
        <v>0</v>
      </c>
      <c r="R758" s="2" t="inlineStr"/>
    </row>
    <row r="759" ht="15" customHeight="1">
      <c r="A759" t="inlineStr">
        <is>
          <t>A 48807-2021</t>
        </is>
      </c>
      <c r="B759" s="1" t="n">
        <v>44452</v>
      </c>
      <c r="C759" s="1" t="n">
        <v>46053</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54176-2022</t>
        </is>
      </c>
      <c r="B760" s="1" t="n">
        <v>44881</v>
      </c>
      <c r="C760" s="1" t="n">
        <v>46053</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16614-2025</t>
        </is>
      </c>
      <c r="B761" s="1" t="n">
        <v>45754.283125</v>
      </c>
      <c r="C761" s="1" t="n">
        <v>46053</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1659-2026</t>
        </is>
      </c>
      <c r="B762" s="1" t="n">
        <v>46034.55335648148</v>
      </c>
      <c r="C762" s="1" t="n">
        <v>46053</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23723-2023</t>
        </is>
      </c>
      <c r="B763" s="1" t="n">
        <v>45077</v>
      </c>
      <c r="C763" s="1" t="n">
        <v>46053</v>
      </c>
      <c r="D763" t="inlineStr">
        <is>
          <t>SKÅNE LÄN</t>
        </is>
      </c>
      <c r="E763" t="inlineStr">
        <is>
          <t>HÄSSLEHOLM</t>
        </is>
      </c>
      <c r="G763" t="n">
        <v>3.9</v>
      </c>
      <c r="H763" t="n">
        <v>0</v>
      </c>
      <c r="I763" t="n">
        <v>0</v>
      </c>
      <c r="J763" t="n">
        <v>0</v>
      </c>
      <c r="K763" t="n">
        <v>0</v>
      </c>
      <c r="L763" t="n">
        <v>0</v>
      </c>
      <c r="M763" t="n">
        <v>0</v>
      </c>
      <c r="N763" t="n">
        <v>0</v>
      </c>
      <c r="O763" t="n">
        <v>0</v>
      </c>
      <c r="P763" t="n">
        <v>0</v>
      </c>
      <c r="Q763" t="n">
        <v>0</v>
      </c>
      <c r="R763" s="2" t="inlineStr"/>
    </row>
    <row r="764" ht="15" customHeight="1">
      <c r="A764" t="inlineStr">
        <is>
          <t>A 4945-2022</t>
        </is>
      </c>
      <c r="B764" s="1" t="n">
        <v>44593</v>
      </c>
      <c r="C764" s="1" t="n">
        <v>46053</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47248-2023</t>
        </is>
      </c>
      <c r="B765" s="1" t="n">
        <v>45202</v>
      </c>
      <c r="C765" s="1" t="n">
        <v>46053</v>
      </c>
      <c r="D765" t="inlineStr">
        <is>
          <t>SKÅNE LÄN</t>
        </is>
      </c>
      <c r="E765" t="inlineStr">
        <is>
          <t>HÄSSLEHOLM</t>
        </is>
      </c>
      <c r="G765" t="n">
        <v>1.5</v>
      </c>
      <c r="H765" t="n">
        <v>0</v>
      </c>
      <c r="I765" t="n">
        <v>0</v>
      </c>
      <c r="J765" t="n">
        <v>0</v>
      </c>
      <c r="K765" t="n">
        <v>0</v>
      </c>
      <c r="L765" t="n">
        <v>0</v>
      </c>
      <c r="M765" t="n">
        <v>0</v>
      </c>
      <c r="N765" t="n">
        <v>0</v>
      </c>
      <c r="O765" t="n">
        <v>0</v>
      </c>
      <c r="P765" t="n">
        <v>0</v>
      </c>
      <c r="Q765" t="n">
        <v>0</v>
      </c>
      <c r="R765" s="2" t="inlineStr"/>
    </row>
    <row r="766" ht="15" customHeight="1">
      <c r="A766" t="inlineStr">
        <is>
          <t>A 1640-2026</t>
        </is>
      </c>
      <c r="B766" s="1" t="n">
        <v>46034.4961574074</v>
      </c>
      <c r="C766" s="1" t="n">
        <v>46053</v>
      </c>
      <c r="D766" t="inlineStr">
        <is>
          <t>SKÅNE LÄN</t>
        </is>
      </c>
      <c r="E766" t="inlineStr">
        <is>
          <t>HÄSSLEHOLM</t>
        </is>
      </c>
      <c r="G766" t="n">
        <v>1.7</v>
      </c>
      <c r="H766" t="n">
        <v>0</v>
      </c>
      <c r="I766" t="n">
        <v>0</v>
      </c>
      <c r="J766" t="n">
        <v>0</v>
      </c>
      <c r="K766" t="n">
        <v>0</v>
      </c>
      <c r="L766" t="n">
        <v>0</v>
      </c>
      <c r="M766" t="n">
        <v>0</v>
      </c>
      <c r="N766" t="n">
        <v>0</v>
      </c>
      <c r="O766" t="n">
        <v>0</v>
      </c>
      <c r="P766" t="n">
        <v>0</v>
      </c>
      <c r="Q766" t="n">
        <v>0</v>
      </c>
      <c r="R766" s="2" t="inlineStr"/>
    </row>
    <row r="767" ht="15" customHeight="1">
      <c r="A767" t="inlineStr">
        <is>
          <t>A 38306-2022</t>
        </is>
      </c>
      <c r="B767" s="1" t="n">
        <v>44812.57515046297</v>
      </c>
      <c r="C767" s="1" t="n">
        <v>46053</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1616-2025</t>
        </is>
      </c>
      <c r="B768" s="1" t="n">
        <v>45670</v>
      </c>
      <c r="C768" s="1" t="n">
        <v>46053</v>
      </c>
      <c r="D768" t="inlineStr">
        <is>
          <t>SKÅNE LÄN</t>
        </is>
      </c>
      <c r="E768" t="inlineStr">
        <is>
          <t>HÄSSLEHOLM</t>
        </is>
      </c>
      <c r="G768" t="n">
        <v>3.6</v>
      </c>
      <c r="H768" t="n">
        <v>0</v>
      </c>
      <c r="I768" t="n">
        <v>0</v>
      </c>
      <c r="J768" t="n">
        <v>0</v>
      </c>
      <c r="K768" t="n">
        <v>0</v>
      </c>
      <c r="L768" t="n">
        <v>0</v>
      </c>
      <c r="M768" t="n">
        <v>0</v>
      </c>
      <c r="N768" t="n">
        <v>0</v>
      </c>
      <c r="O768" t="n">
        <v>0</v>
      </c>
      <c r="P768" t="n">
        <v>0</v>
      </c>
      <c r="Q768" t="n">
        <v>0</v>
      </c>
      <c r="R768" s="2" t="inlineStr"/>
    </row>
    <row r="769" ht="15" customHeight="1">
      <c r="A769" t="inlineStr">
        <is>
          <t>A 32154-2024</t>
        </is>
      </c>
      <c r="B769" s="1" t="n">
        <v>45511</v>
      </c>
      <c r="C769" s="1" t="n">
        <v>46053</v>
      </c>
      <c r="D769" t="inlineStr">
        <is>
          <t>SKÅNE LÄN</t>
        </is>
      </c>
      <c r="E769" t="inlineStr">
        <is>
          <t>HÄSSLEHOLM</t>
        </is>
      </c>
      <c r="G769" t="n">
        <v>6.4</v>
      </c>
      <c r="H769" t="n">
        <v>0</v>
      </c>
      <c r="I769" t="n">
        <v>0</v>
      </c>
      <c r="J769" t="n">
        <v>0</v>
      </c>
      <c r="K769" t="n">
        <v>0</v>
      </c>
      <c r="L769" t="n">
        <v>0</v>
      </c>
      <c r="M769" t="n">
        <v>0</v>
      </c>
      <c r="N769" t="n">
        <v>0</v>
      </c>
      <c r="O769" t="n">
        <v>0</v>
      </c>
      <c r="P769" t="n">
        <v>0</v>
      </c>
      <c r="Q769" t="n">
        <v>0</v>
      </c>
      <c r="R769" s="2" t="inlineStr"/>
    </row>
    <row r="770" ht="15" customHeight="1">
      <c r="A770" t="inlineStr">
        <is>
          <t>A 59722-2025</t>
        </is>
      </c>
      <c r="B770" s="1" t="n">
        <v>45992.5474537037</v>
      </c>
      <c r="C770" s="1" t="n">
        <v>46053</v>
      </c>
      <c r="D770" t="inlineStr">
        <is>
          <t>SKÅNE LÄN</t>
        </is>
      </c>
      <c r="E770" t="inlineStr">
        <is>
          <t>HÄSSLEHOLM</t>
        </is>
      </c>
      <c r="G770" t="n">
        <v>1.6</v>
      </c>
      <c r="H770" t="n">
        <v>0</v>
      </c>
      <c r="I770" t="n">
        <v>0</v>
      </c>
      <c r="J770" t="n">
        <v>0</v>
      </c>
      <c r="K770" t="n">
        <v>0</v>
      </c>
      <c r="L770" t="n">
        <v>0</v>
      </c>
      <c r="M770" t="n">
        <v>0</v>
      </c>
      <c r="N770" t="n">
        <v>0</v>
      </c>
      <c r="O770" t="n">
        <v>0</v>
      </c>
      <c r="P770" t="n">
        <v>0</v>
      </c>
      <c r="Q770" t="n">
        <v>0</v>
      </c>
      <c r="R770" s="2" t="inlineStr"/>
    </row>
    <row r="771" ht="15" customHeight="1">
      <c r="A771" t="inlineStr">
        <is>
          <t>A 35845-2022</t>
        </is>
      </c>
      <c r="B771" s="1" t="n">
        <v>44802</v>
      </c>
      <c r="C771" s="1" t="n">
        <v>46053</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12503-2022</t>
        </is>
      </c>
      <c r="B772" s="1" t="n">
        <v>44638</v>
      </c>
      <c r="C772" s="1" t="n">
        <v>46053</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1658-2026</t>
        </is>
      </c>
      <c r="B773" s="1" t="n">
        <v>46034.55091435185</v>
      </c>
      <c r="C773" s="1" t="n">
        <v>46053</v>
      </c>
      <c r="D773" t="inlineStr">
        <is>
          <t>SKÅNE LÄN</t>
        </is>
      </c>
      <c r="E773" t="inlineStr">
        <is>
          <t>HÄSSLEHOLM</t>
        </is>
      </c>
      <c r="G773" t="n">
        <v>2</v>
      </c>
      <c r="H773" t="n">
        <v>0</v>
      </c>
      <c r="I773" t="n">
        <v>0</v>
      </c>
      <c r="J773" t="n">
        <v>0</v>
      </c>
      <c r="K773" t="n">
        <v>0</v>
      </c>
      <c r="L773" t="n">
        <v>0</v>
      </c>
      <c r="M773" t="n">
        <v>0</v>
      </c>
      <c r="N773" t="n">
        <v>0</v>
      </c>
      <c r="O773" t="n">
        <v>0</v>
      </c>
      <c r="P773" t="n">
        <v>0</v>
      </c>
      <c r="Q773" t="n">
        <v>0</v>
      </c>
      <c r="R773" s="2" t="inlineStr"/>
    </row>
    <row r="774" ht="15" customHeight="1">
      <c r="A774" t="inlineStr">
        <is>
          <t>A 1656-2026</t>
        </is>
      </c>
      <c r="B774" s="1" t="n">
        <v>46034.54035879629</v>
      </c>
      <c r="C774" s="1" t="n">
        <v>46053</v>
      </c>
      <c r="D774" t="inlineStr">
        <is>
          <t>SKÅNE LÄN</t>
        </is>
      </c>
      <c r="E774" t="inlineStr">
        <is>
          <t>HÄSSLEHOLM</t>
        </is>
      </c>
      <c r="G774" t="n">
        <v>1.7</v>
      </c>
      <c r="H774" t="n">
        <v>0</v>
      </c>
      <c r="I774" t="n">
        <v>0</v>
      </c>
      <c r="J774" t="n">
        <v>0</v>
      </c>
      <c r="K774" t="n">
        <v>0</v>
      </c>
      <c r="L774" t="n">
        <v>0</v>
      </c>
      <c r="M774" t="n">
        <v>0</v>
      </c>
      <c r="N774" t="n">
        <v>0</v>
      </c>
      <c r="O774" t="n">
        <v>0</v>
      </c>
      <c r="P774" t="n">
        <v>0</v>
      </c>
      <c r="Q774" t="n">
        <v>0</v>
      </c>
      <c r="R774" s="2" t="inlineStr"/>
    </row>
    <row r="775" ht="15" customHeight="1">
      <c r="A775" t="inlineStr">
        <is>
          <t>A 23950-2023</t>
        </is>
      </c>
      <c r="B775" s="1" t="n">
        <v>45078.61771990741</v>
      </c>
      <c r="C775" s="1" t="n">
        <v>46053</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23952-2023</t>
        </is>
      </c>
      <c r="B776" s="1" t="n">
        <v>45078.62064814815</v>
      </c>
      <c r="C776" s="1" t="n">
        <v>46053</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2144-2023</t>
        </is>
      </c>
      <c r="B777" s="1" t="n">
        <v>44940.79054398148</v>
      </c>
      <c r="C777" s="1" t="n">
        <v>46053</v>
      </c>
      <c r="D777" t="inlineStr">
        <is>
          <t>SKÅNE LÄN</t>
        </is>
      </c>
      <c r="E777" t="inlineStr">
        <is>
          <t>HÄSSLEHOLM</t>
        </is>
      </c>
      <c r="G777" t="n">
        <v>0.7</v>
      </c>
      <c r="H777" t="n">
        <v>0</v>
      </c>
      <c r="I777" t="n">
        <v>0</v>
      </c>
      <c r="J777" t="n">
        <v>0</v>
      </c>
      <c r="K777" t="n">
        <v>0</v>
      </c>
      <c r="L777" t="n">
        <v>0</v>
      </c>
      <c r="M777" t="n">
        <v>0</v>
      </c>
      <c r="N777" t="n">
        <v>0</v>
      </c>
      <c r="O777" t="n">
        <v>0</v>
      </c>
      <c r="P777" t="n">
        <v>0</v>
      </c>
      <c r="Q777" t="n">
        <v>0</v>
      </c>
      <c r="R777" s="2" t="inlineStr"/>
    </row>
    <row r="778" ht="15" customHeight="1">
      <c r="A778" t="inlineStr">
        <is>
          <t>A 61680-2022</t>
        </is>
      </c>
      <c r="B778" s="1" t="n">
        <v>44917.36372685185</v>
      </c>
      <c r="C778" s="1" t="n">
        <v>46053</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16550-2025</t>
        </is>
      </c>
      <c r="B779" s="1" t="n">
        <v>45751.69412037037</v>
      </c>
      <c r="C779" s="1" t="n">
        <v>46053</v>
      </c>
      <c r="D779" t="inlineStr">
        <is>
          <t>SKÅNE LÄN</t>
        </is>
      </c>
      <c r="E779" t="inlineStr">
        <is>
          <t>HÄSSLEHOLM</t>
        </is>
      </c>
      <c r="G779" t="n">
        <v>0.7</v>
      </c>
      <c r="H779" t="n">
        <v>0</v>
      </c>
      <c r="I779" t="n">
        <v>0</v>
      </c>
      <c r="J779" t="n">
        <v>0</v>
      </c>
      <c r="K779" t="n">
        <v>0</v>
      </c>
      <c r="L779" t="n">
        <v>0</v>
      </c>
      <c r="M779" t="n">
        <v>0</v>
      </c>
      <c r="N779" t="n">
        <v>0</v>
      </c>
      <c r="O779" t="n">
        <v>0</v>
      </c>
      <c r="P779" t="n">
        <v>0</v>
      </c>
      <c r="Q779" t="n">
        <v>0</v>
      </c>
      <c r="R779" s="2" t="inlineStr"/>
    </row>
    <row r="780" ht="15" customHeight="1">
      <c r="A780" t="inlineStr">
        <is>
          <t>A 16285-2025</t>
        </is>
      </c>
      <c r="B780" s="1" t="n">
        <v>45751.30045138889</v>
      </c>
      <c r="C780" s="1" t="n">
        <v>46053</v>
      </c>
      <c r="D780" t="inlineStr">
        <is>
          <t>SKÅNE LÄN</t>
        </is>
      </c>
      <c r="E780" t="inlineStr">
        <is>
          <t>HÄSSLEHOLM</t>
        </is>
      </c>
      <c r="G780" t="n">
        <v>2</v>
      </c>
      <c r="H780" t="n">
        <v>0</v>
      </c>
      <c r="I780" t="n">
        <v>0</v>
      </c>
      <c r="J780" t="n">
        <v>0</v>
      </c>
      <c r="K780" t="n">
        <v>0</v>
      </c>
      <c r="L780" t="n">
        <v>0</v>
      </c>
      <c r="M780" t="n">
        <v>0</v>
      </c>
      <c r="N780" t="n">
        <v>0</v>
      </c>
      <c r="O780" t="n">
        <v>0</v>
      </c>
      <c r="P780" t="n">
        <v>0</v>
      </c>
      <c r="Q780" t="n">
        <v>0</v>
      </c>
      <c r="R780" s="2" t="inlineStr"/>
    </row>
    <row r="781" ht="15" customHeight="1">
      <c r="A781" t="inlineStr">
        <is>
          <t>A 5780-2024</t>
        </is>
      </c>
      <c r="B781" s="1" t="n">
        <v>45335.41983796296</v>
      </c>
      <c r="C781" s="1" t="n">
        <v>46053</v>
      </c>
      <c r="D781" t="inlineStr">
        <is>
          <t>SKÅNE LÄN</t>
        </is>
      </c>
      <c r="E781" t="inlineStr">
        <is>
          <t>HÄSSLEHOLM</t>
        </is>
      </c>
      <c r="G781" t="n">
        <v>2.5</v>
      </c>
      <c r="H781" t="n">
        <v>0</v>
      </c>
      <c r="I781" t="n">
        <v>0</v>
      </c>
      <c r="J781" t="n">
        <v>0</v>
      </c>
      <c r="K781" t="n">
        <v>0</v>
      </c>
      <c r="L781" t="n">
        <v>0</v>
      </c>
      <c r="M781" t="n">
        <v>0</v>
      </c>
      <c r="N781" t="n">
        <v>0</v>
      </c>
      <c r="O781" t="n">
        <v>0</v>
      </c>
      <c r="P781" t="n">
        <v>0</v>
      </c>
      <c r="Q781" t="n">
        <v>0</v>
      </c>
      <c r="R781" s="2" t="inlineStr"/>
    </row>
    <row r="782" ht="15" customHeight="1">
      <c r="A782" t="inlineStr">
        <is>
          <t>A 15897-2025</t>
        </is>
      </c>
      <c r="B782" s="1" t="n">
        <v>45749.41598379629</v>
      </c>
      <c r="C782" s="1" t="n">
        <v>46053</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61504-2022</t>
        </is>
      </c>
      <c r="B783" s="1" t="n">
        <v>44910</v>
      </c>
      <c r="C783" s="1" t="n">
        <v>46053</v>
      </c>
      <c r="D783" t="inlineStr">
        <is>
          <t>SKÅNE LÄN</t>
        </is>
      </c>
      <c r="E783" t="inlineStr">
        <is>
          <t>HÄSSLEHOLM</t>
        </is>
      </c>
      <c r="F783" t="inlineStr">
        <is>
          <t>Kyrkan</t>
        </is>
      </c>
      <c r="G783" t="n">
        <v>2.9</v>
      </c>
      <c r="H783" t="n">
        <v>0</v>
      </c>
      <c r="I783" t="n">
        <v>0</v>
      </c>
      <c r="J783" t="n">
        <v>0</v>
      </c>
      <c r="K783" t="n">
        <v>0</v>
      </c>
      <c r="L783" t="n">
        <v>0</v>
      </c>
      <c r="M783" t="n">
        <v>0</v>
      </c>
      <c r="N783" t="n">
        <v>0</v>
      </c>
      <c r="O783" t="n">
        <v>0</v>
      </c>
      <c r="P783" t="n">
        <v>0</v>
      </c>
      <c r="Q783" t="n">
        <v>0</v>
      </c>
      <c r="R783" s="2" t="inlineStr"/>
    </row>
    <row r="784" ht="15" customHeight="1">
      <c r="A784" t="inlineStr">
        <is>
          <t>A 29275-2023</t>
        </is>
      </c>
      <c r="B784" s="1" t="n">
        <v>45105</v>
      </c>
      <c r="C784" s="1" t="n">
        <v>46053</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27502-2023</t>
        </is>
      </c>
      <c r="B785" s="1" t="n">
        <v>45092</v>
      </c>
      <c r="C785" s="1" t="n">
        <v>46053</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54473-2023</t>
        </is>
      </c>
      <c r="B786" s="1" t="n">
        <v>45233</v>
      </c>
      <c r="C786" s="1" t="n">
        <v>46053</v>
      </c>
      <c r="D786" t="inlineStr">
        <is>
          <t>SKÅNE LÄN</t>
        </is>
      </c>
      <c r="E786" t="inlineStr">
        <is>
          <t>HÄSSLEHOLM</t>
        </is>
      </c>
      <c r="G786" t="n">
        <v>24.5</v>
      </c>
      <c r="H786" t="n">
        <v>0</v>
      </c>
      <c r="I786" t="n">
        <v>0</v>
      </c>
      <c r="J786" t="n">
        <v>0</v>
      </c>
      <c r="K786" t="n">
        <v>0</v>
      </c>
      <c r="L786" t="n">
        <v>0</v>
      </c>
      <c r="M786" t="n">
        <v>0</v>
      </c>
      <c r="N786" t="n">
        <v>0</v>
      </c>
      <c r="O786" t="n">
        <v>0</v>
      </c>
      <c r="P786" t="n">
        <v>0</v>
      </c>
      <c r="Q786" t="n">
        <v>0</v>
      </c>
      <c r="R786" s="2" t="inlineStr"/>
    </row>
    <row r="787" ht="15" customHeight="1">
      <c r="A787" t="inlineStr">
        <is>
          <t>A 26641-2023</t>
        </is>
      </c>
      <c r="B787" s="1" t="n">
        <v>45092.89619212963</v>
      </c>
      <c r="C787" s="1" t="n">
        <v>46053</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51752-2023</t>
        </is>
      </c>
      <c r="B788" s="1" t="n">
        <v>45222</v>
      </c>
      <c r="C788" s="1" t="n">
        <v>46053</v>
      </c>
      <c r="D788" t="inlineStr">
        <is>
          <t>SKÅNE LÄN</t>
        </is>
      </c>
      <c r="E788" t="inlineStr">
        <is>
          <t>HÄSSLEHOLM</t>
        </is>
      </c>
      <c r="G788" t="n">
        <v>1.8</v>
      </c>
      <c r="H788" t="n">
        <v>0</v>
      </c>
      <c r="I788" t="n">
        <v>0</v>
      </c>
      <c r="J788" t="n">
        <v>0</v>
      </c>
      <c r="K788" t="n">
        <v>0</v>
      </c>
      <c r="L788" t="n">
        <v>0</v>
      </c>
      <c r="M788" t="n">
        <v>0</v>
      </c>
      <c r="N788" t="n">
        <v>0</v>
      </c>
      <c r="O788" t="n">
        <v>0</v>
      </c>
      <c r="P788" t="n">
        <v>0</v>
      </c>
      <c r="Q788" t="n">
        <v>0</v>
      </c>
      <c r="R788" s="2" t="inlineStr"/>
    </row>
    <row r="789" ht="15" customHeight="1">
      <c r="A789" t="inlineStr">
        <is>
          <t>A 20800-2023</t>
        </is>
      </c>
      <c r="B789" s="1" t="n">
        <v>45058.61640046296</v>
      </c>
      <c r="C789" s="1" t="n">
        <v>46053</v>
      </c>
      <c r="D789" t="inlineStr">
        <is>
          <t>SKÅNE LÄN</t>
        </is>
      </c>
      <c r="E789" t="inlineStr">
        <is>
          <t>HÄSSLEHOLM</t>
        </is>
      </c>
      <c r="G789" t="n">
        <v>0.4</v>
      </c>
      <c r="H789" t="n">
        <v>0</v>
      </c>
      <c r="I789" t="n">
        <v>0</v>
      </c>
      <c r="J789" t="n">
        <v>0</v>
      </c>
      <c r="K789" t="n">
        <v>0</v>
      </c>
      <c r="L789" t="n">
        <v>0</v>
      </c>
      <c r="M789" t="n">
        <v>0</v>
      </c>
      <c r="N789" t="n">
        <v>0</v>
      </c>
      <c r="O789" t="n">
        <v>0</v>
      </c>
      <c r="P789" t="n">
        <v>0</v>
      </c>
      <c r="Q789" t="n">
        <v>0</v>
      </c>
      <c r="R789" s="2" t="inlineStr"/>
    </row>
    <row r="790" ht="15" customHeight="1">
      <c r="A790" t="inlineStr">
        <is>
          <t>A 49219-2024</t>
        </is>
      </c>
      <c r="B790" s="1" t="n">
        <v>45595.40923611111</v>
      </c>
      <c r="C790" s="1" t="n">
        <v>46053</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7152-2025</t>
        </is>
      </c>
      <c r="B791" s="1" t="n">
        <v>45702.3837037037</v>
      </c>
      <c r="C791" s="1" t="n">
        <v>46053</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7160-2025</t>
        </is>
      </c>
      <c r="B792" s="1" t="n">
        <v>45702.3875462963</v>
      </c>
      <c r="C792" s="1" t="n">
        <v>46053</v>
      </c>
      <c r="D792" t="inlineStr">
        <is>
          <t>SKÅNE LÄN</t>
        </is>
      </c>
      <c r="E792" t="inlineStr">
        <is>
          <t>HÄSSLEHOLM</t>
        </is>
      </c>
      <c r="G792" t="n">
        <v>2.5</v>
      </c>
      <c r="H792" t="n">
        <v>0</v>
      </c>
      <c r="I792" t="n">
        <v>0</v>
      </c>
      <c r="J792" t="n">
        <v>0</v>
      </c>
      <c r="K792" t="n">
        <v>0</v>
      </c>
      <c r="L792" t="n">
        <v>0</v>
      </c>
      <c r="M792" t="n">
        <v>0</v>
      </c>
      <c r="N792" t="n">
        <v>0</v>
      </c>
      <c r="O792" t="n">
        <v>0</v>
      </c>
      <c r="P792" t="n">
        <v>0</v>
      </c>
      <c r="Q792" t="n">
        <v>0</v>
      </c>
      <c r="R792" s="2" t="inlineStr"/>
    </row>
    <row r="793" ht="15" customHeight="1">
      <c r="A793" t="inlineStr">
        <is>
          <t>A 14939-2023</t>
        </is>
      </c>
      <c r="B793" s="1" t="n">
        <v>45014</v>
      </c>
      <c r="C793" s="1" t="n">
        <v>46053</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2617-2026</t>
        </is>
      </c>
      <c r="B794" s="1" t="n">
        <v>46035</v>
      </c>
      <c r="C794" s="1" t="n">
        <v>46053</v>
      </c>
      <c r="D794" t="inlineStr">
        <is>
          <t>SKÅNE LÄN</t>
        </is>
      </c>
      <c r="E794" t="inlineStr">
        <is>
          <t>HÄSSLEHOLM</t>
        </is>
      </c>
      <c r="F794" t="inlineStr">
        <is>
          <t>Kyrkan</t>
        </is>
      </c>
      <c r="G794" t="n">
        <v>5.5</v>
      </c>
      <c r="H794" t="n">
        <v>0</v>
      </c>
      <c r="I794" t="n">
        <v>0</v>
      </c>
      <c r="J794" t="n">
        <v>0</v>
      </c>
      <c r="K794" t="n">
        <v>0</v>
      </c>
      <c r="L794" t="n">
        <v>0</v>
      </c>
      <c r="M794" t="n">
        <v>0</v>
      </c>
      <c r="N794" t="n">
        <v>0</v>
      </c>
      <c r="O794" t="n">
        <v>0</v>
      </c>
      <c r="P794" t="n">
        <v>0</v>
      </c>
      <c r="Q794" t="n">
        <v>0</v>
      </c>
      <c r="R794" s="2" t="inlineStr"/>
    </row>
    <row r="795" ht="15" customHeight="1">
      <c r="A795" t="inlineStr">
        <is>
          <t>A 2618-2026</t>
        </is>
      </c>
      <c r="B795" s="1" t="n">
        <v>46035</v>
      </c>
      <c r="C795" s="1" t="n">
        <v>46053</v>
      </c>
      <c r="D795" t="inlineStr">
        <is>
          <t>SKÅNE LÄN</t>
        </is>
      </c>
      <c r="E795" t="inlineStr">
        <is>
          <t>HÄSSLEHOLM</t>
        </is>
      </c>
      <c r="F795" t="inlineStr">
        <is>
          <t>Kyrkan</t>
        </is>
      </c>
      <c r="G795" t="n">
        <v>4.8</v>
      </c>
      <c r="H795" t="n">
        <v>0</v>
      </c>
      <c r="I795" t="n">
        <v>0</v>
      </c>
      <c r="J795" t="n">
        <v>0</v>
      </c>
      <c r="K795" t="n">
        <v>0</v>
      </c>
      <c r="L795" t="n">
        <v>0</v>
      </c>
      <c r="M795" t="n">
        <v>0</v>
      </c>
      <c r="N795" t="n">
        <v>0</v>
      </c>
      <c r="O795" t="n">
        <v>0</v>
      </c>
      <c r="P795" t="n">
        <v>0</v>
      </c>
      <c r="Q795" t="n">
        <v>0</v>
      </c>
      <c r="R795" s="2" t="inlineStr"/>
    </row>
    <row r="796" ht="15" customHeight="1">
      <c r="A796" t="inlineStr">
        <is>
          <t>A 15104-2023</t>
        </is>
      </c>
      <c r="B796" s="1" t="n">
        <v>45016.40576388889</v>
      </c>
      <c r="C796" s="1" t="n">
        <v>46053</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66321-2021</t>
        </is>
      </c>
      <c r="B797" s="1" t="n">
        <v>44518</v>
      </c>
      <c r="C797" s="1" t="n">
        <v>46053</v>
      </c>
      <c r="D797" t="inlineStr">
        <is>
          <t>SKÅNE LÄN</t>
        </is>
      </c>
      <c r="E797" t="inlineStr">
        <is>
          <t>HÄSSLEHOLM</t>
        </is>
      </c>
      <c r="G797" t="n">
        <v>9.300000000000001</v>
      </c>
      <c r="H797" t="n">
        <v>0</v>
      </c>
      <c r="I797" t="n">
        <v>0</v>
      </c>
      <c r="J797" t="n">
        <v>0</v>
      </c>
      <c r="K797" t="n">
        <v>0</v>
      </c>
      <c r="L797" t="n">
        <v>0</v>
      </c>
      <c r="M797" t="n">
        <v>0</v>
      </c>
      <c r="N797" t="n">
        <v>0</v>
      </c>
      <c r="O797" t="n">
        <v>0</v>
      </c>
      <c r="P797" t="n">
        <v>0</v>
      </c>
      <c r="Q797" t="n">
        <v>0</v>
      </c>
      <c r="R797" s="2" t="inlineStr"/>
    </row>
    <row r="798" ht="15" customHeight="1">
      <c r="A798" t="inlineStr">
        <is>
          <t>A 21494-2023</t>
        </is>
      </c>
      <c r="B798" s="1" t="n">
        <v>45063</v>
      </c>
      <c r="C798" s="1" t="n">
        <v>46053</v>
      </c>
      <c r="D798" t="inlineStr">
        <is>
          <t>SKÅNE LÄN</t>
        </is>
      </c>
      <c r="E798" t="inlineStr">
        <is>
          <t>HÄSSLEHOLM</t>
        </is>
      </c>
      <c r="G798" t="n">
        <v>3.7</v>
      </c>
      <c r="H798" t="n">
        <v>0</v>
      </c>
      <c r="I798" t="n">
        <v>0</v>
      </c>
      <c r="J798" t="n">
        <v>0</v>
      </c>
      <c r="K798" t="n">
        <v>0</v>
      </c>
      <c r="L798" t="n">
        <v>0</v>
      </c>
      <c r="M798" t="n">
        <v>0</v>
      </c>
      <c r="N798" t="n">
        <v>0</v>
      </c>
      <c r="O798" t="n">
        <v>0</v>
      </c>
      <c r="P798" t="n">
        <v>0</v>
      </c>
      <c r="Q798" t="n">
        <v>0</v>
      </c>
      <c r="R798" s="2" t="inlineStr"/>
    </row>
    <row r="799" ht="15" customHeight="1">
      <c r="A799" t="inlineStr">
        <is>
          <t>A 21495-2023</t>
        </is>
      </c>
      <c r="B799" s="1" t="n">
        <v>45063</v>
      </c>
      <c r="C799" s="1" t="n">
        <v>46053</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40739-2024</t>
        </is>
      </c>
      <c r="B800" s="1" t="n">
        <v>45558</v>
      </c>
      <c r="C800" s="1" t="n">
        <v>46053</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64884-2023</t>
        </is>
      </c>
      <c r="B801" s="1" t="n">
        <v>45282.57809027778</v>
      </c>
      <c r="C801" s="1" t="n">
        <v>46053</v>
      </c>
      <c r="D801" t="inlineStr">
        <is>
          <t>SKÅNE LÄN</t>
        </is>
      </c>
      <c r="E801" t="inlineStr">
        <is>
          <t>HÄSSLEHOLM</t>
        </is>
      </c>
      <c r="G801" t="n">
        <v>4.6</v>
      </c>
      <c r="H801" t="n">
        <v>0</v>
      </c>
      <c r="I801" t="n">
        <v>0</v>
      </c>
      <c r="J801" t="n">
        <v>0</v>
      </c>
      <c r="K801" t="n">
        <v>0</v>
      </c>
      <c r="L801" t="n">
        <v>0</v>
      </c>
      <c r="M801" t="n">
        <v>0</v>
      </c>
      <c r="N801" t="n">
        <v>0</v>
      </c>
      <c r="O801" t="n">
        <v>0</v>
      </c>
      <c r="P801" t="n">
        <v>0</v>
      </c>
      <c r="Q801" t="n">
        <v>0</v>
      </c>
      <c r="R801" s="2" t="inlineStr"/>
    </row>
    <row r="802" ht="15" customHeight="1">
      <c r="A802" t="inlineStr">
        <is>
          <t>A 22140-2023</t>
        </is>
      </c>
      <c r="B802" s="1" t="n">
        <v>45065</v>
      </c>
      <c r="C802" s="1" t="n">
        <v>46053</v>
      </c>
      <c r="D802" t="inlineStr">
        <is>
          <t>SKÅNE LÄN</t>
        </is>
      </c>
      <c r="E802" t="inlineStr">
        <is>
          <t>HÄSSLEHOLM</t>
        </is>
      </c>
      <c r="G802" t="n">
        <v>6.7</v>
      </c>
      <c r="H802" t="n">
        <v>0</v>
      </c>
      <c r="I802" t="n">
        <v>0</v>
      </c>
      <c r="J802" t="n">
        <v>0</v>
      </c>
      <c r="K802" t="n">
        <v>0</v>
      </c>
      <c r="L802" t="n">
        <v>0</v>
      </c>
      <c r="M802" t="n">
        <v>0</v>
      </c>
      <c r="N802" t="n">
        <v>0</v>
      </c>
      <c r="O802" t="n">
        <v>0</v>
      </c>
      <c r="P802" t="n">
        <v>0</v>
      </c>
      <c r="Q802" t="n">
        <v>0</v>
      </c>
      <c r="R802" s="2" t="inlineStr"/>
    </row>
    <row r="803" ht="15" customHeight="1">
      <c r="A803" t="inlineStr">
        <is>
          <t>A 31944-2023</t>
        </is>
      </c>
      <c r="B803" s="1" t="n">
        <v>45119.34895833334</v>
      </c>
      <c r="C803" s="1" t="n">
        <v>46053</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7890-2024</t>
        </is>
      </c>
      <c r="B804" s="1" t="n">
        <v>45350.40780092592</v>
      </c>
      <c r="C804" s="1" t="n">
        <v>46053</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31946-2023</t>
        </is>
      </c>
      <c r="B805" s="1" t="n">
        <v>45119.35158564815</v>
      </c>
      <c r="C805" s="1" t="n">
        <v>46053</v>
      </c>
      <c r="D805" t="inlineStr">
        <is>
          <t>SKÅNE LÄN</t>
        </is>
      </c>
      <c r="E805" t="inlineStr">
        <is>
          <t>HÄSSLEHOLM</t>
        </is>
      </c>
      <c r="G805" t="n">
        <v>0.3</v>
      </c>
      <c r="H805" t="n">
        <v>0</v>
      </c>
      <c r="I805" t="n">
        <v>0</v>
      </c>
      <c r="J805" t="n">
        <v>0</v>
      </c>
      <c r="K805" t="n">
        <v>0</v>
      </c>
      <c r="L805" t="n">
        <v>0</v>
      </c>
      <c r="M805" t="n">
        <v>0</v>
      </c>
      <c r="N805" t="n">
        <v>0</v>
      </c>
      <c r="O805" t="n">
        <v>0</v>
      </c>
      <c r="P805" t="n">
        <v>0</v>
      </c>
      <c r="Q805" t="n">
        <v>0</v>
      </c>
      <c r="R805" s="2" t="inlineStr"/>
    </row>
    <row r="806" ht="15" customHeight="1">
      <c r="A806" t="inlineStr">
        <is>
          <t>A 8755-2024</t>
        </is>
      </c>
      <c r="B806" s="1" t="n">
        <v>45356</v>
      </c>
      <c r="C806" s="1" t="n">
        <v>46053</v>
      </c>
      <c r="D806" t="inlineStr">
        <is>
          <t>SKÅNE LÄN</t>
        </is>
      </c>
      <c r="E806" t="inlineStr">
        <is>
          <t>HÄSSLEHOLM</t>
        </is>
      </c>
      <c r="G806" t="n">
        <v>1.4</v>
      </c>
      <c r="H806" t="n">
        <v>0</v>
      </c>
      <c r="I806" t="n">
        <v>0</v>
      </c>
      <c r="J806" t="n">
        <v>0</v>
      </c>
      <c r="K806" t="n">
        <v>0</v>
      </c>
      <c r="L806" t="n">
        <v>0</v>
      </c>
      <c r="M806" t="n">
        <v>0</v>
      </c>
      <c r="N806" t="n">
        <v>0</v>
      </c>
      <c r="O806" t="n">
        <v>0</v>
      </c>
      <c r="P806" t="n">
        <v>0</v>
      </c>
      <c r="Q806" t="n">
        <v>0</v>
      </c>
      <c r="R806" s="2" t="inlineStr"/>
    </row>
    <row r="807" ht="15" customHeight="1">
      <c r="A807" t="inlineStr">
        <is>
          <t>A 61178-2022</t>
        </is>
      </c>
      <c r="B807" s="1" t="n">
        <v>44915</v>
      </c>
      <c r="C807" s="1" t="n">
        <v>46053</v>
      </c>
      <c r="D807" t="inlineStr">
        <is>
          <t>SKÅNE LÄN</t>
        </is>
      </c>
      <c r="E807" t="inlineStr">
        <is>
          <t>HÄSSLEHOLM</t>
        </is>
      </c>
      <c r="G807" t="n">
        <v>1.2</v>
      </c>
      <c r="H807" t="n">
        <v>0</v>
      </c>
      <c r="I807" t="n">
        <v>0</v>
      </c>
      <c r="J807" t="n">
        <v>0</v>
      </c>
      <c r="K807" t="n">
        <v>0</v>
      </c>
      <c r="L807" t="n">
        <v>0</v>
      </c>
      <c r="M807" t="n">
        <v>0</v>
      </c>
      <c r="N807" t="n">
        <v>0</v>
      </c>
      <c r="O807" t="n">
        <v>0</v>
      </c>
      <c r="P807" t="n">
        <v>0</v>
      </c>
      <c r="Q807" t="n">
        <v>0</v>
      </c>
      <c r="R807" s="2" t="inlineStr"/>
    </row>
    <row r="808" ht="15" customHeight="1">
      <c r="A808" t="inlineStr">
        <is>
          <t>A 61185-2022</t>
        </is>
      </c>
      <c r="B808" s="1" t="n">
        <v>44915</v>
      </c>
      <c r="C808" s="1" t="n">
        <v>46053</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2306-2026</t>
        </is>
      </c>
      <c r="B809" s="1" t="n">
        <v>46034</v>
      </c>
      <c r="C809" s="1" t="n">
        <v>46053</v>
      </c>
      <c r="D809" t="inlineStr">
        <is>
          <t>SKÅNE LÄN</t>
        </is>
      </c>
      <c r="E809" t="inlineStr">
        <is>
          <t>HÄSSLEHOLM</t>
        </is>
      </c>
      <c r="G809" t="n">
        <v>3.4</v>
      </c>
      <c r="H809" t="n">
        <v>0</v>
      </c>
      <c r="I809" t="n">
        <v>0</v>
      </c>
      <c r="J809" t="n">
        <v>0</v>
      </c>
      <c r="K809" t="n">
        <v>0</v>
      </c>
      <c r="L809" t="n">
        <v>0</v>
      </c>
      <c r="M809" t="n">
        <v>0</v>
      </c>
      <c r="N809" t="n">
        <v>0</v>
      </c>
      <c r="O809" t="n">
        <v>0</v>
      </c>
      <c r="P809" t="n">
        <v>0</v>
      </c>
      <c r="Q809" t="n">
        <v>0</v>
      </c>
      <c r="R809" s="2" t="inlineStr"/>
    </row>
    <row r="810" ht="15" customHeight="1">
      <c r="A810" t="inlineStr">
        <is>
          <t>A 61691-2021</t>
        </is>
      </c>
      <c r="B810" s="1" t="n">
        <v>44501</v>
      </c>
      <c r="C810" s="1" t="n">
        <v>46053</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25221-2023</t>
        </is>
      </c>
      <c r="B811" s="1" t="n">
        <v>45086.60842592592</v>
      </c>
      <c r="C811" s="1" t="n">
        <v>46053</v>
      </c>
      <c r="D811" t="inlineStr">
        <is>
          <t>SKÅNE LÄN</t>
        </is>
      </c>
      <c r="E811" t="inlineStr">
        <is>
          <t>HÄSSLEHOLM</t>
        </is>
      </c>
      <c r="G811" t="n">
        <v>2.5</v>
      </c>
      <c r="H811" t="n">
        <v>0</v>
      </c>
      <c r="I811" t="n">
        <v>0</v>
      </c>
      <c r="J811" t="n">
        <v>0</v>
      </c>
      <c r="K811" t="n">
        <v>0</v>
      </c>
      <c r="L811" t="n">
        <v>0</v>
      </c>
      <c r="M811" t="n">
        <v>0</v>
      </c>
      <c r="N811" t="n">
        <v>0</v>
      </c>
      <c r="O811" t="n">
        <v>0</v>
      </c>
      <c r="P811" t="n">
        <v>0</v>
      </c>
      <c r="Q811" t="n">
        <v>0</v>
      </c>
      <c r="R811" s="2" t="inlineStr"/>
    </row>
    <row r="812" ht="15" customHeight="1">
      <c r="A812" t="inlineStr">
        <is>
          <t>A 59390-2021</t>
        </is>
      </c>
      <c r="B812" s="1" t="n">
        <v>44490</v>
      </c>
      <c r="C812" s="1" t="n">
        <v>46053</v>
      </c>
      <c r="D812" t="inlineStr">
        <is>
          <t>SKÅNE LÄN</t>
        </is>
      </c>
      <c r="E812" t="inlineStr">
        <is>
          <t>HÄSSLEHOLM</t>
        </is>
      </c>
      <c r="G812" t="n">
        <v>7.1</v>
      </c>
      <c r="H812" t="n">
        <v>0</v>
      </c>
      <c r="I812" t="n">
        <v>0</v>
      </c>
      <c r="J812" t="n">
        <v>0</v>
      </c>
      <c r="K812" t="n">
        <v>0</v>
      </c>
      <c r="L812" t="n">
        <v>0</v>
      </c>
      <c r="M812" t="n">
        <v>0</v>
      </c>
      <c r="N812" t="n">
        <v>0</v>
      </c>
      <c r="O812" t="n">
        <v>0</v>
      </c>
      <c r="P812" t="n">
        <v>0</v>
      </c>
      <c r="Q812" t="n">
        <v>0</v>
      </c>
      <c r="R812" s="2" t="inlineStr"/>
    </row>
    <row r="813" ht="15" customHeight="1">
      <c r="A813" t="inlineStr">
        <is>
          <t>A 50564-2023</t>
        </is>
      </c>
      <c r="B813" s="1" t="n">
        <v>45217.37957175926</v>
      </c>
      <c r="C813" s="1" t="n">
        <v>46053</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15133-2023</t>
        </is>
      </c>
      <c r="B814" s="1" t="n">
        <v>45016</v>
      </c>
      <c r="C814" s="1" t="n">
        <v>46053</v>
      </c>
      <c r="D814" t="inlineStr">
        <is>
          <t>SKÅNE LÄN</t>
        </is>
      </c>
      <c r="E814" t="inlineStr">
        <is>
          <t>HÄSSLEHOLM</t>
        </is>
      </c>
      <c r="G814" t="n">
        <v>7.8</v>
      </c>
      <c r="H814" t="n">
        <v>0</v>
      </c>
      <c r="I814" t="n">
        <v>0</v>
      </c>
      <c r="J814" t="n">
        <v>0</v>
      </c>
      <c r="K814" t="n">
        <v>0</v>
      </c>
      <c r="L814" t="n">
        <v>0</v>
      </c>
      <c r="M814" t="n">
        <v>0</v>
      </c>
      <c r="N814" t="n">
        <v>0</v>
      </c>
      <c r="O814" t="n">
        <v>0</v>
      </c>
      <c r="P814" t="n">
        <v>0</v>
      </c>
      <c r="Q814" t="n">
        <v>0</v>
      </c>
      <c r="R814" s="2" t="inlineStr"/>
    </row>
    <row r="815" ht="15" customHeight="1">
      <c r="A815" t="inlineStr">
        <is>
          <t>A 63414-2025</t>
        </is>
      </c>
      <c r="B815" s="1" t="n">
        <v>46013.32008101852</v>
      </c>
      <c r="C815" s="1" t="n">
        <v>46053</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15053-2023</t>
        </is>
      </c>
      <c r="B816" s="1" t="n">
        <v>45015</v>
      </c>
      <c r="C816" s="1" t="n">
        <v>46053</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23857-2024</t>
        </is>
      </c>
      <c r="B817" s="1" t="n">
        <v>45455</v>
      </c>
      <c r="C817" s="1" t="n">
        <v>46053</v>
      </c>
      <c r="D817" t="inlineStr">
        <is>
          <t>SKÅNE LÄN</t>
        </is>
      </c>
      <c r="E817" t="inlineStr">
        <is>
          <t>HÄSSLEHOLM</t>
        </is>
      </c>
      <c r="G817" t="n">
        <v>3</v>
      </c>
      <c r="H817" t="n">
        <v>0</v>
      </c>
      <c r="I817" t="n">
        <v>0</v>
      </c>
      <c r="J817" t="n">
        <v>0</v>
      </c>
      <c r="K817" t="n">
        <v>0</v>
      </c>
      <c r="L817" t="n">
        <v>0</v>
      </c>
      <c r="M817" t="n">
        <v>0</v>
      </c>
      <c r="N817" t="n">
        <v>0</v>
      </c>
      <c r="O817" t="n">
        <v>0</v>
      </c>
      <c r="P817" t="n">
        <v>0</v>
      </c>
      <c r="Q817" t="n">
        <v>0</v>
      </c>
      <c r="R817" s="2" t="inlineStr"/>
    </row>
    <row r="818" ht="15" customHeight="1">
      <c r="A818" t="inlineStr">
        <is>
          <t>A 35644-2023</t>
        </is>
      </c>
      <c r="B818" s="1" t="n">
        <v>45147</v>
      </c>
      <c r="C818" s="1" t="n">
        <v>46053</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58632-2025</t>
        </is>
      </c>
      <c r="B819" s="1" t="n">
        <v>45986</v>
      </c>
      <c r="C819" s="1" t="n">
        <v>46053</v>
      </c>
      <c r="D819" t="inlineStr">
        <is>
          <t>SKÅNE LÄN</t>
        </is>
      </c>
      <c r="E819" t="inlineStr">
        <is>
          <t>HÄSSLEHOLM</t>
        </is>
      </c>
      <c r="G819" t="n">
        <v>1</v>
      </c>
      <c r="H819" t="n">
        <v>0</v>
      </c>
      <c r="I819" t="n">
        <v>0</v>
      </c>
      <c r="J819" t="n">
        <v>0</v>
      </c>
      <c r="K819" t="n">
        <v>0</v>
      </c>
      <c r="L819" t="n">
        <v>0</v>
      </c>
      <c r="M819" t="n">
        <v>0</v>
      </c>
      <c r="N819" t="n">
        <v>0</v>
      </c>
      <c r="O819" t="n">
        <v>0</v>
      </c>
      <c r="P819" t="n">
        <v>0</v>
      </c>
      <c r="Q819" t="n">
        <v>0</v>
      </c>
      <c r="R819" s="2" t="inlineStr"/>
    </row>
    <row r="820" ht="15" customHeight="1">
      <c r="A820" t="inlineStr">
        <is>
          <t>A 46185-2022</t>
        </is>
      </c>
      <c r="B820" s="1" t="n">
        <v>44847</v>
      </c>
      <c r="C820" s="1" t="n">
        <v>46053</v>
      </c>
      <c r="D820" t="inlineStr">
        <is>
          <t>SKÅNE LÄN</t>
        </is>
      </c>
      <c r="E820" t="inlineStr">
        <is>
          <t>HÄSSLEHOLM</t>
        </is>
      </c>
      <c r="G820" t="n">
        <v>16.8</v>
      </c>
      <c r="H820" t="n">
        <v>0</v>
      </c>
      <c r="I820" t="n">
        <v>0</v>
      </c>
      <c r="J820" t="n">
        <v>0</v>
      </c>
      <c r="K820" t="n">
        <v>0</v>
      </c>
      <c r="L820" t="n">
        <v>0</v>
      </c>
      <c r="M820" t="n">
        <v>0</v>
      </c>
      <c r="N820" t="n">
        <v>0</v>
      </c>
      <c r="O820" t="n">
        <v>0</v>
      </c>
      <c r="P820" t="n">
        <v>0</v>
      </c>
      <c r="Q820" t="n">
        <v>0</v>
      </c>
      <c r="R820" s="2" t="inlineStr"/>
    </row>
    <row r="821" ht="15" customHeight="1">
      <c r="A821" t="inlineStr">
        <is>
          <t>A 8433-2024</t>
        </is>
      </c>
      <c r="B821" s="1" t="n">
        <v>45353.48434027778</v>
      </c>
      <c r="C821" s="1" t="n">
        <v>46053</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62055-2023</t>
        </is>
      </c>
      <c r="B822" s="1" t="n">
        <v>45266.70287037037</v>
      </c>
      <c r="C822" s="1" t="n">
        <v>46053</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13555-2025</t>
        </is>
      </c>
      <c r="B823" s="1" t="n">
        <v>45736</v>
      </c>
      <c r="C823" s="1" t="n">
        <v>46053</v>
      </c>
      <c r="D823" t="inlineStr">
        <is>
          <t>SKÅNE LÄN</t>
        </is>
      </c>
      <c r="E823" t="inlineStr">
        <is>
          <t>HÄSSLEHOLM</t>
        </is>
      </c>
      <c r="G823" t="n">
        <v>1.1</v>
      </c>
      <c r="H823" t="n">
        <v>0</v>
      </c>
      <c r="I823" t="n">
        <v>0</v>
      </c>
      <c r="J823" t="n">
        <v>0</v>
      </c>
      <c r="K823" t="n">
        <v>0</v>
      </c>
      <c r="L823" t="n">
        <v>0</v>
      </c>
      <c r="M823" t="n">
        <v>0</v>
      </c>
      <c r="N823" t="n">
        <v>0</v>
      </c>
      <c r="O823" t="n">
        <v>0</v>
      </c>
      <c r="P823" t="n">
        <v>0</v>
      </c>
      <c r="Q823" t="n">
        <v>0</v>
      </c>
      <c r="R823" s="2" t="inlineStr"/>
    </row>
    <row r="824" ht="15" customHeight="1">
      <c r="A824" t="inlineStr">
        <is>
          <t>A 28632-2024</t>
        </is>
      </c>
      <c r="B824" s="1" t="n">
        <v>45478</v>
      </c>
      <c r="C824" s="1" t="n">
        <v>46053</v>
      </c>
      <c r="D824" t="inlineStr">
        <is>
          <t>SKÅNE LÄN</t>
        </is>
      </c>
      <c r="E824" t="inlineStr">
        <is>
          <t>HÄSSLEHOLM</t>
        </is>
      </c>
      <c r="G824" t="n">
        <v>4</v>
      </c>
      <c r="H824" t="n">
        <v>0</v>
      </c>
      <c r="I824" t="n">
        <v>0</v>
      </c>
      <c r="J824" t="n">
        <v>0</v>
      </c>
      <c r="K824" t="n">
        <v>0</v>
      </c>
      <c r="L824" t="n">
        <v>0</v>
      </c>
      <c r="M824" t="n">
        <v>0</v>
      </c>
      <c r="N824" t="n">
        <v>0</v>
      </c>
      <c r="O824" t="n">
        <v>0</v>
      </c>
      <c r="P824" t="n">
        <v>0</v>
      </c>
      <c r="Q824" t="n">
        <v>0</v>
      </c>
      <c r="R824" s="2" t="inlineStr"/>
    </row>
    <row r="825" ht="15" customHeight="1">
      <c r="A825" t="inlineStr">
        <is>
          <t>A 3298-2026</t>
        </is>
      </c>
      <c r="B825" s="1" t="n">
        <v>46041</v>
      </c>
      <c r="C825" s="1" t="n">
        <v>46053</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35712-2024</t>
        </is>
      </c>
      <c r="B826" s="1" t="n">
        <v>45532</v>
      </c>
      <c r="C826" s="1" t="n">
        <v>46053</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61322-2025</t>
        </is>
      </c>
      <c r="B827" s="1" t="n">
        <v>46000</v>
      </c>
      <c r="C827" s="1" t="n">
        <v>46053</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33466-2024</t>
        </is>
      </c>
      <c r="B828" s="1" t="n">
        <v>45519</v>
      </c>
      <c r="C828" s="1" t="n">
        <v>46053</v>
      </c>
      <c r="D828" t="inlineStr">
        <is>
          <t>SKÅNE LÄN</t>
        </is>
      </c>
      <c r="E828" t="inlineStr">
        <is>
          <t>HÄSSLEHOLM</t>
        </is>
      </c>
      <c r="G828" t="n">
        <v>0.4</v>
      </c>
      <c r="H828" t="n">
        <v>0</v>
      </c>
      <c r="I828" t="n">
        <v>0</v>
      </c>
      <c r="J828" t="n">
        <v>0</v>
      </c>
      <c r="K828" t="n">
        <v>0</v>
      </c>
      <c r="L828" t="n">
        <v>0</v>
      </c>
      <c r="M828" t="n">
        <v>0</v>
      </c>
      <c r="N828" t="n">
        <v>0</v>
      </c>
      <c r="O828" t="n">
        <v>0</v>
      </c>
      <c r="P828" t="n">
        <v>0</v>
      </c>
      <c r="Q828" t="n">
        <v>0</v>
      </c>
      <c r="R828" s="2" t="inlineStr"/>
    </row>
    <row r="829" ht="15" customHeight="1">
      <c r="A829" t="inlineStr">
        <is>
          <t>A 26397-2023</t>
        </is>
      </c>
      <c r="B829" s="1" t="n">
        <v>45087</v>
      </c>
      <c r="C829" s="1" t="n">
        <v>46053</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27175-2024</t>
        </is>
      </c>
      <c r="B830" s="1" t="n">
        <v>45471.57111111111</v>
      </c>
      <c r="C830" s="1" t="n">
        <v>46053</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1197-2024</t>
        </is>
      </c>
      <c r="B831" s="1" t="n">
        <v>45302</v>
      </c>
      <c r="C831" s="1" t="n">
        <v>46053</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48097-2024</t>
        </is>
      </c>
      <c r="B832" s="1" t="n">
        <v>45589.61413194444</v>
      </c>
      <c r="C832" s="1" t="n">
        <v>46053</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53077-2022</t>
        </is>
      </c>
      <c r="B833" s="1" t="n">
        <v>44873</v>
      </c>
      <c r="C833" s="1" t="n">
        <v>46053</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41680-2024</t>
        </is>
      </c>
      <c r="B834" s="1" t="n">
        <v>45560</v>
      </c>
      <c r="C834" s="1" t="n">
        <v>46053</v>
      </c>
      <c r="D834" t="inlineStr">
        <is>
          <t>SKÅNE LÄN</t>
        </is>
      </c>
      <c r="E834" t="inlineStr">
        <is>
          <t>HÄSSLEHOLM</t>
        </is>
      </c>
      <c r="G834" t="n">
        <v>0.2</v>
      </c>
      <c r="H834" t="n">
        <v>0</v>
      </c>
      <c r="I834" t="n">
        <v>0</v>
      </c>
      <c r="J834" t="n">
        <v>0</v>
      </c>
      <c r="K834" t="n">
        <v>0</v>
      </c>
      <c r="L834" t="n">
        <v>0</v>
      </c>
      <c r="M834" t="n">
        <v>0</v>
      </c>
      <c r="N834" t="n">
        <v>0</v>
      </c>
      <c r="O834" t="n">
        <v>0</v>
      </c>
      <c r="P834" t="n">
        <v>0</v>
      </c>
      <c r="Q834" t="n">
        <v>0</v>
      </c>
      <c r="R834" s="2" t="inlineStr"/>
    </row>
    <row r="835" ht="15" customHeight="1">
      <c r="A835" t="inlineStr">
        <is>
          <t>A 3715-2026</t>
        </is>
      </c>
      <c r="B835" s="1" t="n">
        <v>46043.48746527778</v>
      </c>
      <c r="C835" s="1" t="n">
        <v>46053</v>
      </c>
      <c r="D835" t="inlineStr">
        <is>
          <t>SKÅNE LÄN</t>
        </is>
      </c>
      <c r="E835" t="inlineStr">
        <is>
          <t>HÄSSLEHOLM</t>
        </is>
      </c>
      <c r="G835" t="n">
        <v>0.8</v>
      </c>
      <c r="H835" t="n">
        <v>0</v>
      </c>
      <c r="I835" t="n">
        <v>0</v>
      </c>
      <c r="J835" t="n">
        <v>0</v>
      </c>
      <c r="K835" t="n">
        <v>0</v>
      </c>
      <c r="L835" t="n">
        <v>0</v>
      </c>
      <c r="M835" t="n">
        <v>0</v>
      </c>
      <c r="N835" t="n">
        <v>0</v>
      </c>
      <c r="O835" t="n">
        <v>0</v>
      </c>
      <c r="P835" t="n">
        <v>0</v>
      </c>
      <c r="Q835" t="n">
        <v>0</v>
      </c>
      <c r="R835" s="2" t="inlineStr"/>
    </row>
    <row r="836" ht="15" customHeight="1">
      <c r="A836" t="inlineStr">
        <is>
          <t>A 19020-2024</t>
        </is>
      </c>
      <c r="B836" s="1" t="n">
        <v>45427.66167824074</v>
      </c>
      <c r="C836" s="1" t="n">
        <v>46053</v>
      </c>
      <c r="D836" t="inlineStr">
        <is>
          <t>SKÅNE LÄN</t>
        </is>
      </c>
      <c r="E836" t="inlineStr">
        <is>
          <t>HÄSSLEHOLM</t>
        </is>
      </c>
      <c r="G836" t="n">
        <v>2.3</v>
      </c>
      <c r="H836" t="n">
        <v>0</v>
      </c>
      <c r="I836" t="n">
        <v>0</v>
      </c>
      <c r="J836" t="n">
        <v>0</v>
      </c>
      <c r="K836" t="n">
        <v>0</v>
      </c>
      <c r="L836" t="n">
        <v>0</v>
      </c>
      <c r="M836" t="n">
        <v>0</v>
      </c>
      <c r="N836" t="n">
        <v>0</v>
      </c>
      <c r="O836" t="n">
        <v>0</v>
      </c>
      <c r="P836" t="n">
        <v>0</v>
      </c>
      <c r="Q836" t="n">
        <v>0</v>
      </c>
      <c r="R836" s="2" t="inlineStr"/>
    </row>
    <row r="837" ht="15" customHeight="1">
      <c r="A837" t="inlineStr">
        <is>
          <t>A 52912-2022</t>
        </is>
      </c>
      <c r="B837" s="1" t="n">
        <v>44872</v>
      </c>
      <c r="C837" s="1" t="n">
        <v>46053</v>
      </c>
      <c r="D837" t="inlineStr">
        <is>
          <t>SKÅNE LÄN</t>
        </is>
      </c>
      <c r="E837" t="inlineStr">
        <is>
          <t>HÄSSLEHOLM</t>
        </is>
      </c>
      <c r="G837" t="n">
        <v>4.7</v>
      </c>
      <c r="H837" t="n">
        <v>0</v>
      </c>
      <c r="I837" t="n">
        <v>0</v>
      </c>
      <c r="J837" t="n">
        <v>0</v>
      </c>
      <c r="K837" t="n">
        <v>0</v>
      </c>
      <c r="L837" t="n">
        <v>0</v>
      </c>
      <c r="M837" t="n">
        <v>0</v>
      </c>
      <c r="N837" t="n">
        <v>0</v>
      </c>
      <c r="O837" t="n">
        <v>0</v>
      </c>
      <c r="P837" t="n">
        <v>0</v>
      </c>
      <c r="Q837" t="n">
        <v>0</v>
      </c>
      <c r="R837" s="2" t="inlineStr"/>
    </row>
    <row r="838" ht="15" customHeight="1">
      <c r="A838" t="inlineStr">
        <is>
          <t>A 24640-2023</t>
        </is>
      </c>
      <c r="B838" s="1" t="n">
        <v>45084.43181712963</v>
      </c>
      <c r="C838" s="1" t="n">
        <v>46053</v>
      </c>
      <c r="D838" t="inlineStr">
        <is>
          <t>SKÅNE LÄN</t>
        </is>
      </c>
      <c r="E838" t="inlineStr">
        <is>
          <t>HÄSSLEHOLM</t>
        </is>
      </c>
      <c r="G838" t="n">
        <v>1.5</v>
      </c>
      <c r="H838" t="n">
        <v>0</v>
      </c>
      <c r="I838" t="n">
        <v>0</v>
      </c>
      <c r="J838" t="n">
        <v>0</v>
      </c>
      <c r="K838" t="n">
        <v>0</v>
      </c>
      <c r="L838" t="n">
        <v>0</v>
      </c>
      <c r="M838" t="n">
        <v>0</v>
      </c>
      <c r="N838" t="n">
        <v>0</v>
      </c>
      <c r="O838" t="n">
        <v>0</v>
      </c>
      <c r="P838" t="n">
        <v>0</v>
      </c>
      <c r="Q838" t="n">
        <v>0</v>
      </c>
      <c r="R838" s="2" t="inlineStr"/>
    </row>
    <row r="839" ht="15" customHeight="1">
      <c r="A839" t="inlineStr">
        <is>
          <t>A 22535-2024</t>
        </is>
      </c>
      <c r="B839" s="1" t="n">
        <v>45447</v>
      </c>
      <c r="C839" s="1" t="n">
        <v>46053</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30007-2023</t>
        </is>
      </c>
      <c r="B840" s="1" t="n">
        <v>45109.80349537037</v>
      </c>
      <c r="C840" s="1" t="n">
        <v>46053</v>
      </c>
      <c r="D840" t="inlineStr">
        <is>
          <t>SKÅNE LÄN</t>
        </is>
      </c>
      <c r="E840" t="inlineStr">
        <is>
          <t>HÄSSLEHOLM</t>
        </is>
      </c>
      <c r="G840" t="n">
        <v>2.2</v>
      </c>
      <c r="H840" t="n">
        <v>0</v>
      </c>
      <c r="I840" t="n">
        <v>0</v>
      </c>
      <c r="J840" t="n">
        <v>0</v>
      </c>
      <c r="K840" t="n">
        <v>0</v>
      </c>
      <c r="L840" t="n">
        <v>0</v>
      </c>
      <c r="M840" t="n">
        <v>0</v>
      </c>
      <c r="N840" t="n">
        <v>0</v>
      </c>
      <c r="O840" t="n">
        <v>0</v>
      </c>
      <c r="P840" t="n">
        <v>0</v>
      </c>
      <c r="Q840" t="n">
        <v>0</v>
      </c>
      <c r="R840" s="2" t="inlineStr"/>
    </row>
    <row r="841" ht="15" customHeight="1">
      <c r="A841" t="inlineStr">
        <is>
          <t>A 1289-2024</t>
        </is>
      </c>
      <c r="B841" s="1" t="n">
        <v>45303.32234953704</v>
      </c>
      <c r="C841" s="1" t="n">
        <v>46053</v>
      </c>
      <c r="D841" t="inlineStr">
        <is>
          <t>SKÅNE LÄN</t>
        </is>
      </c>
      <c r="E841" t="inlineStr">
        <is>
          <t>HÄSSLEHOLM</t>
        </is>
      </c>
      <c r="G841" t="n">
        <v>4.6</v>
      </c>
      <c r="H841" t="n">
        <v>0</v>
      </c>
      <c r="I841" t="n">
        <v>0</v>
      </c>
      <c r="J841" t="n">
        <v>0</v>
      </c>
      <c r="K841" t="n">
        <v>0</v>
      </c>
      <c r="L841" t="n">
        <v>0</v>
      </c>
      <c r="M841" t="n">
        <v>0</v>
      </c>
      <c r="N841" t="n">
        <v>0</v>
      </c>
      <c r="O841" t="n">
        <v>0</v>
      </c>
      <c r="P841" t="n">
        <v>0</v>
      </c>
      <c r="Q841" t="n">
        <v>0</v>
      </c>
      <c r="R841" s="2" t="inlineStr"/>
    </row>
    <row r="842" ht="15" customHeight="1">
      <c r="A842" t="inlineStr">
        <is>
          <t>A 11715-2023</t>
        </is>
      </c>
      <c r="B842" s="1" t="n">
        <v>44992</v>
      </c>
      <c r="C842" s="1" t="n">
        <v>46053</v>
      </c>
      <c r="D842" t="inlineStr">
        <is>
          <t>SKÅNE LÄN</t>
        </is>
      </c>
      <c r="E842" t="inlineStr">
        <is>
          <t>HÄSSLEHOLM</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61474-2025</t>
        </is>
      </c>
      <c r="B843" s="1" t="n">
        <v>46001.61886574074</v>
      </c>
      <c r="C843" s="1" t="n">
        <v>46053</v>
      </c>
      <c r="D843" t="inlineStr">
        <is>
          <t>SKÅNE LÄN</t>
        </is>
      </c>
      <c r="E843" t="inlineStr">
        <is>
          <t>HÄSSLEHOLM</t>
        </is>
      </c>
      <c r="G843" t="n">
        <v>1.5</v>
      </c>
      <c r="H843" t="n">
        <v>0</v>
      </c>
      <c r="I843" t="n">
        <v>0</v>
      </c>
      <c r="J843" t="n">
        <v>0</v>
      </c>
      <c r="K843" t="n">
        <v>0</v>
      </c>
      <c r="L843" t="n">
        <v>0</v>
      </c>
      <c r="M843" t="n">
        <v>0</v>
      </c>
      <c r="N843" t="n">
        <v>0</v>
      </c>
      <c r="O843" t="n">
        <v>0</v>
      </c>
      <c r="P843" t="n">
        <v>0</v>
      </c>
      <c r="Q843" t="n">
        <v>0</v>
      </c>
      <c r="R843" s="2" t="inlineStr"/>
    </row>
    <row r="844" ht="15" customHeight="1">
      <c r="A844" t="inlineStr">
        <is>
          <t>A 25606-2024</t>
        </is>
      </c>
      <c r="B844" s="1" t="n">
        <v>45463.63179398148</v>
      </c>
      <c r="C844" s="1" t="n">
        <v>46053</v>
      </c>
      <c r="D844" t="inlineStr">
        <is>
          <t>SKÅNE LÄN</t>
        </is>
      </c>
      <c r="E844" t="inlineStr">
        <is>
          <t>HÄSSLEHOLM</t>
        </is>
      </c>
      <c r="G844" t="n">
        <v>1.5</v>
      </c>
      <c r="H844" t="n">
        <v>0</v>
      </c>
      <c r="I844" t="n">
        <v>0</v>
      </c>
      <c r="J844" t="n">
        <v>0</v>
      </c>
      <c r="K844" t="n">
        <v>0</v>
      </c>
      <c r="L844" t="n">
        <v>0</v>
      </c>
      <c r="M844" t="n">
        <v>0</v>
      </c>
      <c r="N844" t="n">
        <v>0</v>
      </c>
      <c r="O844" t="n">
        <v>0</v>
      </c>
      <c r="P844" t="n">
        <v>0</v>
      </c>
      <c r="Q844" t="n">
        <v>0</v>
      </c>
      <c r="R844" s="2" t="inlineStr"/>
    </row>
    <row r="845" ht="15" customHeight="1">
      <c r="A845" t="inlineStr">
        <is>
          <t>A 1538-2024</t>
        </is>
      </c>
      <c r="B845" s="1" t="n">
        <v>45306</v>
      </c>
      <c r="C845" s="1" t="n">
        <v>46053</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25533-2024</t>
        </is>
      </c>
      <c r="B846" s="1" t="n">
        <v>45463</v>
      </c>
      <c r="C846" s="1" t="n">
        <v>46053</v>
      </c>
      <c r="D846" t="inlineStr">
        <is>
          <t>SKÅNE LÄN</t>
        </is>
      </c>
      <c r="E846" t="inlineStr">
        <is>
          <t>HÄSSLEHOLM</t>
        </is>
      </c>
      <c r="G846" t="n">
        <v>1.8</v>
      </c>
      <c r="H846" t="n">
        <v>0</v>
      </c>
      <c r="I846" t="n">
        <v>0</v>
      </c>
      <c r="J846" t="n">
        <v>0</v>
      </c>
      <c r="K846" t="n">
        <v>0</v>
      </c>
      <c r="L846" t="n">
        <v>0</v>
      </c>
      <c r="M846" t="n">
        <v>0</v>
      </c>
      <c r="N846" t="n">
        <v>0</v>
      </c>
      <c r="O846" t="n">
        <v>0</v>
      </c>
      <c r="P846" t="n">
        <v>0</v>
      </c>
      <c r="Q846" t="n">
        <v>0</v>
      </c>
      <c r="R846" s="2" t="inlineStr"/>
    </row>
    <row r="847" ht="15" customHeight="1">
      <c r="A847" t="inlineStr">
        <is>
          <t>A 31934-2024</t>
        </is>
      </c>
      <c r="B847" s="1" t="n">
        <v>45510.41177083334</v>
      </c>
      <c r="C847" s="1" t="n">
        <v>46053</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29847-2024</t>
        </is>
      </c>
      <c r="B848" s="1" t="n">
        <v>45485.6278587963</v>
      </c>
      <c r="C848" s="1" t="n">
        <v>46053</v>
      </c>
      <c r="D848" t="inlineStr">
        <is>
          <t>SKÅNE LÄN</t>
        </is>
      </c>
      <c r="E848" t="inlineStr">
        <is>
          <t>HÄSSLEHOLM</t>
        </is>
      </c>
      <c r="G848" t="n">
        <v>1.2</v>
      </c>
      <c r="H848" t="n">
        <v>0</v>
      </c>
      <c r="I848" t="n">
        <v>0</v>
      </c>
      <c r="J848" t="n">
        <v>0</v>
      </c>
      <c r="K848" t="n">
        <v>0</v>
      </c>
      <c r="L848" t="n">
        <v>0</v>
      </c>
      <c r="M848" t="n">
        <v>0</v>
      </c>
      <c r="N848" t="n">
        <v>0</v>
      </c>
      <c r="O848" t="n">
        <v>0</v>
      </c>
      <c r="P848" t="n">
        <v>0</v>
      </c>
      <c r="Q848" t="n">
        <v>0</v>
      </c>
      <c r="R848" s="2" t="inlineStr"/>
    </row>
    <row r="849" ht="15" customHeight="1">
      <c r="A849" t="inlineStr">
        <is>
          <t>A 3862-2026</t>
        </is>
      </c>
      <c r="B849" s="1" t="n">
        <v>46043.62646990741</v>
      </c>
      <c r="C849" s="1" t="n">
        <v>46053</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7653-2024</t>
        </is>
      </c>
      <c r="B850" s="1" t="n">
        <v>45348.69043981482</v>
      </c>
      <c r="C850" s="1" t="n">
        <v>46053</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12570-2023</t>
        </is>
      </c>
      <c r="B851" s="1" t="n">
        <v>44999</v>
      </c>
      <c r="C851" s="1" t="n">
        <v>46053</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32008-2024</t>
        </is>
      </c>
      <c r="B852" s="1" t="n">
        <v>45510</v>
      </c>
      <c r="C852" s="1" t="n">
        <v>46053</v>
      </c>
      <c r="D852" t="inlineStr">
        <is>
          <t>SKÅNE LÄN</t>
        </is>
      </c>
      <c r="E852" t="inlineStr">
        <is>
          <t>HÄSSLEHOLM</t>
        </is>
      </c>
      <c r="G852" t="n">
        <v>5.1</v>
      </c>
      <c r="H852" t="n">
        <v>0</v>
      </c>
      <c r="I852" t="n">
        <v>0</v>
      </c>
      <c r="J852" t="n">
        <v>0</v>
      </c>
      <c r="K852" t="n">
        <v>0</v>
      </c>
      <c r="L852" t="n">
        <v>0</v>
      </c>
      <c r="M852" t="n">
        <v>0</v>
      </c>
      <c r="N852" t="n">
        <v>0</v>
      </c>
      <c r="O852" t="n">
        <v>0</v>
      </c>
      <c r="P852" t="n">
        <v>0</v>
      </c>
      <c r="Q852" t="n">
        <v>0</v>
      </c>
      <c r="R852" s="2" t="inlineStr"/>
    </row>
    <row r="853" ht="15" customHeight="1">
      <c r="A853" t="inlineStr">
        <is>
          <t>A 14926-2024</t>
        </is>
      </c>
      <c r="B853" s="1" t="n">
        <v>45398</v>
      </c>
      <c r="C853" s="1" t="n">
        <v>46053</v>
      </c>
      <c r="D853" t="inlineStr">
        <is>
          <t>SKÅNE LÄN</t>
        </is>
      </c>
      <c r="E853" t="inlineStr">
        <is>
          <t>HÄSSLEHOLM</t>
        </is>
      </c>
      <c r="G853" t="n">
        <v>3.4</v>
      </c>
      <c r="H853" t="n">
        <v>0</v>
      </c>
      <c r="I853" t="n">
        <v>0</v>
      </c>
      <c r="J853" t="n">
        <v>0</v>
      </c>
      <c r="K853" t="n">
        <v>0</v>
      </c>
      <c r="L853" t="n">
        <v>0</v>
      </c>
      <c r="M853" t="n">
        <v>0</v>
      </c>
      <c r="N853" t="n">
        <v>0</v>
      </c>
      <c r="O853" t="n">
        <v>0</v>
      </c>
      <c r="P853" t="n">
        <v>0</v>
      </c>
      <c r="Q853" t="n">
        <v>0</v>
      </c>
      <c r="R853" s="2" t="inlineStr"/>
    </row>
    <row r="854" ht="15" customHeight="1">
      <c r="A854" t="inlineStr">
        <is>
          <t>A 2688-2024</t>
        </is>
      </c>
      <c r="B854" s="1" t="n">
        <v>45314</v>
      </c>
      <c r="C854" s="1" t="n">
        <v>46053</v>
      </c>
      <c r="D854" t="inlineStr">
        <is>
          <t>SKÅNE LÄN</t>
        </is>
      </c>
      <c r="E854" t="inlineStr">
        <is>
          <t>HÄSSLEHOLM</t>
        </is>
      </c>
      <c r="F854" t="inlineStr">
        <is>
          <t>Övriga Aktiebolag</t>
        </is>
      </c>
      <c r="G854" t="n">
        <v>2.8</v>
      </c>
      <c r="H854" t="n">
        <v>0</v>
      </c>
      <c r="I854" t="n">
        <v>0</v>
      </c>
      <c r="J854" t="n">
        <v>0</v>
      </c>
      <c r="K854" t="n">
        <v>0</v>
      </c>
      <c r="L854" t="n">
        <v>0</v>
      </c>
      <c r="M854" t="n">
        <v>0</v>
      </c>
      <c r="N854" t="n">
        <v>0</v>
      </c>
      <c r="O854" t="n">
        <v>0</v>
      </c>
      <c r="P854" t="n">
        <v>0</v>
      </c>
      <c r="Q854" t="n">
        <v>0</v>
      </c>
      <c r="R854" s="2" t="inlineStr"/>
    </row>
    <row r="855" ht="15" customHeight="1">
      <c r="A855" t="inlineStr">
        <is>
          <t>A 36733-2023</t>
        </is>
      </c>
      <c r="B855" s="1" t="n">
        <v>45153.69989583334</v>
      </c>
      <c r="C855" s="1" t="n">
        <v>46053</v>
      </c>
      <c r="D855" t="inlineStr">
        <is>
          <t>SKÅNE LÄN</t>
        </is>
      </c>
      <c r="E855" t="inlineStr">
        <is>
          <t>HÄSSLEHOLM</t>
        </is>
      </c>
      <c r="G855" t="n">
        <v>4.8</v>
      </c>
      <c r="H855" t="n">
        <v>0</v>
      </c>
      <c r="I855" t="n">
        <v>0</v>
      </c>
      <c r="J855" t="n">
        <v>0</v>
      </c>
      <c r="K855" t="n">
        <v>0</v>
      </c>
      <c r="L855" t="n">
        <v>0</v>
      </c>
      <c r="M855" t="n">
        <v>0</v>
      </c>
      <c r="N855" t="n">
        <v>0</v>
      </c>
      <c r="O855" t="n">
        <v>0</v>
      </c>
      <c r="P855" t="n">
        <v>0</v>
      </c>
      <c r="Q855" t="n">
        <v>0</v>
      </c>
      <c r="R855" s="2" t="inlineStr"/>
    </row>
    <row r="856" ht="15" customHeight="1">
      <c r="A856" t="inlineStr">
        <is>
          <t>A 3904-2026</t>
        </is>
      </c>
      <c r="B856" s="1" t="n">
        <v>46043.69711805556</v>
      </c>
      <c r="C856" s="1" t="n">
        <v>46053</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46053</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8246-2023</t>
        </is>
      </c>
      <c r="B858" s="1" t="n">
        <v>44974</v>
      </c>
      <c r="C858" s="1" t="n">
        <v>46053</v>
      </c>
      <c r="D858" t="inlineStr">
        <is>
          <t>SKÅNE LÄN</t>
        </is>
      </c>
      <c r="E858" t="inlineStr">
        <is>
          <t>HÄSSLEHOLM</t>
        </is>
      </c>
      <c r="G858" t="n">
        <v>1.6</v>
      </c>
      <c r="H858" t="n">
        <v>0</v>
      </c>
      <c r="I858" t="n">
        <v>0</v>
      </c>
      <c r="J858" t="n">
        <v>0</v>
      </c>
      <c r="K858" t="n">
        <v>0</v>
      </c>
      <c r="L858" t="n">
        <v>0</v>
      </c>
      <c r="M858" t="n">
        <v>0</v>
      </c>
      <c r="N858" t="n">
        <v>0</v>
      </c>
      <c r="O858" t="n">
        <v>0</v>
      </c>
      <c r="P858" t="n">
        <v>0</v>
      </c>
      <c r="Q858" t="n">
        <v>0</v>
      </c>
      <c r="R858" s="2" t="inlineStr"/>
    </row>
    <row r="859" ht="15" customHeight="1">
      <c r="A859" t="inlineStr">
        <is>
          <t>A 34834-2023</t>
        </is>
      </c>
      <c r="B859" s="1" t="n">
        <v>45141.7199537037</v>
      </c>
      <c r="C859" s="1" t="n">
        <v>46053</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24679-2023</t>
        </is>
      </c>
      <c r="B860" s="1" t="n">
        <v>45084</v>
      </c>
      <c r="C860" s="1" t="n">
        <v>46053</v>
      </c>
      <c r="D860" t="inlineStr">
        <is>
          <t>SKÅNE LÄN</t>
        </is>
      </c>
      <c r="E860" t="inlineStr">
        <is>
          <t>HÄSSLEHOLM</t>
        </is>
      </c>
      <c r="G860" t="n">
        <v>7.1</v>
      </c>
      <c r="H860" t="n">
        <v>0</v>
      </c>
      <c r="I860" t="n">
        <v>0</v>
      </c>
      <c r="J860" t="n">
        <v>0</v>
      </c>
      <c r="K860" t="n">
        <v>0</v>
      </c>
      <c r="L860" t="n">
        <v>0</v>
      </c>
      <c r="M860" t="n">
        <v>0</v>
      </c>
      <c r="N860" t="n">
        <v>0</v>
      </c>
      <c r="O860" t="n">
        <v>0</v>
      </c>
      <c r="P860" t="n">
        <v>0</v>
      </c>
      <c r="Q860" t="n">
        <v>0</v>
      </c>
      <c r="R860" s="2" t="inlineStr"/>
    </row>
    <row r="861" ht="15" customHeight="1">
      <c r="A861" t="inlineStr">
        <is>
          <t>A 62376-2025</t>
        </is>
      </c>
      <c r="B861" s="1" t="n">
        <v>46006</v>
      </c>
      <c r="C861" s="1" t="n">
        <v>46053</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15508-2023</t>
        </is>
      </c>
      <c r="B862" s="1" t="n">
        <v>45020.50045138889</v>
      </c>
      <c r="C862" s="1" t="n">
        <v>46053</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34187-2023</t>
        </is>
      </c>
      <c r="B863" s="1" t="n">
        <v>45138</v>
      </c>
      <c r="C863" s="1" t="n">
        <v>46053</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11019-2025</t>
        </is>
      </c>
      <c r="B864" s="1" t="n">
        <v>45723</v>
      </c>
      <c r="C864" s="1" t="n">
        <v>46053</v>
      </c>
      <c r="D864" t="inlineStr">
        <is>
          <t>SKÅNE LÄN</t>
        </is>
      </c>
      <c r="E864" t="inlineStr">
        <is>
          <t>HÄSSLEHOLM</t>
        </is>
      </c>
      <c r="G864" t="n">
        <v>3.2</v>
      </c>
      <c r="H864" t="n">
        <v>0</v>
      </c>
      <c r="I864" t="n">
        <v>0</v>
      </c>
      <c r="J864" t="n">
        <v>0</v>
      </c>
      <c r="K864" t="n">
        <v>0</v>
      </c>
      <c r="L864" t="n">
        <v>0</v>
      </c>
      <c r="M864" t="n">
        <v>0</v>
      </c>
      <c r="N864" t="n">
        <v>0</v>
      </c>
      <c r="O864" t="n">
        <v>0</v>
      </c>
      <c r="P864" t="n">
        <v>0</v>
      </c>
      <c r="Q864" t="n">
        <v>0</v>
      </c>
      <c r="R864" s="2" t="inlineStr"/>
    </row>
    <row r="865" ht="15" customHeight="1">
      <c r="A865" t="inlineStr">
        <is>
          <t>A 56062-2024</t>
        </is>
      </c>
      <c r="B865" s="1" t="n">
        <v>45624.37105324074</v>
      </c>
      <c r="C865" s="1" t="n">
        <v>46053</v>
      </c>
      <c r="D865" t="inlineStr">
        <is>
          <t>SKÅNE LÄN</t>
        </is>
      </c>
      <c r="E865" t="inlineStr">
        <is>
          <t>HÄSSLEHOLM</t>
        </is>
      </c>
      <c r="F865" t="inlineStr">
        <is>
          <t>Övriga Aktiebolag</t>
        </is>
      </c>
      <c r="G865" t="n">
        <v>0.6</v>
      </c>
      <c r="H865" t="n">
        <v>0</v>
      </c>
      <c r="I865" t="n">
        <v>0</v>
      </c>
      <c r="J865" t="n">
        <v>0</v>
      </c>
      <c r="K865" t="n">
        <v>0</v>
      </c>
      <c r="L865" t="n">
        <v>0</v>
      </c>
      <c r="M865" t="n">
        <v>0</v>
      </c>
      <c r="N865" t="n">
        <v>0</v>
      </c>
      <c r="O865" t="n">
        <v>0</v>
      </c>
      <c r="P865" t="n">
        <v>0</v>
      </c>
      <c r="Q865" t="n">
        <v>0</v>
      </c>
      <c r="R865" s="2" t="inlineStr"/>
    </row>
    <row r="866" ht="15" customHeight="1">
      <c r="A866" t="inlineStr">
        <is>
          <t>A 45299-2024</t>
        </is>
      </c>
      <c r="B866" s="1" t="n">
        <v>45576.40599537037</v>
      </c>
      <c r="C866" s="1" t="n">
        <v>46053</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34369-2023</t>
        </is>
      </c>
      <c r="B867" s="1" t="n">
        <v>45139.47817129629</v>
      </c>
      <c r="C867" s="1" t="n">
        <v>46053</v>
      </c>
      <c r="D867" t="inlineStr">
        <is>
          <t>SKÅNE LÄN</t>
        </is>
      </c>
      <c r="E867" t="inlineStr">
        <is>
          <t>HÄSSLEHOLM</t>
        </is>
      </c>
      <c r="G867" t="n">
        <v>2</v>
      </c>
      <c r="H867" t="n">
        <v>0</v>
      </c>
      <c r="I867" t="n">
        <v>0</v>
      </c>
      <c r="J867" t="n">
        <v>0</v>
      </c>
      <c r="K867" t="n">
        <v>0</v>
      </c>
      <c r="L867" t="n">
        <v>0</v>
      </c>
      <c r="M867" t="n">
        <v>0</v>
      </c>
      <c r="N867" t="n">
        <v>0</v>
      </c>
      <c r="O867" t="n">
        <v>0</v>
      </c>
      <c r="P867" t="n">
        <v>0</v>
      </c>
      <c r="Q867" t="n">
        <v>0</v>
      </c>
      <c r="R867" s="2" t="inlineStr"/>
    </row>
    <row r="868" ht="15" customHeight="1">
      <c r="A868" t="inlineStr">
        <is>
          <t>A 8378-2023</t>
        </is>
      </c>
      <c r="B868" s="1" t="n">
        <v>44971</v>
      </c>
      <c r="C868" s="1" t="n">
        <v>46053</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56065-2025</t>
        </is>
      </c>
      <c r="B869" s="1" t="n">
        <v>45973</v>
      </c>
      <c r="C869" s="1" t="n">
        <v>46053</v>
      </c>
      <c r="D869" t="inlineStr">
        <is>
          <t>SKÅNE LÄN</t>
        </is>
      </c>
      <c r="E869" t="inlineStr">
        <is>
          <t>HÄSSLEHOLM</t>
        </is>
      </c>
      <c r="G869" t="n">
        <v>2</v>
      </c>
      <c r="H869" t="n">
        <v>0</v>
      </c>
      <c r="I869" t="n">
        <v>0</v>
      </c>
      <c r="J869" t="n">
        <v>0</v>
      </c>
      <c r="K869" t="n">
        <v>0</v>
      </c>
      <c r="L869" t="n">
        <v>0</v>
      </c>
      <c r="M869" t="n">
        <v>0</v>
      </c>
      <c r="N869" t="n">
        <v>0</v>
      </c>
      <c r="O869" t="n">
        <v>0</v>
      </c>
      <c r="P869" t="n">
        <v>0</v>
      </c>
      <c r="Q869" t="n">
        <v>0</v>
      </c>
      <c r="R869" s="2" t="inlineStr"/>
    </row>
    <row r="870" ht="15" customHeight="1">
      <c r="A870" t="inlineStr">
        <is>
          <t>A 60704-2023</t>
        </is>
      </c>
      <c r="B870" s="1" t="n">
        <v>45260.51340277777</v>
      </c>
      <c r="C870" s="1" t="n">
        <v>46053</v>
      </c>
      <c r="D870" t="inlineStr">
        <is>
          <t>SKÅNE LÄN</t>
        </is>
      </c>
      <c r="E870" t="inlineStr">
        <is>
          <t>HÄSSLEHOLM</t>
        </is>
      </c>
      <c r="G870" t="n">
        <v>2.1</v>
      </c>
      <c r="H870" t="n">
        <v>0</v>
      </c>
      <c r="I870" t="n">
        <v>0</v>
      </c>
      <c r="J870" t="n">
        <v>0</v>
      </c>
      <c r="K870" t="n">
        <v>0</v>
      </c>
      <c r="L870" t="n">
        <v>0</v>
      </c>
      <c r="M870" t="n">
        <v>0</v>
      </c>
      <c r="N870" t="n">
        <v>0</v>
      </c>
      <c r="O870" t="n">
        <v>0</v>
      </c>
      <c r="P870" t="n">
        <v>0</v>
      </c>
      <c r="Q870" t="n">
        <v>0</v>
      </c>
      <c r="R870" s="2" t="inlineStr"/>
    </row>
    <row r="871" ht="15" customHeight="1">
      <c r="A871" t="inlineStr">
        <is>
          <t>A 61569-2023</t>
        </is>
      </c>
      <c r="B871" s="1" t="n">
        <v>45265</v>
      </c>
      <c r="C871" s="1" t="n">
        <v>46053</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46813-2024</t>
        </is>
      </c>
      <c r="B872" s="1" t="n">
        <v>45583</v>
      </c>
      <c r="C872" s="1" t="n">
        <v>46053</v>
      </c>
      <c r="D872" t="inlineStr">
        <is>
          <t>SKÅNE LÄN</t>
        </is>
      </c>
      <c r="E872" t="inlineStr">
        <is>
          <t>HÄSSLEHOLM</t>
        </is>
      </c>
      <c r="G872" t="n">
        <v>14.9</v>
      </c>
      <c r="H872" t="n">
        <v>0</v>
      </c>
      <c r="I872" t="n">
        <v>0</v>
      </c>
      <c r="J872" t="n">
        <v>0</v>
      </c>
      <c r="K872" t="n">
        <v>0</v>
      </c>
      <c r="L872" t="n">
        <v>0</v>
      </c>
      <c r="M872" t="n">
        <v>0</v>
      </c>
      <c r="N872" t="n">
        <v>0</v>
      </c>
      <c r="O872" t="n">
        <v>0</v>
      </c>
      <c r="P872" t="n">
        <v>0</v>
      </c>
      <c r="Q872" t="n">
        <v>0</v>
      </c>
      <c r="R872" s="2" t="inlineStr"/>
    </row>
    <row r="873" ht="15" customHeight="1">
      <c r="A873" t="inlineStr">
        <is>
          <t>A 62271-2025</t>
        </is>
      </c>
      <c r="B873" s="1" t="n">
        <v>46006.62256944444</v>
      </c>
      <c r="C873" s="1" t="n">
        <v>46053</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62264-2025</t>
        </is>
      </c>
      <c r="B874" s="1" t="n">
        <v>46006.61644675926</v>
      </c>
      <c r="C874" s="1" t="n">
        <v>46053</v>
      </c>
      <c r="D874" t="inlineStr">
        <is>
          <t>SKÅNE LÄN</t>
        </is>
      </c>
      <c r="E874" t="inlineStr">
        <is>
          <t>HÄSSLEHOLM</t>
        </is>
      </c>
      <c r="G874" t="n">
        <v>7.5</v>
      </c>
      <c r="H874" t="n">
        <v>0</v>
      </c>
      <c r="I874" t="n">
        <v>0</v>
      </c>
      <c r="J874" t="n">
        <v>0</v>
      </c>
      <c r="K874" t="n">
        <v>0</v>
      </c>
      <c r="L874" t="n">
        <v>0</v>
      </c>
      <c r="M874" t="n">
        <v>0</v>
      </c>
      <c r="N874" t="n">
        <v>0</v>
      </c>
      <c r="O874" t="n">
        <v>0</v>
      </c>
      <c r="P874" t="n">
        <v>0</v>
      </c>
      <c r="Q874" t="n">
        <v>0</v>
      </c>
      <c r="R874" s="2" t="inlineStr"/>
    </row>
    <row r="875" ht="15" customHeight="1">
      <c r="A875" t="inlineStr">
        <is>
          <t>A 315-2022</t>
        </is>
      </c>
      <c r="B875" s="1" t="n">
        <v>44565.55630787037</v>
      </c>
      <c r="C875" s="1" t="n">
        <v>46053</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31161-2024</t>
        </is>
      </c>
      <c r="B876" s="1" t="n">
        <v>45503</v>
      </c>
      <c r="C876" s="1" t="n">
        <v>46053</v>
      </c>
      <c r="D876" t="inlineStr">
        <is>
          <t>SKÅNE LÄN</t>
        </is>
      </c>
      <c r="E876" t="inlineStr">
        <is>
          <t>HÄSSLEHOLM</t>
        </is>
      </c>
      <c r="G876" t="n">
        <v>1.5</v>
      </c>
      <c r="H876" t="n">
        <v>0</v>
      </c>
      <c r="I876" t="n">
        <v>0</v>
      </c>
      <c r="J876" t="n">
        <v>0</v>
      </c>
      <c r="K876" t="n">
        <v>0</v>
      </c>
      <c r="L876" t="n">
        <v>0</v>
      </c>
      <c r="M876" t="n">
        <v>0</v>
      </c>
      <c r="N876" t="n">
        <v>0</v>
      </c>
      <c r="O876" t="n">
        <v>0</v>
      </c>
      <c r="P876" t="n">
        <v>0</v>
      </c>
      <c r="Q876" t="n">
        <v>0</v>
      </c>
      <c r="R876" s="2" t="inlineStr"/>
    </row>
    <row r="877" ht="15" customHeight="1">
      <c r="A877" t="inlineStr">
        <is>
          <t>A 33067-2024</t>
        </is>
      </c>
      <c r="B877" s="1" t="n">
        <v>45517.6520949074</v>
      </c>
      <c r="C877" s="1" t="n">
        <v>46053</v>
      </c>
      <c r="D877" t="inlineStr">
        <is>
          <t>SKÅNE LÄN</t>
        </is>
      </c>
      <c r="E877" t="inlineStr">
        <is>
          <t>HÄSSLEHOLM</t>
        </is>
      </c>
      <c r="G877" t="n">
        <v>0.4</v>
      </c>
      <c r="H877" t="n">
        <v>0</v>
      </c>
      <c r="I877" t="n">
        <v>0</v>
      </c>
      <c r="J877" t="n">
        <v>0</v>
      </c>
      <c r="K877" t="n">
        <v>0</v>
      </c>
      <c r="L877" t="n">
        <v>0</v>
      </c>
      <c r="M877" t="n">
        <v>0</v>
      </c>
      <c r="N877" t="n">
        <v>0</v>
      </c>
      <c r="O877" t="n">
        <v>0</v>
      </c>
      <c r="P877" t="n">
        <v>0</v>
      </c>
      <c r="Q877" t="n">
        <v>0</v>
      </c>
      <c r="R877" s="2" t="inlineStr"/>
    </row>
    <row r="878" ht="15" customHeight="1">
      <c r="A878" t="inlineStr">
        <is>
          <t>A 38888-2023</t>
        </is>
      </c>
      <c r="B878" s="1" t="n">
        <v>45161</v>
      </c>
      <c r="C878" s="1" t="n">
        <v>46053</v>
      </c>
      <c r="D878" t="inlineStr">
        <is>
          <t>SKÅNE LÄN</t>
        </is>
      </c>
      <c r="E878" t="inlineStr">
        <is>
          <t>HÄSSLEHOLM</t>
        </is>
      </c>
      <c r="G878" t="n">
        <v>1.6</v>
      </c>
      <c r="H878" t="n">
        <v>0</v>
      </c>
      <c r="I878" t="n">
        <v>0</v>
      </c>
      <c r="J878" t="n">
        <v>0</v>
      </c>
      <c r="K878" t="n">
        <v>0</v>
      </c>
      <c r="L878" t="n">
        <v>0</v>
      </c>
      <c r="M878" t="n">
        <v>0</v>
      </c>
      <c r="N878" t="n">
        <v>0</v>
      </c>
      <c r="O878" t="n">
        <v>0</v>
      </c>
      <c r="P878" t="n">
        <v>0</v>
      </c>
      <c r="Q878" t="n">
        <v>0</v>
      </c>
      <c r="R878" s="2" t="inlineStr"/>
    </row>
    <row r="879" ht="15" customHeight="1">
      <c r="A879" t="inlineStr">
        <is>
          <t>A 5103-2026</t>
        </is>
      </c>
      <c r="B879" s="1" t="n">
        <v>46049.56725694444</v>
      </c>
      <c r="C879" s="1" t="n">
        <v>46053</v>
      </c>
      <c r="D879" t="inlineStr">
        <is>
          <t>SKÅNE LÄN</t>
        </is>
      </c>
      <c r="E879" t="inlineStr">
        <is>
          <t>HÄSSLEHOLM</t>
        </is>
      </c>
      <c r="G879" t="n">
        <v>5.4</v>
      </c>
      <c r="H879" t="n">
        <v>0</v>
      </c>
      <c r="I879" t="n">
        <v>0</v>
      </c>
      <c r="J879" t="n">
        <v>0</v>
      </c>
      <c r="K879" t="n">
        <v>0</v>
      </c>
      <c r="L879" t="n">
        <v>0</v>
      </c>
      <c r="M879" t="n">
        <v>0</v>
      </c>
      <c r="N879" t="n">
        <v>0</v>
      </c>
      <c r="O879" t="n">
        <v>0</v>
      </c>
      <c r="P879" t="n">
        <v>0</v>
      </c>
      <c r="Q879" t="n">
        <v>0</v>
      </c>
      <c r="R879" s="2" t="inlineStr"/>
    </row>
    <row r="880" ht="15" customHeight="1">
      <c r="A880" t="inlineStr">
        <is>
          <t>A 5992-2022</t>
        </is>
      </c>
      <c r="B880" s="1" t="n">
        <v>44599</v>
      </c>
      <c r="C880" s="1" t="n">
        <v>46053</v>
      </c>
      <c r="D880" t="inlineStr">
        <is>
          <t>SKÅNE LÄN</t>
        </is>
      </c>
      <c r="E880" t="inlineStr">
        <is>
          <t>HÄSSLEHOLM</t>
        </is>
      </c>
      <c r="G880" t="n">
        <v>1</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46053</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3248-2022</t>
        </is>
      </c>
      <c r="B882" s="1" t="n">
        <v>44583</v>
      </c>
      <c r="C882" s="1" t="n">
        <v>46053</v>
      </c>
      <c r="D882" t="inlineStr">
        <is>
          <t>SKÅNE LÄN</t>
        </is>
      </c>
      <c r="E882" t="inlineStr">
        <is>
          <t>HÄSSLEHOLM</t>
        </is>
      </c>
      <c r="G882" t="n">
        <v>3</v>
      </c>
      <c r="H882" t="n">
        <v>0</v>
      </c>
      <c r="I882" t="n">
        <v>0</v>
      </c>
      <c r="J882" t="n">
        <v>0</v>
      </c>
      <c r="K882" t="n">
        <v>0</v>
      </c>
      <c r="L882" t="n">
        <v>0</v>
      </c>
      <c r="M882" t="n">
        <v>0</v>
      </c>
      <c r="N882" t="n">
        <v>0</v>
      </c>
      <c r="O882" t="n">
        <v>0</v>
      </c>
      <c r="P882" t="n">
        <v>0</v>
      </c>
      <c r="Q882" t="n">
        <v>0</v>
      </c>
      <c r="R882" s="2" t="inlineStr"/>
    </row>
    <row r="883" ht="15" customHeight="1">
      <c r="A883" t="inlineStr">
        <is>
          <t>A 6310-2025</t>
        </is>
      </c>
      <c r="B883" s="1" t="n">
        <v>45698</v>
      </c>
      <c r="C883" s="1" t="n">
        <v>46053</v>
      </c>
      <c r="D883" t="inlineStr">
        <is>
          <t>SKÅNE LÄN</t>
        </is>
      </c>
      <c r="E883" t="inlineStr">
        <is>
          <t>HÄSSLEHOLM</t>
        </is>
      </c>
      <c r="G883" t="n">
        <v>2.7</v>
      </c>
      <c r="H883" t="n">
        <v>0</v>
      </c>
      <c r="I883" t="n">
        <v>0</v>
      </c>
      <c r="J883" t="n">
        <v>0</v>
      </c>
      <c r="K883" t="n">
        <v>0</v>
      </c>
      <c r="L883" t="n">
        <v>0</v>
      </c>
      <c r="M883" t="n">
        <v>0</v>
      </c>
      <c r="N883" t="n">
        <v>0</v>
      </c>
      <c r="O883" t="n">
        <v>0</v>
      </c>
      <c r="P883" t="n">
        <v>0</v>
      </c>
      <c r="Q883" t="n">
        <v>0</v>
      </c>
      <c r="R883" s="2" t="inlineStr"/>
    </row>
    <row r="884" ht="15" customHeight="1">
      <c r="A884" t="inlineStr">
        <is>
          <t>A 4981-2026</t>
        </is>
      </c>
      <c r="B884" s="1" t="n">
        <v>46049.37100694444</v>
      </c>
      <c r="C884" s="1" t="n">
        <v>46053</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16474-2025</t>
        </is>
      </c>
      <c r="B885" s="1" t="n">
        <v>45751.56834490741</v>
      </c>
      <c r="C885" s="1" t="n">
        <v>46053</v>
      </c>
      <c r="D885" t="inlineStr">
        <is>
          <t>SKÅNE LÄN</t>
        </is>
      </c>
      <c r="E885" t="inlineStr">
        <is>
          <t>HÄSSLEHOLM</t>
        </is>
      </c>
      <c r="G885" t="n">
        <v>5.9</v>
      </c>
      <c r="H885" t="n">
        <v>0</v>
      </c>
      <c r="I885" t="n">
        <v>0</v>
      </c>
      <c r="J885" t="n">
        <v>0</v>
      </c>
      <c r="K885" t="n">
        <v>0</v>
      </c>
      <c r="L885" t="n">
        <v>0</v>
      </c>
      <c r="M885" t="n">
        <v>0</v>
      </c>
      <c r="N885" t="n">
        <v>0</v>
      </c>
      <c r="O885" t="n">
        <v>0</v>
      </c>
      <c r="P885" t="n">
        <v>0</v>
      </c>
      <c r="Q885" t="n">
        <v>0</v>
      </c>
      <c r="R885" s="2" t="inlineStr"/>
    </row>
    <row r="886" ht="15" customHeight="1">
      <c r="A886" t="inlineStr">
        <is>
          <t>A 8524-2024</t>
        </is>
      </c>
      <c r="B886" s="1" t="n">
        <v>45355.48570601852</v>
      </c>
      <c r="C886" s="1" t="n">
        <v>46053</v>
      </c>
      <c r="D886" t="inlineStr">
        <is>
          <t>SKÅNE LÄN</t>
        </is>
      </c>
      <c r="E886" t="inlineStr">
        <is>
          <t>HÄSSLEHOLM</t>
        </is>
      </c>
      <c r="G886" t="n">
        <v>4</v>
      </c>
      <c r="H886" t="n">
        <v>0</v>
      </c>
      <c r="I886" t="n">
        <v>0</v>
      </c>
      <c r="J886" t="n">
        <v>0</v>
      </c>
      <c r="K886" t="n">
        <v>0</v>
      </c>
      <c r="L886" t="n">
        <v>0</v>
      </c>
      <c r="M886" t="n">
        <v>0</v>
      </c>
      <c r="N886" t="n">
        <v>0</v>
      </c>
      <c r="O886" t="n">
        <v>0</v>
      </c>
      <c r="P886" t="n">
        <v>0</v>
      </c>
      <c r="Q886" t="n">
        <v>0</v>
      </c>
      <c r="R886" s="2" t="inlineStr"/>
    </row>
    <row r="887" ht="15" customHeight="1">
      <c r="A887" t="inlineStr">
        <is>
          <t>A 22157-2024</t>
        </is>
      </c>
      <c r="B887" s="1" t="n">
        <v>45445.85290509259</v>
      </c>
      <c r="C887" s="1" t="n">
        <v>46053</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14145-2023</t>
        </is>
      </c>
      <c r="B888" s="1" t="n">
        <v>45009</v>
      </c>
      <c r="C888" s="1" t="n">
        <v>46053</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46053</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58272-2024</t>
        </is>
      </c>
      <c r="B890" s="1" t="n">
        <v>45632.57025462963</v>
      </c>
      <c r="C890" s="1" t="n">
        <v>46053</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5503-2026</t>
        </is>
      </c>
      <c r="B891" s="1" t="n">
        <v>46050.62509259259</v>
      </c>
      <c r="C891" s="1" t="n">
        <v>46053</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31391-2023</t>
        </is>
      </c>
      <c r="B892" s="1" t="n">
        <v>45114.56143518518</v>
      </c>
      <c r="C892" s="1" t="n">
        <v>46053</v>
      </c>
      <c r="D892" t="inlineStr">
        <is>
          <t>SKÅNE LÄN</t>
        </is>
      </c>
      <c r="E892" t="inlineStr">
        <is>
          <t>HÄSSLEHOLM</t>
        </is>
      </c>
      <c r="G892" t="n">
        <v>3.1</v>
      </c>
      <c r="H892" t="n">
        <v>0</v>
      </c>
      <c r="I892" t="n">
        <v>0</v>
      </c>
      <c r="J892" t="n">
        <v>0</v>
      </c>
      <c r="K892" t="n">
        <v>0</v>
      </c>
      <c r="L892" t="n">
        <v>0</v>
      </c>
      <c r="M892" t="n">
        <v>0</v>
      </c>
      <c r="N892" t="n">
        <v>0</v>
      </c>
      <c r="O892" t="n">
        <v>0</v>
      </c>
      <c r="P892" t="n">
        <v>0</v>
      </c>
      <c r="Q892" t="n">
        <v>0</v>
      </c>
      <c r="R892" s="2" t="inlineStr"/>
    </row>
    <row r="893" ht="15" customHeight="1">
      <c r="A893" t="inlineStr">
        <is>
          <t>A 45361-2023</t>
        </is>
      </c>
      <c r="B893" s="1" t="n">
        <v>45192.49068287037</v>
      </c>
      <c r="C893" s="1" t="n">
        <v>46053</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54426-2025</t>
        </is>
      </c>
      <c r="B894" s="1" t="n">
        <v>45965</v>
      </c>
      <c r="C894" s="1" t="n">
        <v>46053</v>
      </c>
      <c r="D894" t="inlineStr">
        <is>
          <t>SKÅNE LÄN</t>
        </is>
      </c>
      <c r="E894" t="inlineStr">
        <is>
          <t>HÄSSLEHOLM</t>
        </is>
      </c>
      <c r="G894" t="n">
        <v>3.7</v>
      </c>
      <c r="H894" t="n">
        <v>0</v>
      </c>
      <c r="I894" t="n">
        <v>0</v>
      </c>
      <c r="J894" t="n">
        <v>0</v>
      </c>
      <c r="K894" t="n">
        <v>0</v>
      </c>
      <c r="L894" t="n">
        <v>0</v>
      </c>
      <c r="M894" t="n">
        <v>0</v>
      </c>
      <c r="N894" t="n">
        <v>0</v>
      </c>
      <c r="O894" t="n">
        <v>0</v>
      </c>
      <c r="P894" t="n">
        <v>0</v>
      </c>
      <c r="Q894" t="n">
        <v>0</v>
      </c>
      <c r="R894" s="2" t="inlineStr"/>
    </row>
    <row r="895" ht="15" customHeight="1">
      <c r="A895" t="inlineStr">
        <is>
          <t>A 45220-2023</t>
        </is>
      </c>
      <c r="B895" s="1" t="n">
        <v>45191</v>
      </c>
      <c r="C895" s="1" t="n">
        <v>46053</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5497-2026</t>
        </is>
      </c>
      <c r="B896" s="1" t="n">
        <v>46050.61875</v>
      </c>
      <c r="C896" s="1" t="n">
        <v>46053</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5516-2026</t>
        </is>
      </c>
      <c r="B897" s="1" t="n">
        <v>46050.64197916666</v>
      </c>
      <c r="C897" s="1" t="n">
        <v>46053</v>
      </c>
      <c r="D897" t="inlineStr">
        <is>
          <t>SKÅNE LÄN</t>
        </is>
      </c>
      <c r="E897" t="inlineStr">
        <is>
          <t>HÄSSLEHOLM</t>
        </is>
      </c>
      <c r="G897" t="n">
        <v>1.9</v>
      </c>
      <c r="H897" t="n">
        <v>0</v>
      </c>
      <c r="I897" t="n">
        <v>0</v>
      </c>
      <c r="J897" t="n">
        <v>0</v>
      </c>
      <c r="K897" t="n">
        <v>0</v>
      </c>
      <c r="L897" t="n">
        <v>0</v>
      </c>
      <c r="M897" t="n">
        <v>0</v>
      </c>
      <c r="N897" t="n">
        <v>0</v>
      </c>
      <c r="O897" t="n">
        <v>0</v>
      </c>
      <c r="P897" t="n">
        <v>0</v>
      </c>
      <c r="Q897" t="n">
        <v>0</v>
      </c>
      <c r="R897" s="2" t="inlineStr"/>
    </row>
    <row r="898" ht="15" customHeight="1">
      <c r="A898" t="inlineStr">
        <is>
          <t>A 38712-2024</t>
        </is>
      </c>
      <c r="B898" s="1" t="n">
        <v>45547</v>
      </c>
      <c r="C898" s="1" t="n">
        <v>46053</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57647-2024</t>
        </is>
      </c>
      <c r="B899" s="1" t="n">
        <v>45630</v>
      </c>
      <c r="C899" s="1" t="n">
        <v>46053</v>
      </c>
      <c r="D899" t="inlineStr">
        <is>
          <t>SKÅNE LÄN</t>
        </is>
      </c>
      <c r="E899" t="inlineStr">
        <is>
          <t>HÄSSLEHOLM</t>
        </is>
      </c>
      <c r="G899" t="n">
        <v>2.9</v>
      </c>
      <c r="H899" t="n">
        <v>0</v>
      </c>
      <c r="I899" t="n">
        <v>0</v>
      </c>
      <c r="J899" t="n">
        <v>0</v>
      </c>
      <c r="K899" t="n">
        <v>0</v>
      </c>
      <c r="L899" t="n">
        <v>0</v>
      </c>
      <c r="M899" t="n">
        <v>0</v>
      </c>
      <c r="N899" t="n">
        <v>0</v>
      </c>
      <c r="O899" t="n">
        <v>0</v>
      </c>
      <c r="P899" t="n">
        <v>0</v>
      </c>
      <c r="Q899" t="n">
        <v>0</v>
      </c>
      <c r="R899" s="2" t="inlineStr"/>
    </row>
    <row r="900" ht="15" customHeight="1">
      <c r="A900" t="inlineStr">
        <is>
          <t>A 61182-2024</t>
        </is>
      </c>
      <c r="B900" s="1" t="n">
        <v>45645</v>
      </c>
      <c r="C900" s="1" t="n">
        <v>46053</v>
      </c>
      <c r="D900" t="inlineStr">
        <is>
          <t>SKÅNE LÄN</t>
        </is>
      </c>
      <c r="E900" t="inlineStr">
        <is>
          <t>HÄSSLEHOLM</t>
        </is>
      </c>
      <c r="G900" t="n">
        <v>3.2</v>
      </c>
      <c r="H900" t="n">
        <v>0</v>
      </c>
      <c r="I900" t="n">
        <v>0</v>
      </c>
      <c r="J900" t="n">
        <v>0</v>
      </c>
      <c r="K900" t="n">
        <v>0</v>
      </c>
      <c r="L900" t="n">
        <v>0</v>
      </c>
      <c r="M900" t="n">
        <v>0</v>
      </c>
      <c r="N900" t="n">
        <v>0</v>
      </c>
      <c r="O900" t="n">
        <v>0</v>
      </c>
      <c r="P900" t="n">
        <v>0</v>
      </c>
      <c r="Q900" t="n">
        <v>0</v>
      </c>
      <c r="R900" s="2" t="inlineStr"/>
    </row>
    <row r="901" ht="15" customHeight="1">
      <c r="A901" t="inlineStr">
        <is>
          <t>A 63284-2025</t>
        </is>
      </c>
      <c r="B901" s="1" t="n">
        <v>46010</v>
      </c>
      <c r="C901" s="1" t="n">
        <v>46053</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54798-2025</t>
        </is>
      </c>
      <c r="B902" s="1" t="n">
        <v>45966</v>
      </c>
      <c r="C902" s="1" t="n">
        <v>46053</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13990-2022</t>
        </is>
      </c>
      <c r="B903" s="1" t="n">
        <v>44650</v>
      </c>
      <c r="C903" s="1" t="n">
        <v>46053</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4994-2026</t>
        </is>
      </c>
      <c r="B904" s="1" t="n">
        <v>46049</v>
      </c>
      <c r="C904" s="1" t="n">
        <v>46053</v>
      </c>
      <c r="D904" t="inlineStr">
        <is>
          <t>SKÅNE LÄN</t>
        </is>
      </c>
      <c r="E904" t="inlineStr">
        <is>
          <t>HÄSSLEHOLM</t>
        </is>
      </c>
      <c r="G904" t="n">
        <v>2.4</v>
      </c>
      <c r="H904" t="n">
        <v>0</v>
      </c>
      <c r="I904" t="n">
        <v>0</v>
      </c>
      <c r="J904" t="n">
        <v>0</v>
      </c>
      <c r="K904" t="n">
        <v>0</v>
      </c>
      <c r="L904" t="n">
        <v>0</v>
      </c>
      <c r="M904" t="n">
        <v>0</v>
      </c>
      <c r="N904" t="n">
        <v>0</v>
      </c>
      <c r="O904" t="n">
        <v>0</v>
      </c>
      <c r="P904" t="n">
        <v>0</v>
      </c>
      <c r="Q904" t="n">
        <v>0</v>
      </c>
      <c r="R904" s="2" t="inlineStr"/>
    </row>
    <row r="905" ht="15" customHeight="1">
      <c r="A905" t="inlineStr">
        <is>
          <t>A 25219-2023</t>
        </is>
      </c>
      <c r="B905" s="1" t="n">
        <v>45086.60541666667</v>
      </c>
      <c r="C905" s="1" t="n">
        <v>46053</v>
      </c>
      <c r="D905" t="inlineStr">
        <is>
          <t>SKÅNE LÄN</t>
        </is>
      </c>
      <c r="E905" t="inlineStr">
        <is>
          <t>HÄSSLEHOLM</t>
        </is>
      </c>
      <c r="G905" t="n">
        <v>6.9</v>
      </c>
      <c r="H905" t="n">
        <v>0</v>
      </c>
      <c r="I905" t="n">
        <v>0</v>
      </c>
      <c r="J905" t="n">
        <v>0</v>
      </c>
      <c r="K905" t="n">
        <v>0</v>
      </c>
      <c r="L905" t="n">
        <v>0</v>
      </c>
      <c r="M905" t="n">
        <v>0</v>
      </c>
      <c r="N905" t="n">
        <v>0</v>
      </c>
      <c r="O905" t="n">
        <v>0</v>
      </c>
      <c r="P905" t="n">
        <v>0</v>
      </c>
      <c r="Q905" t="n">
        <v>0</v>
      </c>
      <c r="R905" s="2" t="inlineStr"/>
    </row>
    <row r="906" ht="15" customHeight="1">
      <c r="A906" t="inlineStr">
        <is>
          <t>A 9302-2025</t>
        </is>
      </c>
      <c r="B906" s="1" t="n">
        <v>45714.67233796296</v>
      </c>
      <c r="C906" s="1" t="n">
        <v>46053</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9322-2025</t>
        </is>
      </c>
      <c r="B907" s="1" t="n">
        <v>45714.72241898148</v>
      </c>
      <c r="C907" s="1" t="n">
        <v>46053</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37300-2023</t>
        </is>
      </c>
      <c r="B908" s="1" t="n">
        <v>45156</v>
      </c>
      <c r="C908" s="1" t="n">
        <v>46053</v>
      </c>
      <c r="D908" t="inlineStr">
        <is>
          <t>SKÅNE LÄN</t>
        </is>
      </c>
      <c r="E908" t="inlineStr">
        <is>
          <t>HÄSSLEHOLM</t>
        </is>
      </c>
      <c r="G908" t="n">
        <v>1.5</v>
      </c>
      <c r="H908" t="n">
        <v>0</v>
      </c>
      <c r="I908" t="n">
        <v>0</v>
      </c>
      <c r="J908" t="n">
        <v>0</v>
      </c>
      <c r="K908" t="n">
        <v>0</v>
      </c>
      <c r="L908" t="n">
        <v>0</v>
      </c>
      <c r="M908" t="n">
        <v>0</v>
      </c>
      <c r="N908" t="n">
        <v>0</v>
      </c>
      <c r="O908" t="n">
        <v>0</v>
      </c>
      <c r="P908" t="n">
        <v>0</v>
      </c>
      <c r="Q908" t="n">
        <v>0</v>
      </c>
      <c r="R908" s="2" t="inlineStr"/>
    </row>
    <row r="909" ht="15" customHeight="1">
      <c r="A909" t="inlineStr">
        <is>
          <t>A 47352-2025</t>
        </is>
      </c>
      <c r="B909" s="1" t="n">
        <v>45930</v>
      </c>
      <c r="C909" s="1" t="n">
        <v>46053</v>
      </c>
      <c r="D909" t="inlineStr">
        <is>
          <t>SKÅNE LÄN</t>
        </is>
      </c>
      <c r="E909" t="inlineStr">
        <is>
          <t>HÄSSLEHOLM</t>
        </is>
      </c>
      <c r="G909" t="n">
        <v>16.6</v>
      </c>
      <c r="H909" t="n">
        <v>0</v>
      </c>
      <c r="I909" t="n">
        <v>0</v>
      </c>
      <c r="J909" t="n">
        <v>0</v>
      </c>
      <c r="K909" t="n">
        <v>0</v>
      </c>
      <c r="L909" t="n">
        <v>0</v>
      </c>
      <c r="M909" t="n">
        <v>0</v>
      </c>
      <c r="N909" t="n">
        <v>0</v>
      </c>
      <c r="O909" t="n">
        <v>0</v>
      </c>
      <c r="P909" t="n">
        <v>0</v>
      </c>
      <c r="Q909" t="n">
        <v>0</v>
      </c>
      <c r="R909" s="2" t="inlineStr"/>
    </row>
    <row r="910" ht="15" customHeight="1">
      <c r="A910" t="inlineStr">
        <is>
          <t>A 47422-2025</t>
        </is>
      </c>
      <c r="B910" s="1" t="n">
        <v>45930</v>
      </c>
      <c r="C910" s="1" t="n">
        <v>46053</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63354-2025</t>
        </is>
      </c>
      <c r="B911" s="1" t="n">
        <v>46010.66957175926</v>
      </c>
      <c r="C911" s="1" t="n">
        <v>46053</v>
      </c>
      <c r="D911" t="inlineStr">
        <is>
          <t>SKÅNE LÄN</t>
        </is>
      </c>
      <c r="E911" t="inlineStr">
        <is>
          <t>HÄSSLEHOLM</t>
        </is>
      </c>
      <c r="G911" t="n">
        <v>1.3</v>
      </c>
      <c r="H911" t="n">
        <v>0</v>
      </c>
      <c r="I911" t="n">
        <v>0</v>
      </c>
      <c r="J911" t="n">
        <v>0</v>
      </c>
      <c r="K911" t="n">
        <v>0</v>
      </c>
      <c r="L911" t="n">
        <v>0</v>
      </c>
      <c r="M911" t="n">
        <v>0</v>
      </c>
      <c r="N911" t="n">
        <v>0</v>
      </c>
      <c r="O911" t="n">
        <v>0</v>
      </c>
      <c r="P911" t="n">
        <v>0</v>
      </c>
      <c r="Q911" t="n">
        <v>0</v>
      </c>
      <c r="R911" s="2" t="inlineStr"/>
    </row>
    <row r="912" ht="15" customHeight="1">
      <c r="A912" t="inlineStr">
        <is>
          <t>A 63510-2025</t>
        </is>
      </c>
      <c r="B912" s="1" t="n">
        <v>46013.49172453704</v>
      </c>
      <c r="C912" s="1" t="n">
        <v>46053</v>
      </c>
      <c r="D912" t="inlineStr">
        <is>
          <t>SKÅNE LÄN</t>
        </is>
      </c>
      <c r="E912" t="inlineStr">
        <is>
          <t>HÄSSLEHOLM</t>
        </is>
      </c>
      <c r="F912" t="inlineStr">
        <is>
          <t>Kommuner</t>
        </is>
      </c>
      <c r="G912" t="n">
        <v>2</v>
      </c>
      <c r="H912" t="n">
        <v>0</v>
      </c>
      <c r="I912" t="n">
        <v>0</v>
      </c>
      <c r="J912" t="n">
        <v>0</v>
      </c>
      <c r="K912" t="n">
        <v>0</v>
      </c>
      <c r="L912" t="n">
        <v>0</v>
      </c>
      <c r="M912" t="n">
        <v>0</v>
      </c>
      <c r="N912" t="n">
        <v>0</v>
      </c>
      <c r="O912" t="n">
        <v>0</v>
      </c>
      <c r="P912" t="n">
        <v>0</v>
      </c>
      <c r="Q912" t="n">
        <v>0</v>
      </c>
      <c r="R912" s="2" t="inlineStr"/>
    </row>
    <row r="913" ht="15" customHeight="1">
      <c r="A913" t="inlineStr">
        <is>
          <t>A 61215-2025</t>
        </is>
      </c>
      <c r="B913" s="1" t="n">
        <v>46000</v>
      </c>
      <c r="C913" s="1" t="n">
        <v>46053</v>
      </c>
      <c r="D913" t="inlineStr">
        <is>
          <t>SKÅNE LÄN</t>
        </is>
      </c>
      <c r="E913" t="inlineStr">
        <is>
          <t>HÄSSLEHOLM</t>
        </is>
      </c>
      <c r="G913" t="n">
        <v>3.5</v>
      </c>
      <c r="H913" t="n">
        <v>0</v>
      </c>
      <c r="I913" t="n">
        <v>0</v>
      </c>
      <c r="J913" t="n">
        <v>0</v>
      </c>
      <c r="K913" t="n">
        <v>0</v>
      </c>
      <c r="L913" t="n">
        <v>0</v>
      </c>
      <c r="M913" t="n">
        <v>0</v>
      </c>
      <c r="N913" t="n">
        <v>0</v>
      </c>
      <c r="O913" t="n">
        <v>0</v>
      </c>
      <c r="P913" t="n">
        <v>0</v>
      </c>
      <c r="Q913" t="n">
        <v>0</v>
      </c>
      <c r="R913" s="2" t="inlineStr"/>
    </row>
    <row r="914" ht="15" customHeight="1">
      <c r="A914" t="inlineStr">
        <is>
          <t>A 54807-2025</t>
        </is>
      </c>
      <c r="B914" s="1" t="n">
        <v>45966</v>
      </c>
      <c r="C914" s="1" t="n">
        <v>46053</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39915-2023</t>
        </is>
      </c>
      <c r="B915" s="1" t="n">
        <v>45168.4684375</v>
      </c>
      <c r="C915" s="1" t="n">
        <v>46053</v>
      </c>
      <c r="D915" t="inlineStr">
        <is>
          <t>SKÅNE LÄN</t>
        </is>
      </c>
      <c r="E915" t="inlineStr">
        <is>
          <t>HÄSSLEHOLM</t>
        </is>
      </c>
      <c r="G915" t="n">
        <v>0.4</v>
      </c>
      <c r="H915" t="n">
        <v>0</v>
      </c>
      <c r="I915" t="n">
        <v>0</v>
      </c>
      <c r="J915" t="n">
        <v>0</v>
      </c>
      <c r="K915" t="n">
        <v>0</v>
      </c>
      <c r="L915" t="n">
        <v>0</v>
      </c>
      <c r="M915" t="n">
        <v>0</v>
      </c>
      <c r="N915" t="n">
        <v>0</v>
      </c>
      <c r="O915" t="n">
        <v>0</v>
      </c>
      <c r="P915" t="n">
        <v>0</v>
      </c>
      <c r="Q915" t="n">
        <v>0</v>
      </c>
      <c r="R915" s="2" t="inlineStr"/>
    </row>
    <row r="916" ht="15" customHeight="1">
      <c r="A916" t="inlineStr">
        <is>
          <t>A 27349-2025</t>
        </is>
      </c>
      <c r="B916" s="1" t="n">
        <v>45812</v>
      </c>
      <c r="C916" s="1" t="n">
        <v>46053</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5757-2026</t>
        </is>
      </c>
      <c r="B917" s="1" t="n">
        <v>46051.61309027778</v>
      </c>
      <c r="C917" s="1" t="n">
        <v>46053</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47394-2025</t>
        </is>
      </c>
      <c r="B918" s="1" t="n">
        <v>45930</v>
      </c>
      <c r="C918" s="1" t="n">
        <v>46053</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47432-2025</t>
        </is>
      </c>
      <c r="B919" s="1" t="n">
        <v>45930</v>
      </c>
      <c r="C919" s="1" t="n">
        <v>46053</v>
      </c>
      <c r="D919" t="inlineStr">
        <is>
          <t>SKÅNE LÄN</t>
        </is>
      </c>
      <c r="E919" t="inlineStr">
        <is>
          <t>HÄSSLEHOLM</t>
        </is>
      </c>
      <c r="G919" t="n">
        <v>3.1</v>
      </c>
      <c r="H919" t="n">
        <v>0</v>
      </c>
      <c r="I919" t="n">
        <v>0</v>
      </c>
      <c r="J919" t="n">
        <v>0</v>
      </c>
      <c r="K919" t="n">
        <v>0</v>
      </c>
      <c r="L919" t="n">
        <v>0</v>
      </c>
      <c r="M919" t="n">
        <v>0</v>
      </c>
      <c r="N919" t="n">
        <v>0</v>
      </c>
      <c r="O919" t="n">
        <v>0</v>
      </c>
      <c r="P919" t="n">
        <v>0</v>
      </c>
      <c r="Q919" t="n">
        <v>0</v>
      </c>
      <c r="R919" s="2" t="inlineStr"/>
    </row>
    <row r="920" ht="15" customHeight="1">
      <c r="A920" t="inlineStr">
        <is>
          <t>A 47450-2025</t>
        </is>
      </c>
      <c r="B920" s="1" t="n">
        <v>45930</v>
      </c>
      <c r="C920" s="1" t="n">
        <v>46053</v>
      </c>
      <c r="D920" t="inlineStr">
        <is>
          <t>SKÅNE LÄN</t>
        </is>
      </c>
      <c r="E920" t="inlineStr">
        <is>
          <t>HÄSSLEHOLM</t>
        </is>
      </c>
      <c r="G920" t="n">
        <v>3.2</v>
      </c>
      <c r="H920" t="n">
        <v>0</v>
      </c>
      <c r="I920" t="n">
        <v>0</v>
      </c>
      <c r="J920" t="n">
        <v>0</v>
      </c>
      <c r="K920" t="n">
        <v>0</v>
      </c>
      <c r="L920" t="n">
        <v>0</v>
      </c>
      <c r="M920" t="n">
        <v>0</v>
      </c>
      <c r="N920" t="n">
        <v>0</v>
      </c>
      <c r="O920" t="n">
        <v>0</v>
      </c>
      <c r="P920" t="n">
        <v>0</v>
      </c>
      <c r="Q920" t="n">
        <v>0</v>
      </c>
      <c r="R920" s="2" t="inlineStr"/>
    </row>
    <row r="921" ht="15" customHeight="1">
      <c r="A921" t="inlineStr">
        <is>
          <t>A 35890-2023</t>
        </is>
      </c>
      <c r="B921" s="1" t="n">
        <v>45148</v>
      </c>
      <c r="C921" s="1" t="n">
        <v>46053</v>
      </c>
      <c r="D921" t="inlineStr">
        <is>
          <t>SKÅNE LÄN</t>
        </is>
      </c>
      <c r="E921" t="inlineStr">
        <is>
          <t>HÄSSLEHOLM</t>
        </is>
      </c>
      <c r="G921" t="n">
        <v>2</v>
      </c>
      <c r="H921" t="n">
        <v>0</v>
      </c>
      <c r="I921" t="n">
        <v>0</v>
      </c>
      <c r="J921" t="n">
        <v>0</v>
      </c>
      <c r="K921" t="n">
        <v>0</v>
      </c>
      <c r="L921" t="n">
        <v>0</v>
      </c>
      <c r="M921" t="n">
        <v>0</v>
      </c>
      <c r="N921" t="n">
        <v>0</v>
      </c>
      <c r="O921" t="n">
        <v>0</v>
      </c>
      <c r="P921" t="n">
        <v>0</v>
      </c>
      <c r="Q921" t="n">
        <v>0</v>
      </c>
      <c r="R921" s="2" t="inlineStr"/>
    </row>
    <row r="922" ht="15" customHeight="1">
      <c r="A922" t="inlineStr">
        <is>
          <t>A 35895-2023</t>
        </is>
      </c>
      <c r="B922" s="1" t="n">
        <v>45148</v>
      </c>
      <c r="C922" s="1" t="n">
        <v>46053</v>
      </c>
      <c r="D922" t="inlineStr">
        <is>
          <t>SKÅNE LÄN</t>
        </is>
      </c>
      <c r="E922" t="inlineStr">
        <is>
          <t>HÄSSLEHOLM</t>
        </is>
      </c>
      <c r="G922" t="n">
        <v>0.4</v>
      </c>
      <c r="H922" t="n">
        <v>0</v>
      </c>
      <c r="I922" t="n">
        <v>0</v>
      </c>
      <c r="J922" t="n">
        <v>0</v>
      </c>
      <c r="K922" t="n">
        <v>0</v>
      </c>
      <c r="L922" t="n">
        <v>0</v>
      </c>
      <c r="M922" t="n">
        <v>0</v>
      </c>
      <c r="N922" t="n">
        <v>0</v>
      </c>
      <c r="O922" t="n">
        <v>0</v>
      </c>
      <c r="P922" t="n">
        <v>0</v>
      </c>
      <c r="Q922" t="n">
        <v>0</v>
      </c>
      <c r="R922" s="2" t="inlineStr"/>
    </row>
    <row r="923" ht="15" customHeight="1">
      <c r="A923" t="inlineStr">
        <is>
          <t>A 5759-2026</t>
        </is>
      </c>
      <c r="B923" s="1" t="n">
        <v>46051.61814814815</v>
      </c>
      <c r="C923" s="1" t="n">
        <v>46053</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4750-2024</t>
        </is>
      </c>
      <c r="B924" s="1" t="n">
        <v>45328</v>
      </c>
      <c r="C924" s="1" t="n">
        <v>46053</v>
      </c>
      <c r="D924" t="inlineStr">
        <is>
          <t>SKÅNE LÄN</t>
        </is>
      </c>
      <c r="E924" t="inlineStr">
        <is>
          <t>HÄSSLEHOLM</t>
        </is>
      </c>
      <c r="G924" t="n">
        <v>0.3</v>
      </c>
      <c r="H924" t="n">
        <v>0</v>
      </c>
      <c r="I924" t="n">
        <v>0</v>
      </c>
      <c r="J924" t="n">
        <v>0</v>
      </c>
      <c r="K924" t="n">
        <v>0</v>
      </c>
      <c r="L924" t="n">
        <v>0</v>
      </c>
      <c r="M924" t="n">
        <v>0</v>
      </c>
      <c r="N924" t="n">
        <v>0</v>
      </c>
      <c r="O924" t="n">
        <v>0</v>
      </c>
      <c r="P924" t="n">
        <v>0</v>
      </c>
      <c r="Q924" t="n">
        <v>0</v>
      </c>
      <c r="R924" s="2" t="inlineStr"/>
    </row>
    <row r="925" ht="15" customHeight="1">
      <c r="A925" t="inlineStr">
        <is>
          <t>A 23956-2023</t>
        </is>
      </c>
      <c r="B925" s="1" t="n">
        <v>45078.62302083334</v>
      </c>
      <c r="C925" s="1" t="n">
        <v>46053</v>
      </c>
      <c r="D925" t="inlineStr">
        <is>
          <t>SKÅNE LÄN</t>
        </is>
      </c>
      <c r="E925" t="inlineStr">
        <is>
          <t>HÄSSLEHOLM</t>
        </is>
      </c>
      <c r="G925" t="n">
        <v>0.1</v>
      </c>
      <c r="H925" t="n">
        <v>0</v>
      </c>
      <c r="I925" t="n">
        <v>0</v>
      </c>
      <c r="J925" t="n">
        <v>0</v>
      </c>
      <c r="K925" t="n">
        <v>0</v>
      </c>
      <c r="L925" t="n">
        <v>0</v>
      </c>
      <c r="M925" t="n">
        <v>0</v>
      </c>
      <c r="N925" t="n">
        <v>0</v>
      </c>
      <c r="O925" t="n">
        <v>0</v>
      </c>
      <c r="P925" t="n">
        <v>0</v>
      </c>
      <c r="Q925" t="n">
        <v>0</v>
      </c>
      <c r="R925" s="2" t="inlineStr"/>
    </row>
    <row r="926" ht="15" customHeight="1">
      <c r="A926" t="inlineStr">
        <is>
          <t>A 11708-2025</t>
        </is>
      </c>
      <c r="B926" s="1" t="n">
        <v>45727.58626157408</v>
      </c>
      <c r="C926" s="1" t="n">
        <v>46053</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20510-2021</t>
        </is>
      </c>
      <c r="B927" s="1" t="n">
        <v>44315</v>
      </c>
      <c r="C927" s="1" t="n">
        <v>46053</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62417-2025</t>
        </is>
      </c>
      <c r="B928" s="1" t="n">
        <v>46007</v>
      </c>
      <c r="C928" s="1" t="n">
        <v>46053</v>
      </c>
      <c r="D928" t="inlineStr">
        <is>
          <t>SKÅNE LÄN</t>
        </is>
      </c>
      <c r="E928" t="inlineStr">
        <is>
          <t>HÄSSLEHOLM</t>
        </is>
      </c>
      <c r="G928" t="n">
        <v>2</v>
      </c>
      <c r="H928" t="n">
        <v>0</v>
      </c>
      <c r="I928" t="n">
        <v>0</v>
      </c>
      <c r="J928" t="n">
        <v>0</v>
      </c>
      <c r="K928" t="n">
        <v>0</v>
      </c>
      <c r="L928" t="n">
        <v>0</v>
      </c>
      <c r="M928" t="n">
        <v>0</v>
      </c>
      <c r="N928" t="n">
        <v>0</v>
      </c>
      <c r="O928" t="n">
        <v>0</v>
      </c>
      <c r="P928" t="n">
        <v>0</v>
      </c>
      <c r="Q928" t="n">
        <v>0</v>
      </c>
      <c r="R928" s="2" t="inlineStr"/>
    </row>
    <row r="929" ht="15" customHeight="1">
      <c r="A929" t="inlineStr">
        <is>
          <t>A 58689-2025</t>
        </is>
      </c>
      <c r="B929" s="1" t="n">
        <v>45986</v>
      </c>
      <c r="C929" s="1" t="n">
        <v>46053</v>
      </c>
      <c r="D929" t="inlineStr">
        <is>
          <t>SKÅNE LÄN</t>
        </is>
      </c>
      <c r="E929" t="inlineStr">
        <is>
          <t>HÄSSLEHOLM</t>
        </is>
      </c>
      <c r="G929" t="n">
        <v>3.1</v>
      </c>
      <c r="H929" t="n">
        <v>0</v>
      </c>
      <c r="I929" t="n">
        <v>0</v>
      </c>
      <c r="J929" t="n">
        <v>0</v>
      </c>
      <c r="K929" t="n">
        <v>0</v>
      </c>
      <c r="L929" t="n">
        <v>0</v>
      </c>
      <c r="M929" t="n">
        <v>0</v>
      </c>
      <c r="N929" t="n">
        <v>0</v>
      </c>
      <c r="O929" t="n">
        <v>0</v>
      </c>
      <c r="P929" t="n">
        <v>0</v>
      </c>
      <c r="Q929" t="n">
        <v>0</v>
      </c>
      <c r="R929" s="2" t="inlineStr"/>
    </row>
    <row r="930" ht="15" customHeight="1">
      <c r="A930" t="inlineStr">
        <is>
          <t>A 48112-2024</t>
        </is>
      </c>
      <c r="B930" s="1" t="n">
        <v>45589.6295949074</v>
      </c>
      <c r="C930" s="1" t="n">
        <v>46053</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24246-2023</t>
        </is>
      </c>
      <c r="B931" s="1" t="n">
        <v>45079</v>
      </c>
      <c r="C931" s="1" t="n">
        <v>46053</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24249-2023</t>
        </is>
      </c>
      <c r="B932" s="1" t="n">
        <v>45079.62466435185</v>
      </c>
      <c r="C932" s="1" t="n">
        <v>46053</v>
      </c>
      <c r="D932" t="inlineStr">
        <is>
          <t>SKÅNE LÄN</t>
        </is>
      </c>
      <c r="E932" t="inlineStr">
        <is>
          <t>HÄSSLEHOLM</t>
        </is>
      </c>
      <c r="G932" t="n">
        <v>0.7</v>
      </c>
      <c r="H932" t="n">
        <v>0</v>
      </c>
      <c r="I932" t="n">
        <v>0</v>
      </c>
      <c r="J932" t="n">
        <v>0</v>
      </c>
      <c r="K932" t="n">
        <v>0</v>
      </c>
      <c r="L932" t="n">
        <v>0</v>
      </c>
      <c r="M932" t="n">
        <v>0</v>
      </c>
      <c r="N932" t="n">
        <v>0</v>
      </c>
      <c r="O932" t="n">
        <v>0</v>
      </c>
      <c r="P932" t="n">
        <v>0</v>
      </c>
      <c r="Q932" t="n">
        <v>0</v>
      </c>
      <c r="R932" s="2" t="inlineStr"/>
    </row>
    <row r="933" ht="15" customHeight="1">
      <c r="A933" t="inlineStr">
        <is>
          <t>A 52548-2023</t>
        </is>
      </c>
      <c r="B933" s="1" t="n">
        <v>45218</v>
      </c>
      <c r="C933" s="1" t="n">
        <v>46053</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8160-2024</t>
        </is>
      </c>
      <c r="B934" s="1" t="n">
        <v>45351</v>
      </c>
      <c r="C934" s="1" t="n">
        <v>46053</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43696-2024</t>
        </is>
      </c>
      <c r="B935" s="1" t="n">
        <v>45569.58855324074</v>
      </c>
      <c r="C935" s="1" t="n">
        <v>46053</v>
      </c>
      <c r="D935" t="inlineStr">
        <is>
          <t>SKÅNE LÄN</t>
        </is>
      </c>
      <c r="E935" t="inlineStr">
        <is>
          <t>HÄSSLEHOLM</t>
        </is>
      </c>
      <c r="G935" t="n">
        <v>2.9</v>
      </c>
      <c r="H935" t="n">
        <v>0</v>
      </c>
      <c r="I935" t="n">
        <v>0</v>
      </c>
      <c r="J935" t="n">
        <v>0</v>
      </c>
      <c r="K935" t="n">
        <v>0</v>
      </c>
      <c r="L935" t="n">
        <v>0</v>
      </c>
      <c r="M935" t="n">
        <v>0</v>
      </c>
      <c r="N935" t="n">
        <v>0</v>
      </c>
      <c r="O935" t="n">
        <v>0</v>
      </c>
      <c r="P935" t="n">
        <v>0</v>
      </c>
      <c r="Q935" t="n">
        <v>0</v>
      </c>
      <c r="R935" s="2" t="inlineStr"/>
    </row>
    <row r="936" ht="15" customHeight="1">
      <c r="A936" t="inlineStr">
        <is>
          <t>A 12182-2025</t>
        </is>
      </c>
      <c r="B936" s="1" t="n">
        <v>45729</v>
      </c>
      <c r="C936" s="1" t="n">
        <v>46053</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20185-2023</t>
        </is>
      </c>
      <c r="B937" s="1" t="n">
        <v>45055.56795138889</v>
      </c>
      <c r="C937" s="1" t="n">
        <v>46053</v>
      </c>
      <c r="D937" t="inlineStr">
        <is>
          <t>SKÅNE LÄN</t>
        </is>
      </c>
      <c r="E937" t="inlineStr">
        <is>
          <t>HÄSSLEHOLM</t>
        </is>
      </c>
      <c r="G937" t="n">
        <v>3.5</v>
      </c>
      <c r="H937" t="n">
        <v>0</v>
      </c>
      <c r="I937" t="n">
        <v>0</v>
      </c>
      <c r="J937" t="n">
        <v>0</v>
      </c>
      <c r="K937" t="n">
        <v>0</v>
      </c>
      <c r="L937" t="n">
        <v>0</v>
      </c>
      <c r="M937" t="n">
        <v>0</v>
      </c>
      <c r="N937" t="n">
        <v>0</v>
      </c>
      <c r="O937" t="n">
        <v>0</v>
      </c>
      <c r="P937" t="n">
        <v>0</v>
      </c>
      <c r="Q937" t="n">
        <v>0</v>
      </c>
      <c r="R937" s="2" t="inlineStr"/>
    </row>
    <row r="938" ht="15" customHeight="1">
      <c r="A938" t="inlineStr">
        <is>
          <t>A 38376-2022</t>
        </is>
      </c>
      <c r="B938" s="1" t="n">
        <v>44812</v>
      </c>
      <c r="C938" s="1" t="n">
        <v>46053</v>
      </c>
      <c r="D938" t="inlineStr">
        <is>
          <t>SKÅNE LÄN</t>
        </is>
      </c>
      <c r="E938" t="inlineStr">
        <is>
          <t>HÄSSLEHOLM</t>
        </is>
      </c>
      <c r="G938" t="n">
        <v>1.9</v>
      </c>
      <c r="H938" t="n">
        <v>0</v>
      </c>
      <c r="I938" t="n">
        <v>0</v>
      </c>
      <c r="J938" t="n">
        <v>0</v>
      </c>
      <c r="K938" t="n">
        <v>0</v>
      </c>
      <c r="L938" t="n">
        <v>0</v>
      </c>
      <c r="M938" t="n">
        <v>0</v>
      </c>
      <c r="N938" t="n">
        <v>0</v>
      </c>
      <c r="O938" t="n">
        <v>0</v>
      </c>
      <c r="P938" t="n">
        <v>0</v>
      </c>
      <c r="Q938" t="n">
        <v>0</v>
      </c>
      <c r="R938" s="2" t="inlineStr"/>
    </row>
    <row r="939" ht="15" customHeight="1">
      <c r="A939" t="inlineStr">
        <is>
          <t>A 18908-2023</t>
        </is>
      </c>
      <c r="B939" s="1" t="n">
        <v>45044</v>
      </c>
      <c r="C939" s="1" t="n">
        <v>46053</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61436-2024</t>
        </is>
      </c>
      <c r="B940" s="1" t="n">
        <v>45646.46329861111</v>
      </c>
      <c r="C940" s="1" t="n">
        <v>46053</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54435-2024</t>
        </is>
      </c>
      <c r="B941" s="1" t="n">
        <v>45617.49494212963</v>
      </c>
      <c r="C941" s="1" t="n">
        <v>46053</v>
      </c>
      <c r="D941" t="inlineStr">
        <is>
          <t>SKÅNE LÄN</t>
        </is>
      </c>
      <c r="E941" t="inlineStr">
        <is>
          <t>HÄSSLEHOLM</t>
        </is>
      </c>
      <c r="G941" t="n">
        <v>2.3</v>
      </c>
      <c r="H941" t="n">
        <v>0</v>
      </c>
      <c r="I941" t="n">
        <v>0</v>
      </c>
      <c r="J941" t="n">
        <v>0</v>
      </c>
      <c r="K941" t="n">
        <v>0</v>
      </c>
      <c r="L941" t="n">
        <v>0</v>
      </c>
      <c r="M941" t="n">
        <v>0</v>
      </c>
      <c r="N941" t="n">
        <v>0</v>
      </c>
      <c r="O941" t="n">
        <v>0</v>
      </c>
      <c r="P941" t="n">
        <v>0</v>
      </c>
      <c r="Q941" t="n">
        <v>0</v>
      </c>
      <c r="R941" s="2" t="inlineStr"/>
    </row>
    <row r="942" ht="15" customHeight="1">
      <c r="A942" t="inlineStr">
        <is>
          <t>A 720-2025</t>
        </is>
      </c>
      <c r="B942" s="1" t="n">
        <v>45665.3744212963</v>
      </c>
      <c r="C942" s="1" t="n">
        <v>46053</v>
      </c>
      <c r="D942" t="inlineStr">
        <is>
          <t>SKÅNE LÄN</t>
        </is>
      </c>
      <c r="E942" t="inlineStr">
        <is>
          <t>HÄSSLEHOLM</t>
        </is>
      </c>
      <c r="G942" t="n">
        <v>1.3</v>
      </c>
      <c r="H942" t="n">
        <v>0</v>
      </c>
      <c r="I942" t="n">
        <v>0</v>
      </c>
      <c r="J942" t="n">
        <v>0</v>
      </c>
      <c r="K942" t="n">
        <v>0</v>
      </c>
      <c r="L942" t="n">
        <v>0</v>
      </c>
      <c r="M942" t="n">
        <v>0</v>
      </c>
      <c r="N942" t="n">
        <v>0</v>
      </c>
      <c r="O942" t="n">
        <v>0</v>
      </c>
      <c r="P942" t="n">
        <v>0</v>
      </c>
      <c r="Q942" t="n">
        <v>0</v>
      </c>
      <c r="R942" s="2" t="inlineStr"/>
    </row>
    <row r="943" ht="15" customHeight="1">
      <c r="A943" t="inlineStr">
        <is>
          <t>A 31581-2023</t>
        </is>
      </c>
      <c r="B943" s="1" t="n">
        <v>45117.45165509259</v>
      </c>
      <c r="C943" s="1" t="n">
        <v>46053</v>
      </c>
      <c r="D943" t="inlineStr">
        <is>
          <t>SKÅNE LÄN</t>
        </is>
      </c>
      <c r="E943" t="inlineStr">
        <is>
          <t>HÄSSLEHOLM</t>
        </is>
      </c>
      <c r="G943" t="n">
        <v>1.7</v>
      </c>
      <c r="H943" t="n">
        <v>0</v>
      </c>
      <c r="I943" t="n">
        <v>0</v>
      </c>
      <c r="J943" t="n">
        <v>0</v>
      </c>
      <c r="K943" t="n">
        <v>0</v>
      </c>
      <c r="L943" t="n">
        <v>0</v>
      </c>
      <c r="M943" t="n">
        <v>0</v>
      </c>
      <c r="N943" t="n">
        <v>0</v>
      </c>
      <c r="O943" t="n">
        <v>0</v>
      </c>
      <c r="P943" t="n">
        <v>0</v>
      </c>
      <c r="Q943" t="n">
        <v>0</v>
      </c>
      <c r="R943" s="2" t="inlineStr"/>
    </row>
    <row r="944" ht="15" customHeight="1">
      <c r="A944" t="inlineStr">
        <is>
          <t>A 33597-2023</t>
        </is>
      </c>
      <c r="B944" s="1" t="n">
        <v>45132</v>
      </c>
      <c r="C944" s="1" t="n">
        <v>46053</v>
      </c>
      <c r="D944" t="inlineStr">
        <is>
          <t>SKÅNE LÄN</t>
        </is>
      </c>
      <c r="E944" t="inlineStr">
        <is>
          <t>HÄSSLEHOLM</t>
        </is>
      </c>
      <c r="G944" t="n">
        <v>3.9</v>
      </c>
      <c r="H944" t="n">
        <v>0</v>
      </c>
      <c r="I944" t="n">
        <v>0</v>
      </c>
      <c r="J944" t="n">
        <v>0</v>
      </c>
      <c r="K944" t="n">
        <v>0</v>
      </c>
      <c r="L944" t="n">
        <v>0</v>
      </c>
      <c r="M944" t="n">
        <v>0</v>
      </c>
      <c r="N944" t="n">
        <v>0</v>
      </c>
      <c r="O944" t="n">
        <v>0</v>
      </c>
      <c r="P944" t="n">
        <v>0</v>
      </c>
      <c r="Q944" t="n">
        <v>0</v>
      </c>
      <c r="R944" s="2" t="inlineStr"/>
    </row>
    <row r="945" ht="15" customHeight="1">
      <c r="A945" t="inlineStr">
        <is>
          <t>A 33599-2023</t>
        </is>
      </c>
      <c r="B945" s="1" t="n">
        <v>45132</v>
      </c>
      <c r="C945" s="1" t="n">
        <v>46053</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33938-2023</t>
        </is>
      </c>
      <c r="B946" s="1" t="n">
        <v>45124</v>
      </c>
      <c r="C946" s="1" t="n">
        <v>46053</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22693-2022</t>
        </is>
      </c>
      <c r="B947" s="1" t="n">
        <v>44714.54729166667</v>
      </c>
      <c r="C947" s="1" t="n">
        <v>46053</v>
      </c>
      <c r="D947" t="inlineStr">
        <is>
          <t>SKÅNE LÄN</t>
        </is>
      </c>
      <c r="E947" t="inlineStr">
        <is>
          <t>HÄSSLEHOLM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35889-2023</t>
        </is>
      </c>
      <c r="B948" s="1" t="n">
        <v>45148</v>
      </c>
      <c r="C948" s="1" t="n">
        <v>46053</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35894-2023</t>
        </is>
      </c>
      <c r="B949" s="1" t="n">
        <v>45148</v>
      </c>
      <c r="C949" s="1" t="n">
        <v>46053</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35974-2022</t>
        </is>
      </c>
      <c r="B950" s="1" t="n">
        <v>44802</v>
      </c>
      <c r="C950" s="1" t="n">
        <v>46053</v>
      </c>
      <c r="D950" t="inlineStr">
        <is>
          <t>SKÅNE LÄN</t>
        </is>
      </c>
      <c r="E950" t="inlineStr">
        <is>
          <t>HÄSSLEHOLM</t>
        </is>
      </c>
      <c r="G950" t="n">
        <v>3.8</v>
      </c>
      <c r="H950" t="n">
        <v>0</v>
      </c>
      <c r="I950" t="n">
        <v>0</v>
      </c>
      <c r="J950" t="n">
        <v>0</v>
      </c>
      <c r="K950" t="n">
        <v>0</v>
      </c>
      <c r="L950" t="n">
        <v>0</v>
      </c>
      <c r="M950" t="n">
        <v>0</v>
      </c>
      <c r="N950" t="n">
        <v>0</v>
      </c>
      <c r="O950" t="n">
        <v>0</v>
      </c>
      <c r="P950" t="n">
        <v>0</v>
      </c>
      <c r="Q950" t="n">
        <v>0</v>
      </c>
      <c r="R950" s="2" t="inlineStr"/>
    </row>
    <row r="951" ht="15" customHeight="1">
      <c r="A951" t="inlineStr">
        <is>
          <t>A 24906-2022</t>
        </is>
      </c>
      <c r="B951" s="1" t="n">
        <v>44728</v>
      </c>
      <c r="C951" s="1" t="n">
        <v>46053</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7150-2025</t>
        </is>
      </c>
      <c r="B952" s="1" t="n">
        <v>45702.38239583333</v>
      </c>
      <c r="C952" s="1" t="n">
        <v>46053</v>
      </c>
      <c r="D952" t="inlineStr">
        <is>
          <t>SKÅNE LÄN</t>
        </is>
      </c>
      <c r="E952" t="inlineStr">
        <is>
          <t>HÄSSLEHOLM</t>
        </is>
      </c>
      <c r="G952" t="n">
        <v>2.3</v>
      </c>
      <c r="H952" t="n">
        <v>0</v>
      </c>
      <c r="I952" t="n">
        <v>0</v>
      </c>
      <c r="J952" t="n">
        <v>0</v>
      </c>
      <c r="K952" t="n">
        <v>0</v>
      </c>
      <c r="L952" t="n">
        <v>0</v>
      </c>
      <c r="M952" t="n">
        <v>0</v>
      </c>
      <c r="N952" t="n">
        <v>0</v>
      </c>
      <c r="O952" t="n">
        <v>0</v>
      </c>
      <c r="P952" t="n">
        <v>0</v>
      </c>
      <c r="Q952" t="n">
        <v>0</v>
      </c>
      <c r="R952" s="2" t="inlineStr"/>
    </row>
    <row r="953" ht="15" customHeight="1">
      <c r="A953" t="inlineStr">
        <is>
          <t>A 55303-2024</t>
        </is>
      </c>
      <c r="B953" s="1" t="n">
        <v>45621.6434837963</v>
      </c>
      <c r="C953" s="1" t="n">
        <v>46053</v>
      </c>
      <c r="D953" t="inlineStr">
        <is>
          <t>SKÅNE LÄN</t>
        </is>
      </c>
      <c r="E953" t="inlineStr">
        <is>
          <t>HÄSSLEHOLM</t>
        </is>
      </c>
      <c r="G953" t="n">
        <v>3.3</v>
      </c>
      <c r="H953" t="n">
        <v>0</v>
      </c>
      <c r="I953" t="n">
        <v>0</v>
      </c>
      <c r="J953" t="n">
        <v>0</v>
      </c>
      <c r="K953" t="n">
        <v>0</v>
      </c>
      <c r="L953" t="n">
        <v>0</v>
      </c>
      <c r="M953" t="n">
        <v>0</v>
      </c>
      <c r="N953" t="n">
        <v>0</v>
      </c>
      <c r="O953" t="n">
        <v>0</v>
      </c>
      <c r="P953" t="n">
        <v>0</v>
      </c>
      <c r="Q953" t="n">
        <v>0</v>
      </c>
      <c r="R953" s="2" t="inlineStr"/>
    </row>
    <row r="954" ht="15" customHeight="1">
      <c r="A954" t="inlineStr">
        <is>
          <t>A 16397-2022</t>
        </is>
      </c>
      <c r="B954" s="1" t="n">
        <v>44671</v>
      </c>
      <c r="C954" s="1" t="n">
        <v>46053</v>
      </c>
      <c r="D954" t="inlineStr">
        <is>
          <t>SKÅNE LÄN</t>
        </is>
      </c>
      <c r="E954" t="inlineStr">
        <is>
          <t>HÄSSLEHOLM</t>
        </is>
      </c>
      <c r="G954" t="n">
        <v>2.7</v>
      </c>
      <c r="H954" t="n">
        <v>0</v>
      </c>
      <c r="I954" t="n">
        <v>0</v>
      </c>
      <c r="J954" t="n">
        <v>0</v>
      </c>
      <c r="K954" t="n">
        <v>0</v>
      </c>
      <c r="L954" t="n">
        <v>0</v>
      </c>
      <c r="M954" t="n">
        <v>0</v>
      </c>
      <c r="N954" t="n">
        <v>0</v>
      </c>
      <c r="O954" t="n">
        <v>0</v>
      </c>
      <c r="P954" t="n">
        <v>0</v>
      </c>
      <c r="Q954" t="n">
        <v>0</v>
      </c>
      <c r="R954" s="2" t="inlineStr"/>
    </row>
    <row r="955" ht="15" customHeight="1">
      <c r="A955" t="inlineStr">
        <is>
          <t>A 16398-2022</t>
        </is>
      </c>
      <c r="B955" s="1" t="n">
        <v>44671</v>
      </c>
      <c r="C955" s="1" t="n">
        <v>46053</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59434-2023</t>
        </is>
      </c>
      <c r="B956" s="1" t="n">
        <v>45254.30440972222</v>
      </c>
      <c r="C956" s="1" t="n">
        <v>46053</v>
      </c>
      <c r="D956" t="inlineStr">
        <is>
          <t>SKÅNE LÄN</t>
        </is>
      </c>
      <c r="E956" t="inlineStr">
        <is>
          <t>HÄSSLEHOLM</t>
        </is>
      </c>
      <c r="G956" t="n">
        <v>3.6</v>
      </c>
      <c r="H956" t="n">
        <v>0</v>
      </c>
      <c r="I956" t="n">
        <v>0</v>
      </c>
      <c r="J956" t="n">
        <v>0</v>
      </c>
      <c r="K956" t="n">
        <v>0</v>
      </c>
      <c r="L956" t="n">
        <v>0</v>
      </c>
      <c r="M956" t="n">
        <v>0</v>
      </c>
      <c r="N956" t="n">
        <v>0</v>
      </c>
      <c r="O956" t="n">
        <v>0</v>
      </c>
      <c r="P956" t="n">
        <v>0</v>
      </c>
      <c r="Q956" t="n">
        <v>0</v>
      </c>
      <c r="R956" s="2" t="inlineStr"/>
    </row>
    <row r="957" ht="15" customHeight="1">
      <c r="A957" t="inlineStr">
        <is>
          <t>A 55284-2023</t>
        </is>
      </c>
      <c r="B957" s="1" t="n">
        <v>45237.74259259259</v>
      </c>
      <c r="C957" s="1" t="n">
        <v>46053</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22384-2024</t>
        </is>
      </c>
      <c r="B958" s="1" t="n">
        <v>45446.65592592592</v>
      </c>
      <c r="C958" s="1" t="n">
        <v>46053</v>
      </c>
      <c r="D958" t="inlineStr">
        <is>
          <t>SKÅNE LÄN</t>
        </is>
      </c>
      <c r="E958" t="inlineStr">
        <is>
          <t>HÄSSLEHOLM</t>
        </is>
      </c>
      <c r="G958" t="n">
        <v>2.4</v>
      </c>
      <c r="H958" t="n">
        <v>0</v>
      </c>
      <c r="I958" t="n">
        <v>0</v>
      </c>
      <c r="J958" t="n">
        <v>0</v>
      </c>
      <c r="K958" t="n">
        <v>0</v>
      </c>
      <c r="L958" t="n">
        <v>0</v>
      </c>
      <c r="M958" t="n">
        <v>0</v>
      </c>
      <c r="N958" t="n">
        <v>0</v>
      </c>
      <c r="O958" t="n">
        <v>0</v>
      </c>
      <c r="P958" t="n">
        <v>0</v>
      </c>
      <c r="Q958" t="n">
        <v>0</v>
      </c>
      <c r="R958" s="2" t="inlineStr"/>
    </row>
    <row r="959" ht="15" customHeight="1">
      <c r="A959" t="inlineStr">
        <is>
          <t>A 46641-2023</t>
        </is>
      </c>
      <c r="B959" s="1" t="n">
        <v>45198.44523148148</v>
      </c>
      <c r="C959" s="1" t="n">
        <v>46053</v>
      </c>
      <c r="D959" t="inlineStr">
        <is>
          <t>SKÅNE LÄN</t>
        </is>
      </c>
      <c r="E959" t="inlineStr">
        <is>
          <t>HÄSSLEHOLM</t>
        </is>
      </c>
      <c r="G959" t="n">
        <v>1.2</v>
      </c>
      <c r="H959" t="n">
        <v>0</v>
      </c>
      <c r="I959" t="n">
        <v>0</v>
      </c>
      <c r="J959" t="n">
        <v>0</v>
      </c>
      <c r="K959" t="n">
        <v>0</v>
      </c>
      <c r="L959" t="n">
        <v>0</v>
      </c>
      <c r="M959" t="n">
        <v>0</v>
      </c>
      <c r="N959" t="n">
        <v>0</v>
      </c>
      <c r="O959" t="n">
        <v>0</v>
      </c>
      <c r="P959" t="n">
        <v>0</v>
      </c>
      <c r="Q959" t="n">
        <v>0</v>
      </c>
      <c r="R959" s="2" t="inlineStr"/>
    </row>
    <row r="960" ht="15" customHeight="1">
      <c r="A960" t="inlineStr">
        <is>
          <t>A 46645-2023</t>
        </is>
      </c>
      <c r="B960" s="1" t="n">
        <v>45198.44686342592</v>
      </c>
      <c r="C960" s="1" t="n">
        <v>46053</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59556-2023</t>
        </is>
      </c>
      <c r="B961" s="1" t="n">
        <v>45254.56313657408</v>
      </c>
      <c r="C961" s="1" t="n">
        <v>46053</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9543-2025</t>
        </is>
      </c>
      <c r="B962" s="1" t="n">
        <v>45715</v>
      </c>
      <c r="C962" s="1" t="n">
        <v>46053</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51571-2023</t>
        </is>
      </c>
      <c r="B963" s="1" t="n">
        <v>45222</v>
      </c>
      <c r="C963" s="1" t="n">
        <v>46053</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27291-2023</t>
        </is>
      </c>
      <c r="B964" s="1" t="n">
        <v>45096</v>
      </c>
      <c r="C964" s="1" t="n">
        <v>46053</v>
      </c>
      <c r="D964" t="inlineStr">
        <is>
          <t>SKÅNE LÄN</t>
        </is>
      </c>
      <c r="E964" t="inlineStr">
        <is>
          <t>HÄSSLEHOLM</t>
        </is>
      </c>
      <c r="G964" t="n">
        <v>3.5</v>
      </c>
      <c r="H964" t="n">
        <v>0</v>
      </c>
      <c r="I964" t="n">
        <v>0</v>
      </c>
      <c r="J964" t="n">
        <v>0</v>
      </c>
      <c r="K964" t="n">
        <v>0</v>
      </c>
      <c r="L964" t="n">
        <v>0</v>
      </c>
      <c r="M964" t="n">
        <v>0</v>
      </c>
      <c r="N964" t="n">
        <v>0</v>
      </c>
      <c r="O964" t="n">
        <v>0</v>
      </c>
      <c r="P964" t="n">
        <v>0</v>
      </c>
      <c r="Q964" t="n">
        <v>0</v>
      </c>
      <c r="R964" s="2" t="inlineStr"/>
    </row>
    <row r="965" ht="15" customHeight="1">
      <c r="A965" t="inlineStr">
        <is>
          <t>A 48798-2023</t>
        </is>
      </c>
      <c r="B965" s="1" t="n">
        <v>45209.25318287037</v>
      </c>
      <c r="C965" s="1" t="n">
        <v>46053</v>
      </c>
      <c r="D965" t="inlineStr">
        <is>
          <t>SKÅNE LÄN</t>
        </is>
      </c>
      <c r="E965" t="inlineStr">
        <is>
          <t>HÄSSLEHOLM</t>
        </is>
      </c>
      <c r="G965" t="n">
        <v>2.1</v>
      </c>
      <c r="H965" t="n">
        <v>0</v>
      </c>
      <c r="I965" t="n">
        <v>0</v>
      </c>
      <c r="J965" t="n">
        <v>0</v>
      </c>
      <c r="K965" t="n">
        <v>0</v>
      </c>
      <c r="L965" t="n">
        <v>0</v>
      </c>
      <c r="M965" t="n">
        <v>0</v>
      </c>
      <c r="N965" t="n">
        <v>0</v>
      </c>
      <c r="O965" t="n">
        <v>0</v>
      </c>
      <c r="P965" t="n">
        <v>0</v>
      </c>
      <c r="Q965" t="n">
        <v>0</v>
      </c>
      <c r="R965" s="2" t="inlineStr"/>
    </row>
    <row r="966" ht="15" customHeight="1">
      <c r="A966" t="inlineStr">
        <is>
          <t>A 48627-2023</t>
        </is>
      </c>
      <c r="B966" s="1" t="n">
        <v>45208.57371527778</v>
      </c>
      <c r="C966" s="1" t="n">
        <v>46053</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17152-2025</t>
        </is>
      </c>
      <c r="B967" s="1" t="n">
        <v>45756.33318287037</v>
      </c>
      <c r="C967" s="1" t="n">
        <v>46053</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48326-2023</t>
        </is>
      </c>
      <c r="B968" s="1" t="n">
        <v>45205</v>
      </c>
      <c r="C968" s="1" t="n">
        <v>46053</v>
      </c>
      <c r="D968" t="inlineStr">
        <is>
          <t>SKÅNE LÄN</t>
        </is>
      </c>
      <c r="E968" t="inlineStr">
        <is>
          <t>HÄSSLEHOLM</t>
        </is>
      </c>
      <c r="G968" t="n">
        <v>12.7</v>
      </c>
      <c r="H968" t="n">
        <v>0</v>
      </c>
      <c r="I968" t="n">
        <v>0</v>
      </c>
      <c r="J968" t="n">
        <v>0</v>
      </c>
      <c r="K968" t="n">
        <v>0</v>
      </c>
      <c r="L968" t="n">
        <v>0</v>
      </c>
      <c r="M968" t="n">
        <v>0</v>
      </c>
      <c r="N968" t="n">
        <v>0</v>
      </c>
      <c r="O968" t="n">
        <v>0</v>
      </c>
      <c r="P968" t="n">
        <v>0</v>
      </c>
      <c r="Q968" t="n">
        <v>0</v>
      </c>
      <c r="R968" s="2" t="inlineStr"/>
    </row>
    <row r="969" ht="15" customHeight="1">
      <c r="A969" t="inlineStr">
        <is>
          <t>A 10752-2025</t>
        </is>
      </c>
      <c r="B969" s="1" t="n">
        <v>45722</v>
      </c>
      <c r="C969" s="1" t="n">
        <v>46053</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54462-2022</t>
        </is>
      </c>
      <c r="B970" s="1" t="n">
        <v>44882</v>
      </c>
      <c r="C970" s="1" t="n">
        <v>46053</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3890-2024</t>
        </is>
      </c>
      <c r="B971" s="1" t="n">
        <v>45322.45366898148</v>
      </c>
      <c r="C971" s="1" t="n">
        <v>46053</v>
      </c>
      <c r="D971" t="inlineStr">
        <is>
          <t>SKÅNE LÄN</t>
        </is>
      </c>
      <c r="E971" t="inlineStr">
        <is>
          <t>HÄSSLEHOLM</t>
        </is>
      </c>
      <c r="G971" t="n">
        <v>3</v>
      </c>
      <c r="H971" t="n">
        <v>0</v>
      </c>
      <c r="I971" t="n">
        <v>0</v>
      </c>
      <c r="J971" t="n">
        <v>0</v>
      </c>
      <c r="K971" t="n">
        <v>0</v>
      </c>
      <c r="L971" t="n">
        <v>0</v>
      </c>
      <c r="M971" t="n">
        <v>0</v>
      </c>
      <c r="N971" t="n">
        <v>0</v>
      </c>
      <c r="O971" t="n">
        <v>0</v>
      </c>
      <c r="P971" t="n">
        <v>0</v>
      </c>
      <c r="Q971" t="n">
        <v>0</v>
      </c>
      <c r="R971" s="2" t="inlineStr"/>
    </row>
    <row r="972" ht="15" customHeight="1">
      <c r="A972" t="inlineStr">
        <is>
          <t>A 54471-2023</t>
        </is>
      </c>
      <c r="B972" s="1" t="n">
        <v>45233.4640162037</v>
      </c>
      <c r="C972" s="1" t="n">
        <v>46053</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57963-2023</t>
        </is>
      </c>
      <c r="B973" s="1" t="n">
        <v>45247.57732638889</v>
      </c>
      <c r="C973" s="1" t="n">
        <v>46053</v>
      </c>
      <c r="D973" t="inlineStr">
        <is>
          <t>SKÅNE LÄN</t>
        </is>
      </c>
      <c r="E973" t="inlineStr">
        <is>
          <t>HÄSSLEHOLM</t>
        </is>
      </c>
      <c r="G973" t="n">
        <v>4.6</v>
      </c>
      <c r="H973" t="n">
        <v>0</v>
      </c>
      <c r="I973" t="n">
        <v>0</v>
      </c>
      <c r="J973" t="n">
        <v>0</v>
      </c>
      <c r="K973" t="n">
        <v>0</v>
      </c>
      <c r="L973" t="n">
        <v>0</v>
      </c>
      <c r="M973" t="n">
        <v>0</v>
      </c>
      <c r="N973" t="n">
        <v>0</v>
      </c>
      <c r="O973" t="n">
        <v>0</v>
      </c>
      <c r="P973" t="n">
        <v>0</v>
      </c>
      <c r="Q973" t="n">
        <v>0</v>
      </c>
      <c r="R973" s="2" t="inlineStr"/>
    </row>
    <row r="974" ht="15" customHeight="1">
      <c r="A974" t="inlineStr">
        <is>
          <t>A 59028-2023</t>
        </is>
      </c>
      <c r="B974" s="1" t="n">
        <v>45252.67900462963</v>
      </c>
      <c r="C974" s="1" t="n">
        <v>46053</v>
      </c>
      <c r="D974" t="inlineStr">
        <is>
          <t>SKÅNE LÄN</t>
        </is>
      </c>
      <c r="E974" t="inlineStr">
        <is>
          <t>HÄSSLEHOLM</t>
        </is>
      </c>
      <c r="G974" t="n">
        <v>2.5</v>
      </c>
      <c r="H974" t="n">
        <v>0</v>
      </c>
      <c r="I974" t="n">
        <v>0</v>
      </c>
      <c r="J974" t="n">
        <v>0</v>
      </c>
      <c r="K974" t="n">
        <v>0</v>
      </c>
      <c r="L974" t="n">
        <v>0</v>
      </c>
      <c r="M974" t="n">
        <v>0</v>
      </c>
      <c r="N974" t="n">
        <v>0</v>
      </c>
      <c r="O974" t="n">
        <v>0</v>
      </c>
      <c r="P974" t="n">
        <v>0</v>
      </c>
      <c r="Q974" t="n">
        <v>0</v>
      </c>
      <c r="R974" s="2" t="inlineStr"/>
    </row>
    <row r="975" ht="15" customHeight="1">
      <c r="A975" t="inlineStr">
        <is>
          <t>A 13544-2025</t>
        </is>
      </c>
      <c r="B975" s="1" t="n">
        <v>45736</v>
      </c>
      <c r="C975" s="1" t="n">
        <v>46053</v>
      </c>
      <c r="D975" t="inlineStr">
        <is>
          <t>SKÅNE LÄN</t>
        </is>
      </c>
      <c r="E975" t="inlineStr">
        <is>
          <t>HÄSSLEHOLM</t>
        </is>
      </c>
      <c r="G975" t="n">
        <v>2.5</v>
      </c>
      <c r="H975" t="n">
        <v>0</v>
      </c>
      <c r="I975" t="n">
        <v>0</v>
      </c>
      <c r="J975" t="n">
        <v>0</v>
      </c>
      <c r="K975" t="n">
        <v>0</v>
      </c>
      <c r="L975" t="n">
        <v>0</v>
      </c>
      <c r="M975" t="n">
        <v>0</v>
      </c>
      <c r="N975" t="n">
        <v>0</v>
      </c>
      <c r="O975" t="n">
        <v>0</v>
      </c>
      <c r="P975" t="n">
        <v>0</v>
      </c>
      <c r="Q975" t="n">
        <v>0</v>
      </c>
      <c r="R975" s="2" t="inlineStr"/>
    </row>
    <row r="976" ht="15" customHeight="1">
      <c r="A976" t="inlineStr">
        <is>
          <t>A 2712-2024</t>
        </is>
      </c>
      <c r="B976" s="1" t="n">
        <v>45314</v>
      </c>
      <c r="C976" s="1" t="n">
        <v>46053</v>
      </c>
      <c r="D976" t="inlineStr">
        <is>
          <t>SKÅNE LÄN</t>
        </is>
      </c>
      <c r="E976" t="inlineStr">
        <is>
          <t>HÄSSLEHOLM</t>
        </is>
      </c>
      <c r="G976" t="n">
        <v>11.3</v>
      </c>
      <c r="H976" t="n">
        <v>0</v>
      </c>
      <c r="I976" t="n">
        <v>0</v>
      </c>
      <c r="J976" t="n">
        <v>0</v>
      </c>
      <c r="K976" t="n">
        <v>0</v>
      </c>
      <c r="L976" t="n">
        <v>0</v>
      </c>
      <c r="M976" t="n">
        <v>0</v>
      </c>
      <c r="N976" t="n">
        <v>0</v>
      </c>
      <c r="O976" t="n">
        <v>0</v>
      </c>
      <c r="P976" t="n">
        <v>0</v>
      </c>
      <c r="Q976" t="n">
        <v>0</v>
      </c>
      <c r="R976" s="2" t="inlineStr"/>
    </row>
    <row r="977" ht="15" customHeight="1">
      <c r="A977" t="inlineStr">
        <is>
          <t>A 260-2024</t>
        </is>
      </c>
      <c r="B977" s="1" t="n">
        <v>45294</v>
      </c>
      <c r="C977" s="1" t="n">
        <v>46053</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8263-2025</t>
        </is>
      </c>
      <c r="B978" s="1" t="n">
        <v>45708.50398148148</v>
      </c>
      <c r="C978" s="1" t="n">
        <v>46053</v>
      </c>
      <c r="D978" t="inlineStr">
        <is>
          <t>SKÅNE LÄN</t>
        </is>
      </c>
      <c r="E978" t="inlineStr">
        <is>
          <t>HÄSSLEHOLM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30006-2023</t>
        </is>
      </c>
      <c r="B979" s="1" t="n">
        <v>45109.79962962963</v>
      </c>
      <c r="C979" s="1" t="n">
        <v>46053</v>
      </c>
      <c r="D979" t="inlineStr">
        <is>
          <t>SKÅNE LÄN</t>
        </is>
      </c>
      <c r="E979" t="inlineStr">
        <is>
          <t>HÄSSLEHOLM</t>
        </is>
      </c>
      <c r="G979" t="n">
        <v>1.7</v>
      </c>
      <c r="H979" t="n">
        <v>0</v>
      </c>
      <c r="I979" t="n">
        <v>0</v>
      </c>
      <c r="J979" t="n">
        <v>0</v>
      </c>
      <c r="K979" t="n">
        <v>0</v>
      </c>
      <c r="L979" t="n">
        <v>0</v>
      </c>
      <c r="M979" t="n">
        <v>0</v>
      </c>
      <c r="N979" t="n">
        <v>0</v>
      </c>
      <c r="O979" t="n">
        <v>0</v>
      </c>
      <c r="P979" t="n">
        <v>0</v>
      </c>
      <c r="Q979" t="n">
        <v>0</v>
      </c>
      <c r="R979" s="2" t="inlineStr"/>
    </row>
    <row r="980" ht="15" customHeight="1">
      <c r="A980" t="inlineStr">
        <is>
          <t>A 42364-2023</t>
        </is>
      </c>
      <c r="B980" s="1" t="n">
        <v>45180.54754629629</v>
      </c>
      <c r="C980" s="1" t="n">
        <v>46053</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61578-2023</t>
        </is>
      </c>
      <c r="B981" s="1" t="n">
        <v>45265.47399305556</v>
      </c>
      <c r="C981" s="1" t="n">
        <v>46053</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2597-2024</t>
        </is>
      </c>
      <c r="B982" s="1" t="n">
        <v>45313</v>
      </c>
      <c r="C982" s="1" t="n">
        <v>46053</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62277-2023</t>
        </is>
      </c>
      <c r="B983" s="1" t="n">
        <v>45266</v>
      </c>
      <c r="C983" s="1" t="n">
        <v>46053</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3888-2024</t>
        </is>
      </c>
      <c r="B984" s="1" t="n">
        <v>45322.45089120371</v>
      </c>
      <c r="C984" s="1" t="n">
        <v>46053</v>
      </c>
      <c r="D984" t="inlineStr">
        <is>
          <t>SKÅNE LÄN</t>
        </is>
      </c>
      <c r="E984" t="inlineStr">
        <is>
          <t>HÄSSLEHOLM</t>
        </is>
      </c>
      <c r="G984" t="n">
        <v>2.4</v>
      </c>
      <c r="H984" t="n">
        <v>0</v>
      </c>
      <c r="I984" t="n">
        <v>0</v>
      </c>
      <c r="J984" t="n">
        <v>0</v>
      </c>
      <c r="K984" t="n">
        <v>0</v>
      </c>
      <c r="L984" t="n">
        <v>0</v>
      </c>
      <c r="M984" t="n">
        <v>0</v>
      </c>
      <c r="N984" t="n">
        <v>0</v>
      </c>
      <c r="O984" t="n">
        <v>0</v>
      </c>
      <c r="P984" t="n">
        <v>0</v>
      </c>
      <c r="Q984" t="n">
        <v>0</v>
      </c>
      <c r="R984" s="2" t="inlineStr"/>
    </row>
    <row r="985" ht="15" customHeight="1">
      <c r="A985" t="inlineStr">
        <is>
          <t>A 3889-2024</t>
        </is>
      </c>
      <c r="B985" s="1" t="n">
        <v>45322.45234953704</v>
      </c>
      <c r="C985" s="1" t="n">
        <v>46053</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8249-2023</t>
        </is>
      </c>
      <c r="B986" s="1" t="n">
        <v>44974</v>
      </c>
      <c r="C986" s="1" t="n">
        <v>46053</v>
      </c>
      <c r="D986" t="inlineStr">
        <is>
          <t>SKÅNE LÄN</t>
        </is>
      </c>
      <c r="E986" t="inlineStr">
        <is>
          <t>HÄSSLEHOLM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3480-2024</t>
        </is>
      </c>
      <c r="B987" s="1" t="n">
        <v>45320.43998842593</v>
      </c>
      <c r="C987" s="1" t="n">
        <v>46053</v>
      </c>
      <c r="D987" t="inlineStr">
        <is>
          <t>SKÅNE LÄN</t>
        </is>
      </c>
      <c r="E987" t="inlineStr">
        <is>
          <t>HÄSSLEHOLM</t>
        </is>
      </c>
      <c r="G987" t="n">
        <v>0.4</v>
      </c>
      <c r="H987" t="n">
        <v>0</v>
      </c>
      <c r="I987" t="n">
        <v>0</v>
      </c>
      <c r="J987" t="n">
        <v>0</v>
      </c>
      <c r="K987" t="n">
        <v>0</v>
      </c>
      <c r="L987" t="n">
        <v>0</v>
      </c>
      <c r="M987" t="n">
        <v>0</v>
      </c>
      <c r="N987" t="n">
        <v>0</v>
      </c>
      <c r="O987" t="n">
        <v>0</v>
      </c>
      <c r="P987" t="n">
        <v>0</v>
      </c>
      <c r="Q987" t="n">
        <v>0</v>
      </c>
      <c r="R987" s="2" t="inlineStr"/>
    </row>
    <row r="988" ht="15" customHeight="1">
      <c r="A988" t="inlineStr">
        <is>
          <t>A 55218-2023</t>
        </is>
      </c>
      <c r="B988" s="1" t="n">
        <v>45237</v>
      </c>
      <c r="C988" s="1" t="n">
        <v>46053</v>
      </c>
      <c r="D988" t="inlineStr">
        <is>
          <t>SKÅNE LÄN</t>
        </is>
      </c>
      <c r="E988" t="inlineStr">
        <is>
          <t>HÄSSLEHOLM</t>
        </is>
      </c>
      <c r="G988" t="n">
        <v>2</v>
      </c>
      <c r="H988" t="n">
        <v>0</v>
      </c>
      <c r="I988" t="n">
        <v>0</v>
      </c>
      <c r="J988" t="n">
        <v>0</v>
      </c>
      <c r="K988" t="n">
        <v>0</v>
      </c>
      <c r="L988" t="n">
        <v>0</v>
      </c>
      <c r="M988" t="n">
        <v>0</v>
      </c>
      <c r="N988" t="n">
        <v>0</v>
      </c>
      <c r="O988" t="n">
        <v>0</v>
      </c>
      <c r="P988" t="n">
        <v>0</v>
      </c>
      <c r="Q988" t="n">
        <v>0</v>
      </c>
      <c r="R988" s="2" t="inlineStr"/>
    </row>
    <row r="989" ht="15" customHeight="1">
      <c r="A989" t="inlineStr">
        <is>
          <t>A 1119-2024</t>
        </is>
      </c>
      <c r="B989" s="1" t="n">
        <v>45302</v>
      </c>
      <c r="C989" s="1" t="n">
        <v>46053</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9393-2025</t>
        </is>
      </c>
      <c r="B990" s="1" t="n">
        <v>45715.36230324074</v>
      </c>
      <c r="C990" s="1" t="n">
        <v>46053</v>
      </c>
      <c r="D990" t="inlineStr">
        <is>
          <t>SKÅNE LÄN</t>
        </is>
      </c>
      <c r="E990" t="inlineStr">
        <is>
          <t>HÄSSLEHOLM</t>
        </is>
      </c>
      <c r="G990" t="n">
        <v>1.4</v>
      </c>
      <c r="H990" t="n">
        <v>0</v>
      </c>
      <c r="I990" t="n">
        <v>0</v>
      </c>
      <c r="J990" t="n">
        <v>0</v>
      </c>
      <c r="K990" t="n">
        <v>0</v>
      </c>
      <c r="L990" t="n">
        <v>0</v>
      </c>
      <c r="M990" t="n">
        <v>0</v>
      </c>
      <c r="N990" t="n">
        <v>0</v>
      </c>
      <c r="O990" t="n">
        <v>0</v>
      </c>
      <c r="P990" t="n">
        <v>0</v>
      </c>
      <c r="Q990" t="n">
        <v>0</v>
      </c>
      <c r="R990" s="2" t="inlineStr"/>
    </row>
    <row r="991" ht="15" customHeight="1">
      <c r="A991" t="inlineStr">
        <is>
          <t>A 11422-2025</t>
        </is>
      </c>
      <c r="B991" s="1" t="n">
        <v>45726</v>
      </c>
      <c r="C991" s="1" t="n">
        <v>46053</v>
      </c>
      <c r="D991" t="inlineStr">
        <is>
          <t>SKÅNE LÄN</t>
        </is>
      </c>
      <c r="E991" t="inlineStr">
        <is>
          <t>HÄSSLEHOLM</t>
        </is>
      </c>
      <c r="G991" t="n">
        <v>14.9</v>
      </c>
      <c r="H991" t="n">
        <v>0</v>
      </c>
      <c r="I991" t="n">
        <v>0</v>
      </c>
      <c r="J991" t="n">
        <v>0</v>
      </c>
      <c r="K991" t="n">
        <v>0</v>
      </c>
      <c r="L991" t="n">
        <v>0</v>
      </c>
      <c r="M991" t="n">
        <v>0</v>
      </c>
      <c r="N991" t="n">
        <v>0</v>
      </c>
      <c r="O991" t="n">
        <v>0</v>
      </c>
      <c r="P991" t="n">
        <v>0</v>
      </c>
      <c r="Q991" t="n">
        <v>0</v>
      </c>
      <c r="R991" s="2" t="inlineStr"/>
    </row>
    <row r="992" ht="15" customHeight="1">
      <c r="A992" t="inlineStr">
        <is>
          <t>A 57277-2023</t>
        </is>
      </c>
      <c r="B992" s="1" t="n">
        <v>45245.59104166667</v>
      </c>
      <c r="C992" s="1" t="n">
        <v>46053</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9611-2025</t>
        </is>
      </c>
      <c r="B993" s="1" t="n">
        <v>45715</v>
      </c>
      <c r="C993" s="1" t="n">
        <v>46053</v>
      </c>
      <c r="D993" t="inlineStr">
        <is>
          <t>SKÅNE LÄN</t>
        </is>
      </c>
      <c r="E993" t="inlineStr">
        <is>
          <t>HÄSSLEHOLM</t>
        </is>
      </c>
      <c r="G993" t="n">
        <v>2.1</v>
      </c>
      <c r="H993" t="n">
        <v>0</v>
      </c>
      <c r="I993" t="n">
        <v>0</v>
      </c>
      <c r="J993" t="n">
        <v>0</v>
      </c>
      <c r="K993" t="n">
        <v>0</v>
      </c>
      <c r="L993" t="n">
        <v>0</v>
      </c>
      <c r="M993" t="n">
        <v>0</v>
      </c>
      <c r="N993" t="n">
        <v>0</v>
      </c>
      <c r="O993" t="n">
        <v>0</v>
      </c>
      <c r="P993" t="n">
        <v>0</v>
      </c>
      <c r="Q993" t="n">
        <v>0</v>
      </c>
      <c r="R993" s="2" t="inlineStr"/>
    </row>
    <row r="994" ht="15" customHeight="1">
      <c r="A994" t="inlineStr">
        <is>
          <t>A 5284-2023</t>
        </is>
      </c>
      <c r="B994" s="1" t="n">
        <v>44959.50608796296</v>
      </c>
      <c r="C994" s="1" t="n">
        <v>46053</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5285-2023</t>
        </is>
      </c>
      <c r="B995" s="1" t="n">
        <v>44959.50783564815</v>
      </c>
      <c r="C995" s="1" t="n">
        <v>46053</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57272-2023</t>
        </is>
      </c>
      <c r="B996" s="1" t="n">
        <v>45245</v>
      </c>
      <c r="C996" s="1" t="n">
        <v>46053</v>
      </c>
      <c r="D996" t="inlineStr">
        <is>
          <t>SKÅNE LÄN</t>
        </is>
      </c>
      <c r="E996" t="inlineStr">
        <is>
          <t>HÄSSLEHOLM</t>
        </is>
      </c>
      <c r="G996" t="n">
        <v>2.3</v>
      </c>
      <c r="H996" t="n">
        <v>0</v>
      </c>
      <c r="I996" t="n">
        <v>0</v>
      </c>
      <c r="J996" t="n">
        <v>0</v>
      </c>
      <c r="K996" t="n">
        <v>0</v>
      </c>
      <c r="L996" t="n">
        <v>0</v>
      </c>
      <c r="M996" t="n">
        <v>0</v>
      </c>
      <c r="N996" t="n">
        <v>0</v>
      </c>
      <c r="O996" t="n">
        <v>0</v>
      </c>
      <c r="P996" t="n">
        <v>0</v>
      </c>
      <c r="Q996" t="n">
        <v>0</v>
      </c>
      <c r="R996" s="2" t="inlineStr"/>
    </row>
    <row r="997" ht="15" customHeight="1">
      <c r="A997" t="inlineStr">
        <is>
          <t>A 2479-2024</t>
        </is>
      </c>
      <c r="B997" s="1" t="n">
        <v>45313.40148148148</v>
      </c>
      <c r="C997" s="1" t="n">
        <v>46053</v>
      </c>
      <c r="D997" t="inlineStr">
        <is>
          <t>SKÅNE LÄN</t>
        </is>
      </c>
      <c r="E997" t="inlineStr">
        <is>
          <t>HÄSSLEHOLM</t>
        </is>
      </c>
      <c r="G997" t="n">
        <v>1.2</v>
      </c>
      <c r="H997" t="n">
        <v>0</v>
      </c>
      <c r="I997" t="n">
        <v>0</v>
      </c>
      <c r="J997" t="n">
        <v>0</v>
      </c>
      <c r="K997" t="n">
        <v>0</v>
      </c>
      <c r="L997" t="n">
        <v>0</v>
      </c>
      <c r="M997" t="n">
        <v>0</v>
      </c>
      <c r="N997" t="n">
        <v>0</v>
      </c>
      <c r="O997" t="n">
        <v>0</v>
      </c>
      <c r="P997" t="n">
        <v>0</v>
      </c>
      <c r="Q997" t="n">
        <v>0</v>
      </c>
      <c r="R997" s="2" t="inlineStr"/>
    </row>
    <row r="998" ht="15" customHeight="1">
      <c r="A998" t="inlineStr">
        <is>
          <t>A 31160-2024</t>
        </is>
      </c>
      <c r="B998" s="1" t="n">
        <v>45503</v>
      </c>
      <c r="C998" s="1" t="n">
        <v>46053</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50664-2023</t>
        </is>
      </c>
      <c r="B999" s="1" t="n">
        <v>45217</v>
      </c>
      <c r="C999" s="1" t="n">
        <v>46053</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56490-2021</t>
        </is>
      </c>
      <c r="B1000" s="1" t="n">
        <v>44480</v>
      </c>
      <c r="C1000" s="1" t="n">
        <v>46053</v>
      </c>
      <c r="D1000" t="inlineStr">
        <is>
          <t>SKÅNE LÄN</t>
        </is>
      </c>
      <c r="E1000" t="inlineStr">
        <is>
          <t>HÄSSLEHOLM</t>
        </is>
      </c>
      <c r="F1000" t="inlineStr">
        <is>
          <t>Kyrkan</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417-2022</t>
        </is>
      </c>
      <c r="B1001" s="1" t="n">
        <v>44565.84615740741</v>
      </c>
      <c r="C1001" s="1" t="n">
        <v>46053</v>
      </c>
      <c r="D1001" t="inlineStr">
        <is>
          <t>SKÅNE LÄN</t>
        </is>
      </c>
      <c r="E1001" t="inlineStr">
        <is>
          <t>HÄSSLEHOLM</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61934-2023</t>
        </is>
      </c>
      <c r="B1002" s="1" t="n">
        <v>45266.54125</v>
      </c>
      <c r="C1002" s="1" t="n">
        <v>46053</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41459-2022</t>
        </is>
      </c>
      <c r="B1003" s="1" t="n">
        <v>44826.93372685185</v>
      </c>
      <c r="C1003" s="1" t="n">
        <v>46053</v>
      </c>
      <c r="D1003" t="inlineStr">
        <is>
          <t>SKÅNE LÄN</t>
        </is>
      </c>
      <c r="E1003" t="inlineStr">
        <is>
          <t>HÄSSLEHOLM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19151-2023</t>
        </is>
      </c>
      <c r="B1004" s="1" t="n">
        <v>45044</v>
      </c>
      <c r="C1004" s="1" t="n">
        <v>46053</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54658-2023</t>
        </is>
      </c>
      <c r="B1005" s="1" t="n">
        <v>45235</v>
      </c>
      <c r="C1005" s="1" t="n">
        <v>46053</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42370-2023</t>
        </is>
      </c>
      <c r="B1006" s="1" t="n">
        <v>45180</v>
      </c>
      <c r="C1006" s="1" t="n">
        <v>46053</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16951-2025</t>
        </is>
      </c>
      <c r="B1007" s="1" t="n">
        <v>45755</v>
      </c>
      <c r="C1007" s="1" t="n">
        <v>46053</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18063-2023</t>
        </is>
      </c>
      <c r="B1008" s="1" t="n">
        <v>45040.62850694444</v>
      </c>
      <c r="C1008" s="1" t="n">
        <v>46053</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14674-2025</t>
        </is>
      </c>
      <c r="B1009" s="1" t="n">
        <v>45742.55548611111</v>
      </c>
      <c r="C1009" s="1" t="n">
        <v>46053</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54777-2022</t>
        </is>
      </c>
      <c r="B1010" s="1" t="n">
        <v>44883</v>
      </c>
      <c r="C1010" s="1" t="n">
        <v>46053</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23683-2023</t>
        </is>
      </c>
      <c r="B1011" s="1" t="n">
        <v>45077</v>
      </c>
      <c r="C1011" s="1" t="n">
        <v>46053</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23955-2023</t>
        </is>
      </c>
      <c r="B1012" s="1" t="n">
        <v>45078.62217592593</v>
      </c>
      <c r="C1012" s="1" t="n">
        <v>46053</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23860-2024</t>
        </is>
      </c>
      <c r="B1013" s="1" t="n">
        <v>45455</v>
      </c>
      <c r="C1013" s="1" t="n">
        <v>46053</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524-2024</t>
        </is>
      </c>
      <c r="B1014" s="1" t="n">
        <v>45299</v>
      </c>
      <c r="C1014" s="1" t="n">
        <v>46053</v>
      </c>
      <c r="D1014" t="inlineStr">
        <is>
          <t>SKÅNE LÄN</t>
        </is>
      </c>
      <c r="E1014" t="inlineStr">
        <is>
          <t>HÄSSLEHOLM</t>
        </is>
      </c>
      <c r="G1014" t="n">
        <v>29.4</v>
      </c>
      <c r="H1014" t="n">
        <v>0</v>
      </c>
      <c r="I1014" t="n">
        <v>0</v>
      </c>
      <c r="J1014" t="n">
        <v>0</v>
      </c>
      <c r="K1014" t="n">
        <v>0</v>
      </c>
      <c r="L1014" t="n">
        <v>0</v>
      </c>
      <c r="M1014" t="n">
        <v>0</v>
      </c>
      <c r="N1014" t="n">
        <v>0</v>
      </c>
      <c r="O1014" t="n">
        <v>0</v>
      </c>
      <c r="P1014" t="n">
        <v>0</v>
      </c>
      <c r="Q1014" t="n">
        <v>0</v>
      </c>
      <c r="R1014" s="2" t="inlineStr"/>
    </row>
    <row r="1015" ht="15" customHeight="1">
      <c r="A1015" t="inlineStr">
        <is>
          <t>A 54518-2022</t>
        </is>
      </c>
      <c r="B1015" s="1" t="n">
        <v>44882</v>
      </c>
      <c r="C1015" s="1" t="n">
        <v>46053</v>
      </c>
      <c r="D1015" t="inlineStr">
        <is>
          <t>SKÅNE LÄN</t>
        </is>
      </c>
      <c r="E1015" t="inlineStr">
        <is>
          <t>HÄSSLEHOLM</t>
        </is>
      </c>
      <c r="F1015" t="inlineStr">
        <is>
          <t>Övriga Aktiebolag</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7094-2023</t>
        </is>
      </c>
      <c r="B1016" s="1" t="n">
        <v>44970.36958333333</v>
      </c>
      <c r="C1016" s="1" t="n">
        <v>46053</v>
      </c>
      <c r="D1016" t="inlineStr">
        <is>
          <t>SKÅNE LÄN</t>
        </is>
      </c>
      <c r="E1016" t="inlineStr">
        <is>
          <t>HÄSSLEHOLM</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3500-2024</t>
        </is>
      </c>
      <c r="B1017" s="1" t="n">
        <v>45320</v>
      </c>
      <c r="C1017" s="1" t="n">
        <v>46053</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11266-2025</t>
        </is>
      </c>
      <c r="B1018" s="1" t="n">
        <v>45726</v>
      </c>
      <c r="C1018" s="1" t="n">
        <v>46053</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49950-2023</t>
        </is>
      </c>
      <c r="B1019" s="1" t="n">
        <v>45215</v>
      </c>
      <c r="C1019" s="1" t="n">
        <v>46053</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29853-2024</t>
        </is>
      </c>
      <c r="B1020" s="1" t="n">
        <v>45485.65844907407</v>
      </c>
      <c r="C1020" s="1" t="n">
        <v>46053</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57695-2023</t>
        </is>
      </c>
      <c r="B1021" s="1" t="n">
        <v>45246</v>
      </c>
      <c r="C1021" s="1" t="n">
        <v>46053</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9615-2025</t>
        </is>
      </c>
      <c r="B1022" s="1" t="n">
        <v>45715</v>
      </c>
      <c r="C1022" s="1" t="n">
        <v>46053</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42232-2022</t>
        </is>
      </c>
      <c r="B1023" s="1" t="n">
        <v>44830.77591435185</v>
      </c>
      <c r="C1023" s="1" t="n">
        <v>46053</v>
      </c>
      <c r="D1023" t="inlineStr">
        <is>
          <t>SKÅNE LÄN</t>
        </is>
      </c>
      <c r="E1023" t="inlineStr">
        <is>
          <t>HÄSSLEHOLM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38829-2024</t>
        </is>
      </c>
      <c r="B1024" s="1" t="n">
        <v>45547.57247685185</v>
      </c>
      <c r="C1024" s="1" t="n">
        <v>46053</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25542-2024</t>
        </is>
      </c>
      <c r="B1025" s="1" t="n">
        <v>45463</v>
      </c>
      <c r="C1025" s="1" t="n">
        <v>46053</v>
      </c>
      <c r="D1025" t="inlineStr">
        <is>
          <t>SKÅNE LÄN</t>
        </is>
      </c>
      <c r="E1025" t="inlineStr">
        <is>
          <t>HÄSSLEHOLM</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55454-2021</t>
        </is>
      </c>
      <c r="B1026" s="1" t="n">
        <v>44475</v>
      </c>
      <c r="C1026" s="1" t="n">
        <v>46053</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61489-2024</t>
        </is>
      </c>
      <c r="B1027" s="1" t="n">
        <v>45646.54875</v>
      </c>
      <c r="C1027" s="1" t="n">
        <v>46053</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26879-2024</t>
        </is>
      </c>
      <c r="B1028" s="1" t="n">
        <v>45470</v>
      </c>
      <c r="C1028" s="1" t="n">
        <v>46053</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59728-2022</t>
        </is>
      </c>
      <c r="B1029" s="1" t="n">
        <v>44900</v>
      </c>
      <c r="C1029" s="1" t="n">
        <v>46053</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3294-2025</t>
        </is>
      </c>
      <c r="B1030" s="1" t="n">
        <v>45679.64125</v>
      </c>
      <c r="C1030" s="1" t="n">
        <v>46053</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13897-2024</t>
        </is>
      </c>
      <c r="B1031" s="1" t="n">
        <v>45391</v>
      </c>
      <c r="C1031" s="1" t="n">
        <v>46053</v>
      </c>
      <c r="D1031" t="inlineStr">
        <is>
          <t>SKÅNE LÄN</t>
        </is>
      </c>
      <c r="E1031" t="inlineStr">
        <is>
          <t>HÄSSLEHOLM</t>
        </is>
      </c>
      <c r="F1031" t="inlineStr">
        <is>
          <t>Kommuner</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7604-2024</t>
        </is>
      </c>
      <c r="B1032" s="1" t="n">
        <v>45348</v>
      </c>
      <c r="C1032" s="1" t="n">
        <v>46053</v>
      </c>
      <c r="D1032" t="inlineStr">
        <is>
          <t>SKÅNE LÄN</t>
        </is>
      </c>
      <c r="E1032" t="inlineStr">
        <is>
          <t>HÄSSLEHOLM</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36706-2022</t>
        </is>
      </c>
      <c r="B1033" s="1" t="n">
        <v>44805.32891203704</v>
      </c>
      <c r="C1033" s="1" t="n">
        <v>46053</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441-2022</t>
        </is>
      </c>
      <c r="B1034" s="1" t="n">
        <v>44565.97125</v>
      </c>
      <c r="C1034" s="1" t="n">
        <v>46053</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3364-2023</t>
        </is>
      </c>
      <c r="B1035" s="1" t="n">
        <v>44949</v>
      </c>
      <c r="C1035" s="1" t="n">
        <v>46053</v>
      </c>
      <c r="D1035" t="inlineStr">
        <is>
          <t>SKÅNE LÄN</t>
        </is>
      </c>
      <c r="E1035" t="inlineStr">
        <is>
          <t>HÄSSLEHOLM</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43629-2023</t>
        </is>
      </c>
      <c r="B1036" s="1" t="n">
        <v>45184</v>
      </c>
      <c r="C1036" s="1" t="n">
        <v>46053</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57656-2022</t>
        </is>
      </c>
      <c r="B1037" s="1" t="n">
        <v>44897.4325925926</v>
      </c>
      <c r="C1037" s="1" t="n">
        <v>46053</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8250-2023</t>
        </is>
      </c>
      <c r="B1038" s="1" t="n">
        <v>44974</v>
      </c>
      <c r="C1038" s="1" t="n">
        <v>46053</v>
      </c>
      <c r="D1038" t="inlineStr">
        <is>
          <t>SKÅNE LÄN</t>
        </is>
      </c>
      <c r="E1038" t="inlineStr">
        <is>
          <t>HÄSSLEHOLM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6101-2022</t>
        </is>
      </c>
      <c r="B1039" s="1" t="n">
        <v>44599.63016203704</v>
      </c>
      <c r="C1039" s="1" t="n">
        <v>46053</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6842-2023</t>
        </is>
      </c>
      <c r="B1040" s="1" t="n">
        <v>44967</v>
      </c>
      <c r="C1040" s="1" t="n">
        <v>46053</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7202-2022</t>
        </is>
      </c>
      <c r="B1041" s="1" t="n">
        <v>44606</v>
      </c>
      <c r="C1041" s="1" t="n">
        <v>46053</v>
      </c>
      <c r="D1041" t="inlineStr">
        <is>
          <t>SKÅNE LÄN</t>
        </is>
      </c>
      <c r="E1041" t="inlineStr">
        <is>
          <t>HÄSSLEHOLM</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5054-2022</t>
        </is>
      </c>
      <c r="B1042" s="1" t="n">
        <v>44593.69065972222</v>
      </c>
      <c r="C1042" s="1" t="n">
        <v>46053</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49181-2024</t>
        </is>
      </c>
      <c r="B1043" s="1" t="n">
        <v>45595</v>
      </c>
      <c r="C1043" s="1" t="n">
        <v>46053</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3349-2023</t>
        </is>
      </c>
      <c r="B1044" s="1" t="n">
        <v>44949</v>
      </c>
      <c r="C1044" s="1" t="n">
        <v>46053</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49384-2021</t>
        </is>
      </c>
      <c r="B1045" s="1" t="n">
        <v>44454</v>
      </c>
      <c r="C1045" s="1" t="n">
        <v>46053</v>
      </c>
      <c r="D1045" t="inlineStr">
        <is>
          <t>SKÅNE LÄN</t>
        </is>
      </c>
      <c r="E1045" t="inlineStr">
        <is>
          <t>HÄSSLEHOLM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60959-2022</t>
        </is>
      </c>
      <c r="B1046" s="1" t="n">
        <v>44914.64777777778</v>
      </c>
      <c r="C1046" s="1" t="n">
        <v>46053</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3746-2024</t>
        </is>
      </c>
      <c r="B1047" s="1" t="n">
        <v>45321.50745370371</v>
      </c>
      <c r="C1047" s="1" t="n">
        <v>46053</v>
      </c>
      <c r="D1047" t="inlineStr">
        <is>
          <t>SKÅNE LÄN</t>
        </is>
      </c>
      <c r="E1047" t="inlineStr">
        <is>
          <t>HÄSSLEHOLM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6638-2021</t>
        </is>
      </c>
      <c r="B1048" s="1" t="n">
        <v>44235</v>
      </c>
      <c r="C1048" s="1" t="n">
        <v>46053</v>
      </c>
      <c r="D1048" t="inlineStr">
        <is>
          <t>SKÅNE LÄN</t>
        </is>
      </c>
      <c r="E1048" t="inlineStr">
        <is>
          <t>HÄSSLEHOLM</t>
        </is>
      </c>
      <c r="G1048" t="n">
        <v>112.4</v>
      </c>
      <c r="H1048" t="n">
        <v>0</v>
      </c>
      <c r="I1048" t="n">
        <v>0</v>
      </c>
      <c r="J1048" t="n">
        <v>0</v>
      </c>
      <c r="K1048" t="n">
        <v>0</v>
      </c>
      <c r="L1048" t="n">
        <v>0</v>
      </c>
      <c r="M1048" t="n">
        <v>0</v>
      </c>
      <c r="N1048" t="n">
        <v>0</v>
      </c>
      <c r="O1048" t="n">
        <v>0</v>
      </c>
      <c r="P1048" t="n">
        <v>0</v>
      </c>
      <c r="Q1048" t="n">
        <v>0</v>
      </c>
      <c r="R1048" s="2" t="inlineStr"/>
    </row>
    <row r="1049" ht="15" customHeight="1">
      <c r="A1049" t="inlineStr">
        <is>
          <t>A 44262-2021</t>
        </is>
      </c>
      <c r="B1049" s="1" t="n">
        <v>44434</v>
      </c>
      <c r="C1049" s="1" t="n">
        <v>46053</v>
      </c>
      <c r="D1049" t="inlineStr">
        <is>
          <t>SKÅNE LÄN</t>
        </is>
      </c>
      <c r="E1049" t="inlineStr">
        <is>
          <t>HÄSSLEHOLM</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1553-2023</t>
        </is>
      </c>
      <c r="B1050" s="1" t="n">
        <v>44937</v>
      </c>
      <c r="C1050" s="1" t="n">
        <v>46053</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1562-2023</t>
        </is>
      </c>
      <c r="B1051" s="1" t="n">
        <v>44937.60450231482</v>
      </c>
      <c r="C1051" s="1" t="n">
        <v>46053</v>
      </c>
      <c r="D1051" t="inlineStr">
        <is>
          <t>SKÅNE LÄN</t>
        </is>
      </c>
      <c r="E1051" t="inlineStr">
        <is>
          <t>HÄSSLEHOLM</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3452-2023</t>
        </is>
      </c>
      <c r="B1052" s="1" t="n">
        <v>44949</v>
      </c>
      <c r="C1052" s="1" t="n">
        <v>46053</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2596-2024</t>
        </is>
      </c>
      <c r="B1053" s="1" t="n">
        <v>45313.69969907407</v>
      </c>
      <c r="C1053" s="1" t="n">
        <v>46053</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2681-2024</t>
        </is>
      </c>
      <c r="B1054" s="1" t="n">
        <v>45314</v>
      </c>
      <c r="C1054" s="1" t="n">
        <v>46053</v>
      </c>
      <c r="D1054" t="inlineStr">
        <is>
          <t>SKÅNE LÄN</t>
        </is>
      </c>
      <c r="E1054" t="inlineStr">
        <is>
          <t>HÄSSLEHOLM</t>
        </is>
      </c>
      <c r="F1054" t="inlineStr">
        <is>
          <t>Övriga Aktiebolag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4187-2023</t>
        </is>
      </c>
      <c r="B1055" s="1" t="n">
        <v>44953</v>
      </c>
      <c r="C1055" s="1" t="n">
        <v>46053</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4382-2023</t>
        </is>
      </c>
      <c r="B1056" s="1" t="n">
        <v>44955.61152777778</v>
      </c>
      <c r="C1056" s="1" t="n">
        <v>46053</v>
      </c>
      <c r="D1056" t="inlineStr">
        <is>
          <t>SKÅNE LÄN</t>
        </is>
      </c>
      <c r="E1056" t="inlineStr">
        <is>
          <t>HÄSSLEHOLM</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49107-2023</t>
        </is>
      </c>
      <c r="B1057" s="1" t="n">
        <v>45210.44337962963</v>
      </c>
      <c r="C1057" s="1" t="n">
        <v>46053</v>
      </c>
      <c r="D1057" t="inlineStr">
        <is>
          <t>SKÅNE LÄN</t>
        </is>
      </c>
      <c r="E1057" t="inlineStr">
        <is>
          <t>HÄSSLEHOLM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5282-2023</t>
        </is>
      </c>
      <c r="B1058" s="1" t="n">
        <v>44959.50471064815</v>
      </c>
      <c r="C1058" s="1" t="n">
        <v>46053</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6180-2021</t>
        </is>
      </c>
      <c r="B1059" s="1" t="n">
        <v>44232</v>
      </c>
      <c r="C1059" s="1" t="n">
        <v>46053</v>
      </c>
      <c r="D1059" t="inlineStr">
        <is>
          <t>SKÅNE LÄN</t>
        </is>
      </c>
      <c r="E1059" t="inlineStr">
        <is>
          <t>HÄSSLEHOLM</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53897-2023</t>
        </is>
      </c>
      <c r="B1060" s="1" t="n">
        <v>45231.53934027778</v>
      </c>
      <c r="C1060" s="1" t="n">
        <v>46053</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20990-2023</t>
        </is>
      </c>
      <c r="B1061" s="1" t="n">
        <v>45061.46186342592</v>
      </c>
      <c r="C1061" s="1" t="n">
        <v>46053</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22696-2023</t>
        </is>
      </c>
      <c r="B1062" s="1" t="n">
        <v>45071.69464120371</v>
      </c>
      <c r="C1062" s="1" t="n">
        <v>46053</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33873-2021</t>
        </is>
      </c>
      <c r="B1063" s="1" t="n">
        <v>44378</v>
      </c>
      <c r="C1063" s="1" t="n">
        <v>46053</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34348-2022</t>
        </is>
      </c>
      <c r="B1064" s="1" t="n">
        <v>44792</v>
      </c>
      <c r="C1064" s="1" t="n">
        <v>46053</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6836-2023</t>
        </is>
      </c>
      <c r="B1065" s="1" t="n">
        <v>44967</v>
      </c>
      <c r="C1065" s="1" t="n">
        <v>46053</v>
      </c>
      <c r="D1065" t="inlineStr">
        <is>
          <t>SKÅNE LÄN</t>
        </is>
      </c>
      <c r="E1065" t="inlineStr">
        <is>
          <t>HÄSSLEHOLM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31931-2024</t>
        </is>
      </c>
      <c r="B1066" s="1" t="n">
        <v>45510.40878472223</v>
      </c>
      <c r="C1066" s="1" t="n">
        <v>46053</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8803-2023</t>
        </is>
      </c>
      <c r="B1067" s="1" t="n">
        <v>44978.61712962963</v>
      </c>
      <c r="C1067" s="1" t="n">
        <v>46053</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11681-2023</t>
        </is>
      </c>
      <c r="B1068" s="1" t="n">
        <v>44992</v>
      </c>
      <c r="C1068" s="1" t="n">
        <v>46053</v>
      </c>
      <c r="D1068" t="inlineStr">
        <is>
          <t>SKÅNE LÄN</t>
        </is>
      </c>
      <c r="E1068" t="inlineStr">
        <is>
          <t>HÄSSLEHOLM</t>
        </is>
      </c>
      <c r="F1068" t="inlineStr">
        <is>
          <t>Övriga Aktiebolag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46222-2022</t>
        </is>
      </c>
      <c r="B1069" s="1" t="n">
        <v>44847.58725694445</v>
      </c>
      <c r="C1069" s="1" t="n">
        <v>46053</v>
      </c>
      <c r="D1069" t="inlineStr">
        <is>
          <t>SKÅNE LÄN</t>
        </is>
      </c>
      <c r="E1069" t="inlineStr">
        <is>
          <t>HÄSSLEHOLM</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50249-2024</t>
        </is>
      </c>
      <c r="B1070" s="1" t="n">
        <v>45600.56866898148</v>
      </c>
      <c r="C1070" s="1" t="n">
        <v>46053</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60843-2022</t>
        </is>
      </c>
      <c r="B1071" s="1" t="n">
        <v>44914</v>
      </c>
      <c r="C1071" s="1" t="n">
        <v>46053</v>
      </c>
      <c r="D1071" t="inlineStr">
        <is>
          <t>SKÅNE LÄN</t>
        </is>
      </c>
      <c r="E1071" t="inlineStr">
        <is>
          <t>HÄSSLEHOLM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51040-2024</t>
        </is>
      </c>
      <c r="B1072" s="1" t="n">
        <v>45603.43222222223</v>
      </c>
      <c r="C1072" s="1" t="n">
        <v>46053</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56881-2021</t>
        </is>
      </c>
      <c r="B1073" s="1" t="n">
        <v>44481</v>
      </c>
      <c r="C1073" s="1" t="n">
        <v>46053</v>
      </c>
      <c r="D1073" t="inlineStr">
        <is>
          <t>SKÅNE LÄN</t>
        </is>
      </c>
      <c r="E1073" t="inlineStr">
        <is>
          <t>HÄSSLEHOLM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45653-2024</t>
        </is>
      </c>
      <c r="B1074" s="1" t="n">
        <v>45579.48872685185</v>
      </c>
      <c r="C1074" s="1" t="n">
        <v>46053</v>
      </c>
      <c r="D1074" t="inlineStr">
        <is>
          <t>SKÅNE LÄN</t>
        </is>
      </c>
      <c r="E1074" t="inlineStr">
        <is>
          <t>HÄSSLEHOLM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56956-2024</t>
        </is>
      </c>
      <c r="B1075" s="1" t="n">
        <v>45626</v>
      </c>
      <c r="C1075" s="1" t="n">
        <v>46053</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45392-2024</t>
        </is>
      </c>
      <c r="B1076" s="1" t="n">
        <v>45576.55008101852</v>
      </c>
      <c r="C1076" s="1" t="n">
        <v>46053</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20187-2023</t>
        </is>
      </c>
      <c r="B1077" s="1" t="n">
        <v>45055.57027777778</v>
      </c>
      <c r="C1077" s="1" t="n">
        <v>46053</v>
      </c>
      <c r="D1077" t="inlineStr">
        <is>
          <t>SKÅNE LÄN</t>
        </is>
      </c>
      <c r="E1077" t="inlineStr">
        <is>
          <t>HÄSSLEHOLM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1543-2024</t>
        </is>
      </c>
      <c r="B1078" s="1" t="n">
        <v>45306</v>
      </c>
      <c r="C1078" s="1" t="n">
        <v>46053</v>
      </c>
      <c r="D1078" t="inlineStr">
        <is>
          <t>SKÅNE LÄN</t>
        </is>
      </c>
      <c r="E1078" t="inlineStr">
        <is>
          <t>HÄSSLEHOLM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37038-2022</t>
        </is>
      </c>
      <c r="B1079" s="1" t="n">
        <v>44806.44232638889</v>
      </c>
      <c r="C1079" s="1" t="n">
        <v>46053</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16454-2023</t>
        </is>
      </c>
      <c r="B1080" s="1" t="n">
        <v>45029.48425925926</v>
      </c>
      <c r="C1080" s="1" t="n">
        <v>46053</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31572-2022</t>
        </is>
      </c>
      <c r="B1081" s="1" t="n">
        <v>44775</v>
      </c>
      <c r="C1081" s="1" t="n">
        <v>46053</v>
      </c>
      <c r="D1081" t="inlineStr">
        <is>
          <t>SKÅNE LÄN</t>
        </is>
      </c>
      <c r="E1081" t="inlineStr">
        <is>
          <t>HÄSSLEHOLM</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70087-2021</t>
        </is>
      </c>
      <c r="B1082" s="1" t="n">
        <v>44533</v>
      </c>
      <c r="C1082" s="1" t="n">
        <v>46053</v>
      </c>
      <c r="D1082" t="inlineStr">
        <is>
          <t>SKÅNE LÄN</t>
        </is>
      </c>
      <c r="E1082" t="inlineStr">
        <is>
          <t>HÄSSLEHOLM</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9375-2023</t>
        </is>
      </c>
      <c r="B1083" s="1" t="n">
        <v>44981</v>
      </c>
      <c r="C1083" s="1" t="n">
        <v>46053</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29287-2023</t>
        </is>
      </c>
      <c r="B1084" s="1" t="n">
        <v>45098</v>
      </c>
      <c r="C1084" s="1" t="n">
        <v>46053</v>
      </c>
      <c r="D1084" t="inlineStr">
        <is>
          <t>SKÅNE LÄN</t>
        </is>
      </c>
      <c r="E1084" t="inlineStr">
        <is>
          <t>HÄSSLEHOLM</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55416-2021</t>
        </is>
      </c>
      <c r="B1085" s="1" t="n">
        <v>44475</v>
      </c>
      <c r="C1085" s="1" t="n">
        <v>46053</v>
      </c>
      <c r="D1085" t="inlineStr">
        <is>
          <t>SKÅNE LÄN</t>
        </is>
      </c>
      <c r="E1085" t="inlineStr">
        <is>
          <t>HÄSSLEHOLM</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60509-2023</t>
        </is>
      </c>
      <c r="B1086" s="1" t="n">
        <v>45259</v>
      </c>
      <c r="C1086" s="1" t="n">
        <v>46053</v>
      </c>
      <c r="D1086" t="inlineStr">
        <is>
          <t>SKÅNE LÄN</t>
        </is>
      </c>
      <c r="E1086" t="inlineStr">
        <is>
          <t>HÄSSLEHOLM</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21310-2022</t>
        </is>
      </c>
      <c r="B1087" s="1" t="n">
        <v>44705</v>
      </c>
      <c r="C1087" s="1" t="n">
        <v>46053</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9485-2023</t>
        </is>
      </c>
      <c r="B1088" s="1" t="n">
        <v>44981.60901620371</v>
      </c>
      <c r="C1088" s="1" t="n">
        <v>46053</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9502-2023</t>
        </is>
      </c>
      <c r="B1089" s="1" t="n">
        <v>44981.63278935185</v>
      </c>
      <c r="C1089" s="1" t="n">
        <v>46053</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10928-2024</t>
        </is>
      </c>
      <c r="B1090" s="1" t="n">
        <v>45370</v>
      </c>
      <c r="C1090" s="1" t="n">
        <v>46053</v>
      </c>
      <c r="D1090" t="inlineStr">
        <is>
          <t>SKÅNE LÄN</t>
        </is>
      </c>
      <c r="E1090" t="inlineStr">
        <is>
          <t>HÄSSLEHOLM</t>
        </is>
      </c>
      <c r="F1090" t="inlineStr">
        <is>
          <t>Övriga Aktiebolag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5890-2023</t>
        </is>
      </c>
      <c r="B1091" s="1" t="n">
        <v>44963.64527777778</v>
      </c>
      <c r="C1091" s="1" t="n">
        <v>46053</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5894-2023</t>
        </is>
      </c>
      <c r="B1092" s="1" t="n">
        <v>44963.65148148148</v>
      </c>
      <c r="C1092" s="1" t="n">
        <v>46053</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12843-2023</t>
        </is>
      </c>
      <c r="B1093" s="1" t="n">
        <v>45001.48423611111</v>
      </c>
      <c r="C1093" s="1" t="n">
        <v>46053</v>
      </c>
      <c r="D1093" t="inlineStr">
        <is>
          <t>SKÅNE LÄN</t>
        </is>
      </c>
      <c r="E1093" t="inlineStr">
        <is>
          <t>HÄSSLEHOLM</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10944-2024</t>
        </is>
      </c>
      <c r="B1094" s="1" t="n">
        <v>45370</v>
      </c>
      <c r="C1094" s="1" t="n">
        <v>46053</v>
      </c>
      <c r="D1094" t="inlineStr">
        <is>
          <t>SKÅNE LÄN</t>
        </is>
      </c>
      <c r="E1094" t="inlineStr">
        <is>
          <t>HÄSSLEHOLM</t>
        </is>
      </c>
      <c r="F1094" t="inlineStr">
        <is>
          <t>Övriga Aktiebolag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13309-2025</t>
        </is>
      </c>
      <c r="B1095" s="1" t="n">
        <v>45735.58512731481</v>
      </c>
      <c r="C1095" s="1" t="n">
        <v>46053</v>
      </c>
      <c r="D1095" t="inlineStr">
        <is>
          <t>SKÅNE LÄN</t>
        </is>
      </c>
      <c r="E1095" t="inlineStr">
        <is>
          <t>HÄSSLEHOLM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5980-2024</t>
        </is>
      </c>
      <c r="B1096" s="1" t="n">
        <v>45335</v>
      </c>
      <c r="C1096" s="1" t="n">
        <v>46053</v>
      </c>
      <c r="D1096" t="inlineStr">
        <is>
          <t>SKÅNE LÄN</t>
        </is>
      </c>
      <c r="E1096" t="inlineStr">
        <is>
          <t>HÄSSLEHOLM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42372-2024</t>
        </is>
      </c>
      <c r="B1097" s="1" t="n">
        <v>45564.5127199074</v>
      </c>
      <c r="C1097" s="1" t="n">
        <v>46053</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17699-2024</t>
        </is>
      </c>
      <c r="B1098" s="1" t="n">
        <v>45418.46094907408</v>
      </c>
      <c r="C1098" s="1" t="n">
        <v>46053</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17702-2024</t>
        </is>
      </c>
      <c r="B1099" s="1" t="n">
        <v>45418.46534722222</v>
      </c>
      <c r="C1099" s="1" t="n">
        <v>46053</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20566-2023</t>
        </is>
      </c>
      <c r="B1100" s="1" t="n">
        <v>45057</v>
      </c>
      <c r="C1100" s="1" t="n">
        <v>46053</v>
      </c>
      <c r="D1100" t="inlineStr">
        <is>
          <t>SKÅNE LÄN</t>
        </is>
      </c>
      <c r="E1100" t="inlineStr">
        <is>
          <t>HÄSSLEHOLM</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32967-2023</t>
        </is>
      </c>
      <c r="B1101" s="1" t="n">
        <v>45125</v>
      </c>
      <c r="C1101" s="1" t="n">
        <v>46053</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32968-2023</t>
        </is>
      </c>
      <c r="B1102" s="1" t="n">
        <v>45125</v>
      </c>
      <c r="C1102" s="1" t="n">
        <v>46053</v>
      </c>
      <c r="D1102" t="inlineStr">
        <is>
          <t>SKÅNE LÄN</t>
        </is>
      </c>
      <c r="E1102" t="inlineStr">
        <is>
          <t>HÄSSLEHOLM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42231-2022</t>
        </is>
      </c>
      <c r="B1103" s="1" t="n">
        <v>44830.77003472222</v>
      </c>
      <c r="C1103" s="1" t="n">
        <v>46053</v>
      </c>
      <c r="D1103" t="inlineStr">
        <is>
          <t>SKÅNE LÄN</t>
        </is>
      </c>
      <c r="E1103" t="inlineStr">
        <is>
          <t>HÄSSLEHOLM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54982-2024</t>
        </is>
      </c>
      <c r="B1104" s="1" t="n">
        <v>45620.7580787037</v>
      </c>
      <c r="C1104" s="1" t="n">
        <v>46053</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36795-2023</t>
        </is>
      </c>
      <c r="B1105" s="1" t="n">
        <v>45154.38245370371</v>
      </c>
      <c r="C1105" s="1" t="n">
        <v>46053</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15698-2023</t>
        </is>
      </c>
      <c r="B1106" s="1" t="n">
        <v>45021</v>
      </c>
      <c r="C1106" s="1" t="n">
        <v>46053</v>
      </c>
      <c r="D1106" t="inlineStr">
        <is>
          <t>SKÅNE LÄN</t>
        </is>
      </c>
      <c r="E1106" t="inlineStr">
        <is>
          <t>HÄSSLEHOLM</t>
        </is>
      </c>
      <c r="F1106" t="inlineStr">
        <is>
          <t>Kommuner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12584-2025</t>
        </is>
      </c>
      <c r="B1107" s="1" t="n">
        <v>45732</v>
      </c>
      <c r="C1107" s="1" t="n">
        <v>46053</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31998-2023</t>
        </is>
      </c>
      <c r="B1108" s="1" t="n">
        <v>45119</v>
      </c>
      <c r="C1108" s="1" t="n">
        <v>46053</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4140-2023</t>
        </is>
      </c>
      <c r="B1109" s="1" t="n">
        <v>44953</v>
      </c>
      <c r="C1109" s="1" t="n">
        <v>46053</v>
      </c>
      <c r="D1109" t="inlineStr">
        <is>
          <t>SKÅNE LÄN</t>
        </is>
      </c>
      <c r="E1109" t="inlineStr">
        <is>
          <t>HÄSSLEHOLM</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25077-2024</t>
        </is>
      </c>
      <c r="B1110" s="1" t="n">
        <v>45462</v>
      </c>
      <c r="C1110" s="1" t="n">
        <v>46053</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46942-2024</t>
        </is>
      </c>
      <c r="B1111" s="1" t="n">
        <v>45585.6684375</v>
      </c>
      <c r="C1111" s="1" t="n">
        <v>46053</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33257-2024</t>
        </is>
      </c>
      <c r="B1112" s="1" t="n">
        <v>45518</v>
      </c>
      <c r="C1112" s="1" t="n">
        <v>46053</v>
      </c>
      <c r="D1112" t="inlineStr">
        <is>
          <t>SKÅNE LÄN</t>
        </is>
      </c>
      <c r="E1112" t="inlineStr">
        <is>
          <t>HÄSSLEHOLM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17492-2025</t>
        </is>
      </c>
      <c r="B1113" s="1" t="n">
        <v>45747</v>
      </c>
      <c r="C1113" s="1" t="n">
        <v>46053</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51618-2024</t>
        </is>
      </c>
      <c r="B1114" s="1" t="n">
        <v>45604.82615740741</v>
      </c>
      <c r="C1114" s="1" t="n">
        <v>46053</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10409-2024</t>
        </is>
      </c>
      <c r="B1115" s="1" t="n">
        <v>45365.6978125</v>
      </c>
      <c r="C1115" s="1" t="n">
        <v>46053</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31995-2023</t>
        </is>
      </c>
      <c r="B1116" s="1" t="n">
        <v>45107</v>
      </c>
      <c r="C1116" s="1" t="n">
        <v>46053</v>
      </c>
      <c r="D1116" t="inlineStr">
        <is>
          <t>SKÅNE LÄN</t>
        </is>
      </c>
      <c r="E1116" t="inlineStr">
        <is>
          <t>HÄSSLEHOLM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4356-2024</t>
        </is>
      </c>
      <c r="B1117" s="1" t="n">
        <v>45325.36195601852</v>
      </c>
      <c r="C1117" s="1" t="n">
        <v>46053</v>
      </c>
      <c r="D1117" t="inlineStr">
        <is>
          <t>SKÅNE LÄN</t>
        </is>
      </c>
      <c r="E1117" t="inlineStr">
        <is>
          <t>HÄSSLEHOLM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46053</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34888-2023</t>
        </is>
      </c>
      <c r="B1119" s="1" t="n">
        <v>45142.388125</v>
      </c>
      <c r="C1119" s="1" t="n">
        <v>46053</v>
      </c>
      <c r="D1119" t="inlineStr">
        <is>
          <t>SKÅNE LÄN</t>
        </is>
      </c>
      <c r="E1119" t="inlineStr">
        <is>
          <t>HÄSSLEHOLM</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20435-2021</t>
        </is>
      </c>
      <c r="B1120" s="1" t="n">
        <v>44315.5793287037</v>
      </c>
      <c r="C1120" s="1" t="n">
        <v>46053</v>
      </c>
      <c r="D1120" t="inlineStr">
        <is>
          <t>SKÅNE LÄN</t>
        </is>
      </c>
      <c r="E1120" t="inlineStr">
        <is>
          <t>HÄSSLEHOLM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53085-2022</t>
        </is>
      </c>
      <c r="B1121" s="1" t="n">
        <v>44873</v>
      </c>
      <c r="C1121" s="1" t="n">
        <v>46053</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16388-2025</t>
        </is>
      </c>
      <c r="B1122" s="1" t="n">
        <v>45751.42787037037</v>
      </c>
      <c r="C1122" s="1" t="n">
        <v>46053</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16668-2025</t>
        </is>
      </c>
      <c r="B1123" s="1" t="n">
        <v>45754.43009259259</v>
      </c>
      <c r="C1123" s="1" t="n">
        <v>46053</v>
      </c>
      <c r="D1123" t="inlineStr">
        <is>
          <t>SKÅNE LÄN</t>
        </is>
      </c>
      <c r="E1123" t="inlineStr">
        <is>
          <t>HÄSSLEHOLM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9709-2023</t>
        </is>
      </c>
      <c r="B1124" s="1" t="n">
        <v>44984.48376157408</v>
      </c>
      <c r="C1124" s="1" t="n">
        <v>46053</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13646-2024</t>
        </is>
      </c>
      <c r="B1125" s="1" t="n">
        <v>45387</v>
      </c>
      <c r="C1125" s="1" t="n">
        <v>46053</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21867-2023</t>
        </is>
      </c>
      <c r="B1126" s="1" t="n">
        <v>45063</v>
      </c>
      <c r="C1126" s="1" t="n">
        <v>46053</v>
      </c>
      <c r="D1126" t="inlineStr">
        <is>
          <t>SKÅNE LÄN</t>
        </is>
      </c>
      <c r="E1126" t="inlineStr">
        <is>
          <t>HÄSSLEHOLM</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13087-2023</t>
        </is>
      </c>
      <c r="B1127" s="1" t="n">
        <v>45001</v>
      </c>
      <c r="C1127" s="1" t="n">
        <v>46053</v>
      </c>
      <c r="D1127" t="inlineStr">
        <is>
          <t>SKÅNE LÄN</t>
        </is>
      </c>
      <c r="E1127" t="inlineStr">
        <is>
          <t>HÄSSLEHOLM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52968-2022</t>
        </is>
      </c>
      <c r="B1128" s="1" t="n">
        <v>44875</v>
      </c>
      <c r="C1128" s="1" t="n">
        <v>46053</v>
      </c>
      <c r="D1128" t="inlineStr">
        <is>
          <t>SKÅNE LÄN</t>
        </is>
      </c>
      <c r="E1128" t="inlineStr">
        <is>
          <t>HÄSSLEHOLM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62167-2022</t>
        </is>
      </c>
      <c r="B1129" s="1" t="n">
        <v>44915</v>
      </c>
      <c r="C1129" s="1" t="n">
        <v>46053</v>
      </c>
      <c r="D1129" t="inlineStr">
        <is>
          <t>SKÅNE LÄN</t>
        </is>
      </c>
      <c r="E1129" t="inlineStr">
        <is>
          <t>HÄSSLEHOLM</t>
        </is>
      </c>
      <c r="F1129" t="inlineStr">
        <is>
          <t>Kyrkan</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62234-2022</t>
        </is>
      </c>
      <c r="B1130" s="1" t="n">
        <v>44922</v>
      </c>
      <c r="C1130" s="1" t="n">
        <v>46053</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44741-2023</t>
        </is>
      </c>
      <c r="B1131" s="1" t="n">
        <v>45190.38804398148</v>
      </c>
      <c r="C1131" s="1" t="n">
        <v>46053</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9397-2025</t>
        </is>
      </c>
      <c r="B1132" s="1" t="n">
        <v>45715.37361111111</v>
      </c>
      <c r="C1132" s="1" t="n">
        <v>46053</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6583-2021</t>
        </is>
      </c>
      <c r="B1133" s="1" t="n">
        <v>44236</v>
      </c>
      <c r="C1133" s="1" t="n">
        <v>46053</v>
      </c>
      <c r="D1133" t="inlineStr">
        <is>
          <t>SKÅNE LÄN</t>
        </is>
      </c>
      <c r="E1133" t="inlineStr">
        <is>
          <t>HÄSSLEHOLM</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50899-2024</t>
        </is>
      </c>
      <c r="B1134" s="1" t="n">
        <v>45602.68584490741</v>
      </c>
      <c r="C1134" s="1" t="n">
        <v>46053</v>
      </c>
      <c r="D1134" t="inlineStr">
        <is>
          <t>SKÅNE LÄN</t>
        </is>
      </c>
      <c r="E1134" t="inlineStr">
        <is>
          <t>HÄSSLEHOLM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48624-2021</t>
        </is>
      </c>
      <c r="B1135" s="1" t="n">
        <v>44452</v>
      </c>
      <c r="C1135" s="1" t="n">
        <v>46053</v>
      </c>
      <c r="D1135" t="inlineStr">
        <is>
          <t>SKÅNE LÄN</t>
        </is>
      </c>
      <c r="E1135" t="inlineStr">
        <is>
          <t>HÄSSLEHOLM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10802-2024</t>
        </is>
      </c>
      <c r="B1136" s="1" t="n">
        <v>45369</v>
      </c>
      <c r="C1136" s="1" t="n">
        <v>46053</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48046-2023</t>
        </is>
      </c>
      <c r="B1137" s="1" t="n">
        <v>45204.85201388889</v>
      </c>
      <c r="C1137" s="1" t="n">
        <v>46053</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11607-2025</t>
        </is>
      </c>
      <c r="B1138" s="1" t="n">
        <v>45727</v>
      </c>
      <c r="C1138" s="1" t="n">
        <v>46053</v>
      </c>
      <c r="D1138" t="inlineStr">
        <is>
          <t>SKÅNE LÄN</t>
        </is>
      </c>
      <c r="E1138" t="inlineStr">
        <is>
          <t>HÄSSLEHOLM</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13808-2021</t>
        </is>
      </c>
      <c r="B1139" s="1" t="n">
        <v>44276</v>
      </c>
      <c r="C1139" s="1" t="n">
        <v>46053</v>
      </c>
      <c r="D1139" t="inlineStr">
        <is>
          <t>SKÅNE LÄN</t>
        </is>
      </c>
      <c r="E1139" t="inlineStr">
        <is>
          <t>HÄSSLEHOLM</t>
        </is>
      </c>
      <c r="G1139" t="n">
        <v>10.3</v>
      </c>
      <c r="H1139" t="n">
        <v>0</v>
      </c>
      <c r="I1139" t="n">
        <v>0</v>
      </c>
      <c r="J1139" t="n">
        <v>0</v>
      </c>
      <c r="K1139" t="n">
        <v>0</v>
      </c>
      <c r="L1139" t="n">
        <v>0</v>
      </c>
      <c r="M1139" t="n">
        <v>0</v>
      </c>
      <c r="N1139" t="n">
        <v>0</v>
      </c>
      <c r="O1139" t="n">
        <v>0</v>
      </c>
      <c r="P1139" t="n">
        <v>0</v>
      </c>
      <c r="Q1139" t="n">
        <v>0</v>
      </c>
      <c r="R1139" s="2" t="inlineStr"/>
    </row>
    <row r="1140" ht="15" customHeight="1">
      <c r="A1140" t="inlineStr">
        <is>
          <t>A 49106-2023</t>
        </is>
      </c>
      <c r="B1140" s="1" t="n">
        <v>45210</v>
      </c>
      <c r="C1140" s="1" t="n">
        <v>46053</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58815-2023</t>
        </is>
      </c>
      <c r="B1141" s="1" t="n">
        <v>45247</v>
      </c>
      <c r="C1141" s="1" t="n">
        <v>46053</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9697-2023</t>
        </is>
      </c>
      <c r="B1142" s="1" t="n">
        <v>44984</v>
      </c>
      <c r="C1142" s="1" t="n">
        <v>46053</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27478-2023</t>
        </is>
      </c>
      <c r="B1143" s="1" t="n">
        <v>45092</v>
      </c>
      <c r="C1143" s="1" t="n">
        <v>46053</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1170-2025</t>
        </is>
      </c>
      <c r="B1144" s="1" t="n">
        <v>45667.29226851852</v>
      </c>
      <c r="C1144" s="1" t="n">
        <v>46053</v>
      </c>
      <c r="D1144" t="inlineStr">
        <is>
          <t>SKÅNE LÄN</t>
        </is>
      </c>
      <c r="E1144" t="inlineStr">
        <is>
          <t>HÄSSLEHOLM</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57749-2023</t>
        </is>
      </c>
      <c r="B1145" s="1" t="n">
        <v>45246</v>
      </c>
      <c r="C1145" s="1" t="n">
        <v>46053</v>
      </c>
      <c r="D1145" t="inlineStr">
        <is>
          <t>SKÅNE LÄN</t>
        </is>
      </c>
      <c r="E1145" t="inlineStr">
        <is>
          <t>HÄSSLEHOLM</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44940-2023</t>
        </is>
      </c>
      <c r="B1146" s="1" t="n">
        <v>45190.68653935185</v>
      </c>
      <c r="C1146" s="1" t="n">
        <v>46053</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18800-2023</t>
        </is>
      </c>
      <c r="B1147" s="1" t="n">
        <v>45044</v>
      </c>
      <c r="C1147" s="1" t="n">
        <v>46053</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25206-2023</t>
        </is>
      </c>
      <c r="B1148" s="1" t="n">
        <v>45086.59318287037</v>
      </c>
      <c r="C1148" s="1" t="n">
        <v>46053</v>
      </c>
      <c r="D1148" t="inlineStr">
        <is>
          <t>SKÅNE LÄN</t>
        </is>
      </c>
      <c r="E1148" t="inlineStr">
        <is>
          <t>HÄSSLEHOLM</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5116-2023</t>
        </is>
      </c>
      <c r="B1149" s="1" t="n">
        <v>44958.67546296296</v>
      </c>
      <c r="C1149" s="1" t="n">
        <v>46053</v>
      </c>
      <c r="D1149" t="inlineStr">
        <is>
          <t>SKÅNE LÄN</t>
        </is>
      </c>
      <c r="E1149" t="inlineStr">
        <is>
          <t>HÄSSLEHOLM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10220-2023</t>
        </is>
      </c>
      <c r="B1150" s="1" t="n">
        <v>44986.60916666667</v>
      </c>
      <c r="C1150" s="1" t="n">
        <v>46053</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25611-2024</t>
        </is>
      </c>
      <c r="B1151" s="1" t="n">
        <v>45463</v>
      </c>
      <c r="C1151" s="1" t="n">
        <v>46053</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26536-2022</t>
        </is>
      </c>
      <c r="B1152" s="1" t="n">
        <v>44739.45496527778</v>
      </c>
      <c r="C1152" s="1" t="n">
        <v>46053</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16334-2024</t>
        </is>
      </c>
      <c r="B1153" s="1" t="n">
        <v>45407.54856481482</v>
      </c>
      <c r="C1153" s="1" t="n">
        <v>46053</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41873-2023</t>
        </is>
      </c>
      <c r="B1154" s="1" t="n">
        <v>45176</v>
      </c>
      <c r="C1154" s="1" t="n">
        <v>46053</v>
      </c>
      <c r="D1154" t="inlineStr">
        <is>
          <t>SKÅNE LÄN</t>
        </is>
      </c>
      <c r="E1154" t="inlineStr">
        <is>
          <t>HÄSSLEHOLM</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60973-2024</t>
        </is>
      </c>
      <c r="B1155" s="1" t="n">
        <v>45644</v>
      </c>
      <c r="C1155" s="1" t="n">
        <v>46053</v>
      </c>
      <c r="D1155" t="inlineStr">
        <is>
          <t>SKÅNE LÄN</t>
        </is>
      </c>
      <c r="E1155" t="inlineStr">
        <is>
          <t>HÄSSLEHOLM</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38228-2021</t>
        </is>
      </c>
      <c r="B1156" s="1" t="n">
        <v>44405</v>
      </c>
      <c r="C1156" s="1" t="n">
        <v>46053</v>
      </c>
      <c r="D1156" t="inlineStr">
        <is>
          <t>SKÅNE LÄN</t>
        </is>
      </c>
      <c r="E1156" t="inlineStr">
        <is>
          <t>HÄSSLEHOLM</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14655-2025</t>
        </is>
      </c>
      <c r="B1157" s="1" t="n">
        <v>45742.5072337963</v>
      </c>
      <c r="C1157" s="1" t="n">
        <v>46053</v>
      </c>
      <c r="D1157" t="inlineStr">
        <is>
          <t>SKÅNE LÄN</t>
        </is>
      </c>
      <c r="E1157" t="inlineStr">
        <is>
          <t>HÄSSLEHOLM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59763-2022</t>
        </is>
      </c>
      <c r="B1158" s="1" t="n">
        <v>44900</v>
      </c>
      <c r="C1158" s="1" t="n">
        <v>46053</v>
      </c>
      <c r="D1158" t="inlineStr">
        <is>
          <t>SKÅNE LÄN</t>
        </is>
      </c>
      <c r="E1158" t="inlineStr">
        <is>
          <t>HÄSSLEHOLM</t>
        </is>
      </c>
      <c r="F1158" t="inlineStr">
        <is>
          <t>Övriga Aktiebolag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43061-2024</t>
        </is>
      </c>
      <c r="B1159" s="1" t="n">
        <v>45567</v>
      </c>
      <c r="C1159" s="1" t="n">
        <v>46053</v>
      </c>
      <c r="D1159" t="inlineStr">
        <is>
          <t>SKÅNE LÄN</t>
        </is>
      </c>
      <c r="E1159" t="inlineStr">
        <is>
          <t>HÄSSLEHOLM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21328-2023</t>
        </is>
      </c>
      <c r="B1160" s="1" t="n">
        <v>45062</v>
      </c>
      <c r="C1160" s="1" t="n">
        <v>46053</v>
      </c>
      <c r="D1160" t="inlineStr">
        <is>
          <t>SKÅNE LÄN</t>
        </is>
      </c>
      <c r="E1160" t="inlineStr">
        <is>
          <t>HÄSSLEHOLM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10277-2023</t>
        </is>
      </c>
      <c r="B1161" s="1" t="n">
        <v>44986</v>
      </c>
      <c r="C1161" s="1" t="n">
        <v>46053</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10290-2023</t>
        </is>
      </c>
      <c r="B1162" s="1" t="n">
        <v>44986</v>
      </c>
      <c r="C1162" s="1" t="n">
        <v>46053</v>
      </c>
      <c r="D1162" t="inlineStr">
        <is>
          <t>SKÅNE LÄN</t>
        </is>
      </c>
      <c r="E1162" t="inlineStr">
        <is>
          <t>HÄSSLEHOLM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6619-2024</t>
        </is>
      </c>
      <c r="B1163" s="1" t="n">
        <v>45341.6021412037</v>
      </c>
      <c r="C1163" s="1" t="n">
        <v>46053</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20666-2023</t>
        </is>
      </c>
      <c r="B1164" s="1" t="n">
        <v>45058.35664351852</v>
      </c>
      <c r="C1164" s="1" t="n">
        <v>46053</v>
      </c>
      <c r="D1164" t="inlineStr">
        <is>
          <t>SKÅNE LÄN</t>
        </is>
      </c>
      <c r="E1164" t="inlineStr">
        <is>
          <t>HÄSSLEHOLM</t>
        </is>
      </c>
      <c r="F1164" t="inlineStr">
        <is>
          <t>Kyrkan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19593-2023</t>
        </is>
      </c>
      <c r="B1165" s="1" t="n">
        <v>45050.75895833333</v>
      </c>
      <c r="C1165" s="1" t="n">
        <v>46053</v>
      </c>
      <c r="D1165" t="inlineStr">
        <is>
          <t>SKÅNE LÄN</t>
        </is>
      </c>
      <c r="E1165" t="inlineStr">
        <is>
          <t>HÄSSLEHOLM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7494-2023</t>
        </is>
      </c>
      <c r="B1166" s="1" t="n">
        <v>44971.70835648148</v>
      </c>
      <c r="C1166" s="1" t="n">
        <v>46053</v>
      </c>
      <c r="D1166" t="inlineStr">
        <is>
          <t>SKÅNE LÄN</t>
        </is>
      </c>
      <c r="E1166" t="inlineStr">
        <is>
          <t>HÄSSLEHOLM</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6087-2025</t>
        </is>
      </c>
      <c r="B1167" s="1" t="n">
        <v>45697.69782407407</v>
      </c>
      <c r="C1167" s="1" t="n">
        <v>46053</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50571-2023</t>
        </is>
      </c>
      <c r="B1168" s="1" t="n">
        <v>45217.38359953704</v>
      </c>
      <c r="C1168" s="1" t="n">
        <v>46053</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18041-2023</t>
        </is>
      </c>
      <c r="B1169" s="1" t="n">
        <v>45040</v>
      </c>
      <c r="C1169" s="1" t="n">
        <v>46053</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16950-2025</t>
        </is>
      </c>
      <c r="B1170" s="1" t="n">
        <v>45755</v>
      </c>
      <c r="C1170" s="1" t="n">
        <v>46053</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58618-2024</t>
        </is>
      </c>
      <c r="B1171" s="1" t="n">
        <v>45635.56150462963</v>
      </c>
      <c r="C1171" s="1" t="n">
        <v>46053</v>
      </c>
      <c r="D1171" t="inlineStr">
        <is>
          <t>SKÅNE LÄN</t>
        </is>
      </c>
      <c r="E1171" t="inlineStr">
        <is>
          <t>HÄSSLEHOLM</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52337-2023</t>
        </is>
      </c>
      <c r="B1172" s="1" t="n">
        <v>45224.66359953704</v>
      </c>
      <c r="C1172" s="1" t="n">
        <v>46053</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c r="A1173" t="inlineStr">
        <is>
          <t>A 13084-2025</t>
        </is>
      </c>
      <c r="B1173" s="1" t="n">
        <v>45734</v>
      </c>
      <c r="C1173" s="1" t="n">
        <v>46053</v>
      </c>
      <c r="D1173" t="inlineStr">
        <is>
          <t>SKÅNE LÄN</t>
        </is>
      </c>
      <c r="E1173" t="inlineStr">
        <is>
          <t>HÄSSLEHOLM</t>
        </is>
      </c>
      <c r="G1173" t="n">
        <v>2.3</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2026-01-31T11:04:31Z</dcterms:created>
  <dcterms:modified xmlns:dcterms="http://purl.org/dc/terms/" xmlns:xsi="http://www.w3.org/2001/XMLSchema-instance" xsi:type="dcterms:W3CDTF">2026-01-31T11:04:32Z</dcterms:modified>
</cp:coreProperties>
</file>