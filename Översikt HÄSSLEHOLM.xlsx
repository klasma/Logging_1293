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45830</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45830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45830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45830</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45830</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45830</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45830</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45830</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45830</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45830</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45830</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45830</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45830</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45830</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45830</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45830</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45830</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45830</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45830</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45830</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45830</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45830</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45830</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45830</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45830</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45830</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45830</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45830</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45830</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45830</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45830</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45830</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45830</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45830</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45830</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45830</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45830</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45830</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45830</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29272-2023</t>
        </is>
      </c>
      <c r="B41" s="1" t="n">
        <v>45105</v>
      </c>
      <c r="C41" s="1" t="n">
        <v>45830</v>
      </c>
      <c r="D41" t="inlineStr">
        <is>
          <t>SKÅNE LÄN</t>
        </is>
      </c>
      <c r="E41" t="inlineStr">
        <is>
          <t>HÄSSLEHOLM</t>
        </is>
      </c>
      <c r="G41" t="n">
        <v>2.2</v>
      </c>
      <c r="H41" t="n">
        <v>0</v>
      </c>
      <c r="I41" t="n">
        <v>1</v>
      </c>
      <c r="J41" t="n">
        <v>0</v>
      </c>
      <c r="K41" t="n">
        <v>0</v>
      </c>
      <c r="L41" t="n">
        <v>0</v>
      </c>
      <c r="M41" t="n">
        <v>0</v>
      </c>
      <c r="N41" t="n">
        <v>0</v>
      </c>
      <c r="O41" t="n">
        <v>0</v>
      </c>
      <c r="P41" t="n">
        <v>0</v>
      </c>
      <c r="Q41" t="n">
        <v>1</v>
      </c>
      <c r="R41" s="2" t="inlineStr">
        <is>
          <t>Sotlav</t>
        </is>
      </c>
      <c r="S41">
        <f>HYPERLINK("https://klasma.github.io/Logging_1293/artfynd/A 29272-2023 artfynd.xlsx", "A 29272-2023")</f>
        <v/>
      </c>
      <c r="T41">
        <f>HYPERLINK("https://klasma.github.io/Logging_1293/kartor/A 29272-2023 karta.png", "A 29272-2023")</f>
        <v/>
      </c>
      <c r="V41">
        <f>HYPERLINK("https://klasma.github.io/Logging_1293/klagomål/A 29272-2023 FSC-klagomål.docx", "A 29272-2023")</f>
        <v/>
      </c>
      <c r="W41">
        <f>HYPERLINK("https://klasma.github.io/Logging_1293/klagomålsmail/A 29272-2023 FSC-klagomål mail.docx", "A 29272-2023")</f>
        <v/>
      </c>
      <c r="X41">
        <f>HYPERLINK("https://klasma.github.io/Logging_1293/tillsyn/A 29272-2023 tillsynsbegäran.docx", "A 29272-2023")</f>
        <v/>
      </c>
      <c r="Y41">
        <f>HYPERLINK("https://klasma.github.io/Logging_1293/tillsynsmail/A 29272-2023 tillsynsbegäran mail.docx", "A 29272-2023")</f>
        <v/>
      </c>
    </row>
    <row r="42" ht="15" customHeight="1">
      <c r="A42" t="inlineStr">
        <is>
          <t>A 46602-2023</t>
        </is>
      </c>
      <c r="B42" s="1" t="n">
        <v>45194</v>
      </c>
      <c r="C42" s="1" t="n">
        <v>45830</v>
      </c>
      <c r="D42" t="inlineStr">
        <is>
          <t>SKÅNE LÄN</t>
        </is>
      </c>
      <c r="E42" t="inlineStr">
        <is>
          <t>HÄSSLEHOLM</t>
        </is>
      </c>
      <c r="G42" t="n">
        <v>7.3</v>
      </c>
      <c r="H42" t="n">
        <v>0</v>
      </c>
      <c r="I42" t="n">
        <v>0</v>
      </c>
      <c r="J42" t="n">
        <v>0</v>
      </c>
      <c r="K42" t="n">
        <v>1</v>
      </c>
      <c r="L42" t="n">
        <v>0</v>
      </c>
      <c r="M42" t="n">
        <v>0</v>
      </c>
      <c r="N42" t="n">
        <v>0</v>
      </c>
      <c r="O42" t="n">
        <v>1</v>
      </c>
      <c r="P42" t="n">
        <v>1</v>
      </c>
      <c r="Q42" t="n">
        <v>1</v>
      </c>
      <c r="R42" s="2" t="inlineStr">
        <is>
          <t>Lungrot</t>
        </is>
      </c>
      <c r="S42">
        <f>HYPERLINK("https://klasma.github.io/Logging_1293/artfynd/A 46602-2023 artfynd.xlsx", "A 46602-2023")</f>
        <v/>
      </c>
      <c r="T42">
        <f>HYPERLINK("https://klasma.github.io/Logging_1293/kartor/A 46602-2023 karta.png", "A 46602-2023")</f>
        <v/>
      </c>
      <c r="V42">
        <f>HYPERLINK("https://klasma.github.io/Logging_1293/klagomål/A 46602-2023 FSC-klagomål.docx", "A 46602-2023")</f>
        <v/>
      </c>
      <c r="W42">
        <f>HYPERLINK("https://klasma.github.io/Logging_1293/klagomålsmail/A 46602-2023 FSC-klagomål mail.docx", "A 46602-2023")</f>
        <v/>
      </c>
      <c r="X42">
        <f>HYPERLINK("https://klasma.github.io/Logging_1293/tillsyn/A 46602-2023 tillsynsbegäran.docx", "A 46602-2023")</f>
        <v/>
      </c>
      <c r="Y42">
        <f>HYPERLINK("https://klasma.github.io/Logging_1293/tillsynsmail/A 46602-2023 tillsynsbegäran mail.docx", "A 46602-2023")</f>
        <v/>
      </c>
    </row>
    <row r="43" ht="15" customHeight="1">
      <c r="A43" t="inlineStr">
        <is>
          <t>A 6634-2024</t>
        </is>
      </c>
      <c r="B43" s="1" t="n">
        <v>45341</v>
      </c>
      <c r="C43" s="1" t="n">
        <v>45830</v>
      </c>
      <c r="D43" t="inlineStr">
        <is>
          <t>SKÅNE LÄN</t>
        </is>
      </c>
      <c r="E43" t="inlineStr">
        <is>
          <t>HÄSSLEHOLM</t>
        </is>
      </c>
      <c r="G43" t="n">
        <v>1.9</v>
      </c>
      <c r="H43" t="n">
        <v>0</v>
      </c>
      <c r="I43" t="n">
        <v>0</v>
      </c>
      <c r="J43" t="n">
        <v>0</v>
      </c>
      <c r="K43" t="n">
        <v>1</v>
      </c>
      <c r="L43" t="n">
        <v>0</v>
      </c>
      <c r="M43" t="n">
        <v>0</v>
      </c>
      <c r="N43" t="n">
        <v>0</v>
      </c>
      <c r="O43" t="n">
        <v>1</v>
      </c>
      <c r="P43" t="n">
        <v>1</v>
      </c>
      <c r="Q43" t="n">
        <v>1</v>
      </c>
      <c r="R43" s="2" t="inlineStr">
        <is>
          <t>Revig blodrot</t>
        </is>
      </c>
      <c r="S43">
        <f>HYPERLINK("https://klasma.github.io/Logging_1293/artfynd/A 6634-2024 artfynd.xlsx", "A 6634-2024")</f>
        <v/>
      </c>
      <c r="T43">
        <f>HYPERLINK("https://klasma.github.io/Logging_1293/kartor/A 6634-2024 karta.png", "A 6634-2024")</f>
        <v/>
      </c>
      <c r="V43">
        <f>HYPERLINK("https://klasma.github.io/Logging_1293/klagomål/A 6634-2024 FSC-klagomål.docx", "A 6634-2024")</f>
        <v/>
      </c>
      <c r="W43">
        <f>HYPERLINK("https://klasma.github.io/Logging_1293/klagomålsmail/A 6634-2024 FSC-klagomål mail.docx", "A 6634-2024")</f>
        <v/>
      </c>
      <c r="X43">
        <f>HYPERLINK("https://klasma.github.io/Logging_1293/tillsyn/A 6634-2024 tillsynsbegäran.docx", "A 6634-2024")</f>
        <v/>
      </c>
      <c r="Y43">
        <f>HYPERLINK("https://klasma.github.io/Logging_1293/tillsynsmail/A 6634-2024 tillsynsbegäran mail.docx", "A 6634-2024")</f>
        <v/>
      </c>
    </row>
    <row r="44" ht="15" customHeight="1">
      <c r="A44" t="inlineStr">
        <is>
          <t>A 7862-2024</t>
        </is>
      </c>
      <c r="B44" s="1" t="n">
        <v>45348</v>
      </c>
      <c r="C44" s="1" t="n">
        <v>45830</v>
      </c>
      <c r="D44" t="inlineStr">
        <is>
          <t>SKÅNE LÄN</t>
        </is>
      </c>
      <c r="E44" t="inlineStr">
        <is>
          <t>HÄSSLEHOLM</t>
        </is>
      </c>
      <c r="G44" t="n">
        <v>5</v>
      </c>
      <c r="H44" t="n">
        <v>0</v>
      </c>
      <c r="I44" t="n">
        <v>1</v>
      </c>
      <c r="J44" t="n">
        <v>0</v>
      </c>
      <c r="K44" t="n">
        <v>0</v>
      </c>
      <c r="L44" t="n">
        <v>0</v>
      </c>
      <c r="M44" t="n">
        <v>0</v>
      </c>
      <c r="N44" t="n">
        <v>0</v>
      </c>
      <c r="O44" t="n">
        <v>0</v>
      </c>
      <c r="P44" t="n">
        <v>0</v>
      </c>
      <c r="Q44" t="n">
        <v>1</v>
      </c>
      <c r="R44" s="2" t="inlineStr">
        <is>
          <t>Stor revmossa</t>
        </is>
      </c>
      <c r="S44">
        <f>HYPERLINK("https://klasma.github.io/Logging_1293/artfynd/A 7862-2024 artfynd.xlsx", "A 7862-2024")</f>
        <v/>
      </c>
      <c r="T44">
        <f>HYPERLINK("https://klasma.github.io/Logging_1293/kartor/A 7862-2024 karta.png", "A 7862-2024")</f>
        <v/>
      </c>
      <c r="V44">
        <f>HYPERLINK("https://klasma.github.io/Logging_1293/klagomål/A 7862-2024 FSC-klagomål.docx", "A 7862-2024")</f>
        <v/>
      </c>
      <c r="W44">
        <f>HYPERLINK("https://klasma.github.io/Logging_1293/klagomålsmail/A 7862-2024 FSC-klagomål mail.docx", "A 7862-2024")</f>
        <v/>
      </c>
      <c r="X44">
        <f>HYPERLINK("https://klasma.github.io/Logging_1293/tillsyn/A 7862-2024 tillsynsbegäran.docx", "A 7862-2024")</f>
        <v/>
      </c>
      <c r="Y44">
        <f>HYPERLINK("https://klasma.github.io/Logging_1293/tillsynsmail/A 7862-2024 tillsynsbegäran mail.docx", "A 7862-2024")</f>
        <v/>
      </c>
    </row>
    <row r="45" ht="15" customHeight="1">
      <c r="A45" t="inlineStr">
        <is>
          <t>A 11226-2024</t>
        </is>
      </c>
      <c r="B45" s="1" t="n">
        <v>45371</v>
      </c>
      <c r="C45" s="1" t="n">
        <v>45830</v>
      </c>
      <c r="D45" t="inlineStr">
        <is>
          <t>SKÅNE LÄN</t>
        </is>
      </c>
      <c r="E45" t="inlineStr">
        <is>
          <t>HÄSSLEHOLM</t>
        </is>
      </c>
      <c r="G45" t="n">
        <v>1.5</v>
      </c>
      <c r="H45" t="n">
        <v>0</v>
      </c>
      <c r="I45" t="n">
        <v>0</v>
      </c>
      <c r="J45" t="n">
        <v>0</v>
      </c>
      <c r="K45" t="n">
        <v>1</v>
      </c>
      <c r="L45" t="n">
        <v>0</v>
      </c>
      <c r="M45" t="n">
        <v>0</v>
      </c>
      <c r="N45" t="n">
        <v>0</v>
      </c>
      <c r="O45" t="n">
        <v>1</v>
      </c>
      <c r="P45" t="n">
        <v>1</v>
      </c>
      <c r="Q45" t="n">
        <v>1</v>
      </c>
      <c r="R45" s="2" t="inlineStr">
        <is>
          <t>Småvänderot</t>
        </is>
      </c>
      <c r="S45">
        <f>HYPERLINK("https://klasma.github.io/Logging_1293/artfynd/A 11226-2024 artfynd.xlsx", "A 11226-2024")</f>
        <v/>
      </c>
      <c r="T45">
        <f>HYPERLINK("https://klasma.github.io/Logging_1293/kartor/A 11226-2024 karta.png", "A 11226-2024")</f>
        <v/>
      </c>
      <c r="V45">
        <f>HYPERLINK("https://klasma.github.io/Logging_1293/klagomål/A 11226-2024 FSC-klagomål.docx", "A 11226-2024")</f>
        <v/>
      </c>
      <c r="W45">
        <f>HYPERLINK("https://klasma.github.io/Logging_1293/klagomålsmail/A 11226-2024 FSC-klagomål mail.docx", "A 11226-2024")</f>
        <v/>
      </c>
      <c r="X45">
        <f>HYPERLINK("https://klasma.github.io/Logging_1293/tillsyn/A 11226-2024 tillsynsbegäran.docx", "A 11226-2024")</f>
        <v/>
      </c>
      <c r="Y45">
        <f>HYPERLINK("https://klasma.github.io/Logging_1293/tillsynsmail/A 11226-2024 tillsynsbegäran mail.docx", "A 11226-2024")</f>
        <v/>
      </c>
    </row>
    <row r="46" ht="15" customHeight="1">
      <c r="A46" t="inlineStr">
        <is>
          <t>A 20679-2024</t>
        </is>
      </c>
      <c r="B46" s="1" t="n">
        <v>45436</v>
      </c>
      <c r="C46" s="1" t="n">
        <v>45830</v>
      </c>
      <c r="D46" t="inlineStr">
        <is>
          <t>SKÅNE LÄN</t>
        </is>
      </c>
      <c r="E46" t="inlineStr">
        <is>
          <t>HÄSSLEHOLM</t>
        </is>
      </c>
      <c r="G46" t="n">
        <v>1.1</v>
      </c>
      <c r="H46" t="n">
        <v>0</v>
      </c>
      <c r="I46" t="n">
        <v>1</v>
      </c>
      <c r="J46" t="n">
        <v>0</v>
      </c>
      <c r="K46" t="n">
        <v>0</v>
      </c>
      <c r="L46" t="n">
        <v>0</v>
      </c>
      <c r="M46" t="n">
        <v>0</v>
      </c>
      <c r="N46" t="n">
        <v>0</v>
      </c>
      <c r="O46" t="n">
        <v>0</v>
      </c>
      <c r="P46" t="n">
        <v>0</v>
      </c>
      <c r="Q46" t="n">
        <v>1</v>
      </c>
      <c r="R46" s="2" t="inlineStr">
        <is>
          <t>Blodticka</t>
        </is>
      </c>
      <c r="S46">
        <f>HYPERLINK("https://klasma.github.io/Logging_1293/artfynd/A 20679-2024 artfynd.xlsx", "A 20679-2024")</f>
        <v/>
      </c>
      <c r="T46">
        <f>HYPERLINK("https://klasma.github.io/Logging_1293/kartor/A 20679-2024 karta.png", "A 20679-2024")</f>
        <v/>
      </c>
      <c r="V46">
        <f>HYPERLINK("https://klasma.github.io/Logging_1293/klagomål/A 20679-2024 FSC-klagomål.docx", "A 20679-2024")</f>
        <v/>
      </c>
      <c r="W46">
        <f>HYPERLINK("https://klasma.github.io/Logging_1293/klagomålsmail/A 20679-2024 FSC-klagomål mail.docx", "A 20679-2024")</f>
        <v/>
      </c>
      <c r="X46">
        <f>HYPERLINK("https://klasma.github.io/Logging_1293/tillsyn/A 20679-2024 tillsynsbegäran.docx", "A 20679-2024")</f>
        <v/>
      </c>
      <c r="Y46">
        <f>HYPERLINK("https://klasma.github.io/Logging_1293/tillsynsmail/A 20679-2024 tillsynsbegäran mail.docx", "A 20679-2024")</f>
        <v/>
      </c>
    </row>
    <row r="47" ht="15" customHeight="1">
      <c r="A47" t="inlineStr">
        <is>
          <t>A 54523-2024</t>
        </is>
      </c>
      <c r="B47" s="1" t="n">
        <v>45617</v>
      </c>
      <c r="C47" s="1" t="n">
        <v>45830</v>
      </c>
      <c r="D47" t="inlineStr">
        <is>
          <t>SKÅNE LÄN</t>
        </is>
      </c>
      <c r="E47" t="inlineStr">
        <is>
          <t>HÄSSLEHOLM</t>
        </is>
      </c>
      <c r="G47" t="n">
        <v>4.5</v>
      </c>
      <c r="H47" t="n">
        <v>1</v>
      </c>
      <c r="I47" t="n">
        <v>0</v>
      </c>
      <c r="J47" t="n">
        <v>0</v>
      </c>
      <c r="K47" t="n">
        <v>0</v>
      </c>
      <c r="L47" t="n">
        <v>0</v>
      </c>
      <c r="M47" t="n">
        <v>0</v>
      </c>
      <c r="N47" t="n">
        <v>0</v>
      </c>
      <c r="O47" t="n">
        <v>0</v>
      </c>
      <c r="P47" t="n">
        <v>0</v>
      </c>
      <c r="Q47" t="n">
        <v>1</v>
      </c>
      <c r="R47" s="2" t="inlineStr">
        <is>
          <t>Grönvit nattviol</t>
        </is>
      </c>
      <c r="S47">
        <f>HYPERLINK("https://klasma.github.io/Logging_1293/artfynd/A 54523-2024 artfynd.xlsx", "A 54523-2024")</f>
        <v/>
      </c>
      <c r="T47">
        <f>HYPERLINK("https://klasma.github.io/Logging_1293/kartor/A 54523-2024 karta.png", "A 54523-2024")</f>
        <v/>
      </c>
      <c r="V47">
        <f>HYPERLINK("https://klasma.github.io/Logging_1293/klagomål/A 54523-2024 FSC-klagomål.docx", "A 54523-2024")</f>
        <v/>
      </c>
      <c r="W47">
        <f>HYPERLINK("https://klasma.github.io/Logging_1293/klagomålsmail/A 54523-2024 FSC-klagomål mail.docx", "A 54523-2024")</f>
        <v/>
      </c>
      <c r="X47">
        <f>HYPERLINK("https://klasma.github.io/Logging_1293/tillsyn/A 54523-2024 tillsynsbegäran.docx", "A 54523-2024")</f>
        <v/>
      </c>
      <c r="Y47">
        <f>HYPERLINK("https://klasma.github.io/Logging_1293/tillsynsmail/A 54523-2024 tillsynsbegäran mail.docx", "A 54523-2024")</f>
        <v/>
      </c>
    </row>
    <row r="48" ht="15" customHeight="1">
      <c r="A48" t="inlineStr">
        <is>
          <t>A 60925-2024</t>
        </is>
      </c>
      <c r="B48" s="1" t="n">
        <v>45645</v>
      </c>
      <c r="C48" s="1" t="n">
        <v>45830</v>
      </c>
      <c r="D48" t="inlineStr">
        <is>
          <t>SKÅNE LÄN</t>
        </is>
      </c>
      <c r="E48" t="inlineStr">
        <is>
          <t>HÄSSLEHOLM</t>
        </is>
      </c>
      <c r="G48" t="n">
        <v>1.8</v>
      </c>
      <c r="H48" t="n">
        <v>0</v>
      </c>
      <c r="I48" t="n">
        <v>0</v>
      </c>
      <c r="J48" t="n">
        <v>0</v>
      </c>
      <c r="K48" t="n">
        <v>0</v>
      </c>
      <c r="L48" t="n">
        <v>1</v>
      </c>
      <c r="M48" t="n">
        <v>0</v>
      </c>
      <c r="N48" t="n">
        <v>0</v>
      </c>
      <c r="O48" t="n">
        <v>1</v>
      </c>
      <c r="P48" t="n">
        <v>1</v>
      </c>
      <c r="Q48" t="n">
        <v>1</v>
      </c>
      <c r="R48" s="2" t="inlineStr">
        <is>
          <t>Ask</t>
        </is>
      </c>
      <c r="S48">
        <f>HYPERLINK("https://klasma.github.io/Logging_1293/artfynd/A 60925-2024 artfynd.xlsx", "A 60925-2024")</f>
        <v/>
      </c>
      <c r="T48">
        <f>HYPERLINK("https://klasma.github.io/Logging_1293/kartor/A 60925-2024 karta.png", "A 60925-2024")</f>
        <v/>
      </c>
      <c r="V48">
        <f>HYPERLINK("https://klasma.github.io/Logging_1293/klagomål/A 60925-2024 FSC-klagomål.docx", "A 60925-2024")</f>
        <v/>
      </c>
      <c r="W48">
        <f>HYPERLINK("https://klasma.github.io/Logging_1293/klagomålsmail/A 60925-2024 FSC-klagomål mail.docx", "A 60925-2024")</f>
        <v/>
      </c>
      <c r="X48">
        <f>HYPERLINK("https://klasma.github.io/Logging_1293/tillsyn/A 60925-2024 tillsynsbegäran.docx", "A 60925-2024")</f>
        <v/>
      </c>
      <c r="Y48">
        <f>HYPERLINK("https://klasma.github.io/Logging_1293/tillsynsmail/A 60925-2024 tillsynsbegäran mail.docx", "A 60925-2024")</f>
        <v/>
      </c>
    </row>
    <row r="49" ht="15" customHeight="1">
      <c r="A49" t="inlineStr">
        <is>
          <t>A 61707-2024</t>
        </is>
      </c>
      <c r="B49" s="1" t="n">
        <v>45648</v>
      </c>
      <c r="C49" s="1" t="n">
        <v>45830</v>
      </c>
      <c r="D49" t="inlineStr">
        <is>
          <t>SKÅNE LÄN</t>
        </is>
      </c>
      <c r="E49" t="inlineStr">
        <is>
          <t>HÄSSLEHOLM</t>
        </is>
      </c>
      <c r="G49" t="n">
        <v>3.2</v>
      </c>
      <c r="H49" t="n">
        <v>0</v>
      </c>
      <c r="I49" t="n">
        <v>0</v>
      </c>
      <c r="J49" t="n">
        <v>1</v>
      </c>
      <c r="K49" t="n">
        <v>0</v>
      </c>
      <c r="L49" t="n">
        <v>0</v>
      </c>
      <c r="M49" t="n">
        <v>0</v>
      </c>
      <c r="N49" t="n">
        <v>0</v>
      </c>
      <c r="O49" t="n">
        <v>1</v>
      </c>
      <c r="P49" t="n">
        <v>0</v>
      </c>
      <c r="Q49" t="n">
        <v>1</v>
      </c>
      <c r="R49" s="2" t="inlineStr">
        <is>
          <t>Rödlånke</t>
        </is>
      </c>
      <c r="S49">
        <f>HYPERLINK("https://klasma.github.io/Logging_1293/artfynd/A 61707-2024 artfynd.xlsx", "A 61707-2024")</f>
        <v/>
      </c>
      <c r="T49">
        <f>HYPERLINK("https://klasma.github.io/Logging_1293/kartor/A 61707-2024 karta.png", "A 61707-2024")</f>
        <v/>
      </c>
      <c r="V49">
        <f>HYPERLINK("https://klasma.github.io/Logging_1293/klagomål/A 61707-2024 FSC-klagomål.docx", "A 61707-2024")</f>
        <v/>
      </c>
      <c r="W49">
        <f>HYPERLINK("https://klasma.github.io/Logging_1293/klagomålsmail/A 61707-2024 FSC-klagomål mail.docx", "A 61707-2024")</f>
        <v/>
      </c>
      <c r="X49">
        <f>HYPERLINK("https://klasma.github.io/Logging_1293/tillsyn/A 61707-2024 tillsynsbegäran.docx", "A 61707-2024")</f>
        <v/>
      </c>
      <c r="Y49">
        <f>HYPERLINK("https://klasma.github.io/Logging_1293/tillsynsmail/A 61707-2024 tillsynsbegäran mail.docx", "A 61707-2024")</f>
        <v/>
      </c>
    </row>
    <row r="50" ht="15" customHeight="1">
      <c r="A50" t="inlineStr">
        <is>
          <t>A 4619-2025</t>
        </is>
      </c>
      <c r="B50" s="1" t="n">
        <v>45687</v>
      </c>
      <c r="C50" s="1" t="n">
        <v>45830</v>
      </c>
      <c r="D50" t="inlineStr">
        <is>
          <t>SKÅNE LÄN</t>
        </is>
      </c>
      <c r="E50" t="inlineStr">
        <is>
          <t>HÄSSLEHOLM</t>
        </is>
      </c>
      <c r="G50" t="n">
        <v>2.2</v>
      </c>
      <c r="H50" t="n">
        <v>0</v>
      </c>
      <c r="I50" t="n">
        <v>0</v>
      </c>
      <c r="J50" t="n">
        <v>0</v>
      </c>
      <c r="K50" t="n">
        <v>1</v>
      </c>
      <c r="L50" t="n">
        <v>0</v>
      </c>
      <c r="M50" t="n">
        <v>0</v>
      </c>
      <c r="N50" t="n">
        <v>0</v>
      </c>
      <c r="O50" t="n">
        <v>1</v>
      </c>
      <c r="P50" t="n">
        <v>1</v>
      </c>
      <c r="Q50" t="n">
        <v>1</v>
      </c>
      <c r="R50" s="2" t="inlineStr">
        <is>
          <t>Vildris</t>
        </is>
      </c>
      <c r="S50">
        <f>HYPERLINK("https://klasma.github.io/Logging_1293/artfynd/A 4619-2025 artfynd.xlsx", "A 4619-2025")</f>
        <v/>
      </c>
      <c r="T50">
        <f>HYPERLINK("https://klasma.github.io/Logging_1293/kartor/A 4619-2025 karta.png", "A 4619-2025")</f>
        <v/>
      </c>
      <c r="V50">
        <f>HYPERLINK("https://klasma.github.io/Logging_1293/klagomål/A 4619-2025 FSC-klagomål.docx", "A 4619-2025")</f>
        <v/>
      </c>
      <c r="W50">
        <f>HYPERLINK("https://klasma.github.io/Logging_1293/klagomålsmail/A 4619-2025 FSC-klagomål mail.docx", "A 4619-2025")</f>
        <v/>
      </c>
      <c r="X50">
        <f>HYPERLINK("https://klasma.github.io/Logging_1293/tillsyn/A 4619-2025 tillsynsbegäran.docx", "A 4619-2025")</f>
        <v/>
      </c>
      <c r="Y50">
        <f>HYPERLINK("https://klasma.github.io/Logging_1293/tillsynsmail/A 4619-2025 tillsynsbegäran mail.docx", "A 4619-2025")</f>
        <v/>
      </c>
    </row>
    <row r="51" ht="15" customHeight="1">
      <c r="A51" t="inlineStr">
        <is>
          <t>A 4725-2025</t>
        </is>
      </c>
      <c r="B51" s="1" t="n">
        <v>45688</v>
      </c>
      <c r="C51" s="1" t="n">
        <v>45830</v>
      </c>
      <c r="D51" t="inlineStr">
        <is>
          <t>SKÅNE LÄN</t>
        </is>
      </c>
      <c r="E51" t="inlineStr">
        <is>
          <t>HÄSSLEHOLM</t>
        </is>
      </c>
      <c r="G51" t="n">
        <v>5.5</v>
      </c>
      <c r="H51" t="n">
        <v>1</v>
      </c>
      <c r="I51" t="n">
        <v>0</v>
      </c>
      <c r="J51" t="n">
        <v>0</v>
      </c>
      <c r="K51" t="n">
        <v>0</v>
      </c>
      <c r="L51" t="n">
        <v>0</v>
      </c>
      <c r="M51" t="n">
        <v>0</v>
      </c>
      <c r="N51" t="n">
        <v>0</v>
      </c>
      <c r="O51" t="n">
        <v>0</v>
      </c>
      <c r="P51" t="n">
        <v>0</v>
      </c>
      <c r="Q51" t="n">
        <v>1</v>
      </c>
      <c r="R51" s="2" t="inlineStr">
        <is>
          <t>Grönvit nattviol</t>
        </is>
      </c>
      <c r="S51">
        <f>HYPERLINK("https://klasma.github.io/Logging_1293/artfynd/A 4725-2025 artfynd.xlsx", "A 4725-2025")</f>
        <v/>
      </c>
      <c r="T51">
        <f>HYPERLINK("https://klasma.github.io/Logging_1293/kartor/A 4725-2025 karta.png", "A 4725-2025")</f>
        <v/>
      </c>
      <c r="V51">
        <f>HYPERLINK("https://klasma.github.io/Logging_1293/klagomål/A 4725-2025 FSC-klagomål.docx", "A 4725-2025")</f>
        <v/>
      </c>
      <c r="W51">
        <f>HYPERLINK("https://klasma.github.io/Logging_1293/klagomålsmail/A 4725-2025 FSC-klagomål mail.docx", "A 4725-2025")</f>
        <v/>
      </c>
      <c r="X51">
        <f>HYPERLINK("https://klasma.github.io/Logging_1293/tillsyn/A 4725-2025 tillsynsbegäran.docx", "A 4725-2025")</f>
        <v/>
      </c>
      <c r="Y51">
        <f>HYPERLINK("https://klasma.github.io/Logging_1293/tillsynsmail/A 4725-2025 tillsynsbegäran mail.docx", "A 4725-2025")</f>
        <v/>
      </c>
    </row>
    <row r="52" ht="15" customHeight="1">
      <c r="A52" t="inlineStr">
        <is>
          <t>A 8223-2025</t>
        </is>
      </c>
      <c r="B52" s="1" t="n">
        <v>45708</v>
      </c>
      <c r="C52" s="1" t="n">
        <v>45830</v>
      </c>
      <c r="D52" t="inlineStr">
        <is>
          <t>SKÅNE LÄN</t>
        </is>
      </c>
      <c r="E52" t="inlineStr">
        <is>
          <t>HÄSSLEHOLM</t>
        </is>
      </c>
      <c r="G52" t="n">
        <v>0.8</v>
      </c>
      <c r="H52" t="n">
        <v>1</v>
      </c>
      <c r="I52" t="n">
        <v>0</v>
      </c>
      <c r="J52" t="n">
        <v>0</v>
      </c>
      <c r="K52" t="n">
        <v>0</v>
      </c>
      <c r="L52" t="n">
        <v>0</v>
      </c>
      <c r="M52" t="n">
        <v>0</v>
      </c>
      <c r="N52" t="n">
        <v>0</v>
      </c>
      <c r="O52" t="n">
        <v>0</v>
      </c>
      <c r="P52" t="n">
        <v>0</v>
      </c>
      <c r="Q52" t="n">
        <v>1</v>
      </c>
      <c r="R52" s="2" t="inlineStr">
        <is>
          <t>Kungsfågel</t>
        </is>
      </c>
      <c r="S52">
        <f>HYPERLINK("https://klasma.github.io/Logging_1293/artfynd/A 8223-2025 artfynd.xlsx", "A 8223-2025")</f>
        <v/>
      </c>
      <c r="T52">
        <f>HYPERLINK("https://klasma.github.io/Logging_1293/kartor/A 8223-2025 karta.png", "A 8223-2025")</f>
        <v/>
      </c>
      <c r="V52">
        <f>HYPERLINK("https://klasma.github.io/Logging_1293/klagomål/A 8223-2025 FSC-klagomål.docx", "A 8223-2025")</f>
        <v/>
      </c>
      <c r="W52">
        <f>HYPERLINK("https://klasma.github.io/Logging_1293/klagomålsmail/A 8223-2025 FSC-klagomål mail.docx", "A 8223-2025")</f>
        <v/>
      </c>
      <c r="X52">
        <f>HYPERLINK("https://klasma.github.io/Logging_1293/tillsyn/A 8223-2025 tillsynsbegäran.docx", "A 8223-2025")</f>
        <v/>
      </c>
      <c r="Y52">
        <f>HYPERLINK("https://klasma.github.io/Logging_1293/tillsynsmail/A 8223-2025 tillsynsbegäran mail.docx", "A 8223-2025")</f>
        <v/>
      </c>
      <c r="Z52">
        <f>HYPERLINK("https://klasma.github.io/Logging_1293/fåglar/A 8223-2025 prioriterade fågelarter.docx", "A 8223-2025")</f>
        <v/>
      </c>
    </row>
    <row r="53" ht="15" customHeight="1">
      <c r="A53" t="inlineStr">
        <is>
          <t>A 9289-2025</t>
        </is>
      </c>
      <c r="B53" s="1" t="n">
        <v>45714</v>
      </c>
      <c r="C53" s="1" t="n">
        <v>45830</v>
      </c>
      <c r="D53" t="inlineStr">
        <is>
          <t>SKÅNE LÄN</t>
        </is>
      </c>
      <c r="E53" t="inlineStr">
        <is>
          <t>HÄSSLEHOLM</t>
        </is>
      </c>
      <c r="G53" t="n">
        <v>18</v>
      </c>
      <c r="H53" t="n">
        <v>0</v>
      </c>
      <c r="I53" t="n">
        <v>1</v>
      </c>
      <c r="J53" t="n">
        <v>0</v>
      </c>
      <c r="K53" t="n">
        <v>0</v>
      </c>
      <c r="L53" t="n">
        <v>0</v>
      </c>
      <c r="M53" t="n">
        <v>0</v>
      </c>
      <c r="N53" t="n">
        <v>0</v>
      </c>
      <c r="O53" t="n">
        <v>0</v>
      </c>
      <c r="P53" t="n">
        <v>0</v>
      </c>
      <c r="Q53" t="n">
        <v>1</v>
      </c>
      <c r="R53" s="2" t="inlineStr">
        <is>
          <t>Tibast</t>
        </is>
      </c>
      <c r="S53">
        <f>HYPERLINK("https://klasma.github.io/Logging_1293/artfynd/A 9289-2025 artfynd.xlsx", "A 9289-2025")</f>
        <v/>
      </c>
      <c r="T53">
        <f>HYPERLINK("https://klasma.github.io/Logging_1293/kartor/A 9289-2025 karta.png", "A 9289-2025")</f>
        <v/>
      </c>
      <c r="V53">
        <f>HYPERLINK("https://klasma.github.io/Logging_1293/klagomål/A 9289-2025 FSC-klagomål.docx", "A 9289-2025")</f>
        <v/>
      </c>
      <c r="W53">
        <f>HYPERLINK("https://klasma.github.io/Logging_1293/klagomålsmail/A 9289-2025 FSC-klagomål mail.docx", "A 9289-2025")</f>
        <v/>
      </c>
      <c r="X53">
        <f>HYPERLINK("https://klasma.github.io/Logging_1293/tillsyn/A 9289-2025 tillsynsbegäran.docx", "A 9289-2025")</f>
        <v/>
      </c>
      <c r="Y53">
        <f>HYPERLINK("https://klasma.github.io/Logging_1293/tillsynsmail/A 9289-2025 tillsynsbegäran mail.docx", "A 9289-2025")</f>
        <v/>
      </c>
    </row>
    <row r="54" ht="15" customHeight="1">
      <c r="A54" t="inlineStr">
        <is>
          <t>A 16107-2025</t>
        </is>
      </c>
      <c r="B54" s="1" t="n">
        <v>45750</v>
      </c>
      <c r="C54" s="1" t="n">
        <v>45830</v>
      </c>
      <c r="D54" t="inlineStr">
        <is>
          <t>SKÅNE LÄN</t>
        </is>
      </c>
      <c r="E54" t="inlineStr">
        <is>
          <t>HÄSSLEHOLM</t>
        </is>
      </c>
      <c r="G54" t="n">
        <v>1.4</v>
      </c>
      <c r="H54" t="n">
        <v>1</v>
      </c>
      <c r="I54" t="n">
        <v>0</v>
      </c>
      <c r="J54" t="n">
        <v>1</v>
      </c>
      <c r="K54" t="n">
        <v>0</v>
      </c>
      <c r="L54" t="n">
        <v>0</v>
      </c>
      <c r="M54" t="n">
        <v>0</v>
      </c>
      <c r="N54" t="n">
        <v>0</v>
      </c>
      <c r="O54" t="n">
        <v>1</v>
      </c>
      <c r="P54" t="n">
        <v>0</v>
      </c>
      <c r="Q54" t="n">
        <v>1</v>
      </c>
      <c r="R54" s="2" t="inlineStr">
        <is>
          <t>Spillkråka</t>
        </is>
      </c>
      <c r="S54">
        <f>HYPERLINK("https://klasma.github.io/Logging_121293/artfynd/A 16107-2025 artfynd.xlsx", "A 16107-2025")</f>
        <v/>
      </c>
      <c r="T54">
        <f>HYPERLINK("https://klasma.github.io/Logging_121293/kartor/A 16107-2025 karta.png", "A 16107-2025")</f>
        <v/>
      </c>
      <c r="V54">
        <f>HYPERLINK("https://klasma.github.io/Logging_121293/klagomål/A 16107-2025 FSC-klagomål.docx", "A 16107-2025")</f>
        <v/>
      </c>
      <c r="W54">
        <f>HYPERLINK("https://klasma.github.io/Logging_121293/klagomålsmail/A 16107-2025 FSC-klagomål mail.docx", "A 16107-2025")</f>
        <v/>
      </c>
      <c r="X54">
        <f>HYPERLINK("https://klasma.github.io/Logging_121293/tillsyn/A 16107-2025 tillsynsbegäran.docx", "A 16107-2025")</f>
        <v/>
      </c>
      <c r="Y54">
        <f>HYPERLINK("https://klasma.github.io/Logging_121293/tillsynsmail/A 16107-2025 tillsynsbegäran mail.docx", "A 16107-2025")</f>
        <v/>
      </c>
      <c r="Z54">
        <f>HYPERLINK("https://klasma.github.io/Logging_121293/fåglar/A 16107-2025 prioriterade fågelarter.docx", "A 16107-2025")</f>
        <v/>
      </c>
    </row>
    <row r="55" ht="15" customHeight="1">
      <c r="A55" t="inlineStr">
        <is>
          <t>A 20280-2025</t>
        </is>
      </c>
      <c r="B55" s="1" t="n">
        <v>45774</v>
      </c>
      <c r="C55" s="1" t="n">
        <v>45830</v>
      </c>
      <c r="D55" t="inlineStr">
        <is>
          <t>SKÅNE LÄN</t>
        </is>
      </c>
      <c r="E55" t="inlineStr">
        <is>
          <t>HÄSSLEHOLM</t>
        </is>
      </c>
      <c r="G55" t="n">
        <v>3</v>
      </c>
      <c r="H55" t="n">
        <v>0</v>
      </c>
      <c r="I55" t="n">
        <v>0</v>
      </c>
      <c r="J55" t="n">
        <v>0</v>
      </c>
      <c r="K55" t="n">
        <v>1</v>
      </c>
      <c r="L55" t="n">
        <v>0</v>
      </c>
      <c r="M55" t="n">
        <v>0</v>
      </c>
      <c r="N55" t="n">
        <v>0</v>
      </c>
      <c r="O55" t="n">
        <v>1</v>
      </c>
      <c r="P55" t="n">
        <v>1</v>
      </c>
      <c r="Q55" t="n">
        <v>1</v>
      </c>
      <c r="R55" s="2" t="inlineStr">
        <is>
          <t>Revig blodrot</t>
        </is>
      </c>
      <c r="S55">
        <f>HYPERLINK("https://klasma.github.io/Logging_121293/artfynd/A 20280-2025 artfynd.xlsx", "A 20280-2025")</f>
        <v/>
      </c>
      <c r="T55">
        <f>HYPERLINK("https://klasma.github.io/Logging_121293/kartor/A 20280-2025 karta.png", "A 20280-2025")</f>
        <v/>
      </c>
      <c r="V55">
        <f>HYPERLINK("https://klasma.github.io/Logging_121293/klagomål/A 20280-2025 FSC-klagomål.docx", "A 20280-2025")</f>
        <v/>
      </c>
      <c r="W55">
        <f>HYPERLINK("https://klasma.github.io/Logging_121293/klagomålsmail/A 20280-2025 FSC-klagomål mail.docx", "A 20280-2025")</f>
        <v/>
      </c>
      <c r="X55">
        <f>HYPERLINK("https://klasma.github.io/Logging_121293/tillsyn/A 20280-2025 tillsynsbegäran.docx", "A 20280-2025")</f>
        <v/>
      </c>
      <c r="Y55">
        <f>HYPERLINK("https://klasma.github.io/Logging_121293/tillsynsmail/A 20280-2025 tillsynsbegäran mail.docx", "A 20280-2025")</f>
        <v/>
      </c>
    </row>
    <row r="56" ht="15" customHeight="1">
      <c r="A56" t="inlineStr">
        <is>
          <t>A 27390-2025</t>
        </is>
      </c>
      <c r="B56" s="1" t="n">
        <v>45812</v>
      </c>
      <c r="C56" s="1" t="n">
        <v>45830</v>
      </c>
      <c r="D56" t="inlineStr">
        <is>
          <t>SKÅNE LÄN</t>
        </is>
      </c>
      <c r="E56" t="inlineStr">
        <is>
          <t>HÄSSLEHOLM</t>
        </is>
      </c>
      <c r="G56" t="n">
        <v>3.2</v>
      </c>
      <c r="H56" t="n">
        <v>0</v>
      </c>
      <c r="I56" t="n">
        <v>0</v>
      </c>
      <c r="J56" t="n">
        <v>1</v>
      </c>
      <c r="K56" t="n">
        <v>0</v>
      </c>
      <c r="L56" t="n">
        <v>0</v>
      </c>
      <c r="M56" t="n">
        <v>0</v>
      </c>
      <c r="N56" t="n">
        <v>0</v>
      </c>
      <c r="O56" t="n">
        <v>1</v>
      </c>
      <c r="P56" t="n">
        <v>0</v>
      </c>
      <c r="Q56" t="n">
        <v>1</v>
      </c>
      <c r="R56" s="2" t="inlineStr">
        <is>
          <t>Grönhjon</t>
        </is>
      </c>
      <c r="S56">
        <f>HYPERLINK("https://klasma.github.io/Logging_121293/artfynd/A 27390-2025 artfynd.xlsx", "A 27390-2025")</f>
        <v/>
      </c>
      <c r="T56">
        <f>HYPERLINK("https://klasma.github.io/Logging_121293/kartor/A 27390-2025 karta.png", "A 27390-2025")</f>
        <v/>
      </c>
      <c r="V56">
        <f>HYPERLINK("https://klasma.github.io/Logging_121293/klagomål/A 27390-2025 FSC-klagomål.docx", "A 27390-2025")</f>
        <v/>
      </c>
      <c r="W56">
        <f>HYPERLINK("https://klasma.github.io/Logging_121293/klagomålsmail/A 27390-2025 FSC-klagomål mail.docx", "A 27390-2025")</f>
        <v/>
      </c>
      <c r="X56">
        <f>HYPERLINK("https://klasma.github.io/Logging_121293/tillsyn/A 27390-2025 tillsynsbegäran.docx", "A 27390-2025")</f>
        <v/>
      </c>
      <c r="Y56">
        <f>HYPERLINK("https://klasma.github.io/Logging_121293/tillsynsmail/A 27390-2025 tillsynsbegäran mail.docx", "A 27390-2025")</f>
        <v/>
      </c>
    </row>
    <row r="57" ht="15" customHeight="1">
      <c r="A57" t="inlineStr">
        <is>
          <t>A 18039-2019</t>
        </is>
      </c>
      <c r="B57" s="1" t="n">
        <v>43557</v>
      </c>
      <c r="C57" s="1" t="n">
        <v>45830</v>
      </c>
      <c r="D57" t="inlineStr">
        <is>
          <t>SKÅNE LÄN</t>
        </is>
      </c>
      <c r="E57" t="inlineStr">
        <is>
          <t>HÄSSLEHOLM</t>
        </is>
      </c>
      <c r="F57" t="inlineStr">
        <is>
          <t>Kommuner</t>
        </is>
      </c>
      <c r="G57" t="n">
        <v>4.5</v>
      </c>
      <c r="H57" t="n">
        <v>0</v>
      </c>
      <c r="I57" t="n">
        <v>0</v>
      </c>
      <c r="J57" t="n">
        <v>0</v>
      </c>
      <c r="K57" t="n">
        <v>0</v>
      </c>
      <c r="L57" t="n">
        <v>0</v>
      </c>
      <c r="M57" t="n">
        <v>0</v>
      </c>
      <c r="N57" t="n">
        <v>0</v>
      </c>
      <c r="O57" t="n">
        <v>0</v>
      </c>
      <c r="P57" t="n">
        <v>0</v>
      </c>
      <c r="Q57" t="n">
        <v>0</v>
      </c>
      <c r="R57" s="2" t="inlineStr"/>
    </row>
    <row r="58" ht="15" customHeight="1">
      <c r="A58" t="inlineStr">
        <is>
          <t>A 18984-2019</t>
        </is>
      </c>
      <c r="B58" s="1" t="n">
        <v>43563</v>
      </c>
      <c r="C58" s="1" t="n">
        <v>45830</v>
      </c>
      <c r="D58" t="inlineStr">
        <is>
          <t>SKÅNE LÄN</t>
        </is>
      </c>
      <c r="E58" t="inlineStr">
        <is>
          <t>HÄSSLEHOLM</t>
        </is>
      </c>
      <c r="F58" t="inlineStr">
        <is>
          <t>Kommuner</t>
        </is>
      </c>
      <c r="G58" t="n">
        <v>1</v>
      </c>
      <c r="H58" t="n">
        <v>0</v>
      </c>
      <c r="I58" t="n">
        <v>0</v>
      </c>
      <c r="J58" t="n">
        <v>0</v>
      </c>
      <c r="K58" t="n">
        <v>0</v>
      </c>
      <c r="L58" t="n">
        <v>0</v>
      </c>
      <c r="M58" t="n">
        <v>0</v>
      </c>
      <c r="N58" t="n">
        <v>0</v>
      </c>
      <c r="O58" t="n">
        <v>0</v>
      </c>
      <c r="P58" t="n">
        <v>0</v>
      </c>
      <c r="Q58" t="n">
        <v>0</v>
      </c>
      <c r="R58" s="2" t="inlineStr"/>
    </row>
    <row r="59" ht="15" customHeight="1">
      <c r="A59" t="inlineStr">
        <is>
          <t>A 18982-2019</t>
        </is>
      </c>
      <c r="B59" s="1" t="n">
        <v>43563</v>
      </c>
      <c r="C59" s="1" t="n">
        <v>45830</v>
      </c>
      <c r="D59" t="inlineStr">
        <is>
          <t>SKÅNE LÄN</t>
        </is>
      </c>
      <c r="E59" t="inlineStr">
        <is>
          <t>HÄSSLEHOLM</t>
        </is>
      </c>
      <c r="F59" t="inlineStr">
        <is>
          <t>Kommuner</t>
        </is>
      </c>
      <c r="G59" t="n">
        <v>1.8</v>
      </c>
      <c r="H59" t="n">
        <v>0</v>
      </c>
      <c r="I59" t="n">
        <v>0</v>
      </c>
      <c r="J59" t="n">
        <v>0</v>
      </c>
      <c r="K59" t="n">
        <v>0</v>
      </c>
      <c r="L59" t="n">
        <v>0</v>
      </c>
      <c r="M59" t="n">
        <v>0</v>
      </c>
      <c r="N59" t="n">
        <v>0</v>
      </c>
      <c r="O59" t="n">
        <v>0</v>
      </c>
      <c r="P59" t="n">
        <v>0</v>
      </c>
      <c r="Q59" t="n">
        <v>0</v>
      </c>
      <c r="R59" s="2" t="inlineStr"/>
    </row>
    <row r="60" ht="15" customHeight="1">
      <c r="A60" t="inlineStr">
        <is>
          <t>A 18911-2019</t>
        </is>
      </c>
      <c r="B60" s="1" t="n">
        <v>43563</v>
      </c>
      <c r="C60" s="1" t="n">
        <v>45830</v>
      </c>
      <c r="D60" t="inlineStr">
        <is>
          <t>SKÅNE LÄN</t>
        </is>
      </c>
      <c r="E60" t="inlineStr">
        <is>
          <t>HÄSSLEHOLM</t>
        </is>
      </c>
      <c r="G60" t="n">
        <v>2.1</v>
      </c>
      <c r="H60" t="n">
        <v>0</v>
      </c>
      <c r="I60" t="n">
        <v>0</v>
      </c>
      <c r="J60" t="n">
        <v>0</v>
      </c>
      <c r="K60" t="n">
        <v>0</v>
      </c>
      <c r="L60" t="n">
        <v>0</v>
      </c>
      <c r="M60" t="n">
        <v>0</v>
      </c>
      <c r="N60" t="n">
        <v>0</v>
      </c>
      <c r="O60" t="n">
        <v>0</v>
      </c>
      <c r="P60" t="n">
        <v>0</v>
      </c>
      <c r="Q60" t="n">
        <v>0</v>
      </c>
      <c r="R60" s="2" t="inlineStr"/>
    </row>
    <row r="61" ht="15" customHeight="1">
      <c r="A61" t="inlineStr">
        <is>
          <t>A 19473-2019</t>
        </is>
      </c>
      <c r="B61" s="1" t="n">
        <v>43565</v>
      </c>
      <c r="C61" s="1" t="n">
        <v>45830</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20765-2019</t>
        </is>
      </c>
      <c r="B62" s="1" t="n">
        <v>43573</v>
      </c>
      <c r="C62" s="1" t="n">
        <v>45830</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21534-2019</t>
        </is>
      </c>
      <c r="B63" s="1" t="n">
        <v>43580</v>
      </c>
      <c r="C63" s="1" t="n">
        <v>45830</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21535-2019</t>
        </is>
      </c>
      <c r="B64" s="1" t="n">
        <v>43580</v>
      </c>
      <c r="C64" s="1" t="n">
        <v>45830</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21976-2019</t>
        </is>
      </c>
      <c r="B65" s="1" t="n">
        <v>43584</v>
      </c>
      <c r="C65" s="1" t="n">
        <v>45830</v>
      </c>
      <c r="D65" t="inlineStr">
        <is>
          <t>SKÅNE LÄN</t>
        </is>
      </c>
      <c r="E65" t="inlineStr">
        <is>
          <t>HÄSSLEHOLM</t>
        </is>
      </c>
      <c r="F65" t="inlineStr">
        <is>
          <t>Övriga Aktiebolag</t>
        </is>
      </c>
      <c r="G65" t="n">
        <v>1.9</v>
      </c>
      <c r="H65" t="n">
        <v>0</v>
      </c>
      <c r="I65" t="n">
        <v>0</v>
      </c>
      <c r="J65" t="n">
        <v>0</v>
      </c>
      <c r="K65" t="n">
        <v>0</v>
      </c>
      <c r="L65" t="n">
        <v>0</v>
      </c>
      <c r="M65" t="n">
        <v>0</v>
      </c>
      <c r="N65" t="n">
        <v>0</v>
      </c>
      <c r="O65" t="n">
        <v>0</v>
      </c>
      <c r="P65" t="n">
        <v>0</v>
      </c>
      <c r="Q65" t="n">
        <v>0</v>
      </c>
      <c r="R65" s="2" t="inlineStr"/>
    </row>
    <row r="66" ht="15" customHeight="1">
      <c r="A66" t="inlineStr">
        <is>
          <t>A 23006-2019</t>
        </is>
      </c>
      <c r="B66" s="1" t="n">
        <v>43591</v>
      </c>
      <c r="C66" s="1" t="n">
        <v>45830</v>
      </c>
      <c r="D66" t="inlineStr">
        <is>
          <t>SKÅNE LÄN</t>
        </is>
      </c>
      <c r="E66" t="inlineStr">
        <is>
          <t>HÄSSLEHOLM</t>
        </is>
      </c>
      <c r="G66" t="n">
        <v>1.6</v>
      </c>
      <c r="H66" t="n">
        <v>0</v>
      </c>
      <c r="I66" t="n">
        <v>0</v>
      </c>
      <c r="J66" t="n">
        <v>0</v>
      </c>
      <c r="K66" t="n">
        <v>0</v>
      </c>
      <c r="L66" t="n">
        <v>0</v>
      </c>
      <c r="M66" t="n">
        <v>0</v>
      </c>
      <c r="N66" t="n">
        <v>0</v>
      </c>
      <c r="O66" t="n">
        <v>0</v>
      </c>
      <c r="P66" t="n">
        <v>0</v>
      </c>
      <c r="Q66" t="n">
        <v>0</v>
      </c>
      <c r="R66" s="2" t="inlineStr"/>
    </row>
    <row r="67" ht="15" customHeight="1">
      <c r="A67" t="inlineStr">
        <is>
          <t>A 23505-2019</t>
        </is>
      </c>
      <c r="B67" s="1" t="n">
        <v>43593</v>
      </c>
      <c r="C67" s="1" t="n">
        <v>45830</v>
      </c>
      <c r="D67" t="inlineStr">
        <is>
          <t>SKÅNE LÄN</t>
        </is>
      </c>
      <c r="E67" t="inlineStr">
        <is>
          <t>HÄSSLEHOLM</t>
        </is>
      </c>
      <c r="F67" t="inlineStr">
        <is>
          <t>Kyrkan</t>
        </is>
      </c>
      <c r="G67" t="n">
        <v>1.2</v>
      </c>
      <c r="H67" t="n">
        <v>0</v>
      </c>
      <c r="I67" t="n">
        <v>0</v>
      </c>
      <c r="J67" t="n">
        <v>0</v>
      </c>
      <c r="K67" t="n">
        <v>0</v>
      </c>
      <c r="L67" t="n">
        <v>0</v>
      </c>
      <c r="M67" t="n">
        <v>0</v>
      </c>
      <c r="N67" t="n">
        <v>0</v>
      </c>
      <c r="O67" t="n">
        <v>0</v>
      </c>
      <c r="P67" t="n">
        <v>0</v>
      </c>
      <c r="Q67" t="n">
        <v>0</v>
      </c>
      <c r="R67" s="2" t="inlineStr"/>
    </row>
    <row r="68" ht="15" customHeight="1">
      <c r="A68" t="inlineStr">
        <is>
          <t>A 24187-2019</t>
        </is>
      </c>
      <c r="B68" s="1" t="n">
        <v>43599</v>
      </c>
      <c r="C68" s="1" t="n">
        <v>45830</v>
      </c>
      <c r="D68" t="inlineStr">
        <is>
          <t>SKÅNE LÄN</t>
        </is>
      </c>
      <c r="E68" t="inlineStr">
        <is>
          <t>HÄSSLEHOLM</t>
        </is>
      </c>
      <c r="G68" t="n">
        <v>2.3</v>
      </c>
      <c r="H68" t="n">
        <v>0</v>
      </c>
      <c r="I68" t="n">
        <v>0</v>
      </c>
      <c r="J68" t="n">
        <v>0</v>
      </c>
      <c r="K68" t="n">
        <v>0</v>
      </c>
      <c r="L68" t="n">
        <v>0</v>
      </c>
      <c r="M68" t="n">
        <v>0</v>
      </c>
      <c r="N68" t="n">
        <v>0</v>
      </c>
      <c r="O68" t="n">
        <v>0</v>
      </c>
      <c r="P68" t="n">
        <v>0</v>
      </c>
      <c r="Q68" t="n">
        <v>0</v>
      </c>
      <c r="R68" s="2" t="inlineStr"/>
    </row>
    <row r="69" ht="15" customHeight="1">
      <c r="A69" t="inlineStr">
        <is>
          <t>A 24686-2019</t>
        </is>
      </c>
      <c r="B69" s="1" t="n">
        <v>43601</v>
      </c>
      <c r="C69" s="1" t="n">
        <v>45830</v>
      </c>
      <c r="D69" t="inlineStr">
        <is>
          <t>SKÅNE LÄN</t>
        </is>
      </c>
      <c r="E69" t="inlineStr">
        <is>
          <t>HÄSSLEHOLM</t>
        </is>
      </c>
      <c r="G69" t="n">
        <v>1.9</v>
      </c>
      <c r="H69" t="n">
        <v>0</v>
      </c>
      <c r="I69" t="n">
        <v>0</v>
      </c>
      <c r="J69" t="n">
        <v>0</v>
      </c>
      <c r="K69" t="n">
        <v>0</v>
      </c>
      <c r="L69" t="n">
        <v>0</v>
      </c>
      <c r="M69" t="n">
        <v>0</v>
      </c>
      <c r="N69" t="n">
        <v>0</v>
      </c>
      <c r="O69" t="n">
        <v>0</v>
      </c>
      <c r="P69" t="n">
        <v>0</v>
      </c>
      <c r="Q69" t="n">
        <v>0</v>
      </c>
      <c r="R69" s="2" t="inlineStr"/>
    </row>
    <row r="70" ht="15" customHeight="1">
      <c r="A70" t="inlineStr">
        <is>
          <t>A 25286-2019</t>
        </is>
      </c>
      <c r="B70" s="1" t="n">
        <v>43605</v>
      </c>
      <c r="C70" s="1" t="n">
        <v>45830</v>
      </c>
      <c r="D70" t="inlineStr">
        <is>
          <t>SKÅNE LÄN</t>
        </is>
      </c>
      <c r="E70" t="inlineStr">
        <is>
          <t>HÄSSLEHOLM</t>
        </is>
      </c>
      <c r="G70" t="n">
        <v>1.3</v>
      </c>
      <c r="H70" t="n">
        <v>0</v>
      </c>
      <c r="I70" t="n">
        <v>0</v>
      </c>
      <c r="J70" t="n">
        <v>0</v>
      </c>
      <c r="K70" t="n">
        <v>0</v>
      </c>
      <c r="L70" t="n">
        <v>0</v>
      </c>
      <c r="M70" t="n">
        <v>0</v>
      </c>
      <c r="N70" t="n">
        <v>0</v>
      </c>
      <c r="O70" t="n">
        <v>0</v>
      </c>
      <c r="P70" t="n">
        <v>0</v>
      </c>
      <c r="Q70" t="n">
        <v>0</v>
      </c>
      <c r="R70" s="2" t="inlineStr"/>
    </row>
    <row r="71" ht="15" customHeight="1">
      <c r="A71" t="inlineStr">
        <is>
          <t>A 25285-2019</t>
        </is>
      </c>
      <c r="B71" s="1" t="n">
        <v>43605</v>
      </c>
      <c r="C71" s="1" t="n">
        <v>45830</v>
      </c>
      <c r="D71" t="inlineStr">
        <is>
          <t>SKÅNE LÄN</t>
        </is>
      </c>
      <c r="E71" t="inlineStr">
        <is>
          <t>HÄSSLEHOLM</t>
        </is>
      </c>
      <c r="G71" t="n">
        <v>25.8</v>
      </c>
      <c r="H71" t="n">
        <v>0</v>
      </c>
      <c r="I71" t="n">
        <v>0</v>
      </c>
      <c r="J71" t="n">
        <v>0</v>
      </c>
      <c r="K71" t="n">
        <v>0</v>
      </c>
      <c r="L71" t="n">
        <v>0</v>
      </c>
      <c r="M71" t="n">
        <v>0</v>
      </c>
      <c r="N71" t="n">
        <v>0</v>
      </c>
      <c r="O71" t="n">
        <v>0</v>
      </c>
      <c r="P71" t="n">
        <v>0</v>
      </c>
      <c r="Q71" t="n">
        <v>0</v>
      </c>
      <c r="R71" s="2" t="inlineStr"/>
    </row>
    <row r="72" ht="15" customHeight="1">
      <c r="A72" t="inlineStr">
        <is>
          <t>A 25690-2019</t>
        </is>
      </c>
      <c r="B72" s="1" t="n">
        <v>43607</v>
      </c>
      <c r="C72" s="1" t="n">
        <v>45830</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26036-2019</t>
        </is>
      </c>
      <c r="B73" s="1" t="n">
        <v>43609</v>
      </c>
      <c r="C73" s="1" t="n">
        <v>45830</v>
      </c>
      <c r="D73" t="inlineStr">
        <is>
          <t>SKÅNE LÄN</t>
        </is>
      </c>
      <c r="E73" t="inlineStr">
        <is>
          <t>HÄSSLEHOLM</t>
        </is>
      </c>
      <c r="G73" t="n">
        <v>3.6</v>
      </c>
      <c r="H73" t="n">
        <v>0</v>
      </c>
      <c r="I73" t="n">
        <v>0</v>
      </c>
      <c r="J73" t="n">
        <v>0</v>
      </c>
      <c r="K73" t="n">
        <v>0</v>
      </c>
      <c r="L73" t="n">
        <v>0</v>
      </c>
      <c r="M73" t="n">
        <v>0</v>
      </c>
      <c r="N73" t="n">
        <v>0</v>
      </c>
      <c r="O73" t="n">
        <v>0</v>
      </c>
      <c r="P73" t="n">
        <v>0</v>
      </c>
      <c r="Q73" t="n">
        <v>0</v>
      </c>
      <c r="R73" s="2" t="inlineStr"/>
    </row>
    <row r="74" ht="15" customHeight="1">
      <c r="A74" t="inlineStr">
        <is>
          <t>A 26037-2019</t>
        </is>
      </c>
      <c r="B74" s="1" t="n">
        <v>43609</v>
      </c>
      <c r="C74" s="1" t="n">
        <v>45830</v>
      </c>
      <c r="D74" t="inlineStr">
        <is>
          <t>SKÅNE LÄN</t>
        </is>
      </c>
      <c r="E74" t="inlineStr">
        <is>
          <t>HÄSSLEHOLM</t>
        </is>
      </c>
      <c r="G74" t="n">
        <v>4.4</v>
      </c>
      <c r="H74" t="n">
        <v>0</v>
      </c>
      <c r="I74" t="n">
        <v>0</v>
      </c>
      <c r="J74" t="n">
        <v>0</v>
      </c>
      <c r="K74" t="n">
        <v>0</v>
      </c>
      <c r="L74" t="n">
        <v>0</v>
      </c>
      <c r="M74" t="n">
        <v>0</v>
      </c>
      <c r="N74" t="n">
        <v>0</v>
      </c>
      <c r="O74" t="n">
        <v>0</v>
      </c>
      <c r="P74" t="n">
        <v>0</v>
      </c>
      <c r="Q74" t="n">
        <v>0</v>
      </c>
      <c r="R74" s="2" t="inlineStr"/>
    </row>
    <row r="75" ht="15" customHeight="1">
      <c r="A75" t="inlineStr">
        <is>
          <t>A 26268-2019</t>
        </is>
      </c>
      <c r="B75" s="1" t="n">
        <v>43611</v>
      </c>
      <c r="C75" s="1" t="n">
        <v>45830</v>
      </c>
      <c r="D75" t="inlineStr">
        <is>
          <t>SKÅNE LÄN</t>
        </is>
      </c>
      <c r="E75" t="inlineStr">
        <is>
          <t>HÄSSLEHOLM</t>
        </is>
      </c>
      <c r="G75" t="n">
        <v>0.8</v>
      </c>
      <c r="H75" t="n">
        <v>0</v>
      </c>
      <c r="I75" t="n">
        <v>0</v>
      </c>
      <c r="J75" t="n">
        <v>0</v>
      </c>
      <c r="K75" t="n">
        <v>0</v>
      </c>
      <c r="L75" t="n">
        <v>0</v>
      </c>
      <c r="M75" t="n">
        <v>0</v>
      </c>
      <c r="N75" t="n">
        <v>0</v>
      </c>
      <c r="O75" t="n">
        <v>0</v>
      </c>
      <c r="P75" t="n">
        <v>0</v>
      </c>
      <c r="Q75" t="n">
        <v>0</v>
      </c>
      <c r="R75" s="2" t="inlineStr"/>
    </row>
    <row r="76" ht="15" customHeight="1">
      <c r="A76" t="inlineStr">
        <is>
          <t>A 26325-2019</t>
        </is>
      </c>
      <c r="B76" s="1" t="n">
        <v>43612</v>
      </c>
      <c r="C76" s="1" t="n">
        <v>45830</v>
      </c>
      <c r="D76" t="inlineStr">
        <is>
          <t>SKÅNE LÄN</t>
        </is>
      </c>
      <c r="E76" t="inlineStr">
        <is>
          <t>HÄSSLEHOLM</t>
        </is>
      </c>
      <c r="G76" t="n">
        <v>1.3</v>
      </c>
      <c r="H76" t="n">
        <v>0</v>
      </c>
      <c r="I76" t="n">
        <v>0</v>
      </c>
      <c r="J76" t="n">
        <v>0</v>
      </c>
      <c r="K76" t="n">
        <v>0</v>
      </c>
      <c r="L76" t="n">
        <v>0</v>
      </c>
      <c r="M76" t="n">
        <v>0</v>
      </c>
      <c r="N76" t="n">
        <v>0</v>
      </c>
      <c r="O76" t="n">
        <v>0</v>
      </c>
      <c r="P76" t="n">
        <v>0</v>
      </c>
      <c r="Q76" t="n">
        <v>0</v>
      </c>
      <c r="R76" s="2" t="inlineStr"/>
    </row>
    <row r="77" ht="15" customHeight="1">
      <c r="A77" t="inlineStr">
        <is>
          <t>A 26701-2019</t>
        </is>
      </c>
      <c r="B77" s="1" t="n">
        <v>43613</v>
      </c>
      <c r="C77" s="1" t="n">
        <v>45830</v>
      </c>
      <c r="D77" t="inlineStr">
        <is>
          <t>SKÅNE LÄN</t>
        </is>
      </c>
      <c r="E77" t="inlineStr">
        <is>
          <t>HÄSSLEHOLM</t>
        </is>
      </c>
      <c r="G77" t="n">
        <v>0.7</v>
      </c>
      <c r="H77" t="n">
        <v>0</v>
      </c>
      <c r="I77" t="n">
        <v>0</v>
      </c>
      <c r="J77" t="n">
        <v>0</v>
      </c>
      <c r="K77" t="n">
        <v>0</v>
      </c>
      <c r="L77" t="n">
        <v>0</v>
      </c>
      <c r="M77" t="n">
        <v>0</v>
      </c>
      <c r="N77" t="n">
        <v>0</v>
      </c>
      <c r="O77" t="n">
        <v>0</v>
      </c>
      <c r="P77" t="n">
        <v>0</v>
      </c>
      <c r="Q77" t="n">
        <v>0</v>
      </c>
      <c r="R77" s="2" t="inlineStr"/>
    </row>
    <row r="78" ht="15" customHeight="1">
      <c r="A78" t="inlineStr">
        <is>
          <t>A 26938-2019</t>
        </is>
      </c>
      <c r="B78" s="1" t="n">
        <v>43613</v>
      </c>
      <c r="C78" s="1" t="n">
        <v>45830</v>
      </c>
      <c r="D78" t="inlineStr">
        <is>
          <t>SKÅNE LÄN</t>
        </is>
      </c>
      <c r="E78" t="inlineStr">
        <is>
          <t>HÄSSLEHOLM</t>
        </is>
      </c>
      <c r="G78" t="n">
        <v>1.1</v>
      </c>
      <c r="H78" t="n">
        <v>0</v>
      </c>
      <c r="I78" t="n">
        <v>0</v>
      </c>
      <c r="J78" t="n">
        <v>0</v>
      </c>
      <c r="K78" t="n">
        <v>0</v>
      </c>
      <c r="L78" t="n">
        <v>0</v>
      </c>
      <c r="M78" t="n">
        <v>0</v>
      </c>
      <c r="N78" t="n">
        <v>0</v>
      </c>
      <c r="O78" t="n">
        <v>0</v>
      </c>
      <c r="P78" t="n">
        <v>0</v>
      </c>
      <c r="Q78" t="n">
        <v>0</v>
      </c>
      <c r="R78" s="2" t="inlineStr"/>
    </row>
    <row r="79" ht="15" customHeight="1">
      <c r="A79" t="inlineStr">
        <is>
          <t>A 26940-2019</t>
        </is>
      </c>
      <c r="B79" s="1" t="n">
        <v>43613</v>
      </c>
      <c r="C79" s="1" t="n">
        <v>45830</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26939-2019</t>
        </is>
      </c>
      <c r="B80" s="1" t="n">
        <v>43613</v>
      </c>
      <c r="C80" s="1" t="n">
        <v>45830</v>
      </c>
      <c r="D80" t="inlineStr">
        <is>
          <t>SKÅNE LÄN</t>
        </is>
      </c>
      <c r="E80" t="inlineStr">
        <is>
          <t>HÄSSLEHOLM</t>
        </is>
      </c>
      <c r="G80" t="n">
        <v>1.7</v>
      </c>
      <c r="H80" t="n">
        <v>0</v>
      </c>
      <c r="I80" t="n">
        <v>0</v>
      </c>
      <c r="J80" t="n">
        <v>0</v>
      </c>
      <c r="K80" t="n">
        <v>0</v>
      </c>
      <c r="L80" t="n">
        <v>0</v>
      </c>
      <c r="M80" t="n">
        <v>0</v>
      </c>
      <c r="N80" t="n">
        <v>0</v>
      </c>
      <c r="O80" t="n">
        <v>0</v>
      </c>
      <c r="P80" t="n">
        <v>0</v>
      </c>
      <c r="Q80" t="n">
        <v>0</v>
      </c>
      <c r="R80" s="2" t="inlineStr"/>
    </row>
    <row r="81" ht="15" customHeight="1">
      <c r="A81" t="inlineStr">
        <is>
          <t>A 28620-2019</t>
        </is>
      </c>
      <c r="B81" s="1" t="n">
        <v>43613</v>
      </c>
      <c r="C81" s="1" t="n">
        <v>45830</v>
      </c>
      <c r="D81" t="inlineStr">
        <is>
          <t>SKÅNE LÄN</t>
        </is>
      </c>
      <c r="E81" t="inlineStr">
        <is>
          <t>HÄSSLEHOLM</t>
        </is>
      </c>
      <c r="G81" t="n">
        <v>2.8</v>
      </c>
      <c r="H81" t="n">
        <v>0</v>
      </c>
      <c r="I81" t="n">
        <v>0</v>
      </c>
      <c r="J81" t="n">
        <v>0</v>
      </c>
      <c r="K81" t="n">
        <v>0</v>
      </c>
      <c r="L81" t="n">
        <v>0</v>
      </c>
      <c r="M81" t="n">
        <v>0</v>
      </c>
      <c r="N81" t="n">
        <v>0</v>
      </c>
      <c r="O81" t="n">
        <v>0</v>
      </c>
      <c r="P81" t="n">
        <v>0</v>
      </c>
      <c r="Q81" t="n">
        <v>0</v>
      </c>
      <c r="R81" s="2" t="inlineStr"/>
    </row>
    <row r="82" ht="15" customHeight="1">
      <c r="A82" t="inlineStr">
        <is>
          <t>A 27624-2019</t>
        </is>
      </c>
      <c r="B82" s="1" t="n">
        <v>43619</v>
      </c>
      <c r="C82" s="1" t="n">
        <v>45830</v>
      </c>
      <c r="D82" t="inlineStr">
        <is>
          <t>SKÅNE LÄN</t>
        </is>
      </c>
      <c r="E82" t="inlineStr">
        <is>
          <t>HÄSSLEHOLM</t>
        </is>
      </c>
      <c r="F82" t="inlineStr">
        <is>
          <t>Kyrkan</t>
        </is>
      </c>
      <c r="G82" t="n">
        <v>5.3</v>
      </c>
      <c r="H82" t="n">
        <v>0</v>
      </c>
      <c r="I82" t="n">
        <v>0</v>
      </c>
      <c r="J82" t="n">
        <v>0</v>
      </c>
      <c r="K82" t="n">
        <v>0</v>
      </c>
      <c r="L82" t="n">
        <v>0</v>
      </c>
      <c r="M82" t="n">
        <v>0</v>
      </c>
      <c r="N82" t="n">
        <v>0</v>
      </c>
      <c r="O82" t="n">
        <v>0</v>
      </c>
      <c r="P82" t="n">
        <v>0</v>
      </c>
      <c r="Q82" t="n">
        <v>0</v>
      </c>
      <c r="R82" s="2" t="inlineStr"/>
    </row>
    <row r="83" ht="15" customHeight="1">
      <c r="A83" t="inlineStr">
        <is>
          <t>A 27824-2019</t>
        </is>
      </c>
      <c r="B83" s="1" t="n">
        <v>43620</v>
      </c>
      <c r="C83" s="1" t="n">
        <v>45830</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28105-2019</t>
        </is>
      </c>
      <c r="B84" s="1" t="n">
        <v>43621</v>
      </c>
      <c r="C84" s="1" t="n">
        <v>45830</v>
      </c>
      <c r="D84" t="inlineStr">
        <is>
          <t>SKÅNE LÄN</t>
        </is>
      </c>
      <c r="E84" t="inlineStr">
        <is>
          <t>HÄSSLEHOLM</t>
        </is>
      </c>
      <c r="G84" t="n">
        <v>3.3</v>
      </c>
      <c r="H84" t="n">
        <v>0</v>
      </c>
      <c r="I84" t="n">
        <v>0</v>
      </c>
      <c r="J84" t="n">
        <v>0</v>
      </c>
      <c r="K84" t="n">
        <v>0</v>
      </c>
      <c r="L84" t="n">
        <v>0</v>
      </c>
      <c r="M84" t="n">
        <v>0</v>
      </c>
      <c r="N84" t="n">
        <v>0</v>
      </c>
      <c r="O84" t="n">
        <v>0</v>
      </c>
      <c r="P84" t="n">
        <v>0</v>
      </c>
      <c r="Q84" t="n">
        <v>0</v>
      </c>
      <c r="R84" s="2" t="inlineStr"/>
    </row>
    <row r="85" ht="15" customHeight="1">
      <c r="A85" t="inlineStr">
        <is>
          <t>A 28111-2019</t>
        </is>
      </c>
      <c r="B85" s="1" t="n">
        <v>43621</v>
      </c>
      <c r="C85" s="1" t="n">
        <v>45830</v>
      </c>
      <c r="D85" t="inlineStr">
        <is>
          <t>SKÅNE LÄN</t>
        </is>
      </c>
      <c r="E85" t="inlineStr">
        <is>
          <t>HÄSSLEHOLM</t>
        </is>
      </c>
      <c r="G85" t="n">
        <v>1.7</v>
      </c>
      <c r="H85" t="n">
        <v>0</v>
      </c>
      <c r="I85" t="n">
        <v>0</v>
      </c>
      <c r="J85" t="n">
        <v>0</v>
      </c>
      <c r="K85" t="n">
        <v>0</v>
      </c>
      <c r="L85" t="n">
        <v>0</v>
      </c>
      <c r="M85" t="n">
        <v>0</v>
      </c>
      <c r="N85" t="n">
        <v>0</v>
      </c>
      <c r="O85" t="n">
        <v>0</v>
      </c>
      <c r="P85" t="n">
        <v>0</v>
      </c>
      <c r="Q85" t="n">
        <v>0</v>
      </c>
      <c r="R85" s="2" t="inlineStr"/>
    </row>
    <row r="86" ht="15" customHeight="1">
      <c r="A86" t="inlineStr">
        <is>
          <t>A 28410-2019</t>
        </is>
      </c>
      <c r="B86" s="1" t="n">
        <v>43626</v>
      </c>
      <c r="C86" s="1" t="n">
        <v>45830</v>
      </c>
      <c r="D86" t="inlineStr">
        <is>
          <t>SKÅNE LÄN</t>
        </is>
      </c>
      <c r="E86" t="inlineStr">
        <is>
          <t>HÄSSLEHOLM</t>
        </is>
      </c>
      <c r="G86" t="n">
        <v>2.5</v>
      </c>
      <c r="H86" t="n">
        <v>0</v>
      </c>
      <c r="I86" t="n">
        <v>0</v>
      </c>
      <c r="J86" t="n">
        <v>0</v>
      </c>
      <c r="K86" t="n">
        <v>0</v>
      </c>
      <c r="L86" t="n">
        <v>0</v>
      </c>
      <c r="M86" t="n">
        <v>0</v>
      </c>
      <c r="N86" t="n">
        <v>0</v>
      </c>
      <c r="O86" t="n">
        <v>0</v>
      </c>
      <c r="P86" t="n">
        <v>0</v>
      </c>
      <c r="Q86" t="n">
        <v>0</v>
      </c>
      <c r="R86" s="2" t="inlineStr"/>
    </row>
    <row r="87" ht="15" customHeight="1">
      <c r="A87" t="inlineStr">
        <is>
          <t>A 28413-2019</t>
        </is>
      </c>
      <c r="B87" s="1" t="n">
        <v>43626</v>
      </c>
      <c r="C87" s="1" t="n">
        <v>45830</v>
      </c>
      <c r="D87" t="inlineStr">
        <is>
          <t>SKÅNE LÄN</t>
        </is>
      </c>
      <c r="E87" t="inlineStr">
        <is>
          <t>HÄSSLEHOLM</t>
        </is>
      </c>
      <c r="G87" t="n">
        <v>2.4</v>
      </c>
      <c r="H87" t="n">
        <v>0</v>
      </c>
      <c r="I87" t="n">
        <v>0</v>
      </c>
      <c r="J87" t="n">
        <v>0</v>
      </c>
      <c r="K87" t="n">
        <v>0</v>
      </c>
      <c r="L87" t="n">
        <v>0</v>
      </c>
      <c r="M87" t="n">
        <v>0</v>
      </c>
      <c r="N87" t="n">
        <v>0</v>
      </c>
      <c r="O87" t="n">
        <v>0</v>
      </c>
      <c r="P87" t="n">
        <v>0</v>
      </c>
      <c r="Q87" t="n">
        <v>0</v>
      </c>
      <c r="R87" s="2" t="inlineStr"/>
    </row>
    <row r="88" ht="15" customHeight="1">
      <c r="A88" t="inlineStr">
        <is>
          <t>A 29042-2019</t>
        </is>
      </c>
      <c r="B88" s="1" t="n">
        <v>43628</v>
      </c>
      <c r="C88" s="1" t="n">
        <v>45830</v>
      </c>
      <c r="D88" t="inlineStr">
        <is>
          <t>SKÅNE LÄN</t>
        </is>
      </c>
      <c r="E88" t="inlineStr">
        <is>
          <t>HÄSSLEHOLM</t>
        </is>
      </c>
      <c r="G88" t="n">
        <v>2.6</v>
      </c>
      <c r="H88" t="n">
        <v>0</v>
      </c>
      <c r="I88" t="n">
        <v>0</v>
      </c>
      <c r="J88" t="n">
        <v>0</v>
      </c>
      <c r="K88" t="n">
        <v>0</v>
      </c>
      <c r="L88" t="n">
        <v>0</v>
      </c>
      <c r="M88" t="n">
        <v>0</v>
      </c>
      <c r="N88" t="n">
        <v>0</v>
      </c>
      <c r="O88" t="n">
        <v>0</v>
      </c>
      <c r="P88" t="n">
        <v>0</v>
      </c>
      <c r="Q88" t="n">
        <v>0</v>
      </c>
      <c r="R88" s="2" t="inlineStr"/>
    </row>
    <row r="89" ht="15" customHeight="1">
      <c r="A89" t="inlineStr">
        <is>
          <t>A 29766-2019</t>
        </is>
      </c>
      <c r="B89" s="1" t="n">
        <v>43632</v>
      </c>
      <c r="C89" s="1" t="n">
        <v>45830</v>
      </c>
      <c r="D89" t="inlineStr">
        <is>
          <t>SKÅNE LÄN</t>
        </is>
      </c>
      <c r="E89" t="inlineStr">
        <is>
          <t>HÄSSLEHOLM</t>
        </is>
      </c>
      <c r="G89" t="n">
        <v>4.9</v>
      </c>
      <c r="H89" t="n">
        <v>0</v>
      </c>
      <c r="I89" t="n">
        <v>0</v>
      </c>
      <c r="J89" t="n">
        <v>0</v>
      </c>
      <c r="K89" t="n">
        <v>0</v>
      </c>
      <c r="L89" t="n">
        <v>0</v>
      </c>
      <c r="M89" t="n">
        <v>0</v>
      </c>
      <c r="N89" t="n">
        <v>0</v>
      </c>
      <c r="O89" t="n">
        <v>0</v>
      </c>
      <c r="P89" t="n">
        <v>0</v>
      </c>
      <c r="Q89" t="n">
        <v>0</v>
      </c>
      <c r="R89" s="2" t="inlineStr"/>
    </row>
    <row r="90" ht="15" customHeight="1">
      <c r="A90" t="inlineStr">
        <is>
          <t>A 30059-2019</t>
        </is>
      </c>
      <c r="B90" s="1" t="n">
        <v>43633</v>
      </c>
      <c r="C90" s="1" t="n">
        <v>45830</v>
      </c>
      <c r="D90" t="inlineStr">
        <is>
          <t>SKÅNE LÄN</t>
        </is>
      </c>
      <c r="E90" t="inlineStr">
        <is>
          <t>HÄSSLEHOLM</t>
        </is>
      </c>
      <c r="G90" t="n">
        <v>3.5</v>
      </c>
      <c r="H90" t="n">
        <v>0</v>
      </c>
      <c r="I90" t="n">
        <v>0</v>
      </c>
      <c r="J90" t="n">
        <v>0</v>
      </c>
      <c r="K90" t="n">
        <v>0</v>
      </c>
      <c r="L90" t="n">
        <v>0</v>
      </c>
      <c r="M90" t="n">
        <v>0</v>
      </c>
      <c r="N90" t="n">
        <v>0</v>
      </c>
      <c r="O90" t="n">
        <v>0</v>
      </c>
      <c r="P90" t="n">
        <v>0</v>
      </c>
      <c r="Q90" t="n">
        <v>0</v>
      </c>
      <c r="R90" s="2" t="inlineStr"/>
    </row>
    <row r="91" ht="15" customHeight="1">
      <c r="A91" t="inlineStr">
        <is>
          <t>A 31760-2019</t>
        </is>
      </c>
      <c r="B91" s="1" t="n">
        <v>43642</v>
      </c>
      <c r="C91" s="1" t="n">
        <v>45830</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31936-2019</t>
        </is>
      </c>
      <c r="B92" s="1" t="n">
        <v>43642</v>
      </c>
      <c r="C92" s="1" t="n">
        <v>45830</v>
      </c>
      <c r="D92" t="inlineStr">
        <is>
          <t>SKÅNE LÄN</t>
        </is>
      </c>
      <c r="E92" t="inlineStr">
        <is>
          <t>HÄSSLEHOLM</t>
        </is>
      </c>
      <c r="G92" t="n">
        <v>0.8</v>
      </c>
      <c r="H92" t="n">
        <v>0</v>
      </c>
      <c r="I92" t="n">
        <v>0</v>
      </c>
      <c r="J92" t="n">
        <v>0</v>
      </c>
      <c r="K92" t="n">
        <v>0</v>
      </c>
      <c r="L92" t="n">
        <v>0</v>
      </c>
      <c r="M92" t="n">
        <v>0</v>
      </c>
      <c r="N92" t="n">
        <v>0</v>
      </c>
      <c r="O92" t="n">
        <v>0</v>
      </c>
      <c r="P92" t="n">
        <v>0</v>
      </c>
      <c r="Q92" t="n">
        <v>0</v>
      </c>
      <c r="R92" s="2" t="inlineStr"/>
    </row>
    <row r="93" ht="15" customHeight="1">
      <c r="A93" t="inlineStr">
        <is>
          <t>A 32714-2019</t>
        </is>
      </c>
      <c r="B93" s="1" t="n">
        <v>43647</v>
      </c>
      <c r="C93" s="1" t="n">
        <v>45830</v>
      </c>
      <c r="D93" t="inlineStr">
        <is>
          <t>SKÅNE LÄN</t>
        </is>
      </c>
      <c r="E93" t="inlineStr">
        <is>
          <t>HÄSSLEHOLM</t>
        </is>
      </c>
      <c r="G93" t="n">
        <v>8.4</v>
      </c>
      <c r="H93" t="n">
        <v>0</v>
      </c>
      <c r="I93" t="n">
        <v>0</v>
      </c>
      <c r="J93" t="n">
        <v>0</v>
      </c>
      <c r="K93" t="n">
        <v>0</v>
      </c>
      <c r="L93" t="n">
        <v>0</v>
      </c>
      <c r="M93" t="n">
        <v>0</v>
      </c>
      <c r="N93" t="n">
        <v>0</v>
      </c>
      <c r="O93" t="n">
        <v>0</v>
      </c>
      <c r="P93" t="n">
        <v>0</v>
      </c>
      <c r="Q93" t="n">
        <v>0</v>
      </c>
      <c r="R93" s="2" t="inlineStr"/>
    </row>
    <row r="94" ht="15" customHeight="1">
      <c r="A94" t="inlineStr">
        <is>
          <t>A 34714-2019</t>
        </is>
      </c>
      <c r="B94" s="1" t="n">
        <v>43648</v>
      </c>
      <c r="C94" s="1" t="n">
        <v>45830</v>
      </c>
      <c r="D94" t="inlineStr">
        <is>
          <t>SKÅNE LÄN</t>
        </is>
      </c>
      <c r="E94" t="inlineStr">
        <is>
          <t>HÄSSLEHOLM</t>
        </is>
      </c>
      <c r="F94" t="inlineStr">
        <is>
          <t>Övriga Aktiebolag</t>
        </is>
      </c>
      <c r="G94" t="n">
        <v>1.5</v>
      </c>
      <c r="H94" t="n">
        <v>0</v>
      </c>
      <c r="I94" t="n">
        <v>0</v>
      </c>
      <c r="J94" t="n">
        <v>0</v>
      </c>
      <c r="K94" t="n">
        <v>0</v>
      </c>
      <c r="L94" t="n">
        <v>0</v>
      </c>
      <c r="M94" t="n">
        <v>0</v>
      </c>
      <c r="N94" t="n">
        <v>0</v>
      </c>
      <c r="O94" t="n">
        <v>0</v>
      </c>
      <c r="P94" t="n">
        <v>0</v>
      </c>
      <c r="Q94" t="n">
        <v>0</v>
      </c>
      <c r="R94" s="2" t="inlineStr"/>
    </row>
    <row r="95" ht="15" customHeight="1">
      <c r="A95" t="inlineStr">
        <is>
          <t>A 34711-2019</t>
        </is>
      </c>
      <c r="B95" s="1" t="n">
        <v>43648</v>
      </c>
      <c r="C95" s="1" t="n">
        <v>45830</v>
      </c>
      <c r="D95" t="inlineStr">
        <is>
          <t>SKÅNE LÄN</t>
        </is>
      </c>
      <c r="E95" t="inlineStr">
        <is>
          <t>HÄSSLEHOLM</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32999-2019</t>
        </is>
      </c>
      <c r="B96" s="1" t="n">
        <v>43649</v>
      </c>
      <c r="C96" s="1" t="n">
        <v>45830</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32998-2019</t>
        </is>
      </c>
      <c r="B97" s="1" t="n">
        <v>43649</v>
      </c>
      <c r="C97" s="1" t="n">
        <v>45830</v>
      </c>
      <c r="D97" t="inlineStr">
        <is>
          <t>SKÅNE LÄN</t>
        </is>
      </c>
      <c r="E97" t="inlineStr">
        <is>
          <t>HÄSSLEHOLM</t>
        </is>
      </c>
      <c r="G97" t="n">
        <v>3.7</v>
      </c>
      <c r="H97" t="n">
        <v>0</v>
      </c>
      <c r="I97" t="n">
        <v>0</v>
      </c>
      <c r="J97" t="n">
        <v>0</v>
      </c>
      <c r="K97" t="n">
        <v>0</v>
      </c>
      <c r="L97" t="n">
        <v>0</v>
      </c>
      <c r="M97" t="n">
        <v>0</v>
      </c>
      <c r="N97" t="n">
        <v>0</v>
      </c>
      <c r="O97" t="n">
        <v>0</v>
      </c>
      <c r="P97" t="n">
        <v>0</v>
      </c>
      <c r="Q97" t="n">
        <v>0</v>
      </c>
      <c r="R97" s="2" t="inlineStr"/>
    </row>
    <row r="98" ht="15" customHeight="1">
      <c r="A98" t="inlineStr">
        <is>
          <t>A 33258-2019</t>
        </is>
      </c>
      <c r="B98" s="1" t="n">
        <v>43650</v>
      </c>
      <c r="C98" s="1" t="n">
        <v>45830</v>
      </c>
      <c r="D98" t="inlineStr">
        <is>
          <t>SKÅNE LÄN</t>
        </is>
      </c>
      <c r="E98" t="inlineStr">
        <is>
          <t>HÄSSLEHOLM</t>
        </is>
      </c>
      <c r="G98" t="n">
        <v>2</v>
      </c>
      <c r="H98" t="n">
        <v>0</v>
      </c>
      <c r="I98" t="n">
        <v>0</v>
      </c>
      <c r="J98" t="n">
        <v>0</v>
      </c>
      <c r="K98" t="n">
        <v>0</v>
      </c>
      <c r="L98" t="n">
        <v>0</v>
      </c>
      <c r="M98" t="n">
        <v>0</v>
      </c>
      <c r="N98" t="n">
        <v>0</v>
      </c>
      <c r="O98" t="n">
        <v>0</v>
      </c>
      <c r="P98" t="n">
        <v>0</v>
      </c>
      <c r="Q98" t="n">
        <v>0</v>
      </c>
      <c r="R98" s="2" t="inlineStr"/>
    </row>
    <row r="99" ht="15" customHeight="1">
      <c r="A99" t="inlineStr">
        <is>
          <t>A 33344-2019</t>
        </is>
      </c>
      <c r="B99" s="1" t="n">
        <v>43650</v>
      </c>
      <c r="C99" s="1" t="n">
        <v>45830</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33693-2019</t>
        </is>
      </c>
      <c r="B100" s="1" t="n">
        <v>43651</v>
      </c>
      <c r="C100" s="1" t="n">
        <v>45830</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33522-2019</t>
        </is>
      </c>
      <c r="B101" s="1" t="n">
        <v>43651</v>
      </c>
      <c r="C101" s="1" t="n">
        <v>45830</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33691-2019</t>
        </is>
      </c>
      <c r="B102" s="1" t="n">
        <v>43651</v>
      </c>
      <c r="C102" s="1" t="n">
        <v>45830</v>
      </c>
      <c r="D102" t="inlineStr">
        <is>
          <t>SKÅNE LÄN</t>
        </is>
      </c>
      <c r="E102" t="inlineStr">
        <is>
          <t>HÄSSLEHOLM</t>
        </is>
      </c>
      <c r="G102" t="n">
        <v>8</v>
      </c>
      <c r="H102" t="n">
        <v>0</v>
      </c>
      <c r="I102" t="n">
        <v>0</v>
      </c>
      <c r="J102" t="n">
        <v>0</v>
      </c>
      <c r="K102" t="n">
        <v>0</v>
      </c>
      <c r="L102" t="n">
        <v>0</v>
      </c>
      <c r="M102" t="n">
        <v>0</v>
      </c>
      <c r="N102" t="n">
        <v>0</v>
      </c>
      <c r="O102" t="n">
        <v>0</v>
      </c>
      <c r="P102" t="n">
        <v>0</v>
      </c>
      <c r="Q102" t="n">
        <v>0</v>
      </c>
      <c r="R102" s="2" t="inlineStr"/>
    </row>
    <row r="103" ht="15" customHeight="1">
      <c r="A103" t="inlineStr">
        <is>
          <t>A 33526-2019</t>
        </is>
      </c>
      <c r="B103" s="1" t="n">
        <v>43651</v>
      </c>
      <c r="C103" s="1" t="n">
        <v>45830</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34073-2019</t>
        </is>
      </c>
      <c r="B104" s="1" t="n">
        <v>43654</v>
      </c>
      <c r="C104" s="1" t="n">
        <v>45830</v>
      </c>
      <c r="D104" t="inlineStr">
        <is>
          <t>SKÅNE LÄN</t>
        </is>
      </c>
      <c r="E104" t="inlineStr">
        <is>
          <t>HÄSSLEHOLM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34140-2019</t>
        </is>
      </c>
      <c r="B105" s="1" t="n">
        <v>43654</v>
      </c>
      <c r="C105" s="1" t="n">
        <v>45830</v>
      </c>
      <c r="D105" t="inlineStr">
        <is>
          <t>SKÅNE LÄN</t>
        </is>
      </c>
      <c r="E105" t="inlineStr">
        <is>
          <t>HÄSSLEHOLM</t>
        </is>
      </c>
      <c r="G105" t="n">
        <v>2.8</v>
      </c>
      <c r="H105" t="n">
        <v>0</v>
      </c>
      <c r="I105" t="n">
        <v>0</v>
      </c>
      <c r="J105" t="n">
        <v>0</v>
      </c>
      <c r="K105" t="n">
        <v>0</v>
      </c>
      <c r="L105" t="n">
        <v>0</v>
      </c>
      <c r="M105" t="n">
        <v>0</v>
      </c>
      <c r="N105" t="n">
        <v>0</v>
      </c>
      <c r="O105" t="n">
        <v>0</v>
      </c>
      <c r="P105" t="n">
        <v>0</v>
      </c>
      <c r="Q105" t="n">
        <v>0</v>
      </c>
      <c r="R105" s="2" t="inlineStr"/>
    </row>
    <row r="106" ht="15" customHeight="1">
      <c r="A106" t="inlineStr">
        <is>
          <t>A 34069-2019</t>
        </is>
      </c>
      <c r="B106" s="1" t="n">
        <v>43654</v>
      </c>
      <c r="C106" s="1" t="n">
        <v>45830</v>
      </c>
      <c r="D106" t="inlineStr">
        <is>
          <t>SKÅNE LÄN</t>
        </is>
      </c>
      <c r="E106" t="inlineStr">
        <is>
          <t>HÄSSLEHOLM</t>
        </is>
      </c>
      <c r="G106" t="n">
        <v>3.3</v>
      </c>
      <c r="H106" t="n">
        <v>0</v>
      </c>
      <c r="I106" t="n">
        <v>0</v>
      </c>
      <c r="J106" t="n">
        <v>0</v>
      </c>
      <c r="K106" t="n">
        <v>0</v>
      </c>
      <c r="L106" t="n">
        <v>0</v>
      </c>
      <c r="M106" t="n">
        <v>0</v>
      </c>
      <c r="N106" t="n">
        <v>0</v>
      </c>
      <c r="O106" t="n">
        <v>0</v>
      </c>
      <c r="P106" t="n">
        <v>0</v>
      </c>
      <c r="Q106" t="n">
        <v>0</v>
      </c>
      <c r="R106" s="2" t="inlineStr"/>
    </row>
    <row r="107" ht="15" customHeight="1">
      <c r="A107" t="inlineStr">
        <is>
          <t>A 34072-2019</t>
        </is>
      </c>
      <c r="B107" s="1" t="n">
        <v>43654</v>
      </c>
      <c r="C107" s="1" t="n">
        <v>45830</v>
      </c>
      <c r="D107" t="inlineStr">
        <is>
          <t>SKÅNE LÄN</t>
        </is>
      </c>
      <c r="E107" t="inlineStr">
        <is>
          <t>HÄSSLEHOLM</t>
        </is>
      </c>
      <c r="G107" t="n">
        <v>4</v>
      </c>
      <c r="H107" t="n">
        <v>0</v>
      </c>
      <c r="I107" t="n">
        <v>0</v>
      </c>
      <c r="J107" t="n">
        <v>0</v>
      </c>
      <c r="K107" t="n">
        <v>0</v>
      </c>
      <c r="L107" t="n">
        <v>0</v>
      </c>
      <c r="M107" t="n">
        <v>0</v>
      </c>
      <c r="N107" t="n">
        <v>0</v>
      </c>
      <c r="O107" t="n">
        <v>0</v>
      </c>
      <c r="P107" t="n">
        <v>0</v>
      </c>
      <c r="Q107" t="n">
        <v>0</v>
      </c>
      <c r="R107" s="2" t="inlineStr"/>
    </row>
    <row r="108" ht="15" customHeight="1">
      <c r="A108" t="inlineStr">
        <is>
          <t>A 36240-2019</t>
        </is>
      </c>
      <c r="B108" s="1" t="n">
        <v>43659</v>
      </c>
      <c r="C108" s="1" t="n">
        <v>45830</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36238-2019</t>
        </is>
      </c>
      <c r="B109" s="1" t="n">
        <v>43659</v>
      </c>
      <c r="C109" s="1" t="n">
        <v>45830</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36553-2019</t>
        </is>
      </c>
      <c r="B110" s="1" t="n">
        <v>43668</v>
      </c>
      <c r="C110" s="1" t="n">
        <v>45830</v>
      </c>
      <c r="D110" t="inlineStr">
        <is>
          <t>SKÅNE LÄN</t>
        </is>
      </c>
      <c r="E110" t="inlineStr">
        <is>
          <t>HÄSSLEHOLM</t>
        </is>
      </c>
      <c r="G110" t="n">
        <v>2.6</v>
      </c>
      <c r="H110" t="n">
        <v>0</v>
      </c>
      <c r="I110" t="n">
        <v>0</v>
      </c>
      <c r="J110" t="n">
        <v>0</v>
      </c>
      <c r="K110" t="n">
        <v>0</v>
      </c>
      <c r="L110" t="n">
        <v>0</v>
      </c>
      <c r="M110" t="n">
        <v>0</v>
      </c>
      <c r="N110" t="n">
        <v>0</v>
      </c>
      <c r="O110" t="n">
        <v>0</v>
      </c>
      <c r="P110" t="n">
        <v>0</v>
      </c>
      <c r="Q110" t="n">
        <v>0</v>
      </c>
      <c r="R110" s="2" t="inlineStr"/>
    </row>
    <row r="111" ht="15" customHeight="1">
      <c r="A111" t="inlineStr">
        <is>
          <t>A 36550-2019</t>
        </is>
      </c>
      <c r="B111" s="1" t="n">
        <v>43668</v>
      </c>
      <c r="C111" s="1" t="n">
        <v>45830</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37540-2019</t>
        </is>
      </c>
      <c r="B112" s="1" t="n">
        <v>43678</v>
      </c>
      <c r="C112" s="1" t="n">
        <v>45830</v>
      </c>
      <c r="D112" t="inlineStr">
        <is>
          <t>SKÅNE LÄN</t>
        </is>
      </c>
      <c r="E112" t="inlineStr">
        <is>
          <t>HÄSSLEHOLM</t>
        </is>
      </c>
      <c r="G112" t="n">
        <v>7.9</v>
      </c>
      <c r="H112" t="n">
        <v>0</v>
      </c>
      <c r="I112" t="n">
        <v>0</v>
      </c>
      <c r="J112" t="n">
        <v>0</v>
      </c>
      <c r="K112" t="n">
        <v>0</v>
      </c>
      <c r="L112" t="n">
        <v>0</v>
      </c>
      <c r="M112" t="n">
        <v>0</v>
      </c>
      <c r="N112" t="n">
        <v>0</v>
      </c>
      <c r="O112" t="n">
        <v>0</v>
      </c>
      <c r="P112" t="n">
        <v>0</v>
      </c>
      <c r="Q112" t="n">
        <v>0</v>
      </c>
      <c r="R112" s="2" t="inlineStr"/>
    </row>
    <row r="113" ht="15" customHeight="1">
      <c r="A113" t="inlineStr">
        <is>
          <t>A 37761-2019</t>
        </is>
      </c>
      <c r="B113" s="1" t="n">
        <v>43682</v>
      </c>
      <c r="C113" s="1" t="n">
        <v>45830</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37765-2019</t>
        </is>
      </c>
      <c r="B114" s="1" t="n">
        <v>43682</v>
      </c>
      <c r="C114" s="1" t="n">
        <v>45830</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38673-2019</t>
        </is>
      </c>
      <c r="B115" s="1" t="n">
        <v>43686</v>
      </c>
      <c r="C115" s="1" t="n">
        <v>45830</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38805-2019</t>
        </is>
      </c>
      <c r="B116" s="1" t="n">
        <v>43688</v>
      </c>
      <c r="C116" s="1" t="n">
        <v>45830</v>
      </c>
      <c r="D116" t="inlineStr">
        <is>
          <t>SKÅNE LÄN</t>
        </is>
      </c>
      <c r="E116" t="inlineStr">
        <is>
          <t>HÄSSLEHOLM</t>
        </is>
      </c>
      <c r="G116" t="n">
        <v>0.4</v>
      </c>
      <c r="H116" t="n">
        <v>0</v>
      </c>
      <c r="I116" t="n">
        <v>0</v>
      </c>
      <c r="J116" t="n">
        <v>0</v>
      </c>
      <c r="K116" t="n">
        <v>0</v>
      </c>
      <c r="L116" t="n">
        <v>0</v>
      </c>
      <c r="M116" t="n">
        <v>0</v>
      </c>
      <c r="N116" t="n">
        <v>0</v>
      </c>
      <c r="O116" t="n">
        <v>0</v>
      </c>
      <c r="P116" t="n">
        <v>0</v>
      </c>
      <c r="Q116" t="n">
        <v>0</v>
      </c>
      <c r="R116" s="2" t="inlineStr"/>
    </row>
    <row r="117" ht="15" customHeight="1">
      <c r="A117" t="inlineStr">
        <is>
          <t>A 38806-2019</t>
        </is>
      </c>
      <c r="B117" s="1" t="n">
        <v>43688</v>
      </c>
      <c r="C117" s="1" t="n">
        <v>45830</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38808-2019</t>
        </is>
      </c>
      <c r="B118" s="1" t="n">
        <v>43688</v>
      </c>
      <c r="C118" s="1" t="n">
        <v>45830</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39502-2019</t>
        </is>
      </c>
      <c r="B119" s="1" t="n">
        <v>43691</v>
      </c>
      <c r="C119" s="1" t="n">
        <v>45830</v>
      </c>
      <c r="D119" t="inlineStr">
        <is>
          <t>SKÅNE LÄN</t>
        </is>
      </c>
      <c r="E119" t="inlineStr">
        <is>
          <t>HÄSSLEHOLM</t>
        </is>
      </c>
      <c r="G119" t="n">
        <v>3.8</v>
      </c>
      <c r="H119" t="n">
        <v>0</v>
      </c>
      <c r="I119" t="n">
        <v>0</v>
      </c>
      <c r="J119" t="n">
        <v>0</v>
      </c>
      <c r="K119" t="n">
        <v>0</v>
      </c>
      <c r="L119" t="n">
        <v>0</v>
      </c>
      <c r="M119" t="n">
        <v>0</v>
      </c>
      <c r="N119" t="n">
        <v>0</v>
      </c>
      <c r="O119" t="n">
        <v>0</v>
      </c>
      <c r="P119" t="n">
        <v>0</v>
      </c>
      <c r="Q119" t="n">
        <v>0</v>
      </c>
      <c r="R119" s="2" t="inlineStr"/>
    </row>
    <row r="120" ht="15" customHeight="1">
      <c r="A120" t="inlineStr">
        <is>
          <t>A 39507-2019</t>
        </is>
      </c>
      <c r="B120" s="1" t="n">
        <v>43691</v>
      </c>
      <c r="C120" s="1" t="n">
        <v>45830</v>
      </c>
      <c r="D120" t="inlineStr">
        <is>
          <t>SKÅNE LÄN</t>
        </is>
      </c>
      <c r="E120" t="inlineStr">
        <is>
          <t>HÄSSLEHOLM</t>
        </is>
      </c>
      <c r="G120" t="n">
        <v>5.7</v>
      </c>
      <c r="H120" t="n">
        <v>0</v>
      </c>
      <c r="I120" t="n">
        <v>0</v>
      </c>
      <c r="J120" t="n">
        <v>0</v>
      </c>
      <c r="K120" t="n">
        <v>0</v>
      </c>
      <c r="L120" t="n">
        <v>0</v>
      </c>
      <c r="M120" t="n">
        <v>0</v>
      </c>
      <c r="N120" t="n">
        <v>0</v>
      </c>
      <c r="O120" t="n">
        <v>0</v>
      </c>
      <c r="P120" t="n">
        <v>0</v>
      </c>
      <c r="Q120" t="n">
        <v>0</v>
      </c>
      <c r="R120" s="2" t="inlineStr"/>
    </row>
    <row r="121" ht="15" customHeight="1">
      <c r="A121" t="inlineStr">
        <is>
          <t>A 40262-2019</t>
        </is>
      </c>
      <c r="B121" s="1" t="n">
        <v>43695</v>
      </c>
      <c r="C121" s="1" t="n">
        <v>45830</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41485-2019</t>
        </is>
      </c>
      <c r="B122" s="1" t="n">
        <v>43696</v>
      </c>
      <c r="C122" s="1" t="n">
        <v>45830</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41068-2019</t>
        </is>
      </c>
      <c r="B123" s="1" t="n">
        <v>43698</v>
      </c>
      <c r="C123" s="1" t="n">
        <v>45830</v>
      </c>
      <c r="D123" t="inlineStr">
        <is>
          <t>SKÅNE LÄN</t>
        </is>
      </c>
      <c r="E123" t="inlineStr">
        <is>
          <t>HÄSSLEHOLM</t>
        </is>
      </c>
      <c r="G123" t="n">
        <v>3.7</v>
      </c>
      <c r="H123" t="n">
        <v>0</v>
      </c>
      <c r="I123" t="n">
        <v>0</v>
      </c>
      <c r="J123" t="n">
        <v>0</v>
      </c>
      <c r="K123" t="n">
        <v>0</v>
      </c>
      <c r="L123" t="n">
        <v>0</v>
      </c>
      <c r="M123" t="n">
        <v>0</v>
      </c>
      <c r="N123" t="n">
        <v>0</v>
      </c>
      <c r="O123" t="n">
        <v>0</v>
      </c>
      <c r="P123" t="n">
        <v>0</v>
      </c>
      <c r="Q123" t="n">
        <v>0</v>
      </c>
      <c r="R123" s="2" t="inlineStr"/>
    </row>
    <row r="124" ht="15" customHeight="1">
      <c r="A124" t="inlineStr">
        <is>
          <t>A 41439-2019</t>
        </is>
      </c>
      <c r="B124" s="1" t="n">
        <v>43698</v>
      </c>
      <c r="C124" s="1" t="n">
        <v>45830</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43674-2019</t>
        </is>
      </c>
      <c r="B125" s="1" t="n">
        <v>43704</v>
      </c>
      <c r="C125" s="1" t="n">
        <v>45830</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43547-2019</t>
        </is>
      </c>
      <c r="B126" s="1" t="n">
        <v>43706</v>
      </c>
      <c r="C126" s="1" t="n">
        <v>45830</v>
      </c>
      <c r="D126" t="inlineStr">
        <is>
          <t>SKÅNE LÄN</t>
        </is>
      </c>
      <c r="E126" t="inlineStr">
        <is>
          <t>HÄSSLEHOLM</t>
        </is>
      </c>
      <c r="G126" t="n">
        <v>1.7</v>
      </c>
      <c r="H126" t="n">
        <v>0</v>
      </c>
      <c r="I126" t="n">
        <v>0</v>
      </c>
      <c r="J126" t="n">
        <v>0</v>
      </c>
      <c r="K126" t="n">
        <v>0</v>
      </c>
      <c r="L126" t="n">
        <v>0</v>
      </c>
      <c r="M126" t="n">
        <v>0</v>
      </c>
      <c r="N126" t="n">
        <v>0</v>
      </c>
      <c r="O126" t="n">
        <v>0</v>
      </c>
      <c r="P126" t="n">
        <v>0</v>
      </c>
      <c r="Q126" t="n">
        <v>0</v>
      </c>
      <c r="R126" s="2" t="inlineStr"/>
    </row>
    <row r="127" ht="15" customHeight="1">
      <c r="A127" t="inlineStr">
        <is>
          <t>A 44032-2019</t>
        </is>
      </c>
      <c r="B127" s="1" t="n">
        <v>43710</v>
      </c>
      <c r="C127" s="1" t="n">
        <v>45830</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44255-2019</t>
        </is>
      </c>
      <c r="B128" s="1" t="n">
        <v>43710</v>
      </c>
      <c r="C128" s="1" t="n">
        <v>45830</v>
      </c>
      <c r="D128" t="inlineStr">
        <is>
          <t>SKÅNE LÄN</t>
        </is>
      </c>
      <c r="E128" t="inlineStr">
        <is>
          <t>HÄSSLEHOLM</t>
        </is>
      </c>
      <c r="G128" t="n">
        <v>4.3</v>
      </c>
      <c r="H128" t="n">
        <v>0</v>
      </c>
      <c r="I128" t="n">
        <v>0</v>
      </c>
      <c r="J128" t="n">
        <v>0</v>
      </c>
      <c r="K128" t="n">
        <v>0</v>
      </c>
      <c r="L128" t="n">
        <v>0</v>
      </c>
      <c r="M128" t="n">
        <v>0</v>
      </c>
      <c r="N128" t="n">
        <v>0</v>
      </c>
      <c r="O128" t="n">
        <v>0</v>
      </c>
      <c r="P128" t="n">
        <v>0</v>
      </c>
      <c r="Q128" t="n">
        <v>0</v>
      </c>
      <c r="R128" s="2" t="inlineStr"/>
    </row>
    <row r="129" ht="15" customHeight="1">
      <c r="A129" t="inlineStr">
        <is>
          <t>A 44256-2019</t>
        </is>
      </c>
      <c r="B129" s="1" t="n">
        <v>43710</v>
      </c>
      <c r="C129" s="1" t="n">
        <v>45830</v>
      </c>
      <c r="D129" t="inlineStr">
        <is>
          <t>SKÅNE LÄN</t>
        </is>
      </c>
      <c r="E129" t="inlineStr">
        <is>
          <t>HÄSSLEHOLM</t>
        </is>
      </c>
      <c r="G129" t="n">
        <v>5.3</v>
      </c>
      <c r="H129" t="n">
        <v>0</v>
      </c>
      <c r="I129" t="n">
        <v>0</v>
      </c>
      <c r="J129" t="n">
        <v>0</v>
      </c>
      <c r="K129" t="n">
        <v>0</v>
      </c>
      <c r="L129" t="n">
        <v>0</v>
      </c>
      <c r="M129" t="n">
        <v>0</v>
      </c>
      <c r="N129" t="n">
        <v>0</v>
      </c>
      <c r="O129" t="n">
        <v>0</v>
      </c>
      <c r="P129" t="n">
        <v>0</v>
      </c>
      <c r="Q129" t="n">
        <v>0</v>
      </c>
      <c r="R129" s="2" t="inlineStr"/>
    </row>
    <row r="130" ht="15" customHeight="1">
      <c r="A130" t="inlineStr">
        <is>
          <t>A 44546-2019</t>
        </is>
      </c>
      <c r="B130" s="1" t="n">
        <v>43711</v>
      </c>
      <c r="C130" s="1" t="n">
        <v>45830</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44543-2019</t>
        </is>
      </c>
      <c r="B131" s="1" t="n">
        <v>43711</v>
      </c>
      <c r="C131" s="1" t="n">
        <v>45830</v>
      </c>
      <c r="D131" t="inlineStr">
        <is>
          <t>SKÅNE LÄN</t>
        </is>
      </c>
      <c r="E131" t="inlineStr">
        <is>
          <t>HÄSSLEHOLM</t>
        </is>
      </c>
      <c r="G131" t="n">
        <v>2.1</v>
      </c>
      <c r="H131" t="n">
        <v>0</v>
      </c>
      <c r="I131" t="n">
        <v>0</v>
      </c>
      <c r="J131" t="n">
        <v>0</v>
      </c>
      <c r="K131" t="n">
        <v>0</v>
      </c>
      <c r="L131" t="n">
        <v>0</v>
      </c>
      <c r="M131" t="n">
        <v>0</v>
      </c>
      <c r="N131" t="n">
        <v>0</v>
      </c>
      <c r="O131" t="n">
        <v>0</v>
      </c>
      <c r="P131" t="n">
        <v>0</v>
      </c>
      <c r="Q131" t="n">
        <v>0</v>
      </c>
      <c r="R131" s="2" t="inlineStr"/>
    </row>
    <row r="132" ht="15" customHeight="1">
      <c r="A132" t="inlineStr">
        <is>
          <t>A 45811-2019</t>
        </is>
      </c>
      <c r="B132" s="1" t="n">
        <v>43711</v>
      </c>
      <c r="C132" s="1" t="n">
        <v>45830</v>
      </c>
      <c r="D132" t="inlineStr">
        <is>
          <t>SKÅNE LÄN</t>
        </is>
      </c>
      <c r="E132" t="inlineStr">
        <is>
          <t>HÄSSLEHOLM</t>
        </is>
      </c>
      <c r="G132" t="n">
        <v>2.4</v>
      </c>
      <c r="H132" t="n">
        <v>0</v>
      </c>
      <c r="I132" t="n">
        <v>0</v>
      </c>
      <c r="J132" t="n">
        <v>0</v>
      </c>
      <c r="K132" t="n">
        <v>0</v>
      </c>
      <c r="L132" t="n">
        <v>0</v>
      </c>
      <c r="M132" t="n">
        <v>0</v>
      </c>
      <c r="N132" t="n">
        <v>0</v>
      </c>
      <c r="O132" t="n">
        <v>0</v>
      </c>
      <c r="P132" t="n">
        <v>0</v>
      </c>
      <c r="Q132" t="n">
        <v>0</v>
      </c>
      <c r="R132" s="2" t="inlineStr"/>
    </row>
    <row r="133" ht="15" customHeight="1">
      <c r="A133" t="inlineStr">
        <is>
          <t>A 45843-2019</t>
        </is>
      </c>
      <c r="B133" s="1" t="n">
        <v>43711</v>
      </c>
      <c r="C133" s="1" t="n">
        <v>45830</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45238-2019</t>
        </is>
      </c>
      <c r="B134" s="1" t="n">
        <v>43713</v>
      </c>
      <c r="C134" s="1" t="n">
        <v>45830</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45836-2019</t>
        </is>
      </c>
      <c r="B135" s="1" t="n">
        <v>43717</v>
      </c>
      <c r="C135" s="1" t="n">
        <v>45830</v>
      </c>
      <c r="D135" t="inlineStr">
        <is>
          <t>SKÅNE LÄN</t>
        </is>
      </c>
      <c r="E135" t="inlineStr">
        <is>
          <t>HÄSSLEHOLM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45831-2019</t>
        </is>
      </c>
      <c r="B136" s="1" t="n">
        <v>43717</v>
      </c>
      <c r="C136" s="1" t="n">
        <v>45830</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46520-2019</t>
        </is>
      </c>
      <c r="B137" s="1" t="n">
        <v>43717</v>
      </c>
      <c r="C137" s="1" t="n">
        <v>45830</v>
      </c>
      <c r="D137" t="inlineStr">
        <is>
          <t>SKÅNE LÄN</t>
        </is>
      </c>
      <c r="E137" t="inlineStr">
        <is>
          <t>HÄSSLEHOLM</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48097-2019</t>
        </is>
      </c>
      <c r="B138" s="1" t="n">
        <v>43725</v>
      </c>
      <c r="C138" s="1" t="n">
        <v>45830</v>
      </c>
      <c r="D138" t="inlineStr">
        <is>
          <t>SKÅNE LÄN</t>
        </is>
      </c>
      <c r="E138" t="inlineStr">
        <is>
          <t>HÄSSLEHOLM</t>
        </is>
      </c>
      <c r="G138" t="n">
        <v>1.3</v>
      </c>
      <c r="H138" t="n">
        <v>0</v>
      </c>
      <c r="I138" t="n">
        <v>0</v>
      </c>
      <c r="J138" t="n">
        <v>0</v>
      </c>
      <c r="K138" t="n">
        <v>0</v>
      </c>
      <c r="L138" t="n">
        <v>0</v>
      </c>
      <c r="M138" t="n">
        <v>0</v>
      </c>
      <c r="N138" t="n">
        <v>0</v>
      </c>
      <c r="O138" t="n">
        <v>0</v>
      </c>
      <c r="P138" t="n">
        <v>0</v>
      </c>
      <c r="Q138" t="n">
        <v>0</v>
      </c>
      <c r="R138" s="2" t="inlineStr"/>
    </row>
    <row r="139" ht="15" customHeight="1">
      <c r="A139" t="inlineStr">
        <is>
          <t>A 48309-2019</t>
        </is>
      </c>
      <c r="B139" s="1" t="n">
        <v>43726</v>
      </c>
      <c r="C139" s="1" t="n">
        <v>45830</v>
      </c>
      <c r="D139" t="inlineStr">
        <is>
          <t>SKÅNE LÄN</t>
        </is>
      </c>
      <c r="E139" t="inlineStr">
        <is>
          <t>HÄSSLEHOLM</t>
        </is>
      </c>
      <c r="G139" t="n">
        <v>4.5</v>
      </c>
      <c r="H139" t="n">
        <v>0</v>
      </c>
      <c r="I139" t="n">
        <v>0</v>
      </c>
      <c r="J139" t="n">
        <v>0</v>
      </c>
      <c r="K139" t="n">
        <v>0</v>
      </c>
      <c r="L139" t="n">
        <v>0</v>
      </c>
      <c r="M139" t="n">
        <v>0</v>
      </c>
      <c r="N139" t="n">
        <v>0</v>
      </c>
      <c r="O139" t="n">
        <v>0</v>
      </c>
      <c r="P139" t="n">
        <v>0</v>
      </c>
      <c r="Q139" t="n">
        <v>0</v>
      </c>
      <c r="R139" s="2" t="inlineStr"/>
    </row>
    <row r="140" ht="15" customHeight="1">
      <c r="A140" t="inlineStr">
        <is>
          <t>A 48363-2019</t>
        </is>
      </c>
      <c r="B140" s="1" t="n">
        <v>43726</v>
      </c>
      <c r="C140" s="1" t="n">
        <v>45830</v>
      </c>
      <c r="D140" t="inlineStr">
        <is>
          <t>SKÅNE LÄN</t>
        </is>
      </c>
      <c r="E140" t="inlineStr">
        <is>
          <t>HÄSSLEHOLM</t>
        </is>
      </c>
      <c r="G140" t="n">
        <v>4.7</v>
      </c>
      <c r="H140" t="n">
        <v>0</v>
      </c>
      <c r="I140" t="n">
        <v>0</v>
      </c>
      <c r="J140" t="n">
        <v>0</v>
      </c>
      <c r="K140" t="n">
        <v>0</v>
      </c>
      <c r="L140" t="n">
        <v>0</v>
      </c>
      <c r="M140" t="n">
        <v>0</v>
      </c>
      <c r="N140" t="n">
        <v>0</v>
      </c>
      <c r="O140" t="n">
        <v>0</v>
      </c>
      <c r="P140" t="n">
        <v>0</v>
      </c>
      <c r="Q140" t="n">
        <v>0</v>
      </c>
      <c r="R140" s="2" t="inlineStr"/>
    </row>
    <row r="141" ht="15" customHeight="1">
      <c r="A141" t="inlineStr">
        <is>
          <t>A 48602-2019</t>
        </is>
      </c>
      <c r="B141" s="1" t="n">
        <v>43727</v>
      </c>
      <c r="C141" s="1" t="n">
        <v>45830</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48601-2019</t>
        </is>
      </c>
      <c r="B142" s="1" t="n">
        <v>43727</v>
      </c>
      <c r="C142" s="1" t="n">
        <v>45830</v>
      </c>
      <c r="D142" t="inlineStr">
        <is>
          <t>SKÅNE LÄN</t>
        </is>
      </c>
      <c r="E142" t="inlineStr">
        <is>
          <t>HÄSSLEHOLM</t>
        </is>
      </c>
      <c r="G142" t="n">
        <v>1.1</v>
      </c>
      <c r="H142" t="n">
        <v>0</v>
      </c>
      <c r="I142" t="n">
        <v>0</v>
      </c>
      <c r="J142" t="n">
        <v>0</v>
      </c>
      <c r="K142" t="n">
        <v>0</v>
      </c>
      <c r="L142" t="n">
        <v>0</v>
      </c>
      <c r="M142" t="n">
        <v>0</v>
      </c>
      <c r="N142" t="n">
        <v>0</v>
      </c>
      <c r="O142" t="n">
        <v>0</v>
      </c>
      <c r="P142" t="n">
        <v>0</v>
      </c>
      <c r="Q142" t="n">
        <v>0</v>
      </c>
      <c r="R142" s="2" t="inlineStr"/>
    </row>
    <row r="143" ht="15" customHeight="1">
      <c r="A143" t="inlineStr">
        <is>
          <t>A 49028-2019</t>
        </is>
      </c>
      <c r="B143" s="1" t="n">
        <v>43731</v>
      </c>
      <c r="C143" s="1" t="n">
        <v>45830</v>
      </c>
      <c r="D143" t="inlineStr">
        <is>
          <t>SKÅNE LÄN</t>
        </is>
      </c>
      <c r="E143" t="inlineStr">
        <is>
          <t>HÄSSLEHOLM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51573-2019</t>
        </is>
      </c>
      <c r="B144" s="1" t="n">
        <v>43740</v>
      </c>
      <c r="C144" s="1" t="n">
        <v>45830</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52964-2019</t>
        </is>
      </c>
      <c r="B145" s="1" t="n">
        <v>43740</v>
      </c>
      <c r="C145" s="1" t="n">
        <v>45830</v>
      </c>
      <c r="D145" t="inlineStr">
        <is>
          <t>SKÅNE LÄN</t>
        </is>
      </c>
      <c r="E145" t="inlineStr">
        <is>
          <t>HÄSSLEHOLM</t>
        </is>
      </c>
      <c r="G145" t="n">
        <v>7.5</v>
      </c>
      <c r="H145" t="n">
        <v>0</v>
      </c>
      <c r="I145" t="n">
        <v>0</v>
      </c>
      <c r="J145" t="n">
        <v>0</v>
      </c>
      <c r="K145" t="n">
        <v>0</v>
      </c>
      <c r="L145" t="n">
        <v>0</v>
      </c>
      <c r="M145" t="n">
        <v>0</v>
      </c>
      <c r="N145" t="n">
        <v>0</v>
      </c>
      <c r="O145" t="n">
        <v>0</v>
      </c>
      <c r="P145" t="n">
        <v>0</v>
      </c>
      <c r="Q145" t="n">
        <v>0</v>
      </c>
      <c r="R145" s="2" t="inlineStr"/>
    </row>
    <row r="146" ht="15" customHeight="1">
      <c r="A146" t="inlineStr">
        <is>
          <t>A 51476-2019</t>
        </is>
      </c>
      <c r="B146" s="1" t="n">
        <v>43740</v>
      </c>
      <c r="C146" s="1" t="n">
        <v>45830</v>
      </c>
      <c r="D146" t="inlineStr">
        <is>
          <t>SKÅNE LÄN</t>
        </is>
      </c>
      <c r="E146" t="inlineStr">
        <is>
          <t>HÄSSLEHOLM</t>
        </is>
      </c>
      <c r="G146" t="n">
        <v>3.8</v>
      </c>
      <c r="H146" t="n">
        <v>0</v>
      </c>
      <c r="I146" t="n">
        <v>0</v>
      </c>
      <c r="J146" t="n">
        <v>0</v>
      </c>
      <c r="K146" t="n">
        <v>0</v>
      </c>
      <c r="L146" t="n">
        <v>0</v>
      </c>
      <c r="M146" t="n">
        <v>0</v>
      </c>
      <c r="N146" t="n">
        <v>0</v>
      </c>
      <c r="O146" t="n">
        <v>0</v>
      </c>
      <c r="P146" t="n">
        <v>0</v>
      </c>
      <c r="Q146" t="n">
        <v>0</v>
      </c>
      <c r="R146" s="2" t="inlineStr"/>
    </row>
    <row r="147" ht="15" customHeight="1">
      <c r="A147" t="inlineStr">
        <is>
          <t>A 51579-2019</t>
        </is>
      </c>
      <c r="B147" s="1" t="n">
        <v>43740</v>
      </c>
      <c r="C147" s="1" t="n">
        <v>45830</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51543-2019</t>
        </is>
      </c>
      <c r="B148" s="1" t="n">
        <v>43740</v>
      </c>
      <c r="C148" s="1" t="n">
        <v>45830</v>
      </c>
      <c r="D148" t="inlineStr">
        <is>
          <t>SKÅNE LÄN</t>
        </is>
      </c>
      <c r="E148" t="inlineStr">
        <is>
          <t>HÄSSLEHOLM</t>
        </is>
      </c>
      <c r="G148" t="n">
        <v>4</v>
      </c>
      <c r="H148" t="n">
        <v>0</v>
      </c>
      <c r="I148" t="n">
        <v>0</v>
      </c>
      <c r="J148" t="n">
        <v>0</v>
      </c>
      <c r="K148" t="n">
        <v>0</v>
      </c>
      <c r="L148" t="n">
        <v>0</v>
      </c>
      <c r="M148" t="n">
        <v>0</v>
      </c>
      <c r="N148" t="n">
        <v>0</v>
      </c>
      <c r="O148" t="n">
        <v>0</v>
      </c>
      <c r="P148" t="n">
        <v>0</v>
      </c>
      <c r="Q148" t="n">
        <v>0</v>
      </c>
      <c r="R148" s="2" t="inlineStr"/>
    </row>
    <row r="149" ht="15" customHeight="1">
      <c r="A149" t="inlineStr">
        <is>
          <t>A 51581-2019</t>
        </is>
      </c>
      <c r="B149" s="1" t="n">
        <v>43740</v>
      </c>
      <c r="C149" s="1" t="n">
        <v>45830</v>
      </c>
      <c r="D149" t="inlineStr">
        <is>
          <t>SKÅNE LÄN</t>
        </is>
      </c>
      <c r="E149" t="inlineStr">
        <is>
          <t>HÄSSLEHOLM</t>
        </is>
      </c>
      <c r="G149" t="n">
        <v>0.5</v>
      </c>
      <c r="H149" t="n">
        <v>0</v>
      </c>
      <c r="I149" t="n">
        <v>0</v>
      </c>
      <c r="J149" t="n">
        <v>0</v>
      </c>
      <c r="K149" t="n">
        <v>0</v>
      </c>
      <c r="L149" t="n">
        <v>0</v>
      </c>
      <c r="M149" t="n">
        <v>0</v>
      </c>
      <c r="N149" t="n">
        <v>0</v>
      </c>
      <c r="O149" t="n">
        <v>0</v>
      </c>
      <c r="P149" t="n">
        <v>0</v>
      </c>
      <c r="Q149" t="n">
        <v>0</v>
      </c>
      <c r="R149" s="2" t="inlineStr"/>
    </row>
    <row r="150" ht="15" customHeight="1">
      <c r="A150" t="inlineStr">
        <is>
          <t>A 51936-2019</t>
        </is>
      </c>
      <c r="B150" s="1" t="n">
        <v>43741</v>
      </c>
      <c r="C150" s="1" t="n">
        <v>45830</v>
      </c>
      <c r="D150" t="inlineStr">
        <is>
          <t>SKÅNE LÄN</t>
        </is>
      </c>
      <c r="E150" t="inlineStr">
        <is>
          <t>HÄSSLEHOLM</t>
        </is>
      </c>
      <c r="G150" t="n">
        <v>1.8</v>
      </c>
      <c r="H150" t="n">
        <v>0</v>
      </c>
      <c r="I150" t="n">
        <v>0</v>
      </c>
      <c r="J150" t="n">
        <v>0</v>
      </c>
      <c r="K150" t="n">
        <v>0</v>
      </c>
      <c r="L150" t="n">
        <v>0</v>
      </c>
      <c r="M150" t="n">
        <v>0</v>
      </c>
      <c r="N150" t="n">
        <v>0</v>
      </c>
      <c r="O150" t="n">
        <v>0</v>
      </c>
      <c r="P150" t="n">
        <v>0</v>
      </c>
      <c r="Q150" t="n">
        <v>0</v>
      </c>
      <c r="R150" s="2" t="inlineStr"/>
    </row>
    <row r="151" ht="15" customHeight="1">
      <c r="A151" t="inlineStr">
        <is>
          <t>A 51795-2019</t>
        </is>
      </c>
      <c r="B151" s="1" t="n">
        <v>43741</v>
      </c>
      <c r="C151" s="1" t="n">
        <v>45830</v>
      </c>
      <c r="D151" t="inlineStr">
        <is>
          <t>SKÅNE LÄN</t>
        </is>
      </c>
      <c r="E151" t="inlineStr">
        <is>
          <t>HÄSSLEHOLM</t>
        </is>
      </c>
      <c r="G151" t="n">
        <v>2</v>
      </c>
      <c r="H151" t="n">
        <v>0</v>
      </c>
      <c r="I151" t="n">
        <v>0</v>
      </c>
      <c r="J151" t="n">
        <v>0</v>
      </c>
      <c r="K151" t="n">
        <v>0</v>
      </c>
      <c r="L151" t="n">
        <v>0</v>
      </c>
      <c r="M151" t="n">
        <v>0</v>
      </c>
      <c r="N151" t="n">
        <v>0</v>
      </c>
      <c r="O151" t="n">
        <v>0</v>
      </c>
      <c r="P151" t="n">
        <v>0</v>
      </c>
      <c r="Q151" t="n">
        <v>0</v>
      </c>
      <c r="R151" s="2" t="inlineStr"/>
    </row>
    <row r="152" ht="15" customHeight="1">
      <c r="A152" t="inlineStr">
        <is>
          <t>A 52896-2019</t>
        </is>
      </c>
      <c r="B152" s="1" t="n">
        <v>43746</v>
      </c>
      <c r="C152" s="1" t="n">
        <v>45830</v>
      </c>
      <c r="D152" t="inlineStr">
        <is>
          <t>SKÅNE LÄN</t>
        </is>
      </c>
      <c r="E152" t="inlineStr">
        <is>
          <t>HÄSSLEHOLM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54745-2019</t>
        </is>
      </c>
      <c r="B153" s="1" t="n">
        <v>43749</v>
      </c>
      <c r="C153" s="1" t="n">
        <v>45830</v>
      </c>
      <c r="D153" t="inlineStr">
        <is>
          <t>SKÅNE LÄN</t>
        </is>
      </c>
      <c r="E153" t="inlineStr">
        <is>
          <t>HÄSSLEHOLM</t>
        </is>
      </c>
      <c r="G153" t="n">
        <v>2.5</v>
      </c>
      <c r="H153" t="n">
        <v>0</v>
      </c>
      <c r="I153" t="n">
        <v>0</v>
      </c>
      <c r="J153" t="n">
        <v>0</v>
      </c>
      <c r="K153" t="n">
        <v>0</v>
      </c>
      <c r="L153" t="n">
        <v>0</v>
      </c>
      <c r="M153" t="n">
        <v>0</v>
      </c>
      <c r="N153" t="n">
        <v>0</v>
      </c>
      <c r="O153" t="n">
        <v>0</v>
      </c>
      <c r="P153" t="n">
        <v>0</v>
      </c>
      <c r="Q153" t="n">
        <v>0</v>
      </c>
      <c r="R153" s="2" t="inlineStr"/>
    </row>
    <row r="154" ht="15" customHeight="1">
      <c r="A154" t="inlineStr">
        <is>
          <t>A 55155-2019</t>
        </is>
      </c>
      <c r="B154" s="1" t="n">
        <v>43752</v>
      </c>
      <c r="C154" s="1" t="n">
        <v>45830</v>
      </c>
      <c r="D154" t="inlineStr">
        <is>
          <t>SKÅNE LÄN</t>
        </is>
      </c>
      <c r="E154" t="inlineStr">
        <is>
          <t>HÄSSLEHOLM</t>
        </is>
      </c>
      <c r="F154" t="inlineStr">
        <is>
          <t>Övriga Aktiebolag</t>
        </is>
      </c>
      <c r="G154" t="n">
        <v>2</v>
      </c>
      <c r="H154" t="n">
        <v>0</v>
      </c>
      <c r="I154" t="n">
        <v>0</v>
      </c>
      <c r="J154" t="n">
        <v>0</v>
      </c>
      <c r="K154" t="n">
        <v>0</v>
      </c>
      <c r="L154" t="n">
        <v>0</v>
      </c>
      <c r="M154" t="n">
        <v>0</v>
      </c>
      <c r="N154" t="n">
        <v>0</v>
      </c>
      <c r="O154" t="n">
        <v>0</v>
      </c>
      <c r="P154" t="n">
        <v>0</v>
      </c>
      <c r="Q154" t="n">
        <v>0</v>
      </c>
      <c r="R154" s="2" t="inlineStr"/>
    </row>
    <row r="155" ht="15" customHeight="1">
      <c r="A155" t="inlineStr">
        <is>
          <t>A 55167-2019</t>
        </is>
      </c>
      <c r="B155" s="1" t="n">
        <v>43756</v>
      </c>
      <c r="C155" s="1" t="n">
        <v>45830</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55087-2019</t>
        </is>
      </c>
      <c r="B156" s="1" t="n">
        <v>43756</v>
      </c>
      <c r="C156" s="1" t="n">
        <v>45830</v>
      </c>
      <c r="D156" t="inlineStr">
        <is>
          <t>SKÅNE LÄN</t>
        </is>
      </c>
      <c r="E156" t="inlineStr">
        <is>
          <t>HÄSSLEHOLM</t>
        </is>
      </c>
      <c r="F156" t="inlineStr">
        <is>
          <t>Kommuner</t>
        </is>
      </c>
      <c r="G156" t="n">
        <v>2</v>
      </c>
      <c r="H156" t="n">
        <v>0</v>
      </c>
      <c r="I156" t="n">
        <v>0</v>
      </c>
      <c r="J156" t="n">
        <v>0</v>
      </c>
      <c r="K156" t="n">
        <v>0</v>
      </c>
      <c r="L156" t="n">
        <v>0</v>
      </c>
      <c r="M156" t="n">
        <v>0</v>
      </c>
      <c r="N156" t="n">
        <v>0</v>
      </c>
      <c r="O156" t="n">
        <v>0</v>
      </c>
      <c r="P156" t="n">
        <v>0</v>
      </c>
      <c r="Q156" t="n">
        <v>0</v>
      </c>
      <c r="R156" s="2" t="inlineStr"/>
    </row>
    <row r="157" ht="15" customHeight="1">
      <c r="A157" t="inlineStr">
        <is>
          <t>A 55410-2019</t>
        </is>
      </c>
      <c r="B157" s="1" t="n">
        <v>43758</v>
      </c>
      <c r="C157" s="1" t="n">
        <v>45830</v>
      </c>
      <c r="D157" t="inlineStr">
        <is>
          <t>SKÅNE LÄN</t>
        </is>
      </c>
      <c r="E157" t="inlineStr">
        <is>
          <t>HÄSSLEHOLM</t>
        </is>
      </c>
      <c r="G157" t="n">
        <v>4.8</v>
      </c>
      <c r="H157" t="n">
        <v>0</v>
      </c>
      <c r="I157" t="n">
        <v>0</v>
      </c>
      <c r="J157" t="n">
        <v>0</v>
      </c>
      <c r="K157" t="n">
        <v>0</v>
      </c>
      <c r="L157" t="n">
        <v>0</v>
      </c>
      <c r="M157" t="n">
        <v>0</v>
      </c>
      <c r="N157" t="n">
        <v>0</v>
      </c>
      <c r="O157" t="n">
        <v>0</v>
      </c>
      <c r="P157" t="n">
        <v>0</v>
      </c>
      <c r="Q157" t="n">
        <v>0</v>
      </c>
      <c r="R157" s="2" t="inlineStr"/>
    </row>
    <row r="158" ht="15" customHeight="1">
      <c r="A158" t="inlineStr">
        <is>
          <t>A 55761-2019</t>
        </is>
      </c>
      <c r="B158" s="1" t="n">
        <v>43759</v>
      </c>
      <c r="C158" s="1" t="n">
        <v>45830</v>
      </c>
      <c r="D158" t="inlineStr">
        <is>
          <t>SKÅNE LÄN</t>
        </is>
      </c>
      <c r="E158" t="inlineStr">
        <is>
          <t>HÄSSLEHOLM</t>
        </is>
      </c>
      <c r="F158" t="inlineStr">
        <is>
          <t>Kommuner</t>
        </is>
      </c>
      <c r="G158" t="n">
        <v>7.7</v>
      </c>
      <c r="H158" t="n">
        <v>0</v>
      </c>
      <c r="I158" t="n">
        <v>0</v>
      </c>
      <c r="J158" t="n">
        <v>0</v>
      </c>
      <c r="K158" t="n">
        <v>0</v>
      </c>
      <c r="L158" t="n">
        <v>0</v>
      </c>
      <c r="M158" t="n">
        <v>0</v>
      </c>
      <c r="N158" t="n">
        <v>0</v>
      </c>
      <c r="O158" t="n">
        <v>0</v>
      </c>
      <c r="P158" t="n">
        <v>0</v>
      </c>
      <c r="Q158" t="n">
        <v>0</v>
      </c>
      <c r="R158" s="2" t="inlineStr"/>
    </row>
    <row r="159" ht="15" customHeight="1">
      <c r="A159" t="inlineStr">
        <is>
          <t>A 55984-2019</t>
        </is>
      </c>
      <c r="B159" s="1" t="n">
        <v>43759</v>
      </c>
      <c r="C159" s="1" t="n">
        <v>45830</v>
      </c>
      <c r="D159" t="inlineStr">
        <is>
          <t>SKÅNE LÄN</t>
        </is>
      </c>
      <c r="E159" t="inlineStr">
        <is>
          <t>HÄSSLEHOLM</t>
        </is>
      </c>
      <c r="F159" t="inlineStr">
        <is>
          <t>Kommuner</t>
        </is>
      </c>
      <c r="G159" t="n">
        <v>21.9</v>
      </c>
      <c r="H159" t="n">
        <v>0</v>
      </c>
      <c r="I159" t="n">
        <v>0</v>
      </c>
      <c r="J159" t="n">
        <v>0</v>
      </c>
      <c r="K159" t="n">
        <v>0</v>
      </c>
      <c r="L159" t="n">
        <v>0</v>
      </c>
      <c r="M159" t="n">
        <v>0</v>
      </c>
      <c r="N159" t="n">
        <v>0</v>
      </c>
      <c r="O159" t="n">
        <v>0</v>
      </c>
      <c r="P159" t="n">
        <v>0</v>
      </c>
      <c r="Q159" t="n">
        <v>0</v>
      </c>
      <c r="R159" s="2" t="inlineStr"/>
    </row>
    <row r="160" ht="15" customHeight="1">
      <c r="A160" t="inlineStr">
        <is>
          <t>A 55631-2019</t>
        </is>
      </c>
      <c r="B160" s="1" t="n">
        <v>43760</v>
      </c>
      <c r="C160" s="1" t="n">
        <v>45830</v>
      </c>
      <c r="D160" t="inlineStr">
        <is>
          <t>SKÅNE LÄN</t>
        </is>
      </c>
      <c r="E160" t="inlineStr">
        <is>
          <t>HÄSSLEHOLM</t>
        </is>
      </c>
      <c r="G160" t="n">
        <v>2.1</v>
      </c>
      <c r="H160" t="n">
        <v>0</v>
      </c>
      <c r="I160" t="n">
        <v>0</v>
      </c>
      <c r="J160" t="n">
        <v>0</v>
      </c>
      <c r="K160" t="n">
        <v>0</v>
      </c>
      <c r="L160" t="n">
        <v>0</v>
      </c>
      <c r="M160" t="n">
        <v>0</v>
      </c>
      <c r="N160" t="n">
        <v>0</v>
      </c>
      <c r="O160" t="n">
        <v>0</v>
      </c>
      <c r="P160" t="n">
        <v>0</v>
      </c>
      <c r="Q160" t="n">
        <v>0</v>
      </c>
      <c r="R160" s="2" t="inlineStr"/>
    </row>
    <row r="161" ht="15" customHeight="1">
      <c r="A161" t="inlineStr">
        <is>
          <t>A 55654-2019</t>
        </is>
      </c>
      <c r="B161" s="1" t="n">
        <v>43760</v>
      </c>
      <c r="C161" s="1" t="n">
        <v>45830</v>
      </c>
      <c r="D161" t="inlineStr">
        <is>
          <t>SKÅNE LÄN</t>
        </is>
      </c>
      <c r="E161" t="inlineStr">
        <is>
          <t>HÄSSLEHOLM</t>
        </is>
      </c>
      <c r="G161" t="n">
        <v>1.3</v>
      </c>
      <c r="H161" t="n">
        <v>0</v>
      </c>
      <c r="I161" t="n">
        <v>0</v>
      </c>
      <c r="J161" t="n">
        <v>0</v>
      </c>
      <c r="K161" t="n">
        <v>0</v>
      </c>
      <c r="L161" t="n">
        <v>0</v>
      </c>
      <c r="M161" t="n">
        <v>0</v>
      </c>
      <c r="N161" t="n">
        <v>0</v>
      </c>
      <c r="O161" t="n">
        <v>0</v>
      </c>
      <c r="P161" t="n">
        <v>0</v>
      </c>
      <c r="Q161" t="n">
        <v>0</v>
      </c>
      <c r="R161" s="2" t="inlineStr"/>
    </row>
    <row r="162" ht="15" customHeight="1">
      <c r="A162" t="inlineStr">
        <is>
          <t>A 55995-2019</t>
        </is>
      </c>
      <c r="B162" s="1" t="n">
        <v>43761</v>
      </c>
      <c r="C162" s="1" t="n">
        <v>45830</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56138-2019</t>
        </is>
      </c>
      <c r="B163" s="1" t="n">
        <v>43761</v>
      </c>
      <c r="C163" s="1" t="n">
        <v>45830</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58525-2019</t>
        </is>
      </c>
      <c r="B164" s="1" t="n">
        <v>43766</v>
      </c>
      <c r="C164" s="1" t="n">
        <v>45830</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58818-2019</t>
        </is>
      </c>
      <c r="B165" s="1" t="n">
        <v>43768</v>
      </c>
      <c r="C165" s="1" t="n">
        <v>45830</v>
      </c>
      <c r="D165" t="inlineStr">
        <is>
          <t>SKÅNE LÄN</t>
        </is>
      </c>
      <c r="E165" t="inlineStr">
        <is>
          <t>HÄSSLEHOLM</t>
        </is>
      </c>
      <c r="G165" t="n">
        <v>1.6</v>
      </c>
      <c r="H165" t="n">
        <v>0</v>
      </c>
      <c r="I165" t="n">
        <v>0</v>
      </c>
      <c r="J165" t="n">
        <v>0</v>
      </c>
      <c r="K165" t="n">
        <v>0</v>
      </c>
      <c r="L165" t="n">
        <v>0</v>
      </c>
      <c r="M165" t="n">
        <v>0</v>
      </c>
      <c r="N165" t="n">
        <v>0</v>
      </c>
      <c r="O165" t="n">
        <v>0</v>
      </c>
      <c r="P165" t="n">
        <v>0</v>
      </c>
      <c r="Q165" t="n">
        <v>0</v>
      </c>
      <c r="R165" s="2" t="inlineStr"/>
    </row>
    <row r="166" ht="15" customHeight="1">
      <c r="A166" t="inlineStr">
        <is>
          <t>A 58840-2019</t>
        </is>
      </c>
      <c r="B166" s="1" t="n">
        <v>43768</v>
      </c>
      <c r="C166" s="1" t="n">
        <v>45830</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58070-2019</t>
        </is>
      </c>
      <c r="B167" s="1" t="n">
        <v>43769</v>
      </c>
      <c r="C167" s="1" t="n">
        <v>45830</v>
      </c>
      <c r="D167" t="inlineStr">
        <is>
          <t>SKÅNE LÄN</t>
        </is>
      </c>
      <c r="E167" t="inlineStr">
        <is>
          <t>HÄSSLEHOLM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58889-2019</t>
        </is>
      </c>
      <c r="B168" s="1" t="n">
        <v>43774</v>
      </c>
      <c r="C168" s="1" t="n">
        <v>45830</v>
      </c>
      <c r="D168" t="inlineStr">
        <is>
          <t>SKÅNE LÄN</t>
        </is>
      </c>
      <c r="E168" t="inlineStr">
        <is>
          <t>HÄSSLEHOLM</t>
        </is>
      </c>
      <c r="G168" t="n">
        <v>2.3</v>
      </c>
      <c r="H168" t="n">
        <v>0</v>
      </c>
      <c r="I168" t="n">
        <v>0</v>
      </c>
      <c r="J168" t="n">
        <v>0</v>
      </c>
      <c r="K168" t="n">
        <v>0</v>
      </c>
      <c r="L168" t="n">
        <v>0</v>
      </c>
      <c r="M168" t="n">
        <v>0</v>
      </c>
      <c r="N168" t="n">
        <v>0</v>
      </c>
      <c r="O168" t="n">
        <v>0</v>
      </c>
      <c r="P168" t="n">
        <v>0</v>
      </c>
      <c r="Q168" t="n">
        <v>0</v>
      </c>
      <c r="R168" s="2" t="inlineStr"/>
    </row>
    <row r="169" ht="15" customHeight="1">
      <c r="A169" t="inlineStr">
        <is>
          <t>A 59828-2019</t>
        </is>
      </c>
      <c r="B169" s="1" t="n">
        <v>43777</v>
      </c>
      <c r="C169" s="1" t="n">
        <v>45830</v>
      </c>
      <c r="D169" t="inlineStr">
        <is>
          <t>SKÅNE LÄN</t>
        </is>
      </c>
      <c r="E169" t="inlineStr">
        <is>
          <t>HÄSSLEHOLM</t>
        </is>
      </c>
      <c r="G169" t="n">
        <v>4.1</v>
      </c>
      <c r="H169" t="n">
        <v>0</v>
      </c>
      <c r="I169" t="n">
        <v>0</v>
      </c>
      <c r="J169" t="n">
        <v>0</v>
      </c>
      <c r="K169" t="n">
        <v>0</v>
      </c>
      <c r="L169" t="n">
        <v>0</v>
      </c>
      <c r="M169" t="n">
        <v>0</v>
      </c>
      <c r="N169" t="n">
        <v>0</v>
      </c>
      <c r="O169" t="n">
        <v>0</v>
      </c>
      <c r="P169" t="n">
        <v>0</v>
      </c>
      <c r="Q169" t="n">
        <v>0</v>
      </c>
      <c r="R169" s="2" t="inlineStr"/>
    </row>
    <row r="170" ht="15" customHeight="1">
      <c r="A170" t="inlineStr">
        <is>
          <t>A 61572-2019</t>
        </is>
      </c>
      <c r="B170" s="1" t="n">
        <v>43784</v>
      </c>
      <c r="C170" s="1" t="n">
        <v>45830</v>
      </c>
      <c r="D170" t="inlineStr">
        <is>
          <t>SKÅNE LÄN</t>
        </is>
      </c>
      <c r="E170" t="inlineStr">
        <is>
          <t>HÄSSLEHOLM</t>
        </is>
      </c>
      <c r="G170" t="n">
        <v>2.6</v>
      </c>
      <c r="H170" t="n">
        <v>0</v>
      </c>
      <c r="I170" t="n">
        <v>0</v>
      </c>
      <c r="J170" t="n">
        <v>0</v>
      </c>
      <c r="K170" t="n">
        <v>0</v>
      </c>
      <c r="L170" t="n">
        <v>0</v>
      </c>
      <c r="M170" t="n">
        <v>0</v>
      </c>
      <c r="N170" t="n">
        <v>0</v>
      </c>
      <c r="O170" t="n">
        <v>0</v>
      </c>
      <c r="P170" t="n">
        <v>0</v>
      </c>
      <c r="Q170" t="n">
        <v>0</v>
      </c>
      <c r="R170" s="2" t="inlineStr"/>
    </row>
    <row r="171" ht="15" customHeight="1">
      <c r="A171" t="inlineStr">
        <is>
          <t>A 61664-2019</t>
        </is>
      </c>
      <c r="B171" s="1" t="n">
        <v>43784</v>
      </c>
      <c r="C171" s="1" t="n">
        <v>45830</v>
      </c>
      <c r="D171" t="inlineStr">
        <is>
          <t>SKÅNE LÄN</t>
        </is>
      </c>
      <c r="E171" t="inlineStr">
        <is>
          <t>HÄSSLEHOLM</t>
        </is>
      </c>
      <c r="G171" t="n">
        <v>4.4</v>
      </c>
      <c r="H171" t="n">
        <v>0</v>
      </c>
      <c r="I171" t="n">
        <v>0</v>
      </c>
      <c r="J171" t="n">
        <v>0</v>
      </c>
      <c r="K171" t="n">
        <v>0</v>
      </c>
      <c r="L171" t="n">
        <v>0</v>
      </c>
      <c r="M171" t="n">
        <v>0</v>
      </c>
      <c r="N171" t="n">
        <v>0</v>
      </c>
      <c r="O171" t="n">
        <v>0</v>
      </c>
      <c r="P171" t="n">
        <v>0</v>
      </c>
      <c r="Q171" t="n">
        <v>0</v>
      </c>
      <c r="R171" s="2" t="inlineStr"/>
    </row>
    <row r="172" ht="15" customHeight="1">
      <c r="A172" t="inlineStr">
        <is>
          <t>A 61665-2019</t>
        </is>
      </c>
      <c r="B172" s="1" t="n">
        <v>43784</v>
      </c>
      <c r="C172" s="1" t="n">
        <v>45830</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62981-2019</t>
        </is>
      </c>
      <c r="B173" s="1" t="n">
        <v>43790</v>
      </c>
      <c r="C173" s="1" t="n">
        <v>45830</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62978-2019</t>
        </is>
      </c>
      <c r="B174" s="1" t="n">
        <v>43790</v>
      </c>
      <c r="C174" s="1" t="n">
        <v>45830</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62994-2019</t>
        </is>
      </c>
      <c r="B175" s="1" t="n">
        <v>43790</v>
      </c>
      <c r="C175" s="1" t="n">
        <v>45830</v>
      </c>
      <c r="D175" t="inlineStr">
        <is>
          <t>SKÅNE LÄN</t>
        </is>
      </c>
      <c r="E175" t="inlineStr">
        <is>
          <t>HÄSSLEHOLM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62997-2019</t>
        </is>
      </c>
      <c r="B176" s="1" t="n">
        <v>43790</v>
      </c>
      <c r="C176" s="1" t="n">
        <v>45830</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64766-2019</t>
        </is>
      </c>
      <c r="B177" s="1" t="n">
        <v>43795</v>
      </c>
      <c r="C177" s="1" t="n">
        <v>45830</v>
      </c>
      <c r="D177" t="inlineStr">
        <is>
          <t>SKÅNE LÄN</t>
        </is>
      </c>
      <c r="E177" t="inlineStr">
        <is>
          <t>HÄSSLEHOLM</t>
        </is>
      </c>
      <c r="G177" t="n">
        <v>1.5</v>
      </c>
      <c r="H177" t="n">
        <v>0</v>
      </c>
      <c r="I177" t="n">
        <v>0</v>
      </c>
      <c r="J177" t="n">
        <v>0</v>
      </c>
      <c r="K177" t="n">
        <v>0</v>
      </c>
      <c r="L177" t="n">
        <v>0</v>
      </c>
      <c r="M177" t="n">
        <v>0</v>
      </c>
      <c r="N177" t="n">
        <v>0</v>
      </c>
      <c r="O177" t="n">
        <v>0</v>
      </c>
      <c r="P177" t="n">
        <v>0</v>
      </c>
      <c r="Q177" t="n">
        <v>0</v>
      </c>
      <c r="R177" s="2" t="inlineStr"/>
    </row>
    <row r="178" ht="15" customHeight="1">
      <c r="A178" t="inlineStr">
        <is>
          <t>A 63710-2019</t>
        </is>
      </c>
      <c r="B178" s="1" t="n">
        <v>43795</v>
      </c>
      <c r="C178" s="1" t="n">
        <v>45830</v>
      </c>
      <c r="D178" t="inlineStr">
        <is>
          <t>SKÅNE LÄN</t>
        </is>
      </c>
      <c r="E178" t="inlineStr">
        <is>
          <t>HÄSSLEHOLM</t>
        </is>
      </c>
      <c r="G178" t="n">
        <v>3.8</v>
      </c>
      <c r="H178" t="n">
        <v>0</v>
      </c>
      <c r="I178" t="n">
        <v>0</v>
      </c>
      <c r="J178" t="n">
        <v>0</v>
      </c>
      <c r="K178" t="n">
        <v>0</v>
      </c>
      <c r="L178" t="n">
        <v>0</v>
      </c>
      <c r="M178" t="n">
        <v>0</v>
      </c>
      <c r="N178" t="n">
        <v>0</v>
      </c>
      <c r="O178" t="n">
        <v>0</v>
      </c>
      <c r="P178" t="n">
        <v>0</v>
      </c>
      <c r="Q178" t="n">
        <v>0</v>
      </c>
      <c r="R178" s="2" t="inlineStr"/>
    </row>
    <row r="179" ht="15" customHeight="1">
      <c r="A179" t="inlineStr">
        <is>
          <t>A 66885-2019</t>
        </is>
      </c>
      <c r="B179" s="1" t="n">
        <v>43805</v>
      </c>
      <c r="C179" s="1" t="n">
        <v>45830</v>
      </c>
      <c r="D179" t="inlineStr">
        <is>
          <t>SKÅNE LÄN</t>
        </is>
      </c>
      <c r="E179" t="inlineStr">
        <is>
          <t>HÄSSLEHOLM</t>
        </is>
      </c>
      <c r="F179" t="inlineStr">
        <is>
          <t>Övriga Aktiebolag</t>
        </is>
      </c>
      <c r="G179" t="n">
        <v>1</v>
      </c>
      <c r="H179" t="n">
        <v>0</v>
      </c>
      <c r="I179" t="n">
        <v>0</v>
      </c>
      <c r="J179" t="n">
        <v>0</v>
      </c>
      <c r="K179" t="n">
        <v>0</v>
      </c>
      <c r="L179" t="n">
        <v>0</v>
      </c>
      <c r="M179" t="n">
        <v>0</v>
      </c>
      <c r="N179" t="n">
        <v>0</v>
      </c>
      <c r="O179" t="n">
        <v>0</v>
      </c>
      <c r="P179" t="n">
        <v>0</v>
      </c>
      <c r="Q179" t="n">
        <v>0</v>
      </c>
      <c r="R179" s="2" t="inlineStr"/>
    </row>
    <row r="180" ht="15" customHeight="1">
      <c r="A180" t="inlineStr">
        <is>
          <t>A 66428-2019</t>
        </is>
      </c>
      <c r="B180" s="1" t="n">
        <v>43809</v>
      </c>
      <c r="C180" s="1" t="n">
        <v>45830</v>
      </c>
      <c r="D180" t="inlineStr">
        <is>
          <t>SKÅNE LÄN</t>
        </is>
      </c>
      <c r="E180" t="inlineStr">
        <is>
          <t>HÄSSLEHOLM</t>
        </is>
      </c>
      <c r="G180" t="n">
        <v>2.6</v>
      </c>
      <c r="H180" t="n">
        <v>0</v>
      </c>
      <c r="I180" t="n">
        <v>0</v>
      </c>
      <c r="J180" t="n">
        <v>0</v>
      </c>
      <c r="K180" t="n">
        <v>0</v>
      </c>
      <c r="L180" t="n">
        <v>0</v>
      </c>
      <c r="M180" t="n">
        <v>0</v>
      </c>
      <c r="N180" t="n">
        <v>0</v>
      </c>
      <c r="O180" t="n">
        <v>0</v>
      </c>
      <c r="P180" t="n">
        <v>0</v>
      </c>
      <c r="Q180" t="n">
        <v>0</v>
      </c>
      <c r="R180" s="2" t="inlineStr"/>
    </row>
    <row r="181" ht="15" customHeight="1">
      <c r="A181" t="inlineStr">
        <is>
          <t>A 66662-2019</t>
        </is>
      </c>
      <c r="B181" s="1" t="n">
        <v>43809</v>
      </c>
      <c r="C181" s="1" t="n">
        <v>45830</v>
      </c>
      <c r="D181" t="inlineStr">
        <is>
          <t>SKÅNE LÄN</t>
        </is>
      </c>
      <c r="E181" t="inlineStr">
        <is>
          <t>HÄSSLEHOLM</t>
        </is>
      </c>
      <c r="G181" t="n">
        <v>9</v>
      </c>
      <c r="H181" t="n">
        <v>0</v>
      </c>
      <c r="I181" t="n">
        <v>0</v>
      </c>
      <c r="J181" t="n">
        <v>0</v>
      </c>
      <c r="K181" t="n">
        <v>0</v>
      </c>
      <c r="L181" t="n">
        <v>0</v>
      </c>
      <c r="M181" t="n">
        <v>0</v>
      </c>
      <c r="N181" t="n">
        <v>0</v>
      </c>
      <c r="O181" t="n">
        <v>0</v>
      </c>
      <c r="P181" t="n">
        <v>0</v>
      </c>
      <c r="Q181" t="n">
        <v>0</v>
      </c>
      <c r="R181" s="2" t="inlineStr"/>
    </row>
    <row r="182" ht="15" customHeight="1">
      <c r="A182" t="inlineStr">
        <is>
          <t>A 67756-2019</t>
        </is>
      </c>
      <c r="B182" s="1" t="n">
        <v>43810</v>
      </c>
      <c r="C182" s="1" t="n">
        <v>45830</v>
      </c>
      <c r="D182" t="inlineStr">
        <is>
          <t>SKÅNE LÄN</t>
        </is>
      </c>
      <c r="E182" t="inlineStr">
        <is>
          <t>HÄSSLEHOLM</t>
        </is>
      </c>
      <c r="G182" t="n">
        <v>4.2</v>
      </c>
      <c r="H182" t="n">
        <v>0</v>
      </c>
      <c r="I182" t="n">
        <v>0</v>
      </c>
      <c r="J182" t="n">
        <v>0</v>
      </c>
      <c r="K182" t="n">
        <v>0</v>
      </c>
      <c r="L182" t="n">
        <v>0</v>
      </c>
      <c r="M182" t="n">
        <v>0</v>
      </c>
      <c r="N182" t="n">
        <v>0</v>
      </c>
      <c r="O182" t="n">
        <v>0</v>
      </c>
      <c r="P182" t="n">
        <v>0</v>
      </c>
      <c r="Q182" t="n">
        <v>0</v>
      </c>
      <c r="R182" s="2" t="inlineStr"/>
    </row>
    <row r="183" ht="15" customHeight="1">
      <c r="A183" t="inlineStr">
        <is>
          <t>A 68546-2019</t>
        </is>
      </c>
      <c r="B183" s="1" t="n">
        <v>43811</v>
      </c>
      <c r="C183" s="1" t="n">
        <v>45830</v>
      </c>
      <c r="D183" t="inlineStr">
        <is>
          <t>SKÅNE LÄN</t>
        </is>
      </c>
      <c r="E183" t="inlineStr">
        <is>
          <t>HÄSSLEHOLM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68817-2019</t>
        </is>
      </c>
      <c r="B184" s="1" t="n">
        <v>43815</v>
      </c>
      <c r="C184" s="1" t="n">
        <v>45830</v>
      </c>
      <c r="D184" t="inlineStr">
        <is>
          <t>SKÅNE LÄN</t>
        </is>
      </c>
      <c r="E184" t="inlineStr">
        <is>
          <t>HÄSSLEHOLM</t>
        </is>
      </c>
      <c r="G184" t="n">
        <v>2.4</v>
      </c>
      <c r="H184" t="n">
        <v>0</v>
      </c>
      <c r="I184" t="n">
        <v>0</v>
      </c>
      <c r="J184" t="n">
        <v>0</v>
      </c>
      <c r="K184" t="n">
        <v>0</v>
      </c>
      <c r="L184" t="n">
        <v>0</v>
      </c>
      <c r="M184" t="n">
        <v>0</v>
      </c>
      <c r="N184" t="n">
        <v>0</v>
      </c>
      <c r="O184" t="n">
        <v>0</v>
      </c>
      <c r="P184" t="n">
        <v>0</v>
      </c>
      <c r="Q184" t="n">
        <v>0</v>
      </c>
      <c r="R184" s="2" t="inlineStr"/>
    </row>
    <row r="185" ht="15" customHeight="1">
      <c r="A185" t="inlineStr">
        <is>
          <t>A 2700-2020</t>
        </is>
      </c>
      <c r="B185" s="1" t="n">
        <v>43844</v>
      </c>
      <c r="C185" s="1" t="n">
        <v>45830</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3189-2020</t>
        </is>
      </c>
      <c r="B186" s="1" t="n">
        <v>43844</v>
      </c>
      <c r="C186" s="1" t="n">
        <v>45830</v>
      </c>
      <c r="D186" t="inlineStr">
        <is>
          <t>SKÅNE LÄN</t>
        </is>
      </c>
      <c r="E186" t="inlineStr">
        <is>
          <t>HÄSSLEHOLM</t>
        </is>
      </c>
      <c r="G186" t="n">
        <v>7.5</v>
      </c>
      <c r="H186" t="n">
        <v>0</v>
      </c>
      <c r="I186" t="n">
        <v>0</v>
      </c>
      <c r="J186" t="n">
        <v>0</v>
      </c>
      <c r="K186" t="n">
        <v>0</v>
      </c>
      <c r="L186" t="n">
        <v>0</v>
      </c>
      <c r="M186" t="n">
        <v>0</v>
      </c>
      <c r="N186" t="n">
        <v>0</v>
      </c>
      <c r="O186" t="n">
        <v>0</v>
      </c>
      <c r="P186" t="n">
        <v>0</v>
      </c>
      <c r="Q186" t="n">
        <v>0</v>
      </c>
      <c r="R186" s="2" t="inlineStr"/>
    </row>
    <row r="187" ht="15" customHeight="1">
      <c r="A187" t="inlineStr">
        <is>
          <t>A 1909-2020</t>
        </is>
      </c>
      <c r="B187" s="1" t="n">
        <v>43845</v>
      </c>
      <c r="C187" s="1" t="n">
        <v>45830</v>
      </c>
      <c r="D187" t="inlineStr">
        <is>
          <t>SKÅNE LÄN</t>
        </is>
      </c>
      <c r="E187" t="inlineStr">
        <is>
          <t>HÄSSLEHOLM</t>
        </is>
      </c>
      <c r="G187" t="n">
        <v>1</v>
      </c>
      <c r="H187" t="n">
        <v>0</v>
      </c>
      <c r="I187" t="n">
        <v>0</v>
      </c>
      <c r="J187" t="n">
        <v>0</v>
      </c>
      <c r="K187" t="n">
        <v>0</v>
      </c>
      <c r="L187" t="n">
        <v>0</v>
      </c>
      <c r="M187" t="n">
        <v>0</v>
      </c>
      <c r="N187" t="n">
        <v>0</v>
      </c>
      <c r="O187" t="n">
        <v>0</v>
      </c>
      <c r="P187" t="n">
        <v>0</v>
      </c>
      <c r="Q187" t="n">
        <v>0</v>
      </c>
      <c r="R187" s="2" t="inlineStr"/>
    </row>
    <row r="188" ht="15" customHeight="1">
      <c r="A188" t="inlineStr">
        <is>
          <t>A 2036-2020</t>
        </is>
      </c>
      <c r="B188" s="1" t="n">
        <v>43845</v>
      </c>
      <c r="C188" s="1" t="n">
        <v>45830</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3441-2020</t>
        </is>
      </c>
      <c r="B189" s="1" t="n">
        <v>43847</v>
      </c>
      <c r="C189" s="1" t="n">
        <v>45830</v>
      </c>
      <c r="D189" t="inlineStr">
        <is>
          <t>SKÅNE LÄN</t>
        </is>
      </c>
      <c r="E189" t="inlineStr">
        <is>
          <t>HÄSSLEHOLM</t>
        </is>
      </c>
      <c r="G189" t="n">
        <v>2</v>
      </c>
      <c r="H189" t="n">
        <v>0</v>
      </c>
      <c r="I189" t="n">
        <v>0</v>
      </c>
      <c r="J189" t="n">
        <v>0</v>
      </c>
      <c r="K189" t="n">
        <v>0</v>
      </c>
      <c r="L189" t="n">
        <v>0</v>
      </c>
      <c r="M189" t="n">
        <v>0</v>
      </c>
      <c r="N189" t="n">
        <v>0</v>
      </c>
      <c r="O189" t="n">
        <v>0</v>
      </c>
      <c r="P189" t="n">
        <v>0</v>
      </c>
      <c r="Q189" t="n">
        <v>0</v>
      </c>
      <c r="R189" s="2" t="inlineStr"/>
    </row>
    <row r="190" ht="15" customHeight="1">
      <c r="A190" t="inlineStr">
        <is>
          <t>A 2731-2020</t>
        </is>
      </c>
      <c r="B190" s="1" t="n">
        <v>43850</v>
      </c>
      <c r="C190" s="1" t="n">
        <v>45830</v>
      </c>
      <c r="D190" t="inlineStr">
        <is>
          <t>SKÅNE LÄN</t>
        </is>
      </c>
      <c r="E190" t="inlineStr">
        <is>
          <t>HÄSSLEHOLM</t>
        </is>
      </c>
      <c r="G190" t="n">
        <v>6.2</v>
      </c>
      <c r="H190" t="n">
        <v>0</v>
      </c>
      <c r="I190" t="n">
        <v>0</v>
      </c>
      <c r="J190" t="n">
        <v>0</v>
      </c>
      <c r="K190" t="n">
        <v>0</v>
      </c>
      <c r="L190" t="n">
        <v>0</v>
      </c>
      <c r="M190" t="n">
        <v>0</v>
      </c>
      <c r="N190" t="n">
        <v>0</v>
      </c>
      <c r="O190" t="n">
        <v>0</v>
      </c>
      <c r="P190" t="n">
        <v>0</v>
      </c>
      <c r="Q190" t="n">
        <v>0</v>
      </c>
      <c r="R190" s="2" t="inlineStr"/>
    </row>
    <row r="191" ht="15" customHeight="1">
      <c r="A191" t="inlineStr">
        <is>
          <t>A 4635-2020</t>
        </is>
      </c>
      <c r="B191" s="1" t="n">
        <v>43858</v>
      </c>
      <c r="C191" s="1" t="n">
        <v>45830</v>
      </c>
      <c r="D191" t="inlineStr">
        <is>
          <t>SKÅNE LÄN</t>
        </is>
      </c>
      <c r="E191" t="inlineStr">
        <is>
          <t>HÄSSLEHOLM</t>
        </is>
      </c>
      <c r="G191" t="n">
        <v>10.7</v>
      </c>
      <c r="H191" t="n">
        <v>0</v>
      </c>
      <c r="I191" t="n">
        <v>0</v>
      </c>
      <c r="J191" t="n">
        <v>0</v>
      </c>
      <c r="K191" t="n">
        <v>0</v>
      </c>
      <c r="L191" t="n">
        <v>0</v>
      </c>
      <c r="M191" t="n">
        <v>0</v>
      </c>
      <c r="N191" t="n">
        <v>0</v>
      </c>
      <c r="O191" t="n">
        <v>0</v>
      </c>
      <c r="P191" t="n">
        <v>0</v>
      </c>
      <c r="Q191" t="n">
        <v>0</v>
      </c>
      <c r="R191" s="2" t="inlineStr"/>
    </row>
    <row r="192" ht="15" customHeight="1">
      <c r="A192" t="inlineStr">
        <is>
          <t>A 4750-2020</t>
        </is>
      </c>
      <c r="B192" s="1" t="n">
        <v>43859</v>
      </c>
      <c r="C192" s="1" t="n">
        <v>45830</v>
      </c>
      <c r="D192" t="inlineStr">
        <is>
          <t>SKÅNE LÄN</t>
        </is>
      </c>
      <c r="E192" t="inlineStr">
        <is>
          <t>HÄSSLEHOLM</t>
        </is>
      </c>
      <c r="G192" t="n">
        <v>1</v>
      </c>
      <c r="H192" t="n">
        <v>0</v>
      </c>
      <c r="I192" t="n">
        <v>0</v>
      </c>
      <c r="J192" t="n">
        <v>0</v>
      </c>
      <c r="K192" t="n">
        <v>0</v>
      </c>
      <c r="L192" t="n">
        <v>0</v>
      </c>
      <c r="M192" t="n">
        <v>0</v>
      </c>
      <c r="N192" t="n">
        <v>0</v>
      </c>
      <c r="O192" t="n">
        <v>0</v>
      </c>
      <c r="P192" t="n">
        <v>0</v>
      </c>
      <c r="Q192" t="n">
        <v>0</v>
      </c>
      <c r="R192" s="2" t="inlineStr"/>
    </row>
    <row r="193" ht="15" customHeight="1">
      <c r="A193" t="inlineStr">
        <is>
          <t>A 4974-2020</t>
        </is>
      </c>
      <c r="B193" s="1" t="n">
        <v>43859</v>
      </c>
      <c r="C193" s="1" t="n">
        <v>45830</v>
      </c>
      <c r="D193" t="inlineStr">
        <is>
          <t>SKÅNE LÄN</t>
        </is>
      </c>
      <c r="E193" t="inlineStr">
        <is>
          <t>HÄSSLEHOLM</t>
        </is>
      </c>
      <c r="G193" t="n">
        <v>1.4</v>
      </c>
      <c r="H193" t="n">
        <v>0</v>
      </c>
      <c r="I193" t="n">
        <v>0</v>
      </c>
      <c r="J193" t="n">
        <v>0</v>
      </c>
      <c r="K193" t="n">
        <v>0</v>
      </c>
      <c r="L193" t="n">
        <v>0</v>
      </c>
      <c r="M193" t="n">
        <v>0</v>
      </c>
      <c r="N193" t="n">
        <v>0</v>
      </c>
      <c r="O193" t="n">
        <v>0</v>
      </c>
      <c r="P193" t="n">
        <v>0</v>
      </c>
      <c r="Q193" t="n">
        <v>0</v>
      </c>
      <c r="R193" s="2" t="inlineStr"/>
    </row>
    <row r="194" ht="15" customHeight="1">
      <c r="A194" t="inlineStr">
        <is>
          <t>A 5190-2020</t>
        </is>
      </c>
      <c r="B194" s="1" t="n">
        <v>43860</v>
      </c>
      <c r="C194" s="1" t="n">
        <v>45830</v>
      </c>
      <c r="D194" t="inlineStr">
        <is>
          <t>SKÅNE LÄN</t>
        </is>
      </c>
      <c r="E194" t="inlineStr">
        <is>
          <t>HÄSSLEHOLM</t>
        </is>
      </c>
      <c r="G194" t="n">
        <v>3.7</v>
      </c>
      <c r="H194" t="n">
        <v>0</v>
      </c>
      <c r="I194" t="n">
        <v>0</v>
      </c>
      <c r="J194" t="n">
        <v>0</v>
      </c>
      <c r="K194" t="n">
        <v>0</v>
      </c>
      <c r="L194" t="n">
        <v>0</v>
      </c>
      <c r="M194" t="n">
        <v>0</v>
      </c>
      <c r="N194" t="n">
        <v>0</v>
      </c>
      <c r="O194" t="n">
        <v>0</v>
      </c>
      <c r="P194" t="n">
        <v>0</v>
      </c>
      <c r="Q194" t="n">
        <v>0</v>
      </c>
      <c r="R194" s="2" t="inlineStr"/>
    </row>
    <row r="195" ht="15" customHeight="1">
      <c r="A195" t="inlineStr">
        <is>
          <t>A 6417-2020</t>
        </is>
      </c>
      <c r="B195" s="1" t="n">
        <v>43866</v>
      </c>
      <c r="C195" s="1" t="n">
        <v>45830</v>
      </c>
      <c r="D195" t="inlineStr">
        <is>
          <t>SKÅNE LÄN</t>
        </is>
      </c>
      <c r="E195" t="inlineStr">
        <is>
          <t>HÄSSLEHOLM</t>
        </is>
      </c>
      <c r="G195" t="n">
        <v>2.5</v>
      </c>
      <c r="H195" t="n">
        <v>0</v>
      </c>
      <c r="I195" t="n">
        <v>0</v>
      </c>
      <c r="J195" t="n">
        <v>0</v>
      </c>
      <c r="K195" t="n">
        <v>0</v>
      </c>
      <c r="L195" t="n">
        <v>0</v>
      </c>
      <c r="M195" t="n">
        <v>0</v>
      </c>
      <c r="N195" t="n">
        <v>0</v>
      </c>
      <c r="O195" t="n">
        <v>0</v>
      </c>
      <c r="P195" t="n">
        <v>0</v>
      </c>
      <c r="Q195" t="n">
        <v>0</v>
      </c>
      <c r="R195" s="2" t="inlineStr"/>
    </row>
    <row r="196" ht="15" customHeight="1">
      <c r="A196" t="inlineStr">
        <is>
          <t>A 6595-2020</t>
        </is>
      </c>
      <c r="B196" s="1" t="n">
        <v>43867</v>
      </c>
      <c r="C196" s="1" t="n">
        <v>45830</v>
      </c>
      <c r="D196" t="inlineStr">
        <is>
          <t>SKÅNE LÄN</t>
        </is>
      </c>
      <c r="E196" t="inlineStr">
        <is>
          <t>HÄSSLEHOLM</t>
        </is>
      </c>
      <c r="G196" t="n">
        <v>3.5</v>
      </c>
      <c r="H196" t="n">
        <v>0</v>
      </c>
      <c r="I196" t="n">
        <v>0</v>
      </c>
      <c r="J196" t="n">
        <v>0</v>
      </c>
      <c r="K196" t="n">
        <v>0</v>
      </c>
      <c r="L196" t="n">
        <v>0</v>
      </c>
      <c r="M196" t="n">
        <v>0</v>
      </c>
      <c r="N196" t="n">
        <v>0</v>
      </c>
      <c r="O196" t="n">
        <v>0</v>
      </c>
      <c r="P196" t="n">
        <v>0</v>
      </c>
      <c r="Q196" t="n">
        <v>0</v>
      </c>
      <c r="R196" s="2" t="inlineStr"/>
    </row>
    <row r="197" ht="15" customHeight="1">
      <c r="A197" t="inlineStr">
        <is>
          <t>A 6842-2020</t>
        </is>
      </c>
      <c r="B197" s="1" t="n">
        <v>43867</v>
      </c>
      <c r="C197" s="1" t="n">
        <v>45830</v>
      </c>
      <c r="D197" t="inlineStr">
        <is>
          <t>SKÅNE LÄN</t>
        </is>
      </c>
      <c r="E197" t="inlineStr">
        <is>
          <t>HÄSSLEHOLM</t>
        </is>
      </c>
      <c r="G197" t="n">
        <v>6.1</v>
      </c>
      <c r="H197" t="n">
        <v>0</v>
      </c>
      <c r="I197" t="n">
        <v>0</v>
      </c>
      <c r="J197" t="n">
        <v>0</v>
      </c>
      <c r="K197" t="n">
        <v>0</v>
      </c>
      <c r="L197" t="n">
        <v>0</v>
      </c>
      <c r="M197" t="n">
        <v>0</v>
      </c>
      <c r="N197" t="n">
        <v>0</v>
      </c>
      <c r="O197" t="n">
        <v>0</v>
      </c>
      <c r="P197" t="n">
        <v>0</v>
      </c>
      <c r="Q197" t="n">
        <v>0</v>
      </c>
      <c r="R197" s="2" t="inlineStr"/>
    </row>
    <row r="198" ht="15" customHeight="1">
      <c r="A198" t="inlineStr">
        <is>
          <t>A 7195-2020</t>
        </is>
      </c>
      <c r="B198" s="1" t="n">
        <v>43871</v>
      </c>
      <c r="C198" s="1" t="n">
        <v>45830</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7393-2020</t>
        </is>
      </c>
      <c r="B199" s="1" t="n">
        <v>43871</v>
      </c>
      <c r="C199" s="1" t="n">
        <v>45830</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7196-2020</t>
        </is>
      </c>
      <c r="B200" s="1" t="n">
        <v>43871</v>
      </c>
      <c r="C200" s="1" t="n">
        <v>45830</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7394-2020</t>
        </is>
      </c>
      <c r="B201" s="1" t="n">
        <v>43871</v>
      </c>
      <c r="C201" s="1" t="n">
        <v>45830</v>
      </c>
      <c r="D201" t="inlineStr">
        <is>
          <t>SKÅNE LÄN</t>
        </is>
      </c>
      <c r="E201" t="inlineStr">
        <is>
          <t>HÄSSLEHOLM</t>
        </is>
      </c>
      <c r="G201" t="n">
        <v>2.6</v>
      </c>
      <c r="H201" t="n">
        <v>0</v>
      </c>
      <c r="I201" t="n">
        <v>0</v>
      </c>
      <c r="J201" t="n">
        <v>0</v>
      </c>
      <c r="K201" t="n">
        <v>0</v>
      </c>
      <c r="L201" t="n">
        <v>0</v>
      </c>
      <c r="M201" t="n">
        <v>0</v>
      </c>
      <c r="N201" t="n">
        <v>0</v>
      </c>
      <c r="O201" t="n">
        <v>0</v>
      </c>
      <c r="P201" t="n">
        <v>0</v>
      </c>
      <c r="Q201" t="n">
        <v>0</v>
      </c>
      <c r="R201" s="2" t="inlineStr"/>
    </row>
    <row r="202" ht="15" customHeight="1">
      <c r="A202" t="inlineStr">
        <is>
          <t>A 7737-2020</t>
        </is>
      </c>
      <c r="B202" s="1" t="n">
        <v>43872</v>
      </c>
      <c r="C202" s="1" t="n">
        <v>45830</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7738-2020</t>
        </is>
      </c>
      <c r="B203" s="1" t="n">
        <v>43872</v>
      </c>
      <c r="C203" s="1" t="n">
        <v>45830</v>
      </c>
      <c r="D203" t="inlineStr">
        <is>
          <t>SKÅNE LÄN</t>
        </is>
      </c>
      <c r="E203" t="inlineStr">
        <is>
          <t>HÄSSLEHOLM</t>
        </is>
      </c>
      <c r="G203" t="n">
        <v>1.6</v>
      </c>
      <c r="H203" t="n">
        <v>0</v>
      </c>
      <c r="I203" t="n">
        <v>0</v>
      </c>
      <c r="J203" t="n">
        <v>0</v>
      </c>
      <c r="K203" t="n">
        <v>0</v>
      </c>
      <c r="L203" t="n">
        <v>0</v>
      </c>
      <c r="M203" t="n">
        <v>0</v>
      </c>
      <c r="N203" t="n">
        <v>0</v>
      </c>
      <c r="O203" t="n">
        <v>0</v>
      </c>
      <c r="P203" t="n">
        <v>0</v>
      </c>
      <c r="Q203" t="n">
        <v>0</v>
      </c>
      <c r="R203" s="2" t="inlineStr"/>
    </row>
    <row r="204" ht="15" customHeight="1">
      <c r="A204" t="inlineStr">
        <is>
          <t>A 8199-2020</t>
        </is>
      </c>
      <c r="B204" s="1" t="n">
        <v>43874</v>
      </c>
      <c r="C204" s="1" t="n">
        <v>45830</v>
      </c>
      <c r="D204" t="inlineStr">
        <is>
          <t>SKÅNE LÄN</t>
        </is>
      </c>
      <c r="E204" t="inlineStr">
        <is>
          <t>HÄSSLEHOLM</t>
        </is>
      </c>
      <c r="F204" t="inlineStr">
        <is>
          <t>Kyrkan</t>
        </is>
      </c>
      <c r="G204" t="n">
        <v>5.6</v>
      </c>
      <c r="H204" t="n">
        <v>0</v>
      </c>
      <c r="I204" t="n">
        <v>0</v>
      </c>
      <c r="J204" t="n">
        <v>0</v>
      </c>
      <c r="K204" t="n">
        <v>0</v>
      </c>
      <c r="L204" t="n">
        <v>0</v>
      </c>
      <c r="M204" t="n">
        <v>0</v>
      </c>
      <c r="N204" t="n">
        <v>0</v>
      </c>
      <c r="O204" t="n">
        <v>0</v>
      </c>
      <c r="P204" t="n">
        <v>0</v>
      </c>
      <c r="Q204" t="n">
        <v>0</v>
      </c>
      <c r="R204" s="2" t="inlineStr"/>
    </row>
    <row r="205" ht="15" customHeight="1">
      <c r="A205" t="inlineStr">
        <is>
          <t>A 8651-2020</t>
        </is>
      </c>
      <c r="B205" s="1" t="n">
        <v>43878</v>
      </c>
      <c r="C205" s="1" t="n">
        <v>45830</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8842-2020</t>
        </is>
      </c>
      <c r="B206" s="1" t="n">
        <v>43878</v>
      </c>
      <c r="C206" s="1" t="n">
        <v>45830</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8840-2020</t>
        </is>
      </c>
      <c r="B207" s="1" t="n">
        <v>43878</v>
      </c>
      <c r="C207" s="1" t="n">
        <v>45830</v>
      </c>
      <c r="D207" t="inlineStr">
        <is>
          <t>SKÅNE LÄN</t>
        </is>
      </c>
      <c r="E207" t="inlineStr">
        <is>
          <t>HÄSSLEHOLM</t>
        </is>
      </c>
      <c r="G207" t="n">
        <v>3.3</v>
      </c>
      <c r="H207" t="n">
        <v>0</v>
      </c>
      <c r="I207" t="n">
        <v>0</v>
      </c>
      <c r="J207" t="n">
        <v>0</v>
      </c>
      <c r="K207" t="n">
        <v>0</v>
      </c>
      <c r="L207" t="n">
        <v>0</v>
      </c>
      <c r="M207" t="n">
        <v>0</v>
      </c>
      <c r="N207" t="n">
        <v>0</v>
      </c>
      <c r="O207" t="n">
        <v>0</v>
      </c>
      <c r="P207" t="n">
        <v>0</v>
      </c>
      <c r="Q207" t="n">
        <v>0</v>
      </c>
      <c r="R207" s="2" t="inlineStr"/>
    </row>
    <row r="208" ht="15" customHeight="1">
      <c r="A208" t="inlineStr">
        <is>
          <t>A 9428-2020</t>
        </is>
      </c>
      <c r="B208" s="1" t="n">
        <v>43880</v>
      </c>
      <c r="C208" s="1" t="n">
        <v>45830</v>
      </c>
      <c r="D208" t="inlineStr">
        <is>
          <t>SKÅNE LÄN</t>
        </is>
      </c>
      <c r="E208" t="inlineStr">
        <is>
          <t>HÄSSLEHOLM</t>
        </is>
      </c>
      <c r="G208" t="n">
        <v>0.8</v>
      </c>
      <c r="H208" t="n">
        <v>0</v>
      </c>
      <c r="I208" t="n">
        <v>0</v>
      </c>
      <c r="J208" t="n">
        <v>0</v>
      </c>
      <c r="K208" t="n">
        <v>0</v>
      </c>
      <c r="L208" t="n">
        <v>0</v>
      </c>
      <c r="M208" t="n">
        <v>0</v>
      </c>
      <c r="N208" t="n">
        <v>0</v>
      </c>
      <c r="O208" t="n">
        <v>0</v>
      </c>
      <c r="P208" t="n">
        <v>0</v>
      </c>
      <c r="Q208" t="n">
        <v>0</v>
      </c>
      <c r="R208" s="2" t="inlineStr"/>
    </row>
    <row r="209" ht="15" customHeight="1">
      <c r="A209" t="inlineStr">
        <is>
          <t>A 9661-2020</t>
        </is>
      </c>
      <c r="B209" s="1" t="n">
        <v>43881</v>
      </c>
      <c r="C209" s="1" t="n">
        <v>45830</v>
      </c>
      <c r="D209" t="inlineStr">
        <is>
          <t>SKÅNE LÄN</t>
        </is>
      </c>
      <c r="E209" t="inlineStr">
        <is>
          <t>HÄSSLEHOLM</t>
        </is>
      </c>
      <c r="G209" t="n">
        <v>1.2</v>
      </c>
      <c r="H209" t="n">
        <v>0</v>
      </c>
      <c r="I209" t="n">
        <v>0</v>
      </c>
      <c r="J209" t="n">
        <v>0</v>
      </c>
      <c r="K209" t="n">
        <v>0</v>
      </c>
      <c r="L209" t="n">
        <v>0</v>
      </c>
      <c r="M209" t="n">
        <v>0</v>
      </c>
      <c r="N209" t="n">
        <v>0</v>
      </c>
      <c r="O209" t="n">
        <v>0</v>
      </c>
      <c r="P209" t="n">
        <v>0</v>
      </c>
      <c r="Q209" t="n">
        <v>0</v>
      </c>
      <c r="R209" s="2" t="inlineStr"/>
    </row>
    <row r="210" ht="15" customHeight="1">
      <c r="A210" t="inlineStr">
        <is>
          <t>A 9890-2020</t>
        </is>
      </c>
      <c r="B210" s="1" t="n">
        <v>43882</v>
      </c>
      <c r="C210" s="1" t="n">
        <v>45830</v>
      </c>
      <c r="D210" t="inlineStr">
        <is>
          <t>SKÅNE LÄN</t>
        </is>
      </c>
      <c r="E210" t="inlineStr">
        <is>
          <t>HÄSSLEHOLM</t>
        </is>
      </c>
      <c r="G210" t="n">
        <v>3.2</v>
      </c>
      <c r="H210" t="n">
        <v>0</v>
      </c>
      <c r="I210" t="n">
        <v>0</v>
      </c>
      <c r="J210" t="n">
        <v>0</v>
      </c>
      <c r="K210" t="n">
        <v>0</v>
      </c>
      <c r="L210" t="n">
        <v>0</v>
      </c>
      <c r="M210" t="n">
        <v>0</v>
      </c>
      <c r="N210" t="n">
        <v>0</v>
      </c>
      <c r="O210" t="n">
        <v>0</v>
      </c>
      <c r="P210" t="n">
        <v>0</v>
      </c>
      <c r="Q210" t="n">
        <v>0</v>
      </c>
      <c r="R210" s="2" t="inlineStr"/>
    </row>
    <row r="211" ht="15" customHeight="1">
      <c r="A211" t="inlineStr">
        <is>
          <t>A 9885-2020</t>
        </is>
      </c>
      <c r="B211" s="1" t="n">
        <v>43882</v>
      </c>
      <c r="C211" s="1" t="n">
        <v>45830</v>
      </c>
      <c r="D211" t="inlineStr">
        <is>
          <t>SKÅNE LÄN</t>
        </is>
      </c>
      <c r="E211" t="inlineStr">
        <is>
          <t>HÄSSLEHOLM</t>
        </is>
      </c>
      <c r="G211" t="n">
        <v>6.1</v>
      </c>
      <c r="H211" t="n">
        <v>0</v>
      </c>
      <c r="I211" t="n">
        <v>0</v>
      </c>
      <c r="J211" t="n">
        <v>0</v>
      </c>
      <c r="K211" t="n">
        <v>0</v>
      </c>
      <c r="L211" t="n">
        <v>0</v>
      </c>
      <c r="M211" t="n">
        <v>0</v>
      </c>
      <c r="N211" t="n">
        <v>0</v>
      </c>
      <c r="O211" t="n">
        <v>0</v>
      </c>
      <c r="P211" t="n">
        <v>0</v>
      </c>
      <c r="Q211" t="n">
        <v>0</v>
      </c>
      <c r="R211" s="2" t="inlineStr"/>
    </row>
    <row r="212" ht="15" customHeight="1">
      <c r="A212" t="inlineStr">
        <is>
          <t>A 10263-2020</t>
        </is>
      </c>
      <c r="B212" s="1" t="n">
        <v>43885</v>
      </c>
      <c r="C212" s="1" t="n">
        <v>45830</v>
      </c>
      <c r="D212" t="inlineStr">
        <is>
          <t>SKÅNE LÄN</t>
        </is>
      </c>
      <c r="E212" t="inlineStr">
        <is>
          <t>HÄSSLEHOLM</t>
        </is>
      </c>
      <c r="G212" t="n">
        <v>1</v>
      </c>
      <c r="H212" t="n">
        <v>0</v>
      </c>
      <c r="I212" t="n">
        <v>0</v>
      </c>
      <c r="J212" t="n">
        <v>0</v>
      </c>
      <c r="K212" t="n">
        <v>0</v>
      </c>
      <c r="L212" t="n">
        <v>0</v>
      </c>
      <c r="M212" t="n">
        <v>0</v>
      </c>
      <c r="N212" t="n">
        <v>0</v>
      </c>
      <c r="O212" t="n">
        <v>0</v>
      </c>
      <c r="P212" t="n">
        <v>0</v>
      </c>
      <c r="Q212" t="n">
        <v>0</v>
      </c>
      <c r="R212" s="2" t="inlineStr"/>
    </row>
    <row r="213" ht="15" customHeight="1">
      <c r="A213" t="inlineStr">
        <is>
          <t>A 10512-2020</t>
        </is>
      </c>
      <c r="B213" s="1" t="n">
        <v>43886</v>
      </c>
      <c r="C213" s="1" t="n">
        <v>45830</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10956-2020</t>
        </is>
      </c>
      <c r="B214" s="1" t="n">
        <v>43889</v>
      </c>
      <c r="C214" s="1" t="n">
        <v>45830</v>
      </c>
      <c r="D214" t="inlineStr">
        <is>
          <t>SKÅNE LÄN</t>
        </is>
      </c>
      <c r="E214" t="inlineStr">
        <is>
          <t>HÄSSLEHOLM</t>
        </is>
      </c>
      <c r="G214" t="n">
        <v>1.7</v>
      </c>
      <c r="H214" t="n">
        <v>0</v>
      </c>
      <c r="I214" t="n">
        <v>0</v>
      </c>
      <c r="J214" t="n">
        <v>0</v>
      </c>
      <c r="K214" t="n">
        <v>0</v>
      </c>
      <c r="L214" t="n">
        <v>0</v>
      </c>
      <c r="M214" t="n">
        <v>0</v>
      </c>
      <c r="N214" t="n">
        <v>0</v>
      </c>
      <c r="O214" t="n">
        <v>0</v>
      </c>
      <c r="P214" t="n">
        <v>0</v>
      </c>
      <c r="Q214" t="n">
        <v>0</v>
      </c>
      <c r="R214" s="2" t="inlineStr"/>
    </row>
    <row r="215" ht="15" customHeight="1">
      <c r="A215" t="inlineStr">
        <is>
          <t>A 11883-2020</t>
        </is>
      </c>
      <c r="B215" s="1" t="n">
        <v>43894</v>
      </c>
      <c r="C215" s="1" t="n">
        <v>45830</v>
      </c>
      <c r="D215" t="inlineStr">
        <is>
          <t>SKÅNE LÄN</t>
        </is>
      </c>
      <c r="E215" t="inlineStr">
        <is>
          <t>HÄSSLEHOLM</t>
        </is>
      </c>
      <c r="G215" t="n">
        <v>0.7</v>
      </c>
      <c r="H215" t="n">
        <v>0</v>
      </c>
      <c r="I215" t="n">
        <v>0</v>
      </c>
      <c r="J215" t="n">
        <v>0</v>
      </c>
      <c r="K215" t="n">
        <v>0</v>
      </c>
      <c r="L215" t="n">
        <v>0</v>
      </c>
      <c r="M215" t="n">
        <v>0</v>
      </c>
      <c r="N215" t="n">
        <v>0</v>
      </c>
      <c r="O215" t="n">
        <v>0</v>
      </c>
      <c r="P215" t="n">
        <v>0</v>
      </c>
      <c r="Q215" t="n">
        <v>0</v>
      </c>
      <c r="R215" s="2" t="inlineStr"/>
    </row>
    <row r="216" ht="15" customHeight="1">
      <c r="A216" t="inlineStr">
        <is>
          <t>A 11884-2020</t>
        </is>
      </c>
      <c r="B216" s="1" t="n">
        <v>43894</v>
      </c>
      <c r="C216" s="1" t="n">
        <v>45830</v>
      </c>
      <c r="D216" t="inlineStr">
        <is>
          <t>SKÅNE LÄN</t>
        </is>
      </c>
      <c r="E216" t="inlineStr">
        <is>
          <t>HÄSSLEHOLM</t>
        </is>
      </c>
      <c r="G216" t="n">
        <v>0.4</v>
      </c>
      <c r="H216" t="n">
        <v>0</v>
      </c>
      <c r="I216" t="n">
        <v>0</v>
      </c>
      <c r="J216" t="n">
        <v>0</v>
      </c>
      <c r="K216" t="n">
        <v>0</v>
      </c>
      <c r="L216" t="n">
        <v>0</v>
      </c>
      <c r="M216" t="n">
        <v>0</v>
      </c>
      <c r="N216" t="n">
        <v>0</v>
      </c>
      <c r="O216" t="n">
        <v>0</v>
      </c>
      <c r="P216" t="n">
        <v>0</v>
      </c>
      <c r="Q216" t="n">
        <v>0</v>
      </c>
      <c r="R216" s="2" t="inlineStr"/>
    </row>
    <row r="217" ht="15" customHeight="1">
      <c r="A217" t="inlineStr">
        <is>
          <t>A 11925-2020</t>
        </is>
      </c>
      <c r="B217" s="1" t="n">
        <v>43894</v>
      </c>
      <c r="C217" s="1" t="n">
        <v>45830</v>
      </c>
      <c r="D217" t="inlineStr">
        <is>
          <t>SKÅNE LÄN</t>
        </is>
      </c>
      <c r="E217" t="inlineStr">
        <is>
          <t>HÄSSLEHOLM</t>
        </is>
      </c>
      <c r="G217" t="n">
        <v>0.9</v>
      </c>
      <c r="H217" t="n">
        <v>0</v>
      </c>
      <c r="I217" t="n">
        <v>0</v>
      </c>
      <c r="J217" t="n">
        <v>0</v>
      </c>
      <c r="K217" t="n">
        <v>0</v>
      </c>
      <c r="L217" t="n">
        <v>0</v>
      </c>
      <c r="M217" t="n">
        <v>0</v>
      </c>
      <c r="N217" t="n">
        <v>0</v>
      </c>
      <c r="O217" t="n">
        <v>0</v>
      </c>
      <c r="P217" t="n">
        <v>0</v>
      </c>
      <c r="Q217" t="n">
        <v>0</v>
      </c>
      <c r="R217" s="2" t="inlineStr"/>
    </row>
    <row r="218" ht="15" customHeight="1">
      <c r="A218" t="inlineStr">
        <is>
          <t>A 11994-2020</t>
        </is>
      </c>
      <c r="B218" s="1" t="n">
        <v>43894</v>
      </c>
      <c r="C218" s="1" t="n">
        <v>45830</v>
      </c>
      <c r="D218" t="inlineStr">
        <is>
          <t>SKÅNE LÄN</t>
        </is>
      </c>
      <c r="E218" t="inlineStr">
        <is>
          <t>HÄSSLEHOLM</t>
        </is>
      </c>
      <c r="G218" t="n">
        <v>1.1</v>
      </c>
      <c r="H218" t="n">
        <v>0</v>
      </c>
      <c r="I218" t="n">
        <v>0</v>
      </c>
      <c r="J218" t="n">
        <v>0</v>
      </c>
      <c r="K218" t="n">
        <v>0</v>
      </c>
      <c r="L218" t="n">
        <v>0</v>
      </c>
      <c r="M218" t="n">
        <v>0</v>
      </c>
      <c r="N218" t="n">
        <v>0</v>
      </c>
      <c r="O218" t="n">
        <v>0</v>
      </c>
      <c r="P218" t="n">
        <v>0</v>
      </c>
      <c r="Q218" t="n">
        <v>0</v>
      </c>
      <c r="R218" s="2" t="inlineStr"/>
    </row>
    <row r="219" ht="15" customHeight="1">
      <c r="A219" t="inlineStr">
        <is>
          <t>A 13486-2020</t>
        </is>
      </c>
      <c r="B219" s="1" t="n">
        <v>43894</v>
      </c>
      <c r="C219" s="1" t="n">
        <v>45830</v>
      </c>
      <c r="D219" t="inlineStr">
        <is>
          <t>SKÅNE LÄN</t>
        </is>
      </c>
      <c r="E219" t="inlineStr">
        <is>
          <t>HÄSSLEHOLM</t>
        </is>
      </c>
      <c r="G219" t="n">
        <v>1.9</v>
      </c>
      <c r="H219" t="n">
        <v>0</v>
      </c>
      <c r="I219" t="n">
        <v>0</v>
      </c>
      <c r="J219" t="n">
        <v>0</v>
      </c>
      <c r="K219" t="n">
        <v>0</v>
      </c>
      <c r="L219" t="n">
        <v>0</v>
      </c>
      <c r="M219" t="n">
        <v>0</v>
      </c>
      <c r="N219" t="n">
        <v>0</v>
      </c>
      <c r="O219" t="n">
        <v>0</v>
      </c>
      <c r="P219" t="n">
        <v>0</v>
      </c>
      <c r="Q219" t="n">
        <v>0</v>
      </c>
      <c r="R219" s="2" t="inlineStr"/>
    </row>
    <row r="220" ht="15" customHeight="1">
      <c r="A220" t="inlineStr">
        <is>
          <t>A 12752-2020</t>
        </is>
      </c>
      <c r="B220" s="1" t="n">
        <v>43899</v>
      </c>
      <c r="C220" s="1" t="n">
        <v>45830</v>
      </c>
      <c r="D220" t="inlineStr">
        <is>
          <t>SKÅNE LÄN</t>
        </is>
      </c>
      <c r="E220" t="inlineStr">
        <is>
          <t>HÄSSLEHOLM</t>
        </is>
      </c>
      <c r="G220" t="n">
        <v>1.5</v>
      </c>
      <c r="H220" t="n">
        <v>0</v>
      </c>
      <c r="I220" t="n">
        <v>0</v>
      </c>
      <c r="J220" t="n">
        <v>0</v>
      </c>
      <c r="K220" t="n">
        <v>0</v>
      </c>
      <c r="L220" t="n">
        <v>0</v>
      </c>
      <c r="M220" t="n">
        <v>0</v>
      </c>
      <c r="N220" t="n">
        <v>0</v>
      </c>
      <c r="O220" t="n">
        <v>0</v>
      </c>
      <c r="P220" t="n">
        <v>0</v>
      </c>
      <c r="Q220" t="n">
        <v>0</v>
      </c>
      <c r="R220" s="2" t="inlineStr"/>
    </row>
    <row r="221" ht="15" customHeight="1">
      <c r="A221" t="inlineStr">
        <is>
          <t>A 12756-2020</t>
        </is>
      </c>
      <c r="B221" s="1" t="n">
        <v>43899</v>
      </c>
      <c r="C221" s="1" t="n">
        <v>45830</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12749-2020</t>
        </is>
      </c>
      <c r="B222" s="1" t="n">
        <v>43899</v>
      </c>
      <c r="C222" s="1" t="n">
        <v>45830</v>
      </c>
      <c r="D222" t="inlineStr">
        <is>
          <t>SKÅNE LÄN</t>
        </is>
      </c>
      <c r="E222" t="inlineStr">
        <is>
          <t>HÄSSLEHOLM</t>
        </is>
      </c>
      <c r="G222" t="n">
        <v>1</v>
      </c>
      <c r="H222" t="n">
        <v>0</v>
      </c>
      <c r="I222" t="n">
        <v>0</v>
      </c>
      <c r="J222" t="n">
        <v>0</v>
      </c>
      <c r="K222" t="n">
        <v>0</v>
      </c>
      <c r="L222" t="n">
        <v>0</v>
      </c>
      <c r="M222" t="n">
        <v>0</v>
      </c>
      <c r="N222" t="n">
        <v>0</v>
      </c>
      <c r="O222" t="n">
        <v>0</v>
      </c>
      <c r="P222" t="n">
        <v>0</v>
      </c>
      <c r="Q222" t="n">
        <v>0</v>
      </c>
      <c r="R222" s="2" t="inlineStr"/>
    </row>
    <row r="223" ht="15" customHeight="1">
      <c r="A223" t="inlineStr">
        <is>
          <t>A 13976-2020</t>
        </is>
      </c>
      <c r="B223" s="1" t="n">
        <v>43899</v>
      </c>
      <c r="C223" s="1" t="n">
        <v>45830</v>
      </c>
      <c r="D223" t="inlineStr">
        <is>
          <t>SKÅNE LÄN</t>
        </is>
      </c>
      <c r="E223" t="inlineStr">
        <is>
          <t>HÄSSLEHOLM</t>
        </is>
      </c>
      <c r="G223" t="n">
        <v>1.8</v>
      </c>
      <c r="H223" t="n">
        <v>0</v>
      </c>
      <c r="I223" t="n">
        <v>0</v>
      </c>
      <c r="J223" t="n">
        <v>0</v>
      </c>
      <c r="K223" t="n">
        <v>0</v>
      </c>
      <c r="L223" t="n">
        <v>0</v>
      </c>
      <c r="M223" t="n">
        <v>0</v>
      </c>
      <c r="N223" t="n">
        <v>0</v>
      </c>
      <c r="O223" t="n">
        <v>0</v>
      </c>
      <c r="P223" t="n">
        <v>0</v>
      </c>
      <c r="Q223" t="n">
        <v>0</v>
      </c>
      <c r="R223" s="2" t="inlineStr"/>
    </row>
    <row r="224" ht="15" customHeight="1">
      <c r="A224" t="inlineStr">
        <is>
          <t>A 13896-2020</t>
        </is>
      </c>
      <c r="B224" s="1" t="n">
        <v>43906</v>
      </c>
      <c r="C224" s="1" t="n">
        <v>45830</v>
      </c>
      <c r="D224" t="inlineStr">
        <is>
          <t>SKÅNE LÄN</t>
        </is>
      </c>
      <c r="E224" t="inlineStr">
        <is>
          <t>HÄSSLEHOLM</t>
        </is>
      </c>
      <c r="G224" t="n">
        <v>2.2</v>
      </c>
      <c r="H224" t="n">
        <v>0</v>
      </c>
      <c r="I224" t="n">
        <v>0</v>
      </c>
      <c r="J224" t="n">
        <v>0</v>
      </c>
      <c r="K224" t="n">
        <v>0</v>
      </c>
      <c r="L224" t="n">
        <v>0</v>
      </c>
      <c r="M224" t="n">
        <v>0</v>
      </c>
      <c r="N224" t="n">
        <v>0</v>
      </c>
      <c r="O224" t="n">
        <v>0</v>
      </c>
      <c r="P224" t="n">
        <v>0</v>
      </c>
      <c r="Q224" t="n">
        <v>0</v>
      </c>
      <c r="R224" s="2" t="inlineStr"/>
    </row>
    <row r="225" ht="15" customHeight="1">
      <c r="A225" t="inlineStr">
        <is>
          <t>A 14040-2020</t>
        </is>
      </c>
      <c r="B225" s="1" t="n">
        <v>43906</v>
      </c>
      <c r="C225" s="1" t="n">
        <v>45830</v>
      </c>
      <c r="D225" t="inlineStr">
        <is>
          <t>SKÅNE LÄN</t>
        </is>
      </c>
      <c r="E225" t="inlineStr">
        <is>
          <t>HÄSSLEHOLM</t>
        </is>
      </c>
      <c r="G225" t="n">
        <v>4.1</v>
      </c>
      <c r="H225" t="n">
        <v>0</v>
      </c>
      <c r="I225" t="n">
        <v>0</v>
      </c>
      <c r="J225" t="n">
        <v>0</v>
      </c>
      <c r="K225" t="n">
        <v>0</v>
      </c>
      <c r="L225" t="n">
        <v>0</v>
      </c>
      <c r="M225" t="n">
        <v>0</v>
      </c>
      <c r="N225" t="n">
        <v>0</v>
      </c>
      <c r="O225" t="n">
        <v>0</v>
      </c>
      <c r="P225" t="n">
        <v>0</v>
      </c>
      <c r="Q225" t="n">
        <v>0</v>
      </c>
      <c r="R225" s="2" t="inlineStr"/>
    </row>
    <row r="226" ht="15" customHeight="1">
      <c r="A226" t="inlineStr">
        <is>
          <t>A 15860-2020</t>
        </is>
      </c>
      <c r="B226" s="1" t="n">
        <v>43910</v>
      </c>
      <c r="C226" s="1" t="n">
        <v>45830</v>
      </c>
      <c r="D226" t="inlineStr">
        <is>
          <t>SKÅNE LÄN</t>
        </is>
      </c>
      <c r="E226" t="inlineStr">
        <is>
          <t>HÄSSLEHOLM</t>
        </is>
      </c>
      <c r="G226" t="n">
        <v>5.2</v>
      </c>
      <c r="H226" t="n">
        <v>0</v>
      </c>
      <c r="I226" t="n">
        <v>0</v>
      </c>
      <c r="J226" t="n">
        <v>0</v>
      </c>
      <c r="K226" t="n">
        <v>0</v>
      </c>
      <c r="L226" t="n">
        <v>0</v>
      </c>
      <c r="M226" t="n">
        <v>0</v>
      </c>
      <c r="N226" t="n">
        <v>0</v>
      </c>
      <c r="O226" t="n">
        <v>0</v>
      </c>
      <c r="P226" t="n">
        <v>0</v>
      </c>
      <c r="Q226" t="n">
        <v>0</v>
      </c>
      <c r="R226" s="2" t="inlineStr"/>
    </row>
    <row r="227" ht="15" customHeight="1">
      <c r="A227" t="inlineStr">
        <is>
          <t>A 15678-2020</t>
        </is>
      </c>
      <c r="B227" s="1" t="n">
        <v>43915</v>
      </c>
      <c r="C227" s="1" t="n">
        <v>45830</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17421-2020</t>
        </is>
      </c>
      <c r="B228" s="1" t="n">
        <v>43917</v>
      </c>
      <c r="C228" s="1" t="n">
        <v>45830</v>
      </c>
      <c r="D228" t="inlineStr">
        <is>
          <t>SKÅNE LÄN</t>
        </is>
      </c>
      <c r="E228" t="inlineStr">
        <is>
          <t>HÄSSLEHOLM</t>
        </is>
      </c>
      <c r="G228" t="n">
        <v>1.7</v>
      </c>
      <c r="H228" t="n">
        <v>0</v>
      </c>
      <c r="I228" t="n">
        <v>0</v>
      </c>
      <c r="J228" t="n">
        <v>0</v>
      </c>
      <c r="K228" t="n">
        <v>0</v>
      </c>
      <c r="L228" t="n">
        <v>0</v>
      </c>
      <c r="M228" t="n">
        <v>0</v>
      </c>
      <c r="N228" t="n">
        <v>0</v>
      </c>
      <c r="O228" t="n">
        <v>0</v>
      </c>
      <c r="P228" t="n">
        <v>0</v>
      </c>
      <c r="Q228" t="n">
        <v>0</v>
      </c>
      <c r="R228" s="2" t="inlineStr"/>
    </row>
    <row r="229" ht="15" customHeight="1">
      <c r="A229" t="inlineStr">
        <is>
          <t>A 17348-2020</t>
        </is>
      </c>
      <c r="B229" s="1" t="n">
        <v>43923</v>
      </c>
      <c r="C229" s="1" t="n">
        <v>45830</v>
      </c>
      <c r="D229" t="inlineStr">
        <is>
          <t>SKÅNE LÄN</t>
        </is>
      </c>
      <c r="E229" t="inlineStr">
        <is>
          <t>HÄSSLEHOLM</t>
        </is>
      </c>
      <c r="G229" t="n">
        <v>2.7</v>
      </c>
      <c r="H229" t="n">
        <v>0</v>
      </c>
      <c r="I229" t="n">
        <v>0</v>
      </c>
      <c r="J229" t="n">
        <v>0</v>
      </c>
      <c r="K229" t="n">
        <v>0</v>
      </c>
      <c r="L229" t="n">
        <v>0</v>
      </c>
      <c r="M229" t="n">
        <v>0</v>
      </c>
      <c r="N229" t="n">
        <v>0</v>
      </c>
      <c r="O229" t="n">
        <v>0</v>
      </c>
      <c r="P229" t="n">
        <v>0</v>
      </c>
      <c r="Q229" t="n">
        <v>0</v>
      </c>
      <c r="R229" s="2" t="inlineStr"/>
    </row>
    <row r="230" ht="15" customHeight="1">
      <c r="A230" t="inlineStr">
        <is>
          <t>A 18406-2020</t>
        </is>
      </c>
      <c r="B230" s="1" t="n">
        <v>43928</v>
      </c>
      <c r="C230" s="1" t="n">
        <v>45830</v>
      </c>
      <c r="D230" t="inlineStr">
        <is>
          <t>SKÅNE LÄN</t>
        </is>
      </c>
      <c r="E230" t="inlineStr">
        <is>
          <t>HÄSSLEHOLM</t>
        </is>
      </c>
      <c r="G230" t="n">
        <v>1.3</v>
      </c>
      <c r="H230" t="n">
        <v>0</v>
      </c>
      <c r="I230" t="n">
        <v>0</v>
      </c>
      <c r="J230" t="n">
        <v>0</v>
      </c>
      <c r="K230" t="n">
        <v>0</v>
      </c>
      <c r="L230" t="n">
        <v>0</v>
      </c>
      <c r="M230" t="n">
        <v>0</v>
      </c>
      <c r="N230" t="n">
        <v>0</v>
      </c>
      <c r="O230" t="n">
        <v>0</v>
      </c>
      <c r="P230" t="n">
        <v>0</v>
      </c>
      <c r="Q230" t="n">
        <v>0</v>
      </c>
      <c r="R230" s="2" t="inlineStr"/>
    </row>
    <row r="231" ht="15" customHeight="1">
      <c r="A231" t="inlineStr">
        <is>
          <t>A 18658-2020</t>
        </is>
      </c>
      <c r="B231" s="1" t="n">
        <v>43930</v>
      </c>
      <c r="C231" s="1" t="n">
        <v>45830</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18846-2020</t>
        </is>
      </c>
      <c r="B232" s="1" t="n">
        <v>43935</v>
      </c>
      <c r="C232" s="1" t="n">
        <v>45830</v>
      </c>
      <c r="D232" t="inlineStr">
        <is>
          <t>SKÅNE LÄN</t>
        </is>
      </c>
      <c r="E232" t="inlineStr">
        <is>
          <t>HÄSSLEHOLM</t>
        </is>
      </c>
      <c r="F232" t="inlineStr">
        <is>
          <t>Övriga Aktiebolag</t>
        </is>
      </c>
      <c r="G232" t="n">
        <v>2.3</v>
      </c>
      <c r="H232" t="n">
        <v>0</v>
      </c>
      <c r="I232" t="n">
        <v>0</v>
      </c>
      <c r="J232" t="n">
        <v>0</v>
      </c>
      <c r="K232" t="n">
        <v>0</v>
      </c>
      <c r="L232" t="n">
        <v>0</v>
      </c>
      <c r="M232" t="n">
        <v>0</v>
      </c>
      <c r="N232" t="n">
        <v>0</v>
      </c>
      <c r="O232" t="n">
        <v>0</v>
      </c>
      <c r="P232" t="n">
        <v>0</v>
      </c>
      <c r="Q232" t="n">
        <v>0</v>
      </c>
      <c r="R232" s="2" t="inlineStr"/>
    </row>
    <row r="233" ht="15" customHeight="1">
      <c r="A233" t="inlineStr">
        <is>
          <t>A 20799-2020</t>
        </is>
      </c>
      <c r="B233" s="1" t="n">
        <v>43949</v>
      </c>
      <c r="C233" s="1" t="n">
        <v>45830</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20967-2020</t>
        </is>
      </c>
      <c r="B234" s="1" t="n">
        <v>43950</v>
      </c>
      <c r="C234" s="1" t="n">
        <v>45830</v>
      </c>
      <c r="D234" t="inlineStr">
        <is>
          <t>SKÅNE LÄN</t>
        </is>
      </c>
      <c r="E234" t="inlineStr">
        <is>
          <t>HÄSSLEHOLM</t>
        </is>
      </c>
      <c r="F234" t="inlineStr">
        <is>
          <t>Övriga Aktiebolag</t>
        </is>
      </c>
      <c r="G234" t="n">
        <v>7.9</v>
      </c>
      <c r="H234" t="n">
        <v>0</v>
      </c>
      <c r="I234" t="n">
        <v>0</v>
      </c>
      <c r="J234" t="n">
        <v>0</v>
      </c>
      <c r="K234" t="n">
        <v>0</v>
      </c>
      <c r="L234" t="n">
        <v>0</v>
      </c>
      <c r="M234" t="n">
        <v>0</v>
      </c>
      <c r="N234" t="n">
        <v>0</v>
      </c>
      <c r="O234" t="n">
        <v>0</v>
      </c>
      <c r="P234" t="n">
        <v>0</v>
      </c>
      <c r="Q234" t="n">
        <v>0</v>
      </c>
      <c r="R234" s="2" t="inlineStr"/>
    </row>
    <row r="235" ht="15" customHeight="1">
      <c r="A235" t="inlineStr">
        <is>
          <t>A 20977-2020</t>
        </is>
      </c>
      <c r="B235" s="1" t="n">
        <v>43950</v>
      </c>
      <c r="C235" s="1" t="n">
        <v>45830</v>
      </c>
      <c r="D235" t="inlineStr">
        <is>
          <t>SKÅNE LÄN</t>
        </is>
      </c>
      <c r="E235" t="inlineStr">
        <is>
          <t>HÄSSLEHOLM</t>
        </is>
      </c>
      <c r="F235" t="inlineStr">
        <is>
          <t>Övriga Aktiebolag</t>
        </is>
      </c>
      <c r="G235" t="n">
        <v>2.2</v>
      </c>
      <c r="H235" t="n">
        <v>0</v>
      </c>
      <c r="I235" t="n">
        <v>0</v>
      </c>
      <c r="J235" t="n">
        <v>0</v>
      </c>
      <c r="K235" t="n">
        <v>0</v>
      </c>
      <c r="L235" t="n">
        <v>0</v>
      </c>
      <c r="M235" t="n">
        <v>0</v>
      </c>
      <c r="N235" t="n">
        <v>0</v>
      </c>
      <c r="O235" t="n">
        <v>0</v>
      </c>
      <c r="P235" t="n">
        <v>0</v>
      </c>
      <c r="Q235" t="n">
        <v>0</v>
      </c>
      <c r="R235" s="2" t="inlineStr"/>
    </row>
    <row r="236" ht="15" customHeight="1">
      <c r="A236" t="inlineStr">
        <is>
          <t>A 20993-2020</t>
        </is>
      </c>
      <c r="B236" s="1" t="n">
        <v>43950</v>
      </c>
      <c r="C236" s="1" t="n">
        <v>45830</v>
      </c>
      <c r="D236" t="inlineStr">
        <is>
          <t>SKÅNE LÄN</t>
        </is>
      </c>
      <c r="E236" t="inlineStr">
        <is>
          <t>HÄSSLEHOLM</t>
        </is>
      </c>
      <c r="F236" t="inlineStr">
        <is>
          <t>Övriga Aktiebolag</t>
        </is>
      </c>
      <c r="G236" t="n">
        <v>10.5</v>
      </c>
      <c r="H236" t="n">
        <v>0</v>
      </c>
      <c r="I236" t="n">
        <v>0</v>
      </c>
      <c r="J236" t="n">
        <v>0</v>
      </c>
      <c r="K236" t="n">
        <v>0</v>
      </c>
      <c r="L236" t="n">
        <v>0</v>
      </c>
      <c r="M236" t="n">
        <v>0</v>
      </c>
      <c r="N236" t="n">
        <v>0</v>
      </c>
      <c r="O236" t="n">
        <v>0</v>
      </c>
      <c r="P236" t="n">
        <v>0</v>
      </c>
      <c r="Q236" t="n">
        <v>0</v>
      </c>
      <c r="R236" s="2" t="inlineStr"/>
    </row>
    <row r="237" ht="15" customHeight="1">
      <c r="A237" t="inlineStr">
        <is>
          <t>A 21263-2020</t>
        </is>
      </c>
      <c r="B237" s="1" t="n">
        <v>43951</v>
      </c>
      <c r="C237" s="1" t="n">
        <v>45830</v>
      </c>
      <c r="D237" t="inlineStr">
        <is>
          <t>SKÅNE LÄN</t>
        </is>
      </c>
      <c r="E237" t="inlineStr">
        <is>
          <t>HÄSSLEHOLM</t>
        </is>
      </c>
      <c r="G237" t="n">
        <v>3</v>
      </c>
      <c r="H237" t="n">
        <v>0</v>
      </c>
      <c r="I237" t="n">
        <v>0</v>
      </c>
      <c r="J237" t="n">
        <v>0</v>
      </c>
      <c r="K237" t="n">
        <v>0</v>
      </c>
      <c r="L237" t="n">
        <v>0</v>
      </c>
      <c r="M237" t="n">
        <v>0</v>
      </c>
      <c r="N237" t="n">
        <v>0</v>
      </c>
      <c r="O237" t="n">
        <v>0</v>
      </c>
      <c r="P237" t="n">
        <v>0</v>
      </c>
      <c r="Q237" t="n">
        <v>0</v>
      </c>
      <c r="R237" s="2" t="inlineStr"/>
    </row>
    <row r="238" ht="15" customHeight="1">
      <c r="A238" t="inlineStr">
        <is>
          <t>A 21452-2020</t>
        </is>
      </c>
      <c r="B238" s="1" t="n">
        <v>43955</v>
      </c>
      <c r="C238" s="1" t="n">
        <v>45830</v>
      </c>
      <c r="D238" t="inlineStr">
        <is>
          <t>SKÅNE LÄN</t>
        </is>
      </c>
      <c r="E238" t="inlineStr">
        <is>
          <t>HÄSSLEHOLM</t>
        </is>
      </c>
      <c r="G238" t="n">
        <v>6</v>
      </c>
      <c r="H238" t="n">
        <v>0</v>
      </c>
      <c r="I238" t="n">
        <v>0</v>
      </c>
      <c r="J238" t="n">
        <v>0</v>
      </c>
      <c r="K238" t="n">
        <v>0</v>
      </c>
      <c r="L238" t="n">
        <v>0</v>
      </c>
      <c r="M238" t="n">
        <v>0</v>
      </c>
      <c r="N238" t="n">
        <v>0</v>
      </c>
      <c r="O238" t="n">
        <v>0</v>
      </c>
      <c r="P238" t="n">
        <v>0</v>
      </c>
      <c r="Q238" t="n">
        <v>0</v>
      </c>
      <c r="R238" s="2" t="inlineStr"/>
    </row>
    <row r="239" ht="15" customHeight="1">
      <c r="A239" t="inlineStr">
        <is>
          <t>A 21522-2020</t>
        </is>
      </c>
      <c r="B239" s="1" t="n">
        <v>43955</v>
      </c>
      <c r="C239" s="1" t="n">
        <v>45830</v>
      </c>
      <c r="D239" t="inlineStr">
        <is>
          <t>SKÅNE LÄN</t>
        </is>
      </c>
      <c r="E239" t="inlineStr">
        <is>
          <t>HÄSSLEHOLM</t>
        </is>
      </c>
      <c r="F239" t="inlineStr">
        <is>
          <t>Övriga Aktiebolag</t>
        </is>
      </c>
      <c r="G239" t="n">
        <v>0.5</v>
      </c>
      <c r="H239" t="n">
        <v>0</v>
      </c>
      <c r="I239" t="n">
        <v>0</v>
      </c>
      <c r="J239" t="n">
        <v>0</v>
      </c>
      <c r="K239" t="n">
        <v>0</v>
      </c>
      <c r="L239" t="n">
        <v>0</v>
      </c>
      <c r="M239" t="n">
        <v>0</v>
      </c>
      <c r="N239" t="n">
        <v>0</v>
      </c>
      <c r="O239" t="n">
        <v>0</v>
      </c>
      <c r="P239" t="n">
        <v>0</v>
      </c>
      <c r="Q239" t="n">
        <v>0</v>
      </c>
      <c r="R239" s="2" t="inlineStr"/>
    </row>
    <row r="240" ht="15" customHeight="1">
      <c r="A240" t="inlineStr">
        <is>
          <t>A 21699-2020</t>
        </is>
      </c>
      <c r="B240" s="1" t="n">
        <v>43957</v>
      </c>
      <c r="C240" s="1" t="n">
        <v>45830</v>
      </c>
      <c r="D240" t="inlineStr">
        <is>
          <t>SKÅNE LÄN</t>
        </is>
      </c>
      <c r="E240" t="inlineStr">
        <is>
          <t>HÄSSLEHOLM</t>
        </is>
      </c>
      <c r="G240" t="n">
        <v>1.5</v>
      </c>
      <c r="H240" t="n">
        <v>0</v>
      </c>
      <c r="I240" t="n">
        <v>0</v>
      </c>
      <c r="J240" t="n">
        <v>0</v>
      </c>
      <c r="K240" t="n">
        <v>0</v>
      </c>
      <c r="L240" t="n">
        <v>0</v>
      </c>
      <c r="M240" t="n">
        <v>0</v>
      </c>
      <c r="N240" t="n">
        <v>0</v>
      </c>
      <c r="O240" t="n">
        <v>0</v>
      </c>
      <c r="P240" t="n">
        <v>0</v>
      </c>
      <c r="Q240" t="n">
        <v>0</v>
      </c>
      <c r="R240" s="2" t="inlineStr"/>
    </row>
    <row r="241" ht="15" customHeight="1">
      <c r="A241" t="inlineStr">
        <is>
          <t>A 21697-2020</t>
        </is>
      </c>
      <c r="B241" s="1" t="n">
        <v>43957</v>
      </c>
      <c r="C241" s="1" t="n">
        <v>45830</v>
      </c>
      <c r="D241" t="inlineStr">
        <is>
          <t>SKÅNE LÄN</t>
        </is>
      </c>
      <c r="E241" t="inlineStr">
        <is>
          <t>HÄSSLEHOLM</t>
        </is>
      </c>
      <c r="G241" t="n">
        <v>1.4</v>
      </c>
      <c r="H241" t="n">
        <v>0</v>
      </c>
      <c r="I241" t="n">
        <v>0</v>
      </c>
      <c r="J241" t="n">
        <v>0</v>
      </c>
      <c r="K241" t="n">
        <v>0</v>
      </c>
      <c r="L241" t="n">
        <v>0</v>
      </c>
      <c r="M241" t="n">
        <v>0</v>
      </c>
      <c r="N241" t="n">
        <v>0</v>
      </c>
      <c r="O241" t="n">
        <v>0</v>
      </c>
      <c r="P241" t="n">
        <v>0</v>
      </c>
      <c r="Q241" t="n">
        <v>0</v>
      </c>
      <c r="R241" s="2" t="inlineStr"/>
    </row>
    <row r="242" ht="15" customHeight="1">
      <c r="A242" t="inlineStr">
        <is>
          <t>A 21854-2020</t>
        </is>
      </c>
      <c r="B242" s="1" t="n">
        <v>43957</v>
      </c>
      <c r="C242" s="1" t="n">
        <v>45830</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23235-2020</t>
        </is>
      </c>
      <c r="B243" s="1" t="n">
        <v>43966</v>
      </c>
      <c r="C243" s="1" t="n">
        <v>45830</v>
      </c>
      <c r="D243" t="inlineStr">
        <is>
          <t>SKÅNE LÄN</t>
        </is>
      </c>
      <c r="E243" t="inlineStr">
        <is>
          <t>HÄSSLEHOLM</t>
        </is>
      </c>
      <c r="G243" t="n">
        <v>5.2</v>
      </c>
      <c r="H243" t="n">
        <v>0</v>
      </c>
      <c r="I243" t="n">
        <v>0</v>
      </c>
      <c r="J243" t="n">
        <v>0</v>
      </c>
      <c r="K243" t="n">
        <v>0</v>
      </c>
      <c r="L243" t="n">
        <v>0</v>
      </c>
      <c r="M243" t="n">
        <v>0</v>
      </c>
      <c r="N243" t="n">
        <v>0</v>
      </c>
      <c r="O243" t="n">
        <v>0</v>
      </c>
      <c r="P243" t="n">
        <v>0</v>
      </c>
      <c r="Q243" t="n">
        <v>0</v>
      </c>
      <c r="R243" s="2" t="inlineStr"/>
    </row>
    <row r="244" ht="15" customHeight="1">
      <c r="A244" t="inlineStr">
        <is>
          <t>A 24227-2020</t>
        </is>
      </c>
      <c r="B244" s="1" t="n">
        <v>43970</v>
      </c>
      <c r="C244" s="1" t="n">
        <v>45830</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24233-2020</t>
        </is>
      </c>
      <c r="B245" s="1" t="n">
        <v>43970</v>
      </c>
      <c r="C245" s="1" t="n">
        <v>45830</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24115-2020</t>
        </is>
      </c>
      <c r="B246" s="1" t="n">
        <v>43973</v>
      </c>
      <c r="C246" s="1" t="n">
        <v>45830</v>
      </c>
      <c r="D246" t="inlineStr">
        <is>
          <t>SKÅNE LÄN</t>
        </is>
      </c>
      <c r="E246" t="inlineStr">
        <is>
          <t>HÄSSLEHOLM</t>
        </is>
      </c>
      <c r="G246" t="n">
        <v>1.1</v>
      </c>
      <c r="H246" t="n">
        <v>0</v>
      </c>
      <c r="I246" t="n">
        <v>0</v>
      </c>
      <c r="J246" t="n">
        <v>0</v>
      </c>
      <c r="K246" t="n">
        <v>0</v>
      </c>
      <c r="L246" t="n">
        <v>0</v>
      </c>
      <c r="M246" t="n">
        <v>0</v>
      </c>
      <c r="N246" t="n">
        <v>0</v>
      </c>
      <c r="O246" t="n">
        <v>0</v>
      </c>
      <c r="P246" t="n">
        <v>0</v>
      </c>
      <c r="Q246" t="n">
        <v>0</v>
      </c>
      <c r="R246" s="2" t="inlineStr"/>
    </row>
    <row r="247" ht="15" customHeight="1">
      <c r="A247" t="inlineStr">
        <is>
          <t>A 24669-2020</t>
        </is>
      </c>
      <c r="B247" s="1" t="n">
        <v>43977</v>
      </c>
      <c r="C247" s="1" t="n">
        <v>45830</v>
      </c>
      <c r="D247" t="inlineStr">
        <is>
          <t>SKÅNE LÄN</t>
        </is>
      </c>
      <c r="E247" t="inlineStr">
        <is>
          <t>HÄSSLEHOLM</t>
        </is>
      </c>
      <c r="G247" t="n">
        <v>5.4</v>
      </c>
      <c r="H247" t="n">
        <v>0</v>
      </c>
      <c r="I247" t="n">
        <v>0</v>
      </c>
      <c r="J247" t="n">
        <v>0</v>
      </c>
      <c r="K247" t="n">
        <v>0</v>
      </c>
      <c r="L247" t="n">
        <v>0</v>
      </c>
      <c r="M247" t="n">
        <v>0</v>
      </c>
      <c r="N247" t="n">
        <v>0</v>
      </c>
      <c r="O247" t="n">
        <v>0</v>
      </c>
      <c r="P247" t="n">
        <v>0</v>
      </c>
      <c r="Q247" t="n">
        <v>0</v>
      </c>
      <c r="R247" s="2" t="inlineStr"/>
    </row>
    <row r="248" ht="15" customHeight="1">
      <c r="A248" t="inlineStr">
        <is>
          <t>A 24668-2020</t>
        </is>
      </c>
      <c r="B248" s="1" t="n">
        <v>43977</v>
      </c>
      <c r="C248" s="1" t="n">
        <v>45830</v>
      </c>
      <c r="D248" t="inlineStr">
        <is>
          <t>SKÅNE LÄN</t>
        </is>
      </c>
      <c r="E248" t="inlineStr">
        <is>
          <t>HÄSSLEHOLM</t>
        </is>
      </c>
      <c r="G248" t="n">
        <v>2.3</v>
      </c>
      <c r="H248" t="n">
        <v>0</v>
      </c>
      <c r="I248" t="n">
        <v>0</v>
      </c>
      <c r="J248" t="n">
        <v>0</v>
      </c>
      <c r="K248" t="n">
        <v>0</v>
      </c>
      <c r="L248" t="n">
        <v>0</v>
      </c>
      <c r="M248" t="n">
        <v>0</v>
      </c>
      <c r="N248" t="n">
        <v>0</v>
      </c>
      <c r="O248" t="n">
        <v>0</v>
      </c>
      <c r="P248" t="n">
        <v>0</v>
      </c>
      <c r="Q248" t="n">
        <v>0</v>
      </c>
      <c r="R248" s="2" t="inlineStr"/>
    </row>
    <row r="249" ht="15" customHeight="1">
      <c r="A249" t="inlineStr">
        <is>
          <t>A 25071-2020</t>
        </is>
      </c>
      <c r="B249" s="1" t="n">
        <v>43979</v>
      </c>
      <c r="C249" s="1" t="n">
        <v>45830</v>
      </c>
      <c r="D249" t="inlineStr">
        <is>
          <t>SKÅNE LÄN</t>
        </is>
      </c>
      <c r="E249" t="inlineStr">
        <is>
          <t>HÄSSLEHOLM</t>
        </is>
      </c>
      <c r="F249" t="inlineStr">
        <is>
          <t>Övriga Aktiebolag</t>
        </is>
      </c>
      <c r="G249" t="n">
        <v>1</v>
      </c>
      <c r="H249" t="n">
        <v>0</v>
      </c>
      <c r="I249" t="n">
        <v>0</v>
      </c>
      <c r="J249" t="n">
        <v>0</v>
      </c>
      <c r="K249" t="n">
        <v>0</v>
      </c>
      <c r="L249" t="n">
        <v>0</v>
      </c>
      <c r="M249" t="n">
        <v>0</v>
      </c>
      <c r="N249" t="n">
        <v>0</v>
      </c>
      <c r="O249" t="n">
        <v>0</v>
      </c>
      <c r="P249" t="n">
        <v>0</v>
      </c>
      <c r="Q249" t="n">
        <v>0</v>
      </c>
      <c r="R249" s="2" t="inlineStr"/>
    </row>
    <row r="250" ht="15" customHeight="1">
      <c r="A250" t="inlineStr">
        <is>
          <t>A 25519-2020</t>
        </is>
      </c>
      <c r="B250" s="1" t="n">
        <v>43983</v>
      </c>
      <c r="C250" s="1" t="n">
        <v>45830</v>
      </c>
      <c r="D250" t="inlineStr">
        <is>
          <t>SKÅNE LÄN</t>
        </is>
      </c>
      <c r="E250" t="inlineStr">
        <is>
          <t>HÄSSLEHOLM</t>
        </is>
      </c>
      <c r="G250" t="n">
        <v>1.7</v>
      </c>
      <c r="H250" t="n">
        <v>0</v>
      </c>
      <c r="I250" t="n">
        <v>0</v>
      </c>
      <c r="J250" t="n">
        <v>0</v>
      </c>
      <c r="K250" t="n">
        <v>0</v>
      </c>
      <c r="L250" t="n">
        <v>0</v>
      </c>
      <c r="M250" t="n">
        <v>0</v>
      </c>
      <c r="N250" t="n">
        <v>0</v>
      </c>
      <c r="O250" t="n">
        <v>0</v>
      </c>
      <c r="P250" t="n">
        <v>0</v>
      </c>
      <c r="Q250" t="n">
        <v>0</v>
      </c>
      <c r="R250" s="2" t="inlineStr"/>
    </row>
    <row r="251" ht="15" customHeight="1">
      <c r="A251" t="inlineStr">
        <is>
          <t>A 26020-2020</t>
        </is>
      </c>
      <c r="B251" s="1" t="n">
        <v>43985</v>
      </c>
      <c r="C251" s="1" t="n">
        <v>45830</v>
      </c>
      <c r="D251" t="inlineStr">
        <is>
          <t>SKÅNE LÄN</t>
        </is>
      </c>
      <c r="E251" t="inlineStr">
        <is>
          <t>HÄSSLEHOLM</t>
        </is>
      </c>
      <c r="G251" t="n">
        <v>3.8</v>
      </c>
      <c r="H251" t="n">
        <v>0</v>
      </c>
      <c r="I251" t="n">
        <v>0</v>
      </c>
      <c r="J251" t="n">
        <v>0</v>
      </c>
      <c r="K251" t="n">
        <v>0</v>
      </c>
      <c r="L251" t="n">
        <v>0</v>
      </c>
      <c r="M251" t="n">
        <v>0</v>
      </c>
      <c r="N251" t="n">
        <v>0</v>
      </c>
      <c r="O251" t="n">
        <v>0</v>
      </c>
      <c r="P251" t="n">
        <v>0</v>
      </c>
      <c r="Q251" t="n">
        <v>0</v>
      </c>
      <c r="R251" s="2" t="inlineStr"/>
    </row>
    <row r="252" ht="15" customHeight="1">
      <c r="A252" t="inlineStr">
        <is>
          <t>A 26147-2020</t>
        </is>
      </c>
      <c r="B252" s="1" t="n">
        <v>43985</v>
      </c>
      <c r="C252" s="1" t="n">
        <v>45830</v>
      </c>
      <c r="D252" t="inlineStr">
        <is>
          <t>SKÅNE LÄN</t>
        </is>
      </c>
      <c r="E252" t="inlineStr">
        <is>
          <t>HÄSSLEHOLM</t>
        </is>
      </c>
      <c r="G252" t="n">
        <v>2.9</v>
      </c>
      <c r="H252" t="n">
        <v>0</v>
      </c>
      <c r="I252" t="n">
        <v>0</v>
      </c>
      <c r="J252" t="n">
        <v>0</v>
      </c>
      <c r="K252" t="n">
        <v>0</v>
      </c>
      <c r="L252" t="n">
        <v>0</v>
      </c>
      <c r="M252" t="n">
        <v>0</v>
      </c>
      <c r="N252" t="n">
        <v>0</v>
      </c>
      <c r="O252" t="n">
        <v>0</v>
      </c>
      <c r="P252" t="n">
        <v>0</v>
      </c>
      <c r="Q252" t="n">
        <v>0</v>
      </c>
      <c r="R252" s="2" t="inlineStr"/>
    </row>
    <row r="253" ht="15" customHeight="1">
      <c r="A253" t="inlineStr">
        <is>
          <t>A 26019-2020</t>
        </is>
      </c>
      <c r="B253" s="1" t="n">
        <v>43985</v>
      </c>
      <c r="C253" s="1" t="n">
        <v>45830</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26451-2020</t>
        </is>
      </c>
      <c r="B254" s="1" t="n">
        <v>43987</v>
      </c>
      <c r="C254" s="1" t="n">
        <v>45830</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27243-2020</t>
        </is>
      </c>
      <c r="B255" s="1" t="n">
        <v>43992</v>
      </c>
      <c r="C255" s="1" t="n">
        <v>45830</v>
      </c>
      <c r="D255" t="inlineStr">
        <is>
          <t>SKÅNE LÄN</t>
        </is>
      </c>
      <c r="E255" t="inlineStr">
        <is>
          <t>HÄSSLEHOLM</t>
        </is>
      </c>
      <c r="G255" t="n">
        <v>0.7</v>
      </c>
      <c r="H255" t="n">
        <v>0</v>
      </c>
      <c r="I255" t="n">
        <v>0</v>
      </c>
      <c r="J255" t="n">
        <v>0</v>
      </c>
      <c r="K255" t="n">
        <v>0</v>
      </c>
      <c r="L255" t="n">
        <v>0</v>
      </c>
      <c r="M255" t="n">
        <v>0</v>
      </c>
      <c r="N255" t="n">
        <v>0</v>
      </c>
      <c r="O255" t="n">
        <v>0</v>
      </c>
      <c r="P255" t="n">
        <v>0</v>
      </c>
      <c r="Q255" t="n">
        <v>0</v>
      </c>
      <c r="R255" s="2" t="inlineStr"/>
    </row>
    <row r="256" ht="15" customHeight="1">
      <c r="A256" t="inlineStr">
        <is>
          <t>A 27935-2020</t>
        </is>
      </c>
      <c r="B256" s="1" t="n">
        <v>43993</v>
      </c>
      <c r="C256" s="1" t="n">
        <v>45830</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28023-2020</t>
        </is>
      </c>
      <c r="B257" s="1" t="n">
        <v>43997</v>
      </c>
      <c r="C257" s="1" t="n">
        <v>45830</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29016-2020</t>
        </is>
      </c>
      <c r="B258" s="1" t="n">
        <v>43999</v>
      </c>
      <c r="C258" s="1" t="n">
        <v>45830</v>
      </c>
      <c r="D258" t="inlineStr">
        <is>
          <t>SKÅNE LÄN</t>
        </is>
      </c>
      <c r="E258" t="inlineStr">
        <is>
          <t>HÄSSLEHOLM</t>
        </is>
      </c>
      <c r="G258" t="n">
        <v>2.6</v>
      </c>
      <c r="H258" t="n">
        <v>0</v>
      </c>
      <c r="I258" t="n">
        <v>0</v>
      </c>
      <c r="J258" t="n">
        <v>0</v>
      </c>
      <c r="K258" t="n">
        <v>0</v>
      </c>
      <c r="L258" t="n">
        <v>0</v>
      </c>
      <c r="M258" t="n">
        <v>0</v>
      </c>
      <c r="N258" t="n">
        <v>0</v>
      </c>
      <c r="O258" t="n">
        <v>0</v>
      </c>
      <c r="P258" t="n">
        <v>0</v>
      </c>
      <c r="Q258" t="n">
        <v>0</v>
      </c>
      <c r="R258" s="2" t="inlineStr"/>
    </row>
    <row r="259" ht="15" customHeight="1">
      <c r="A259" t="inlineStr">
        <is>
          <t>A 28884-2020</t>
        </is>
      </c>
      <c r="B259" s="1" t="n">
        <v>43999</v>
      </c>
      <c r="C259" s="1" t="n">
        <v>45830</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28863-2020</t>
        </is>
      </c>
      <c r="B260" s="1" t="n">
        <v>43999</v>
      </c>
      <c r="C260" s="1" t="n">
        <v>45830</v>
      </c>
      <c r="D260" t="inlineStr">
        <is>
          <t>SKÅNE LÄN</t>
        </is>
      </c>
      <c r="E260" t="inlineStr">
        <is>
          <t>HÄSSLEHOLM</t>
        </is>
      </c>
      <c r="G260" t="n">
        <v>1.7</v>
      </c>
      <c r="H260" t="n">
        <v>0</v>
      </c>
      <c r="I260" t="n">
        <v>0</v>
      </c>
      <c r="J260" t="n">
        <v>0</v>
      </c>
      <c r="K260" t="n">
        <v>0</v>
      </c>
      <c r="L260" t="n">
        <v>0</v>
      </c>
      <c r="M260" t="n">
        <v>0</v>
      </c>
      <c r="N260" t="n">
        <v>0</v>
      </c>
      <c r="O260" t="n">
        <v>0</v>
      </c>
      <c r="P260" t="n">
        <v>0</v>
      </c>
      <c r="Q260" t="n">
        <v>0</v>
      </c>
      <c r="R260" s="2" t="inlineStr"/>
    </row>
    <row r="261" ht="15" customHeight="1">
      <c r="A261" t="inlineStr">
        <is>
          <t>A 29230-2020</t>
        </is>
      </c>
      <c r="B261" s="1" t="n">
        <v>44004</v>
      </c>
      <c r="C261" s="1" t="n">
        <v>45830</v>
      </c>
      <c r="D261" t="inlineStr">
        <is>
          <t>SKÅNE LÄN</t>
        </is>
      </c>
      <c r="E261" t="inlineStr">
        <is>
          <t>HÄSSLEHOLM</t>
        </is>
      </c>
      <c r="G261" t="n">
        <v>1.6</v>
      </c>
      <c r="H261" t="n">
        <v>0</v>
      </c>
      <c r="I261" t="n">
        <v>0</v>
      </c>
      <c r="J261" t="n">
        <v>0</v>
      </c>
      <c r="K261" t="n">
        <v>0</v>
      </c>
      <c r="L261" t="n">
        <v>0</v>
      </c>
      <c r="M261" t="n">
        <v>0</v>
      </c>
      <c r="N261" t="n">
        <v>0</v>
      </c>
      <c r="O261" t="n">
        <v>0</v>
      </c>
      <c r="P261" t="n">
        <v>0</v>
      </c>
      <c r="Q261" t="n">
        <v>0</v>
      </c>
      <c r="R261" s="2" t="inlineStr"/>
    </row>
    <row r="262" ht="15" customHeight="1">
      <c r="A262" t="inlineStr">
        <is>
          <t>A 29719-2020</t>
        </is>
      </c>
      <c r="B262" s="1" t="n">
        <v>44005</v>
      </c>
      <c r="C262" s="1" t="n">
        <v>45830</v>
      </c>
      <c r="D262" t="inlineStr">
        <is>
          <t>SKÅNE LÄN</t>
        </is>
      </c>
      <c r="E262" t="inlineStr">
        <is>
          <t>HÄSSLEHOLM</t>
        </is>
      </c>
      <c r="G262" t="n">
        <v>1.5</v>
      </c>
      <c r="H262" t="n">
        <v>0</v>
      </c>
      <c r="I262" t="n">
        <v>0</v>
      </c>
      <c r="J262" t="n">
        <v>0</v>
      </c>
      <c r="K262" t="n">
        <v>0</v>
      </c>
      <c r="L262" t="n">
        <v>0</v>
      </c>
      <c r="M262" t="n">
        <v>0</v>
      </c>
      <c r="N262" t="n">
        <v>0</v>
      </c>
      <c r="O262" t="n">
        <v>0</v>
      </c>
      <c r="P262" t="n">
        <v>0</v>
      </c>
      <c r="Q262" t="n">
        <v>0</v>
      </c>
      <c r="R262" s="2" t="inlineStr"/>
    </row>
    <row r="263" ht="15" customHeight="1">
      <c r="A263" t="inlineStr">
        <is>
          <t>A 29932-2020</t>
        </is>
      </c>
      <c r="B263" s="1" t="n">
        <v>44006</v>
      </c>
      <c r="C263" s="1" t="n">
        <v>45830</v>
      </c>
      <c r="D263" t="inlineStr">
        <is>
          <t>SKÅNE LÄN</t>
        </is>
      </c>
      <c r="E263" t="inlineStr">
        <is>
          <t>HÄSSLEHOLM</t>
        </is>
      </c>
      <c r="G263" t="n">
        <v>1.1</v>
      </c>
      <c r="H263" t="n">
        <v>0</v>
      </c>
      <c r="I263" t="n">
        <v>0</v>
      </c>
      <c r="J263" t="n">
        <v>0</v>
      </c>
      <c r="K263" t="n">
        <v>0</v>
      </c>
      <c r="L263" t="n">
        <v>0</v>
      </c>
      <c r="M263" t="n">
        <v>0</v>
      </c>
      <c r="N263" t="n">
        <v>0</v>
      </c>
      <c r="O263" t="n">
        <v>0</v>
      </c>
      <c r="P263" t="n">
        <v>0</v>
      </c>
      <c r="Q263" t="n">
        <v>0</v>
      </c>
      <c r="R263" s="2" t="inlineStr"/>
    </row>
    <row r="264" ht="15" customHeight="1">
      <c r="A264" t="inlineStr">
        <is>
          <t>A 30292-2020</t>
        </is>
      </c>
      <c r="B264" s="1" t="n">
        <v>44007</v>
      </c>
      <c r="C264" s="1" t="n">
        <v>45830</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30719-2020</t>
        </is>
      </c>
      <c r="B265" s="1" t="n">
        <v>44008</v>
      </c>
      <c r="C265" s="1" t="n">
        <v>45830</v>
      </c>
      <c r="D265" t="inlineStr">
        <is>
          <t>SKÅNE LÄN</t>
        </is>
      </c>
      <c r="E265" t="inlineStr">
        <is>
          <t>HÄSSLEHOLM</t>
        </is>
      </c>
      <c r="G265" t="n">
        <v>1.2</v>
      </c>
      <c r="H265" t="n">
        <v>0</v>
      </c>
      <c r="I265" t="n">
        <v>0</v>
      </c>
      <c r="J265" t="n">
        <v>0</v>
      </c>
      <c r="K265" t="n">
        <v>0</v>
      </c>
      <c r="L265" t="n">
        <v>0</v>
      </c>
      <c r="M265" t="n">
        <v>0</v>
      </c>
      <c r="N265" t="n">
        <v>0</v>
      </c>
      <c r="O265" t="n">
        <v>0</v>
      </c>
      <c r="P265" t="n">
        <v>0</v>
      </c>
      <c r="Q265" t="n">
        <v>0</v>
      </c>
      <c r="R265" s="2" t="inlineStr"/>
    </row>
    <row r="266" ht="15" customHeight="1">
      <c r="A266" t="inlineStr">
        <is>
          <t>A 30816-2020</t>
        </is>
      </c>
      <c r="B266" s="1" t="n">
        <v>44011</v>
      </c>
      <c r="C266" s="1" t="n">
        <v>45830</v>
      </c>
      <c r="D266" t="inlineStr">
        <is>
          <t>SKÅNE LÄN</t>
        </is>
      </c>
      <c r="E266" t="inlineStr">
        <is>
          <t>HÄSSLEHOLM</t>
        </is>
      </c>
      <c r="G266" t="n">
        <v>2.6</v>
      </c>
      <c r="H266" t="n">
        <v>0</v>
      </c>
      <c r="I266" t="n">
        <v>0</v>
      </c>
      <c r="J266" t="n">
        <v>0</v>
      </c>
      <c r="K266" t="n">
        <v>0</v>
      </c>
      <c r="L266" t="n">
        <v>0</v>
      </c>
      <c r="M266" t="n">
        <v>0</v>
      </c>
      <c r="N266" t="n">
        <v>0</v>
      </c>
      <c r="O266" t="n">
        <v>0</v>
      </c>
      <c r="P266" t="n">
        <v>0</v>
      </c>
      <c r="Q266" t="n">
        <v>0</v>
      </c>
      <c r="R266" s="2" t="inlineStr"/>
    </row>
    <row r="267" ht="15" customHeight="1">
      <c r="A267" t="inlineStr">
        <is>
          <t>A 31069-2020</t>
        </is>
      </c>
      <c r="B267" s="1" t="n">
        <v>44012</v>
      </c>
      <c r="C267" s="1" t="n">
        <v>45830</v>
      </c>
      <c r="D267" t="inlineStr">
        <is>
          <t>SKÅNE LÄN</t>
        </is>
      </c>
      <c r="E267" t="inlineStr">
        <is>
          <t>HÄSSLEHOLM</t>
        </is>
      </c>
      <c r="G267" t="n">
        <v>1</v>
      </c>
      <c r="H267" t="n">
        <v>0</v>
      </c>
      <c r="I267" t="n">
        <v>0</v>
      </c>
      <c r="J267" t="n">
        <v>0</v>
      </c>
      <c r="K267" t="n">
        <v>0</v>
      </c>
      <c r="L267" t="n">
        <v>0</v>
      </c>
      <c r="M267" t="n">
        <v>0</v>
      </c>
      <c r="N267" t="n">
        <v>0</v>
      </c>
      <c r="O267" t="n">
        <v>0</v>
      </c>
      <c r="P267" t="n">
        <v>0</v>
      </c>
      <c r="Q267" t="n">
        <v>0</v>
      </c>
      <c r="R267" s="2" t="inlineStr"/>
    </row>
    <row r="268" ht="15" customHeight="1">
      <c r="A268" t="inlineStr">
        <is>
          <t>A 31617-2020</t>
        </is>
      </c>
      <c r="B268" s="1" t="n">
        <v>44013</v>
      </c>
      <c r="C268" s="1" t="n">
        <v>45830</v>
      </c>
      <c r="D268" t="inlineStr">
        <is>
          <t>SKÅNE LÄN</t>
        </is>
      </c>
      <c r="E268" t="inlineStr">
        <is>
          <t>HÄSSLEHOLM</t>
        </is>
      </c>
      <c r="G268" t="n">
        <v>1.1</v>
      </c>
      <c r="H268" t="n">
        <v>0</v>
      </c>
      <c r="I268" t="n">
        <v>0</v>
      </c>
      <c r="J268" t="n">
        <v>0</v>
      </c>
      <c r="K268" t="n">
        <v>0</v>
      </c>
      <c r="L268" t="n">
        <v>0</v>
      </c>
      <c r="M268" t="n">
        <v>0</v>
      </c>
      <c r="N268" t="n">
        <v>0</v>
      </c>
      <c r="O268" t="n">
        <v>0</v>
      </c>
      <c r="P268" t="n">
        <v>0</v>
      </c>
      <c r="Q268" t="n">
        <v>0</v>
      </c>
      <c r="R268" s="2" t="inlineStr"/>
    </row>
    <row r="269" ht="15" customHeight="1">
      <c r="A269" t="inlineStr">
        <is>
          <t>A 31628-2020</t>
        </is>
      </c>
      <c r="B269" s="1" t="n">
        <v>44013</v>
      </c>
      <c r="C269" s="1" t="n">
        <v>45830</v>
      </c>
      <c r="D269" t="inlineStr">
        <is>
          <t>SKÅNE LÄN</t>
        </is>
      </c>
      <c r="E269" t="inlineStr">
        <is>
          <t>HÄSSLEHOLM</t>
        </is>
      </c>
      <c r="G269" t="n">
        <v>0.4</v>
      </c>
      <c r="H269" t="n">
        <v>0</v>
      </c>
      <c r="I269" t="n">
        <v>0</v>
      </c>
      <c r="J269" t="n">
        <v>0</v>
      </c>
      <c r="K269" t="n">
        <v>0</v>
      </c>
      <c r="L269" t="n">
        <v>0</v>
      </c>
      <c r="M269" t="n">
        <v>0</v>
      </c>
      <c r="N269" t="n">
        <v>0</v>
      </c>
      <c r="O269" t="n">
        <v>0</v>
      </c>
      <c r="P269" t="n">
        <v>0</v>
      </c>
      <c r="Q269" t="n">
        <v>0</v>
      </c>
      <c r="R269" s="2" t="inlineStr"/>
    </row>
    <row r="270" ht="15" customHeight="1">
      <c r="A270" t="inlineStr">
        <is>
          <t>A 31625-2020</t>
        </is>
      </c>
      <c r="B270" s="1" t="n">
        <v>44013</v>
      </c>
      <c r="C270" s="1" t="n">
        <v>45830</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32727-2020</t>
        </is>
      </c>
      <c r="B271" s="1" t="n">
        <v>44019</v>
      </c>
      <c r="C271" s="1" t="n">
        <v>45830</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33302-2020</t>
        </is>
      </c>
      <c r="B272" s="1" t="n">
        <v>44022</v>
      </c>
      <c r="C272" s="1" t="n">
        <v>45830</v>
      </c>
      <c r="D272" t="inlineStr">
        <is>
          <t>SKÅNE LÄN</t>
        </is>
      </c>
      <c r="E272" t="inlineStr">
        <is>
          <t>HÄSSLEHOLM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33300-2020</t>
        </is>
      </c>
      <c r="B273" s="1" t="n">
        <v>44022</v>
      </c>
      <c r="C273" s="1" t="n">
        <v>45830</v>
      </c>
      <c r="D273" t="inlineStr">
        <is>
          <t>SKÅNE LÄN</t>
        </is>
      </c>
      <c r="E273" t="inlineStr">
        <is>
          <t>HÄSSLEHOLM</t>
        </is>
      </c>
      <c r="G273" t="n">
        <v>8.9</v>
      </c>
      <c r="H273" t="n">
        <v>0</v>
      </c>
      <c r="I273" t="n">
        <v>0</v>
      </c>
      <c r="J273" t="n">
        <v>0</v>
      </c>
      <c r="K273" t="n">
        <v>0</v>
      </c>
      <c r="L273" t="n">
        <v>0</v>
      </c>
      <c r="M273" t="n">
        <v>0</v>
      </c>
      <c r="N273" t="n">
        <v>0</v>
      </c>
      <c r="O273" t="n">
        <v>0</v>
      </c>
      <c r="P273" t="n">
        <v>0</v>
      </c>
      <c r="Q273" t="n">
        <v>0</v>
      </c>
      <c r="R273" s="2" t="inlineStr"/>
    </row>
    <row r="274" ht="15" customHeight="1">
      <c r="A274" t="inlineStr">
        <is>
          <t>A 33544-2020</t>
        </is>
      </c>
      <c r="B274" s="1" t="n">
        <v>44025</v>
      </c>
      <c r="C274" s="1" t="n">
        <v>45830</v>
      </c>
      <c r="D274" t="inlineStr">
        <is>
          <t>SKÅNE LÄN</t>
        </is>
      </c>
      <c r="E274" t="inlineStr">
        <is>
          <t>HÄSSLEHOLM</t>
        </is>
      </c>
      <c r="G274" t="n">
        <v>1.4</v>
      </c>
      <c r="H274" t="n">
        <v>0</v>
      </c>
      <c r="I274" t="n">
        <v>0</v>
      </c>
      <c r="J274" t="n">
        <v>0</v>
      </c>
      <c r="K274" t="n">
        <v>0</v>
      </c>
      <c r="L274" t="n">
        <v>0</v>
      </c>
      <c r="M274" t="n">
        <v>0</v>
      </c>
      <c r="N274" t="n">
        <v>0</v>
      </c>
      <c r="O274" t="n">
        <v>0</v>
      </c>
      <c r="P274" t="n">
        <v>0</v>
      </c>
      <c r="Q274" t="n">
        <v>0</v>
      </c>
      <c r="R274" s="2" t="inlineStr"/>
    </row>
    <row r="275" ht="15" customHeight="1">
      <c r="A275" t="inlineStr">
        <is>
          <t>A 33824-2020</t>
        </is>
      </c>
      <c r="B275" s="1" t="n">
        <v>44027</v>
      </c>
      <c r="C275" s="1" t="n">
        <v>45830</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33854-2020</t>
        </is>
      </c>
      <c r="B276" s="1" t="n">
        <v>44027</v>
      </c>
      <c r="C276" s="1" t="n">
        <v>45830</v>
      </c>
      <c r="D276" t="inlineStr">
        <is>
          <t>SKÅNE LÄN</t>
        </is>
      </c>
      <c r="E276" t="inlineStr">
        <is>
          <t>HÄSSLEHOLM</t>
        </is>
      </c>
      <c r="G276" t="n">
        <v>4.7</v>
      </c>
      <c r="H276" t="n">
        <v>0</v>
      </c>
      <c r="I276" t="n">
        <v>0</v>
      </c>
      <c r="J276" t="n">
        <v>0</v>
      </c>
      <c r="K276" t="n">
        <v>0</v>
      </c>
      <c r="L276" t="n">
        <v>0</v>
      </c>
      <c r="M276" t="n">
        <v>0</v>
      </c>
      <c r="N276" t="n">
        <v>0</v>
      </c>
      <c r="O276" t="n">
        <v>0</v>
      </c>
      <c r="P276" t="n">
        <v>0</v>
      </c>
      <c r="Q276" t="n">
        <v>0</v>
      </c>
      <c r="R276" s="2" t="inlineStr"/>
    </row>
    <row r="277" ht="15" customHeight="1">
      <c r="A277" t="inlineStr">
        <is>
          <t>A 34871-2020</t>
        </is>
      </c>
      <c r="B277" s="1" t="n">
        <v>44036</v>
      </c>
      <c r="C277" s="1" t="n">
        <v>45830</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34873-2020</t>
        </is>
      </c>
      <c r="B278" s="1" t="n">
        <v>44036</v>
      </c>
      <c r="C278" s="1" t="n">
        <v>45830</v>
      </c>
      <c r="D278" t="inlineStr">
        <is>
          <t>SKÅNE LÄN</t>
        </is>
      </c>
      <c r="E278" t="inlineStr">
        <is>
          <t>HÄSSLEHOLM</t>
        </is>
      </c>
      <c r="G278" t="n">
        <v>2.7</v>
      </c>
      <c r="H278" t="n">
        <v>0</v>
      </c>
      <c r="I278" t="n">
        <v>0</v>
      </c>
      <c r="J278" t="n">
        <v>0</v>
      </c>
      <c r="K278" t="n">
        <v>0</v>
      </c>
      <c r="L278" t="n">
        <v>0</v>
      </c>
      <c r="M278" t="n">
        <v>0</v>
      </c>
      <c r="N278" t="n">
        <v>0</v>
      </c>
      <c r="O278" t="n">
        <v>0</v>
      </c>
      <c r="P278" t="n">
        <v>0</v>
      </c>
      <c r="Q278" t="n">
        <v>0</v>
      </c>
      <c r="R278" s="2" t="inlineStr"/>
    </row>
    <row r="279" ht="15" customHeight="1">
      <c r="A279" t="inlineStr">
        <is>
          <t>A 35188-2020</t>
        </is>
      </c>
      <c r="B279" s="1" t="n">
        <v>44040</v>
      </c>
      <c r="C279" s="1" t="n">
        <v>45830</v>
      </c>
      <c r="D279" t="inlineStr">
        <is>
          <t>SKÅNE LÄN</t>
        </is>
      </c>
      <c r="E279" t="inlineStr">
        <is>
          <t>HÄSSLEHOLM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35175-2020</t>
        </is>
      </c>
      <c r="B280" s="1" t="n">
        <v>44040</v>
      </c>
      <c r="C280" s="1" t="n">
        <v>45830</v>
      </c>
      <c r="D280" t="inlineStr">
        <is>
          <t>SKÅNE LÄN</t>
        </is>
      </c>
      <c r="E280" t="inlineStr">
        <is>
          <t>HÄSSLEHOLM</t>
        </is>
      </c>
      <c r="G280" t="n">
        <v>0.6</v>
      </c>
      <c r="H280" t="n">
        <v>0</v>
      </c>
      <c r="I280" t="n">
        <v>0</v>
      </c>
      <c r="J280" t="n">
        <v>0</v>
      </c>
      <c r="K280" t="n">
        <v>0</v>
      </c>
      <c r="L280" t="n">
        <v>0</v>
      </c>
      <c r="M280" t="n">
        <v>0</v>
      </c>
      <c r="N280" t="n">
        <v>0</v>
      </c>
      <c r="O280" t="n">
        <v>0</v>
      </c>
      <c r="P280" t="n">
        <v>0</v>
      </c>
      <c r="Q280" t="n">
        <v>0</v>
      </c>
      <c r="R280" s="2" t="inlineStr"/>
    </row>
    <row r="281" ht="15" customHeight="1">
      <c r="A281" t="inlineStr">
        <is>
          <t>A 35399-2020</t>
        </is>
      </c>
      <c r="B281" s="1" t="n">
        <v>44042</v>
      </c>
      <c r="C281" s="1" t="n">
        <v>45830</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35857-2020</t>
        </is>
      </c>
      <c r="B282" s="1" t="n">
        <v>44047</v>
      </c>
      <c r="C282" s="1" t="n">
        <v>45830</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36721-2020</t>
        </is>
      </c>
      <c r="B283" s="1" t="n">
        <v>44053</v>
      </c>
      <c r="C283" s="1" t="n">
        <v>45830</v>
      </c>
      <c r="D283" t="inlineStr">
        <is>
          <t>SKÅNE LÄN</t>
        </is>
      </c>
      <c r="E283" t="inlineStr">
        <is>
          <t>HÄSSLEHOLM</t>
        </is>
      </c>
      <c r="G283" t="n">
        <v>0.4</v>
      </c>
      <c r="H283" t="n">
        <v>0</v>
      </c>
      <c r="I283" t="n">
        <v>0</v>
      </c>
      <c r="J283" t="n">
        <v>0</v>
      </c>
      <c r="K283" t="n">
        <v>0</v>
      </c>
      <c r="L283" t="n">
        <v>0</v>
      </c>
      <c r="M283" t="n">
        <v>0</v>
      </c>
      <c r="N283" t="n">
        <v>0</v>
      </c>
      <c r="O283" t="n">
        <v>0</v>
      </c>
      <c r="P283" t="n">
        <v>0</v>
      </c>
      <c r="Q283" t="n">
        <v>0</v>
      </c>
      <c r="R283" s="2" t="inlineStr"/>
    </row>
    <row r="284" ht="15" customHeight="1">
      <c r="A284" t="inlineStr">
        <is>
          <t>A 36728-2020</t>
        </is>
      </c>
      <c r="B284" s="1" t="n">
        <v>44053</v>
      </c>
      <c r="C284" s="1" t="n">
        <v>45830</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37655-2020</t>
        </is>
      </c>
      <c r="B285" s="1" t="n">
        <v>44056</v>
      </c>
      <c r="C285" s="1" t="n">
        <v>45830</v>
      </c>
      <c r="D285" t="inlineStr">
        <is>
          <t>SKÅNE LÄN</t>
        </is>
      </c>
      <c r="E285" t="inlineStr">
        <is>
          <t>HÄSSLEHOLM</t>
        </is>
      </c>
      <c r="G285" t="n">
        <v>4.8</v>
      </c>
      <c r="H285" t="n">
        <v>0</v>
      </c>
      <c r="I285" t="n">
        <v>0</v>
      </c>
      <c r="J285" t="n">
        <v>0</v>
      </c>
      <c r="K285" t="n">
        <v>0</v>
      </c>
      <c r="L285" t="n">
        <v>0</v>
      </c>
      <c r="M285" t="n">
        <v>0</v>
      </c>
      <c r="N285" t="n">
        <v>0</v>
      </c>
      <c r="O285" t="n">
        <v>0</v>
      </c>
      <c r="P285" t="n">
        <v>0</v>
      </c>
      <c r="Q285" t="n">
        <v>0</v>
      </c>
      <c r="R285" s="2" t="inlineStr"/>
    </row>
    <row r="286" ht="15" customHeight="1">
      <c r="A286" t="inlineStr">
        <is>
          <t>A 38110-2020</t>
        </is>
      </c>
      <c r="B286" s="1" t="n">
        <v>44058</v>
      </c>
      <c r="C286" s="1" t="n">
        <v>45830</v>
      </c>
      <c r="D286" t="inlineStr">
        <is>
          <t>SKÅNE LÄN</t>
        </is>
      </c>
      <c r="E286" t="inlineStr">
        <is>
          <t>HÄSSLEHOLM</t>
        </is>
      </c>
      <c r="G286" t="n">
        <v>4.2</v>
      </c>
      <c r="H286" t="n">
        <v>0</v>
      </c>
      <c r="I286" t="n">
        <v>0</v>
      </c>
      <c r="J286" t="n">
        <v>0</v>
      </c>
      <c r="K286" t="n">
        <v>0</v>
      </c>
      <c r="L286" t="n">
        <v>0</v>
      </c>
      <c r="M286" t="n">
        <v>0</v>
      </c>
      <c r="N286" t="n">
        <v>0</v>
      </c>
      <c r="O286" t="n">
        <v>0</v>
      </c>
      <c r="P286" t="n">
        <v>0</v>
      </c>
      <c r="Q286" t="n">
        <v>0</v>
      </c>
      <c r="R286" s="2" t="inlineStr"/>
    </row>
    <row r="287" ht="15" customHeight="1">
      <c r="A287" t="inlineStr">
        <is>
          <t>A 38138-2020</t>
        </is>
      </c>
      <c r="B287" s="1" t="n">
        <v>44060</v>
      </c>
      <c r="C287" s="1" t="n">
        <v>45830</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39672-2020</t>
        </is>
      </c>
      <c r="B288" s="1" t="n">
        <v>44065</v>
      </c>
      <c r="C288" s="1" t="n">
        <v>45830</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40329-2020</t>
        </is>
      </c>
      <c r="B289" s="1" t="n">
        <v>44067</v>
      </c>
      <c r="C289" s="1" t="n">
        <v>45830</v>
      </c>
      <c r="D289" t="inlineStr">
        <is>
          <t>SKÅNE LÄN</t>
        </is>
      </c>
      <c r="E289" t="inlineStr">
        <is>
          <t>HÄSSLEHOLM</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40319-2020</t>
        </is>
      </c>
      <c r="B290" s="1" t="n">
        <v>44068</v>
      </c>
      <c r="C290" s="1" t="n">
        <v>45830</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40292-2020</t>
        </is>
      </c>
      <c r="B291" s="1" t="n">
        <v>44068</v>
      </c>
      <c r="C291" s="1" t="n">
        <v>45830</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42839-2020</t>
        </is>
      </c>
      <c r="B292" s="1" t="n">
        <v>44078</v>
      </c>
      <c r="C292" s="1" t="n">
        <v>45830</v>
      </c>
      <c r="D292" t="inlineStr">
        <is>
          <t>SKÅNE LÄN</t>
        </is>
      </c>
      <c r="E292" t="inlineStr">
        <is>
          <t>HÄSSLEHOLM</t>
        </is>
      </c>
      <c r="G292" t="n">
        <v>2.7</v>
      </c>
      <c r="H292" t="n">
        <v>0</v>
      </c>
      <c r="I292" t="n">
        <v>0</v>
      </c>
      <c r="J292" t="n">
        <v>0</v>
      </c>
      <c r="K292" t="n">
        <v>0</v>
      </c>
      <c r="L292" t="n">
        <v>0</v>
      </c>
      <c r="M292" t="n">
        <v>0</v>
      </c>
      <c r="N292" t="n">
        <v>0</v>
      </c>
      <c r="O292" t="n">
        <v>0</v>
      </c>
      <c r="P292" t="n">
        <v>0</v>
      </c>
      <c r="Q292" t="n">
        <v>0</v>
      </c>
      <c r="R292" s="2" t="inlineStr"/>
    </row>
    <row r="293" ht="15" customHeight="1">
      <c r="A293" t="inlineStr">
        <is>
          <t>A 42812-2020</t>
        </is>
      </c>
      <c r="B293" s="1" t="n">
        <v>44078</v>
      </c>
      <c r="C293" s="1" t="n">
        <v>45830</v>
      </c>
      <c r="D293" t="inlineStr">
        <is>
          <t>SKÅNE LÄN</t>
        </is>
      </c>
      <c r="E293" t="inlineStr">
        <is>
          <t>HÄSSLEHOLM</t>
        </is>
      </c>
      <c r="G293" t="n">
        <v>1.7</v>
      </c>
      <c r="H293" t="n">
        <v>0</v>
      </c>
      <c r="I293" t="n">
        <v>0</v>
      </c>
      <c r="J293" t="n">
        <v>0</v>
      </c>
      <c r="K293" t="n">
        <v>0</v>
      </c>
      <c r="L293" t="n">
        <v>0</v>
      </c>
      <c r="M293" t="n">
        <v>0</v>
      </c>
      <c r="N293" t="n">
        <v>0</v>
      </c>
      <c r="O293" t="n">
        <v>0</v>
      </c>
      <c r="P293" t="n">
        <v>0</v>
      </c>
      <c r="Q293" t="n">
        <v>0</v>
      </c>
      <c r="R293" s="2" t="inlineStr"/>
    </row>
    <row r="294" ht="15" customHeight="1">
      <c r="A294" t="inlineStr">
        <is>
          <t>A 42815-2020</t>
        </is>
      </c>
      <c r="B294" s="1" t="n">
        <v>44078</v>
      </c>
      <c r="C294" s="1" t="n">
        <v>45830</v>
      </c>
      <c r="D294" t="inlineStr">
        <is>
          <t>SKÅNE LÄN</t>
        </is>
      </c>
      <c r="E294" t="inlineStr">
        <is>
          <t>HÄSSLEHOLM</t>
        </is>
      </c>
      <c r="G294" t="n">
        <v>3.7</v>
      </c>
      <c r="H294" t="n">
        <v>0</v>
      </c>
      <c r="I294" t="n">
        <v>0</v>
      </c>
      <c r="J294" t="n">
        <v>0</v>
      </c>
      <c r="K294" t="n">
        <v>0</v>
      </c>
      <c r="L294" t="n">
        <v>0</v>
      </c>
      <c r="M294" t="n">
        <v>0</v>
      </c>
      <c r="N294" t="n">
        <v>0</v>
      </c>
      <c r="O294" t="n">
        <v>0</v>
      </c>
      <c r="P294" t="n">
        <v>0</v>
      </c>
      <c r="Q294" t="n">
        <v>0</v>
      </c>
      <c r="R294" s="2" t="inlineStr"/>
    </row>
    <row r="295" ht="15" customHeight="1">
      <c r="A295" t="inlineStr">
        <is>
          <t>A 43045-2020</t>
        </is>
      </c>
      <c r="B295" s="1" t="n">
        <v>44078</v>
      </c>
      <c r="C295" s="1" t="n">
        <v>45830</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43580-2020</t>
        </is>
      </c>
      <c r="B296" s="1" t="n">
        <v>44082</v>
      </c>
      <c r="C296" s="1" t="n">
        <v>45830</v>
      </c>
      <c r="D296" t="inlineStr">
        <is>
          <t>SKÅNE LÄN</t>
        </is>
      </c>
      <c r="E296" t="inlineStr">
        <is>
          <t>HÄSSLEHOLM</t>
        </is>
      </c>
      <c r="F296" t="inlineStr">
        <is>
          <t>Kyrkan</t>
        </is>
      </c>
      <c r="G296" t="n">
        <v>2.1</v>
      </c>
      <c r="H296" t="n">
        <v>0</v>
      </c>
      <c r="I296" t="n">
        <v>0</v>
      </c>
      <c r="J296" t="n">
        <v>0</v>
      </c>
      <c r="K296" t="n">
        <v>0</v>
      </c>
      <c r="L296" t="n">
        <v>0</v>
      </c>
      <c r="M296" t="n">
        <v>0</v>
      </c>
      <c r="N296" t="n">
        <v>0</v>
      </c>
      <c r="O296" t="n">
        <v>0</v>
      </c>
      <c r="P296" t="n">
        <v>0</v>
      </c>
      <c r="Q296" t="n">
        <v>0</v>
      </c>
      <c r="R296" s="2" t="inlineStr"/>
    </row>
    <row r="297" ht="15" customHeight="1">
      <c r="A297" t="inlineStr">
        <is>
          <t>A 43595-2020</t>
        </is>
      </c>
      <c r="B297" s="1" t="n">
        <v>44082</v>
      </c>
      <c r="C297" s="1" t="n">
        <v>45830</v>
      </c>
      <c r="D297" t="inlineStr">
        <is>
          <t>SKÅNE LÄN</t>
        </is>
      </c>
      <c r="E297" t="inlineStr">
        <is>
          <t>HÄSSLEHOLM</t>
        </is>
      </c>
      <c r="F297" t="inlineStr">
        <is>
          <t>Kyrkan</t>
        </is>
      </c>
      <c r="G297" t="n">
        <v>1.4</v>
      </c>
      <c r="H297" t="n">
        <v>0</v>
      </c>
      <c r="I297" t="n">
        <v>0</v>
      </c>
      <c r="J297" t="n">
        <v>0</v>
      </c>
      <c r="K297" t="n">
        <v>0</v>
      </c>
      <c r="L297" t="n">
        <v>0</v>
      </c>
      <c r="M297" t="n">
        <v>0</v>
      </c>
      <c r="N297" t="n">
        <v>0</v>
      </c>
      <c r="O297" t="n">
        <v>0</v>
      </c>
      <c r="P297" t="n">
        <v>0</v>
      </c>
      <c r="Q297" t="n">
        <v>0</v>
      </c>
      <c r="R297" s="2" t="inlineStr"/>
    </row>
    <row r="298" ht="15" customHeight="1">
      <c r="A298" t="inlineStr">
        <is>
          <t>A 43600-2020</t>
        </is>
      </c>
      <c r="B298" s="1" t="n">
        <v>44082</v>
      </c>
      <c r="C298" s="1" t="n">
        <v>45830</v>
      </c>
      <c r="D298" t="inlineStr">
        <is>
          <t>SKÅNE LÄN</t>
        </is>
      </c>
      <c r="E298" t="inlineStr">
        <is>
          <t>HÄSSLEHOLM</t>
        </is>
      </c>
      <c r="F298" t="inlineStr">
        <is>
          <t>Kyrkan</t>
        </is>
      </c>
      <c r="G298" t="n">
        <v>0.9</v>
      </c>
      <c r="H298" t="n">
        <v>0</v>
      </c>
      <c r="I298" t="n">
        <v>0</v>
      </c>
      <c r="J298" t="n">
        <v>0</v>
      </c>
      <c r="K298" t="n">
        <v>0</v>
      </c>
      <c r="L298" t="n">
        <v>0</v>
      </c>
      <c r="M298" t="n">
        <v>0</v>
      </c>
      <c r="N298" t="n">
        <v>0</v>
      </c>
      <c r="O298" t="n">
        <v>0</v>
      </c>
      <c r="P298" t="n">
        <v>0</v>
      </c>
      <c r="Q298" t="n">
        <v>0</v>
      </c>
      <c r="R298" s="2" t="inlineStr"/>
    </row>
    <row r="299" ht="15" customHeight="1">
      <c r="A299" t="inlineStr">
        <is>
          <t>A 44228-2020</t>
        </is>
      </c>
      <c r="B299" s="1" t="n">
        <v>44082</v>
      </c>
      <c r="C299" s="1" t="n">
        <v>45830</v>
      </c>
      <c r="D299" t="inlineStr">
        <is>
          <t>SKÅNE LÄN</t>
        </is>
      </c>
      <c r="E299" t="inlineStr">
        <is>
          <t>HÄSSLEHOLM</t>
        </is>
      </c>
      <c r="G299" t="n">
        <v>1.6</v>
      </c>
      <c r="H299" t="n">
        <v>0</v>
      </c>
      <c r="I299" t="n">
        <v>0</v>
      </c>
      <c r="J299" t="n">
        <v>0</v>
      </c>
      <c r="K299" t="n">
        <v>0</v>
      </c>
      <c r="L299" t="n">
        <v>0</v>
      </c>
      <c r="M299" t="n">
        <v>0</v>
      </c>
      <c r="N299" t="n">
        <v>0</v>
      </c>
      <c r="O299" t="n">
        <v>0</v>
      </c>
      <c r="P299" t="n">
        <v>0</v>
      </c>
      <c r="Q299" t="n">
        <v>0</v>
      </c>
      <c r="R299" s="2" t="inlineStr"/>
    </row>
    <row r="300" ht="15" customHeight="1">
      <c r="A300" t="inlineStr">
        <is>
          <t>A 44527-2020</t>
        </is>
      </c>
      <c r="B300" s="1" t="n">
        <v>44085</v>
      </c>
      <c r="C300" s="1" t="n">
        <v>45830</v>
      </c>
      <c r="D300" t="inlineStr">
        <is>
          <t>SKÅNE LÄN</t>
        </is>
      </c>
      <c r="E300" t="inlineStr">
        <is>
          <t>HÄSSLEHOLM</t>
        </is>
      </c>
      <c r="F300" t="inlineStr">
        <is>
          <t>Kommuner</t>
        </is>
      </c>
      <c r="G300" t="n">
        <v>7.7</v>
      </c>
      <c r="H300" t="n">
        <v>0</v>
      </c>
      <c r="I300" t="n">
        <v>0</v>
      </c>
      <c r="J300" t="n">
        <v>0</v>
      </c>
      <c r="K300" t="n">
        <v>0</v>
      </c>
      <c r="L300" t="n">
        <v>0</v>
      </c>
      <c r="M300" t="n">
        <v>0</v>
      </c>
      <c r="N300" t="n">
        <v>0</v>
      </c>
      <c r="O300" t="n">
        <v>0</v>
      </c>
      <c r="P300" t="n">
        <v>0</v>
      </c>
      <c r="Q300" t="n">
        <v>0</v>
      </c>
      <c r="R300" s="2" t="inlineStr"/>
    </row>
    <row r="301" ht="15" customHeight="1">
      <c r="A301" t="inlineStr">
        <is>
          <t>A 45555-2020</t>
        </is>
      </c>
      <c r="B301" s="1" t="n">
        <v>44089</v>
      </c>
      <c r="C301" s="1" t="n">
        <v>45830</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45814-2020</t>
        </is>
      </c>
      <c r="B302" s="1" t="n">
        <v>44090</v>
      </c>
      <c r="C302" s="1" t="n">
        <v>45830</v>
      </c>
      <c r="D302" t="inlineStr">
        <is>
          <t>SKÅNE LÄN</t>
        </is>
      </c>
      <c r="E302" t="inlineStr">
        <is>
          <t>HÄSSLEHOLM</t>
        </is>
      </c>
      <c r="G302" t="n">
        <v>0.2</v>
      </c>
      <c r="H302" t="n">
        <v>0</v>
      </c>
      <c r="I302" t="n">
        <v>0</v>
      </c>
      <c r="J302" t="n">
        <v>0</v>
      </c>
      <c r="K302" t="n">
        <v>0</v>
      </c>
      <c r="L302" t="n">
        <v>0</v>
      </c>
      <c r="M302" t="n">
        <v>0</v>
      </c>
      <c r="N302" t="n">
        <v>0</v>
      </c>
      <c r="O302" t="n">
        <v>0</v>
      </c>
      <c r="P302" t="n">
        <v>0</v>
      </c>
      <c r="Q302" t="n">
        <v>0</v>
      </c>
      <c r="R302" s="2" t="inlineStr"/>
    </row>
    <row r="303" ht="15" customHeight="1">
      <c r="A303" t="inlineStr">
        <is>
          <t>A 45815-2020</t>
        </is>
      </c>
      <c r="B303" s="1" t="n">
        <v>44090</v>
      </c>
      <c r="C303" s="1" t="n">
        <v>45830</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46125-2020</t>
        </is>
      </c>
      <c r="B304" s="1" t="n">
        <v>44091</v>
      </c>
      <c r="C304" s="1" t="n">
        <v>45830</v>
      </c>
      <c r="D304" t="inlineStr">
        <is>
          <t>SKÅNE LÄN</t>
        </is>
      </c>
      <c r="E304" t="inlineStr">
        <is>
          <t>HÄSSLEHOLM</t>
        </is>
      </c>
      <c r="G304" t="n">
        <v>2</v>
      </c>
      <c r="H304" t="n">
        <v>0</v>
      </c>
      <c r="I304" t="n">
        <v>0</v>
      </c>
      <c r="J304" t="n">
        <v>0</v>
      </c>
      <c r="K304" t="n">
        <v>0</v>
      </c>
      <c r="L304" t="n">
        <v>0</v>
      </c>
      <c r="M304" t="n">
        <v>0</v>
      </c>
      <c r="N304" t="n">
        <v>0</v>
      </c>
      <c r="O304" t="n">
        <v>0</v>
      </c>
      <c r="P304" t="n">
        <v>0</v>
      </c>
      <c r="Q304" t="n">
        <v>0</v>
      </c>
      <c r="R304" s="2" t="inlineStr"/>
    </row>
    <row r="305" ht="15" customHeight="1">
      <c r="A305" t="inlineStr">
        <is>
          <t>A 46145-2020</t>
        </is>
      </c>
      <c r="B305" s="1" t="n">
        <v>44091</v>
      </c>
      <c r="C305" s="1" t="n">
        <v>45830</v>
      </c>
      <c r="D305" t="inlineStr">
        <is>
          <t>SKÅNE LÄN</t>
        </is>
      </c>
      <c r="E305" t="inlineStr">
        <is>
          <t>HÄSSLEHOLM</t>
        </is>
      </c>
      <c r="G305" t="n">
        <v>0.5</v>
      </c>
      <c r="H305" t="n">
        <v>0</v>
      </c>
      <c r="I305" t="n">
        <v>0</v>
      </c>
      <c r="J305" t="n">
        <v>0</v>
      </c>
      <c r="K305" t="n">
        <v>0</v>
      </c>
      <c r="L305" t="n">
        <v>0</v>
      </c>
      <c r="M305" t="n">
        <v>0</v>
      </c>
      <c r="N305" t="n">
        <v>0</v>
      </c>
      <c r="O305" t="n">
        <v>0</v>
      </c>
      <c r="P305" t="n">
        <v>0</v>
      </c>
      <c r="Q305" t="n">
        <v>0</v>
      </c>
      <c r="R305" s="2" t="inlineStr"/>
    </row>
    <row r="306" ht="15" customHeight="1">
      <c r="A306" t="inlineStr">
        <is>
          <t>A 46479-2020</t>
        </is>
      </c>
      <c r="B306" s="1" t="n">
        <v>44095</v>
      </c>
      <c r="C306" s="1" t="n">
        <v>45830</v>
      </c>
      <c r="D306" t="inlineStr">
        <is>
          <t>SKÅNE LÄN</t>
        </is>
      </c>
      <c r="E306" t="inlineStr">
        <is>
          <t>HÄSSLEHOLM</t>
        </is>
      </c>
      <c r="F306" t="inlineStr">
        <is>
          <t>Kyrkan</t>
        </is>
      </c>
      <c r="G306" t="n">
        <v>1.5</v>
      </c>
      <c r="H306" t="n">
        <v>0</v>
      </c>
      <c r="I306" t="n">
        <v>0</v>
      </c>
      <c r="J306" t="n">
        <v>0</v>
      </c>
      <c r="K306" t="n">
        <v>0</v>
      </c>
      <c r="L306" t="n">
        <v>0</v>
      </c>
      <c r="M306" t="n">
        <v>0</v>
      </c>
      <c r="N306" t="n">
        <v>0</v>
      </c>
      <c r="O306" t="n">
        <v>0</v>
      </c>
      <c r="P306" t="n">
        <v>0</v>
      </c>
      <c r="Q306" t="n">
        <v>0</v>
      </c>
      <c r="R306" s="2" t="inlineStr"/>
    </row>
    <row r="307" ht="15" customHeight="1">
      <c r="A307" t="inlineStr">
        <is>
          <t>A 47121-2020</t>
        </is>
      </c>
      <c r="B307" s="1" t="n">
        <v>44096</v>
      </c>
      <c r="C307" s="1" t="n">
        <v>45830</v>
      </c>
      <c r="D307" t="inlineStr">
        <is>
          <t>SKÅNE LÄN</t>
        </is>
      </c>
      <c r="E307" t="inlineStr">
        <is>
          <t>HÄSSLEHOLM</t>
        </is>
      </c>
      <c r="G307" t="n">
        <v>3.6</v>
      </c>
      <c r="H307" t="n">
        <v>0</v>
      </c>
      <c r="I307" t="n">
        <v>0</v>
      </c>
      <c r="J307" t="n">
        <v>0</v>
      </c>
      <c r="K307" t="n">
        <v>0</v>
      </c>
      <c r="L307" t="n">
        <v>0</v>
      </c>
      <c r="M307" t="n">
        <v>0</v>
      </c>
      <c r="N307" t="n">
        <v>0</v>
      </c>
      <c r="O307" t="n">
        <v>0</v>
      </c>
      <c r="P307" t="n">
        <v>0</v>
      </c>
      <c r="Q307" t="n">
        <v>0</v>
      </c>
      <c r="R307" s="2" t="inlineStr"/>
    </row>
    <row r="308" ht="15" customHeight="1">
      <c r="A308" t="inlineStr">
        <is>
          <t>A 47007-2020</t>
        </is>
      </c>
      <c r="B308" s="1" t="n">
        <v>44096</v>
      </c>
      <c r="C308" s="1" t="n">
        <v>45830</v>
      </c>
      <c r="D308" t="inlineStr">
        <is>
          <t>SKÅNE LÄN</t>
        </is>
      </c>
      <c r="E308" t="inlineStr">
        <is>
          <t>HÄSSLEHOLM</t>
        </is>
      </c>
      <c r="G308" t="n">
        <v>2.5</v>
      </c>
      <c r="H308" t="n">
        <v>0</v>
      </c>
      <c r="I308" t="n">
        <v>0</v>
      </c>
      <c r="J308" t="n">
        <v>0</v>
      </c>
      <c r="K308" t="n">
        <v>0</v>
      </c>
      <c r="L308" t="n">
        <v>0</v>
      </c>
      <c r="M308" t="n">
        <v>0</v>
      </c>
      <c r="N308" t="n">
        <v>0</v>
      </c>
      <c r="O308" t="n">
        <v>0</v>
      </c>
      <c r="P308" t="n">
        <v>0</v>
      </c>
      <c r="Q308" t="n">
        <v>0</v>
      </c>
      <c r="R308" s="2" t="inlineStr"/>
    </row>
    <row r="309" ht="15" customHeight="1">
      <c r="A309" t="inlineStr">
        <is>
          <t>A 48397-2020</t>
        </is>
      </c>
      <c r="B309" s="1" t="n">
        <v>44097</v>
      </c>
      <c r="C309" s="1" t="n">
        <v>45830</v>
      </c>
      <c r="D309" t="inlineStr">
        <is>
          <t>SKÅNE LÄN</t>
        </is>
      </c>
      <c r="E309" t="inlineStr">
        <is>
          <t>HÄSSLEHOLM</t>
        </is>
      </c>
      <c r="G309" t="n">
        <v>8</v>
      </c>
      <c r="H309" t="n">
        <v>0</v>
      </c>
      <c r="I309" t="n">
        <v>0</v>
      </c>
      <c r="J309" t="n">
        <v>0</v>
      </c>
      <c r="K309" t="n">
        <v>0</v>
      </c>
      <c r="L309" t="n">
        <v>0</v>
      </c>
      <c r="M309" t="n">
        <v>0</v>
      </c>
      <c r="N309" t="n">
        <v>0</v>
      </c>
      <c r="O309" t="n">
        <v>0</v>
      </c>
      <c r="P309" t="n">
        <v>0</v>
      </c>
      <c r="Q309" t="n">
        <v>0</v>
      </c>
      <c r="R309" s="2" t="inlineStr"/>
    </row>
    <row r="310" ht="15" customHeight="1">
      <c r="A310" t="inlineStr">
        <is>
          <t>A 47283-2020</t>
        </is>
      </c>
      <c r="B310" s="1" t="n">
        <v>44097</v>
      </c>
      <c r="C310" s="1" t="n">
        <v>45830</v>
      </c>
      <c r="D310" t="inlineStr">
        <is>
          <t>SKÅNE LÄN</t>
        </is>
      </c>
      <c r="E310" t="inlineStr">
        <is>
          <t>HÄSSLEHOLM</t>
        </is>
      </c>
      <c r="G310" t="n">
        <v>5.5</v>
      </c>
      <c r="H310" t="n">
        <v>0</v>
      </c>
      <c r="I310" t="n">
        <v>0</v>
      </c>
      <c r="J310" t="n">
        <v>0</v>
      </c>
      <c r="K310" t="n">
        <v>0</v>
      </c>
      <c r="L310" t="n">
        <v>0</v>
      </c>
      <c r="M310" t="n">
        <v>0</v>
      </c>
      <c r="N310" t="n">
        <v>0</v>
      </c>
      <c r="O310" t="n">
        <v>0</v>
      </c>
      <c r="P310" t="n">
        <v>0</v>
      </c>
      <c r="Q310" t="n">
        <v>0</v>
      </c>
      <c r="R310" s="2" t="inlineStr"/>
    </row>
    <row r="311" ht="15" customHeight="1">
      <c r="A311" t="inlineStr">
        <is>
          <t>A 47521-2020</t>
        </is>
      </c>
      <c r="B311" s="1" t="n">
        <v>44098</v>
      </c>
      <c r="C311" s="1" t="n">
        <v>45830</v>
      </c>
      <c r="D311" t="inlineStr">
        <is>
          <t>SKÅNE LÄN</t>
        </is>
      </c>
      <c r="E311" t="inlineStr">
        <is>
          <t>HÄSSLEHOLM</t>
        </is>
      </c>
      <c r="G311" t="n">
        <v>0.9</v>
      </c>
      <c r="H311" t="n">
        <v>0</v>
      </c>
      <c r="I311" t="n">
        <v>0</v>
      </c>
      <c r="J311" t="n">
        <v>0</v>
      </c>
      <c r="K311" t="n">
        <v>0</v>
      </c>
      <c r="L311" t="n">
        <v>0</v>
      </c>
      <c r="M311" t="n">
        <v>0</v>
      </c>
      <c r="N311" t="n">
        <v>0</v>
      </c>
      <c r="O311" t="n">
        <v>0</v>
      </c>
      <c r="P311" t="n">
        <v>0</v>
      </c>
      <c r="Q311" t="n">
        <v>0</v>
      </c>
      <c r="R311" s="2" t="inlineStr"/>
    </row>
    <row r="312" ht="15" customHeight="1">
      <c r="A312" t="inlineStr">
        <is>
          <t>A 47531-2020</t>
        </is>
      </c>
      <c r="B312" s="1" t="n">
        <v>44098</v>
      </c>
      <c r="C312" s="1" t="n">
        <v>45830</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48212-2020</t>
        </is>
      </c>
      <c r="B313" s="1" t="n">
        <v>44102</v>
      </c>
      <c r="C313" s="1" t="n">
        <v>45830</v>
      </c>
      <c r="D313" t="inlineStr">
        <is>
          <t>SKÅNE LÄN</t>
        </is>
      </c>
      <c r="E313" t="inlineStr">
        <is>
          <t>HÄSSLEHOLM</t>
        </is>
      </c>
      <c r="G313" t="n">
        <v>4.2</v>
      </c>
      <c r="H313" t="n">
        <v>0</v>
      </c>
      <c r="I313" t="n">
        <v>0</v>
      </c>
      <c r="J313" t="n">
        <v>0</v>
      </c>
      <c r="K313" t="n">
        <v>0</v>
      </c>
      <c r="L313" t="n">
        <v>0</v>
      </c>
      <c r="M313" t="n">
        <v>0</v>
      </c>
      <c r="N313" t="n">
        <v>0</v>
      </c>
      <c r="O313" t="n">
        <v>0</v>
      </c>
      <c r="P313" t="n">
        <v>0</v>
      </c>
      <c r="Q313" t="n">
        <v>0</v>
      </c>
      <c r="R313" s="2" t="inlineStr"/>
    </row>
    <row r="314" ht="15" customHeight="1">
      <c r="A314" t="inlineStr">
        <is>
          <t>A 48792-2020</t>
        </is>
      </c>
      <c r="B314" s="1" t="n">
        <v>44103</v>
      </c>
      <c r="C314" s="1" t="n">
        <v>45830</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48486-2020</t>
        </is>
      </c>
      <c r="B315" s="1" t="n">
        <v>44103</v>
      </c>
      <c r="C315" s="1" t="n">
        <v>45830</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49786-2020</t>
        </is>
      </c>
      <c r="B316" s="1" t="n">
        <v>44103</v>
      </c>
      <c r="C316" s="1" t="n">
        <v>45830</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49389-2020</t>
        </is>
      </c>
      <c r="B317" s="1" t="n">
        <v>44105</v>
      </c>
      <c r="C317" s="1" t="n">
        <v>45830</v>
      </c>
      <c r="D317" t="inlineStr">
        <is>
          <t>SKÅNE LÄN</t>
        </is>
      </c>
      <c r="E317" t="inlineStr">
        <is>
          <t>HÄSSLEHOLM</t>
        </is>
      </c>
      <c r="G317" t="n">
        <v>1.9</v>
      </c>
      <c r="H317" t="n">
        <v>0</v>
      </c>
      <c r="I317" t="n">
        <v>0</v>
      </c>
      <c r="J317" t="n">
        <v>0</v>
      </c>
      <c r="K317" t="n">
        <v>0</v>
      </c>
      <c r="L317" t="n">
        <v>0</v>
      </c>
      <c r="M317" t="n">
        <v>0</v>
      </c>
      <c r="N317" t="n">
        <v>0</v>
      </c>
      <c r="O317" t="n">
        <v>0</v>
      </c>
      <c r="P317" t="n">
        <v>0</v>
      </c>
      <c r="Q317" t="n">
        <v>0</v>
      </c>
      <c r="R317" s="2" t="inlineStr"/>
    </row>
    <row r="318" ht="15" customHeight="1">
      <c r="A318" t="inlineStr">
        <is>
          <t>A 49865-2020</t>
        </is>
      </c>
      <c r="B318" s="1" t="n">
        <v>44107</v>
      </c>
      <c r="C318" s="1" t="n">
        <v>45830</v>
      </c>
      <c r="D318" t="inlineStr">
        <is>
          <t>SKÅNE LÄN</t>
        </is>
      </c>
      <c r="E318" t="inlineStr">
        <is>
          <t>HÄSSLEHOLM</t>
        </is>
      </c>
      <c r="G318" t="n">
        <v>1.4</v>
      </c>
      <c r="H318" t="n">
        <v>0</v>
      </c>
      <c r="I318" t="n">
        <v>0</v>
      </c>
      <c r="J318" t="n">
        <v>0</v>
      </c>
      <c r="K318" t="n">
        <v>0</v>
      </c>
      <c r="L318" t="n">
        <v>0</v>
      </c>
      <c r="M318" t="n">
        <v>0</v>
      </c>
      <c r="N318" t="n">
        <v>0</v>
      </c>
      <c r="O318" t="n">
        <v>0</v>
      </c>
      <c r="P318" t="n">
        <v>0</v>
      </c>
      <c r="Q318" t="n">
        <v>0</v>
      </c>
      <c r="R318" s="2" t="inlineStr"/>
    </row>
    <row r="319" ht="15" customHeight="1">
      <c r="A319" t="inlineStr">
        <is>
          <t>A 50046-2020</t>
        </is>
      </c>
      <c r="B319" s="1" t="n">
        <v>44109</v>
      </c>
      <c r="C319" s="1" t="n">
        <v>45830</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50372-2020</t>
        </is>
      </c>
      <c r="B320" s="1" t="n">
        <v>44110</v>
      </c>
      <c r="C320" s="1" t="n">
        <v>45830</v>
      </c>
      <c r="D320" t="inlineStr">
        <is>
          <t>SKÅNE LÄN</t>
        </is>
      </c>
      <c r="E320" t="inlineStr">
        <is>
          <t>HÄSSLEHOLM</t>
        </is>
      </c>
      <c r="G320" t="n">
        <v>1.5</v>
      </c>
      <c r="H320" t="n">
        <v>0</v>
      </c>
      <c r="I320" t="n">
        <v>0</v>
      </c>
      <c r="J320" t="n">
        <v>0</v>
      </c>
      <c r="K320" t="n">
        <v>0</v>
      </c>
      <c r="L320" t="n">
        <v>0</v>
      </c>
      <c r="M320" t="n">
        <v>0</v>
      </c>
      <c r="N320" t="n">
        <v>0</v>
      </c>
      <c r="O320" t="n">
        <v>0</v>
      </c>
      <c r="P320" t="n">
        <v>0</v>
      </c>
      <c r="Q320" t="n">
        <v>0</v>
      </c>
      <c r="R320" s="2" t="inlineStr"/>
    </row>
    <row r="321" ht="15" customHeight="1">
      <c r="A321" t="inlineStr">
        <is>
          <t>A 50371-2020</t>
        </is>
      </c>
      <c r="B321" s="1" t="n">
        <v>44110</v>
      </c>
      <c r="C321" s="1" t="n">
        <v>45830</v>
      </c>
      <c r="D321" t="inlineStr">
        <is>
          <t>SKÅNE LÄN</t>
        </is>
      </c>
      <c r="E321" t="inlineStr">
        <is>
          <t>HÄSSLEHOLM</t>
        </is>
      </c>
      <c r="G321" t="n">
        <v>3.8</v>
      </c>
      <c r="H321" t="n">
        <v>0</v>
      </c>
      <c r="I321" t="n">
        <v>0</v>
      </c>
      <c r="J321" t="n">
        <v>0</v>
      </c>
      <c r="K321" t="n">
        <v>0</v>
      </c>
      <c r="L321" t="n">
        <v>0</v>
      </c>
      <c r="M321" t="n">
        <v>0</v>
      </c>
      <c r="N321" t="n">
        <v>0</v>
      </c>
      <c r="O321" t="n">
        <v>0</v>
      </c>
      <c r="P321" t="n">
        <v>0</v>
      </c>
      <c r="Q321" t="n">
        <v>0</v>
      </c>
      <c r="R321" s="2" t="inlineStr"/>
    </row>
    <row r="322" ht="15" customHeight="1">
      <c r="A322" t="inlineStr">
        <is>
          <t>A 52561-2020</t>
        </is>
      </c>
      <c r="B322" s="1" t="n">
        <v>44116</v>
      </c>
      <c r="C322" s="1" t="n">
        <v>45830</v>
      </c>
      <c r="D322" t="inlineStr">
        <is>
          <t>SKÅNE LÄN</t>
        </is>
      </c>
      <c r="E322" t="inlineStr">
        <is>
          <t>HÄSSLEHOLM</t>
        </is>
      </c>
      <c r="G322" t="n">
        <v>6</v>
      </c>
      <c r="H322" t="n">
        <v>0</v>
      </c>
      <c r="I322" t="n">
        <v>0</v>
      </c>
      <c r="J322" t="n">
        <v>0</v>
      </c>
      <c r="K322" t="n">
        <v>0</v>
      </c>
      <c r="L322" t="n">
        <v>0</v>
      </c>
      <c r="M322" t="n">
        <v>0</v>
      </c>
      <c r="N322" t="n">
        <v>0</v>
      </c>
      <c r="O322" t="n">
        <v>0</v>
      </c>
      <c r="P322" t="n">
        <v>0</v>
      </c>
      <c r="Q322" t="n">
        <v>0</v>
      </c>
      <c r="R322" s="2" t="inlineStr"/>
    </row>
    <row r="323" ht="15" customHeight="1">
      <c r="A323" t="inlineStr">
        <is>
          <t>A 52852-2020</t>
        </is>
      </c>
      <c r="B323" s="1" t="n">
        <v>44119</v>
      </c>
      <c r="C323" s="1" t="n">
        <v>45830</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52863-2020</t>
        </is>
      </c>
      <c r="B324" s="1" t="n">
        <v>44119</v>
      </c>
      <c r="C324" s="1" t="n">
        <v>45830</v>
      </c>
      <c r="D324" t="inlineStr">
        <is>
          <t>SKÅNE LÄN</t>
        </is>
      </c>
      <c r="E324" t="inlineStr">
        <is>
          <t>HÄSSLEHOLM</t>
        </is>
      </c>
      <c r="G324" t="n">
        <v>3</v>
      </c>
      <c r="H324" t="n">
        <v>0</v>
      </c>
      <c r="I324" t="n">
        <v>0</v>
      </c>
      <c r="J324" t="n">
        <v>0</v>
      </c>
      <c r="K324" t="n">
        <v>0</v>
      </c>
      <c r="L324" t="n">
        <v>0</v>
      </c>
      <c r="M324" t="n">
        <v>0</v>
      </c>
      <c r="N324" t="n">
        <v>0</v>
      </c>
      <c r="O324" t="n">
        <v>0</v>
      </c>
      <c r="P324" t="n">
        <v>0</v>
      </c>
      <c r="Q324" t="n">
        <v>0</v>
      </c>
      <c r="R324" s="2" t="inlineStr"/>
    </row>
    <row r="325" ht="15" customHeight="1">
      <c r="A325" t="inlineStr">
        <is>
          <t>A 52860-2020</t>
        </is>
      </c>
      <c r="B325" s="1" t="n">
        <v>44119</v>
      </c>
      <c r="C325" s="1" t="n">
        <v>45830</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54081-2020</t>
        </is>
      </c>
      <c r="B326" s="1" t="n">
        <v>44125</v>
      </c>
      <c r="C326" s="1" t="n">
        <v>45830</v>
      </c>
      <c r="D326" t="inlineStr">
        <is>
          <t>SKÅNE LÄN</t>
        </is>
      </c>
      <c r="E326" t="inlineStr">
        <is>
          <t>HÄSSLEHOLM</t>
        </is>
      </c>
      <c r="G326" t="n">
        <v>0.2</v>
      </c>
      <c r="H326" t="n">
        <v>0</v>
      </c>
      <c r="I326" t="n">
        <v>0</v>
      </c>
      <c r="J326" t="n">
        <v>0</v>
      </c>
      <c r="K326" t="n">
        <v>0</v>
      </c>
      <c r="L326" t="n">
        <v>0</v>
      </c>
      <c r="M326" t="n">
        <v>0</v>
      </c>
      <c r="N326" t="n">
        <v>0</v>
      </c>
      <c r="O326" t="n">
        <v>0</v>
      </c>
      <c r="P326" t="n">
        <v>0</v>
      </c>
      <c r="Q326" t="n">
        <v>0</v>
      </c>
      <c r="R326" s="2" t="inlineStr"/>
    </row>
    <row r="327" ht="15" customHeight="1">
      <c r="A327" t="inlineStr">
        <is>
          <t>A 54079-2020</t>
        </is>
      </c>
      <c r="B327" s="1" t="n">
        <v>44125</v>
      </c>
      <c r="C327" s="1" t="n">
        <v>45830</v>
      </c>
      <c r="D327" t="inlineStr">
        <is>
          <t>SKÅNE LÄN</t>
        </is>
      </c>
      <c r="E327" t="inlineStr">
        <is>
          <t>HÄSSLEHOLM</t>
        </is>
      </c>
      <c r="G327" t="n">
        <v>0.3</v>
      </c>
      <c r="H327" t="n">
        <v>0</v>
      </c>
      <c r="I327" t="n">
        <v>0</v>
      </c>
      <c r="J327" t="n">
        <v>0</v>
      </c>
      <c r="K327" t="n">
        <v>0</v>
      </c>
      <c r="L327" t="n">
        <v>0</v>
      </c>
      <c r="M327" t="n">
        <v>0</v>
      </c>
      <c r="N327" t="n">
        <v>0</v>
      </c>
      <c r="O327" t="n">
        <v>0</v>
      </c>
      <c r="P327" t="n">
        <v>0</v>
      </c>
      <c r="Q327" t="n">
        <v>0</v>
      </c>
      <c r="R327" s="2" t="inlineStr"/>
    </row>
    <row r="328" ht="15" customHeight="1">
      <c r="A328" t="inlineStr">
        <is>
          <t>A 54084-2020</t>
        </is>
      </c>
      <c r="B328" s="1" t="n">
        <v>44125</v>
      </c>
      <c r="C328" s="1" t="n">
        <v>45830</v>
      </c>
      <c r="D328" t="inlineStr">
        <is>
          <t>SKÅNE LÄN</t>
        </is>
      </c>
      <c r="E328" t="inlineStr">
        <is>
          <t>HÄSSLEHOLM</t>
        </is>
      </c>
      <c r="G328" t="n">
        <v>1.6</v>
      </c>
      <c r="H328" t="n">
        <v>0</v>
      </c>
      <c r="I328" t="n">
        <v>0</v>
      </c>
      <c r="J328" t="n">
        <v>0</v>
      </c>
      <c r="K328" t="n">
        <v>0</v>
      </c>
      <c r="L328" t="n">
        <v>0</v>
      </c>
      <c r="M328" t="n">
        <v>0</v>
      </c>
      <c r="N328" t="n">
        <v>0</v>
      </c>
      <c r="O328" t="n">
        <v>0</v>
      </c>
      <c r="P328" t="n">
        <v>0</v>
      </c>
      <c r="Q328" t="n">
        <v>0</v>
      </c>
      <c r="R328" s="2" t="inlineStr"/>
    </row>
    <row r="329" ht="15" customHeight="1">
      <c r="A329" t="inlineStr">
        <is>
          <t>A 54371-2020</t>
        </is>
      </c>
      <c r="B329" s="1" t="n">
        <v>44126</v>
      </c>
      <c r="C329" s="1" t="n">
        <v>45830</v>
      </c>
      <c r="D329" t="inlineStr">
        <is>
          <t>SKÅNE LÄN</t>
        </is>
      </c>
      <c r="E329" t="inlineStr">
        <is>
          <t>HÄSSLEHOLM</t>
        </is>
      </c>
      <c r="G329" t="n">
        <v>1</v>
      </c>
      <c r="H329" t="n">
        <v>0</v>
      </c>
      <c r="I329" t="n">
        <v>0</v>
      </c>
      <c r="J329" t="n">
        <v>0</v>
      </c>
      <c r="K329" t="n">
        <v>0</v>
      </c>
      <c r="L329" t="n">
        <v>0</v>
      </c>
      <c r="M329" t="n">
        <v>0</v>
      </c>
      <c r="N329" t="n">
        <v>0</v>
      </c>
      <c r="O329" t="n">
        <v>0</v>
      </c>
      <c r="P329" t="n">
        <v>0</v>
      </c>
      <c r="Q329" t="n">
        <v>0</v>
      </c>
      <c r="R329" s="2" t="inlineStr"/>
    </row>
    <row r="330" ht="15" customHeight="1">
      <c r="A330" t="inlineStr">
        <is>
          <t>A 54363-2020</t>
        </is>
      </c>
      <c r="B330" s="1" t="n">
        <v>44126</v>
      </c>
      <c r="C330" s="1" t="n">
        <v>45830</v>
      </c>
      <c r="D330" t="inlineStr">
        <is>
          <t>SKÅNE LÄN</t>
        </is>
      </c>
      <c r="E330" t="inlineStr">
        <is>
          <t>HÄSSLEHOLM</t>
        </is>
      </c>
      <c r="G330" t="n">
        <v>4.8</v>
      </c>
      <c r="H330" t="n">
        <v>0</v>
      </c>
      <c r="I330" t="n">
        <v>0</v>
      </c>
      <c r="J330" t="n">
        <v>0</v>
      </c>
      <c r="K330" t="n">
        <v>0</v>
      </c>
      <c r="L330" t="n">
        <v>0</v>
      </c>
      <c r="M330" t="n">
        <v>0</v>
      </c>
      <c r="N330" t="n">
        <v>0</v>
      </c>
      <c r="O330" t="n">
        <v>0</v>
      </c>
      <c r="P330" t="n">
        <v>0</v>
      </c>
      <c r="Q330" t="n">
        <v>0</v>
      </c>
      <c r="R330" s="2" t="inlineStr"/>
    </row>
    <row r="331" ht="15" customHeight="1">
      <c r="A331" t="inlineStr">
        <is>
          <t>A 54493-2020</t>
        </is>
      </c>
      <c r="B331" s="1" t="n">
        <v>44126</v>
      </c>
      <c r="C331" s="1" t="n">
        <v>45830</v>
      </c>
      <c r="D331" t="inlineStr">
        <is>
          <t>SKÅNE LÄN</t>
        </is>
      </c>
      <c r="E331" t="inlineStr">
        <is>
          <t>HÄSSLEHOLM</t>
        </is>
      </c>
      <c r="F331" t="inlineStr">
        <is>
          <t>Kyrkan</t>
        </is>
      </c>
      <c r="G331" t="n">
        <v>4.4</v>
      </c>
      <c r="H331" t="n">
        <v>0</v>
      </c>
      <c r="I331" t="n">
        <v>0</v>
      </c>
      <c r="J331" t="n">
        <v>0</v>
      </c>
      <c r="K331" t="n">
        <v>0</v>
      </c>
      <c r="L331" t="n">
        <v>0</v>
      </c>
      <c r="M331" t="n">
        <v>0</v>
      </c>
      <c r="N331" t="n">
        <v>0</v>
      </c>
      <c r="O331" t="n">
        <v>0</v>
      </c>
      <c r="P331" t="n">
        <v>0</v>
      </c>
      <c r="Q331" t="n">
        <v>0</v>
      </c>
      <c r="R331" s="2" t="inlineStr"/>
    </row>
    <row r="332" ht="15" customHeight="1">
      <c r="A332" t="inlineStr">
        <is>
          <t>A 54359-2020</t>
        </is>
      </c>
      <c r="B332" s="1" t="n">
        <v>44126</v>
      </c>
      <c r="C332" s="1" t="n">
        <v>45830</v>
      </c>
      <c r="D332" t="inlineStr">
        <is>
          <t>SKÅNE LÄN</t>
        </is>
      </c>
      <c r="E332" t="inlineStr">
        <is>
          <t>HÄSSLEHOLM</t>
        </is>
      </c>
      <c r="G332" t="n">
        <v>1.2</v>
      </c>
      <c r="H332" t="n">
        <v>0</v>
      </c>
      <c r="I332" t="n">
        <v>0</v>
      </c>
      <c r="J332" t="n">
        <v>0</v>
      </c>
      <c r="K332" t="n">
        <v>0</v>
      </c>
      <c r="L332" t="n">
        <v>0</v>
      </c>
      <c r="M332" t="n">
        <v>0</v>
      </c>
      <c r="N332" t="n">
        <v>0</v>
      </c>
      <c r="O332" t="n">
        <v>0</v>
      </c>
      <c r="P332" t="n">
        <v>0</v>
      </c>
      <c r="Q332" t="n">
        <v>0</v>
      </c>
      <c r="R332" s="2" t="inlineStr"/>
    </row>
    <row r="333" ht="15" customHeight="1">
      <c r="A333" t="inlineStr">
        <is>
          <t>A 54365-2020</t>
        </is>
      </c>
      <c r="B333" s="1" t="n">
        <v>44126</v>
      </c>
      <c r="C333" s="1" t="n">
        <v>45830</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54374-2020</t>
        </is>
      </c>
      <c r="B334" s="1" t="n">
        <v>44126</v>
      </c>
      <c r="C334" s="1" t="n">
        <v>45830</v>
      </c>
      <c r="D334" t="inlineStr">
        <is>
          <t>SKÅNE LÄN</t>
        </is>
      </c>
      <c r="E334" t="inlineStr">
        <is>
          <t>HÄSSLEHOLM</t>
        </is>
      </c>
      <c r="G334" t="n">
        <v>2.1</v>
      </c>
      <c r="H334" t="n">
        <v>0</v>
      </c>
      <c r="I334" t="n">
        <v>0</v>
      </c>
      <c r="J334" t="n">
        <v>0</v>
      </c>
      <c r="K334" t="n">
        <v>0</v>
      </c>
      <c r="L334" t="n">
        <v>0</v>
      </c>
      <c r="M334" t="n">
        <v>0</v>
      </c>
      <c r="N334" t="n">
        <v>0</v>
      </c>
      <c r="O334" t="n">
        <v>0</v>
      </c>
      <c r="P334" t="n">
        <v>0</v>
      </c>
      <c r="Q334" t="n">
        <v>0</v>
      </c>
      <c r="R334" s="2" t="inlineStr"/>
    </row>
    <row r="335" ht="15" customHeight="1">
      <c r="A335" t="inlineStr">
        <is>
          <t>A 54362-2020</t>
        </is>
      </c>
      <c r="B335" s="1" t="n">
        <v>44126</v>
      </c>
      <c r="C335" s="1" t="n">
        <v>45830</v>
      </c>
      <c r="D335" t="inlineStr">
        <is>
          <t>SKÅNE LÄN</t>
        </is>
      </c>
      <c r="E335" t="inlineStr">
        <is>
          <t>HÄSSLEHOLM</t>
        </is>
      </c>
      <c r="G335" t="n">
        <v>4.5</v>
      </c>
      <c r="H335" t="n">
        <v>0</v>
      </c>
      <c r="I335" t="n">
        <v>0</v>
      </c>
      <c r="J335" t="n">
        <v>0</v>
      </c>
      <c r="K335" t="n">
        <v>0</v>
      </c>
      <c r="L335" t="n">
        <v>0</v>
      </c>
      <c r="M335" t="n">
        <v>0</v>
      </c>
      <c r="N335" t="n">
        <v>0</v>
      </c>
      <c r="O335" t="n">
        <v>0</v>
      </c>
      <c r="P335" t="n">
        <v>0</v>
      </c>
      <c r="Q335" t="n">
        <v>0</v>
      </c>
      <c r="R335" s="2" t="inlineStr"/>
    </row>
    <row r="336" ht="15" customHeight="1">
      <c r="A336" t="inlineStr">
        <is>
          <t>A 56158-2020</t>
        </is>
      </c>
      <c r="B336" s="1" t="n">
        <v>44133</v>
      </c>
      <c r="C336" s="1" t="n">
        <v>45830</v>
      </c>
      <c r="D336" t="inlineStr">
        <is>
          <t>SKÅNE LÄN</t>
        </is>
      </c>
      <c r="E336" t="inlineStr">
        <is>
          <t>HÄSSLEHOLM</t>
        </is>
      </c>
      <c r="G336" t="n">
        <v>0.6</v>
      </c>
      <c r="H336" t="n">
        <v>0</v>
      </c>
      <c r="I336" t="n">
        <v>0</v>
      </c>
      <c r="J336" t="n">
        <v>0</v>
      </c>
      <c r="K336" t="n">
        <v>0</v>
      </c>
      <c r="L336" t="n">
        <v>0</v>
      </c>
      <c r="M336" t="n">
        <v>0</v>
      </c>
      <c r="N336" t="n">
        <v>0</v>
      </c>
      <c r="O336" t="n">
        <v>0</v>
      </c>
      <c r="P336" t="n">
        <v>0</v>
      </c>
      <c r="Q336" t="n">
        <v>0</v>
      </c>
      <c r="R336" s="2" t="inlineStr"/>
    </row>
    <row r="337" ht="15" customHeight="1">
      <c r="A337" t="inlineStr">
        <is>
          <t>A 57811-2020</t>
        </is>
      </c>
      <c r="B337" s="1" t="n">
        <v>44141</v>
      </c>
      <c r="C337" s="1" t="n">
        <v>45830</v>
      </c>
      <c r="D337" t="inlineStr">
        <is>
          <t>SKÅNE LÄN</t>
        </is>
      </c>
      <c r="E337" t="inlineStr">
        <is>
          <t>HÄSSLEHOLM</t>
        </is>
      </c>
      <c r="G337" t="n">
        <v>2</v>
      </c>
      <c r="H337" t="n">
        <v>0</v>
      </c>
      <c r="I337" t="n">
        <v>0</v>
      </c>
      <c r="J337" t="n">
        <v>0</v>
      </c>
      <c r="K337" t="n">
        <v>0</v>
      </c>
      <c r="L337" t="n">
        <v>0</v>
      </c>
      <c r="M337" t="n">
        <v>0</v>
      </c>
      <c r="N337" t="n">
        <v>0</v>
      </c>
      <c r="O337" t="n">
        <v>0</v>
      </c>
      <c r="P337" t="n">
        <v>0</v>
      </c>
      <c r="Q337" t="n">
        <v>0</v>
      </c>
      <c r="R337" s="2" t="inlineStr"/>
    </row>
    <row r="338" ht="15" customHeight="1">
      <c r="A338" t="inlineStr">
        <is>
          <t>A 58091-2020</t>
        </is>
      </c>
      <c r="B338" s="1" t="n">
        <v>44144</v>
      </c>
      <c r="C338" s="1" t="n">
        <v>45830</v>
      </c>
      <c r="D338" t="inlineStr">
        <is>
          <t>SKÅNE LÄN</t>
        </is>
      </c>
      <c r="E338" t="inlineStr">
        <is>
          <t>HÄSSLEHOLM</t>
        </is>
      </c>
      <c r="G338" t="n">
        <v>1.7</v>
      </c>
      <c r="H338" t="n">
        <v>0</v>
      </c>
      <c r="I338" t="n">
        <v>0</v>
      </c>
      <c r="J338" t="n">
        <v>0</v>
      </c>
      <c r="K338" t="n">
        <v>0</v>
      </c>
      <c r="L338" t="n">
        <v>0</v>
      </c>
      <c r="M338" t="n">
        <v>0</v>
      </c>
      <c r="N338" t="n">
        <v>0</v>
      </c>
      <c r="O338" t="n">
        <v>0</v>
      </c>
      <c r="P338" t="n">
        <v>0</v>
      </c>
      <c r="Q338" t="n">
        <v>0</v>
      </c>
      <c r="R338" s="2" t="inlineStr"/>
    </row>
    <row r="339" ht="15" customHeight="1">
      <c r="A339" t="inlineStr">
        <is>
          <t>A 58509-2020</t>
        </is>
      </c>
      <c r="B339" s="1" t="n">
        <v>44144</v>
      </c>
      <c r="C339" s="1" t="n">
        <v>45830</v>
      </c>
      <c r="D339" t="inlineStr">
        <is>
          <t>SKÅNE LÄN</t>
        </is>
      </c>
      <c r="E339" t="inlineStr">
        <is>
          <t>HÄSSLEHOLM</t>
        </is>
      </c>
      <c r="G339" t="n">
        <v>8.5</v>
      </c>
      <c r="H339" t="n">
        <v>0</v>
      </c>
      <c r="I339" t="n">
        <v>0</v>
      </c>
      <c r="J339" t="n">
        <v>0</v>
      </c>
      <c r="K339" t="n">
        <v>0</v>
      </c>
      <c r="L339" t="n">
        <v>0</v>
      </c>
      <c r="M339" t="n">
        <v>0</v>
      </c>
      <c r="N339" t="n">
        <v>0</v>
      </c>
      <c r="O339" t="n">
        <v>0</v>
      </c>
      <c r="P339" t="n">
        <v>0</v>
      </c>
      <c r="Q339" t="n">
        <v>0</v>
      </c>
      <c r="R339" s="2" t="inlineStr"/>
    </row>
    <row r="340" ht="15" customHeight="1">
      <c r="A340" t="inlineStr">
        <is>
          <t>A 59295-2020</t>
        </is>
      </c>
      <c r="B340" s="1" t="n">
        <v>44147</v>
      </c>
      <c r="C340" s="1" t="n">
        <v>45830</v>
      </c>
      <c r="D340" t="inlineStr">
        <is>
          <t>SKÅNE LÄN</t>
        </is>
      </c>
      <c r="E340" t="inlineStr">
        <is>
          <t>HÄSSLEHOLM</t>
        </is>
      </c>
      <c r="G340" t="n">
        <v>4.3</v>
      </c>
      <c r="H340" t="n">
        <v>0</v>
      </c>
      <c r="I340" t="n">
        <v>0</v>
      </c>
      <c r="J340" t="n">
        <v>0</v>
      </c>
      <c r="K340" t="n">
        <v>0</v>
      </c>
      <c r="L340" t="n">
        <v>0</v>
      </c>
      <c r="M340" t="n">
        <v>0</v>
      </c>
      <c r="N340" t="n">
        <v>0</v>
      </c>
      <c r="O340" t="n">
        <v>0</v>
      </c>
      <c r="P340" t="n">
        <v>0</v>
      </c>
      <c r="Q340" t="n">
        <v>0</v>
      </c>
      <c r="R340" s="2" t="inlineStr"/>
    </row>
    <row r="341" ht="15" customHeight="1">
      <c r="A341" t="inlineStr">
        <is>
          <t>A 59302-2020</t>
        </is>
      </c>
      <c r="B341" s="1" t="n">
        <v>44147</v>
      </c>
      <c r="C341" s="1" t="n">
        <v>45830</v>
      </c>
      <c r="D341" t="inlineStr">
        <is>
          <t>SKÅNE LÄN</t>
        </is>
      </c>
      <c r="E341" t="inlineStr">
        <is>
          <t>HÄSSLEHOLM</t>
        </is>
      </c>
      <c r="G341" t="n">
        <v>11.2</v>
      </c>
      <c r="H341" t="n">
        <v>0</v>
      </c>
      <c r="I341" t="n">
        <v>0</v>
      </c>
      <c r="J341" t="n">
        <v>0</v>
      </c>
      <c r="K341" t="n">
        <v>0</v>
      </c>
      <c r="L341" t="n">
        <v>0</v>
      </c>
      <c r="M341" t="n">
        <v>0</v>
      </c>
      <c r="N341" t="n">
        <v>0</v>
      </c>
      <c r="O341" t="n">
        <v>0</v>
      </c>
      <c r="P341" t="n">
        <v>0</v>
      </c>
      <c r="Q341" t="n">
        <v>0</v>
      </c>
      <c r="R341" s="2" t="inlineStr"/>
    </row>
    <row r="342" ht="15" customHeight="1">
      <c r="A342" t="inlineStr">
        <is>
          <t>A 59418-2020</t>
        </is>
      </c>
      <c r="B342" s="1" t="n">
        <v>44148</v>
      </c>
      <c r="C342" s="1" t="n">
        <v>45830</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59542-2020</t>
        </is>
      </c>
      <c r="B343" s="1" t="n">
        <v>44148</v>
      </c>
      <c r="C343" s="1" t="n">
        <v>45830</v>
      </c>
      <c r="D343" t="inlineStr">
        <is>
          <t>SKÅNE LÄN</t>
        </is>
      </c>
      <c r="E343" t="inlineStr">
        <is>
          <t>HÄSSLEHOLM</t>
        </is>
      </c>
      <c r="G343" t="n">
        <v>0.7</v>
      </c>
      <c r="H343" t="n">
        <v>0</v>
      </c>
      <c r="I343" t="n">
        <v>0</v>
      </c>
      <c r="J343" t="n">
        <v>0</v>
      </c>
      <c r="K343" t="n">
        <v>0</v>
      </c>
      <c r="L343" t="n">
        <v>0</v>
      </c>
      <c r="M343" t="n">
        <v>0</v>
      </c>
      <c r="N343" t="n">
        <v>0</v>
      </c>
      <c r="O343" t="n">
        <v>0</v>
      </c>
      <c r="P343" t="n">
        <v>0</v>
      </c>
      <c r="Q343" t="n">
        <v>0</v>
      </c>
      <c r="R343" s="2" t="inlineStr"/>
    </row>
    <row r="344" ht="15" customHeight="1">
      <c r="A344" t="inlineStr">
        <is>
          <t>A 60597-2020</t>
        </is>
      </c>
      <c r="B344" s="1" t="n">
        <v>44152</v>
      </c>
      <c r="C344" s="1" t="n">
        <v>45830</v>
      </c>
      <c r="D344" t="inlineStr">
        <is>
          <t>SKÅNE LÄN</t>
        </is>
      </c>
      <c r="E344" t="inlineStr">
        <is>
          <t>HÄSSLEHOLM</t>
        </is>
      </c>
      <c r="G344" t="n">
        <v>3.4</v>
      </c>
      <c r="H344" t="n">
        <v>0</v>
      </c>
      <c r="I344" t="n">
        <v>0</v>
      </c>
      <c r="J344" t="n">
        <v>0</v>
      </c>
      <c r="K344" t="n">
        <v>0</v>
      </c>
      <c r="L344" t="n">
        <v>0</v>
      </c>
      <c r="M344" t="n">
        <v>0</v>
      </c>
      <c r="N344" t="n">
        <v>0</v>
      </c>
      <c r="O344" t="n">
        <v>0</v>
      </c>
      <c r="P344" t="n">
        <v>0</v>
      </c>
      <c r="Q344" t="n">
        <v>0</v>
      </c>
      <c r="R344" s="2" t="inlineStr"/>
    </row>
    <row r="345" ht="15" customHeight="1">
      <c r="A345" t="inlineStr">
        <is>
          <t>A 61216-2020</t>
        </is>
      </c>
      <c r="B345" s="1" t="n">
        <v>44155</v>
      </c>
      <c r="C345" s="1" t="n">
        <v>45830</v>
      </c>
      <c r="D345" t="inlineStr">
        <is>
          <t>SKÅNE LÄN</t>
        </is>
      </c>
      <c r="E345" t="inlineStr">
        <is>
          <t>HÄSSLEHOLM</t>
        </is>
      </c>
      <c r="G345" t="n">
        <v>1.3</v>
      </c>
      <c r="H345" t="n">
        <v>0</v>
      </c>
      <c r="I345" t="n">
        <v>0</v>
      </c>
      <c r="J345" t="n">
        <v>0</v>
      </c>
      <c r="K345" t="n">
        <v>0</v>
      </c>
      <c r="L345" t="n">
        <v>0</v>
      </c>
      <c r="M345" t="n">
        <v>0</v>
      </c>
      <c r="N345" t="n">
        <v>0</v>
      </c>
      <c r="O345" t="n">
        <v>0</v>
      </c>
      <c r="P345" t="n">
        <v>0</v>
      </c>
      <c r="Q345" t="n">
        <v>0</v>
      </c>
      <c r="R345" s="2" t="inlineStr"/>
    </row>
    <row r="346" ht="15" customHeight="1">
      <c r="A346" t="inlineStr">
        <is>
          <t>A 61233-2020</t>
        </is>
      </c>
      <c r="B346" s="1" t="n">
        <v>44155</v>
      </c>
      <c r="C346" s="1" t="n">
        <v>45830</v>
      </c>
      <c r="D346" t="inlineStr">
        <is>
          <t>SKÅNE LÄN</t>
        </is>
      </c>
      <c r="E346" t="inlineStr">
        <is>
          <t>HÄSSLEHOLM</t>
        </is>
      </c>
      <c r="G346" t="n">
        <v>1.7</v>
      </c>
      <c r="H346" t="n">
        <v>0</v>
      </c>
      <c r="I346" t="n">
        <v>0</v>
      </c>
      <c r="J346" t="n">
        <v>0</v>
      </c>
      <c r="K346" t="n">
        <v>0</v>
      </c>
      <c r="L346" t="n">
        <v>0</v>
      </c>
      <c r="M346" t="n">
        <v>0</v>
      </c>
      <c r="N346" t="n">
        <v>0</v>
      </c>
      <c r="O346" t="n">
        <v>0</v>
      </c>
      <c r="P346" t="n">
        <v>0</v>
      </c>
      <c r="Q346" t="n">
        <v>0</v>
      </c>
      <c r="R346" s="2" t="inlineStr"/>
    </row>
    <row r="347" ht="15" customHeight="1">
      <c r="A347" t="inlineStr">
        <is>
          <t>A 62347-2020</t>
        </is>
      </c>
      <c r="B347" s="1" t="n">
        <v>44159</v>
      </c>
      <c r="C347" s="1" t="n">
        <v>45830</v>
      </c>
      <c r="D347" t="inlineStr">
        <is>
          <t>SKÅNE LÄN</t>
        </is>
      </c>
      <c r="E347" t="inlineStr">
        <is>
          <t>HÄSSLEHOLM</t>
        </is>
      </c>
      <c r="G347" t="n">
        <v>4</v>
      </c>
      <c r="H347" t="n">
        <v>0</v>
      </c>
      <c r="I347" t="n">
        <v>0</v>
      </c>
      <c r="J347" t="n">
        <v>0</v>
      </c>
      <c r="K347" t="n">
        <v>0</v>
      </c>
      <c r="L347" t="n">
        <v>0</v>
      </c>
      <c r="M347" t="n">
        <v>0</v>
      </c>
      <c r="N347" t="n">
        <v>0</v>
      </c>
      <c r="O347" t="n">
        <v>0</v>
      </c>
      <c r="P347" t="n">
        <v>0</v>
      </c>
      <c r="Q347" t="n">
        <v>0</v>
      </c>
      <c r="R347" s="2" t="inlineStr"/>
    </row>
    <row r="348" ht="15" customHeight="1">
      <c r="A348" t="inlineStr">
        <is>
          <t>A 62802-2020</t>
        </is>
      </c>
      <c r="B348" s="1" t="n">
        <v>44161</v>
      </c>
      <c r="C348" s="1" t="n">
        <v>45830</v>
      </c>
      <c r="D348" t="inlineStr">
        <is>
          <t>SKÅNE LÄN</t>
        </is>
      </c>
      <c r="E348" t="inlineStr">
        <is>
          <t>HÄSSLEHOLM</t>
        </is>
      </c>
      <c r="G348" t="n">
        <v>1.1</v>
      </c>
      <c r="H348" t="n">
        <v>0</v>
      </c>
      <c r="I348" t="n">
        <v>0</v>
      </c>
      <c r="J348" t="n">
        <v>0</v>
      </c>
      <c r="K348" t="n">
        <v>0</v>
      </c>
      <c r="L348" t="n">
        <v>0</v>
      </c>
      <c r="M348" t="n">
        <v>0</v>
      </c>
      <c r="N348" t="n">
        <v>0</v>
      </c>
      <c r="O348" t="n">
        <v>0</v>
      </c>
      <c r="P348" t="n">
        <v>0</v>
      </c>
      <c r="Q348" t="n">
        <v>0</v>
      </c>
      <c r="R348" s="2" t="inlineStr"/>
    </row>
    <row r="349" ht="15" customHeight="1">
      <c r="A349" t="inlineStr">
        <is>
          <t>A 62782-2020</t>
        </is>
      </c>
      <c r="B349" s="1" t="n">
        <v>44161</v>
      </c>
      <c r="C349" s="1" t="n">
        <v>45830</v>
      </c>
      <c r="D349" t="inlineStr">
        <is>
          <t>SKÅNE LÄN</t>
        </is>
      </c>
      <c r="E349" t="inlineStr">
        <is>
          <t>HÄSSLEHOLM</t>
        </is>
      </c>
      <c r="F349" t="inlineStr">
        <is>
          <t>Kyrkan</t>
        </is>
      </c>
      <c r="G349" t="n">
        <v>1.6</v>
      </c>
      <c r="H349" t="n">
        <v>0</v>
      </c>
      <c r="I349" t="n">
        <v>0</v>
      </c>
      <c r="J349" t="n">
        <v>0</v>
      </c>
      <c r="K349" t="n">
        <v>0</v>
      </c>
      <c r="L349" t="n">
        <v>0</v>
      </c>
      <c r="M349" t="n">
        <v>0</v>
      </c>
      <c r="N349" t="n">
        <v>0</v>
      </c>
      <c r="O349" t="n">
        <v>0</v>
      </c>
      <c r="P349" t="n">
        <v>0</v>
      </c>
      <c r="Q349" t="n">
        <v>0</v>
      </c>
      <c r="R349" s="2" t="inlineStr"/>
    </row>
    <row r="350" ht="15" customHeight="1">
      <c r="A350" t="inlineStr">
        <is>
          <t>A 62858-2020</t>
        </is>
      </c>
      <c r="B350" s="1" t="n">
        <v>44161</v>
      </c>
      <c r="C350" s="1" t="n">
        <v>45830</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64361-2020</t>
        </is>
      </c>
      <c r="B351" s="1" t="n">
        <v>44168</v>
      </c>
      <c r="C351" s="1" t="n">
        <v>45830</v>
      </c>
      <c r="D351" t="inlineStr">
        <is>
          <t>SKÅNE LÄN</t>
        </is>
      </c>
      <c r="E351" t="inlineStr">
        <is>
          <t>HÄSSLEHOLM</t>
        </is>
      </c>
      <c r="G351" t="n">
        <v>5.4</v>
      </c>
      <c r="H351" t="n">
        <v>0</v>
      </c>
      <c r="I351" t="n">
        <v>0</v>
      </c>
      <c r="J351" t="n">
        <v>0</v>
      </c>
      <c r="K351" t="n">
        <v>0</v>
      </c>
      <c r="L351" t="n">
        <v>0</v>
      </c>
      <c r="M351" t="n">
        <v>0</v>
      </c>
      <c r="N351" t="n">
        <v>0</v>
      </c>
      <c r="O351" t="n">
        <v>0</v>
      </c>
      <c r="P351" t="n">
        <v>0</v>
      </c>
      <c r="Q351" t="n">
        <v>0</v>
      </c>
      <c r="R351" s="2" t="inlineStr"/>
    </row>
    <row r="352" ht="15" customHeight="1">
      <c r="A352" t="inlineStr">
        <is>
          <t>A 64211-2020</t>
        </is>
      </c>
      <c r="B352" s="1" t="n">
        <v>44168</v>
      </c>
      <c r="C352" s="1" t="n">
        <v>45830</v>
      </c>
      <c r="D352" t="inlineStr">
        <is>
          <t>SKÅNE LÄN</t>
        </is>
      </c>
      <c r="E352" t="inlineStr">
        <is>
          <t>HÄSSLEHOLM</t>
        </is>
      </c>
      <c r="G352" t="n">
        <v>4.1</v>
      </c>
      <c r="H352" t="n">
        <v>0</v>
      </c>
      <c r="I352" t="n">
        <v>0</v>
      </c>
      <c r="J352" t="n">
        <v>0</v>
      </c>
      <c r="K352" t="n">
        <v>0</v>
      </c>
      <c r="L352" t="n">
        <v>0</v>
      </c>
      <c r="M352" t="n">
        <v>0</v>
      </c>
      <c r="N352" t="n">
        <v>0</v>
      </c>
      <c r="O352" t="n">
        <v>0</v>
      </c>
      <c r="P352" t="n">
        <v>0</v>
      </c>
      <c r="Q352" t="n">
        <v>0</v>
      </c>
      <c r="R352" s="2" t="inlineStr"/>
    </row>
    <row r="353" ht="15" customHeight="1">
      <c r="A353" t="inlineStr">
        <is>
          <t>A 64342-2020</t>
        </is>
      </c>
      <c r="B353" s="1" t="n">
        <v>44168</v>
      </c>
      <c r="C353" s="1" t="n">
        <v>45830</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66474-2020</t>
        </is>
      </c>
      <c r="B354" s="1" t="n">
        <v>44177</v>
      </c>
      <c r="C354" s="1" t="n">
        <v>45830</v>
      </c>
      <c r="D354" t="inlineStr">
        <is>
          <t>SKÅNE LÄN</t>
        </is>
      </c>
      <c r="E354" t="inlineStr">
        <is>
          <t>HÄSSLEHOLM</t>
        </is>
      </c>
      <c r="G354" t="n">
        <v>2.8</v>
      </c>
      <c r="H354" t="n">
        <v>0</v>
      </c>
      <c r="I354" t="n">
        <v>0</v>
      </c>
      <c r="J354" t="n">
        <v>0</v>
      </c>
      <c r="K354" t="n">
        <v>0</v>
      </c>
      <c r="L354" t="n">
        <v>0</v>
      </c>
      <c r="M354" t="n">
        <v>0</v>
      </c>
      <c r="N354" t="n">
        <v>0</v>
      </c>
      <c r="O354" t="n">
        <v>0</v>
      </c>
      <c r="P354" t="n">
        <v>0</v>
      </c>
      <c r="Q354" t="n">
        <v>0</v>
      </c>
      <c r="R354" s="2" t="inlineStr"/>
    </row>
    <row r="355" ht="15" customHeight="1">
      <c r="A355" t="inlineStr">
        <is>
          <t>A 66520-2020</t>
        </is>
      </c>
      <c r="B355" s="1" t="n">
        <v>44179</v>
      </c>
      <c r="C355" s="1" t="n">
        <v>45830</v>
      </c>
      <c r="D355" t="inlineStr">
        <is>
          <t>SKÅNE LÄN</t>
        </is>
      </c>
      <c r="E355" t="inlineStr">
        <is>
          <t>HÄSSLEHOLM</t>
        </is>
      </c>
      <c r="G355" t="n">
        <v>0.4</v>
      </c>
      <c r="H355" t="n">
        <v>0</v>
      </c>
      <c r="I355" t="n">
        <v>0</v>
      </c>
      <c r="J355" t="n">
        <v>0</v>
      </c>
      <c r="K355" t="n">
        <v>0</v>
      </c>
      <c r="L355" t="n">
        <v>0</v>
      </c>
      <c r="M355" t="n">
        <v>0</v>
      </c>
      <c r="N355" t="n">
        <v>0</v>
      </c>
      <c r="O355" t="n">
        <v>0</v>
      </c>
      <c r="P355" t="n">
        <v>0</v>
      </c>
      <c r="Q355" t="n">
        <v>0</v>
      </c>
      <c r="R355" s="2" t="inlineStr"/>
    </row>
    <row r="356" ht="15" customHeight="1">
      <c r="A356" t="inlineStr">
        <is>
          <t>A 67974-2020</t>
        </is>
      </c>
      <c r="B356" s="1" t="n">
        <v>44182</v>
      </c>
      <c r="C356" s="1" t="n">
        <v>45830</v>
      </c>
      <c r="D356" t="inlineStr">
        <is>
          <t>SKÅNE LÄN</t>
        </is>
      </c>
      <c r="E356" t="inlineStr">
        <is>
          <t>HÄSSLEHOLM</t>
        </is>
      </c>
      <c r="G356" t="n">
        <v>9</v>
      </c>
      <c r="H356" t="n">
        <v>0</v>
      </c>
      <c r="I356" t="n">
        <v>0</v>
      </c>
      <c r="J356" t="n">
        <v>0</v>
      </c>
      <c r="K356" t="n">
        <v>0</v>
      </c>
      <c r="L356" t="n">
        <v>0</v>
      </c>
      <c r="M356" t="n">
        <v>0</v>
      </c>
      <c r="N356" t="n">
        <v>0</v>
      </c>
      <c r="O356" t="n">
        <v>0</v>
      </c>
      <c r="P356" t="n">
        <v>0</v>
      </c>
      <c r="Q356" t="n">
        <v>0</v>
      </c>
      <c r="R356" s="2" t="inlineStr"/>
    </row>
    <row r="357" ht="15" customHeight="1">
      <c r="A357" t="inlineStr">
        <is>
          <t>A 68200-2020</t>
        </is>
      </c>
      <c r="B357" s="1" t="n">
        <v>44183</v>
      </c>
      <c r="C357" s="1" t="n">
        <v>45830</v>
      </c>
      <c r="D357" t="inlineStr">
        <is>
          <t>SKÅNE LÄN</t>
        </is>
      </c>
      <c r="E357" t="inlineStr">
        <is>
          <t>HÄSSLEHOLM</t>
        </is>
      </c>
      <c r="F357" t="inlineStr">
        <is>
          <t>Kyrkan</t>
        </is>
      </c>
      <c r="G357" t="n">
        <v>0.7</v>
      </c>
      <c r="H357" t="n">
        <v>0</v>
      </c>
      <c r="I357" t="n">
        <v>0</v>
      </c>
      <c r="J357" t="n">
        <v>0</v>
      </c>
      <c r="K357" t="n">
        <v>0</v>
      </c>
      <c r="L357" t="n">
        <v>0</v>
      </c>
      <c r="M357" t="n">
        <v>0</v>
      </c>
      <c r="N357" t="n">
        <v>0</v>
      </c>
      <c r="O357" t="n">
        <v>0</v>
      </c>
      <c r="P357" t="n">
        <v>0</v>
      </c>
      <c r="Q357" t="n">
        <v>0</v>
      </c>
      <c r="R357" s="2" t="inlineStr"/>
    </row>
    <row r="358" ht="15" customHeight="1">
      <c r="A358" t="inlineStr">
        <is>
          <t>A 68794-2020</t>
        </is>
      </c>
      <c r="B358" s="1" t="n">
        <v>44186</v>
      </c>
      <c r="C358" s="1" t="n">
        <v>45830</v>
      </c>
      <c r="D358" t="inlineStr">
        <is>
          <t>SKÅNE LÄN</t>
        </is>
      </c>
      <c r="E358" t="inlineStr">
        <is>
          <t>HÄSSLEHOLM</t>
        </is>
      </c>
      <c r="G358" t="n">
        <v>8.9</v>
      </c>
      <c r="H358" t="n">
        <v>0</v>
      </c>
      <c r="I358" t="n">
        <v>0</v>
      </c>
      <c r="J358" t="n">
        <v>0</v>
      </c>
      <c r="K358" t="n">
        <v>0</v>
      </c>
      <c r="L358" t="n">
        <v>0</v>
      </c>
      <c r="M358" t="n">
        <v>0</v>
      </c>
      <c r="N358" t="n">
        <v>0</v>
      </c>
      <c r="O358" t="n">
        <v>0</v>
      </c>
      <c r="P358" t="n">
        <v>0</v>
      </c>
      <c r="Q358" t="n">
        <v>0</v>
      </c>
      <c r="R358" s="2" t="inlineStr"/>
    </row>
    <row r="359" ht="15" customHeight="1">
      <c r="A359" t="inlineStr">
        <is>
          <t>A 69103-2020</t>
        </is>
      </c>
      <c r="B359" s="1" t="n">
        <v>44188</v>
      </c>
      <c r="C359" s="1" t="n">
        <v>45830</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69109-2020</t>
        </is>
      </c>
      <c r="B360" s="1" t="n">
        <v>44188</v>
      </c>
      <c r="C360" s="1" t="n">
        <v>45830</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69112-2020</t>
        </is>
      </c>
      <c r="B361" s="1" t="n">
        <v>44188</v>
      </c>
      <c r="C361" s="1" t="n">
        <v>45830</v>
      </c>
      <c r="D361" t="inlineStr">
        <is>
          <t>SKÅNE LÄN</t>
        </is>
      </c>
      <c r="E361" t="inlineStr">
        <is>
          <t>HÄSSLEHOLM</t>
        </is>
      </c>
      <c r="G361" t="n">
        <v>1.6</v>
      </c>
      <c r="H361" t="n">
        <v>0</v>
      </c>
      <c r="I361" t="n">
        <v>0</v>
      </c>
      <c r="J361" t="n">
        <v>0</v>
      </c>
      <c r="K361" t="n">
        <v>0</v>
      </c>
      <c r="L361" t="n">
        <v>0</v>
      </c>
      <c r="M361" t="n">
        <v>0</v>
      </c>
      <c r="N361" t="n">
        <v>0</v>
      </c>
      <c r="O361" t="n">
        <v>0</v>
      </c>
      <c r="P361" t="n">
        <v>0</v>
      </c>
      <c r="Q361" t="n">
        <v>0</v>
      </c>
      <c r="R361" s="2" t="inlineStr"/>
    </row>
    <row r="362" ht="15" customHeight="1">
      <c r="A362" t="inlineStr">
        <is>
          <t>A 69339-2020</t>
        </is>
      </c>
      <c r="B362" s="1" t="n">
        <v>44188</v>
      </c>
      <c r="C362" s="1" t="n">
        <v>45830</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69201-2020</t>
        </is>
      </c>
      <c r="B363" s="1" t="n">
        <v>44191</v>
      </c>
      <c r="C363" s="1" t="n">
        <v>45830</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69198-2020</t>
        </is>
      </c>
      <c r="B364" s="1" t="n">
        <v>44191</v>
      </c>
      <c r="C364" s="1" t="n">
        <v>45830</v>
      </c>
      <c r="D364" t="inlineStr">
        <is>
          <t>SKÅNE LÄN</t>
        </is>
      </c>
      <c r="E364" t="inlineStr">
        <is>
          <t>HÄSSLEHOLM</t>
        </is>
      </c>
      <c r="G364" t="n">
        <v>6.6</v>
      </c>
      <c r="H364" t="n">
        <v>0</v>
      </c>
      <c r="I364" t="n">
        <v>0</v>
      </c>
      <c r="J364" t="n">
        <v>0</v>
      </c>
      <c r="K364" t="n">
        <v>0</v>
      </c>
      <c r="L364" t="n">
        <v>0</v>
      </c>
      <c r="M364" t="n">
        <v>0</v>
      </c>
      <c r="N364" t="n">
        <v>0</v>
      </c>
      <c r="O364" t="n">
        <v>0</v>
      </c>
      <c r="P364" t="n">
        <v>0</v>
      </c>
      <c r="Q364" t="n">
        <v>0</v>
      </c>
      <c r="R364" s="2" t="inlineStr"/>
    </row>
    <row r="365" ht="15" customHeight="1">
      <c r="A365" t="inlineStr">
        <is>
          <t>A 69505-2020</t>
        </is>
      </c>
      <c r="B365" s="1" t="n">
        <v>44194</v>
      </c>
      <c r="C365" s="1" t="n">
        <v>45830</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69504-2020</t>
        </is>
      </c>
      <c r="B366" s="1" t="n">
        <v>44194</v>
      </c>
      <c r="C366" s="1" t="n">
        <v>45830</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69500-2020</t>
        </is>
      </c>
      <c r="B367" s="1" t="n">
        <v>44194</v>
      </c>
      <c r="C367" s="1" t="n">
        <v>45830</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47-2021</t>
        </is>
      </c>
      <c r="B368" s="1" t="n">
        <v>44199</v>
      </c>
      <c r="C368" s="1" t="n">
        <v>45830</v>
      </c>
      <c r="D368" t="inlineStr">
        <is>
          <t>SKÅNE LÄN</t>
        </is>
      </c>
      <c r="E368" t="inlineStr">
        <is>
          <t>HÄSSLEHOLM</t>
        </is>
      </c>
      <c r="G368" t="n">
        <v>3.5</v>
      </c>
      <c r="H368" t="n">
        <v>0</v>
      </c>
      <c r="I368" t="n">
        <v>0</v>
      </c>
      <c r="J368" t="n">
        <v>0</v>
      </c>
      <c r="K368" t="n">
        <v>0</v>
      </c>
      <c r="L368" t="n">
        <v>0</v>
      </c>
      <c r="M368" t="n">
        <v>0</v>
      </c>
      <c r="N368" t="n">
        <v>0</v>
      </c>
      <c r="O368" t="n">
        <v>0</v>
      </c>
      <c r="P368" t="n">
        <v>0</v>
      </c>
      <c r="Q368" t="n">
        <v>0</v>
      </c>
      <c r="R368" s="2" t="inlineStr"/>
    </row>
    <row r="369" ht="15" customHeight="1">
      <c r="A369" t="inlineStr">
        <is>
          <t>A 197-2021</t>
        </is>
      </c>
      <c r="B369" s="1" t="n">
        <v>44200</v>
      </c>
      <c r="C369" s="1" t="n">
        <v>45830</v>
      </c>
      <c r="D369" t="inlineStr">
        <is>
          <t>SKÅNE LÄN</t>
        </is>
      </c>
      <c r="E369" t="inlineStr">
        <is>
          <t>HÄSSLEHOLM</t>
        </is>
      </c>
      <c r="G369" t="n">
        <v>12.9</v>
      </c>
      <c r="H369" t="n">
        <v>0</v>
      </c>
      <c r="I369" t="n">
        <v>0</v>
      </c>
      <c r="J369" t="n">
        <v>0</v>
      </c>
      <c r="K369" t="n">
        <v>0</v>
      </c>
      <c r="L369" t="n">
        <v>0</v>
      </c>
      <c r="M369" t="n">
        <v>0</v>
      </c>
      <c r="N369" t="n">
        <v>0</v>
      </c>
      <c r="O369" t="n">
        <v>0</v>
      </c>
      <c r="P369" t="n">
        <v>0</v>
      </c>
      <c r="Q369" t="n">
        <v>0</v>
      </c>
      <c r="R369" s="2" t="inlineStr"/>
    </row>
    <row r="370" ht="15" customHeight="1">
      <c r="A370" t="inlineStr">
        <is>
          <t>A 964-2021</t>
        </is>
      </c>
      <c r="B370" s="1" t="n">
        <v>44207</v>
      </c>
      <c r="C370" s="1" t="n">
        <v>45830</v>
      </c>
      <c r="D370" t="inlineStr">
        <is>
          <t>SKÅNE LÄN</t>
        </is>
      </c>
      <c r="E370" t="inlineStr">
        <is>
          <t>HÄSSLEHOLM</t>
        </is>
      </c>
      <c r="G370" t="n">
        <v>1</v>
      </c>
      <c r="H370" t="n">
        <v>0</v>
      </c>
      <c r="I370" t="n">
        <v>0</v>
      </c>
      <c r="J370" t="n">
        <v>0</v>
      </c>
      <c r="K370" t="n">
        <v>0</v>
      </c>
      <c r="L370" t="n">
        <v>0</v>
      </c>
      <c r="M370" t="n">
        <v>0</v>
      </c>
      <c r="N370" t="n">
        <v>0</v>
      </c>
      <c r="O370" t="n">
        <v>0</v>
      </c>
      <c r="P370" t="n">
        <v>0</v>
      </c>
      <c r="Q370" t="n">
        <v>0</v>
      </c>
      <c r="R370" s="2" t="inlineStr"/>
    </row>
    <row r="371" ht="15" customHeight="1">
      <c r="A371" t="inlineStr">
        <is>
          <t>A 1344-2021</t>
        </is>
      </c>
      <c r="B371" s="1" t="n">
        <v>44208</v>
      </c>
      <c r="C371" s="1" t="n">
        <v>45830</v>
      </c>
      <c r="D371" t="inlineStr">
        <is>
          <t>SKÅNE LÄN</t>
        </is>
      </c>
      <c r="E371" t="inlineStr">
        <is>
          <t>HÄSSLEHOLM</t>
        </is>
      </c>
      <c r="G371" t="n">
        <v>1.3</v>
      </c>
      <c r="H371" t="n">
        <v>0</v>
      </c>
      <c r="I371" t="n">
        <v>0</v>
      </c>
      <c r="J371" t="n">
        <v>0</v>
      </c>
      <c r="K371" t="n">
        <v>0</v>
      </c>
      <c r="L371" t="n">
        <v>0</v>
      </c>
      <c r="M371" t="n">
        <v>0</v>
      </c>
      <c r="N371" t="n">
        <v>0</v>
      </c>
      <c r="O371" t="n">
        <v>0</v>
      </c>
      <c r="P371" t="n">
        <v>0</v>
      </c>
      <c r="Q371" t="n">
        <v>0</v>
      </c>
      <c r="R371" s="2" t="inlineStr"/>
    </row>
    <row r="372" ht="15" customHeight="1">
      <c r="A372" t="inlineStr">
        <is>
          <t>A 1445-2021</t>
        </is>
      </c>
      <c r="B372" s="1" t="n">
        <v>44208</v>
      </c>
      <c r="C372" s="1" t="n">
        <v>45830</v>
      </c>
      <c r="D372" t="inlineStr">
        <is>
          <t>SKÅNE LÄN</t>
        </is>
      </c>
      <c r="E372" t="inlineStr">
        <is>
          <t>HÄSSLEHOLM</t>
        </is>
      </c>
      <c r="G372" t="n">
        <v>4.6</v>
      </c>
      <c r="H372" t="n">
        <v>0</v>
      </c>
      <c r="I372" t="n">
        <v>0</v>
      </c>
      <c r="J372" t="n">
        <v>0</v>
      </c>
      <c r="K372" t="n">
        <v>0</v>
      </c>
      <c r="L372" t="n">
        <v>0</v>
      </c>
      <c r="M372" t="n">
        <v>0</v>
      </c>
      <c r="N372" t="n">
        <v>0</v>
      </c>
      <c r="O372" t="n">
        <v>0</v>
      </c>
      <c r="P372" t="n">
        <v>0</v>
      </c>
      <c r="Q372" t="n">
        <v>0</v>
      </c>
      <c r="R372" s="2" t="inlineStr"/>
    </row>
    <row r="373" ht="15" customHeight="1">
      <c r="A373" t="inlineStr">
        <is>
          <t>A 1461-2021</t>
        </is>
      </c>
      <c r="B373" s="1" t="n">
        <v>44208</v>
      </c>
      <c r="C373" s="1" t="n">
        <v>45830</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2514-2021</t>
        </is>
      </c>
      <c r="B374" s="1" t="n">
        <v>44214</v>
      </c>
      <c r="C374" s="1" t="n">
        <v>45830</v>
      </c>
      <c r="D374" t="inlineStr">
        <is>
          <t>SKÅNE LÄN</t>
        </is>
      </c>
      <c r="E374" t="inlineStr">
        <is>
          <t>HÄSSLEHOLM</t>
        </is>
      </c>
      <c r="G374" t="n">
        <v>2.3</v>
      </c>
      <c r="H374" t="n">
        <v>0</v>
      </c>
      <c r="I374" t="n">
        <v>0</v>
      </c>
      <c r="J374" t="n">
        <v>0</v>
      </c>
      <c r="K374" t="n">
        <v>0</v>
      </c>
      <c r="L374" t="n">
        <v>0</v>
      </c>
      <c r="M374" t="n">
        <v>0</v>
      </c>
      <c r="N374" t="n">
        <v>0</v>
      </c>
      <c r="O374" t="n">
        <v>0</v>
      </c>
      <c r="P374" t="n">
        <v>0</v>
      </c>
      <c r="Q374" t="n">
        <v>0</v>
      </c>
      <c r="R374" s="2" t="inlineStr"/>
    </row>
    <row r="375" ht="15" customHeight="1">
      <c r="A375" t="inlineStr">
        <is>
          <t>A 2509-2021</t>
        </is>
      </c>
      <c r="B375" s="1" t="n">
        <v>44214</v>
      </c>
      <c r="C375" s="1" t="n">
        <v>45830</v>
      </c>
      <c r="D375" t="inlineStr">
        <is>
          <t>SKÅNE LÄN</t>
        </is>
      </c>
      <c r="E375" t="inlineStr">
        <is>
          <t>HÄSSLEHOLM</t>
        </is>
      </c>
      <c r="G375" t="n">
        <v>1.1</v>
      </c>
      <c r="H375" t="n">
        <v>0</v>
      </c>
      <c r="I375" t="n">
        <v>0</v>
      </c>
      <c r="J375" t="n">
        <v>0</v>
      </c>
      <c r="K375" t="n">
        <v>0</v>
      </c>
      <c r="L375" t="n">
        <v>0</v>
      </c>
      <c r="M375" t="n">
        <v>0</v>
      </c>
      <c r="N375" t="n">
        <v>0</v>
      </c>
      <c r="O375" t="n">
        <v>0</v>
      </c>
      <c r="P375" t="n">
        <v>0</v>
      </c>
      <c r="Q375" t="n">
        <v>0</v>
      </c>
      <c r="R375" s="2" t="inlineStr"/>
    </row>
    <row r="376" ht="15" customHeight="1">
      <c r="A376" t="inlineStr">
        <is>
          <t>A 2813-2021</t>
        </is>
      </c>
      <c r="B376" s="1" t="n">
        <v>44215</v>
      </c>
      <c r="C376" s="1" t="n">
        <v>45830</v>
      </c>
      <c r="D376" t="inlineStr">
        <is>
          <t>SKÅNE LÄN</t>
        </is>
      </c>
      <c r="E376" t="inlineStr">
        <is>
          <t>HÄSSLEHOLM</t>
        </is>
      </c>
      <c r="G376" t="n">
        <v>7.1</v>
      </c>
      <c r="H376" t="n">
        <v>0</v>
      </c>
      <c r="I376" t="n">
        <v>0</v>
      </c>
      <c r="J376" t="n">
        <v>0</v>
      </c>
      <c r="K376" t="n">
        <v>0</v>
      </c>
      <c r="L376" t="n">
        <v>0</v>
      </c>
      <c r="M376" t="n">
        <v>0</v>
      </c>
      <c r="N376" t="n">
        <v>0</v>
      </c>
      <c r="O376" t="n">
        <v>0</v>
      </c>
      <c r="P376" t="n">
        <v>0</v>
      </c>
      <c r="Q376" t="n">
        <v>0</v>
      </c>
      <c r="R376" s="2" t="inlineStr"/>
    </row>
    <row r="377" ht="15" customHeight="1">
      <c r="A377" t="inlineStr">
        <is>
          <t>A 2692-2021</t>
        </is>
      </c>
      <c r="B377" s="1" t="n">
        <v>44215</v>
      </c>
      <c r="C377" s="1" t="n">
        <v>45830</v>
      </c>
      <c r="D377" t="inlineStr">
        <is>
          <t>SKÅNE LÄN</t>
        </is>
      </c>
      <c r="E377" t="inlineStr">
        <is>
          <t>HÄSSLEHOLM</t>
        </is>
      </c>
      <c r="G377" t="n">
        <v>3.1</v>
      </c>
      <c r="H377" t="n">
        <v>0</v>
      </c>
      <c r="I377" t="n">
        <v>0</v>
      </c>
      <c r="J377" t="n">
        <v>0</v>
      </c>
      <c r="K377" t="n">
        <v>0</v>
      </c>
      <c r="L377" t="n">
        <v>0</v>
      </c>
      <c r="M377" t="n">
        <v>0</v>
      </c>
      <c r="N377" t="n">
        <v>0</v>
      </c>
      <c r="O377" t="n">
        <v>0</v>
      </c>
      <c r="P377" t="n">
        <v>0</v>
      </c>
      <c r="Q377" t="n">
        <v>0</v>
      </c>
      <c r="R377" s="2" t="inlineStr"/>
    </row>
    <row r="378" ht="15" customHeight="1">
      <c r="A378" t="inlineStr">
        <is>
          <t>A 2952-2021</t>
        </is>
      </c>
      <c r="B378" s="1" t="n">
        <v>44216</v>
      </c>
      <c r="C378" s="1" t="n">
        <v>45830</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3044-2021</t>
        </is>
      </c>
      <c r="B379" s="1" t="n">
        <v>44216</v>
      </c>
      <c r="C379" s="1" t="n">
        <v>45830</v>
      </c>
      <c r="D379" t="inlineStr">
        <is>
          <t>SKÅNE LÄN</t>
        </is>
      </c>
      <c r="E379" t="inlineStr">
        <is>
          <t>HÄSSLEHOLM</t>
        </is>
      </c>
      <c r="G379" t="n">
        <v>3.7</v>
      </c>
      <c r="H379" t="n">
        <v>0</v>
      </c>
      <c r="I379" t="n">
        <v>0</v>
      </c>
      <c r="J379" t="n">
        <v>0</v>
      </c>
      <c r="K379" t="n">
        <v>0</v>
      </c>
      <c r="L379" t="n">
        <v>0</v>
      </c>
      <c r="M379" t="n">
        <v>0</v>
      </c>
      <c r="N379" t="n">
        <v>0</v>
      </c>
      <c r="O379" t="n">
        <v>0</v>
      </c>
      <c r="P379" t="n">
        <v>0</v>
      </c>
      <c r="Q379" t="n">
        <v>0</v>
      </c>
      <c r="R379" s="2" t="inlineStr"/>
    </row>
    <row r="380" ht="15" customHeight="1">
      <c r="A380" t="inlineStr">
        <is>
          <t>A 3365-2021</t>
        </is>
      </c>
      <c r="B380" s="1" t="n">
        <v>44216</v>
      </c>
      <c r="C380" s="1" t="n">
        <v>45830</v>
      </c>
      <c r="D380" t="inlineStr">
        <is>
          <t>SKÅNE LÄN</t>
        </is>
      </c>
      <c r="E380" t="inlineStr">
        <is>
          <t>HÄSSLEHOLM</t>
        </is>
      </c>
      <c r="G380" t="n">
        <v>4.1</v>
      </c>
      <c r="H380" t="n">
        <v>0</v>
      </c>
      <c r="I380" t="n">
        <v>0</v>
      </c>
      <c r="J380" t="n">
        <v>0</v>
      </c>
      <c r="K380" t="n">
        <v>0</v>
      </c>
      <c r="L380" t="n">
        <v>0</v>
      </c>
      <c r="M380" t="n">
        <v>0</v>
      </c>
      <c r="N380" t="n">
        <v>0</v>
      </c>
      <c r="O380" t="n">
        <v>0</v>
      </c>
      <c r="P380" t="n">
        <v>0</v>
      </c>
      <c r="Q380" t="n">
        <v>0</v>
      </c>
      <c r="R380" s="2" t="inlineStr"/>
    </row>
    <row r="381" ht="15" customHeight="1">
      <c r="A381" t="inlineStr">
        <is>
          <t>A 3447-2021</t>
        </is>
      </c>
      <c r="B381" s="1" t="n">
        <v>44218</v>
      </c>
      <c r="C381" s="1" t="n">
        <v>45830</v>
      </c>
      <c r="D381" t="inlineStr">
        <is>
          <t>SKÅNE LÄN</t>
        </is>
      </c>
      <c r="E381" t="inlineStr">
        <is>
          <t>HÄSSLEHOLM</t>
        </is>
      </c>
      <c r="G381" t="n">
        <v>3.9</v>
      </c>
      <c r="H381" t="n">
        <v>0</v>
      </c>
      <c r="I381" t="n">
        <v>0</v>
      </c>
      <c r="J381" t="n">
        <v>0</v>
      </c>
      <c r="K381" t="n">
        <v>0</v>
      </c>
      <c r="L381" t="n">
        <v>0</v>
      </c>
      <c r="M381" t="n">
        <v>0</v>
      </c>
      <c r="N381" t="n">
        <v>0</v>
      </c>
      <c r="O381" t="n">
        <v>0</v>
      </c>
      <c r="P381" t="n">
        <v>0</v>
      </c>
      <c r="Q381" t="n">
        <v>0</v>
      </c>
      <c r="R381" s="2" t="inlineStr"/>
    </row>
    <row r="382" ht="15" customHeight="1">
      <c r="A382" t="inlineStr">
        <is>
          <t>A 3483-2021</t>
        </is>
      </c>
      <c r="B382" s="1" t="n">
        <v>44218</v>
      </c>
      <c r="C382" s="1" t="n">
        <v>45830</v>
      </c>
      <c r="D382" t="inlineStr">
        <is>
          <t>SKÅNE LÄN</t>
        </is>
      </c>
      <c r="E382" t="inlineStr">
        <is>
          <t>HÄSSLEHOLM</t>
        </is>
      </c>
      <c r="G382" t="n">
        <v>2.1</v>
      </c>
      <c r="H382" t="n">
        <v>0</v>
      </c>
      <c r="I382" t="n">
        <v>0</v>
      </c>
      <c r="J382" t="n">
        <v>0</v>
      </c>
      <c r="K382" t="n">
        <v>0</v>
      </c>
      <c r="L382" t="n">
        <v>0</v>
      </c>
      <c r="M382" t="n">
        <v>0</v>
      </c>
      <c r="N382" t="n">
        <v>0</v>
      </c>
      <c r="O382" t="n">
        <v>0</v>
      </c>
      <c r="P382" t="n">
        <v>0</v>
      </c>
      <c r="Q382" t="n">
        <v>0</v>
      </c>
      <c r="R382" s="2" t="inlineStr"/>
    </row>
    <row r="383" ht="15" customHeight="1">
      <c r="A383" t="inlineStr">
        <is>
          <t>A 3714-2021</t>
        </is>
      </c>
      <c r="B383" s="1" t="n">
        <v>44221</v>
      </c>
      <c r="C383" s="1" t="n">
        <v>45830</v>
      </c>
      <c r="D383" t="inlineStr">
        <is>
          <t>SKÅNE LÄN</t>
        </is>
      </c>
      <c r="E383" t="inlineStr">
        <is>
          <t>HÄSSLEHOLM</t>
        </is>
      </c>
      <c r="G383" t="n">
        <v>1.2</v>
      </c>
      <c r="H383" t="n">
        <v>0</v>
      </c>
      <c r="I383" t="n">
        <v>0</v>
      </c>
      <c r="J383" t="n">
        <v>0</v>
      </c>
      <c r="K383" t="n">
        <v>0</v>
      </c>
      <c r="L383" t="n">
        <v>0</v>
      </c>
      <c r="M383" t="n">
        <v>0</v>
      </c>
      <c r="N383" t="n">
        <v>0</v>
      </c>
      <c r="O383" t="n">
        <v>0</v>
      </c>
      <c r="P383" t="n">
        <v>0</v>
      </c>
      <c r="Q383" t="n">
        <v>0</v>
      </c>
      <c r="R383" s="2" t="inlineStr"/>
    </row>
    <row r="384" ht="15" customHeight="1">
      <c r="A384" t="inlineStr">
        <is>
          <t>A 3925-2021</t>
        </is>
      </c>
      <c r="B384" s="1" t="n">
        <v>44222</v>
      </c>
      <c r="C384" s="1" t="n">
        <v>45830</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3930-2021</t>
        </is>
      </c>
      <c r="B385" s="1" t="n">
        <v>44222</v>
      </c>
      <c r="C385" s="1" t="n">
        <v>45830</v>
      </c>
      <c r="D385" t="inlineStr">
        <is>
          <t>SKÅNE LÄN</t>
        </is>
      </c>
      <c r="E385" t="inlineStr">
        <is>
          <t>HÄSSLEHOLM</t>
        </is>
      </c>
      <c r="G385" t="n">
        <v>3.4</v>
      </c>
      <c r="H385" t="n">
        <v>0</v>
      </c>
      <c r="I385" t="n">
        <v>0</v>
      </c>
      <c r="J385" t="n">
        <v>0</v>
      </c>
      <c r="K385" t="n">
        <v>0</v>
      </c>
      <c r="L385" t="n">
        <v>0</v>
      </c>
      <c r="M385" t="n">
        <v>0</v>
      </c>
      <c r="N385" t="n">
        <v>0</v>
      </c>
      <c r="O385" t="n">
        <v>0</v>
      </c>
      <c r="P385" t="n">
        <v>0</v>
      </c>
      <c r="Q385" t="n">
        <v>0</v>
      </c>
      <c r="R385" s="2" t="inlineStr"/>
    </row>
    <row r="386" ht="15" customHeight="1">
      <c r="A386" t="inlineStr">
        <is>
          <t>A 4370-2021</t>
        </is>
      </c>
      <c r="B386" s="1" t="n">
        <v>44223</v>
      </c>
      <c r="C386" s="1" t="n">
        <v>45830</v>
      </c>
      <c r="D386" t="inlineStr">
        <is>
          <t>SKÅNE LÄN</t>
        </is>
      </c>
      <c r="E386" t="inlineStr">
        <is>
          <t>HÄSSLEHOLM</t>
        </is>
      </c>
      <c r="G386" t="n">
        <v>2.6</v>
      </c>
      <c r="H386" t="n">
        <v>0</v>
      </c>
      <c r="I386" t="n">
        <v>0</v>
      </c>
      <c r="J386" t="n">
        <v>0</v>
      </c>
      <c r="K386" t="n">
        <v>0</v>
      </c>
      <c r="L386" t="n">
        <v>0</v>
      </c>
      <c r="M386" t="n">
        <v>0</v>
      </c>
      <c r="N386" t="n">
        <v>0</v>
      </c>
      <c r="O386" t="n">
        <v>0</v>
      </c>
      <c r="P386" t="n">
        <v>0</v>
      </c>
      <c r="Q386" t="n">
        <v>0</v>
      </c>
      <c r="R386" s="2" t="inlineStr"/>
    </row>
    <row r="387" ht="15" customHeight="1">
      <c r="A387" t="inlineStr">
        <is>
          <t>A 5476-2021</t>
        </is>
      </c>
      <c r="B387" s="1" t="n">
        <v>44230</v>
      </c>
      <c r="C387" s="1" t="n">
        <v>45830</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5478-2021</t>
        </is>
      </c>
      <c r="B388" s="1" t="n">
        <v>44230</v>
      </c>
      <c r="C388" s="1" t="n">
        <v>45830</v>
      </c>
      <c r="D388" t="inlineStr">
        <is>
          <t>SKÅNE LÄN</t>
        </is>
      </c>
      <c r="E388" t="inlineStr">
        <is>
          <t>HÄSSLEHOLM</t>
        </is>
      </c>
      <c r="G388" t="n">
        <v>0.1</v>
      </c>
      <c r="H388" t="n">
        <v>0</v>
      </c>
      <c r="I388" t="n">
        <v>0</v>
      </c>
      <c r="J388" t="n">
        <v>0</v>
      </c>
      <c r="K388" t="n">
        <v>0</v>
      </c>
      <c r="L388" t="n">
        <v>0</v>
      </c>
      <c r="M388" t="n">
        <v>0</v>
      </c>
      <c r="N388" t="n">
        <v>0</v>
      </c>
      <c r="O388" t="n">
        <v>0</v>
      </c>
      <c r="P388" t="n">
        <v>0</v>
      </c>
      <c r="Q388" t="n">
        <v>0</v>
      </c>
      <c r="R388" s="2" t="inlineStr"/>
    </row>
    <row r="389" ht="15" customHeight="1">
      <c r="A389" t="inlineStr">
        <is>
          <t>A 6122-2021</t>
        </is>
      </c>
      <c r="B389" s="1" t="n">
        <v>44232</v>
      </c>
      <c r="C389" s="1" t="n">
        <v>45830</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6180-2021</t>
        </is>
      </c>
      <c r="B390" s="1" t="n">
        <v>44232</v>
      </c>
      <c r="C390" s="1" t="n">
        <v>45830</v>
      </c>
      <c r="D390" t="inlineStr">
        <is>
          <t>SKÅNE LÄN</t>
        </is>
      </c>
      <c r="E390" t="inlineStr">
        <is>
          <t>HÄSSLEHOLM</t>
        </is>
      </c>
      <c r="F390" t="inlineStr">
        <is>
          <t>Kyrkan</t>
        </is>
      </c>
      <c r="G390" t="n">
        <v>1.1</v>
      </c>
      <c r="H390" t="n">
        <v>0</v>
      </c>
      <c r="I390" t="n">
        <v>0</v>
      </c>
      <c r="J390" t="n">
        <v>0</v>
      </c>
      <c r="K390" t="n">
        <v>0</v>
      </c>
      <c r="L390" t="n">
        <v>0</v>
      </c>
      <c r="M390" t="n">
        <v>0</v>
      </c>
      <c r="N390" t="n">
        <v>0</v>
      </c>
      <c r="O390" t="n">
        <v>0</v>
      </c>
      <c r="P390" t="n">
        <v>0</v>
      </c>
      <c r="Q390" t="n">
        <v>0</v>
      </c>
      <c r="R390" s="2" t="inlineStr"/>
    </row>
    <row r="391" ht="15" customHeight="1">
      <c r="A391" t="inlineStr">
        <is>
          <t>A 6327-2021</t>
        </is>
      </c>
      <c r="B391" s="1" t="n">
        <v>44235</v>
      </c>
      <c r="C391" s="1" t="n">
        <v>45830</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6638-2021</t>
        </is>
      </c>
      <c r="B392" s="1" t="n">
        <v>44235</v>
      </c>
      <c r="C392" s="1" t="n">
        <v>45830</v>
      </c>
      <c r="D392" t="inlineStr">
        <is>
          <t>SKÅNE LÄN</t>
        </is>
      </c>
      <c r="E392" t="inlineStr">
        <is>
          <t>HÄSSLEHOLM</t>
        </is>
      </c>
      <c r="G392" t="n">
        <v>112.4</v>
      </c>
      <c r="H392" t="n">
        <v>0</v>
      </c>
      <c r="I392" t="n">
        <v>0</v>
      </c>
      <c r="J392" t="n">
        <v>0</v>
      </c>
      <c r="K392" t="n">
        <v>0</v>
      </c>
      <c r="L392" t="n">
        <v>0</v>
      </c>
      <c r="M392" t="n">
        <v>0</v>
      </c>
      <c r="N392" t="n">
        <v>0</v>
      </c>
      <c r="O392" t="n">
        <v>0</v>
      </c>
      <c r="P392" t="n">
        <v>0</v>
      </c>
      <c r="Q392" t="n">
        <v>0</v>
      </c>
      <c r="R392" s="2" t="inlineStr"/>
    </row>
    <row r="393" ht="15" customHeight="1">
      <c r="A393" t="inlineStr">
        <is>
          <t>A 6583-2021</t>
        </is>
      </c>
      <c r="B393" s="1" t="n">
        <v>44236</v>
      </c>
      <c r="C393" s="1" t="n">
        <v>45830</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6596-2021</t>
        </is>
      </c>
      <c r="B394" s="1" t="n">
        <v>44236</v>
      </c>
      <c r="C394" s="1" t="n">
        <v>45830</v>
      </c>
      <c r="D394" t="inlineStr">
        <is>
          <t>SKÅNE LÄN</t>
        </is>
      </c>
      <c r="E394" t="inlineStr">
        <is>
          <t>HÄSSLEHOLM</t>
        </is>
      </c>
      <c r="G394" t="n">
        <v>2</v>
      </c>
      <c r="H394" t="n">
        <v>0</v>
      </c>
      <c r="I394" t="n">
        <v>0</v>
      </c>
      <c r="J394" t="n">
        <v>0</v>
      </c>
      <c r="K394" t="n">
        <v>0</v>
      </c>
      <c r="L394" t="n">
        <v>0</v>
      </c>
      <c r="M394" t="n">
        <v>0</v>
      </c>
      <c r="N394" t="n">
        <v>0</v>
      </c>
      <c r="O394" t="n">
        <v>0</v>
      </c>
      <c r="P394" t="n">
        <v>0</v>
      </c>
      <c r="Q394" t="n">
        <v>0</v>
      </c>
      <c r="R394" s="2" t="inlineStr"/>
    </row>
    <row r="395" ht="15" customHeight="1">
      <c r="A395" t="inlineStr">
        <is>
          <t>A 6791-2021</t>
        </is>
      </c>
      <c r="B395" s="1" t="n">
        <v>44236</v>
      </c>
      <c r="C395" s="1" t="n">
        <v>45830</v>
      </c>
      <c r="D395" t="inlineStr">
        <is>
          <t>SKÅNE LÄN</t>
        </is>
      </c>
      <c r="E395" t="inlineStr">
        <is>
          <t>HÄSSLEHOLM</t>
        </is>
      </c>
      <c r="G395" t="n">
        <v>1.7</v>
      </c>
      <c r="H395" t="n">
        <v>0</v>
      </c>
      <c r="I395" t="n">
        <v>0</v>
      </c>
      <c r="J395" t="n">
        <v>0</v>
      </c>
      <c r="K395" t="n">
        <v>0</v>
      </c>
      <c r="L395" t="n">
        <v>0</v>
      </c>
      <c r="M395" t="n">
        <v>0</v>
      </c>
      <c r="N395" t="n">
        <v>0</v>
      </c>
      <c r="O395" t="n">
        <v>0</v>
      </c>
      <c r="P395" t="n">
        <v>0</v>
      </c>
      <c r="Q395" t="n">
        <v>0</v>
      </c>
      <c r="R395" s="2" t="inlineStr"/>
    </row>
    <row r="396" ht="15" customHeight="1">
      <c r="A396" t="inlineStr">
        <is>
          <t>A 6804-2021</t>
        </is>
      </c>
      <c r="B396" s="1" t="n">
        <v>44236</v>
      </c>
      <c r="C396" s="1" t="n">
        <v>45830</v>
      </c>
      <c r="D396" t="inlineStr">
        <is>
          <t>SKÅNE LÄN</t>
        </is>
      </c>
      <c r="E396" t="inlineStr">
        <is>
          <t>HÄSSLEHOLM</t>
        </is>
      </c>
      <c r="G396" t="n">
        <v>4.6</v>
      </c>
      <c r="H396" t="n">
        <v>0</v>
      </c>
      <c r="I396" t="n">
        <v>0</v>
      </c>
      <c r="J396" t="n">
        <v>0</v>
      </c>
      <c r="K396" t="n">
        <v>0</v>
      </c>
      <c r="L396" t="n">
        <v>0</v>
      </c>
      <c r="M396" t="n">
        <v>0</v>
      </c>
      <c r="N396" t="n">
        <v>0</v>
      </c>
      <c r="O396" t="n">
        <v>0</v>
      </c>
      <c r="P396" t="n">
        <v>0</v>
      </c>
      <c r="Q396" t="n">
        <v>0</v>
      </c>
      <c r="R396" s="2" t="inlineStr"/>
    </row>
    <row r="397" ht="15" customHeight="1">
      <c r="A397" t="inlineStr">
        <is>
          <t>A 7248-2021</t>
        </is>
      </c>
      <c r="B397" s="1" t="n">
        <v>44236</v>
      </c>
      <c r="C397" s="1" t="n">
        <v>45830</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6962-2021</t>
        </is>
      </c>
      <c r="B398" s="1" t="n">
        <v>44237</v>
      </c>
      <c r="C398" s="1" t="n">
        <v>45830</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6967-2021</t>
        </is>
      </c>
      <c r="B399" s="1" t="n">
        <v>44237</v>
      </c>
      <c r="C399" s="1" t="n">
        <v>45830</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6973-2021</t>
        </is>
      </c>
      <c r="B400" s="1" t="n">
        <v>44237</v>
      </c>
      <c r="C400" s="1" t="n">
        <v>45830</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6965-2021</t>
        </is>
      </c>
      <c r="B401" s="1" t="n">
        <v>44237</v>
      </c>
      <c r="C401" s="1" t="n">
        <v>45830</v>
      </c>
      <c r="D401" t="inlineStr">
        <is>
          <t>SKÅNE LÄN</t>
        </is>
      </c>
      <c r="E401" t="inlineStr">
        <is>
          <t>HÄSSLEHOLM</t>
        </is>
      </c>
      <c r="G401" t="n">
        <v>0.3</v>
      </c>
      <c r="H401" t="n">
        <v>0</v>
      </c>
      <c r="I401" t="n">
        <v>0</v>
      </c>
      <c r="J401" t="n">
        <v>0</v>
      </c>
      <c r="K401" t="n">
        <v>0</v>
      </c>
      <c r="L401" t="n">
        <v>0</v>
      </c>
      <c r="M401" t="n">
        <v>0</v>
      </c>
      <c r="N401" t="n">
        <v>0</v>
      </c>
      <c r="O401" t="n">
        <v>0</v>
      </c>
      <c r="P401" t="n">
        <v>0</v>
      </c>
      <c r="Q401" t="n">
        <v>0</v>
      </c>
      <c r="R401" s="2" t="inlineStr"/>
    </row>
    <row r="402" ht="15" customHeight="1">
      <c r="A402" t="inlineStr">
        <is>
          <t>A 7522-2021</t>
        </is>
      </c>
      <c r="B402" s="1" t="n">
        <v>44238</v>
      </c>
      <c r="C402" s="1" t="n">
        <v>45830</v>
      </c>
      <c r="D402" t="inlineStr">
        <is>
          <t>SKÅNE LÄN</t>
        </is>
      </c>
      <c r="E402" t="inlineStr">
        <is>
          <t>HÄSSLEHOLM</t>
        </is>
      </c>
      <c r="G402" t="n">
        <v>2.2</v>
      </c>
      <c r="H402" t="n">
        <v>0</v>
      </c>
      <c r="I402" t="n">
        <v>0</v>
      </c>
      <c r="J402" t="n">
        <v>0</v>
      </c>
      <c r="K402" t="n">
        <v>0</v>
      </c>
      <c r="L402" t="n">
        <v>0</v>
      </c>
      <c r="M402" t="n">
        <v>0</v>
      </c>
      <c r="N402" t="n">
        <v>0</v>
      </c>
      <c r="O402" t="n">
        <v>0</v>
      </c>
      <c r="P402" t="n">
        <v>0</v>
      </c>
      <c r="Q402" t="n">
        <v>0</v>
      </c>
      <c r="R402" s="2" t="inlineStr"/>
    </row>
    <row r="403" ht="15" customHeight="1">
      <c r="A403" t="inlineStr">
        <is>
          <t>A 7701-2021</t>
        </is>
      </c>
      <c r="B403" s="1" t="n">
        <v>44242</v>
      </c>
      <c r="C403" s="1" t="n">
        <v>45830</v>
      </c>
      <c r="D403" t="inlineStr">
        <is>
          <t>SKÅNE LÄN</t>
        </is>
      </c>
      <c r="E403" t="inlineStr">
        <is>
          <t>HÄSSLEHOLM</t>
        </is>
      </c>
      <c r="G403" t="n">
        <v>0.9</v>
      </c>
      <c r="H403" t="n">
        <v>0</v>
      </c>
      <c r="I403" t="n">
        <v>0</v>
      </c>
      <c r="J403" t="n">
        <v>0</v>
      </c>
      <c r="K403" t="n">
        <v>0</v>
      </c>
      <c r="L403" t="n">
        <v>0</v>
      </c>
      <c r="M403" t="n">
        <v>0</v>
      </c>
      <c r="N403" t="n">
        <v>0</v>
      </c>
      <c r="O403" t="n">
        <v>0</v>
      </c>
      <c r="P403" t="n">
        <v>0</v>
      </c>
      <c r="Q403" t="n">
        <v>0</v>
      </c>
      <c r="R403" s="2" t="inlineStr"/>
    </row>
    <row r="404" ht="15" customHeight="1">
      <c r="A404" t="inlineStr">
        <is>
          <t>A 7655-2021</t>
        </is>
      </c>
      <c r="B404" s="1" t="n">
        <v>44242</v>
      </c>
      <c r="C404" s="1" t="n">
        <v>45830</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7692-2021</t>
        </is>
      </c>
      <c r="B405" s="1" t="n">
        <v>44242</v>
      </c>
      <c r="C405" s="1" t="n">
        <v>45830</v>
      </c>
      <c r="D405" t="inlineStr">
        <is>
          <t>SKÅNE LÄN</t>
        </is>
      </c>
      <c r="E405" t="inlineStr">
        <is>
          <t>HÄSSLEHOLM</t>
        </is>
      </c>
      <c r="G405" t="n">
        <v>1.7</v>
      </c>
      <c r="H405" t="n">
        <v>0</v>
      </c>
      <c r="I405" t="n">
        <v>0</v>
      </c>
      <c r="J405" t="n">
        <v>0</v>
      </c>
      <c r="K405" t="n">
        <v>0</v>
      </c>
      <c r="L405" t="n">
        <v>0</v>
      </c>
      <c r="M405" t="n">
        <v>0</v>
      </c>
      <c r="N405" t="n">
        <v>0</v>
      </c>
      <c r="O405" t="n">
        <v>0</v>
      </c>
      <c r="P405" t="n">
        <v>0</v>
      </c>
      <c r="Q405" t="n">
        <v>0</v>
      </c>
      <c r="R405" s="2" t="inlineStr"/>
    </row>
    <row r="406" ht="15" customHeight="1">
      <c r="A406" t="inlineStr">
        <is>
          <t>A 7729-2021</t>
        </is>
      </c>
      <c r="B406" s="1" t="n">
        <v>44242</v>
      </c>
      <c r="C406" s="1" t="n">
        <v>45830</v>
      </c>
      <c r="D406" t="inlineStr">
        <is>
          <t>SKÅNE LÄN</t>
        </is>
      </c>
      <c r="E406" t="inlineStr">
        <is>
          <t>HÄSSLEHOLM</t>
        </is>
      </c>
      <c r="G406" t="n">
        <v>0.8</v>
      </c>
      <c r="H406" t="n">
        <v>0</v>
      </c>
      <c r="I406" t="n">
        <v>0</v>
      </c>
      <c r="J406" t="n">
        <v>0</v>
      </c>
      <c r="K406" t="n">
        <v>0</v>
      </c>
      <c r="L406" t="n">
        <v>0</v>
      </c>
      <c r="M406" t="n">
        <v>0</v>
      </c>
      <c r="N406" t="n">
        <v>0</v>
      </c>
      <c r="O406" t="n">
        <v>0</v>
      </c>
      <c r="P406" t="n">
        <v>0</v>
      </c>
      <c r="Q406" t="n">
        <v>0</v>
      </c>
      <c r="R406" s="2" t="inlineStr"/>
    </row>
    <row r="407" ht="15" customHeight="1">
      <c r="A407" t="inlineStr">
        <is>
          <t>A 7771-2021</t>
        </is>
      </c>
      <c r="B407" s="1" t="n">
        <v>44242</v>
      </c>
      <c r="C407" s="1" t="n">
        <v>45830</v>
      </c>
      <c r="D407" t="inlineStr">
        <is>
          <t>SKÅNE LÄN</t>
        </is>
      </c>
      <c r="E407" t="inlineStr">
        <is>
          <t>HÄSSLEHOLM</t>
        </is>
      </c>
      <c r="G407" t="n">
        <v>4.2</v>
      </c>
      <c r="H407" t="n">
        <v>0</v>
      </c>
      <c r="I407" t="n">
        <v>0</v>
      </c>
      <c r="J407" t="n">
        <v>0</v>
      </c>
      <c r="K407" t="n">
        <v>0</v>
      </c>
      <c r="L407" t="n">
        <v>0</v>
      </c>
      <c r="M407" t="n">
        <v>0</v>
      </c>
      <c r="N407" t="n">
        <v>0</v>
      </c>
      <c r="O407" t="n">
        <v>0</v>
      </c>
      <c r="P407" t="n">
        <v>0</v>
      </c>
      <c r="Q407" t="n">
        <v>0</v>
      </c>
      <c r="R407" s="2" t="inlineStr"/>
    </row>
    <row r="408" ht="15" customHeight="1">
      <c r="A408" t="inlineStr">
        <is>
          <t>A 8278-2021</t>
        </is>
      </c>
      <c r="B408" s="1" t="n">
        <v>44244</v>
      </c>
      <c r="C408" s="1" t="n">
        <v>45830</v>
      </c>
      <c r="D408" t="inlineStr">
        <is>
          <t>SKÅNE LÄN</t>
        </is>
      </c>
      <c r="E408" t="inlineStr">
        <is>
          <t>HÄSSLEHOLM</t>
        </is>
      </c>
      <c r="F408" t="inlineStr">
        <is>
          <t>Kyrkan</t>
        </is>
      </c>
      <c r="G408" t="n">
        <v>1.4</v>
      </c>
      <c r="H408" t="n">
        <v>0</v>
      </c>
      <c r="I408" t="n">
        <v>0</v>
      </c>
      <c r="J408" t="n">
        <v>0</v>
      </c>
      <c r="K408" t="n">
        <v>0</v>
      </c>
      <c r="L408" t="n">
        <v>0</v>
      </c>
      <c r="M408" t="n">
        <v>0</v>
      </c>
      <c r="N408" t="n">
        <v>0</v>
      </c>
      <c r="O408" t="n">
        <v>0</v>
      </c>
      <c r="P408" t="n">
        <v>0</v>
      </c>
      <c r="Q408" t="n">
        <v>0</v>
      </c>
      <c r="R408" s="2" t="inlineStr"/>
    </row>
    <row r="409" ht="15" customHeight="1">
      <c r="A409" t="inlineStr">
        <is>
          <t>A 8695-2021</t>
        </is>
      </c>
      <c r="B409" s="1" t="n">
        <v>44246</v>
      </c>
      <c r="C409" s="1" t="n">
        <v>45830</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9257-2021</t>
        </is>
      </c>
      <c r="B410" s="1" t="n">
        <v>44250</v>
      </c>
      <c r="C410" s="1" t="n">
        <v>45830</v>
      </c>
      <c r="D410" t="inlineStr">
        <is>
          <t>SKÅNE LÄN</t>
        </is>
      </c>
      <c r="E410" t="inlineStr">
        <is>
          <t>HÄSSLEHOLM</t>
        </is>
      </c>
      <c r="G410" t="n">
        <v>2.2</v>
      </c>
      <c r="H410" t="n">
        <v>0</v>
      </c>
      <c r="I410" t="n">
        <v>0</v>
      </c>
      <c r="J410" t="n">
        <v>0</v>
      </c>
      <c r="K410" t="n">
        <v>0</v>
      </c>
      <c r="L410" t="n">
        <v>0</v>
      </c>
      <c r="M410" t="n">
        <v>0</v>
      </c>
      <c r="N410" t="n">
        <v>0</v>
      </c>
      <c r="O410" t="n">
        <v>0</v>
      </c>
      <c r="P410" t="n">
        <v>0</v>
      </c>
      <c r="Q410" t="n">
        <v>0</v>
      </c>
      <c r="R410" s="2" t="inlineStr"/>
    </row>
    <row r="411" ht="15" customHeight="1">
      <c r="A411" t="inlineStr">
        <is>
          <t>A 9453-2021</t>
        </is>
      </c>
      <c r="B411" s="1" t="n">
        <v>44251</v>
      </c>
      <c r="C411" s="1" t="n">
        <v>45830</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9885-2021</t>
        </is>
      </c>
      <c r="B412" s="1" t="n">
        <v>44253</v>
      </c>
      <c r="C412" s="1" t="n">
        <v>45830</v>
      </c>
      <c r="D412" t="inlineStr">
        <is>
          <t>SKÅNE LÄN</t>
        </is>
      </c>
      <c r="E412" t="inlineStr">
        <is>
          <t>HÄSSLEHOLM</t>
        </is>
      </c>
      <c r="G412" t="n">
        <v>2.4</v>
      </c>
      <c r="H412" t="n">
        <v>0</v>
      </c>
      <c r="I412" t="n">
        <v>0</v>
      </c>
      <c r="J412" t="n">
        <v>0</v>
      </c>
      <c r="K412" t="n">
        <v>0</v>
      </c>
      <c r="L412" t="n">
        <v>0</v>
      </c>
      <c r="M412" t="n">
        <v>0</v>
      </c>
      <c r="N412" t="n">
        <v>0</v>
      </c>
      <c r="O412" t="n">
        <v>0</v>
      </c>
      <c r="P412" t="n">
        <v>0</v>
      </c>
      <c r="Q412" t="n">
        <v>0</v>
      </c>
      <c r="R412" s="2" t="inlineStr"/>
    </row>
    <row r="413" ht="15" customHeight="1">
      <c r="A413" t="inlineStr">
        <is>
          <t>A 9880-2021</t>
        </is>
      </c>
      <c r="B413" s="1" t="n">
        <v>44253</v>
      </c>
      <c r="C413" s="1" t="n">
        <v>45830</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11260-2021</t>
        </is>
      </c>
      <c r="B414" s="1" t="n">
        <v>44263</v>
      </c>
      <c r="C414" s="1" t="n">
        <v>45830</v>
      </c>
      <c r="D414" t="inlineStr">
        <is>
          <t>SKÅNE LÄN</t>
        </is>
      </c>
      <c r="E414" t="inlineStr">
        <is>
          <t>HÄSSLEHOLM</t>
        </is>
      </c>
      <c r="G414" t="n">
        <v>5.4</v>
      </c>
      <c r="H414" t="n">
        <v>0</v>
      </c>
      <c r="I414" t="n">
        <v>0</v>
      </c>
      <c r="J414" t="n">
        <v>0</v>
      </c>
      <c r="K414" t="n">
        <v>0</v>
      </c>
      <c r="L414" t="n">
        <v>0</v>
      </c>
      <c r="M414" t="n">
        <v>0</v>
      </c>
      <c r="N414" t="n">
        <v>0</v>
      </c>
      <c r="O414" t="n">
        <v>0</v>
      </c>
      <c r="P414" t="n">
        <v>0</v>
      </c>
      <c r="Q414" t="n">
        <v>0</v>
      </c>
      <c r="R414" s="2" t="inlineStr"/>
    </row>
    <row r="415" ht="15" customHeight="1">
      <c r="A415" t="inlineStr">
        <is>
          <t>A 11616-2021</t>
        </is>
      </c>
      <c r="B415" s="1" t="n">
        <v>44264</v>
      </c>
      <c r="C415" s="1" t="n">
        <v>45830</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12617-2021</t>
        </is>
      </c>
      <c r="B416" s="1" t="n">
        <v>44270</v>
      </c>
      <c r="C416" s="1" t="n">
        <v>45830</v>
      </c>
      <c r="D416" t="inlineStr">
        <is>
          <t>SKÅNE LÄN</t>
        </is>
      </c>
      <c r="E416" t="inlineStr">
        <is>
          <t>HÄSSLEHOLM</t>
        </is>
      </c>
      <c r="G416" t="n">
        <v>1.2</v>
      </c>
      <c r="H416" t="n">
        <v>0</v>
      </c>
      <c r="I416" t="n">
        <v>0</v>
      </c>
      <c r="J416" t="n">
        <v>0</v>
      </c>
      <c r="K416" t="n">
        <v>0</v>
      </c>
      <c r="L416" t="n">
        <v>0</v>
      </c>
      <c r="M416" t="n">
        <v>0</v>
      </c>
      <c r="N416" t="n">
        <v>0</v>
      </c>
      <c r="O416" t="n">
        <v>0</v>
      </c>
      <c r="P416" t="n">
        <v>0</v>
      </c>
      <c r="Q416" t="n">
        <v>0</v>
      </c>
      <c r="R416" s="2" t="inlineStr"/>
    </row>
    <row r="417" ht="15" customHeight="1">
      <c r="A417" t="inlineStr">
        <is>
          <t>A 13063-2021</t>
        </is>
      </c>
      <c r="B417" s="1" t="n">
        <v>44272</v>
      </c>
      <c r="C417" s="1" t="n">
        <v>45830</v>
      </c>
      <c r="D417" t="inlineStr">
        <is>
          <t>SKÅNE LÄN</t>
        </is>
      </c>
      <c r="E417" t="inlineStr">
        <is>
          <t>HÄSSLEHOLM</t>
        </is>
      </c>
      <c r="G417" t="n">
        <v>1.3</v>
      </c>
      <c r="H417" t="n">
        <v>0</v>
      </c>
      <c r="I417" t="n">
        <v>0</v>
      </c>
      <c r="J417" t="n">
        <v>0</v>
      </c>
      <c r="K417" t="n">
        <v>0</v>
      </c>
      <c r="L417" t="n">
        <v>0</v>
      </c>
      <c r="M417" t="n">
        <v>0</v>
      </c>
      <c r="N417" t="n">
        <v>0</v>
      </c>
      <c r="O417" t="n">
        <v>0</v>
      </c>
      <c r="P417" t="n">
        <v>0</v>
      </c>
      <c r="Q417" t="n">
        <v>0</v>
      </c>
      <c r="R417" s="2" t="inlineStr"/>
    </row>
    <row r="418" ht="15" customHeight="1">
      <c r="A418" t="inlineStr">
        <is>
          <t>A 13711-2021</t>
        </is>
      </c>
      <c r="B418" s="1" t="n">
        <v>44274</v>
      </c>
      <c r="C418" s="1" t="n">
        <v>45830</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13808-2021</t>
        </is>
      </c>
      <c r="B419" s="1" t="n">
        <v>44276</v>
      </c>
      <c r="C419" s="1" t="n">
        <v>45830</v>
      </c>
      <c r="D419" t="inlineStr">
        <is>
          <t>SKÅNE LÄN</t>
        </is>
      </c>
      <c r="E419" t="inlineStr">
        <is>
          <t>HÄSSLEHOLM</t>
        </is>
      </c>
      <c r="G419" t="n">
        <v>10.3</v>
      </c>
      <c r="H419" t="n">
        <v>0</v>
      </c>
      <c r="I419" t="n">
        <v>0</v>
      </c>
      <c r="J419" t="n">
        <v>0</v>
      </c>
      <c r="K419" t="n">
        <v>0</v>
      </c>
      <c r="L419" t="n">
        <v>0</v>
      </c>
      <c r="M419" t="n">
        <v>0</v>
      </c>
      <c r="N419" t="n">
        <v>0</v>
      </c>
      <c r="O419" t="n">
        <v>0</v>
      </c>
      <c r="P419" t="n">
        <v>0</v>
      </c>
      <c r="Q419" t="n">
        <v>0</v>
      </c>
      <c r="R419" s="2" t="inlineStr"/>
    </row>
    <row r="420" ht="15" customHeight="1">
      <c r="A420" t="inlineStr">
        <is>
          <t>A 13811-2021</t>
        </is>
      </c>
      <c r="B420" s="1" t="n">
        <v>44276</v>
      </c>
      <c r="C420" s="1" t="n">
        <v>45830</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14054-2021</t>
        </is>
      </c>
      <c r="B421" s="1" t="n">
        <v>44277</v>
      </c>
      <c r="C421" s="1" t="n">
        <v>45830</v>
      </c>
      <c r="D421" t="inlineStr">
        <is>
          <t>SKÅNE LÄN</t>
        </is>
      </c>
      <c r="E421" t="inlineStr">
        <is>
          <t>HÄSSLEHOLM</t>
        </is>
      </c>
      <c r="G421" t="n">
        <v>2</v>
      </c>
      <c r="H421" t="n">
        <v>0</v>
      </c>
      <c r="I421" t="n">
        <v>0</v>
      </c>
      <c r="J421" t="n">
        <v>0</v>
      </c>
      <c r="K421" t="n">
        <v>0</v>
      </c>
      <c r="L421" t="n">
        <v>0</v>
      </c>
      <c r="M421" t="n">
        <v>0</v>
      </c>
      <c r="N421" t="n">
        <v>0</v>
      </c>
      <c r="O421" t="n">
        <v>0</v>
      </c>
      <c r="P421" t="n">
        <v>0</v>
      </c>
      <c r="Q421" t="n">
        <v>0</v>
      </c>
      <c r="R421" s="2" t="inlineStr"/>
    </row>
    <row r="422" ht="15" customHeight="1">
      <c r="A422" t="inlineStr">
        <is>
          <t>A 13982-2021</t>
        </is>
      </c>
      <c r="B422" s="1" t="n">
        <v>44277</v>
      </c>
      <c r="C422" s="1" t="n">
        <v>45830</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14157-2021</t>
        </is>
      </c>
      <c r="B423" s="1" t="n">
        <v>44278</v>
      </c>
      <c r="C423" s="1" t="n">
        <v>45830</v>
      </c>
      <c r="D423" t="inlineStr">
        <is>
          <t>SKÅNE LÄN</t>
        </is>
      </c>
      <c r="E423" t="inlineStr">
        <is>
          <t>HÄSSLEHOLM</t>
        </is>
      </c>
      <c r="G423" t="n">
        <v>10.5</v>
      </c>
      <c r="H423" t="n">
        <v>0</v>
      </c>
      <c r="I423" t="n">
        <v>0</v>
      </c>
      <c r="J423" t="n">
        <v>0</v>
      </c>
      <c r="K423" t="n">
        <v>0</v>
      </c>
      <c r="L423" t="n">
        <v>0</v>
      </c>
      <c r="M423" t="n">
        <v>0</v>
      </c>
      <c r="N423" t="n">
        <v>0</v>
      </c>
      <c r="O423" t="n">
        <v>0</v>
      </c>
      <c r="P423" t="n">
        <v>0</v>
      </c>
      <c r="Q423" t="n">
        <v>0</v>
      </c>
      <c r="R423" s="2" t="inlineStr"/>
    </row>
    <row r="424" ht="15" customHeight="1">
      <c r="A424" t="inlineStr">
        <is>
          <t>A 17497-2021</t>
        </is>
      </c>
      <c r="B424" s="1" t="n">
        <v>44299</v>
      </c>
      <c r="C424" s="1" t="n">
        <v>45830</v>
      </c>
      <c r="D424" t="inlineStr">
        <is>
          <t>SKÅNE LÄN</t>
        </is>
      </c>
      <c r="E424" t="inlineStr">
        <is>
          <t>HÄSSLEHOLM</t>
        </is>
      </c>
      <c r="G424" t="n">
        <v>8</v>
      </c>
      <c r="H424" t="n">
        <v>0</v>
      </c>
      <c r="I424" t="n">
        <v>0</v>
      </c>
      <c r="J424" t="n">
        <v>0</v>
      </c>
      <c r="K424" t="n">
        <v>0</v>
      </c>
      <c r="L424" t="n">
        <v>0</v>
      </c>
      <c r="M424" t="n">
        <v>0</v>
      </c>
      <c r="N424" t="n">
        <v>0</v>
      </c>
      <c r="O424" t="n">
        <v>0</v>
      </c>
      <c r="P424" t="n">
        <v>0</v>
      </c>
      <c r="Q424" t="n">
        <v>0</v>
      </c>
      <c r="R424" s="2" t="inlineStr"/>
    </row>
    <row r="425" ht="15" customHeight="1">
      <c r="A425" t="inlineStr">
        <is>
          <t>A 18011-2021</t>
        </is>
      </c>
      <c r="B425" s="1" t="n">
        <v>44302</v>
      </c>
      <c r="C425" s="1" t="n">
        <v>45830</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18523-2021</t>
        </is>
      </c>
      <c r="B426" s="1" t="n">
        <v>44305</v>
      </c>
      <c r="C426" s="1" t="n">
        <v>45830</v>
      </c>
      <c r="D426" t="inlineStr">
        <is>
          <t>SKÅNE LÄN</t>
        </is>
      </c>
      <c r="E426" t="inlineStr">
        <is>
          <t>HÄSSLEHOLM</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18511-2021</t>
        </is>
      </c>
      <c r="B427" s="1" t="n">
        <v>44305</v>
      </c>
      <c r="C427" s="1" t="n">
        <v>45830</v>
      </c>
      <c r="D427" t="inlineStr">
        <is>
          <t>SKÅNE LÄN</t>
        </is>
      </c>
      <c r="E427" t="inlineStr">
        <is>
          <t>HÄSSLEHOLM</t>
        </is>
      </c>
      <c r="F427" t="inlineStr">
        <is>
          <t>Övriga Aktiebolag</t>
        </is>
      </c>
      <c r="G427" t="n">
        <v>3.4</v>
      </c>
      <c r="H427" t="n">
        <v>0</v>
      </c>
      <c r="I427" t="n">
        <v>0</v>
      </c>
      <c r="J427" t="n">
        <v>0</v>
      </c>
      <c r="K427" t="n">
        <v>0</v>
      </c>
      <c r="L427" t="n">
        <v>0</v>
      </c>
      <c r="M427" t="n">
        <v>0</v>
      </c>
      <c r="N427" t="n">
        <v>0</v>
      </c>
      <c r="O427" t="n">
        <v>0</v>
      </c>
      <c r="P427" t="n">
        <v>0</v>
      </c>
      <c r="Q427" t="n">
        <v>0</v>
      </c>
      <c r="R427" s="2" t="inlineStr"/>
    </row>
    <row r="428" ht="15" customHeight="1">
      <c r="A428" t="inlineStr">
        <is>
          <t>A 18515-2021</t>
        </is>
      </c>
      <c r="B428" s="1" t="n">
        <v>44305</v>
      </c>
      <c r="C428" s="1" t="n">
        <v>45830</v>
      </c>
      <c r="D428" t="inlineStr">
        <is>
          <t>SKÅNE LÄN</t>
        </is>
      </c>
      <c r="E428" t="inlineStr">
        <is>
          <t>HÄSSLEHOLM</t>
        </is>
      </c>
      <c r="F428" t="inlineStr">
        <is>
          <t>Övriga Aktiebolag</t>
        </is>
      </c>
      <c r="G428" t="n">
        <v>0.5</v>
      </c>
      <c r="H428" t="n">
        <v>0</v>
      </c>
      <c r="I428" t="n">
        <v>0</v>
      </c>
      <c r="J428" t="n">
        <v>0</v>
      </c>
      <c r="K428" t="n">
        <v>0</v>
      </c>
      <c r="L428" t="n">
        <v>0</v>
      </c>
      <c r="M428" t="n">
        <v>0</v>
      </c>
      <c r="N428" t="n">
        <v>0</v>
      </c>
      <c r="O428" t="n">
        <v>0</v>
      </c>
      <c r="P428" t="n">
        <v>0</v>
      </c>
      <c r="Q428" t="n">
        <v>0</v>
      </c>
      <c r="R428" s="2" t="inlineStr"/>
    </row>
    <row r="429" ht="15" customHeight="1">
      <c r="A429" t="inlineStr">
        <is>
          <t>A 18528-2021</t>
        </is>
      </c>
      <c r="B429" s="1" t="n">
        <v>44305</v>
      </c>
      <c r="C429" s="1" t="n">
        <v>45830</v>
      </c>
      <c r="D429" t="inlineStr">
        <is>
          <t>SKÅNE LÄN</t>
        </is>
      </c>
      <c r="E429" t="inlineStr">
        <is>
          <t>HÄSSLEHOLM</t>
        </is>
      </c>
      <c r="F429" t="inlineStr">
        <is>
          <t>Övriga Aktiebolag</t>
        </is>
      </c>
      <c r="G429" t="n">
        <v>4.6</v>
      </c>
      <c r="H429" t="n">
        <v>0</v>
      </c>
      <c r="I429" t="n">
        <v>0</v>
      </c>
      <c r="J429" t="n">
        <v>0</v>
      </c>
      <c r="K429" t="n">
        <v>0</v>
      </c>
      <c r="L429" t="n">
        <v>0</v>
      </c>
      <c r="M429" t="n">
        <v>0</v>
      </c>
      <c r="N429" t="n">
        <v>0</v>
      </c>
      <c r="O429" t="n">
        <v>0</v>
      </c>
      <c r="P429" t="n">
        <v>0</v>
      </c>
      <c r="Q429" t="n">
        <v>0</v>
      </c>
      <c r="R429" s="2" t="inlineStr"/>
    </row>
    <row r="430" ht="15" customHeight="1">
      <c r="A430" t="inlineStr">
        <is>
          <t>A 18648-2021</t>
        </is>
      </c>
      <c r="B430" s="1" t="n">
        <v>44306</v>
      </c>
      <c r="C430" s="1" t="n">
        <v>45830</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19449-2021</t>
        </is>
      </c>
      <c r="B431" s="1" t="n">
        <v>44310</v>
      </c>
      <c r="C431" s="1" t="n">
        <v>45830</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20510-2021</t>
        </is>
      </c>
      <c r="B432" s="1" t="n">
        <v>44315</v>
      </c>
      <c r="C432" s="1" t="n">
        <v>45830</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20435-2021</t>
        </is>
      </c>
      <c r="B433" s="1" t="n">
        <v>44315</v>
      </c>
      <c r="C433" s="1" t="n">
        <v>45830</v>
      </c>
      <c r="D433" t="inlineStr">
        <is>
          <t>SKÅNE LÄN</t>
        </is>
      </c>
      <c r="E433" t="inlineStr">
        <is>
          <t>HÄSSLEHOLM</t>
        </is>
      </c>
      <c r="G433" t="n">
        <v>4.8</v>
      </c>
      <c r="H433" t="n">
        <v>0</v>
      </c>
      <c r="I433" t="n">
        <v>0</v>
      </c>
      <c r="J433" t="n">
        <v>0</v>
      </c>
      <c r="K433" t="n">
        <v>0</v>
      </c>
      <c r="L433" t="n">
        <v>0</v>
      </c>
      <c r="M433" t="n">
        <v>0</v>
      </c>
      <c r="N433" t="n">
        <v>0</v>
      </c>
      <c r="O433" t="n">
        <v>0</v>
      </c>
      <c r="P433" t="n">
        <v>0</v>
      </c>
      <c r="Q433" t="n">
        <v>0</v>
      </c>
      <c r="R433" s="2" t="inlineStr"/>
    </row>
    <row r="434" ht="15" customHeight="1">
      <c r="A434" t="inlineStr">
        <is>
          <t>A 20513-2021</t>
        </is>
      </c>
      <c r="B434" s="1" t="n">
        <v>44315</v>
      </c>
      <c r="C434" s="1" t="n">
        <v>45830</v>
      </c>
      <c r="D434" t="inlineStr">
        <is>
          <t>SKÅNE LÄN</t>
        </is>
      </c>
      <c r="E434" t="inlineStr">
        <is>
          <t>HÄSSLEHOLM</t>
        </is>
      </c>
      <c r="G434" t="n">
        <v>0.7</v>
      </c>
      <c r="H434" t="n">
        <v>0</v>
      </c>
      <c r="I434" t="n">
        <v>0</v>
      </c>
      <c r="J434" t="n">
        <v>0</v>
      </c>
      <c r="K434" t="n">
        <v>0</v>
      </c>
      <c r="L434" t="n">
        <v>0</v>
      </c>
      <c r="M434" t="n">
        <v>0</v>
      </c>
      <c r="N434" t="n">
        <v>0</v>
      </c>
      <c r="O434" t="n">
        <v>0</v>
      </c>
      <c r="P434" t="n">
        <v>0</v>
      </c>
      <c r="Q434" t="n">
        <v>0</v>
      </c>
      <c r="R434" s="2" t="inlineStr"/>
    </row>
    <row r="435" ht="15" customHeight="1">
      <c r="A435" t="inlineStr">
        <is>
          <t>A 20648-2021</t>
        </is>
      </c>
      <c r="B435" s="1" t="n">
        <v>44316</v>
      </c>
      <c r="C435" s="1" t="n">
        <v>45830</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20659-2021</t>
        </is>
      </c>
      <c r="B436" s="1" t="n">
        <v>44316</v>
      </c>
      <c r="C436" s="1" t="n">
        <v>45830</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21715-2021</t>
        </is>
      </c>
      <c r="B437" s="1" t="n">
        <v>44316</v>
      </c>
      <c r="C437" s="1" t="n">
        <v>45830</v>
      </c>
      <c r="D437" t="inlineStr">
        <is>
          <t>SKÅNE LÄN</t>
        </is>
      </c>
      <c r="E437" t="inlineStr">
        <is>
          <t>HÄSSLEHOLM</t>
        </is>
      </c>
      <c r="G437" t="n">
        <v>9.5</v>
      </c>
      <c r="H437" t="n">
        <v>0</v>
      </c>
      <c r="I437" t="n">
        <v>0</v>
      </c>
      <c r="J437" t="n">
        <v>0</v>
      </c>
      <c r="K437" t="n">
        <v>0</v>
      </c>
      <c r="L437" t="n">
        <v>0</v>
      </c>
      <c r="M437" t="n">
        <v>0</v>
      </c>
      <c r="N437" t="n">
        <v>0</v>
      </c>
      <c r="O437" t="n">
        <v>0</v>
      </c>
      <c r="P437" t="n">
        <v>0</v>
      </c>
      <c r="Q437" t="n">
        <v>0</v>
      </c>
      <c r="R437" s="2" t="inlineStr"/>
    </row>
    <row r="438" ht="15" customHeight="1">
      <c r="A438" t="inlineStr">
        <is>
          <t>A 21028-2021</t>
        </is>
      </c>
      <c r="B438" s="1" t="n">
        <v>44319</v>
      </c>
      <c r="C438" s="1" t="n">
        <v>45830</v>
      </c>
      <c r="D438" t="inlineStr">
        <is>
          <t>SKÅNE LÄN</t>
        </is>
      </c>
      <c r="E438" t="inlineStr">
        <is>
          <t>HÄSSLEHOLM</t>
        </is>
      </c>
      <c r="G438" t="n">
        <v>3.1</v>
      </c>
      <c r="H438" t="n">
        <v>0</v>
      </c>
      <c r="I438" t="n">
        <v>0</v>
      </c>
      <c r="J438" t="n">
        <v>0</v>
      </c>
      <c r="K438" t="n">
        <v>0</v>
      </c>
      <c r="L438" t="n">
        <v>0</v>
      </c>
      <c r="M438" t="n">
        <v>0</v>
      </c>
      <c r="N438" t="n">
        <v>0</v>
      </c>
      <c r="O438" t="n">
        <v>0</v>
      </c>
      <c r="P438" t="n">
        <v>0</v>
      </c>
      <c r="Q438" t="n">
        <v>0</v>
      </c>
      <c r="R438" s="2" t="inlineStr"/>
    </row>
    <row r="439" ht="15" customHeight="1">
      <c r="A439" t="inlineStr">
        <is>
          <t>A 21029-2021</t>
        </is>
      </c>
      <c r="B439" s="1" t="n">
        <v>44319</v>
      </c>
      <c r="C439" s="1" t="n">
        <v>45830</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21535-2021</t>
        </is>
      </c>
      <c r="B440" s="1" t="n">
        <v>44321</v>
      </c>
      <c r="C440" s="1" t="n">
        <v>45830</v>
      </c>
      <c r="D440" t="inlineStr">
        <is>
          <t>SKÅNE LÄN</t>
        </is>
      </c>
      <c r="E440" t="inlineStr">
        <is>
          <t>HÄSSLEHOLM</t>
        </is>
      </c>
      <c r="G440" t="n">
        <v>2.8</v>
      </c>
      <c r="H440" t="n">
        <v>0</v>
      </c>
      <c r="I440" t="n">
        <v>0</v>
      </c>
      <c r="J440" t="n">
        <v>0</v>
      </c>
      <c r="K440" t="n">
        <v>0</v>
      </c>
      <c r="L440" t="n">
        <v>0</v>
      </c>
      <c r="M440" t="n">
        <v>0</v>
      </c>
      <c r="N440" t="n">
        <v>0</v>
      </c>
      <c r="O440" t="n">
        <v>0</v>
      </c>
      <c r="P440" t="n">
        <v>0</v>
      </c>
      <c r="Q440" t="n">
        <v>0</v>
      </c>
      <c r="R440" s="2" t="inlineStr"/>
    </row>
    <row r="441" ht="15" customHeight="1">
      <c r="A441" t="inlineStr">
        <is>
          <t>A 22320-2021</t>
        </is>
      </c>
      <c r="B441" s="1" t="n">
        <v>44323</v>
      </c>
      <c r="C441" s="1" t="n">
        <v>45830</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22423-2021</t>
        </is>
      </c>
      <c r="B442" s="1" t="n">
        <v>44326</v>
      </c>
      <c r="C442" s="1" t="n">
        <v>45830</v>
      </c>
      <c r="D442" t="inlineStr">
        <is>
          <t>SKÅNE LÄN</t>
        </is>
      </c>
      <c r="E442" t="inlineStr">
        <is>
          <t>HÄSSLEHOLM</t>
        </is>
      </c>
      <c r="F442" t="inlineStr">
        <is>
          <t>Övriga Aktiebolag</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22541-2021</t>
        </is>
      </c>
      <c r="B443" s="1" t="n">
        <v>44326</v>
      </c>
      <c r="C443" s="1" t="n">
        <v>45830</v>
      </c>
      <c r="D443" t="inlineStr">
        <is>
          <t>SKÅNE LÄN</t>
        </is>
      </c>
      <c r="E443" t="inlineStr">
        <is>
          <t>HÄSSLEHOLM</t>
        </is>
      </c>
      <c r="G443" t="n">
        <v>4.4</v>
      </c>
      <c r="H443" t="n">
        <v>0</v>
      </c>
      <c r="I443" t="n">
        <v>0</v>
      </c>
      <c r="J443" t="n">
        <v>0</v>
      </c>
      <c r="K443" t="n">
        <v>0</v>
      </c>
      <c r="L443" t="n">
        <v>0</v>
      </c>
      <c r="M443" t="n">
        <v>0</v>
      </c>
      <c r="N443" t="n">
        <v>0</v>
      </c>
      <c r="O443" t="n">
        <v>0</v>
      </c>
      <c r="P443" t="n">
        <v>0</v>
      </c>
      <c r="Q443" t="n">
        <v>0</v>
      </c>
      <c r="R443" s="2" t="inlineStr"/>
    </row>
    <row r="444" ht="15" customHeight="1">
      <c r="A444" t="inlineStr">
        <is>
          <t>A 23003-2021</t>
        </is>
      </c>
      <c r="B444" s="1" t="n">
        <v>44328</v>
      </c>
      <c r="C444" s="1" t="n">
        <v>45830</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22899-2021</t>
        </is>
      </c>
      <c r="B445" s="1" t="n">
        <v>44328</v>
      </c>
      <c r="C445" s="1" t="n">
        <v>45830</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22907-2021</t>
        </is>
      </c>
      <c r="B446" s="1" t="n">
        <v>44328</v>
      </c>
      <c r="C446" s="1" t="n">
        <v>45830</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23045-2021</t>
        </is>
      </c>
      <c r="B447" s="1" t="n">
        <v>44329</v>
      </c>
      <c r="C447" s="1" t="n">
        <v>45830</v>
      </c>
      <c r="D447" t="inlineStr">
        <is>
          <t>SKÅNE LÄN</t>
        </is>
      </c>
      <c r="E447" t="inlineStr">
        <is>
          <t>HÄSSLEHOLM</t>
        </is>
      </c>
      <c r="G447" t="n">
        <v>1.9</v>
      </c>
      <c r="H447" t="n">
        <v>0</v>
      </c>
      <c r="I447" t="n">
        <v>0</v>
      </c>
      <c r="J447" t="n">
        <v>0</v>
      </c>
      <c r="K447" t="n">
        <v>0</v>
      </c>
      <c r="L447" t="n">
        <v>0</v>
      </c>
      <c r="M447" t="n">
        <v>0</v>
      </c>
      <c r="N447" t="n">
        <v>0</v>
      </c>
      <c r="O447" t="n">
        <v>0</v>
      </c>
      <c r="P447" t="n">
        <v>0</v>
      </c>
      <c r="Q447" t="n">
        <v>0</v>
      </c>
      <c r="R447" s="2" t="inlineStr"/>
    </row>
    <row r="448" ht="15" customHeight="1">
      <c r="A448" t="inlineStr">
        <is>
          <t>A 23106-2021</t>
        </is>
      </c>
      <c r="B448" s="1" t="n">
        <v>44330</v>
      </c>
      <c r="C448" s="1" t="n">
        <v>45830</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23830-2021</t>
        </is>
      </c>
      <c r="B449" s="1" t="n">
        <v>44335</v>
      </c>
      <c r="C449" s="1" t="n">
        <v>45830</v>
      </c>
      <c r="D449" t="inlineStr">
        <is>
          <t>SKÅNE LÄN</t>
        </is>
      </c>
      <c r="E449" t="inlineStr">
        <is>
          <t>HÄSSLEHOLM</t>
        </is>
      </c>
      <c r="G449" t="n">
        <v>18.7</v>
      </c>
      <c r="H449" t="n">
        <v>0</v>
      </c>
      <c r="I449" t="n">
        <v>0</v>
      </c>
      <c r="J449" t="n">
        <v>0</v>
      </c>
      <c r="K449" t="n">
        <v>0</v>
      </c>
      <c r="L449" t="n">
        <v>0</v>
      </c>
      <c r="M449" t="n">
        <v>0</v>
      </c>
      <c r="N449" t="n">
        <v>0</v>
      </c>
      <c r="O449" t="n">
        <v>0</v>
      </c>
      <c r="P449" t="n">
        <v>0</v>
      </c>
      <c r="Q449" t="n">
        <v>0</v>
      </c>
      <c r="R449" s="2" t="inlineStr"/>
    </row>
    <row r="450" ht="15" customHeight="1">
      <c r="A450" t="inlineStr">
        <is>
          <t>A 23837-2021</t>
        </is>
      </c>
      <c r="B450" s="1" t="n">
        <v>44335</v>
      </c>
      <c r="C450" s="1" t="n">
        <v>45830</v>
      </c>
      <c r="D450" t="inlineStr">
        <is>
          <t>SKÅNE LÄN</t>
        </is>
      </c>
      <c r="E450" t="inlineStr">
        <is>
          <t>HÄSSLEHOLM</t>
        </is>
      </c>
      <c r="G450" t="n">
        <v>7.6</v>
      </c>
      <c r="H450" t="n">
        <v>0</v>
      </c>
      <c r="I450" t="n">
        <v>0</v>
      </c>
      <c r="J450" t="n">
        <v>0</v>
      </c>
      <c r="K450" t="n">
        <v>0</v>
      </c>
      <c r="L450" t="n">
        <v>0</v>
      </c>
      <c r="M450" t="n">
        <v>0</v>
      </c>
      <c r="N450" t="n">
        <v>0</v>
      </c>
      <c r="O450" t="n">
        <v>0</v>
      </c>
      <c r="P450" t="n">
        <v>0</v>
      </c>
      <c r="Q450" t="n">
        <v>0</v>
      </c>
      <c r="R450" s="2" t="inlineStr"/>
    </row>
    <row r="451" ht="15" customHeight="1">
      <c r="A451" t="inlineStr">
        <is>
          <t>A 23841-2021</t>
        </is>
      </c>
      <c r="B451" s="1" t="n">
        <v>44335</v>
      </c>
      <c r="C451" s="1" t="n">
        <v>45830</v>
      </c>
      <c r="D451" t="inlineStr">
        <is>
          <t>SKÅNE LÄN</t>
        </is>
      </c>
      <c r="E451" t="inlineStr">
        <is>
          <t>HÄSSLEHOLM</t>
        </is>
      </c>
      <c r="G451" t="n">
        <v>16.9</v>
      </c>
      <c r="H451" t="n">
        <v>0</v>
      </c>
      <c r="I451" t="n">
        <v>0</v>
      </c>
      <c r="J451" t="n">
        <v>0</v>
      </c>
      <c r="K451" t="n">
        <v>0</v>
      </c>
      <c r="L451" t="n">
        <v>0</v>
      </c>
      <c r="M451" t="n">
        <v>0</v>
      </c>
      <c r="N451" t="n">
        <v>0</v>
      </c>
      <c r="O451" t="n">
        <v>0</v>
      </c>
      <c r="P451" t="n">
        <v>0</v>
      </c>
      <c r="Q451" t="n">
        <v>0</v>
      </c>
      <c r="R451" s="2" t="inlineStr"/>
    </row>
    <row r="452" ht="15" customHeight="1">
      <c r="A452" t="inlineStr">
        <is>
          <t>A 23826-2021</t>
        </is>
      </c>
      <c r="B452" s="1" t="n">
        <v>44335</v>
      </c>
      <c r="C452" s="1" t="n">
        <v>45830</v>
      </c>
      <c r="D452" t="inlineStr">
        <is>
          <t>SKÅNE LÄN</t>
        </is>
      </c>
      <c r="E452" t="inlineStr">
        <is>
          <t>HÄSSLEHOLM</t>
        </is>
      </c>
      <c r="G452" t="n">
        <v>6.5</v>
      </c>
      <c r="H452" t="n">
        <v>0</v>
      </c>
      <c r="I452" t="n">
        <v>0</v>
      </c>
      <c r="J452" t="n">
        <v>0</v>
      </c>
      <c r="K452" t="n">
        <v>0</v>
      </c>
      <c r="L452" t="n">
        <v>0</v>
      </c>
      <c r="M452" t="n">
        <v>0</v>
      </c>
      <c r="N452" t="n">
        <v>0</v>
      </c>
      <c r="O452" t="n">
        <v>0</v>
      </c>
      <c r="P452" t="n">
        <v>0</v>
      </c>
      <c r="Q452" t="n">
        <v>0</v>
      </c>
      <c r="R452" s="2" t="inlineStr"/>
    </row>
    <row r="453" ht="15" customHeight="1">
      <c r="A453" t="inlineStr">
        <is>
          <t>A 24498-2021</t>
        </is>
      </c>
      <c r="B453" s="1" t="n">
        <v>44337</v>
      </c>
      <c r="C453" s="1" t="n">
        <v>45830</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24496-2021</t>
        </is>
      </c>
      <c r="B454" s="1" t="n">
        <v>44337</v>
      </c>
      <c r="C454" s="1" t="n">
        <v>45830</v>
      </c>
      <c r="D454" t="inlineStr">
        <is>
          <t>SKÅNE LÄN</t>
        </is>
      </c>
      <c r="E454" t="inlineStr">
        <is>
          <t>HÄSSLEHOLM</t>
        </is>
      </c>
      <c r="G454" t="n">
        <v>0.9</v>
      </c>
      <c r="H454" t="n">
        <v>0</v>
      </c>
      <c r="I454" t="n">
        <v>0</v>
      </c>
      <c r="J454" t="n">
        <v>0</v>
      </c>
      <c r="K454" t="n">
        <v>0</v>
      </c>
      <c r="L454" t="n">
        <v>0</v>
      </c>
      <c r="M454" t="n">
        <v>0</v>
      </c>
      <c r="N454" t="n">
        <v>0</v>
      </c>
      <c r="O454" t="n">
        <v>0</v>
      </c>
      <c r="P454" t="n">
        <v>0</v>
      </c>
      <c r="Q454" t="n">
        <v>0</v>
      </c>
      <c r="R454" s="2" t="inlineStr"/>
    </row>
    <row r="455" ht="15" customHeight="1">
      <c r="A455" t="inlineStr">
        <is>
          <t>A 25383-2021</t>
        </is>
      </c>
      <c r="B455" s="1" t="n">
        <v>44342</v>
      </c>
      <c r="C455" s="1" t="n">
        <v>45830</v>
      </c>
      <c r="D455" t="inlineStr">
        <is>
          <t>SKÅNE LÄN</t>
        </is>
      </c>
      <c r="E455" t="inlineStr">
        <is>
          <t>HÄSSLEHOLM</t>
        </is>
      </c>
      <c r="G455" t="n">
        <v>0.7</v>
      </c>
      <c r="H455" t="n">
        <v>0</v>
      </c>
      <c r="I455" t="n">
        <v>0</v>
      </c>
      <c r="J455" t="n">
        <v>0</v>
      </c>
      <c r="K455" t="n">
        <v>0</v>
      </c>
      <c r="L455" t="n">
        <v>0</v>
      </c>
      <c r="M455" t="n">
        <v>0</v>
      </c>
      <c r="N455" t="n">
        <v>0</v>
      </c>
      <c r="O455" t="n">
        <v>0</v>
      </c>
      <c r="P455" t="n">
        <v>0</v>
      </c>
      <c r="Q455" t="n">
        <v>0</v>
      </c>
      <c r="R455" s="2" t="inlineStr"/>
    </row>
    <row r="456" ht="15" customHeight="1">
      <c r="A456" t="inlineStr">
        <is>
          <t>A 25379-2021</t>
        </is>
      </c>
      <c r="B456" s="1" t="n">
        <v>44342</v>
      </c>
      <c r="C456" s="1" t="n">
        <v>45830</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25788-2021</t>
        </is>
      </c>
      <c r="B457" s="1" t="n">
        <v>44343</v>
      </c>
      <c r="C457" s="1" t="n">
        <v>45830</v>
      </c>
      <c r="D457" t="inlineStr">
        <is>
          <t>SKÅNE LÄN</t>
        </is>
      </c>
      <c r="E457" t="inlineStr">
        <is>
          <t>HÄSSLEHOLM</t>
        </is>
      </c>
      <c r="G457" t="n">
        <v>4.8</v>
      </c>
      <c r="H457" t="n">
        <v>0</v>
      </c>
      <c r="I457" t="n">
        <v>0</v>
      </c>
      <c r="J457" t="n">
        <v>0</v>
      </c>
      <c r="K457" t="n">
        <v>0</v>
      </c>
      <c r="L457" t="n">
        <v>0</v>
      </c>
      <c r="M457" t="n">
        <v>0</v>
      </c>
      <c r="N457" t="n">
        <v>0</v>
      </c>
      <c r="O457" t="n">
        <v>0</v>
      </c>
      <c r="P457" t="n">
        <v>0</v>
      </c>
      <c r="Q457" t="n">
        <v>0</v>
      </c>
      <c r="R457" s="2" t="inlineStr"/>
    </row>
    <row r="458" ht="15" customHeight="1">
      <c r="A458" t="inlineStr">
        <is>
          <t>A 26207-2021</t>
        </is>
      </c>
      <c r="B458" s="1" t="n">
        <v>44347</v>
      </c>
      <c r="C458" s="1" t="n">
        <v>45830</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27137-2021</t>
        </is>
      </c>
      <c r="B459" s="1" t="n">
        <v>44350</v>
      </c>
      <c r="C459" s="1" t="n">
        <v>45830</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27197-2021</t>
        </is>
      </c>
      <c r="B460" s="1" t="n">
        <v>44350</v>
      </c>
      <c r="C460" s="1" t="n">
        <v>45830</v>
      </c>
      <c r="D460" t="inlineStr">
        <is>
          <t>SKÅNE LÄN</t>
        </is>
      </c>
      <c r="E460" t="inlineStr">
        <is>
          <t>HÄSSLEHOLM</t>
        </is>
      </c>
      <c r="G460" t="n">
        <v>1.8</v>
      </c>
      <c r="H460" t="n">
        <v>0</v>
      </c>
      <c r="I460" t="n">
        <v>0</v>
      </c>
      <c r="J460" t="n">
        <v>0</v>
      </c>
      <c r="K460" t="n">
        <v>0</v>
      </c>
      <c r="L460" t="n">
        <v>0</v>
      </c>
      <c r="M460" t="n">
        <v>0</v>
      </c>
      <c r="N460" t="n">
        <v>0</v>
      </c>
      <c r="O460" t="n">
        <v>0</v>
      </c>
      <c r="P460" t="n">
        <v>0</v>
      </c>
      <c r="Q460" t="n">
        <v>0</v>
      </c>
      <c r="R460" s="2" t="inlineStr"/>
    </row>
    <row r="461" ht="15" customHeight="1">
      <c r="A461" t="inlineStr">
        <is>
          <t>A 27330-2021</t>
        </is>
      </c>
      <c r="B461" s="1" t="n">
        <v>44351</v>
      </c>
      <c r="C461" s="1" t="n">
        <v>45830</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29143-2021</t>
        </is>
      </c>
      <c r="B462" s="1" t="n">
        <v>44358</v>
      </c>
      <c r="C462" s="1" t="n">
        <v>45830</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30879-2021</t>
        </is>
      </c>
      <c r="B463" s="1" t="n">
        <v>44365</v>
      </c>
      <c r="C463" s="1" t="n">
        <v>45830</v>
      </c>
      <c r="D463" t="inlineStr">
        <is>
          <t>SKÅNE LÄN</t>
        </is>
      </c>
      <c r="E463" t="inlineStr">
        <is>
          <t>HÄSSLEHOLM</t>
        </is>
      </c>
      <c r="G463" t="n">
        <v>1</v>
      </c>
      <c r="H463" t="n">
        <v>0</v>
      </c>
      <c r="I463" t="n">
        <v>0</v>
      </c>
      <c r="J463" t="n">
        <v>0</v>
      </c>
      <c r="K463" t="n">
        <v>0</v>
      </c>
      <c r="L463" t="n">
        <v>0</v>
      </c>
      <c r="M463" t="n">
        <v>0</v>
      </c>
      <c r="N463" t="n">
        <v>0</v>
      </c>
      <c r="O463" t="n">
        <v>0</v>
      </c>
      <c r="P463" t="n">
        <v>0</v>
      </c>
      <c r="Q463" t="n">
        <v>0</v>
      </c>
      <c r="R463" s="2" t="inlineStr"/>
    </row>
    <row r="464" ht="15" customHeight="1">
      <c r="A464" t="inlineStr">
        <is>
          <t>A 30992-2021</t>
        </is>
      </c>
      <c r="B464" s="1" t="n">
        <v>44366</v>
      </c>
      <c r="C464" s="1" t="n">
        <v>45830</v>
      </c>
      <c r="D464" t="inlineStr">
        <is>
          <t>SKÅNE LÄN</t>
        </is>
      </c>
      <c r="E464" t="inlineStr">
        <is>
          <t>HÄSSLEHOLM</t>
        </is>
      </c>
      <c r="G464" t="n">
        <v>3.1</v>
      </c>
      <c r="H464" t="n">
        <v>0</v>
      </c>
      <c r="I464" t="n">
        <v>0</v>
      </c>
      <c r="J464" t="n">
        <v>0</v>
      </c>
      <c r="K464" t="n">
        <v>0</v>
      </c>
      <c r="L464" t="n">
        <v>0</v>
      </c>
      <c r="M464" t="n">
        <v>0</v>
      </c>
      <c r="N464" t="n">
        <v>0</v>
      </c>
      <c r="O464" t="n">
        <v>0</v>
      </c>
      <c r="P464" t="n">
        <v>0</v>
      </c>
      <c r="Q464" t="n">
        <v>0</v>
      </c>
      <c r="R464" s="2" t="inlineStr"/>
    </row>
    <row r="465" ht="15" customHeight="1">
      <c r="A465" t="inlineStr">
        <is>
          <t>A 32792-2021</t>
        </is>
      </c>
      <c r="B465" s="1" t="n">
        <v>44375</v>
      </c>
      <c r="C465" s="1" t="n">
        <v>45830</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32892-2021</t>
        </is>
      </c>
      <c r="B466" s="1" t="n">
        <v>44375</v>
      </c>
      <c r="C466" s="1" t="n">
        <v>45830</v>
      </c>
      <c r="D466" t="inlineStr">
        <is>
          <t>SKÅNE LÄN</t>
        </is>
      </c>
      <c r="E466" t="inlineStr">
        <is>
          <t>HÄSSLEHOLM</t>
        </is>
      </c>
      <c r="G466" t="n">
        <v>2.9</v>
      </c>
      <c r="H466" t="n">
        <v>0</v>
      </c>
      <c r="I466" t="n">
        <v>0</v>
      </c>
      <c r="J466" t="n">
        <v>0</v>
      </c>
      <c r="K466" t="n">
        <v>0</v>
      </c>
      <c r="L466" t="n">
        <v>0</v>
      </c>
      <c r="M466" t="n">
        <v>0</v>
      </c>
      <c r="N466" t="n">
        <v>0</v>
      </c>
      <c r="O466" t="n">
        <v>0</v>
      </c>
      <c r="P466" t="n">
        <v>0</v>
      </c>
      <c r="Q466" t="n">
        <v>0</v>
      </c>
      <c r="R466" s="2" t="inlineStr"/>
    </row>
    <row r="467" ht="15" customHeight="1">
      <c r="A467" t="inlineStr">
        <is>
          <t>A 32794-2021</t>
        </is>
      </c>
      <c r="B467" s="1" t="n">
        <v>44375</v>
      </c>
      <c r="C467" s="1" t="n">
        <v>45830</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32967-2021</t>
        </is>
      </c>
      <c r="B468" s="1" t="n">
        <v>44376</v>
      </c>
      <c r="C468" s="1" t="n">
        <v>45830</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33736-2021</t>
        </is>
      </c>
      <c r="B469" s="1" t="n">
        <v>44378</v>
      </c>
      <c r="C469" s="1" t="n">
        <v>45830</v>
      </c>
      <c r="D469" t="inlineStr">
        <is>
          <t>SKÅNE LÄN</t>
        </is>
      </c>
      <c r="E469" t="inlineStr">
        <is>
          <t>HÄSSLEHOLM</t>
        </is>
      </c>
      <c r="G469" t="n">
        <v>7.6</v>
      </c>
      <c r="H469" t="n">
        <v>0</v>
      </c>
      <c r="I469" t="n">
        <v>0</v>
      </c>
      <c r="J469" t="n">
        <v>0</v>
      </c>
      <c r="K469" t="n">
        <v>0</v>
      </c>
      <c r="L469" t="n">
        <v>0</v>
      </c>
      <c r="M469" t="n">
        <v>0</v>
      </c>
      <c r="N469" t="n">
        <v>0</v>
      </c>
      <c r="O469" t="n">
        <v>0</v>
      </c>
      <c r="P469" t="n">
        <v>0</v>
      </c>
      <c r="Q469" t="n">
        <v>0</v>
      </c>
      <c r="R469" s="2" t="inlineStr"/>
    </row>
    <row r="470" ht="15" customHeight="1">
      <c r="A470" t="inlineStr">
        <is>
          <t>A 33873-2021</t>
        </is>
      </c>
      <c r="B470" s="1" t="n">
        <v>44378</v>
      </c>
      <c r="C470" s="1" t="n">
        <v>45830</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33927-2021</t>
        </is>
      </c>
      <c r="B471" s="1" t="n">
        <v>44378</v>
      </c>
      <c r="C471" s="1" t="n">
        <v>45830</v>
      </c>
      <c r="D471" t="inlineStr">
        <is>
          <t>SKÅNE LÄN</t>
        </is>
      </c>
      <c r="E471" t="inlineStr">
        <is>
          <t>HÄSSLEHOLM</t>
        </is>
      </c>
      <c r="G471" t="n">
        <v>16.7</v>
      </c>
      <c r="H471" t="n">
        <v>0</v>
      </c>
      <c r="I471" t="n">
        <v>0</v>
      </c>
      <c r="J471" t="n">
        <v>0</v>
      </c>
      <c r="K471" t="n">
        <v>0</v>
      </c>
      <c r="L471" t="n">
        <v>0</v>
      </c>
      <c r="M471" t="n">
        <v>0</v>
      </c>
      <c r="N471" t="n">
        <v>0</v>
      </c>
      <c r="O471" t="n">
        <v>0</v>
      </c>
      <c r="P471" t="n">
        <v>0</v>
      </c>
      <c r="Q471" t="n">
        <v>0</v>
      </c>
      <c r="R471" s="2" t="inlineStr"/>
    </row>
    <row r="472" ht="15" customHeight="1">
      <c r="A472" t="inlineStr">
        <is>
          <t>A 34027-2021</t>
        </is>
      </c>
      <c r="B472" s="1" t="n">
        <v>44379</v>
      </c>
      <c r="C472" s="1" t="n">
        <v>45830</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34342-2021</t>
        </is>
      </c>
      <c r="B473" s="1" t="n">
        <v>44379</v>
      </c>
      <c r="C473" s="1" t="n">
        <v>45830</v>
      </c>
      <c r="D473" t="inlineStr">
        <is>
          <t>SKÅNE LÄN</t>
        </is>
      </c>
      <c r="E473" t="inlineStr">
        <is>
          <t>HÄSSLEHOLM</t>
        </is>
      </c>
      <c r="G473" t="n">
        <v>7</v>
      </c>
      <c r="H473" t="n">
        <v>0</v>
      </c>
      <c r="I473" t="n">
        <v>0</v>
      </c>
      <c r="J473" t="n">
        <v>0</v>
      </c>
      <c r="K473" t="n">
        <v>0</v>
      </c>
      <c r="L473" t="n">
        <v>0</v>
      </c>
      <c r="M473" t="n">
        <v>0</v>
      </c>
      <c r="N473" t="n">
        <v>0</v>
      </c>
      <c r="O473" t="n">
        <v>0</v>
      </c>
      <c r="P473" t="n">
        <v>0</v>
      </c>
      <c r="Q473" t="n">
        <v>0</v>
      </c>
      <c r="R473" s="2" t="inlineStr"/>
    </row>
    <row r="474" ht="15" customHeight="1">
      <c r="A474" t="inlineStr">
        <is>
          <t>A 34679-2021</t>
        </is>
      </c>
      <c r="B474" s="1" t="n">
        <v>44382</v>
      </c>
      <c r="C474" s="1" t="n">
        <v>45830</v>
      </c>
      <c r="D474" t="inlineStr">
        <is>
          <t>SKÅNE LÄN</t>
        </is>
      </c>
      <c r="E474" t="inlineStr">
        <is>
          <t>HÄSSLEHOLM</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34684-2021</t>
        </is>
      </c>
      <c r="B475" s="1" t="n">
        <v>44382</v>
      </c>
      <c r="C475" s="1" t="n">
        <v>45830</v>
      </c>
      <c r="D475" t="inlineStr">
        <is>
          <t>SKÅNE LÄN</t>
        </is>
      </c>
      <c r="E475" t="inlineStr">
        <is>
          <t>HÄSSLEHOLM</t>
        </is>
      </c>
      <c r="F475" t="inlineStr">
        <is>
          <t>Övriga Aktiebolag</t>
        </is>
      </c>
      <c r="G475" t="n">
        <v>0.9</v>
      </c>
      <c r="H475" t="n">
        <v>0</v>
      </c>
      <c r="I475" t="n">
        <v>0</v>
      </c>
      <c r="J475" t="n">
        <v>0</v>
      </c>
      <c r="K475" t="n">
        <v>0</v>
      </c>
      <c r="L475" t="n">
        <v>0</v>
      </c>
      <c r="M475" t="n">
        <v>0</v>
      </c>
      <c r="N475" t="n">
        <v>0</v>
      </c>
      <c r="O475" t="n">
        <v>0</v>
      </c>
      <c r="P475" t="n">
        <v>0</v>
      </c>
      <c r="Q475" t="n">
        <v>0</v>
      </c>
      <c r="R475" s="2" t="inlineStr"/>
    </row>
    <row r="476" ht="15" customHeight="1">
      <c r="A476" t="inlineStr">
        <is>
          <t>A 37141-2021</t>
        </is>
      </c>
      <c r="B476" s="1" t="n">
        <v>44396</v>
      </c>
      <c r="C476" s="1" t="n">
        <v>45830</v>
      </c>
      <c r="D476" t="inlineStr">
        <is>
          <t>SKÅNE LÄN</t>
        </is>
      </c>
      <c r="E476" t="inlineStr">
        <is>
          <t>HÄSSLEHOLM</t>
        </is>
      </c>
      <c r="G476" t="n">
        <v>12.8</v>
      </c>
      <c r="H476" t="n">
        <v>0</v>
      </c>
      <c r="I476" t="n">
        <v>0</v>
      </c>
      <c r="J476" t="n">
        <v>0</v>
      </c>
      <c r="K476" t="n">
        <v>0</v>
      </c>
      <c r="L476" t="n">
        <v>0</v>
      </c>
      <c r="M476" t="n">
        <v>0</v>
      </c>
      <c r="N476" t="n">
        <v>0</v>
      </c>
      <c r="O476" t="n">
        <v>0</v>
      </c>
      <c r="P476" t="n">
        <v>0</v>
      </c>
      <c r="Q476" t="n">
        <v>0</v>
      </c>
      <c r="R476" s="2" t="inlineStr"/>
    </row>
    <row r="477" ht="15" customHeight="1">
      <c r="A477" t="inlineStr">
        <is>
          <t>A 37334-2021</t>
        </is>
      </c>
      <c r="B477" s="1" t="n">
        <v>44397</v>
      </c>
      <c r="C477" s="1" t="n">
        <v>45830</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37898-2021</t>
        </is>
      </c>
      <c r="B478" s="1" t="n">
        <v>44403</v>
      </c>
      <c r="C478" s="1" t="n">
        <v>45830</v>
      </c>
      <c r="D478" t="inlineStr">
        <is>
          <t>SKÅNE LÄN</t>
        </is>
      </c>
      <c r="E478" t="inlineStr">
        <is>
          <t>HÄSSLEHOLM</t>
        </is>
      </c>
      <c r="F478" t="inlineStr">
        <is>
          <t>Kommuner</t>
        </is>
      </c>
      <c r="G478" t="n">
        <v>8.4</v>
      </c>
      <c r="H478" t="n">
        <v>0</v>
      </c>
      <c r="I478" t="n">
        <v>0</v>
      </c>
      <c r="J478" t="n">
        <v>0</v>
      </c>
      <c r="K478" t="n">
        <v>0</v>
      </c>
      <c r="L478" t="n">
        <v>0</v>
      </c>
      <c r="M478" t="n">
        <v>0</v>
      </c>
      <c r="N478" t="n">
        <v>0</v>
      </c>
      <c r="O478" t="n">
        <v>0</v>
      </c>
      <c r="P478" t="n">
        <v>0</v>
      </c>
      <c r="Q478" t="n">
        <v>0</v>
      </c>
      <c r="R478" s="2" t="inlineStr"/>
    </row>
    <row r="479" ht="15" customHeight="1">
      <c r="A479" t="inlineStr">
        <is>
          <t>A 38228-2021</t>
        </is>
      </c>
      <c r="B479" s="1" t="n">
        <v>44405</v>
      </c>
      <c r="C479" s="1" t="n">
        <v>45830</v>
      </c>
      <c r="D479" t="inlineStr">
        <is>
          <t>SKÅNE LÄN</t>
        </is>
      </c>
      <c r="E479" t="inlineStr">
        <is>
          <t>HÄSSLEHOLM</t>
        </is>
      </c>
      <c r="G479" t="n">
        <v>2.8</v>
      </c>
      <c r="H479" t="n">
        <v>0</v>
      </c>
      <c r="I479" t="n">
        <v>0</v>
      </c>
      <c r="J479" t="n">
        <v>0</v>
      </c>
      <c r="K479" t="n">
        <v>0</v>
      </c>
      <c r="L479" t="n">
        <v>0</v>
      </c>
      <c r="M479" t="n">
        <v>0</v>
      </c>
      <c r="N479" t="n">
        <v>0</v>
      </c>
      <c r="O479" t="n">
        <v>0</v>
      </c>
      <c r="P479" t="n">
        <v>0</v>
      </c>
      <c r="Q479" t="n">
        <v>0</v>
      </c>
      <c r="R479" s="2" t="inlineStr"/>
    </row>
    <row r="480" ht="15" customHeight="1">
      <c r="A480" t="inlineStr">
        <is>
          <t>A 38160-2021</t>
        </is>
      </c>
      <c r="B480" s="1" t="n">
        <v>44405</v>
      </c>
      <c r="C480" s="1" t="n">
        <v>45830</v>
      </c>
      <c r="D480" t="inlineStr">
        <is>
          <t>SKÅNE LÄN</t>
        </is>
      </c>
      <c r="E480" t="inlineStr">
        <is>
          <t>HÄSSLEHOLM</t>
        </is>
      </c>
      <c r="G480" t="n">
        <v>2.2</v>
      </c>
      <c r="H480" t="n">
        <v>0</v>
      </c>
      <c r="I480" t="n">
        <v>0</v>
      </c>
      <c r="J480" t="n">
        <v>0</v>
      </c>
      <c r="K480" t="n">
        <v>0</v>
      </c>
      <c r="L480" t="n">
        <v>0</v>
      </c>
      <c r="M480" t="n">
        <v>0</v>
      </c>
      <c r="N480" t="n">
        <v>0</v>
      </c>
      <c r="O480" t="n">
        <v>0</v>
      </c>
      <c r="P480" t="n">
        <v>0</v>
      </c>
      <c r="Q480" t="n">
        <v>0</v>
      </c>
      <c r="R480" s="2" t="inlineStr"/>
    </row>
    <row r="481" ht="15" customHeight="1">
      <c r="A481" t="inlineStr">
        <is>
          <t>A 38372-2021</t>
        </is>
      </c>
      <c r="B481" s="1" t="n">
        <v>44406</v>
      </c>
      <c r="C481" s="1" t="n">
        <v>45830</v>
      </c>
      <c r="D481" t="inlineStr">
        <is>
          <t>SKÅNE LÄN</t>
        </is>
      </c>
      <c r="E481" t="inlineStr">
        <is>
          <t>HÄSSLEHOLM</t>
        </is>
      </c>
      <c r="F481" t="inlineStr">
        <is>
          <t>Kommuner</t>
        </is>
      </c>
      <c r="G481" t="n">
        <v>2.7</v>
      </c>
      <c r="H481" t="n">
        <v>0</v>
      </c>
      <c r="I481" t="n">
        <v>0</v>
      </c>
      <c r="J481" t="n">
        <v>0</v>
      </c>
      <c r="K481" t="n">
        <v>0</v>
      </c>
      <c r="L481" t="n">
        <v>0</v>
      </c>
      <c r="M481" t="n">
        <v>0</v>
      </c>
      <c r="N481" t="n">
        <v>0</v>
      </c>
      <c r="O481" t="n">
        <v>0</v>
      </c>
      <c r="P481" t="n">
        <v>0</v>
      </c>
      <c r="Q481" t="n">
        <v>0</v>
      </c>
      <c r="R481" s="2" t="inlineStr"/>
    </row>
    <row r="482" ht="15" customHeight="1">
      <c r="A482" t="inlineStr">
        <is>
          <t>A 40342-2021</t>
        </is>
      </c>
      <c r="B482" s="1" t="n">
        <v>44419</v>
      </c>
      <c r="C482" s="1" t="n">
        <v>45830</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40702-2021</t>
        </is>
      </c>
      <c r="B483" s="1" t="n">
        <v>44420</v>
      </c>
      <c r="C483" s="1" t="n">
        <v>45830</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41581-2021</t>
        </is>
      </c>
      <c r="B484" s="1" t="n">
        <v>44425</v>
      </c>
      <c r="C484" s="1" t="n">
        <v>45830</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41998-2021</t>
        </is>
      </c>
      <c r="B485" s="1" t="n">
        <v>44425</v>
      </c>
      <c r="C485" s="1" t="n">
        <v>45830</v>
      </c>
      <c r="D485" t="inlineStr">
        <is>
          <t>SKÅNE LÄN</t>
        </is>
      </c>
      <c r="E485" t="inlineStr">
        <is>
          <t>HÄSSLEHOLM</t>
        </is>
      </c>
      <c r="G485" t="n">
        <v>1.3</v>
      </c>
      <c r="H485" t="n">
        <v>0</v>
      </c>
      <c r="I485" t="n">
        <v>0</v>
      </c>
      <c r="J485" t="n">
        <v>0</v>
      </c>
      <c r="K485" t="n">
        <v>0</v>
      </c>
      <c r="L485" t="n">
        <v>0</v>
      </c>
      <c r="M485" t="n">
        <v>0</v>
      </c>
      <c r="N485" t="n">
        <v>0</v>
      </c>
      <c r="O485" t="n">
        <v>0</v>
      </c>
      <c r="P485" t="n">
        <v>0</v>
      </c>
      <c r="Q485" t="n">
        <v>0</v>
      </c>
      <c r="R485" s="2" t="inlineStr"/>
    </row>
    <row r="486" ht="15" customHeight="1">
      <c r="A486" t="inlineStr">
        <is>
          <t>A 42776-2021</t>
        </is>
      </c>
      <c r="B486" s="1" t="n">
        <v>44428</v>
      </c>
      <c r="C486" s="1" t="n">
        <v>45830</v>
      </c>
      <c r="D486" t="inlineStr">
        <is>
          <t>SKÅNE LÄN</t>
        </is>
      </c>
      <c r="E486" t="inlineStr">
        <is>
          <t>HÄSSLEHOLM</t>
        </is>
      </c>
      <c r="G486" t="n">
        <v>3.2</v>
      </c>
      <c r="H486" t="n">
        <v>0</v>
      </c>
      <c r="I486" t="n">
        <v>0</v>
      </c>
      <c r="J486" t="n">
        <v>0</v>
      </c>
      <c r="K486" t="n">
        <v>0</v>
      </c>
      <c r="L486" t="n">
        <v>0</v>
      </c>
      <c r="M486" t="n">
        <v>0</v>
      </c>
      <c r="N486" t="n">
        <v>0</v>
      </c>
      <c r="O486" t="n">
        <v>0</v>
      </c>
      <c r="P486" t="n">
        <v>0</v>
      </c>
      <c r="Q486" t="n">
        <v>0</v>
      </c>
      <c r="R486" s="2" t="inlineStr"/>
    </row>
    <row r="487" ht="15" customHeight="1">
      <c r="A487" t="inlineStr">
        <is>
          <t>A 43639-2021</t>
        </is>
      </c>
      <c r="B487" s="1" t="n">
        <v>44433</v>
      </c>
      <c r="C487" s="1" t="n">
        <v>45830</v>
      </c>
      <c r="D487" t="inlineStr">
        <is>
          <t>SKÅNE LÄN</t>
        </is>
      </c>
      <c r="E487" t="inlineStr">
        <is>
          <t>HÄSSLEHOLM</t>
        </is>
      </c>
      <c r="G487" t="n">
        <v>0.4</v>
      </c>
      <c r="H487" t="n">
        <v>0</v>
      </c>
      <c r="I487" t="n">
        <v>0</v>
      </c>
      <c r="J487" t="n">
        <v>0</v>
      </c>
      <c r="K487" t="n">
        <v>0</v>
      </c>
      <c r="L487" t="n">
        <v>0</v>
      </c>
      <c r="M487" t="n">
        <v>0</v>
      </c>
      <c r="N487" t="n">
        <v>0</v>
      </c>
      <c r="O487" t="n">
        <v>0</v>
      </c>
      <c r="P487" t="n">
        <v>0</v>
      </c>
      <c r="Q487" t="n">
        <v>0</v>
      </c>
      <c r="R487" s="2" t="inlineStr"/>
    </row>
    <row r="488" ht="15" customHeight="1">
      <c r="A488" t="inlineStr">
        <is>
          <t>A 44262-2021</t>
        </is>
      </c>
      <c r="B488" s="1" t="n">
        <v>44434</v>
      </c>
      <c r="C488" s="1" t="n">
        <v>45830</v>
      </c>
      <c r="D488" t="inlineStr">
        <is>
          <t>SKÅNE LÄN</t>
        </is>
      </c>
      <c r="E488" t="inlineStr">
        <is>
          <t>HÄSSLEHOLM</t>
        </is>
      </c>
      <c r="G488" t="n">
        <v>4.7</v>
      </c>
      <c r="H488" t="n">
        <v>0</v>
      </c>
      <c r="I488" t="n">
        <v>0</v>
      </c>
      <c r="J488" t="n">
        <v>0</v>
      </c>
      <c r="K488" t="n">
        <v>0</v>
      </c>
      <c r="L488" t="n">
        <v>0</v>
      </c>
      <c r="M488" t="n">
        <v>0</v>
      </c>
      <c r="N488" t="n">
        <v>0</v>
      </c>
      <c r="O488" t="n">
        <v>0</v>
      </c>
      <c r="P488" t="n">
        <v>0</v>
      </c>
      <c r="Q488" t="n">
        <v>0</v>
      </c>
      <c r="R488" s="2" t="inlineStr"/>
    </row>
    <row r="489" ht="15" customHeight="1">
      <c r="A489" t="inlineStr">
        <is>
          <t>A 44328-2021</t>
        </is>
      </c>
      <c r="B489" s="1" t="n">
        <v>44435</v>
      </c>
      <c r="C489" s="1" t="n">
        <v>45830</v>
      </c>
      <c r="D489" t="inlineStr">
        <is>
          <t>SKÅNE LÄN</t>
        </is>
      </c>
      <c r="E489" t="inlineStr">
        <is>
          <t>HÄSSLEHOLM</t>
        </is>
      </c>
      <c r="G489" t="n">
        <v>2.7</v>
      </c>
      <c r="H489" t="n">
        <v>0</v>
      </c>
      <c r="I489" t="n">
        <v>0</v>
      </c>
      <c r="J489" t="n">
        <v>0</v>
      </c>
      <c r="K489" t="n">
        <v>0</v>
      </c>
      <c r="L489" t="n">
        <v>0</v>
      </c>
      <c r="M489" t="n">
        <v>0</v>
      </c>
      <c r="N489" t="n">
        <v>0</v>
      </c>
      <c r="O489" t="n">
        <v>0</v>
      </c>
      <c r="P489" t="n">
        <v>0</v>
      </c>
      <c r="Q489" t="n">
        <v>0</v>
      </c>
      <c r="R489" s="2" t="inlineStr"/>
    </row>
    <row r="490" ht="15" customHeight="1">
      <c r="A490" t="inlineStr">
        <is>
          <t>A 44755-2021</t>
        </is>
      </c>
      <c r="B490" s="1" t="n">
        <v>44438</v>
      </c>
      <c r="C490" s="1" t="n">
        <v>45830</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44697-2021</t>
        </is>
      </c>
      <c r="B491" s="1" t="n">
        <v>44438</v>
      </c>
      <c r="C491" s="1" t="n">
        <v>45830</v>
      </c>
      <c r="D491" t="inlineStr">
        <is>
          <t>SKÅNE LÄN</t>
        </is>
      </c>
      <c r="E491" t="inlineStr">
        <is>
          <t>HÄSSLEHOLM</t>
        </is>
      </c>
      <c r="G491" t="n">
        <v>4.8</v>
      </c>
      <c r="H491" t="n">
        <v>0</v>
      </c>
      <c r="I491" t="n">
        <v>0</v>
      </c>
      <c r="J491" t="n">
        <v>0</v>
      </c>
      <c r="K491" t="n">
        <v>0</v>
      </c>
      <c r="L491" t="n">
        <v>0</v>
      </c>
      <c r="M491" t="n">
        <v>0</v>
      </c>
      <c r="N491" t="n">
        <v>0</v>
      </c>
      <c r="O491" t="n">
        <v>0</v>
      </c>
      <c r="P491" t="n">
        <v>0</v>
      </c>
      <c r="Q491" t="n">
        <v>0</v>
      </c>
      <c r="R491" s="2" t="inlineStr"/>
    </row>
    <row r="492" ht="15" customHeight="1">
      <c r="A492" t="inlineStr">
        <is>
          <t>A 44770-2021</t>
        </is>
      </c>
      <c r="B492" s="1" t="n">
        <v>44438</v>
      </c>
      <c r="C492" s="1" t="n">
        <v>45830</v>
      </c>
      <c r="D492" t="inlineStr">
        <is>
          <t>SKÅNE LÄN</t>
        </is>
      </c>
      <c r="E492" t="inlineStr">
        <is>
          <t>HÄSSLEHOLM</t>
        </is>
      </c>
      <c r="G492" t="n">
        <v>0.5</v>
      </c>
      <c r="H492" t="n">
        <v>0</v>
      </c>
      <c r="I492" t="n">
        <v>0</v>
      </c>
      <c r="J492" t="n">
        <v>0</v>
      </c>
      <c r="K492" t="n">
        <v>0</v>
      </c>
      <c r="L492" t="n">
        <v>0</v>
      </c>
      <c r="M492" t="n">
        <v>0</v>
      </c>
      <c r="N492" t="n">
        <v>0</v>
      </c>
      <c r="O492" t="n">
        <v>0</v>
      </c>
      <c r="P492" t="n">
        <v>0</v>
      </c>
      <c r="Q492" t="n">
        <v>0</v>
      </c>
      <c r="R492" s="2" t="inlineStr"/>
    </row>
    <row r="493" ht="15" customHeight="1">
      <c r="A493" t="inlineStr">
        <is>
          <t>A 44794-2021</t>
        </is>
      </c>
      <c r="B493" s="1" t="n">
        <v>44438</v>
      </c>
      <c r="C493" s="1" t="n">
        <v>45830</v>
      </c>
      <c r="D493" t="inlineStr">
        <is>
          <t>SKÅNE LÄN</t>
        </is>
      </c>
      <c r="E493" t="inlineStr">
        <is>
          <t>HÄSSLEHOLM</t>
        </is>
      </c>
      <c r="G493" t="n">
        <v>0.3</v>
      </c>
      <c r="H493" t="n">
        <v>0</v>
      </c>
      <c r="I493" t="n">
        <v>0</v>
      </c>
      <c r="J493" t="n">
        <v>0</v>
      </c>
      <c r="K493" t="n">
        <v>0</v>
      </c>
      <c r="L493" t="n">
        <v>0</v>
      </c>
      <c r="M493" t="n">
        <v>0</v>
      </c>
      <c r="N493" t="n">
        <v>0</v>
      </c>
      <c r="O493" t="n">
        <v>0</v>
      </c>
      <c r="P493" t="n">
        <v>0</v>
      </c>
      <c r="Q493" t="n">
        <v>0</v>
      </c>
      <c r="R493" s="2" t="inlineStr"/>
    </row>
    <row r="494" ht="15" customHeight="1">
      <c r="A494" t="inlineStr">
        <is>
          <t>A 45284-2021</t>
        </is>
      </c>
      <c r="B494" s="1" t="n">
        <v>44439</v>
      </c>
      <c r="C494" s="1" t="n">
        <v>45830</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45814-2021</t>
        </is>
      </c>
      <c r="B495" s="1" t="n">
        <v>44441</v>
      </c>
      <c r="C495" s="1" t="n">
        <v>45830</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45984-2021</t>
        </is>
      </c>
      <c r="B496" s="1" t="n">
        <v>44441</v>
      </c>
      <c r="C496" s="1" t="n">
        <v>45830</v>
      </c>
      <c r="D496" t="inlineStr">
        <is>
          <t>SKÅNE LÄN</t>
        </is>
      </c>
      <c r="E496" t="inlineStr">
        <is>
          <t>HÄSSLEHOLM</t>
        </is>
      </c>
      <c r="G496" t="n">
        <v>2.1</v>
      </c>
      <c r="H496" t="n">
        <v>0</v>
      </c>
      <c r="I496" t="n">
        <v>0</v>
      </c>
      <c r="J496" t="n">
        <v>0</v>
      </c>
      <c r="K496" t="n">
        <v>0</v>
      </c>
      <c r="L496" t="n">
        <v>0</v>
      </c>
      <c r="M496" t="n">
        <v>0</v>
      </c>
      <c r="N496" t="n">
        <v>0</v>
      </c>
      <c r="O496" t="n">
        <v>0</v>
      </c>
      <c r="P496" t="n">
        <v>0</v>
      </c>
      <c r="Q496" t="n">
        <v>0</v>
      </c>
      <c r="R496" s="2" t="inlineStr"/>
    </row>
    <row r="497" ht="15" customHeight="1">
      <c r="A497" t="inlineStr">
        <is>
          <t>A 45989-2021</t>
        </is>
      </c>
      <c r="B497" s="1" t="n">
        <v>44441</v>
      </c>
      <c r="C497" s="1" t="n">
        <v>45830</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46000-2021</t>
        </is>
      </c>
      <c r="B498" s="1" t="n">
        <v>44441</v>
      </c>
      <c r="C498" s="1" t="n">
        <v>45830</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47112-2021</t>
        </is>
      </c>
      <c r="B499" s="1" t="n">
        <v>44446</v>
      </c>
      <c r="C499" s="1" t="n">
        <v>45830</v>
      </c>
      <c r="D499" t="inlineStr">
        <is>
          <t>SKÅNE LÄN</t>
        </is>
      </c>
      <c r="E499" t="inlineStr">
        <is>
          <t>HÄSSLEHOLM</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47737-2021</t>
        </is>
      </c>
      <c r="B500" s="1" t="n">
        <v>44448</v>
      </c>
      <c r="C500" s="1" t="n">
        <v>45830</v>
      </c>
      <c r="D500" t="inlineStr">
        <is>
          <t>SKÅNE LÄN</t>
        </is>
      </c>
      <c r="E500" t="inlineStr">
        <is>
          <t>HÄSSLEHOLM</t>
        </is>
      </c>
      <c r="G500" t="n">
        <v>6.1</v>
      </c>
      <c r="H500" t="n">
        <v>0</v>
      </c>
      <c r="I500" t="n">
        <v>0</v>
      </c>
      <c r="J500" t="n">
        <v>0</v>
      </c>
      <c r="K500" t="n">
        <v>0</v>
      </c>
      <c r="L500" t="n">
        <v>0</v>
      </c>
      <c r="M500" t="n">
        <v>0</v>
      </c>
      <c r="N500" t="n">
        <v>0</v>
      </c>
      <c r="O500" t="n">
        <v>0</v>
      </c>
      <c r="P500" t="n">
        <v>0</v>
      </c>
      <c r="Q500" t="n">
        <v>0</v>
      </c>
      <c r="R500" s="2" t="inlineStr"/>
    </row>
    <row r="501" ht="15" customHeight="1">
      <c r="A501" t="inlineStr">
        <is>
          <t>A 47907-2021</t>
        </is>
      </c>
      <c r="B501" s="1" t="n">
        <v>44448</v>
      </c>
      <c r="C501" s="1" t="n">
        <v>45830</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47906-2021</t>
        </is>
      </c>
      <c r="B502" s="1" t="n">
        <v>44448</v>
      </c>
      <c r="C502" s="1" t="n">
        <v>45830</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48191-2021</t>
        </is>
      </c>
      <c r="B503" s="1" t="n">
        <v>44449</v>
      </c>
      <c r="C503" s="1" t="n">
        <v>45830</v>
      </c>
      <c r="D503" t="inlineStr">
        <is>
          <t>SKÅNE LÄN</t>
        </is>
      </c>
      <c r="E503" t="inlineStr">
        <is>
          <t>HÄSSLEHOLM</t>
        </is>
      </c>
      <c r="G503" t="n">
        <v>6</v>
      </c>
      <c r="H503" t="n">
        <v>0</v>
      </c>
      <c r="I503" t="n">
        <v>0</v>
      </c>
      <c r="J503" t="n">
        <v>0</v>
      </c>
      <c r="K503" t="n">
        <v>0</v>
      </c>
      <c r="L503" t="n">
        <v>0</v>
      </c>
      <c r="M503" t="n">
        <v>0</v>
      </c>
      <c r="N503" t="n">
        <v>0</v>
      </c>
      <c r="O503" t="n">
        <v>0</v>
      </c>
      <c r="P503" t="n">
        <v>0</v>
      </c>
      <c r="Q503" t="n">
        <v>0</v>
      </c>
      <c r="R503" s="2" t="inlineStr"/>
    </row>
    <row r="504" ht="15" customHeight="1">
      <c r="A504" t="inlineStr">
        <is>
          <t>A 48313-2021</t>
        </is>
      </c>
      <c r="B504" s="1" t="n">
        <v>44450</v>
      </c>
      <c r="C504" s="1" t="n">
        <v>45830</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48553-2021</t>
        </is>
      </c>
      <c r="B505" s="1" t="n">
        <v>44452</v>
      </c>
      <c r="C505" s="1" t="n">
        <v>45830</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48624-2021</t>
        </is>
      </c>
      <c r="B506" s="1" t="n">
        <v>44452</v>
      </c>
      <c r="C506" s="1" t="n">
        <v>45830</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48807-2021</t>
        </is>
      </c>
      <c r="B507" s="1" t="n">
        <v>44452</v>
      </c>
      <c r="C507" s="1" t="n">
        <v>45830</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48631-2021</t>
        </is>
      </c>
      <c r="B508" s="1" t="n">
        <v>44452</v>
      </c>
      <c r="C508" s="1" t="n">
        <v>45830</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49219-2021</t>
        </is>
      </c>
      <c r="B509" s="1" t="n">
        <v>44454</v>
      </c>
      <c r="C509" s="1" t="n">
        <v>45830</v>
      </c>
      <c r="D509" t="inlineStr">
        <is>
          <t>SKÅNE LÄN</t>
        </is>
      </c>
      <c r="E509" t="inlineStr">
        <is>
          <t>HÄSSLEHOLM</t>
        </is>
      </c>
      <c r="G509" t="n">
        <v>7.8</v>
      </c>
      <c r="H509" t="n">
        <v>0</v>
      </c>
      <c r="I509" t="n">
        <v>0</v>
      </c>
      <c r="J509" t="n">
        <v>0</v>
      </c>
      <c r="K509" t="n">
        <v>0</v>
      </c>
      <c r="L509" t="n">
        <v>0</v>
      </c>
      <c r="M509" t="n">
        <v>0</v>
      </c>
      <c r="N509" t="n">
        <v>0</v>
      </c>
      <c r="O509" t="n">
        <v>0</v>
      </c>
      <c r="P509" t="n">
        <v>0</v>
      </c>
      <c r="Q509" t="n">
        <v>0</v>
      </c>
      <c r="R509" s="2" t="inlineStr"/>
    </row>
    <row r="510" ht="15" customHeight="1">
      <c r="A510" t="inlineStr">
        <is>
          <t>A 49324-2021</t>
        </is>
      </c>
      <c r="B510" s="1" t="n">
        <v>44454</v>
      </c>
      <c r="C510" s="1" t="n">
        <v>45830</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49379-2021</t>
        </is>
      </c>
      <c r="B511" s="1" t="n">
        <v>44454</v>
      </c>
      <c r="C511" s="1" t="n">
        <v>45830</v>
      </c>
      <c r="D511" t="inlineStr">
        <is>
          <t>SKÅNE LÄN</t>
        </is>
      </c>
      <c r="E511" t="inlineStr">
        <is>
          <t>HÄSSLEHOLM</t>
        </is>
      </c>
      <c r="G511" t="n">
        <v>1.4</v>
      </c>
      <c r="H511" t="n">
        <v>0</v>
      </c>
      <c r="I511" t="n">
        <v>0</v>
      </c>
      <c r="J511" t="n">
        <v>0</v>
      </c>
      <c r="K511" t="n">
        <v>0</v>
      </c>
      <c r="L511" t="n">
        <v>0</v>
      </c>
      <c r="M511" t="n">
        <v>0</v>
      </c>
      <c r="N511" t="n">
        <v>0</v>
      </c>
      <c r="O511" t="n">
        <v>0</v>
      </c>
      <c r="P511" t="n">
        <v>0</v>
      </c>
      <c r="Q511" t="n">
        <v>0</v>
      </c>
      <c r="R511" s="2" t="inlineStr"/>
    </row>
    <row r="512" ht="15" customHeight="1">
      <c r="A512" t="inlineStr">
        <is>
          <t>A 49384-2021</t>
        </is>
      </c>
      <c r="B512" s="1" t="n">
        <v>44454</v>
      </c>
      <c r="C512" s="1" t="n">
        <v>45830</v>
      </c>
      <c r="D512" t="inlineStr">
        <is>
          <t>SKÅNE LÄN</t>
        </is>
      </c>
      <c r="E512" t="inlineStr">
        <is>
          <t>HÄSSLEHOLM</t>
        </is>
      </c>
      <c r="G512" t="n">
        <v>2.6</v>
      </c>
      <c r="H512" t="n">
        <v>0</v>
      </c>
      <c r="I512" t="n">
        <v>0</v>
      </c>
      <c r="J512" t="n">
        <v>0</v>
      </c>
      <c r="K512" t="n">
        <v>0</v>
      </c>
      <c r="L512" t="n">
        <v>0</v>
      </c>
      <c r="M512" t="n">
        <v>0</v>
      </c>
      <c r="N512" t="n">
        <v>0</v>
      </c>
      <c r="O512" t="n">
        <v>0</v>
      </c>
      <c r="P512" t="n">
        <v>0</v>
      </c>
      <c r="Q512" t="n">
        <v>0</v>
      </c>
      <c r="R512" s="2" t="inlineStr"/>
    </row>
    <row r="513" ht="15" customHeight="1">
      <c r="A513" t="inlineStr">
        <is>
          <t>A 49381-2021</t>
        </is>
      </c>
      <c r="B513" s="1" t="n">
        <v>44454</v>
      </c>
      <c r="C513" s="1" t="n">
        <v>45830</v>
      </c>
      <c r="D513" t="inlineStr">
        <is>
          <t>SKÅNE LÄN</t>
        </is>
      </c>
      <c r="E513" t="inlineStr">
        <is>
          <t>HÄSSLEHOLM</t>
        </is>
      </c>
      <c r="G513" t="n">
        <v>2.1</v>
      </c>
      <c r="H513" t="n">
        <v>0</v>
      </c>
      <c r="I513" t="n">
        <v>0</v>
      </c>
      <c r="J513" t="n">
        <v>0</v>
      </c>
      <c r="K513" t="n">
        <v>0</v>
      </c>
      <c r="L513" t="n">
        <v>0</v>
      </c>
      <c r="M513" t="n">
        <v>0</v>
      </c>
      <c r="N513" t="n">
        <v>0</v>
      </c>
      <c r="O513" t="n">
        <v>0</v>
      </c>
      <c r="P513" t="n">
        <v>0</v>
      </c>
      <c r="Q513" t="n">
        <v>0</v>
      </c>
      <c r="R513" s="2" t="inlineStr"/>
    </row>
    <row r="514" ht="15" customHeight="1">
      <c r="A514" t="inlineStr">
        <is>
          <t>A 49454-2021</t>
        </is>
      </c>
      <c r="B514" s="1" t="n">
        <v>44454</v>
      </c>
      <c r="C514" s="1" t="n">
        <v>45830</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49450-2021</t>
        </is>
      </c>
      <c r="B515" s="1" t="n">
        <v>44454</v>
      </c>
      <c r="C515" s="1" t="n">
        <v>45830</v>
      </c>
      <c r="D515" t="inlineStr">
        <is>
          <t>SKÅNE LÄN</t>
        </is>
      </c>
      <c r="E515" t="inlineStr">
        <is>
          <t>HÄSSLEHOLM</t>
        </is>
      </c>
      <c r="G515" t="n">
        <v>3</v>
      </c>
      <c r="H515" t="n">
        <v>0</v>
      </c>
      <c r="I515" t="n">
        <v>0</v>
      </c>
      <c r="J515" t="n">
        <v>0</v>
      </c>
      <c r="K515" t="n">
        <v>0</v>
      </c>
      <c r="L515" t="n">
        <v>0</v>
      </c>
      <c r="M515" t="n">
        <v>0</v>
      </c>
      <c r="N515" t="n">
        <v>0</v>
      </c>
      <c r="O515" t="n">
        <v>0</v>
      </c>
      <c r="P515" t="n">
        <v>0</v>
      </c>
      <c r="Q515" t="n">
        <v>0</v>
      </c>
      <c r="R515" s="2" t="inlineStr"/>
    </row>
    <row r="516" ht="15" customHeight="1">
      <c r="A516" t="inlineStr">
        <is>
          <t>A 50094-2021</t>
        </is>
      </c>
      <c r="B516" s="1" t="n">
        <v>44456</v>
      </c>
      <c r="C516" s="1" t="n">
        <v>45830</v>
      </c>
      <c r="D516" t="inlineStr">
        <is>
          <t>SKÅNE LÄN</t>
        </is>
      </c>
      <c r="E516" t="inlineStr">
        <is>
          <t>HÄSSLEHOLM</t>
        </is>
      </c>
      <c r="G516" t="n">
        <v>1.9</v>
      </c>
      <c r="H516" t="n">
        <v>0</v>
      </c>
      <c r="I516" t="n">
        <v>0</v>
      </c>
      <c r="J516" t="n">
        <v>0</v>
      </c>
      <c r="K516" t="n">
        <v>0</v>
      </c>
      <c r="L516" t="n">
        <v>0</v>
      </c>
      <c r="M516" t="n">
        <v>0</v>
      </c>
      <c r="N516" t="n">
        <v>0</v>
      </c>
      <c r="O516" t="n">
        <v>0</v>
      </c>
      <c r="P516" t="n">
        <v>0</v>
      </c>
      <c r="Q516" t="n">
        <v>0</v>
      </c>
      <c r="R516" s="2" t="inlineStr"/>
    </row>
    <row r="517" ht="15" customHeight="1">
      <c r="A517" t="inlineStr">
        <is>
          <t>A 50618-2021</t>
        </is>
      </c>
      <c r="B517" s="1" t="n">
        <v>44459</v>
      </c>
      <c r="C517" s="1" t="n">
        <v>45830</v>
      </c>
      <c r="D517" t="inlineStr">
        <is>
          <t>SKÅNE LÄN</t>
        </is>
      </c>
      <c r="E517" t="inlineStr">
        <is>
          <t>HÄSSLEHOLM</t>
        </is>
      </c>
      <c r="F517" t="inlineStr">
        <is>
          <t>Kyrkan</t>
        </is>
      </c>
      <c r="G517" t="n">
        <v>15.1</v>
      </c>
      <c r="H517" t="n">
        <v>0</v>
      </c>
      <c r="I517" t="n">
        <v>0</v>
      </c>
      <c r="J517" t="n">
        <v>0</v>
      </c>
      <c r="K517" t="n">
        <v>0</v>
      </c>
      <c r="L517" t="n">
        <v>0</v>
      </c>
      <c r="M517" t="n">
        <v>0</v>
      </c>
      <c r="N517" t="n">
        <v>0</v>
      </c>
      <c r="O517" t="n">
        <v>0</v>
      </c>
      <c r="P517" t="n">
        <v>0</v>
      </c>
      <c r="Q517" t="n">
        <v>0</v>
      </c>
      <c r="R517" s="2" t="inlineStr"/>
    </row>
    <row r="518" ht="15" customHeight="1">
      <c r="A518" t="inlineStr">
        <is>
          <t>A 51159-2021</t>
        </is>
      </c>
      <c r="B518" s="1" t="n">
        <v>44461</v>
      </c>
      <c r="C518" s="1" t="n">
        <v>45830</v>
      </c>
      <c r="D518" t="inlineStr">
        <is>
          <t>SKÅNE LÄN</t>
        </is>
      </c>
      <c r="E518" t="inlineStr">
        <is>
          <t>HÄSSLEHOLM</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51895-2021</t>
        </is>
      </c>
      <c r="B519" s="1" t="n">
        <v>44462</v>
      </c>
      <c r="C519" s="1" t="n">
        <v>45830</v>
      </c>
      <c r="D519" t="inlineStr">
        <is>
          <t>SKÅNE LÄN</t>
        </is>
      </c>
      <c r="E519" t="inlineStr">
        <is>
          <t>HÄSSLEHOLM</t>
        </is>
      </c>
      <c r="G519" t="n">
        <v>5.7</v>
      </c>
      <c r="H519" t="n">
        <v>0</v>
      </c>
      <c r="I519" t="n">
        <v>0</v>
      </c>
      <c r="J519" t="n">
        <v>0</v>
      </c>
      <c r="K519" t="n">
        <v>0</v>
      </c>
      <c r="L519" t="n">
        <v>0</v>
      </c>
      <c r="M519" t="n">
        <v>0</v>
      </c>
      <c r="N519" t="n">
        <v>0</v>
      </c>
      <c r="O519" t="n">
        <v>0</v>
      </c>
      <c r="P519" t="n">
        <v>0</v>
      </c>
      <c r="Q519" t="n">
        <v>0</v>
      </c>
      <c r="R519" s="2" t="inlineStr"/>
    </row>
    <row r="520" ht="15" customHeight="1">
      <c r="A520" t="inlineStr">
        <is>
          <t>A 51893-2021</t>
        </is>
      </c>
      <c r="B520" s="1" t="n">
        <v>44462</v>
      </c>
      <c r="C520" s="1" t="n">
        <v>45830</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51888-2021</t>
        </is>
      </c>
      <c r="B521" s="1" t="n">
        <v>44462</v>
      </c>
      <c r="C521" s="1" t="n">
        <v>45830</v>
      </c>
      <c r="D521" t="inlineStr">
        <is>
          <t>SKÅNE LÄN</t>
        </is>
      </c>
      <c r="E521" t="inlineStr">
        <is>
          <t>HÄSSLEHOLM</t>
        </is>
      </c>
      <c r="G521" t="n">
        <v>5.6</v>
      </c>
      <c r="H521" t="n">
        <v>0</v>
      </c>
      <c r="I521" t="n">
        <v>0</v>
      </c>
      <c r="J521" t="n">
        <v>0</v>
      </c>
      <c r="K521" t="n">
        <v>0</v>
      </c>
      <c r="L521" t="n">
        <v>0</v>
      </c>
      <c r="M521" t="n">
        <v>0</v>
      </c>
      <c r="N521" t="n">
        <v>0</v>
      </c>
      <c r="O521" t="n">
        <v>0</v>
      </c>
      <c r="P521" t="n">
        <v>0</v>
      </c>
      <c r="Q521" t="n">
        <v>0</v>
      </c>
      <c r="R521" s="2" t="inlineStr"/>
    </row>
    <row r="522" ht="15" customHeight="1">
      <c r="A522" t="inlineStr">
        <is>
          <t>A 52235-2021</t>
        </is>
      </c>
      <c r="B522" s="1" t="n">
        <v>44463</v>
      </c>
      <c r="C522" s="1" t="n">
        <v>45830</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52295-2021</t>
        </is>
      </c>
      <c r="B523" s="1" t="n">
        <v>44463</v>
      </c>
      <c r="C523" s="1" t="n">
        <v>45830</v>
      </c>
      <c r="D523" t="inlineStr">
        <is>
          <t>SKÅNE LÄN</t>
        </is>
      </c>
      <c r="E523" t="inlineStr">
        <is>
          <t>HÄSSLEHOLM</t>
        </is>
      </c>
      <c r="G523" t="n">
        <v>0.3</v>
      </c>
      <c r="H523" t="n">
        <v>0</v>
      </c>
      <c r="I523" t="n">
        <v>0</v>
      </c>
      <c r="J523" t="n">
        <v>0</v>
      </c>
      <c r="K523" t="n">
        <v>0</v>
      </c>
      <c r="L523" t="n">
        <v>0</v>
      </c>
      <c r="M523" t="n">
        <v>0</v>
      </c>
      <c r="N523" t="n">
        <v>0</v>
      </c>
      <c r="O523" t="n">
        <v>0</v>
      </c>
      <c r="P523" t="n">
        <v>0</v>
      </c>
      <c r="Q523" t="n">
        <v>0</v>
      </c>
      <c r="R523" s="2" t="inlineStr"/>
    </row>
    <row r="524" ht="15" customHeight="1">
      <c r="A524" t="inlineStr">
        <is>
          <t>A 52306-2021</t>
        </is>
      </c>
      <c r="B524" s="1" t="n">
        <v>44463</v>
      </c>
      <c r="C524" s="1" t="n">
        <v>45830</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52642-2021</t>
        </is>
      </c>
      <c r="B525" s="1" t="n">
        <v>44466</v>
      </c>
      <c r="C525" s="1" t="n">
        <v>45830</v>
      </c>
      <c r="D525" t="inlineStr">
        <is>
          <t>SKÅNE LÄN</t>
        </is>
      </c>
      <c r="E525" t="inlineStr">
        <is>
          <t>HÄSSLEHOLM</t>
        </is>
      </c>
      <c r="G525" t="n">
        <v>3.7</v>
      </c>
      <c r="H525" t="n">
        <v>0</v>
      </c>
      <c r="I525" t="n">
        <v>0</v>
      </c>
      <c r="J525" t="n">
        <v>0</v>
      </c>
      <c r="K525" t="n">
        <v>0</v>
      </c>
      <c r="L525" t="n">
        <v>0</v>
      </c>
      <c r="M525" t="n">
        <v>0</v>
      </c>
      <c r="N525" t="n">
        <v>0</v>
      </c>
      <c r="O525" t="n">
        <v>0</v>
      </c>
      <c r="P525" t="n">
        <v>0</v>
      </c>
      <c r="Q525" t="n">
        <v>0</v>
      </c>
      <c r="R525" s="2" t="inlineStr"/>
    </row>
    <row r="526" ht="15" customHeight="1">
      <c r="A526" t="inlineStr">
        <is>
          <t>A 52461-2021</t>
        </is>
      </c>
      <c r="B526" s="1" t="n">
        <v>44466</v>
      </c>
      <c r="C526" s="1" t="n">
        <v>45830</v>
      </c>
      <c r="D526" t="inlineStr">
        <is>
          <t>SKÅNE LÄN</t>
        </is>
      </c>
      <c r="E526" t="inlineStr">
        <is>
          <t>HÄSSLEHOLM</t>
        </is>
      </c>
      <c r="G526" t="n">
        <v>2.7</v>
      </c>
      <c r="H526" t="n">
        <v>0</v>
      </c>
      <c r="I526" t="n">
        <v>0</v>
      </c>
      <c r="J526" t="n">
        <v>0</v>
      </c>
      <c r="K526" t="n">
        <v>0</v>
      </c>
      <c r="L526" t="n">
        <v>0</v>
      </c>
      <c r="M526" t="n">
        <v>0</v>
      </c>
      <c r="N526" t="n">
        <v>0</v>
      </c>
      <c r="O526" t="n">
        <v>0</v>
      </c>
      <c r="P526" t="n">
        <v>0</v>
      </c>
      <c r="Q526" t="n">
        <v>0</v>
      </c>
      <c r="R526" s="2" t="inlineStr"/>
    </row>
    <row r="527" ht="15" customHeight="1">
      <c r="A527" t="inlineStr">
        <is>
          <t>A 52567-2021</t>
        </is>
      </c>
      <c r="B527" s="1" t="n">
        <v>44466</v>
      </c>
      <c r="C527" s="1" t="n">
        <v>45830</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52786-2021</t>
        </is>
      </c>
      <c r="B528" s="1" t="n">
        <v>44467</v>
      </c>
      <c r="C528" s="1" t="n">
        <v>45830</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53055-2021</t>
        </is>
      </c>
      <c r="B529" s="1" t="n">
        <v>44467</v>
      </c>
      <c r="C529" s="1" t="n">
        <v>45830</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54175-2021</t>
        </is>
      </c>
      <c r="B530" s="1" t="n">
        <v>44470</v>
      </c>
      <c r="C530" s="1" t="n">
        <v>45830</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54171-2021</t>
        </is>
      </c>
      <c r="B531" s="1" t="n">
        <v>44470</v>
      </c>
      <c r="C531" s="1" t="n">
        <v>45830</v>
      </c>
      <c r="D531" t="inlineStr">
        <is>
          <t>SKÅNE LÄN</t>
        </is>
      </c>
      <c r="E531" t="inlineStr">
        <is>
          <t>HÄSSLEHOLM</t>
        </is>
      </c>
      <c r="G531" t="n">
        <v>1</v>
      </c>
      <c r="H531" t="n">
        <v>0</v>
      </c>
      <c r="I531" t="n">
        <v>0</v>
      </c>
      <c r="J531" t="n">
        <v>0</v>
      </c>
      <c r="K531" t="n">
        <v>0</v>
      </c>
      <c r="L531" t="n">
        <v>0</v>
      </c>
      <c r="M531" t="n">
        <v>0</v>
      </c>
      <c r="N531" t="n">
        <v>0</v>
      </c>
      <c r="O531" t="n">
        <v>0</v>
      </c>
      <c r="P531" t="n">
        <v>0</v>
      </c>
      <c r="Q531" t="n">
        <v>0</v>
      </c>
      <c r="R531" s="2" t="inlineStr"/>
    </row>
    <row r="532" ht="15" customHeight="1">
      <c r="A532" t="inlineStr">
        <is>
          <t>A 54178-2021</t>
        </is>
      </c>
      <c r="B532" s="1" t="n">
        <v>44470</v>
      </c>
      <c r="C532" s="1" t="n">
        <v>45830</v>
      </c>
      <c r="D532" t="inlineStr">
        <is>
          <t>SKÅNE LÄN</t>
        </is>
      </c>
      <c r="E532" t="inlineStr">
        <is>
          <t>HÄSSLEHOLM</t>
        </is>
      </c>
      <c r="G532" t="n">
        <v>2.3</v>
      </c>
      <c r="H532" t="n">
        <v>0</v>
      </c>
      <c r="I532" t="n">
        <v>0</v>
      </c>
      <c r="J532" t="n">
        <v>0</v>
      </c>
      <c r="K532" t="n">
        <v>0</v>
      </c>
      <c r="L532" t="n">
        <v>0</v>
      </c>
      <c r="M532" t="n">
        <v>0</v>
      </c>
      <c r="N532" t="n">
        <v>0</v>
      </c>
      <c r="O532" t="n">
        <v>0</v>
      </c>
      <c r="P532" t="n">
        <v>0</v>
      </c>
      <c r="Q532" t="n">
        <v>0</v>
      </c>
      <c r="R532" s="2" t="inlineStr"/>
    </row>
    <row r="533" ht="15" customHeight="1">
      <c r="A533" t="inlineStr">
        <is>
          <t>A 55056-2021</t>
        </is>
      </c>
      <c r="B533" s="1" t="n">
        <v>44474</v>
      </c>
      <c r="C533" s="1" t="n">
        <v>45830</v>
      </c>
      <c r="D533" t="inlineStr">
        <is>
          <t>SKÅNE LÄN</t>
        </is>
      </c>
      <c r="E533" t="inlineStr">
        <is>
          <t>HÄSSLEHOLM</t>
        </is>
      </c>
      <c r="G533" t="n">
        <v>2.5</v>
      </c>
      <c r="H533" t="n">
        <v>0</v>
      </c>
      <c r="I533" t="n">
        <v>0</v>
      </c>
      <c r="J533" t="n">
        <v>0</v>
      </c>
      <c r="K533" t="n">
        <v>0</v>
      </c>
      <c r="L533" t="n">
        <v>0</v>
      </c>
      <c r="M533" t="n">
        <v>0</v>
      </c>
      <c r="N533" t="n">
        <v>0</v>
      </c>
      <c r="O533" t="n">
        <v>0</v>
      </c>
      <c r="P533" t="n">
        <v>0</v>
      </c>
      <c r="Q533" t="n">
        <v>0</v>
      </c>
      <c r="R533" s="2" t="inlineStr"/>
    </row>
    <row r="534" ht="15" customHeight="1">
      <c r="A534" t="inlineStr">
        <is>
          <t>A 55416-2021</t>
        </is>
      </c>
      <c r="B534" s="1" t="n">
        <v>44475</v>
      </c>
      <c r="C534" s="1" t="n">
        <v>45830</v>
      </c>
      <c r="D534" t="inlineStr">
        <is>
          <t>SKÅNE LÄN</t>
        </is>
      </c>
      <c r="E534" t="inlineStr">
        <is>
          <t>HÄSSLEHOLM</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55454-2021</t>
        </is>
      </c>
      <c r="B535" s="1" t="n">
        <v>44475</v>
      </c>
      <c r="C535" s="1" t="n">
        <v>45830</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56431-2021</t>
        </is>
      </c>
      <c r="B536" s="1" t="n">
        <v>44480</v>
      </c>
      <c r="C536" s="1" t="n">
        <v>45830</v>
      </c>
      <c r="D536" t="inlineStr">
        <is>
          <t>SKÅNE LÄN</t>
        </is>
      </c>
      <c r="E536" t="inlineStr">
        <is>
          <t>HÄSSLEHOLM</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56502-2021</t>
        </is>
      </c>
      <c r="B537" s="1" t="n">
        <v>44480</v>
      </c>
      <c r="C537" s="1" t="n">
        <v>45830</v>
      </c>
      <c r="D537" t="inlineStr">
        <is>
          <t>SKÅNE LÄN</t>
        </is>
      </c>
      <c r="E537" t="inlineStr">
        <is>
          <t>HÄSSLEHOLM</t>
        </is>
      </c>
      <c r="F537" t="inlineStr">
        <is>
          <t>Kyrkan</t>
        </is>
      </c>
      <c r="G537" t="n">
        <v>13.8</v>
      </c>
      <c r="H537" t="n">
        <v>0</v>
      </c>
      <c r="I537" t="n">
        <v>0</v>
      </c>
      <c r="J537" t="n">
        <v>0</v>
      </c>
      <c r="K537" t="n">
        <v>0</v>
      </c>
      <c r="L537" t="n">
        <v>0</v>
      </c>
      <c r="M537" t="n">
        <v>0</v>
      </c>
      <c r="N537" t="n">
        <v>0</v>
      </c>
      <c r="O537" t="n">
        <v>0</v>
      </c>
      <c r="P537" t="n">
        <v>0</v>
      </c>
      <c r="Q537" t="n">
        <v>0</v>
      </c>
      <c r="R537" s="2" t="inlineStr"/>
    </row>
    <row r="538" ht="15" customHeight="1">
      <c r="A538" t="inlineStr">
        <is>
          <t>A 56424-2021</t>
        </is>
      </c>
      <c r="B538" s="1" t="n">
        <v>44480</v>
      </c>
      <c r="C538" s="1" t="n">
        <v>45830</v>
      </c>
      <c r="D538" t="inlineStr">
        <is>
          <t>SKÅNE LÄN</t>
        </is>
      </c>
      <c r="E538" t="inlineStr">
        <is>
          <t>HÄSSLEHOLM</t>
        </is>
      </c>
      <c r="F538" t="inlineStr">
        <is>
          <t>Kyrkan</t>
        </is>
      </c>
      <c r="G538" t="n">
        <v>3.4</v>
      </c>
      <c r="H538" t="n">
        <v>0</v>
      </c>
      <c r="I538" t="n">
        <v>0</v>
      </c>
      <c r="J538" t="n">
        <v>0</v>
      </c>
      <c r="K538" t="n">
        <v>0</v>
      </c>
      <c r="L538" t="n">
        <v>0</v>
      </c>
      <c r="M538" t="n">
        <v>0</v>
      </c>
      <c r="N538" t="n">
        <v>0</v>
      </c>
      <c r="O538" t="n">
        <v>0</v>
      </c>
      <c r="P538" t="n">
        <v>0</v>
      </c>
      <c r="Q538" t="n">
        <v>0</v>
      </c>
      <c r="R538" s="2" t="inlineStr"/>
    </row>
    <row r="539" ht="15" customHeight="1">
      <c r="A539" t="inlineStr">
        <is>
          <t>A 56477-2021</t>
        </is>
      </c>
      <c r="B539" s="1" t="n">
        <v>44480</v>
      </c>
      <c r="C539" s="1" t="n">
        <v>45830</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56490-2021</t>
        </is>
      </c>
      <c r="B540" s="1" t="n">
        <v>44480</v>
      </c>
      <c r="C540" s="1" t="n">
        <v>45830</v>
      </c>
      <c r="D540" t="inlineStr">
        <is>
          <t>SKÅNE LÄN</t>
        </is>
      </c>
      <c r="E540" t="inlineStr">
        <is>
          <t>HÄSSLEHOLM</t>
        </is>
      </c>
      <c r="F540" t="inlineStr">
        <is>
          <t>Kyrkan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56527-2021</t>
        </is>
      </c>
      <c r="B541" s="1" t="n">
        <v>44480</v>
      </c>
      <c r="C541" s="1" t="n">
        <v>45830</v>
      </c>
      <c r="D541" t="inlineStr">
        <is>
          <t>SKÅNE LÄN</t>
        </is>
      </c>
      <c r="E541" t="inlineStr">
        <is>
          <t>HÄSSLEHOLM</t>
        </is>
      </c>
      <c r="F541" t="inlineStr">
        <is>
          <t>Kyrkan</t>
        </is>
      </c>
      <c r="G541" t="n">
        <v>2.7</v>
      </c>
      <c r="H541" t="n">
        <v>0</v>
      </c>
      <c r="I541" t="n">
        <v>0</v>
      </c>
      <c r="J541" t="n">
        <v>0</v>
      </c>
      <c r="K541" t="n">
        <v>0</v>
      </c>
      <c r="L541" t="n">
        <v>0</v>
      </c>
      <c r="M541" t="n">
        <v>0</v>
      </c>
      <c r="N541" t="n">
        <v>0</v>
      </c>
      <c r="O541" t="n">
        <v>0</v>
      </c>
      <c r="P541" t="n">
        <v>0</v>
      </c>
      <c r="Q541" t="n">
        <v>0</v>
      </c>
      <c r="R541" s="2" t="inlineStr"/>
    </row>
    <row r="542" ht="15" customHeight="1">
      <c r="A542" t="inlineStr">
        <is>
          <t>A 56881-2021</t>
        </is>
      </c>
      <c r="B542" s="1" t="n">
        <v>44481</v>
      </c>
      <c r="C542" s="1" t="n">
        <v>45830</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56989-2021</t>
        </is>
      </c>
      <c r="B543" s="1" t="n">
        <v>44482</v>
      </c>
      <c r="C543" s="1" t="n">
        <v>45830</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58566-2021</t>
        </is>
      </c>
      <c r="B544" s="1" t="n">
        <v>44488</v>
      </c>
      <c r="C544" s="1" t="n">
        <v>45830</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58564-2021</t>
        </is>
      </c>
      <c r="B545" s="1" t="n">
        <v>44488</v>
      </c>
      <c r="C545" s="1" t="n">
        <v>45830</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59390-2021</t>
        </is>
      </c>
      <c r="B546" s="1" t="n">
        <v>44490</v>
      </c>
      <c r="C546" s="1" t="n">
        <v>45830</v>
      </c>
      <c r="D546" t="inlineStr">
        <is>
          <t>SKÅNE LÄN</t>
        </is>
      </c>
      <c r="E546" t="inlineStr">
        <is>
          <t>HÄSSLEHOLM</t>
        </is>
      </c>
      <c r="G546" t="n">
        <v>7.1</v>
      </c>
      <c r="H546" t="n">
        <v>0</v>
      </c>
      <c r="I546" t="n">
        <v>0</v>
      </c>
      <c r="J546" t="n">
        <v>0</v>
      </c>
      <c r="K546" t="n">
        <v>0</v>
      </c>
      <c r="L546" t="n">
        <v>0</v>
      </c>
      <c r="M546" t="n">
        <v>0</v>
      </c>
      <c r="N546" t="n">
        <v>0</v>
      </c>
      <c r="O546" t="n">
        <v>0</v>
      </c>
      <c r="P546" t="n">
        <v>0</v>
      </c>
      <c r="Q546" t="n">
        <v>0</v>
      </c>
      <c r="R546" s="2" t="inlineStr"/>
    </row>
    <row r="547" ht="15" customHeight="1">
      <c r="A547" t="inlineStr">
        <is>
          <t>A 60260-2021</t>
        </is>
      </c>
      <c r="B547" s="1" t="n">
        <v>44495</v>
      </c>
      <c r="C547" s="1" t="n">
        <v>45830</v>
      </c>
      <c r="D547" t="inlineStr">
        <is>
          <t>SKÅNE LÄN</t>
        </is>
      </c>
      <c r="E547" t="inlineStr">
        <is>
          <t>HÄSSLEHOLM</t>
        </is>
      </c>
      <c r="G547" t="n">
        <v>2.1</v>
      </c>
      <c r="H547" t="n">
        <v>0</v>
      </c>
      <c r="I547" t="n">
        <v>0</v>
      </c>
      <c r="J547" t="n">
        <v>0</v>
      </c>
      <c r="K547" t="n">
        <v>0</v>
      </c>
      <c r="L547" t="n">
        <v>0</v>
      </c>
      <c r="M547" t="n">
        <v>0</v>
      </c>
      <c r="N547" t="n">
        <v>0</v>
      </c>
      <c r="O547" t="n">
        <v>0</v>
      </c>
      <c r="P547" t="n">
        <v>0</v>
      </c>
      <c r="Q547" t="n">
        <v>0</v>
      </c>
      <c r="R547" s="2" t="inlineStr"/>
    </row>
    <row r="548" ht="15" customHeight="1">
      <c r="A548" t="inlineStr">
        <is>
          <t>A 61073-2021</t>
        </is>
      </c>
      <c r="B548" s="1" t="n">
        <v>44497</v>
      </c>
      <c r="C548" s="1" t="n">
        <v>45830</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61072-2021</t>
        </is>
      </c>
      <c r="B549" s="1" t="n">
        <v>44497</v>
      </c>
      <c r="C549" s="1" t="n">
        <v>45830</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61510-2021</t>
        </is>
      </c>
      <c r="B550" s="1" t="n">
        <v>44501</v>
      </c>
      <c r="C550" s="1" t="n">
        <v>45830</v>
      </c>
      <c r="D550" t="inlineStr">
        <is>
          <t>SKÅNE LÄN</t>
        </is>
      </c>
      <c r="E550" t="inlineStr">
        <is>
          <t>HÄSSLEHOLM</t>
        </is>
      </c>
      <c r="G550" t="n">
        <v>6.1</v>
      </c>
      <c r="H550" t="n">
        <v>0</v>
      </c>
      <c r="I550" t="n">
        <v>0</v>
      </c>
      <c r="J550" t="n">
        <v>0</v>
      </c>
      <c r="K550" t="n">
        <v>0</v>
      </c>
      <c r="L550" t="n">
        <v>0</v>
      </c>
      <c r="M550" t="n">
        <v>0</v>
      </c>
      <c r="N550" t="n">
        <v>0</v>
      </c>
      <c r="O550" t="n">
        <v>0</v>
      </c>
      <c r="P550" t="n">
        <v>0</v>
      </c>
      <c r="Q550" t="n">
        <v>0</v>
      </c>
      <c r="R550" s="2" t="inlineStr"/>
    </row>
    <row r="551" ht="15" customHeight="1">
      <c r="A551" t="inlineStr">
        <is>
          <t>A 61691-2021</t>
        </is>
      </c>
      <c r="B551" s="1" t="n">
        <v>44501</v>
      </c>
      <c r="C551" s="1" t="n">
        <v>45830</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63767-2021</t>
        </is>
      </c>
      <c r="B552" s="1" t="n">
        <v>44509</v>
      </c>
      <c r="C552" s="1" t="n">
        <v>45830</v>
      </c>
      <c r="D552" t="inlineStr">
        <is>
          <t>SKÅNE LÄN</t>
        </is>
      </c>
      <c r="E552" t="inlineStr">
        <is>
          <t>HÄSSLEHOLM</t>
        </is>
      </c>
      <c r="F552" t="inlineStr">
        <is>
          <t>Övriga Aktiebolag</t>
        </is>
      </c>
      <c r="G552" t="n">
        <v>2.2</v>
      </c>
      <c r="H552" t="n">
        <v>0</v>
      </c>
      <c r="I552" t="n">
        <v>0</v>
      </c>
      <c r="J552" t="n">
        <v>0</v>
      </c>
      <c r="K552" t="n">
        <v>0</v>
      </c>
      <c r="L552" t="n">
        <v>0</v>
      </c>
      <c r="M552" t="n">
        <v>0</v>
      </c>
      <c r="N552" t="n">
        <v>0</v>
      </c>
      <c r="O552" t="n">
        <v>0</v>
      </c>
      <c r="P552" t="n">
        <v>0</v>
      </c>
      <c r="Q552" t="n">
        <v>0</v>
      </c>
      <c r="R552" s="2" t="inlineStr"/>
    </row>
    <row r="553" ht="15" customHeight="1">
      <c r="A553" t="inlineStr">
        <is>
          <t>A 63972-2021</t>
        </is>
      </c>
      <c r="B553" s="1" t="n">
        <v>44509</v>
      </c>
      <c r="C553" s="1" t="n">
        <v>45830</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64607-2021</t>
        </is>
      </c>
      <c r="B554" s="1" t="n">
        <v>44511</v>
      </c>
      <c r="C554" s="1" t="n">
        <v>45830</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64826-2021</t>
        </is>
      </c>
      <c r="B555" s="1" t="n">
        <v>44512</v>
      </c>
      <c r="C555" s="1" t="n">
        <v>45830</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65235-2021</t>
        </is>
      </c>
      <c r="B556" s="1" t="n">
        <v>44515</v>
      </c>
      <c r="C556" s="1" t="n">
        <v>45830</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66321-2021</t>
        </is>
      </c>
      <c r="B557" s="1" t="n">
        <v>44518</v>
      </c>
      <c r="C557" s="1" t="n">
        <v>45830</v>
      </c>
      <c r="D557" t="inlineStr">
        <is>
          <t>SKÅNE LÄN</t>
        </is>
      </c>
      <c r="E557" t="inlineStr">
        <is>
          <t>HÄSSLEHOLM</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66413-2021</t>
        </is>
      </c>
      <c r="B558" s="1" t="n">
        <v>44518</v>
      </c>
      <c r="C558" s="1" t="n">
        <v>45830</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66518-2021</t>
        </is>
      </c>
      <c r="B559" s="1" t="n">
        <v>44519</v>
      </c>
      <c r="C559" s="1" t="n">
        <v>45830</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67150-2021</t>
        </is>
      </c>
      <c r="B560" s="1" t="n">
        <v>44523</v>
      </c>
      <c r="C560" s="1" t="n">
        <v>45830</v>
      </c>
      <c r="D560" t="inlineStr">
        <is>
          <t>SKÅNE LÄN</t>
        </is>
      </c>
      <c r="E560" t="inlineStr">
        <is>
          <t>HÄSSLEHOLM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67355-2021</t>
        </is>
      </c>
      <c r="B561" s="1" t="n">
        <v>44523</v>
      </c>
      <c r="C561" s="1" t="n">
        <v>45830</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67517-2021</t>
        </is>
      </c>
      <c r="B562" s="1" t="n">
        <v>44524</v>
      </c>
      <c r="C562" s="1" t="n">
        <v>45830</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67801-2021</t>
        </is>
      </c>
      <c r="B563" s="1" t="n">
        <v>44525</v>
      </c>
      <c r="C563" s="1" t="n">
        <v>45830</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68408-2021</t>
        </is>
      </c>
      <c r="B564" s="1" t="n">
        <v>44526</v>
      </c>
      <c r="C564" s="1" t="n">
        <v>45830</v>
      </c>
      <c r="D564" t="inlineStr">
        <is>
          <t>SKÅNE LÄN</t>
        </is>
      </c>
      <c r="E564" t="inlineStr">
        <is>
          <t>HÄSSLEHOLM</t>
        </is>
      </c>
      <c r="G564" t="n">
        <v>2.4</v>
      </c>
      <c r="H564" t="n">
        <v>0</v>
      </c>
      <c r="I564" t="n">
        <v>0</v>
      </c>
      <c r="J564" t="n">
        <v>0</v>
      </c>
      <c r="K564" t="n">
        <v>0</v>
      </c>
      <c r="L564" t="n">
        <v>0</v>
      </c>
      <c r="M564" t="n">
        <v>0</v>
      </c>
      <c r="N564" t="n">
        <v>0</v>
      </c>
      <c r="O564" t="n">
        <v>0</v>
      </c>
      <c r="P564" t="n">
        <v>0</v>
      </c>
      <c r="Q564" t="n">
        <v>0</v>
      </c>
      <c r="R564" s="2" t="inlineStr"/>
    </row>
    <row r="565" ht="15" customHeight="1">
      <c r="A565" t="inlineStr">
        <is>
          <t>A 68909-2021</t>
        </is>
      </c>
      <c r="B565" s="1" t="n">
        <v>44530</v>
      </c>
      <c r="C565" s="1" t="n">
        <v>45830</v>
      </c>
      <c r="D565" t="inlineStr">
        <is>
          <t>SKÅNE LÄN</t>
        </is>
      </c>
      <c r="E565" t="inlineStr">
        <is>
          <t>HÄSSLEHOLM</t>
        </is>
      </c>
      <c r="G565" t="n">
        <v>0.9</v>
      </c>
      <c r="H565" t="n">
        <v>0</v>
      </c>
      <c r="I565" t="n">
        <v>0</v>
      </c>
      <c r="J565" t="n">
        <v>0</v>
      </c>
      <c r="K565" t="n">
        <v>0</v>
      </c>
      <c r="L565" t="n">
        <v>0</v>
      </c>
      <c r="M565" t="n">
        <v>0</v>
      </c>
      <c r="N565" t="n">
        <v>0</v>
      </c>
      <c r="O565" t="n">
        <v>0</v>
      </c>
      <c r="P565" t="n">
        <v>0</v>
      </c>
      <c r="Q565" t="n">
        <v>0</v>
      </c>
      <c r="R565" s="2" t="inlineStr"/>
    </row>
    <row r="566" ht="15" customHeight="1">
      <c r="A566" t="inlineStr">
        <is>
          <t>A 69357-2021</t>
        </is>
      </c>
      <c r="B566" s="1" t="n">
        <v>44531</v>
      </c>
      <c r="C566" s="1" t="n">
        <v>45830</v>
      </c>
      <c r="D566" t="inlineStr">
        <is>
          <t>SKÅNE LÄN</t>
        </is>
      </c>
      <c r="E566" t="inlineStr">
        <is>
          <t>HÄSSLEHOLM</t>
        </is>
      </c>
      <c r="G566" t="n">
        <v>1.6</v>
      </c>
      <c r="H566" t="n">
        <v>0</v>
      </c>
      <c r="I566" t="n">
        <v>0</v>
      </c>
      <c r="J566" t="n">
        <v>0</v>
      </c>
      <c r="K566" t="n">
        <v>0</v>
      </c>
      <c r="L566" t="n">
        <v>0</v>
      </c>
      <c r="M566" t="n">
        <v>0</v>
      </c>
      <c r="N566" t="n">
        <v>0</v>
      </c>
      <c r="O566" t="n">
        <v>0</v>
      </c>
      <c r="P566" t="n">
        <v>0</v>
      </c>
      <c r="Q566" t="n">
        <v>0</v>
      </c>
      <c r="R566" s="2" t="inlineStr"/>
    </row>
    <row r="567" ht="15" customHeight="1">
      <c r="A567" t="inlineStr">
        <is>
          <t>A 69419-2021</t>
        </is>
      </c>
      <c r="B567" s="1" t="n">
        <v>44531</v>
      </c>
      <c r="C567" s="1" t="n">
        <v>45830</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70087-2021</t>
        </is>
      </c>
      <c r="B568" s="1" t="n">
        <v>44533</v>
      </c>
      <c r="C568" s="1" t="n">
        <v>45830</v>
      </c>
      <c r="D568" t="inlineStr">
        <is>
          <t>SKÅNE LÄN</t>
        </is>
      </c>
      <c r="E568" t="inlineStr">
        <is>
          <t>HÄSSLEHOLM</t>
        </is>
      </c>
      <c r="G568" t="n">
        <v>5</v>
      </c>
      <c r="H568" t="n">
        <v>0</v>
      </c>
      <c r="I568" t="n">
        <v>0</v>
      </c>
      <c r="J568" t="n">
        <v>0</v>
      </c>
      <c r="K568" t="n">
        <v>0</v>
      </c>
      <c r="L568" t="n">
        <v>0</v>
      </c>
      <c r="M568" t="n">
        <v>0</v>
      </c>
      <c r="N568" t="n">
        <v>0</v>
      </c>
      <c r="O568" t="n">
        <v>0</v>
      </c>
      <c r="P568" t="n">
        <v>0</v>
      </c>
      <c r="Q568" t="n">
        <v>0</v>
      </c>
      <c r="R568" s="2" t="inlineStr"/>
    </row>
    <row r="569" ht="15" customHeight="1">
      <c r="A569" t="inlineStr">
        <is>
          <t>A 73513-2021</t>
        </is>
      </c>
      <c r="B569" s="1" t="n">
        <v>44551</v>
      </c>
      <c r="C569" s="1" t="n">
        <v>45830</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74030-2021</t>
        </is>
      </c>
      <c r="B570" s="1" t="n">
        <v>44553</v>
      </c>
      <c r="C570" s="1" t="n">
        <v>45830</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74293-2021</t>
        </is>
      </c>
      <c r="B571" s="1" t="n">
        <v>44558</v>
      </c>
      <c r="C571" s="1" t="n">
        <v>45830</v>
      </c>
      <c r="D571" t="inlineStr">
        <is>
          <t>SKÅNE LÄN</t>
        </is>
      </c>
      <c r="E571" t="inlineStr">
        <is>
          <t>HÄSSLEHOLM</t>
        </is>
      </c>
      <c r="F571" t="inlineStr">
        <is>
          <t>Kyrkan</t>
        </is>
      </c>
      <c r="G571" t="n">
        <v>3.3</v>
      </c>
      <c r="H571" t="n">
        <v>0</v>
      </c>
      <c r="I571" t="n">
        <v>0</v>
      </c>
      <c r="J571" t="n">
        <v>0</v>
      </c>
      <c r="K571" t="n">
        <v>0</v>
      </c>
      <c r="L571" t="n">
        <v>0</v>
      </c>
      <c r="M571" t="n">
        <v>0</v>
      </c>
      <c r="N571" t="n">
        <v>0</v>
      </c>
      <c r="O571" t="n">
        <v>0</v>
      </c>
      <c r="P571" t="n">
        <v>0</v>
      </c>
      <c r="Q571" t="n">
        <v>0</v>
      </c>
      <c r="R571" s="2" t="inlineStr"/>
    </row>
    <row r="572" ht="15" customHeight="1">
      <c r="A572" t="inlineStr">
        <is>
          <t>A 74294-2021</t>
        </is>
      </c>
      <c r="B572" s="1" t="n">
        <v>44558</v>
      </c>
      <c r="C572" s="1" t="n">
        <v>45830</v>
      </c>
      <c r="D572" t="inlineStr">
        <is>
          <t>SKÅNE LÄN</t>
        </is>
      </c>
      <c r="E572" t="inlineStr">
        <is>
          <t>HÄSSLEHOLM</t>
        </is>
      </c>
      <c r="F572" t="inlineStr">
        <is>
          <t>Kyrkan</t>
        </is>
      </c>
      <c r="G572" t="n">
        <v>16.2</v>
      </c>
      <c r="H572" t="n">
        <v>0</v>
      </c>
      <c r="I572" t="n">
        <v>0</v>
      </c>
      <c r="J572" t="n">
        <v>0</v>
      </c>
      <c r="K572" t="n">
        <v>0</v>
      </c>
      <c r="L572" t="n">
        <v>0</v>
      </c>
      <c r="M572" t="n">
        <v>0</v>
      </c>
      <c r="N572" t="n">
        <v>0</v>
      </c>
      <c r="O572" t="n">
        <v>0</v>
      </c>
      <c r="P572" t="n">
        <v>0</v>
      </c>
      <c r="Q572" t="n">
        <v>0</v>
      </c>
      <c r="R572" s="2" t="inlineStr"/>
    </row>
    <row r="573" ht="15" customHeight="1">
      <c r="A573" t="inlineStr">
        <is>
          <t>A 74297-2021</t>
        </is>
      </c>
      <c r="B573" s="1" t="n">
        <v>44558</v>
      </c>
      <c r="C573" s="1" t="n">
        <v>45830</v>
      </c>
      <c r="D573" t="inlineStr">
        <is>
          <t>SKÅNE LÄN</t>
        </is>
      </c>
      <c r="E573" t="inlineStr">
        <is>
          <t>HÄSSLEHOLM</t>
        </is>
      </c>
      <c r="F573" t="inlineStr">
        <is>
          <t>Kyrkan</t>
        </is>
      </c>
      <c r="G573" t="n">
        <v>3.8</v>
      </c>
      <c r="H573" t="n">
        <v>0</v>
      </c>
      <c r="I573" t="n">
        <v>0</v>
      </c>
      <c r="J573" t="n">
        <v>0</v>
      </c>
      <c r="K573" t="n">
        <v>0</v>
      </c>
      <c r="L573" t="n">
        <v>0</v>
      </c>
      <c r="M573" t="n">
        <v>0</v>
      </c>
      <c r="N573" t="n">
        <v>0</v>
      </c>
      <c r="O573" t="n">
        <v>0</v>
      </c>
      <c r="P573" t="n">
        <v>0</v>
      </c>
      <c r="Q573" t="n">
        <v>0</v>
      </c>
      <c r="R573" s="2" t="inlineStr"/>
    </row>
    <row r="574" ht="15" customHeight="1">
      <c r="A574" t="inlineStr">
        <is>
          <t>A 74453-2021</t>
        </is>
      </c>
      <c r="B574" s="1" t="n">
        <v>44560</v>
      </c>
      <c r="C574" s="1" t="n">
        <v>45830</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74476-2021</t>
        </is>
      </c>
      <c r="B575" s="1" t="n">
        <v>44560</v>
      </c>
      <c r="C575" s="1" t="n">
        <v>45830</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220-2022</t>
        </is>
      </c>
      <c r="B576" s="1" t="n">
        <v>44564</v>
      </c>
      <c r="C576" s="1" t="n">
        <v>45830</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219-2022</t>
        </is>
      </c>
      <c r="B577" s="1" t="n">
        <v>44564</v>
      </c>
      <c r="C577" s="1" t="n">
        <v>45830</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354-2022</t>
        </is>
      </c>
      <c r="B578" s="1" t="n">
        <v>44565</v>
      </c>
      <c r="C578" s="1" t="n">
        <v>45830</v>
      </c>
      <c r="D578" t="inlineStr">
        <is>
          <t>SKÅNE LÄN</t>
        </is>
      </c>
      <c r="E578" t="inlineStr">
        <is>
          <t>HÄSSLEHOLM</t>
        </is>
      </c>
      <c r="G578" t="n">
        <v>2.4</v>
      </c>
      <c r="H578" t="n">
        <v>0</v>
      </c>
      <c r="I578" t="n">
        <v>0</v>
      </c>
      <c r="J578" t="n">
        <v>0</v>
      </c>
      <c r="K578" t="n">
        <v>0</v>
      </c>
      <c r="L578" t="n">
        <v>0</v>
      </c>
      <c r="M578" t="n">
        <v>0</v>
      </c>
      <c r="N578" t="n">
        <v>0</v>
      </c>
      <c r="O578" t="n">
        <v>0</v>
      </c>
      <c r="P578" t="n">
        <v>0</v>
      </c>
      <c r="Q578" t="n">
        <v>0</v>
      </c>
      <c r="R578" s="2" t="inlineStr"/>
    </row>
    <row r="579" ht="15" customHeight="1">
      <c r="A579" t="inlineStr">
        <is>
          <t>A 315-2022</t>
        </is>
      </c>
      <c r="B579" s="1" t="n">
        <v>44565</v>
      </c>
      <c r="C579" s="1" t="n">
        <v>45830</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441-2022</t>
        </is>
      </c>
      <c r="B580" s="1" t="n">
        <v>44566</v>
      </c>
      <c r="C580" s="1" t="n">
        <v>45830</v>
      </c>
      <c r="D580" t="inlineStr">
        <is>
          <t>SKÅNE LÄN</t>
        </is>
      </c>
      <c r="E580" t="inlineStr">
        <is>
          <t>HÄSSLEHOLM</t>
        </is>
      </c>
      <c r="G580" t="n">
        <v>2.1</v>
      </c>
      <c r="H580" t="n">
        <v>0</v>
      </c>
      <c r="I580" t="n">
        <v>0</v>
      </c>
      <c r="J580" t="n">
        <v>0</v>
      </c>
      <c r="K580" t="n">
        <v>0</v>
      </c>
      <c r="L580" t="n">
        <v>0</v>
      </c>
      <c r="M580" t="n">
        <v>0</v>
      </c>
      <c r="N580" t="n">
        <v>0</v>
      </c>
      <c r="O580" t="n">
        <v>0</v>
      </c>
      <c r="P580" t="n">
        <v>0</v>
      </c>
      <c r="Q580" t="n">
        <v>0</v>
      </c>
      <c r="R580" s="2" t="inlineStr"/>
    </row>
    <row r="581" ht="15" customHeight="1">
      <c r="A581" t="inlineStr">
        <is>
          <t>A 418-2022</t>
        </is>
      </c>
      <c r="B581" s="1" t="n">
        <v>44565</v>
      </c>
      <c r="C581" s="1" t="n">
        <v>45830</v>
      </c>
      <c r="D581" t="inlineStr">
        <is>
          <t>SKÅNE LÄN</t>
        </is>
      </c>
      <c r="E581" t="inlineStr">
        <is>
          <t>HÄSSLEHOLM</t>
        </is>
      </c>
      <c r="G581" t="n">
        <v>0</v>
      </c>
      <c r="H581" t="n">
        <v>0</v>
      </c>
      <c r="I581" t="n">
        <v>0</v>
      </c>
      <c r="J581" t="n">
        <v>0</v>
      </c>
      <c r="K581" t="n">
        <v>0</v>
      </c>
      <c r="L581" t="n">
        <v>0</v>
      </c>
      <c r="M581" t="n">
        <v>0</v>
      </c>
      <c r="N581" t="n">
        <v>0</v>
      </c>
      <c r="O581" t="n">
        <v>0</v>
      </c>
      <c r="P581" t="n">
        <v>0</v>
      </c>
      <c r="Q581" t="n">
        <v>0</v>
      </c>
      <c r="R581" s="2" t="inlineStr"/>
    </row>
    <row r="582" ht="15" customHeight="1">
      <c r="A582" t="inlineStr">
        <is>
          <t>A 417-2022</t>
        </is>
      </c>
      <c r="B582" s="1" t="n">
        <v>44565</v>
      </c>
      <c r="C582" s="1" t="n">
        <v>45830</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525-2022</t>
        </is>
      </c>
      <c r="B583" s="1" t="n">
        <v>44566</v>
      </c>
      <c r="C583" s="1" t="n">
        <v>45830</v>
      </c>
      <c r="D583" t="inlineStr">
        <is>
          <t>SKÅNE LÄN</t>
        </is>
      </c>
      <c r="E583" t="inlineStr">
        <is>
          <t>HÄSSLEHOLM</t>
        </is>
      </c>
      <c r="G583" t="n">
        <v>1.7</v>
      </c>
      <c r="H583" t="n">
        <v>0</v>
      </c>
      <c r="I583" t="n">
        <v>0</v>
      </c>
      <c r="J583" t="n">
        <v>0</v>
      </c>
      <c r="K583" t="n">
        <v>0</v>
      </c>
      <c r="L583" t="n">
        <v>0</v>
      </c>
      <c r="M583" t="n">
        <v>0</v>
      </c>
      <c r="N583" t="n">
        <v>0</v>
      </c>
      <c r="O583" t="n">
        <v>0</v>
      </c>
      <c r="P583" t="n">
        <v>0</v>
      </c>
      <c r="Q583" t="n">
        <v>0</v>
      </c>
      <c r="R583" s="2" t="inlineStr"/>
    </row>
    <row r="584" ht="15" customHeight="1">
      <c r="A584" t="inlineStr">
        <is>
          <t>A 1210-2022</t>
        </is>
      </c>
      <c r="B584" s="1" t="n">
        <v>44572</v>
      </c>
      <c r="C584" s="1" t="n">
        <v>45830</v>
      </c>
      <c r="D584" t="inlineStr">
        <is>
          <t>SKÅNE LÄN</t>
        </is>
      </c>
      <c r="E584" t="inlineStr">
        <is>
          <t>HÄSSLEHOLM</t>
        </is>
      </c>
      <c r="G584" t="n">
        <v>1.3</v>
      </c>
      <c r="H584" t="n">
        <v>0</v>
      </c>
      <c r="I584" t="n">
        <v>0</v>
      </c>
      <c r="J584" t="n">
        <v>0</v>
      </c>
      <c r="K584" t="n">
        <v>0</v>
      </c>
      <c r="L584" t="n">
        <v>0</v>
      </c>
      <c r="M584" t="n">
        <v>0</v>
      </c>
      <c r="N584" t="n">
        <v>0</v>
      </c>
      <c r="O584" t="n">
        <v>0</v>
      </c>
      <c r="P584" t="n">
        <v>0</v>
      </c>
      <c r="Q584" t="n">
        <v>0</v>
      </c>
      <c r="R584" s="2" t="inlineStr"/>
    </row>
    <row r="585" ht="15" customHeight="1">
      <c r="A585" t="inlineStr">
        <is>
          <t>A 1535-2022</t>
        </is>
      </c>
      <c r="B585" s="1" t="n">
        <v>44573</v>
      </c>
      <c r="C585" s="1" t="n">
        <v>45830</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1619-2022</t>
        </is>
      </c>
      <c r="B586" s="1" t="n">
        <v>44573</v>
      </c>
      <c r="C586" s="1" t="n">
        <v>45830</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1679-2022</t>
        </is>
      </c>
      <c r="B587" s="1" t="n">
        <v>44573</v>
      </c>
      <c r="C587" s="1" t="n">
        <v>45830</v>
      </c>
      <c r="D587" t="inlineStr">
        <is>
          <t>SKÅNE LÄN</t>
        </is>
      </c>
      <c r="E587" t="inlineStr">
        <is>
          <t>HÄSSLEHOLM</t>
        </is>
      </c>
      <c r="F587" t="inlineStr">
        <is>
          <t>Kyrkan</t>
        </is>
      </c>
      <c r="G587" t="n">
        <v>4.3</v>
      </c>
      <c r="H587" t="n">
        <v>0</v>
      </c>
      <c r="I587" t="n">
        <v>0</v>
      </c>
      <c r="J587" t="n">
        <v>0</v>
      </c>
      <c r="K587" t="n">
        <v>0</v>
      </c>
      <c r="L587" t="n">
        <v>0</v>
      </c>
      <c r="M587" t="n">
        <v>0</v>
      </c>
      <c r="N587" t="n">
        <v>0</v>
      </c>
      <c r="O587" t="n">
        <v>0</v>
      </c>
      <c r="P587" t="n">
        <v>0</v>
      </c>
      <c r="Q587" t="n">
        <v>0</v>
      </c>
      <c r="R587" s="2" t="inlineStr"/>
    </row>
    <row r="588" ht="15" customHeight="1">
      <c r="A588" t="inlineStr">
        <is>
          <t>A 2618-2022</t>
        </is>
      </c>
      <c r="B588" s="1" t="n">
        <v>44580</v>
      </c>
      <c r="C588" s="1" t="n">
        <v>45830</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2631-2022</t>
        </is>
      </c>
      <c r="B589" s="1" t="n">
        <v>44580</v>
      </c>
      <c r="C589" s="1" t="n">
        <v>45830</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2765-2022</t>
        </is>
      </c>
      <c r="B590" s="1" t="n">
        <v>44580</v>
      </c>
      <c r="C590" s="1" t="n">
        <v>45830</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3101-2022</t>
        </is>
      </c>
      <c r="B591" s="1" t="n">
        <v>44580</v>
      </c>
      <c r="C591" s="1" t="n">
        <v>45830</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2858-2022</t>
        </is>
      </c>
      <c r="B592" s="1" t="n">
        <v>44581</v>
      </c>
      <c r="C592" s="1" t="n">
        <v>45830</v>
      </c>
      <c r="D592" t="inlineStr">
        <is>
          <t>SKÅNE LÄN</t>
        </is>
      </c>
      <c r="E592" t="inlineStr">
        <is>
          <t>HÄSSLEHOLM</t>
        </is>
      </c>
      <c r="F592" t="inlineStr">
        <is>
          <t>Övriga Aktiebolag</t>
        </is>
      </c>
      <c r="G592" t="n">
        <v>1.3</v>
      </c>
      <c r="H592" t="n">
        <v>0</v>
      </c>
      <c r="I592" t="n">
        <v>0</v>
      </c>
      <c r="J592" t="n">
        <v>0</v>
      </c>
      <c r="K592" t="n">
        <v>0</v>
      </c>
      <c r="L592" t="n">
        <v>0</v>
      </c>
      <c r="M592" t="n">
        <v>0</v>
      </c>
      <c r="N592" t="n">
        <v>0</v>
      </c>
      <c r="O592" t="n">
        <v>0</v>
      </c>
      <c r="P592" t="n">
        <v>0</v>
      </c>
      <c r="Q592" t="n">
        <v>0</v>
      </c>
      <c r="R592" s="2" t="inlineStr"/>
    </row>
    <row r="593" ht="15" customHeight="1">
      <c r="A593" t="inlineStr">
        <is>
          <t>A 3167-2022</t>
        </is>
      </c>
      <c r="B593" s="1" t="n">
        <v>44582</v>
      </c>
      <c r="C593" s="1" t="n">
        <v>45830</v>
      </c>
      <c r="D593" t="inlineStr">
        <is>
          <t>SKÅNE LÄN</t>
        </is>
      </c>
      <c r="E593" t="inlineStr">
        <is>
          <t>HÄSSLEHOLM</t>
        </is>
      </c>
      <c r="F593" t="inlineStr">
        <is>
          <t>Kommuner</t>
        </is>
      </c>
      <c r="G593" t="n">
        <v>1.5</v>
      </c>
      <c r="H593" t="n">
        <v>0</v>
      </c>
      <c r="I593" t="n">
        <v>0</v>
      </c>
      <c r="J593" t="n">
        <v>0</v>
      </c>
      <c r="K593" t="n">
        <v>0</v>
      </c>
      <c r="L593" t="n">
        <v>0</v>
      </c>
      <c r="M593" t="n">
        <v>0</v>
      </c>
      <c r="N593" t="n">
        <v>0</v>
      </c>
      <c r="O593" t="n">
        <v>0</v>
      </c>
      <c r="P593" t="n">
        <v>0</v>
      </c>
      <c r="Q593" t="n">
        <v>0</v>
      </c>
      <c r="R593" s="2" t="inlineStr"/>
    </row>
    <row r="594" ht="15" customHeight="1">
      <c r="A594" t="inlineStr">
        <is>
          <t>A 3248-2022</t>
        </is>
      </c>
      <c r="B594" s="1" t="n">
        <v>44583</v>
      </c>
      <c r="C594" s="1" t="n">
        <v>45830</v>
      </c>
      <c r="D594" t="inlineStr">
        <is>
          <t>SKÅNE LÄN</t>
        </is>
      </c>
      <c r="E594" t="inlineStr">
        <is>
          <t>HÄSSLEHOLM</t>
        </is>
      </c>
      <c r="G594" t="n">
        <v>3</v>
      </c>
      <c r="H594" t="n">
        <v>0</v>
      </c>
      <c r="I594" t="n">
        <v>0</v>
      </c>
      <c r="J594" t="n">
        <v>0</v>
      </c>
      <c r="K594" t="n">
        <v>0</v>
      </c>
      <c r="L594" t="n">
        <v>0</v>
      </c>
      <c r="M594" t="n">
        <v>0</v>
      </c>
      <c r="N594" t="n">
        <v>0</v>
      </c>
      <c r="O594" t="n">
        <v>0</v>
      </c>
      <c r="P594" t="n">
        <v>0</v>
      </c>
      <c r="Q594" t="n">
        <v>0</v>
      </c>
      <c r="R594" s="2" t="inlineStr"/>
    </row>
    <row r="595" ht="15" customHeight="1">
      <c r="A595" t="inlineStr">
        <is>
          <t>A 3245-2022</t>
        </is>
      </c>
      <c r="B595" s="1" t="n">
        <v>44583</v>
      </c>
      <c r="C595" s="1" t="n">
        <v>45830</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3247-2022</t>
        </is>
      </c>
      <c r="B596" s="1" t="n">
        <v>44583</v>
      </c>
      <c r="C596" s="1" t="n">
        <v>45830</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3276-2022</t>
        </is>
      </c>
      <c r="B597" s="1" t="n">
        <v>44584</v>
      </c>
      <c r="C597" s="1" t="n">
        <v>45830</v>
      </c>
      <c r="D597" t="inlineStr">
        <is>
          <t>SKÅNE LÄN</t>
        </is>
      </c>
      <c r="E597" t="inlineStr">
        <is>
          <t>HÄSSLEHOLM</t>
        </is>
      </c>
      <c r="G597" t="n">
        <v>0.2</v>
      </c>
      <c r="H597" t="n">
        <v>0</v>
      </c>
      <c r="I597" t="n">
        <v>0</v>
      </c>
      <c r="J597" t="n">
        <v>0</v>
      </c>
      <c r="K597" t="n">
        <v>0</v>
      </c>
      <c r="L597" t="n">
        <v>0</v>
      </c>
      <c r="M597" t="n">
        <v>0</v>
      </c>
      <c r="N597" t="n">
        <v>0</v>
      </c>
      <c r="O597" t="n">
        <v>0</v>
      </c>
      <c r="P597" t="n">
        <v>0</v>
      </c>
      <c r="Q597" t="n">
        <v>0</v>
      </c>
      <c r="R597" s="2" t="inlineStr"/>
    </row>
    <row r="598" ht="15" customHeight="1">
      <c r="A598" t="inlineStr">
        <is>
          <t>A 3277-2022</t>
        </is>
      </c>
      <c r="B598" s="1" t="n">
        <v>44584</v>
      </c>
      <c r="C598" s="1" t="n">
        <v>45830</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3395-2022</t>
        </is>
      </c>
      <c r="B599" s="1" t="n">
        <v>44585</v>
      </c>
      <c r="C599" s="1" t="n">
        <v>45830</v>
      </c>
      <c r="D599" t="inlineStr">
        <is>
          <t>SKÅNE LÄN</t>
        </is>
      </c>
      <c r="E599" t="inlineStr">
        <is>
          <t>HÄSSLEHOLM</t>
        </is>
      </c>
      <c r="G599" t="n">
        <v>1.2</v>
      </c>
      <c r="H599" t="n">
        <v>0</v>
      </c>
      <c r="I599" t="n">
        <v>0</v>
      </c>
      <c r="J599" t="n">
        <v>0</v>
      </c>
      <c r="K599" t="n">
        <v>0</v>
      </c>
      <c r="L599" t="n">
        <v>0</v>
      </c>
      <c r="M599" t="n">
        <v>0</v>
      </c>
      <c r="N599" t="n">
        <v>0</v>
      </c>
      <c r="O599" t="n">
        <v>0</v>
      </c>
      <c r="P599" t="n">
        <v>0</v>
      </c>
      <c r="Q599" t="n">
        <v>0</v>
      </c>
      <c r="R599" s="2" t="inlineStr"/>
    </row>
    <row r="600" ht="15" customHeight="1">
      <c r="A600" t="inlineStr">
        <is>
          <t>A 3855-2022</t>
        </is>
      </c>
      <c r="B600" s="1" t="n">
        <v>44587</v>
      </c>
      <c r="C600" s="1" t="n">
        <v>45830</v>
      </c>
      <c r="D600" t="inlineStr">
        <is>
          <t>SKÅNE LÄN</t>
        </is>
      </c>
      <c r="E600" t="inlineStr">
        <is>
          <t>HÄSSLEHOLM</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3952-2022</t>
        </is>
      </c>
      <c r="B601" s="1" t="n">
        <v>44587</v>
      </c>
      <c r="C601" s="1" t="n">
        <v>45830</v>
      </c>
      <c r="D601" t="inlineStr">
        <is>
          <t>SKÅNE LÄN</t>
        </is>
      </c>
      <c r="E601" t="inlineStr">
        <is>
          <t>HÄSSLEHOLM</t>
        </is>
      </c>
      <c r="G601" t="n">
        <v>4.2</v>
      </c>
      <c r="H601" t="n">
        <v>0</v>
      </c>
      <c r="I601" t="n">
        <v>0</v>
      </c>
      <c r="J601" t="n">
        <v>0</v>
      </c>
      <c r="K601" t="n">
        <v>0</v>
      </c>
      <c r="L601" t="n">
        <v>0</v>
      </c>
      <c r="M601" t="n">
        <v>0</v>
      </c>
      <c r="N601" t="n">
        <v>0</v>
      </c>
      <c r="O601" t="n">
        <v>0</v>
      </c>
      <c r="P601" t="n">
        <v>0</v>
      </c>
      <c r="Q601" t="n">
        <v>0</v>
      </c>
      <c r="R601" s="2" t="inlineStr"/>
    </row>
    <row r="602" ht="15" customHeight="1">
      <c r="A602" t="inlineStr">
        <is>
          <t>A 3992-2022</t>
        </is>
      </c>
      <c r="B602" s="1" t="n">
        <v>44587</v>
      </c>
      <c r="C602" s="1" t="n">
        <v>45830</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4156-2022</t>
        </is>
      </c>
      <c r="B603" s="1" t="n">
        <v>44588</v>
      </c>
      <c r="C603" s="1" t="n">
        <v>45830</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4161-2022</t>
        </is>
      </c>
      <c r="B604" s="1" t="n">
        <v>44588</v>
      </c>
      <c r="C604" s="1" t="n">
        <v>45830</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4719-2022</t>
        </is>
      </c>
      <c r="B605" s="1" t="n">
        <v>44592</v>
      </c>
      <c r="C605" s="1" t="n">
        <v>45830</v>
      </c>
      <c r="D605" t="inlineStr">
        <is>
          <t>SKÅNE LÄN</t>
        </is>
      </c>
      <c r="E605" t="inlineStr">
        <is>
          <t>HÄSSLEHOLM</t>
        </is>
      </c>
      <c r="F605" t="inlineStr">
        <is>
          <t>Kyrkan</t>
        </is>
      </c>
      <c r="G605" t="n">
        <v>1.6</v>
      </c>
      <c r="H605" t="n">
        <v>0</v>
      </c>
      <c r="I605" t="n">
        <v>0</v>
      </c>
      <c r="J605" t="n">
        <v>0</v>
      </c>
      <c r="K605" t="n">
        <v>0</v>
      </c>
      <c r="L605" t="n">
        <v>0</v>
      </c>
      <c r="M605" t="n">
        <v>0</v>
      </c>
      <c r="N605" t="n">
        <v>0</v>
      </c>
      <c r="O605" t="n">
        <v>0</v>
      </c>
      <c r="P605" t="n">
        <v>0</v>
      </c>
      <c r="Q605" t="n">
        <v>0</v>
      </c>
      <c r="R605" s="2" t="inlineStr"/>
    </row>
    <row r="606" ht="15" customHeight="1">
      <c r="A606" t="inlineStr">
        <is>
          <t>A 4945-2022</t>
        </is>
      </c>
      <c r="B606" s="1" t="n">
        <v>44593</v>
      </c>
      <c r="C606" s="1" t="n">
        <v>45830</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5054-2022</t>
        </is>
      </c>
      <c r="B607" s="1" t="n">
        <v>44593</v>
      </c>
      <c r="C607" s="1" t="n">
        <v>45830</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5091-2022</t>
        </is>
      </c>
      <c r="B608" s="1" t="n">
        <v>44593</v>
      </c>
      <c r="C608" s="1" t="n">
        <v>45830</v>
      </c>
      <c r="D608" t="inlineStr">
        <is>
          <t>SKÅNE LÄN</t>
        </is>
      </c>
      <c r="E608" t="inlineStr">
        <is>
          <t>HÄSSLEHOLM</t>
        </is>
      </c>
      <c r="G608" t="n">
        <v>2.5</v>
      </c>
      <c r="H608" t="n">
        <v>0</v>
      </c>
      <c r="I608" t="n">
        <v>0</v>
      </c>
      <c r="J608" t="n">
        <v>0</v>
      </c>
      <c r="K608" t="n">
        <v>0</v>
      </c>
      <c r="L608" t="n">
        <v>0</v>
      </c>
      <c r="M608" t="n">
        <v>0</v>
      </c>
      <c r="N608" t="n">
        <v>0</v>
      </c>
      <c r="O608" t="n">
        <v>0</v>
      </c>
      <c r="P608" t="n">
        <v>0</v>
      </c>
      <c r="Q608" t="n">
        <v>0</v>
      </c>
      <c r="R608" s="2" t="inlineStr"/>
    </row>
    <row r="609" ht="15" customHeight="1">
      <c r="A609" t="inlineStr">
        <is>
          <t>A 5090-2022</t>
        </is>
      </c>
      <c r="B609" s="1" t="n">
        <v>44593</v>
      </c>
      <c r="C609" s="1" t="n">
        <v>45830</v>
      </c>
      <c r="D609" t="inlineStr">
        <is>
          <t>SKÅNE LÄN</t>
        </is>
      </c>
      <c r="E609" t="inlineStr">
        <is>
          <t>HÄSSLEHOLM</t>
        </is>
      </c>
      <c r="G609" t="n">
        <v>2.4</v>
      </c>
      <c r="H609" t="n">
        <v>0</v>
      </c>
      <c r="I609" t="n">
        <v>0</v>
      </c>
      <c r="J609" t="n">
        <v>0</v>
      </c>
      <c r="K609" t="n">
        <v>0</v>
      </c>
      <c r="L609" t="n">
        <v>0</v>
      </c>
      <c r="M609" t="n">
        <v>0</v>
      </c>
      <c r="N609" t="n">
        <v>0</v>
      </c>
      <c r="O609" t="n">
        <v>0</v>
      </c>
      <c r="P609" t="n">
        <v>0</v>
      </c>
      <c r="Q609" t="n">
        <v>0</v>
      </c>
      <c r="R609" s="2" t="inlineStr"/>
    </row>
    <row r="610" ht="15" customHeight="1">
      <c r="A610" t="inlineStr">
        <is>
          <t>A 5334-2022</t>
        </is>
      </c>
      <c r="B610" s="1" t="n">
        <v>44594</v>
      </c>
      <c r="C610" s="1" t="n">
        <v>45830</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5564-2022</t>
        </is>
      </c>
      <c r="B611" s="1" t="n">
        <v>44595</v>
      </c>
      <c r="C611" s="1" t="n">
        <v>45830</v>
      </c>
      <c r="D611" t="inlineStr">
        <is>
          <t>SKÅNE LÄN</t>
        </is>
      </c>
      <c r="E611" t="inlineStr">
        <is>
          <t>HÄSSLEHOLM</t>
        </is>
      </c>
      <c r="G611" t="n">
        <v>0.3</v>
      </c>
      <c r="H611" t="n">
        <v>0</v>
      </c>
      <c r="I611" t="n">
        <v>0</v>
      </c>
      <c r="J611" t="n">
        <v>0</v>
      </c>
      <c r="K611" t="n">
        <v>0</v>
      </c>
      <c r="L611" t="n">
        <v>0</v>
      </c>
      <c r="M611" t="n">
        <v>0</v>
      </c>
      <c r="N611" t="n">
        <v>0</v>
      </c>
      <c r="O611" t="n">
        <v>0</v>
      </c>
      <c r="P611" t="n">
        <v>0</v>
      </c>
      <c r="Q611" t="n">
        <v>0</v>
      </c>
      <c r="R611" s="2" t="inlineStr"/>
    </row>
    <row r="612" ht="15" customHeight="1">
      <c r="A612" t="inlineStr">
        <is>
          <t>A 6048-2022</t>
        </is>
      </c>
      <c r="B612" s="1" t="n">
        <v>44599</v>
      </c>
      <c r="C612" s="1" t="n">
        <v>45830</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6101-2022</t>
        </is>
      </c>
      <c r="B613" s="1" t="n">
        <v>44599</v>
      </c>
      <c r="C613" s="1" t="n">
        <v>45830</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5992-2022</t>
        </is>
      </c>
      <c r="B614" s="1" t="n">
        <v>44599</v>
      </c>
      <c r="C614" s="1" t="n">
        <v>45830</v>
      </c>
      <c r="D614" t="inlineStr">
        <is>
          <t>SKÅNE LÄN</t>
        </is>
      </c>
      <c r="E614" t="inlineStr">
        <is>
          <t>HÄSSLEHOLM</t>
        </is>
      </c>
      <c r="G614" t="n">
        <v>1</v>
      </c>
      <c r="H614" t="n">
        <v>0</v>
      </c>
      <c r="I614" t="n">
        <v>0</v>
      </c>
      <c r="J614" t="n">
        <v>0</v>
      </c>
      <c r="K614" t="n">
        <v>0</v>
      </c>
      <c r="L614" t="n">
        <v>0</v>
      </c>
      <c r="M614" t="n">
        <v>0</v>
      </c>
      <c r="N614" t="n">
        <v>0</v>
      </c>
      <c r="O614" t="n">
        <v>0</v>
      </c>
      <c r="P614" t="n">
        <v>0</v>
      </c>
      <c r="Q614" t="n">
        <v>0</v>
      </c>
      <c r="R614" s="2" t="inlineStr"/>
    </row>
    <row r="615" ht="15" customHeight="1">
      <c r="A615" t="inlineStr">
        <is>
          <t>A 6253-2022</t>
        </is>
      </c>
      <c r="B615" s="1" t="n">
        <v>44600</v>
      </c>
      <c r="C615" s="1" t="n">
        <v>45830</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6414-2022</t>
        </is>
      </c>
      <c r="B616" s="1" t="n">
        <v>44600</v>
      </c>
      <c r="C616" s="1" t="n">
        <v>45830</v>
      </c>
      <c r="D616" t="inlineStr">
        <is>
          <t>SKÅNE LÄN</t>
        </is>
      </c>
      <c r="E616" t="inlineStr">
        <is>
          <t>HÄSSLEHOLM</t>
        </is>
      </c>
      <c r="G616" t="n">
        <v>2.9</v>
      </c>
      <c r="H616" t="n">
        <v>0</v>
      </c>
      <c r="I616" t="n">
        <v>0</v>
      </c>
      <c r="J616" t="n">
        <v>0</v>
      </c>
      <c r="K616" t="n">
        <v>0</v>
      </c>
      <c r="L616" t="n">
        <v>0</v>
      </c>
      <c r="M616" t="n">
        <v>0</v>
      </c>
      <c r="N616" t="n">
        <v>0</v>
      </c>
      <c r="O616" t="n">
        <v>0</v>
      </c>
      <c r="P616" t="n">
        <v>0</v>
      </c>
      <c r="Q616" t="n">
        <v>0</v>
      </c>
      <c r="R616" s="2" t="inlineStr"/>
    </row>
    <row r="617" ht="15" customHeight="1">
      <c r="A617" t="inlineStr">
        <is>
          <t>A 7202-2022</t>
        </is>
      </c>
      <c r="B617" s="1" t="n">
        <v>44606</v>
      </c>
      <c r="C617" s="1" t="n">
        <v>45830</v>
      </c>
      <c r="D617" t="inlineStr">
        <is>
          <t>SKÅNE LÄN</t>
        </is>
      </c>
      <c r="E617" t="inlineStr">
        <is>
          <t>HÄSSLEHOLM</t>
        </is>
      </c>
      <c r="G617" t="n">
        <v>4.7</v>
      </c>
      <c r="H617" t="n">
        <v>0</v>
      </c>
      <c r="I617" t="n">
        <v>0</v>
      </c>
      <c r="J617" t="n">
        <v>0</v>
      </c>
      <c r="K617" t="n">
        <v>0</v>
      </c>
      <c r="L617" t="n">
        <v>0</v>
      </c>
      <c r="M617" t="n">
        <v>0</v>
      </c>
      <c r="N617" t="n">
        <v>0</v>
      </c>
      <c r="O617" t="n">
        <v>0</v>
      </c>
      <c r="P617" t="n">
        <v>0</v>
      </c>
      <c r="Q617" t="n">
        <v>0</v>
      </c>
      <c r="R617" s="2" t="inlineStr"/>
    </row>
    <row r="618" ht="15" customHeight="1">
      <c r="A618" t="inlineStr">
        <is>
          <t>A 7250-2022</t>
        </is>
      </c>
      <c r="B618" s="1" t="n">
        <v>44606</v>
      </c>
      <c r="C618" s="1" t="n">
        <v>45830</v>
      </c>
      <c r="D618" t="inlineStr">
        <is>
          <t>SKÅNE LÄN</t>
        </is>
      </c>
      <c r="E618" t="inlineStr">
        <is>
          <t>HÄSSLEHOLM</t>
        </is>
      </c>
      <c r="F618" t="inlineStr">
        <is>
          <t>Övriga Aktiebolag</t>
        </is>
      </c>
      <c r="G618" t="n">
        <v>2.6</v>
      </c>
      <c r="H618" t="n">
        <v>0</v>
      </c>
      <c r="I618" t="n">
        <v>0</v>
      </c>
      <c r="J618" t="n">
        <v>0</v>
      </c>
      <c r="K618" t="n">
        <v>0</v>
      </c>
      <c r="L618" t="n">
        <v>0</v>
      </c>
      <c r="M618" t="n">
        <v>0</v>
      </c>
      <c r="N618" t="n">
        <v>0</v>
      </c>
      <c r="O618" t="n">
        <v>0</v>
      </c>
      <c r="P618" t="n">
        <v>0</v>
      </c>
      <c r="Q618" t="n">
        <v>0</v>
      </c>
      <c r="R618" s="2" t="inlineStr"/>
    </row>
    <row r="619" ht="15" customHeight="1">
      <c r="A619" t="inlineStr">
        <is>
          <t>A 7262-2022</t>
        </is>
      </c>
      <c r="B619" s="1" t="n">
        <v>44606</v>
      </c>
      <c r="C619" s="1" t="n">
        <v>45830</v>
      </c>
      <c r="D619" t="inlineStr">
        <is>
          <t>SKÅNE LÄN</t>
        </is>
      </c>
      <c r="E619" t="inlineStr">
        <is>
          <t>HÄSSLEHOLM</t>
        </is>
      </c>
      <c r="F619" t="inlineStr">
        <is>
          <t>Övriga Aktiebolag</t>
        </is>
      </c>
      <c r="G619" t="n">
        <v>1</v>
      </c>
      <c r="H619" t="n">
        <v>0</v>
      </c>
      <c r="I619" t="n">
        <v>0</v>
      </c>
      <c r="J619" t="n">
        <v>0</v>
      </c>
      <c r="K619" t="n">
        <v>0</v>
      </c>
      <c r="L619" t="n">
        <v>0</v>
      </c>
      <c r="M619" t="n">
        <v>0</v>
      </c>
      <c r="N619" t="n">
        <v>0</v>
      </c>
      <c r="O619" t="n">
        <v>0</v>
      </c>
      <c r="P619" t="n">
        <v>0</v>
      </c>
      <c r="Q619" t="n">
        <v>0</v>
      </c>
      <c r="R619" s="2" t="inlineStr"/>
    </row>
    <row r="620" ht="15" customHeight="1">
      <c r="A620" t="inlineStr">
        <is>
          <t>A 7249-2022</t>
        </is>
      </c>
      <c r="B620" s="1" t="n">
        <v>44606</v>
      </c>
      <c r="C620" s="1" t="n">
        <v>45830</v>
      </c>
      <c r="D620" t="inlineStr">
        <is>
          <t>SKÅNE LÄN</t>
        </is>
      </c>
      <c r="E620" t="inlineStr">
        <is>
          <t>HÄSSLEHOLM</t>
        </is>
      </c>
      <c r="F620" t="inlineStr">
        <is>
          <t>Övriga Aktiebolag</t>
        </is>
      </c>
      <c r="G620" t="n">
        <v>0.6</v>
      </c>
      <c r="H620" t="n">
        <v>0</v>
      </c>
      <c r="I620" t="n">
        <v>0</v>
      </c>
      <c r="J620" t="n">
        <v>0</v>
      </c>
      <c r="K620" t="n">
        <v>0</v>
      </c>
      <c r="L620" t="n">
        <v>0</v>
      </c>
      <c r="M620" t="n">
        <v>0</v>
      </c>
      <c r="N620" t="n">
        <v>0</v>
      </c>
      <c r="O620" t="n">
        <v>0</v>
      </c>
      <c r="P620" t="n">
        <v>0</v>
      </c>
      <c r="Q620" t="n">
        <v>0</v>
      </c>
      <c r="R620" s="2" t="inlineStr"/>
    </row>
    <row r="621" ht="15" customHeight="1">
      <c r="A621" t="inlineStr">
        <is>
          <t>A 7861-2022</t>
        </is>
      </c>
      <c r="B621" s="1" t="n">
        <v>44607</v>
      </c>
      <c r="C621" s="1" t="n">
        <v>45830</v>
      </c>
      <c r="D621" t="inlineStr">
        <is>
          <t>SKÅNE LÄN</t>
        </is>
      </c>
      <c r="E621" t="inlineStr">
        <is>
          <t>HÄSSLEHOLM</t>
        </is>
      </c>
      <c r="F621" t="inlineStr">
        <is>
          <t>Kyrkan</t>
        </is>
      </c>
      <c r="G621" t="n">
        <v>4.3</v>
      </c>
      <c r="H621" t="n">
        <v>0</v>
      </c>
      <c r="I621" t="n">
        <v>0</v>
      </c>
      <c r="J621" t="n">
        <v>0</v>
      </c>
      <c r="K621" t="n">
        <v>0</v>
      </c>
      <c r="L621" t="n">
        <v>0</v>
      </c>
      <c r="M621" t="n">
        <v>0</v>
      </c>
      <c r="N621" t="n">
        <v>0</v>
      </c>
      <c r="O621" t="n">
        <v>0</v>
      </c>
      <c r="P621" t="n">
        <v>0</v>
      </c>
      <c r="Q621" t="n">
        <v>0</v>
      </c>
      <c r="R621" s="2" t="inlineStr"/>
    </row>
    <row r="622" ht="15" customHeight="1">
      <c r="A622" t="inlineStr">
        <is>
          <t>A 7904-2022</t>
        </is>
      </c>
      <c r="B622" s="1" t="n">
        <v>44607</v>
      </c>
      <c r="C622" s="1" t="n">
        <v>45830</v>
      </c>
      <c r="D622" t="inlineStr">
        <is>
          <t>SKÅNE LÄN</t>
        </is>
      </c>
      <c r="E622" t="inlineStr">
        <is>
          <t>HÄSSLEHOLM</t>
        </is>
      </c>
      <c r="F622" t="inlineStr">
        <is>
          <t>Kyrkan</t>
        </is>
      </c>
      <c r="G622" t="n">
        <v>3.9</v>
      </c>
      <c r="H622" t="n">
        <v>0</v>
      </c>
      <c r="I622" t="n">
        <v>0</v>
      </c>
      <c r="J622" t="n">
        <v>0</v>
      </c>
      <c r="K622" t="n">
        <v>0</v>
      </c>
      <c r="L622" t="n">
        <v>0</v>
      </c>
      <c r="M622" t="n">
        <v>0</v>
      </c>
      <c r="N622" t="n">
        <v>0</v>
      </c>
      <c r="O622" t="n">
        <v>0</v>
      </c>
      <c r="P622" t="n">
        <v>0</v>
      </c>
      <c r="Q622" t="n">
        <v>0</v>
      </c>
      <c r="R622" s="2" t="inlineStr"/>
    </row>
    <row r="623" ht="15" customHeight="1">
      <c r="A623" t="inlineStr">
        <is>
          <t>A 7857-2022</t>
        </is>
      </c>
      <c r="B623" s="1" t="n">
        <v>44607</v>
      </c>
      <c r="C623" s="1" t="n">
        <v>45830</v>
      </c>
      <c r="D623" t="inlineStr">
        <is>
          <t>SKÅNE LÄN</t>
        </is>
      </c>
      <c r="E623" t="inlineStr">
        <is>
          <t>HÄSSLEHOLM</t>
        </is>
      </c>
      <c r="F623" t="inlineStr">
        <is>
          <t>Kyrkan</t>
        </is>
      </c>
      <c r="G623" t="n">
        <v>12.2</v>
      </c>
      <c r="H623" t="n">
        <v>0</v>
      </c>
      <c r="I623" t="n">
        <v>0</v>
      </c>
      <c r="J623" t="n">
        <v>0</v>
      </c>
      <c r="K623" t="n">
        <v>0</v>
      </c>
      <c r="L623" t="n">
        <v>0</v>
      </c>
      <c r="M623" t="n">
        <v>0</v>
      </c>
      <c r="N623" t="n">
        <v>0</v>
      </c>
      <c r="O623" t="n">
        <v>0</v>
      </c>
      <c r="P623" t="n">
        <v>0</v>
      </c>
      <c r="Q623" t="n">
        <v>0</v>
      </c>
      <c r="R623" s="2" t="inlineStr"/>
    </row>
    <row r="624" ht="15" customHeight="1">
      <c r="A624" t="inlineStr">
        <is>
          <t>A 8177-2022</t>
        </is>
      </c>
      <c r="B624" s="1" t="n">
        <v>44607</v>
      </c>
      <c r="C624" s="1" t="n">
        <v>45830</v>
      </c>
      <c r="D624" t="inlineStr">
        <is>
          <t>SKÅNE LÄN</t>
        </is>
      </c>
      <c r="E624" t="inlineStr">
        <is>
          <t>HÄSSLEHOLM</t>
        </is>
      </c>
      <c r="F624" t="inlineStr">
        <is>
          <t>Kyrkan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7820-2022</t>
        </is>
      </c>
      <c r="B625" s="1" t="n">
        <v>44608</v>
      </c>
      <c r="C625" s="1" t="n">
        <v>45830</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8204-2022</t>
        </is>
      </c>
      <c r="B626" s="1" t="n">
        <v>44609</v>
      </c>
      <c r="C626" s="1" t="n">
        <v>45830</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8280-2022</t>
        </is>
      </c>
      <c r="B627" s="1" t="n">
        <v>44610</v>
      </c>
      <c r="C627" s="1" t="n">
        <v>45830</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9098-2022</t>
        </is>
      </c>
      <c r="B628" s="1" t="n">
        <v>44615</v>
      </c>
      <c r="C628" s="1" t="n">
        <v>45830</v>
      </c>
      <c r="D628" t="inlineStr">
        <is>
          <t>SKÅNE LÄN</t>
        </is>
      </c>
      <c r="E628" t="inlineStr">
        <is>
          <t>HÄSSLEHOLM</t>
        </is>
      </c>
      <c r="G628" t="n">
        <v>2.1</v>
      </c>
      <c r="H628" t="n">
        <v>0</v>
      </c>
      <c r="I628" t="n">
        <v>0</v>
      </c>
      <c r="J628" t="n">
        <v>0</v>
      </c>
      <c r="K628" t="n">
        <v>0</v>
      </c>
      <c r="L628" t="n">
        <v>0</v>
      </c>
      <c r="M628" t="n">
        <v>0</v>
      </c>
      <c r="N628" t="n">
        <v>0</v>
      </c>
      <c r="O628" t="n">
        <v>0</v>
      </c>
      <c r="P628" t="n">
        <v>0</v>
      </c>
      <c r="Q628" t="n">
        <v>0</v>
      </c>
      <c r="R628" s="2" t="inlineStr"/>
    </row>
    <row r="629" ht="15" customHeight="1">
      <c r="A629" t="inlineStr">
        <is>
          <t>A 9292-2022</t>
        </is>
      </c>
      <c r="B629" s="1" t="n">
        <v>44616</v>
      </c>
      <c r="C629" s="1" t="n">
        <v>45830</v>
      </c>
      <c r="D629" t="inlineStr">
        <is>
          <t>SKÅNE LÄN</t>
        </is>
      </c>
      <c r="E629" t="inlineStr">
        <is>
          <t>HÄSSLEHOLM</t>
        </is>
      </c>
      <c r="G629" t="n">
        <v>1.6</v>
      </c>
      <c r="H629" t="n">
        <v>0</v>
      </c>
      <c r="I629" t="n">
        <v>0</v>
      </c>
      <c r="J629" t="n">
        <v>0</v>
      </c>
      <c r="K629" t="n">
        <v>0</v>
      </c>
      <c r="L629" t="n">
        <v>0</v>
      </c>
      <c r="M629" t="n">
        <v>0</v>
      </c>
      <c r="N629" t="n">
        <v>0</v>
      </c>
      <c r="O629" t="n">
        <v>0</v>
      </c>
      <c r="P629" t="n">
        <v>0</v>
      </c>
      <c r="Q629" t="n">
        <v>0</v>
      </c>
      <c r="R629" s="2" t="inlineStr"/>
    </row>
    <row r="630" ht="15" customHeight="1">
      <c r="A630" t="inlineStr">
        <is>
          <t>A 10968-2022</t>
        </is>
      </c>
      <c r="B630" s="1" t="n">
        <v>44628</v>
      </c>
      <c r="C630" s="1" t="n">
        <v>45830</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11798-2022</t>
        </is>
      </c>
      <c r="B631" s="1" t="n">
        <v>44634</v>
      </c>
      <c r="C631" s="1" t="n">
        <v>45830</v>
      </c>
      <c r="D631" t="inlineStr">
        <is>
          <t>SKÅNE LÄN</t>
        </is>
      </c>
      <c r="E631" t="inlineStr">
        <is>
          <t>HÄSSLEHOLM</t>
        </is>
      </c>
      <c r="G631" t="n">
        <v>2.8</v>
      </c>
      <c r="H631" t="n">
        <v>0</v>
      </c>
      <c r="I631" t="n">
        <v>0</v>
      </c>
      <c r="J631" t="n">
        <v>0</v>
      </c>
      <c r="K631" t="n">
        <v>0</v>
      </c>
      <c r="L631" t="n">
        <v>0</v>
      </c>
      <c r="M631" t="n">
        <v>0</v>
      </c>
      <c r="N631" t="n">
        <v>0</v>
      </c>
      <c r="O631" t="n">
        <v>0</v>
      </c>
      <c r="P631" t="n">
        <v>0</v>
      </c>
      <c r="Q631" t="n">
        <v>0</v>
      </c>
      <c r="R631" s="2" t="inlineStr"/>
    </row>
    <row r="632" ht="15" customHeight="1">
      <c r="A632" t="inlineStr">
        <is>
          <t>A 12036-2022</t>
        </is>
      </c>
      <c r="B632" s="1" t="n">
        <v>44636</v>
      </c>
      <c r="C632" s="1" t="n">
        <v>45830</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12507-2022</t>
        </is>
      </c>
      <c r="B633" s="1" t="n">
        <v>44638</v>
      </c>
      <c r="C633" s="1" t="n">
        <v>45830</v>
      </c>
      <c r="D633" t="inlineStr">
        <is>
          <t>SKÅNE LÄN</t>
        </is>
      </c>
      <c r="E633" t="inlineStr">
        <is>
          <t>HÄSSLEHOLM</t>
        </is>
      </c>
      <c r="G633" t="n">
        <v>2.7</v>
      </c>
      <c r="H633" t="n">
        <v>0</v>
      </c>
      <c r="I633" t="n">
        <v>0</v>
      </c>
      <c r="J633" t="n">
        <v>0</v>
      </c>
      <c r="K633" t="n">
        <v>0</v>
      </c>
      <c r="L633" t="n">
        <v>0</v>
      </c>
      <c r="M633" t="n">
        <v>0</v>
      </c>
      <c r="N633" t="n">
        <v>0</v>
      </c>
      <c r="O633" t="n">
        <v>0</v>
      </c>
      <c r="P633" t="n">
        <v>0</v>
      </c>
      <c r="Q633" t="n">
        <v>0</v>
      </c>
      <c r="R633" s="2" t="inlineStr"/>
    </row>
    <row r="634" ht="15" customHeight="1">
      <c r="A634" t="inlineStr">
        <is>
          <t>A 12503-2022</t>
        </is>
      </c>
      <c r="B634" s="1" t="n">
        <v>44638</v>
      </c>
      <c r="C634" s="1" t="n">
        <v>45830</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13410-2022</t>
        </is>
      </c>
      <c r="B635" s="1" t="n">
        <v>44645</v>
      </c>
      <c r="C635" s="1" t="n">
        <v>45830</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13990-2022</t>
        </is>
      </c>
      <c r="B636" s="1" t="n">
        <v>44650</v>
      </c>
      <c r="C636" s="1" t="n">
        <v>45830</v>
      </c>
      <c r="D636" t="inlineStr">
        <is>
          <t>SKÅNE LÄN</t>
        </is>
      </c>
      <c r="E636" t="inlineStr">
        <is>
          <t>HÄSSLEHOLM</t>
        </is>
      </c>
      <c r="G636" t="n">
        <v>3.6</v>
      </c>
      <c r="H636" t="n">
        <v>0</v>
      </c>
      <c r="I636" t="n">
        <v>0</v>
      </c>
      <c r="J636" t="n">
        <v>0</v>
      </c>
      <c r="K636" t="n">
        <v>0</v>
      </c>
      <c r="L636" t="n">
        <v>0</v>
      </c>
      <c r="M636" t="n">
        <v>0</v>
      </c>
      <c r="N636" t="n">
        <v>0</v>
      </c>
      <c r="O636" t="n">
        <v>0</v>
      </c>
      <c r="P636" t="n">
        <v>0</v>
      </c>
      <c r="Q636" t="n">
        <v>0</v>
      </c>
      <c r="R636" s="2" t="inlineStr"/>
    </row>
    <row r="637" ht="15" customHeight="1">
      <c r="A637" t="inlineStr">
        <is>
          <t>A 14402-2022</t>
        </is>
      </c>
      <c r="B637" s="1" t="n">
        <v>44652</v>
      </c>
      <c r="C637" s="1" t="n">
        <v>45830</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15118-2022</t>
        </is>
      </c>
      <c r="B638" s="1" t="n">
        <v>44659</v>
      </c>
      <c r="C638" s="1" t="n">
        <v>45830</v>
      </c>
      <c r="D638" t="inlineStr">
        <is>
          <t>SKÅNE LÄN</t>
        </is>
      </c>
      <c r="E638" t="inlineStr">
        <is>
          <t>HÄSSLEHOLM</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15417-2022</t>
        </is>
      </c>
      <c r="B639" s="1" t="n">
        <v>44659</v>
      </c>
      <c r="C639" s="1" t="n">
        <v>45830</v>
      </c>
      <c r="D639" t="inlineStr">
        <is>
          <t>SKÅNE LÄN</t>
        </is>
      </c>
      <c r="E639" t="inlineStr">
        <is>
          <t>HÄSSLEHOLM</t>
        </is>
      </c>
      <c r="F639" t="inlineStr">
        <is>
          <t>Kyrkan</t>
        </is>
      </c>
      <c r="G639" t="n">
        <v>2.9</v>
      </c>
      <c r="H639" t="n">
        <v>0</v>
      </c>
      <c r="I639" t="n">
        <v>0</v>
      </c>
      <c r="J639" t="n">
        <v>0</v>
      </c>
      <c r="K639" t="n">
        <v>0</v>
      </c>
      <c r="L639" t="n">
        <v>0</v>
      </c>
      <c r="M639" t="n">
        <v>0</v>
      </c>
      <c r="N639" t="n">
        <v>0</v>
      </c>
      <c r="O639" t="n">
        <v>0</v>
      </c>
      <c r="P639" t="n">
        <v>0</v>
      </c>
      <c r="Q639" t="n">
        <v>0</v>
      </c>
      <c r="R639" s="2" t="inlineStr"/>
    </row>
    <row r="640" ht="15" customHeight="1">
      <c r="A640" t="inlineStr">
        <is>
          <t>A 15423-2022</t>
        </is>
      </c>
      <c r="B640" s="1" t="n">
        <v>44659</v>
      </c>
      <c r="C640" s="1" t="n">
        <v>45830</v>
      </c>
      <c r="D640" t="inlineStr">
        <is>
          <t>SKÅNE LÄN</t>
        </is>
      </c>
      <c r="E640" t="inlineStr">
        <is>
          <t>HÄSSLEHOLM</t>
        </is>
      </c>
      <c r="F640" t="inlineStr">
        <is>
          <t>Kyrkan</t>
        </is>
      </c>
      <c r="G640" t="n">
        <v>0.9</v>
      </c>
      <c r="H640" t="n">
        <v>0</v>
      </c>
      <c r="I640" t="n">
        <v>0</v>
      </c>
      <c r="J640" t="n">
        <v>0</v>
      </c>
      <c r="K640" t="n">
        <v>0</v>
      </c>
      <c r="L640" t="n">
        <v>0</v>
      </c>
      <c r="M640" t="n">
        <v>0</v>
      </c>
      <c r="N640" t="n">
        <v>0</v>
      </c>
      <c r="O640" t="n">
        <v>0</v>
      </c>
      <c r="P640" t="n">
        <v>0</v>
      </c>
      <c r="Q640" t="n">
        <v>0</v>
      </c>
      <c r="R640" s="2" t="inlineStr"/>
    </row>
    <row r="641" ht="15" customHeight="1">
      <c r="A641" t="inlineStr">
        <is>
          <t>A 15703-2022</t>
        </is>
      </c>
      <c r="B641" s="1" t="n">
        <v>44663</v>
      </c>
      <c r="C641" s="1" t="n">
        <v>45830</v>
      </c>
      <c r="D641" t="inlineStr">
        <is>
          <t>SKÅNE LÄN</t>
        </is>
      </c>
      <c r="E641" t="inlineStr">
        <is>
          <t>HÄSSLEHOLM</t>
        </is>
      </c>
      <c r="G641" t="n">
        <v>3</v>
      </c>
      <c r="H641" t="n">
        <v>0</v>
      </c>
      <c r="I641" t="n">
        <v>0</v>
      </c>
      <c r="J641" t="n">
        <v>0</v>
      </c>
      <c r="K641" t="n">
        <v>0</v>
      </c>
      <c r="L641" t="n">
        <v>0</v>
      </c>
      <c r="M641" t="n">
        <v>0</v>
      </c>
      <c r="N641" t="n">
        <v>0</v>
      </c>
      <c r="O641" t="n">
        <v>0</v>
      </c>
      <c r="P641" t="n">
        <v>0</v>
      </c>
      <c r="Q641" t="n">
        <v>0</v>
      </c>
      <c r="R641" s="2" t="inlineStr"/>
    </row>
    <row r="642" ht="15" customHeight="1">
      <c r="A642" t="inlineStr">
        <is>
          <t>A 15986-2022</t>
        </is>
      </c>
      <c r="B642" s="1" t="n">
        <v>44664</v>
      </c>
      <c r="C642" s="1" t="n">
        <v>45830</v>
      </c>
      <c r="D642" t="inlineStr">
        <is>
          <t>SKÅNE LÄN</t>
        </is>
      </c>
      <c r="E642" t="inlineStr">
        <is>
          <t>HÄSSLEHOLM</t>
        </is>
      </c>
      <c r="F642" t="inlineStr">
        <is>
          <t>Kyrkan</t>
        </is>
      </c>
      <c r="G642" t="n">
        <v>6</v>
      </c>
      <c r="H642" t="n">
        <v>0</v>
      </c>
      <c r="I642" t="n">
        <v>0</v>
      </c>
      <c r="J642" t="n">
        <v>0</v>
      </c>
      <c r="K642" t="n">
        <v>0</v>
      </c>
      <c r="L642" t="n">
        <v>0</v>
      </c>
      <c r="M642" t="n">
        <v>0</v>
      </c>
      <c r="N642" t="n">
        <v>0</v>
      </c>
      <c r="O642" t="n">
        <v>0</v>
      </c>
      <c r="P642" t="n">
        <v>0</v>
      </c>
      <c r="Q642" t="n">
        <v>0</v>
      </c>
      <c r="R642" s="2" t="inlineStr"/>
    </row>
    <row r="643" ht="15" customHeight="1">
      <c r="A643" t="inlineStr">
        <is>
          <t>A 16397-2022</t>
        </is>
      </c>
      <c r="B643" s="1" t="n">
        <v>44671</v>
      </c>
      <c r="C643" s="1" t="n">
        <v>45830</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16398-2022</t>
        </is>
      </c>
      <c r="B644" s="1" t="n">
        <v>44671</v>
      </c>
      <c r="C644" s="1" t="n">
        <v>45830</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18178-2022</t>
        </is>
      </c>
      <c r="B645" s="1" t="n">
        <v>44684</v>
      </c>
      <c r="C645" s="1" t="n">
        <v>45830</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20657-2022</t>
        </is>
      </c>
      <c r="B646" s="1" t="n">
        <v>44700</v>
      </c>
      <c r="C646" s="1" t="n">
        <v>45830</v>
      </c>
      <c r="D646" t="inlineStr">
        <is>
          <t>SKÅNE LÄN</t>
        </is>
      </c>
      <c r="E646" t="inlineStr">
        <is>
          <t>HÄSSLEHOLM</t>
        </is>
      </c>
      <c r="G646" t="n">
        <v>3.8</v>
      </c>
      <c r="H646" t="n">
        <v>0</v>
      </c>
      <c r="I646" t="n">
        <v>0</v>
      </c>
      <c r="J646" t="n">
        <v>0</v>
      </c>
      <c r="K646" t="n">
        <v>0</v>
      </c>
      <c r="L646" t="n">
        <v>0</v>
      </c>
      <c r="M646" t="n">
        <v>0</v>
      </c>
      <c r="N646" t="n">
        <v>0</v>
      </c>
      <c r="O646" t="n">
        <v>0</v>
      </c>
      <c r="P646" t="n">
        <v>0</v>
      </c>
      <c r="Q646" t="n">
        <v>0</v>
      </c>
      <c r="R646" s="2" t="inlineStr"/>
    </row>
    <row r="647" ht="15" customHeight="1">
      <c r="A647" t="inlineStr">
        <is>
          <t>A 21356-2022</t>
        </is>
      </c>
      <c r="B647" s="1" t="n">
        <v>44705</v>
      </c>
      <c r="C647" s="1" t="n">
        <v>45830</v>
      </c>
      <c r="D647" t="inlineStr">
        <is>
          <t>SKÅNE LÄN</t>
        </is>
      </c>
      <c r="E647" t="inlineStr">
        <is>
          <t>HÄSSLEHOLM</t>
        </is>
      </c>
      <c r="G647" t="n">
        <v>4.8</v>
      </c>
      <c r="H647" t="n">
        <v>0</v>
      </c>
      <c r="I647" t="n">
        <v>0</v>
      </c>
      <c r="J647" t="n">
        <v>0</v>
      </c>
      <c r="K647" t="n">
        <v>0</v>
      </c>
      <c r="L647" t="n">
        <v>0</v>
      </c>
      <c r="M647" t="n">
        <v>0</v>
      </c>
      <c r="N647" t="n">
        <v>0</v>
      </c>
      <c r="O647" t="n">
        <v>0</v>
      </c>
      <c r="P647" t="n">
        <v>0</v>
      </c>
      <c r="Q647" t="n">
        <v>0</v>
      </c>
      <c r="R647" s="2" t="inlineStr"/>
    </row>
    <row r="648" ht="15" customHeight="1">
      <c r="A648" t="inlineStr">
        <is>
          <t>A 21310-2022</t>
        </is>
      </c>
      <c r="B648" s="1" t="n">
        <v>44705</v>
      </c>
      <c r="C648" s="1" t="n">
        <v>45830</v>
      </c>
      <c r="D648" t="inlineStr">
        <is>
          <t>SKÅNE LÄN</t>
        </is>
      </c>
      <c r="E648" t="inlineStr">
        <is>
          <t>HÄSSLEHOLM</t>
        </is>
      </c>
      <c r="G648" t="n">
        <v>1</v>
      </c>
      <c r="H648" t="n">
        <v>0</v>
      </c>
      <c r="I648" t="n">
        <v>0</v>
      </c>
      <c r="J648" t="n">
        <v>0</v>
      </c>
      <c r="K648" t="n">
        <v>0</v>
      </c>
      <c r="L648" t="n">
        <v>0</v>
      </c>
      <c r="M648" t="n">
        <v>0</v>
      </c>
      <c r="N648" t="n">
        <v>0</v>
      </c>
      <c r="O648" t="n">
        <v>0</v>
      </c>
      <c r="P648" t="n">
        <v>0</v>
      </c>
      <c r="Q648" t="n">
        <v>0</v>
      </c>
      <c r="R648" s="2" t="inlineStr"/>
    </row>
    <row r="649" ht="15" customHeight="1">
      <c r="A649" t="inlineStr">
        <is>
          <t>A 21628-2022</t>
        </is>
      </c>
      <c r="B649" s="1" t="n">
        <v>44706</v>
      </c>
      <c r="C649" s="1" t="n">
        <v>45830</v>
      </c>
      <c r="D649" t="inlineStr">
        <is>
          <t>SKÅNE LÄN</t>
        </is>
      </c>
      <c r="E649" t="inlineStr">
        <is>
          <t>HÄSSLEHOLM</t>
        </is>
      </c>
      <c r="G649" t="n">
        <v>3.1</v>
      </c>
      <c r="H649" t="n">
        <v>0</v>
      </c>
      <c r="I649" t="n">
        <v>0</v>
      </c>
      <c r="J649" t="n">
        <v>0</v>
      </c>
      <c r="K649" t="n">
        <v>0</v>
      </c>
      <c r="L649" t="n">
        <v>0</v>
      </c>
      <c r="M649" t="n">
        <v>0</v>
      </c>
      <c r="N649" t="n">
        <v>0</v>
      </c>
      <c r="O649" t="n">
        <v>0</v>
      </c>
      <c r="P649" t="n">
        <v>0</v>
      </c>
      <c r="Q649" t="n">
        <v>0</v>
      </c>
      <c r="R649" s="2" t="inlineStr"/>
    </row>
    <row r="650" ht="15" customHeight="1">
      <c r="A650" t="inlineStr">
        <is>
          <t>A 22693-2022</t>
        </is>
      </c>
      <c r="B650" s="1" t="n">
        <v>44714</v>
      </c>
      <c r="C650" s="1" t="n">
        <v>45830</v>
      </c>
      <c r="D650" t="inlineStr">
        <is>
          <t>SKÅNE LÄN</t>
        </is>
      </c>
      <c r="E650" t="inlineStr">
        <is>
          <t>HÄSSLEHOLM</t>
        </is>
      </c>
      <c r="G650" t="n">
        <v>2.8</v>
      </c>
      <c r="H650" t="n">
        <v>0</v>
      </c>
      <c r="I650" t="n">
        <v>0</v>
      </c>
      <c r="J650" t="n">
        <v>0</v>
      </c>
      <c r="K650" t="n">
        <v>0</v>
      </c>
      <c r="L650" t="n">
        <v>0</v>
      </c>
      <c r="M650" t="n">
        <v>0</v>
      </c>
      <c r="N650" t="n">
        <v>0</v>
      </c>
      <c r="O650" t="n">
        <v>0</v>
      </c>
      <c r="P650" t="n">
        <v>0</v>
      </c>
      <c r="Q650" t="n">
        <v>0</v>
      </c>
      <c r="R650" s="2" t="inlineStr"/>
    </row>
    <row r="651" ht="15" customHeight="1">
      <c r="A651" t="inlineStr">
        <is>
          <t>A 22690-2022</t>
        </is>
      </c>
      <c r="B651" s="1" t="n">
        <v>44714</v>
      </c>
      <c r="C651" s="1" t="n">
        <v>45830</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23069-2022</t>
        </is>
      </c>
      <c r="B652" s="1" t="n">
        <v>44719</v>
      </c>
      <c r="C652" s="1" t="n">
        <v>45830</v>
      </c>
      <c r="D652" t="inlineStr">
        <is>
          <t>SKÅNE LÄN</t>
        </is>
      </c>
      <c r="E652" t="inlineStr">
        <is>
          <t>HÄSSLEHOLM</t>
        </is>
      </c>
      <c r="G652" t="n">
        <v>3.4</v>
      </c>
      <c r="H652" t="n">
        <v>0</v>
      </c>
      <c r="I652" t="n">
        <v>0</v>
      </c>
      <c r="J652" t="n">
        <v>0</v>
      </c>
      <c r="K652" t="n">
        <v>0</v>
      </c>
      <c r="L652" t="n">
        <v>0</v>
      </c>
      <c r="M652" t="n">
        <v>0</v>
      </c>
      <c r="N652" t="n">
        <v>0</v>
      </c>
      <c r="O652" t="n">
        <v>0</v>
      </c>
      <c r="P652" t="n">
        <v>0</v>
      </c>
      <c r="Q652" t="n">
        <v>0</v>
      </c>
      <c r="R652" s="2" t="inlineStr"/>
    </row>
    <row r="653" ht="15" customHeight="1">
      <c r="A653" t="inlineStr">
        <is>
          <t>A 23172-2022</t>
        </is>
      </c>
      <c r="B653" s="1" t="n">
        <v>44719</v>
      </c>
      <c r="C653" s="1" t="n">
        <v>45830</v>
      </c>
      <c r="D653" t="inlineStr">
        <is>
          <t>SKÅNE LÄN</t>
        </is>
      </c>
      <c r="E653" t="inlineStr">
        <is>
          <t>HÄSSLEHOLM</t>
        </is>
      </c>
      <c r="F653" t="inlineStr">
        <is>
          <t>Övriga Aktiebolag</t>
        </is>
      </c>
      <c r="G653" t="n">
        <v>0.9</v>
      </c>
      <c r="H653" t="n">
        <v>0</v>
      </c>
      <c r="I653" t="n">
        <v>0</v>
      </c>
      <c r="J653" t="n">
        <v>0</v>
      </c>
      <c r="K653" t="n">
        <v>0</v>
      </c>
      <c r="L653" t="n">
        <v>0</v>
      </c>
      <c r="M653" t="n">
        <v>0</v>
      </c>
      <c r="N653" t="n">
        <v>0</v>
      </c>
      <c r="O653" t="n">
        <v>0</v>
      </c>
      <c r="P653" t="n">
        <v>0</v>
      </c>
      <c r="Q653" t="n">
        <v>0</v>
      </c>
      <c r="R653" s="2" t="inlineStr"/>
    </row>
    <row r="654" ht="15" customHeight="1">
      <c r="A654" t="inlineStr">
        <is>
          <t>A 23173-2022</t>
        </is>
      </c>
      <c r="B654" s="1" t="n">
        <v>44719</v>
      </c>
      <c r="C654" s="1" t="n">
        <v>45830</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23967-2022</t>
        </is>
      </c>
      <c r="B655" s="1" t="n">
        <v>44722</v>
      </c>
      <c r="C655" s="1" t="n">
        <v>45830</v>
      </c>
      <c r="D655" t="inlineStr">
        <is>
          <t>SKÅNE LÄN</t>
        </is>
      </c>
      <c r="E655" t="inlineStr">
        <is>
          <t>HÄSSLEHOLM</t>
        </is>
      </c>
      <c r="F655" t="inlineStr">
        <is>
          <t>Kyrkan</t>
        </is>
      </c>
      <c r="G655" t="n">
        <v>12.4</v>
      </c>
      <c r="H655" t="n">
        <v>0</v>
      </c>
      <c r="I655" t="n">
        <v>0</v>
      </c>
      <c r="J655" t="n">
        <v>0</v>
      </c>
      <c r="K655" t="n">
        <v>0</v>
      </c>
      <c r="L655" t="n">
        <v>0</v>
      </c>
      <c r="M655" t="n">
        <v>0</v>
      </c>
      <c r="N655" t="n">
        <v>0</v>
      </c>
      <c r="O655" t="n">
        <v>0</v>
      </c>
      <c r="P655" t="n">
        <v>0</v>
      </c>
      <c r="Q655" t="n">
        <v>0</v>
      </c>
      <c r="R655" s="2" t="inlineStr"/>
    </row>
    <row r="656" ht="15" customHeight="1">
      <c r="A656" t="inlineStr">
        <is>
          <t>A 23962-2022</t>
        </is>
      </c>
      <c r="B656" s="1" t="n">
        <v>44722</v>
      </c>
      <c r="C656" s="1" t="n">
        <v>45830</v>
      </c>
      <c r="D656" t="inlineStr">
        <is>
          <t>SKÅNE LÄN</t>
        </is>
      </c>
      <c r="E656" t="inlineStr">
        <is>
          <t>HÄSSLEHOLM</t>
        </is>
      </c>
      <c r="F656" t="inlineStr">
        <is>
          <t>Kyrkan</t>
        </is>
      </c>
      <c r="G656" t="n">
        <v>5.8</v>
      </c>
      <c r="H656" t="n">
        <v>0</v>
      </c>
      <c r="I656" t="n">
        <v>0</v>
      </c>
      <c r="J656" t="n">
        <v>0</v>
      </c>
      <c r="K656" t="n">
        <v>0</v>
      </c>
      <c r="L656" t="n">
        <v>0</v>
      </c>
      <c r="M656" t="n">
        <v>0</v>
      </c>
      <c r="N656" t="n">
        <v>0</v>
      </c>
      <c r="O656" t="n">
        <v>0</v>
      </c>
      <c r="P656" t="n">
        <v>0</v>
      </c>
      <c r="Q656" t="n">
        <v>0</v>
      </c>
      <c r="R656" s="2" t="inlineStr"/>
    </row>
    <row r="657" ht="15" customHeight="1">
      <c r="A657" t="inlineStr">
        <is>
          <t>A 23879-2022</t>
        </is>
      </c>
      <c r="B657" s="1" t="n">
        <v>44722</v>
      </c>
      <c r="C657" s="1" t="n">
        <v>45830</v>
      </c>
      <c r="D657" t="inlineStr">
        <is>
          <t>SKÅNE LÄN</t>
        </is>
      </c>
      <c r="E657" t="inlineStr">
        <is>
          <t>HÄSSLEHOLM</t>
        </is>
      </c>
      <c r="G657" t="n">
        <v>4</v>
      </c>
      <c r="H657" t="n">
        <v>0</v>
      </c>
      <c r="I657" t="n">
        <v>0</v>
      </c>
      <c r="J657" t="n">
        <v>0</v>
      </c>
      <c r="K657" t="n">
        <v>0</v>
      </c>
      <c r="L657" t="n">
        <v>0</v>
      </c>
      <c r="M657" t="n">
        <v>0</v>
      </c>
      <c r="N657" t="n">
        <v>0</v>
      </c>
      <c r="O657" t="n">
        <v>0</v>
      </c>
      <c r="P657" t="n">
        <v>0</v>
      </c>
      <c r="Q657" t="n">
        <v>0</v>
      </c>
      <c r="R657" s="2" t="inlineStr"/>
    </row>
    <row r="658" ht="15" customHeight="1">
      <c r="A658" t="inlineStr">
        <is>
          <t>A 24896-2022</t>
        </is>
      </c>
      <c r="B658" s="1" t="n">
        <v>44728</v>
      </c>
      <c r="C658" s="1" t="n">
        <v>45830</v>
      </c>
      <c r="D658" t="inlineStr">
        <is>
          <t>SKÅNE LÄN</t>
        </is>
      </c>
      <c r="E658" t="inlineStr">
        <is>
          <t>HÄSSLEHOLM</t>
        </is>
      </c>
      <c r="G658" t="n">
        <v>5</v>
      </c>
      <c r="H658" t="n">
        <v>0</v>
      </c>
      <c r="I658" t="n">
        <v>0</v>
      </c>
      <c r="J658" t="n">
        <v>0</v>
      </c>
      <c r="K658" t="n">
        <v>0</v>
      </c>
      <c r="L658" t="n">
        <v>0</v>
      </c>
      <c r="M658" t="n">
        <v>0</v>
      </c>
      <c r="N658" t="n">
        <v>0</v>
      </c>
      <c r="O658" t="n">
        <v>0</v>
      </c>
      <c r="P658" t="n">
        <v>0</v>
      </c>
      <c r="Q658" t="n">
        <v>0</v>
      </c>
      <c r="R658" s="2" t="inlineStr"/>
    </row>
    <row r="659" ht="15" customHeight="1">
      <c r="A659" t="inlineStr">
        <is>
          <t>A 24906-2022</t>
        </is>
      </c>
      <c r="B659" s="1" t="n">
        <v>44728</v>
      </c>
      <c r="C659" s="1" t="n">
        <v>45830</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25046-2022</t>
        </is>
      </c>
      <c r="B660" s="1" t="n">
        <v>44728</v>
      </c>
      <c r="C660" s="1" t="n">
        <v>45830</v>
      </c>
      <c r="D660" t="inlineStr">
        <is>
          <t>SKÅNE LÄN</t>
        </is>
      </c>
      <c r="E660" t="inlineStr">
        <is>
          <t>HÄSSLEHOLM</t>
        </is>
      </c>
      <c r="G660" t="n">
        <v>3.4</v>
      </c>
      <c r="H660" t="n">
        <v>0</v>
      </c>
      <c r="I660" t="n">
        <v>0</v>
      </c>
      <c r="J660" t="n">
        <v>0</v>
      </c>
      <c r="K660" t="n">
        <v>0</v>
      </c>
      <c r="L660" t="n">
        <v>0</v>
      </c>
      <c r="M660" t="n">
        <v>0</v>
      </c>
      <c r="N660" t="n">
        <v>0</v>
      </c>
      <c r="O660" t="n">
        <v>0</v>
      </c>
      <c r="P660" t="n">
        <v>0</v>
      </c>
      <c r="Q660" t="n">
        <v>0</v>
      </c>
      <c r="R660" s="2" t="inlineStr"/>
    </row>
    <row r="661" ht="15" customHeight="1">
      <c r="A661" t="inlineStr">
        <is>
          <t>A 25165-2022</t>
        </is>
      </c>
      <c r="B661" s="1" t="n">
        <v>44729</v>
      </c>
      <c r="C661" s="1" t="n">
        <v>45830</v>
      </c>
      <c r="D661" t="inlineStr">
        <is>
          <t>SKÅNE LÄN</t>
        </is>
      </c>
      <c r="E661" t="inlineStr">
        <is>
          <t>HÄSSLEHOLM</t>
        </is>
      </c>
      <c r="G661" t="n">
        <v>2.7</v>
      </c>
      <c r="H661" t="n">
        <v>0</v>
      </c>
      <c r="I661" t="n">
        <v>0</v>
      </c>
      <c r="J661" t="n">
        <v>0</v>
      </c>
      <c r="K661" t="n">
        <v>0</v>
      </c>
      <c r="L661" t="n">
        <v>0</v>
      </c>
      <c r="M661" t="n">
        <v>0</v>
      </c>
      <c r="N661" t="n">
        <v>0</v>
      </c>
      <c r="O661" t="n">
        <v>0</v>
      </c>
      <c r="P661" t="n">
        <v>0</v>
      </c>
      <c r="Q661" t="n">
        <v>0</v>
      </c>
      <c r="R661" s="2" t="inlineStr"/>
    </row>
    <row r="662" ht="15" customHeight="1">
      <c r="A662" t="inlineStr">
        <is>
          <t>A 25464-2022</t>
        </is>
      </c>
      <c r="B662" s="1" t="n">
        <v>44729</v>
      </c>
      <c r="C662" s="1" t="n">
        <v>45830</v>
      </c>
      <c r="D662" t="inlineStr">
        <is>
          <t>SKÅNE LÄN</t>
        </is>
      </c>
      <c r="E662" t="inlineStr">
        <is>
          <t>HÄSSLEHOLM</t>
        </is>
      </c>
      <c r="G662" t="n">
        <v>21</v>
      </c>
      <c r="H662" t="n">
        <v>0</v>
      </c>
      <c r="I662" t="n">
        <v>0</v>
      </c>
      <c r="J662" t="n">
        <v>0</v>
      </c>
      <c r="K662" t="n">
        <v>0</v>
      </c>
      <c r="L662" t="n">
        <v>0</v>
      </c>
      <c r="M662" t="n">
        <v>0</v>
      </c>
      <c r="N662" t="n">
        <v>0</v>
      </c>
      <c r="O662" t="n">
        <v>0</v>
      </c>
      <c r="P662" t="n">
        <v>0</v>
      </c>
      <c r="Q662" t="n">
        <v>0</v>
      </c>
      <c r="R662" s="2" t="inlineStr"/>
    </row>
    <row r="663" ht="15" customHeight="1">
      <c r="A663" t="inlineStr">
        <is>
          <t>A 25469-2022</t>
        </is>
      </c>
      <c r="B663" s="1" t="n">
        <v>44732</v>
      </c>
      <c r="C663" s="1" t="n">
        <v>45830</v>
      </c>
      <c r="D663" t="inlineStr">
        <is>
          <t>SKÅNE LÄN</t>
        </is>
      </c>
      <c r="E663" t="inlineStr">
        <is>
          <t>HÄSSLEHOLM</t>
        </is>
      </c>
      <c r="G663" t="n">
        <v>4.2</v>
      </c>
      <c r="H663" t="n">
        <v>0</v>
      </c>
      <c r="I663" t="n">
        <v>0</v>
      </c>
      <c r="J663" t="n">
        <v>0</v>
      </c>
      <c r="K663" t="n">
        <v>0</v>
      </c>
      <c r="L663" t="n">
        <v>0</v>
      </c>
      <c r="M663" t="n">
        <v>0</v>
      </c>
      <c r="N663" t="n">
        <v>0</v>
      </c>
      <c r="O663" t="n">
        <v>0</v>
      </c>
      <c r="P663" t="n">
        <v>0</v>
      </c>
      <c r="Q663" t="n">
        <v>0</v>
      </c>
      <c r="R663" s="2" t="inlineStr"/>
    </row>
    <row r="664" ht="15" customHeight="1">
      <c r="A664" t="inlineStr">
        <is>
          <t>A 25955-2022</t>
        </is>
      </c>
      <c r="B664" s="1" t="n">
        <v>44734</v>
      </c>
      <c r="C664" s="1" t="n">
        <v>45830</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26012-2022</t>
        </is>
      </c>
      <c r="B665" s="1" t="n">
        <v>44734</v>
      </c>
      <c r="C665" s="1" t="n">
        <v>45830</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26386-2022</t>
        </is>
      </c>
      <c r="B666" s="1" t="n">
        <v>44735</v>
      </c>
      <c r="C666" s="1" t="n">
        <v>45830</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26387-2022</t>
        </is>
      </c>
      <c r="B667" s="1" t="n">
        <v>44735</v>
      </c>
      <c r="C667" s="1" t="n">
        <v>45830</v>
      </c>
      <c r="D667" t="inlineStr">
        <is>
          <t>SKÅNE LÄN</t>
        </is>
      </c>
      <c r="E667" t="inlineStr">
        <is>
          <t>HÄSSLEHOLM</t>
        </is>
      </c>
      <c r="G667" t="n">
        <v>0.4</v>
      </c>
      <c r="H667" t="n">
        <v>0</v>
      </c>
      <c r="I667" t="n">
        <v>0</v>
      </c>
      <c r="J667" t="n">
        <v>0</v>
      </c>
      <c r="K667" t="n">
        <v>0</v>
      </c>
      <c r="L667" t="n">
        <v>0</v>
      </c>
      <c r="M667" t="n">
        <v>0</v>
      </c>
      <c r="N667" t="n">
        <v>0</v>
      </c>
      <c r="O667" t="n">
        <v>0</v>
      </c>
      <c r="P667" t="n">
        <v>0</v>
      </c>
      <c r="Q667" t="n">
        <v>0</v>
      </c>
      <c r="R667" s="2" t="inlineStr"/>
    </row>
    <row r="668" ht="15" customHeight="1">
      <c r="A668" t="inlineStr">
        <is>
          <t>A 26536-2022</t>
        </is>
      </c>
      <c r="B668" s="1" t="n">
        <v>44739</v>
      </c>
      <c r="C668" s="1" t="n">
        <v>45830</v>
      </c>
      <c r="D668" t="inlineStr">
        <is>
          <t>SKÅNE LÄN</t>
        </is>
      </c>
      <c r="E668" t="inlineStr">
        <is>
          <t>HÄSSLEHOLM</t>
        </is>
      </c>
      <c r="G668" t="n">
        <v>3.1</v>
      </c>
      <c r="H668" t="n">
        <v>0</v>
      </c>
      <c r="I668" t="n">
        <v>0</v>
      </c>
      <c r="J668" t="n">
        <v>0</v>
      </c>
      <c r="K668" t="n">
        <v>0</v>
      </c>
      <c r="L668" t="n">
        <v>0</v>
      </c>
      <c r="M668" t="n">
        <v>0</v>
      </c>
      <c r="N668" t="n">
        <v>0</v>
      </c>
      <c r="O668" t="n">
        <v>0</v>
      </c>
      <c r="P668" t="n">
        <v>0</v>
      </c>
      <c r="Q668" t="n">
        <v>0</v>
      </c>
      <c r="R668" s="2" t="inlineStr"/>
    </row>
    <row r="669" ht="15" customHeight="1">
      <c r="A669" t="inlineStr">
        <is>
          <t>A 27242-2022</t>
        </is>
      </c>
      <c r="B669" s="1" t="n">
        <v>44741</v>
      </c>
      <c r="C669" s="1" t="n">
        <v>45830</v>
      </c>
      <c r="D669" t="inlineStr">
        <is>
          <t>SKÅNE LÄN</t>
        </is>
      </c>
      <c r="E669" t="inlineStr">
        <is>
          <t>HÄSSLEHOLM</t>
        </is>
      </c>
      <c r="G669" t="n">
        <v>1.9</v>
      </c>
      <c r="H669" t="n">
        <v>0</v>
      </c>
      <c r="I669" t="n">
        <v>0</v>
      </c>
      <c r="J669" t="n">
        <v>0</v>
      </c>
      <c r="K669" t="n">
        <v>0</v>
      </c>
      <c r="L669" t="n">
        <v>0</v>
      </c>
      <c r="M669" t="n">
        <v>0</v>
      </c>
      <c r="N669" t="n">
        <v>0</v>
      </c>
      <c r="O669" t="n">
        <v>0</v>
      </c>
      <c r="P669" t="n">
        <v>0</v>
      </c>
      <c r="Q669" t="n">
        <v>0</v>
      </c>
      <c r="R669" s="2" t="inlineStr"/>
    </row>
    <row r="670" ht="15" customHeight="1">
      <c r="A670" t="inlineStr">
        <is>
          <t>A 27244-2022</t>
        </is>
      </c>
      <c r="B670" s="1" t="n">
        <v>44741</v>
      </c>
      <c r="C670" s="1" t="n">
        <v>45830</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27452-2022</t>
        </is>
      </c>
      <c r="B671" s="1" t="n">
        <v>44742</v>
      </c>
      <c r="C671" s="1" t="n">
        <v>45830</v>
      </c>
      <c r="D671" t="inlineStr">
        <is>
          <t>SKÅNE LÄN</t>
        </is>
      </c>
      <c r="E671" t="inlineStr">
        <is>
          <t>HÄSSLEHOLM</t>
        </is>
      </c>
      <c r="G671" t="n">
        <v>4.2</v>
      </c>
      <c r="H671" t="n">
        <v>0</v>
      </c>
      <c r="I671" t="n">
        <v>0</v>
      </c>
      <c r="J671" t="n">
        <v>0</v>
      </c>
      <c r="K671" t="n">
        <v>0</v>
      </c>
      <c r="L671" t="n">
        <v>0</v>
      </c>
      <c r="M671" t="n">
        <v>0</v>
      </c>
      <c r="N671" t="n">
        <v>0</v>
      </c>
      <c r="O671" t="n">
        <v>0</v>
      </c>
      <c r="P671" t="n">
        <v>0</v>
      </c>
      <c r="Q671" t="n">
        <v>0</v>
      </c>
      <c r="R671" s="2" t="inlineStr"/>
    </row>
    <row r="672" ht="15" customHeight="1">
      <c r="A672" t="inlineStr">
        <is>
          <t>A 27464-2022</t>
        </is>
      </c>
      <c r="B672" s="1" t="n">
        <v>44742</v>
      </c>
      <c r="C672" s="1" t="n">
        <v>45830</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27954-2022</t>
        </is>
      </c>
      <c r="B673" s="1" t="n">
        <v>44743</v>
      </c>
      <c r="C673" s="1" t="n">
        <v>45830</v>
      </c>
      <c r="D673" t="inlineStr">
        <is>
          <t>SKÅNE LÄN</t>
        </is>
      </c>
      <c r="E673" t="inlineStr">
        <is>
          <t>HÄSSLEHOLM</t>
        </is>
      </c>
      <c r="G673" t="n">
        <v>9.4</v>
      </c>
      <c r="H673" t="n">
        <v>0</v>
      </c>
      <c r="I673" t="n">
        <v>0</v>
      </c>
      <c r="J673" t="n">
        <v>0</v>
      </c>
      <c r="K673" t="n">
        <v>0</v>
      </c>
      <c r="L673" t="n">
        <v>0</v>
      </c>
      <c r="M673" t="n">
        <v>0</v>
      </c>
      <c r="N673" t="n">
        <v>0</v>
      </c>
      <c r="O673" t="n">
        <v>0</v>
      </c>
      <c r="P673" t="n">
        <v>0</v>
      </c>
      <c r="Q673" t="n">
        <v>0</v>
      </c>
      <c r="R673" s="2" t="inlineStr"/>
    </row>
    <row r="674" ht="15" customHeight="1">
      <c r="A674" t="inlineStr">
        <is>
          <t>A 27959-2022</t>
        </is>
      </c>
      <c r="B674" s="1" t="n">
        <v>44744</v>
      </c>
      <c r="C674" s="1" t="n">
        <v>45830</v>
      </c>
      <c r="D674" t="inlineStr">
        <is>
          <t>SKÅNE LÄN</t>
        </is>
      </c>
      <c r="E674" t="inlineStr">
        <is>
          <t>HÄSSLEHOLM</t>
        </is>
      </c>
      <c r="G674" t="n">
        <v>3</v>
      </c>
      <c r="H674" t="n">
        <v>0</v>
      </c>
      <c r="I674" t="n">
        <v>0</v>
      </c>
      <c r="J674" t="n">
        <v>0</v>
      </c>
      <c r="K674" t="n">
        <v>0</v>
      </c>
      <c r="L674" t="n">
        <v>0</v>
      </c>
      <c r="M674" t="n">
        <v>0</v>
      </c>
      <c r="N674" t="n">
        <v>0</v>
      </c>
      <c r="O674" t="n">
        <v>0</v>
      </c>
      <c r="P674" t="n">
        <v>0</v>
      </c>
      <c r="Q674" t="n">
        <v>0</v>
      </c>
      <c r="R674" s="2" t="inlineStr"/>
    </row>
    <row r="675" ht="15" customHeight="1">
      <c r="A675" t="inlineStr">
        <is>
          <t>A 28236-2022</t>
        </is>
      </c>
      <c r="B675" s="1" t="n">
        <v>44746</v>
      </c>
      <c r="C675" s="1" t="n">
        <v>45830</v>
      </c>
      <c r="D675" t="inlineStr">
        <is>
          <t>SKÅNE LÄN</t>
        </is>
      </c>
      <c r="E675" t="inlineStr">
        <is>
          <t>HÄSSLEHOLM</t>
        </is>
      </c>
      <c r="G675" t="n">
        <v>3.5</v>
      </c>
      <c r="H675" t="n">
        <v>0</v>
      </c>
      <c r="I675" t="n">
        <v>0</v>
      </c>
      <c r="J675" t="n">
        <v>0</v>
      </c>
      <c r="K675" t="n">
        <v>0</v>
      </c>
      <c r="L675" t="n">
        <v>0</v>
      </c>
      <c r="M675" t="n">
        <v>0</v>
      </c>
      <c r="N675" t="n">
        <v>0</v>
      </c>
      <c r="O675" t="n">
        <v>0</v>
      </c>
      <c r="P675" t="n">
        <v>0</v>
      </c>
      <c r="Q675" t="n">
        <v>0</v>
      </c>
      <c r="R675" s="2" t="inlineStr"/>
    </row>
    <row r="676" ht="15" customHeight="1">
      <c r="A676" t="inlineStr">
        <is>
          <t>A 28221-2022</t>
        </is>
      </c>
      <c r="B676" s="1" t="n">
        <v>44746</v>
      </c>
      <c r="C676" s="1" t="n">
        <v>45830</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28211-2022</t>
        </is>
      </c>
      <c r="B677" s="1" t="n">
        <v>44746</v>
      </c>
      <c r="C677" s="1" t="n">
        <v>45830</v>
      </c>
      <c r="D677" t="inlineStr">
        <is>
          <t>SKÅNE LÄN</t>
        </is>
      </c>
      <c r="E677" t="inlineStr">
        <is>
          <t>HÄSSLEHOLM</t>
        </is>
      </c>
      <c r="G677" t="n">
        <v>2.8</v>
      </c>
      <c r="H677" t="n">
        <v>0</v>
      </c>
      <c r="I677" t="n">
        <v>0</v>
      </c>
      <c r="J677" t="n">
        <v>0</v>
      </c>
      <c r="K677" t="n">
        <v>0</v>
      </c>
      <c r="L677" t="n">
        <v>0</v>
      </c>
      <c r="M677" t="n">
        <v>0</v>
      </c>
      <c r="N677" t="n">
        <v>0</v>
      </c>
      <c r="O677" t="n">
        <v>0</v>
      </c>
      <c r="P677" t="n">
        <v>0</v>
      </c>
      <c r="Q677" t="n">
        <v>0</v>
      </c>
      <c r="R677" s="2" t="inlineStr"/>
    </row>
    <row r="678" ht="15" customHeight="1">
      <c r="A678" t="inlineStr">
        <is>
          <t>A 28218-2022</t>
        </is>
      </c>
      <c r="B678" s="1" t="n">
        <v>44746</v>
      </c>
      <c r="C678" s="1" t="n">
        <v>45830</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29700-2022</t>
        </is>
      </c>
      <c r="B679" s="1" t="n">
        <v>44755</v>
      </c>
      <c r="C679" s="1" t="n">
        <v>45830</v>
      </c>
      <c r="D679" t="inlineStr">
        <is>
          <t>SKÅNE LÄN</t>
        </is>
      </c>
      <c r="E679" t="inlineStr">
        <is>
          <t>HÄSSLEHOLM</t>
        </is>
      </c>
      <c r="G679" t="n">
        <v>6.6</v>
      </c>
      <c r="H679" t="n">
        <v>0</v>
      </c>
      <c r="I679" t="n">
        <v>0</v>
      </c>
      <c r="J679" t="n">
        <v>0</v>
      </c>
      <c r="K679" t="n">
        <v>0</v>
      </c>
      <c r="L679" t="n">
        <v>0</v>
      </c>
      <c r="M679" t="n">
        <v>0</v>
      </c>
      <c r="N679" t="n">
        <v>0</v>
      </c>
      <c r="O679" t="n">
        <v>0</v>
      </c>
      <c r="P679" t="n">
        <v>0</v>
      </c>
      <c r="Q679" t="n">
        <v>0</v>
      </c>
      <c r="R679" s="2" t="inlineStr"/>
    </row>
    <row r="680" ht="15" customHeight="1">
      <c r="A680" t="inlineStr">
        <is>
          <t>A 30344-2022</t>
        </is>
      </c>
      <c r="B680" s="1" t="n">
        <v>44760</v>
      </c>
      <c r="C680" s="1" t="n">
        <v>45830</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31557-2022</t>
        </is>
      </c>
      <c r="B681" s="1" t="n">
        <v>44775</v>
      </c>
      <c r="C681" s="1" t="n">
        <v>45830</v>
      </c>
      <c r="D681" t="inlineStr">
        <is>
          <t>SKÅNE LÄN</t>
        </is>
      </c>
      <c r="E681" t="inlineStr">
        <is>
          <t>HÄSSLEHOLM</t>
        </is>
      </c>
      <c r="F681" t="inlineStr">
        <is>
          <t>Kommuner</t>
        </is>
      </c>
      <c r="G681" t="n">
        <v>4.9</v>
      </c>
      <c r="H681" t="n">
        <v>0</v>
      </c>
      <c r="I681" t="n">
        <v>0</v>
      </c>
      <c r="J681" t="n">
        <v>0</v>
      </c>
      <c r="K681" t="n">
        <v>0</v>
      </c>
      <c r="L681" t="n">
        <v>0</v>
      </c>
      <c r="M681" t="n">
        <v>0</v>
      </c>
      <c r="N681" t="n">
        <v>0</v>
      </c>
      <c r="O681" t="n">
        <v>0</v>
      </c>
      <c r="P681" t="n">
        <v>0</v>
      </c>
      <c r="Q681" t="n">
        <v>0</v>
      </c>
      <c r="R681" s="2" t="inlineStr"/>
    </row>
    <row r="682" ht="15" customHeight="1">
      <c r="A682" t="inlineStr">
        <is>
          <t>A 31572-2022</t>
        </is>
      </c>
      <c r="B682" s="1" t="n">
        <v>44775</v>
      </c>
      <c r="C682" s="1" t="n">
        <v>45830</v>
      </c>
      <c r="D682" t="inlineStr">
        <is>
          <t>SKÅNE LÄN</t>
        </is>
      </c>
      <c r="E682" t="inlineStr">
        <is>
          <t>HÄSSLEHOLM</t>
        </is>
      </c>
      <c r="F682" t="inlineStr">
        <is>
          <t>Kommuner</t>
        </is>
      </c>
      <c r="G682" t="n">
        <v>1.2</v>
      </c>
      <c r="H682" t="n">
        <v>0</v>
      </c>
      <c r="I682" t="n">
        <v>0</v>
      </c>
      <c r="J682" t="n">
        <v>0</v>
      </c>
      <c r="K682" t="n">
        <v>0</v>
      </c>
      <c r="L682" t="n">
        <v>0</v>
      </c>
      <c r="M682" t="n">
        <v>0</v>
      </c>
      <c r="N682" t="n">
        <v>0</v>
      </c>
      <c r="O682" t="n">
        <v>0</v>
      </c>
      <c r="P682" t="n">
        <v>0</v>
      </c>
      <c r="Q682" t="n">
        <v>0</v>
      </c>
      <c r="R682" s="2" t="inlineStr"/>
    </row>
    <row r="683" ht="15" customHeight="1">
      <c r="A683" t="inlineStr">
        <is>
          <t>A 32669-2022</t>
        </is>
      </c>
      <c r="B683" s="1" t="n">
        <v>44783</v>
      </c>
      <c r="C683" s="1" t="n">
        <v>45830</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33299-2022</t>
        </is>
      </c>
      <c r="B684" s="1" t="n">
        <v>44788</v>
      </c>
      <c r="C684" s="1" t="n">
        <v>45830</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34348-2022</t>
        </is>
      </c>
      <c r="B685" s="1" t="n">
        <v>44792</v>
      </c>
      <c r="C685" s="1" t="n">
        <v>45830</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34982-2022</t>
        </is>
      </c>
      <c r="B686" s="1" t="n">
        <v>44796</v>
      </c>
      <c r="C686" s="1" t="n">
        <v>45830</v>
      </c>
      <c r="D686" t="inlineStr">
        <is>
          <t>SKÅNE LÄN</t>
        </is>
      </c>
      <c r="E686" t="inlineStr">
        <is>
          <t>HÄSSLEHOLM</t>
        </is>
      </c>
      <c r="F686" t="inlineStr">
        <is>
          <t>Kyrkan</t>
        </is>
      </c>
      <c r="G686" t="n">
        <v>3.4</v>
      </c>
      <c r="H686" t="n">
        <v>0</v>
      </c>
      <c r="I686" t="n">
        <v>0</v>
      </c>
      <c r="J686" t="n">
        <v>0</v>
      </c>
      <c r="K686" t="n">
        <v>0</v>
      </c>
      <c r="L686" t="n">
        <v>0</v>
      </c>
      <c r="M686" t="n">
        <v>0</v>
      </c>
      <c r="N686" t="n">
        <v>0</v>
      </c>
      <c r="O686" t="n">
        <v>0</v>
      </c>
      <c r="P686" t="n">
        <v>0</v>
      </c>
      <c r="Q686" t="n">
        <v>0</v>
      </c>
      <c r="R686" s="2" t="inlineStr"/>
    </row>
    <row r="687" ht="15" customHeight="1">
      <c r="A687" t="inlineStr">
        <is>
          <t>A 35099-2022</t>
        </is>
      </c>
      <c r="B687" s="1" t="n">
        <v>44797</v>
      </c>
      <c r="C687" s="1" t="n">
        <v>45830</v>
      </c>
      <c r="D687" t="inlineStr">
        <is>
          <t>SKÅNE LÄN</t>
        </is>
      </c>
      <c r="E687" t="inlineStr">
        <is>
          <t>HÄSSLEHOLM</t>
        </is>
      </c>
      <c r="G687" t="n">
        <v>4.1</v>
      </c>
      <c r="H687" t="n">
        <v>0</v>
      </c>
      <c r="I687" t="n">
        <v>0</v>
      </c>
      <c r="J687" t="n">
        <v>0</v>
      </c>
      <c r="K687" t="n">
        <v>0</v>
      </c>
      <c r="L687" t="n">
        <v>0</v>
      </c>
      <c r="M687" t="n">
        <v>0</v>
      </c>
      <c r="N687" t="n">
        <v>0</v>
      </c>
      <c r="O687" t="n">
        <v>0</v>
      </c>
      <c r="P687" t="n">
        <v>0</v>
      </c>
      <c r="Q687" t="n">
        <v>0</v>
      </c>
      <c r="R687" s="2" t="inlineStr"/>
    </row>
    <row r="688" ht="15" customHeight="1">
      <c r="A688" t="inlineStr">
        <is>
          <t>A 35727-2022</t>
        </is>
      </c>
      <c r="B688" s="1" t="n">
        <v>44799</v>
      </c>
      <c r="C688" s="1" t="n">
        <v>45830</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35845-2022</t>
        </is>
      </c>
      <c r="B689" s="1" t="n">
        <v>44802</v>
      </c>
      <c r="C689" s="1" t="n">
        <v>45830</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35842-2022</t>
        </is>
      </c>
      <c r="B690" s="1" t="n">
        <v>44802</v>
      </c>
      <c r="C690" s="1" t="n">
        <v>45830</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35974-2022</t>
        </is>
      </c>
      <c r="B691" s="1" t="n">
        <v>44802</v>
      </c>
      <c r="C691" s="1" t="n">
        <v>45830</v>
      </c>
      <c r="D691" t="inlineStr">
        <is>
          <t>SKÅNE LÄN</t>
        </is>
      </c>
      <c r="E691" t="inlineStr">
        <is>
          <t>HÄSSLEHOLM</t>
        </is>
      </c>
      <c r="G691" t="n">
        <v>3.8</v>
      </c>
      <c r="H691" t="n">
        <v>0</v>
      </c>
      <c r="I691" t="n">
        <v>0</v>
      </c>
      <c r="J691" t="n">
        <v>0</v>
      </c>
      <c r="K691" t="n">
        <v>0</v>
      </c>
      <c r="L691" t="n">
        <v>0</v>
      </c>
      <c r="M691" t="n">
        <v>0</v>
      </c>
      <c r="N691" t="n">
        <v>0</v>
      </c>
      <c r="O691" t="n">
        <v>0</v>
      </c>
      <c r="P691" t="n">
        <v>0</v>
      </c>
      <c r="Q691" t="n">
        <v>0</v>
      </c>
      <c r="R691" s="2" t="inlineStr"/>
    </row>
    <row r="692" ht="15" customHeight="1">
      <c r="A692" t="inlineStr">
        <is>
          <t>A 36706-2022</t>
        </is>
      </c>
      <c r="B692" s="1" t="n">
        <v>44805</v>
      </c>
      <c r="C692" s="1" t="n">
        <v>45830</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37098-2022</t>
        </is>
      </c>
      <c r="B693" s="1" t="n">
        <v>44806</v>
      </c>
      <c r="C693" s="1" t="n">
        <v>45830</v>
      </c>
      <c r="D693" t="inlineStr">
        <is>
          <t>SKÅNE LÄN</t>
        </is>
      </c>
      <c r="E693" t="inlineStr">
        <is>
          <t>HÄSSLEHOLM</t>
        </is>
      </c>
      <c r="G693" t="n">
        <v>1.9</v>
      </c>
      <c r="H693" t="n">
        <v>0</v>
      </c>
      <c r="I693" t="n">
        <v>0</v>
      </c>
      <c r="J693" t="n">
        <v>0</v>
      </c>
      <c r="K693" t="n">
        <v>0</v>
      </c>
      <c r="L693" t="n">
        <v>0</v>
      </c>
      <c r="M693" t="n">
        <v>0</v>
      </c>
      <c r="N693" t="n">
        <v>0</v>
      </c>
      <c r="O693" t="n">
        <v>0</v>
      </c>
      <c r="P693" t="n">
        <v>0</v>
      </c>
      <c r="Q693" t="n">
        <v>0</v>
      </c>
      <c r="R693" s="2" t="inlineStr"/>
    </row>
    <row r="694" ht="15" customHeight="1">
      <c r="A694" t="inlineStr">
        <is>
          <t>A 37162-2022</t>
        </is>
      </c>
      <c r="B694" s="1" t="n">
        <v>44806</v>
      </c>
      <c r="C694" s="1" t="n">
        <v>45830</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37170-2022</t>
        </is>
      </c>
      <c r="B695" s="1" t="n">
        <v>44806</v>
      </c>
      <c r="C695" s="1" t="n">
        <v>45830</v>
      </c>
      <c r="D695" t="inlineStr">
        <is>
          <t>SKÅNE LÄN</t>
        </is>
      </c>
      <c r="E695" t="inlineStr">
        <is>
          <t>HÄSSLEHOLM</t>
        </is>
      </c>
      <c r="F695" t="inlineStr">
        <is>
          <t>Kyrkan</t>
        </is>
      </c>
      <c r="G695" t="n">
        <v>4.5</v>
      </c>
      <c r="H695" t="n">
        <v>0</v>
      </c>
      <c r="I695" t="n">
        <v>0</v>
      </c>
      <c r="J695" t="n">
        <v>0</v>
      </c>
      <c r="K695" t="n">
        <v>0</v>
      </c>
      <c r="L695" t="n">
        <v>0</v>
      </c>
      <c r="M695" t="n">
        <v>0</v>
      </c>
      <c r="N695" t="n">
        <v>0</v>
      </c>
      <c r="O695" t="n">
        <v>0</v>
      </c>
      <c r="P695" t="n">
        <v>0</v>
      </c>
      <c r="Q695" t="n">
        <v>0</v>
      </c>
      <c r="R695" s="2" t="inlineStr"/>
    </row>
    <row r="696" ht="15" customHeight="1">
      <c r="A696" t="inlineStr">
        <is>
          <t>A 37181-2022</t>
        </is>
      </c>
      <c r="B696" s="1" t="n">
        <v>44806</v>
      </c>
      <c r="C696" s="1" t="n">
        <v>45830</v>
      </c>
      <c r="D696" t="inlineStr">
        <is>
          <t>SKÅNE LÄN</t>
        </is>
      </c>
      <c r="E696" t="inlineStr">
        <is>
          <t>HÄSSLEHOLM</t>
        </is>
      </c>
      <c r="F696" t="inlineStr">
        <is>
          <t>Kyrkan</t>
        </is>
      </c>
      <c r="G696" t="n">
        <v>3.5</v>
      </c>
      <c r="H696" t="n">
        <v>0</v>
      </c>
      <c r="I696" t="n">
        <v>0</v>
      </c>
      <c r="J696" t="n">
        <v>0</v>
      </c>
      <c r="K696" t="n">
        <v>0</v>
      </c>
      <c r="L696" t="n">
        <v>0</v>
      </c>
      <c r="M696" t="n">
        <v>0</v>
      </c>
      <c r="N696" t="n">
        <v>0</v>
      </c>
      <c r="O696" t="n">
        <v>0</v>
      </c>
      <c r="P696" t="n">
        <v>0</v>
      </c>
      <c r="Q696" t="n">
        <v>0</v>
      </c>
      <c r="R696" s="2" t="inlineStr"/>
    </row>
    <row r="697" ht="15" customHeight="1">
      <c r="A697" t="inlineStr">
        <is>
          <t>A 37457-2022</t>
        </is>
      </c>
      <c r="B697" s="1" t="n">
        <v>44809</v>
      </c>
      <c r="C697" s="1" t="n">
        <v>45830</v>
      </c>
      <c r="D697" t="inlineStr">
        <is>
          <t>SKÅNE LÄN</t>
        </is>
      </c>
      <c r="E697" t="inlineStr">
        <is>
          <t>HÄSSLEHOLM</t>
        </is>
      </c>
      <c r="G697" t="n">
        <v>2.4</v>
      </c>
      <c r="H697" t="n">
        <v>0</v>
      </c>
      <c r="I697" t="n">
        <v>0</v>
      </c>
      <c r="J697" t="n">
        <v>0</v>
      </c>
      <c r="K697" t="n">
        <v>0</v>
      </c>
      <c r="L697" t="n">
        <v>0</v>
      </c>
      <c r="M697" t="n">
        <v>0</v>
      </c>
      <c r="N697" t="n">
        <v>0</v>
      </c>
      <c r="O697" t="n">
        <v>0</v>
      </c>
      <c r="P697" t="n">
        <v>0</v>
      </c>
      <c r="Q697" t="n">
        <v>0</v>
      </c>
      <c r="R697" s="2" t="inlineStr"/>
    </row>
    <row r="698" ht="15" customHeight="1">
      <c r="A698" t="inlineStr">
        <is>
          <t>A 37764-2022</t>
        </is>
      </c>
      <c r="B698" s="1" t="n">
        <v>44810</v>
      </c>
      <c r="C698" s="1" t="n">
        <v>45830</v>
      </c>
      <c r="D698" t="inlineStr">
        <is>
          <t>SKÅNE LÄN</t>
        </is>
      </c>
      <c r="E698" t="inlineStr">
        <is>
          <t>HÄSSLEHOLM</t>
        </is>
      </c>
      <c r="F698" t="inlineStr">
        <is>
          <t>Kyrkan</t>
        </is>
      </c>
      <c r="G698" t="n">
        <v>9.4</v>
      </c>
      <c r="H698" t="n">
        <v>0</v>
      </c>
      <c r="I698" t="n">
        <v>0</v>
      </c>
      <c r="J698" t="n">
        <v>0</v>
      </c>
      <c r="K698" t="n">
        <v>0</v>
      </c>
      <c r="L698" t="n">
        <v>0</v>
      </c>
      <c r="M698" t="n">
        <v>0</v>
      </c>
      <c r="N698" t="n">
        <v>0</v>
      </c>
      <c r="O698" t="n">
        <v>0</v>
      </c>
      <c r="P698" t="n">
        <v>0</v>
      </c>
      <c r="Q698" t="n">
        <v>0</v>
      </c>
      <c r="R698" s="2" t="inlineStr"/>
    </row>
    <row r="699" ht="15" customHeight="1">
      <c r="A699" t="inlineStr">
        <is>
          <t>A 38148-2022</t>
        </is>
      </c>
      <c r="B699" s="1" t="n">
        <v>44811</v>
      </c>
      <c r="C699" s="1" t="n">
        <v>45830</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38133-2022</t>
        </is>
      </c>
      <c r="B700" s="1" t="n">
        <v>44811</v>
      </c>
      <c r="C700" s="1" t="n">
        <v>45830</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38306-2022</t>
        </is>
      </c>
      <c r="B701" s="1" t="n">
        <v>44812</v>
      </c>
      <c r="C701" s="1" t="n">
        <v>45830</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38376-2022</t>
        </is>
      </c>
      <c r="B702" s="1" t="n">
        <v>44812</v>
      </c>
      <c r="C702" s="1" t="n">
        <v>45830</v>
      </c>
      <c r="D702" t="inlineStr">
        <is>
          <t>SKÅNE LÄN</t>
        </is>
      </c>
      <c r="E702" t="inlineStr">
        <is>
          <t>HÄSSLEHOLM</t>
        </is>
      </c>
      <c r="G702" t="n">
        <v>1.9</v>
      </c>
      <c r="H702" t="n">
        <v>0</v>
      </c>
      <c r="I702" t="n">
        <v>0</v>
      </c>
      <c r="J702" t="n">
        <v>0</v>
      </c>
      <c r="K702" t="n">
        <v>0</v>
      </c>
      <c r="L702" t="n">
        <v>0</v>
      </c>
      <c r="M702" t="n">
        <v>0</v>
      </c>
      <c r="N702" t="n">
        <v>0</v>
      </c>
      <c r="O702" t="n">
        <v>0</v>
      </c>
      <c r="P702" t="n">
        <v>0</v>
      </c>
      <c r="Q702" t="n">
        <v>0</v>
      </c>
      <c r="R702" s="2" t="inlineStr"/>
    </row>
    <row r="703" ht="15" customHeight="1">
      <c r="A703" t="inlineStr">
        <is>
          <t>A 38463-2022</t>
        </is>
      </c>
      <c r="B703" s="1" t="n">
        <v>44813</v>
      </c>
      <c r="C703" s="1" t="n">
        <v>45830</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39102-2022</t>
        </is>
      </c>
      <c r="B704" s="1" t="n">
        <v>44817</v>
      </c>
      <c r="C704" s="1" t="n">
        <v>45830</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40202-2022</t>
        </is>
      </c>
      <c r="B705" s="1" t="n">
        <v>44820</v>
      </c>
      <c r="C705" s="1" t="n">
        <v>45830</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40199-2022</t>
        </is>
      </c>
      <c r="B706" s="1" t="n">
        <v>44820</v>
      </c>
      <c r="C706" s="1" t="n">
        <v>45830</v>
      </c>
      <c r="D706" t="inlineStr">
        <is>
          <t>SKÅNE LÄN</t>
        </is>
      </c>
      <c r="E706" t="inlineStr">
        <is>
          <t>HÄSSLEHOLM</t>
        </is>
      </c>
      <c r="G706" t="n">
        <v>2.2</v>
      </c>
      <c r="H706" t="n">
        <v>0</v>
      </c>
      <c r="I706" t="n">
        <v>0</v>
      </c>
      <c r="J706" t="n">
        <v>0</v>
      </c>
      <c r="K706" t="n">
        <v>0</v>
      </c>
      <c r="L706" t="n">
        <v>0</v>
      </c>
      <c r="M706" t="n">
        <v>0</v>
      </c>
      <c r="N706" t="n">
        <v>0</v>
      </c>
      <c r="O706" t="n">
        <v>0</v>
      </c>
      <c r="P706" t="n">
        <v>0</v>
      </c>
      <c r="Q706" t="n">
        <v>0</v>
      </c>
      <c r="R706" s="2" t="inlineStr"/>
    </row>
    <row r="707" ht="15" customHeight="1">
      <c r="A707" t="inlineStr">
        <is>
          <t>A 40764-2022</t>
        </is>
      </c>
      <c r="B707" s="1" t="n">
        <v>44820</v>
      </c>
      <c r="C707" s="1" t="n">
        <v>45830</v>
      </c>
      <c r="D707" t="inlineStr">
        <is>
          <t>SKÅNE LÄN</t>
        </is>
      </c>
      <c r="E707" t="inlineStr">
        <is>
          <t>HÄSSLEHOLM</t>
        </is>
      </c>
      <c r="G707" t="n">
        <v>0.3</v>
      </c>
      <c r="H707" t="n">
        <v>0</v>
      </c>
      <c r="I707" t="n">
        <v>0</v>
      </c>
      <c r="J707" t="n">
        <v>0</v>
      </c>
      <c r="K707" t="n">
        <v>0</v>
      </c>
      <c r="L707" t="n">
        <v>0</v>
      </c>
      <c r="M707" t="n">
        <v>0</v>
      </c>
      <c r="N707" t="n">
        <v>0</v>
      </c>
      <c r="O707" t="n">
        <v>0</v>
      </c>
      <c r="P707" t="n">
        <v>0</v>
      </c>
      <c r="Q707" t="n">
        <v>0</v>
      </c>
      <c r="R707" s="2" t="inlineStr"/>
    </row>
    <row r="708" ht="15" customHeight="1">
      <c r="A708" t="inlineStr">
        <is>
          <t>A 40780-2022</t>
        </is>
      </c>
      <c r="B708" s="1" t="n">
        <v>44820</v>
      </c>
      <c r="C708" s="1" t="n">
        <v>45830</v>
      </c>
      <c r="D708" t="inlineStr">
        <is>
          <t>SKÅNE LÄN</t>
        </is>
      </c>
      <c r="E708" t="inlineStr">
        <is>
          <t>HÄSSLEHOLM</t>
        </is>
      </c>
      <c r="G708" t="n">
        <v>7.4</v>
      </c>
      <c r="H708" t="n">
        <v>0</v>
      </c>
      <c r="I708" t="n">
        <v>0</v>
      </c>
      <c r="J708" t="n">
        <v>0</v>
      </c>
      <c r="K708" t="n">
        <v>0</v>
      </c>
      <c r="L708" t="n">
        <v>0</v>
      </c>
      <c r="M708" t="n">
        <v>0</v>
      </c>
      <c r="N708" t="n">
        <v>0</v>
      </c>
      <c r="O708" t="n">
        <v>0</v>
      </c>
      <c r="P708" t="n">
        <v>0</v>
      </c>
      <c r="Q708" t="n">
        <v>0</v>
      </c>
      <c r="R708" s="2" t="inlineStr"/>
    </row>
    <row r="709" ht="15" customHeight="1">
      <c r="A709" t="inlineStr">
        <is>
          <t>A 40768-2022</t>
        </is>
      </c>
      <c r="B709" s="1" t="n">
        <v>44820</v>
      </c>
      <c r="C709" s="1" t="n">
        <v>45830</v>
      </c>
      <c r="D709" t="inlineStr">
        <is>
          <t>SKÅNE LÄN</t>
        </is>
      </c>
      <c r="E709" t="inlineStr">
        <is>
          <t>HÄSSLEHOLM</t>
        </is>
      </c>
      <c r="G709" t="n">
        <v>1</v>
      </c>
      <c r="H709" t="n">
        <v>0</v>
      </c>
      <c r="I709" t="n">
        <v>0</v>
      </c>
      <c r="J709" t="n">
        <v>0</v>
      </c>
      <c r="K709" t="n">
        <v>0</v>
      </c>
      <c r="L709" t="n">
        <v>0</v>
      </c>
      <c r="M709" t="n">
        <v>0</v>
      </c>
      <c r="N709" t="n">
        <v>0</v>
      </c>
      <c r="O709" t="n">
        <v>0</v>
      </c>
      <c r="P709" t="n">
        <v>0</v>
      </c>
      <c r="Q709" t="n">
        <v>0</v>
      </c>
      <c r="R709" s="2" t="inlineStr"/>
    </row>
    <row r="710" ht="15" customHeight="1">
      <c r="A710" t="inlineStr">
        <is>
          <t>A 41459-2022</t>
        </is>
      </c>
      <c r="B710" s="1" t="n">
        <v>44827</v>
      </c>
      <c r="C710" s="1" t="n">
        <v>45830</v>
      </c>
      <c r="D710" t="inlineStr">
        <is>
          <t>SKÅNE LÄN</t>
        </is>
      </c>
      <c r="E710" t="inlineStr">
        <is>
          <t>HÄSSLEHOLM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42232-2022</t>
        </is>
      </c>
      <c r="B711" s="1" t="n">
        <v>44830</v>
      </c>
      <c r="C711" s="1" t="n">
        <v>45830</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42231-2022</t>
        </is>
      </c>
      <c r="B712" s="1" t="n">
        <v>44830</v>
      </c>
      <c r="C712" s="1" t="n">
        <v>45830</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42428-2022</t>
        </is>
      </c>
      <c r="B713" s="1" t="n">
        <v>44831</v>
      </c>
      <c r="C713" s="1" t="n">
        <v>45830</v>
      </c>
      <c r="D713" t="inlineStr">
        <is>
          <t>SKÅNE LÄN</t>
        </is>
      </c>
      <c r="E713" t="inlineStr">
        <is>
          <t>HÄSSLEHOLM</t>
        </is>
      </c>
      <c r="G713" t="n">
        <v>2.8</v>
      </c>
      <c r="H713" t="n">
        <v>0</v>
      </c>
      <c r="I713" t="n">
        <v>0</v>
      </c>
      <c r="J713" t="n">
        <v>0</v>
      </c>
      <c r="K713" t="n">
        <v>0</v>
      </c>
      <c r="L713" t="n">
        <v>0</v>
      </c>
      <c r="M713" t="n">
        <v>0</v>
      </c>
      <c r="N713" t="n">
        <v>0</v>
      </c>
      <c r="O713" t="n">
        <v>0</v>
      </c>
      <c r="P713" t="n">
        <v>0</v>
      </c>
      <c r="Q713" t="n">
        <v>0</v>
      </c>
      <c r="R713" s="2" t="inlineStr"/>
    </row>
    <row r="714" ht="15" customHeight="1">
      <c r="A714" t="inlineStr">
        <is>
          <t>A 42925-2022</t>
        </is>
      </c>
      <c r="B714" s="1" t="n">
        <v>44833</v>
      </c>
      <c r="C714" s="1" t="n">
        <v>45830</v>
      </c>
      <c r="D714" t="inlineStr">
        <is>
          <t>SKÅNE LÄN</t>
        </is>
      </c>
      <c r="E714" t="inlineStr">
        <is>
          <t>HÄSSLEHOLM</t>
        </is>
      </c>
      <c r="G714" t="n">
        <v>1.1</v>
      </c>
      <c r="H714" t="n">
        <v>0</v>
      </c>
      <c r="I714" t="n">
        <v>0</v>
      </c>
      <c r="J714" t="n">
        <v>0</v>
      </c>
      <c r="K714" t="n">
        <v>0</v>
      </c>
      <c r="L714" t="n">
        <v>0</v>
      </c>
      <c r="M714" t="n">
        <v>0</v>
      </c>
      <c r="N714" t="n">
        <v>0</v>
      </c>
      <c r="O714" t="n">
        <v>0</v>
      </c>
      <c r="P714" t="n">
        <v>0</v>
      </c>
      <c r="Q714" t="n">
        <v>0</v>
      </c>
      <c r="R714" s="2" t="inlineStr"/>
    </row>
    <row r="715" ht="15" customHeight="1">
      <c r="A715" t="inlineStr">
        <is>
          <t>A 42906-2022</t>
        </is>
      </c>
      <c r="B715" s="1" t="n">
        <v>44833</v>
      </c>
      <c r="C715" s="1" t="n">
        <v>45830</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43874-2022</t>
        </is>
      </c>
      <c r="B716" s="1" t="n">
        <v>44838</v>
      </c>
      <c r="C716" s="1" t="n">
        <v>45830</v>
      </c>
      <c r="D716" t="inlineStr">
        <is>
          <t>SKÅNE LÄN</t>
        </is>
      </c>
      <c r="E716" t="inlineStr">
        <is>
          <t>HÄSSLEHOLM</t>
        </is>
      </c>
      <c r="G716" t="n">
        <v>2.1</v>
      </c>
      <c r="H716" t="n">
        <v>0</v>
      </c>
      <c r="I716" t="n">
        <v>0</v>
      </c>
      <c r="J716" t="n">
        <v>0</v>
      </c>
      <c r="K716" t="n">
        <v>0</v>
      </c>
      <c r="L716" t="n">
        <v>0</v>
      </c>
      <c r="M716" t="n">
        <v>0</v>
      </c>
      <c r="N716" t="n">
        <v>0</v>
      </c>
      <c r="O716" t="n">
        <v>0</v>
      </c>
      <c r="P716" t="n">
        <v>0</v>
      </c>
      <c r="Q716" t="n">
        <v>0</v>
      </c>
      <c r="R716" s="2" t="inlineStr"/>
    </row>
    <row r="717" ht="15" customHeight="1">
      <c r="A717" t="inlineStr">
        <is>
          <t>A 43950-2022</t>
        </is>
      </c>
      <c r="B717" s="1" t="n">
        <v>44838</v>
      </c>
      <c r="C717" s="1" t="n">
        <v>45830</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44669-2022</t>
        </is>
      </c>
      <c r="B718" s="1" t="n">
        <v>44840</v>
      </c>
      <c r="C718" s="1" t="n">
        <v>45830</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45400-2022</t>
        </is>
      </c>
      <c r="B719" s="1" t="n">
        <v>44844</v>
      </c>
      <c r="C719" s="1" t="n">
        <v>45830</v>
      </c>
      <c r="D719" t="inlineStr">
        <is>
          <t>SKÅNE LÄN</t>
        </is>
      </c>
      <c r="E719" t="inlineStr">
        <is>
          <t>HÄSSLEHOLM</t>
        </is>
      </c>
      <c r="G719" t="n">
        <v>1.6</v>
      </c>
      <c r="H719" t="n">
        <v>0</v>
      </c>
      <c r="I719" t="n">
        <v>0</v>
      </c>
      <c r="J719" t="n">
        <v>0</v>
      </c>
      <c r="K719" t="n">
        <v>0</v>
      </c>
      <c r="L719" t="n">
        <v>0</v>
      </c>
      <c r="M719" t="n">
        <v>0</v>
      </c>
      <c r="N719" t="n">
        <v>0</v>
      </c>
      <c r="O719" t="n">
        <v>0</v>
      </c>
      <c r="P719" t="n">
        <v>0</v>
      </c>
      <c r="Q719" t="n">
        <v>0</v>
      </c>
      <c r="R719" s="2" t="inlineStr"/>
    </row>
    <row r="720" ht="15" customHeight="1">
      <c r="A720" t="inlineStr">
        <is>
          <t>A 45349-2022</t>
        </is>
      </c>
      <c r="B720" s="1" t="n">
        <v>44844</v>
      </c>
      <c r="C720" s="1" t="n">
        <v>45830</v>
      </c>
      <c r="D720" t="inlineStr">
        <is>
          <t>SKÅNE LÄN</t>
        </is>
      </c>
      <c r="E720" t="inlineStr">
        <is>
          <t>HÄSSLEHOLM</t>
        </is>
      </c>
      <c r="G720" t="n">
        <v>6.2</v>
      </c>
      <c r="H720" t="n">
        <v>0</v>
      </c>
      <c r="I720" t="n">
        <v>0</v>
      </c>
      <c r="J720" t="n">
        <v>0</v>
      </c>
      <c r="K720" t="n">
        <v>0</v>
      </c>
      <c r="L720" t="n">
        <v>0</v>
      </c>
      <c r="M720" t="n">
        <v>0</v>
      </c>
      <c r="N720" t="n">
        <v>0</v>
      </c>
      <c r="O720" t="n">
        <v>0</v>
      </c>
      <c r="P720" t="n">
        <v>0</v>
      </c>
      <c r="Q720" t="n">
        <v>0</v>
      </c>
      <c r="R720" s="2" t="inlineStr"/>
    </row>
    <row r="721" ht="15" customHeight="1">
      <c r="A721" t="inlineStr">
        <is>
          <t>A 45357-2022</t>
        </is>
      </c>
      <c r="B721" s="1" t="n">
        <v>44844</v>
      </c>
      <c r="C721" s="1" t="n">
        <v>45830</v>
      </c>
      <c r="D721" t="inlineStr">
        <is>
          <t>SKÅNE LÄN</t>
        </is>
      </c>
      <c r="E721" t="inlineStr">
        <is>
          <t>HÄSSLEHOLM</t>
        </is>
      </c>
      <c r="G721" t="n">
        <v>5.8</v>
      </c>
      <c r="H721" t="n">
        <v>0</v>
      </c>
      <c r="I721" t="n">
        <v>0</v>
      </c>
      <c r="J721" t="n">
        <v>0</v>
      </c>
      <c r="K721" t="n">
        <v>0</v>
      </c>
      <c r="L721" t="n">
        <v>0</v>
      </c>
      <c r="M721" t="n">
        <v>0</v>
      </c>
      <c r="N721" t="n">
        <v>0</v>
      </c>
      <c r="O721" t="n">
        <v>0</v>
      </c>
      <c r="P721" t="n">
        <v>0</v>
      </c>
      <c r="Q721" t="n">
        <v>0</v>
      </c>
      <c r="R721" s="2" t="inlineStr"/>
    </row>
    <row r="722" ht="15" customHeight="1">
      <c r="A722" t="inlineStr">
        <is>
          <t>A 45399-2022</t>
        </is>
      </c>
      <c r="B722" s="1" t="n">
        <v>44844</v>
      </c>
      <c r="C722" s="1" t="n">
        <v>45830</v>
      </c>
      <c r="D722" t="inlineStr">
        <is>
          <t>SKÅNE LÄN</t>
        </is>
      </c>
      <c r="E722" t="inlineStr">
        <is>
          <t>HÄSSLEHOLM</t>
        </is>
      </c>
      <c r="G722" t="n">
        <v>0</v>
      </c>
      <c r="H722" t="n">
        <v>0</v>
      </c>
      <c r="I722" t="n">
        <v>0</v>
      </c>
      <c r="J722" t="n">
        <v>0</v>
      </c>
      <c r="K722" t="n">
        <v>0</v>
      </c>
      <c r="L722" t="n">
        <v>0</v>
      </c>
      <c r="M722" t="n">
        <v>0</v>
      </c>
      <c r="N722" t="n">
        <v>0</v>
      </c>
      <c r="O722" t="n">
        <v>0</v>
      </c>
      <c r="P722" t="n">
        <v>0</v>
      </c>
      <c r="Q722" t="n">
        <v>0</v>
      </c>
      <c r="R722" s="2" t="inlineStr"/>
    </row>
    <row r="723" ht="15" customHeight="1">
      <c r="A723" t="inlineStr">
        <is>
          <t>A 45187-2022</t>
        </is>
      </c>
      <c r="B723" s="1" t="n">
        <v>44844</v>
      </c>
      <c r="C723" s="1" t="n">
        <v>45830</v>
      </c>
      <c r="D723" t="inlineStr">
        <is>
          <t>SKÅNE LÄN</t>
        </is>
      </c>
      <c r="E723" t="inlineStr">
        <is>
          <t>HÄSSLEHOLM</t>
        </is>
      </c>
      <c r="G723" t="n">
        <v>4.4</v>
      </c>
      <c r="H723" t="n">
        <v>0</v>
      </c>
      <c r="I723" t="n">
        <v>0</v>
      </c>
      <c r="J723" t="n">
        <v>0</v>
      </c>
      <c r="K723" t="n">
        <v>0</v>
      </c>
      <c r="L723" t="n">
        <v>0</v>
      </c>
      <c r="M723" t="n">
        <v>0</v>
      </c>
      <c r="N723" t="n">
        <v>0</v>
      </c>
      <c r="O723" t="n">
        <v>0</v>
      </c>
      <c r="P723" t="n">
        <v>0</v>
      </c>
      <c r="Q723" t="n">
        <v>0</v>
      </c>
      <c r="R723" s="2" t="inlineStr"/>
    </row>
    <row r="724" ht="15" customHeight="1">
      <c r="A724" t="inlineStr">
        <is>
          <t>A 45196-2022</t>
        </is>
      </c>
      <c r="B724" s="1" t="n">
        <v>44844</v>
      </c>
      <c r="C724" s="1" t="n">
        <v>45830</v>
      </c>
      <c r="D724" t="inlineStr">
        <is>
          <t>SKÅNE LÄN</t>
        </is>
      </c>
      <c r="E724" t="inlineStr">
        <is>
          <t>HÄSSLEHOLM</t>
        </is>
      </c>
      <c r="G724" t="n">
        <v>4.2</v>
      </c>
      <c r="H724" t="n">
        <v>0</v>
      </c>
      <c r="I724" t="n">
        <v>0</v>
      </c>
      <c r="J724" t="n">
        <v>0</v>
      </c>
      <c r="K724" t="n">
        <v>0</v>
      </c>
      <c r="L724" t="n">
        <v>0</v>
      </c>
      <c r="M724" t="n">
        <v>0</v>
      </c>
      <c r="N724" t="n">
        <v>0</v>
      </c>
      <c r="O724" t="n">
        <v>0</v>
      </c>
      <c r="P724" t="n">
        <v>0</v>
      </c>
      <c r="Q724" t="n">
        <v>0</v>
      </c>
      <c r="R724" s="2" t="inlineStr"/>
    </row>
    <row r="725" ht="15" customHeight="1">
      <c r="A725" t="inlineStr">
        <is>
          <t>A 45739-2022</t>
        </is>
      </c>
      <c r="B725" s="1" t="n">
        <v>44846</v>
      </c>
      <c r="C725" s="1" t="n">
        <v>45830</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46217-2022</t>
        </is>
      </c>
      <c r="B726" s="1" t="n">
        <v>44846</v>
      </c>
      <c r="C726" s="1" t="n">
        <v>45830</v>
      </c>
      <c r="D726" t="inlineStr">
        <is>
          <t>SKÅNE LÄN</t>
        </is>
      </c>
      <c r="E726" t="inlineStr">
        <is>
          <t>HÄSSLEHOLM</t>
        </is>
      </c>
      <c r="G726" t="n">
        <v>3.1</v>
      </c>
      <c r="H726" t="n">
        <v>0</v>
      </c>
      <c r="I726" t="n">
        <v>0</v>
      </c>
      <c r="J726" t="n">
        <v>0</v>
      </c>
      <c r="K726" t="n">
        <v>0</v>
      </c>
      <c r="L726" t="n">
        <v>0</v>
      </c>
      <c r="M726" t="n">
        <v>0</v>
      </c>
      <c r="N726" t="n">
        <v>0</v>
      </c>
      <c r="O726" t="n">
        <v>0</v>
      </c>
      <c r="P726" t="n">
        <v>0</v>
      </c>
      <c r="Q726" t="n">
        <v>0</v>
      </c>
      <c r="R726" s="2" t="inlineStr"/>
    </row>
    <row r="727" ht="15" customHeight="1">
      <c r="A727" t="inlineStr">
        <is>
          <t>A 46185-2022</t>
        </is>
      </c>
      <c r="B727" s="1" t="n">
        <v>44847</v>
      </c>
      <c r="C727" s="1" t="n">
        <v>45830</v>
      </c>
      <c r="D727" t="inlineStr">
        <is>
          <t>SKÅNE LÄN</t>
        </is>
      </c>
      <c r="E727" t="inlineStr">
        <is>
          <t>HÄSSLEHOLM</t>
        </is>
      </c>
      <c r="G727" t="n">
        <v>16.8</v>
      </c>
      <c r="H727" t="n">
        <v>0</v>
      </c>
      <c r="I727" t="n">
        <v>0</v>
      </c>
      <c r="J727" t="n">
        <v>0</v>
      </c>
      <c r="K727" t="n">
        <v>0</v>
      </c>
      <c r="L727" t="n">
        <v>0</v>
      </c>
      <c r="M727" t="n">
        <v>0</v>
      </c>
      <c r="N727" t="n">
        <v>0</v>
      </c>
      <c r="O727" t="n">
        <v>0</v>
      </c>
      <c r="P727" t="n">
        <v>0</v>
      </c>
      <c r="Q727" t="n">
        <v>0</v>
      </c>
      <c r="R727" s="2" t="inlineStr"/>
    </row>
    <row r="728" ht="15" customHeight="1">
      <c r="A728" t="inlineStr">
        <is>
          <t>A 46229-2022</t>
        </is>
      </c>
      <c r="B728" s="1" t="n">
        <v>44847</v>
      </c>
      <c r="C728" s="1" t="n">
        <v>45830</v>
      </c>
      <c r="D728" t="inlineStr">
        <is>
          <t>SKÅNE LÄN</t>
        </is>
      </c>
      <c r="E728" t="inlineStr">
        <is>
          <t>HÄSSLEHOLM</t>
        </is>
      </c>
      <c r="G728" t="n">
        <v>3.6</v>
      </c>
      <c r="H728" t="n">
        <v>0</v>
      </c>
      <c r="I728" t="n">
        <v>0</v>
      </c>
      <c r="J728" t="n">
        <v>0</v>
      </c>
      <c r="K728" t="n">
        <v>0</v>
      </c>
      <c r="L728" t="n">
        <v>0</v>
      </c>
      <c r="M728" t="n">
        <v>0</v>
      </c>
      <c r="N728" t="n">
        <v>0</v>
      </c>
      <c r="O728" t="n">
        <v>0</v>
      </c>
      <c r="P728" t="n">
        <v>0</v>
      </c>
      <c r="Q728" t="n">
        <v>0</v>
      </c>
      <c r="R728" s="2" t="inlineStr"/>
    </row>
    <row r="729" ht="15" customHeight="1">
      <c r="A729" t="inlineStr">
        <is>
          <t>A 46222-2022</t>
        </is>
      </c>
      <c r="B729" s="1" t="n">
        <v>44847</v>
      </c>
      <c r="C729" s="1" t="n">
        <v>45830</v>
      </c>
      <c r="D729" t="inlineStr">
        <is>
          <t>SKÅNE LÄN</t>
        </is>
      </c>
      <c r="E729" t="inlineStr">
        <is>
          <t>HÄSSLEHOLM</t>
        </is>
      </c>
      <c r="G729" t="n">
        <v>6.3</v>
      </c>
      <c r="H729" t="n">
        <v>0</v>
      </c>
      <c r="I729" t="n">
        <v>0</v>
      </c>
      <c r="J729" t="n">
        <v>0</v>
      </c>
      <c r="K729" t="n">
        <v>0</v>
      </c>
      <c r="L729" t="n">
        <v>0</v>
      </c>
      <c r="M729" t="n">
        <v>0</v>
      </c>
      <c r="N729" t="n">
        <v>0</v>
      </c>
      <c r="O729" t="n">
        <v>0</v>
      </c>
      <c r="P729" t="n">
        <v>0</v>
      </c>
      <c r="Q729" t="n">
        <v>0</v>
      </c>
      <c r="R729" s="2" t="inlineStr"/>
    </row>
    <row r="730" ht="15" customHeight="1">
      <c r="A730" t="inlineStr">
        <is>
          <t>A 49250-2022</t>
        </is>
      </c>
      <c r="B730" s="1" t="n">
        <v>44858</v>
      </c>
      <c r="C730" s="1" t="n">
        <v>45830</v>
      </c>
      <c r="D730" t="inlineStr">
        <is>
          <t>SKÅNE LÄN</t>
        </is>
      </c>
      <c r="E730" t="inlineStr">
        <is>
          <t>HÄSSLEHOLM</t>
        </is>
      </c>
      <c r="F730" t="inlineStr">
        <is>
          <t>Kyrkan</t>
        </is>
      </c>
      <c r="G730" t="n">
        <v>1.5</v>
      </c>
      <c r="H730" t="n">
        <v>0</v>
      </c>
      <c r="I730" t="n">
        <v>0</v>
      </c>
      <c r="J730" t="n">
        <v>0</v>
      </c>
      <c r="K730" t="n">
        <v>0</v>
      </c>
      <c r="L730" t="n">
        <v>0</v>
      </c>
      <c r="M730" t="n">
        <v>0</v>
      </c>
      <c r="N730" t="n">
        <v>0</v>
      </c>
      <c r="O730" t="n">
        <v>0</v>
      </c>
      <c r="P730" t="n">
        <v>0</v>
      </c>
      <c r="Q730" t="n">
        <v>0</v>
      </c>
      <c r="R730" s="2" t="inlineStr"/>
    </row>
    <row r="731" ht="15" customHeight="1">
      <c r="A731" t="inlineStr">
        <is>
          <t>A 48747-2022</t>
        </is>
      </c>
      <c r="B731" s="1" t="n">
        <v>44859</v>
      </c>
      <c r="C731" s="1" t="n">
        <v>45830</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49827-2022</t>
        </is>
      </c>
      <c r="B732" s="1" t="n">
        <v>44859</v>
      </c>
      <c r="C732" s="1" t="n">
        <v>45830</v>
      </c>
      <c r="D732" t="inlineStr">
        <is>
          <t>SKÅNE LÄN</t>
        </is>
      </c>
      <c r="E732" t="inlineStr">
        <is>
          <t>HÄSSLEHOLM</t>
        </is>
      </c>
      <c r="G732" t="n">
        <v>6.1</v>
      </c>
      <c r="H732" t="n">
        <v>0</v>
      </c>
      <c r="I732" t="n">
        <v>0</v>
      </c>
      <c r="J732" t="n">
        <v>0</v>
      </c>
      <c r="K732" t="n">
        <v>0</v>
      </c>
      <c r="L732" t="n">
        <v>0</v>
      </c>
      <c r="M732" t="n">
        <v>0</v>
      </c>
      <c r="N732" t="n">
        <v>0</v>
      </c>
      <c r="O732" t="n">
        <v>0</v>
      </c>
      <c r="P732" t="n">
        <v>0</v>
      </c>
      <c r="Q732" t="n">
        <v>0</v>
      </c>
      <c r="R732" s="2" t="inlineStr"/>
    </row>
    <row r="733" ht="15" customHeight="1">
      <c r="A733" t="inlineStr">
        <is>
          <t>A 49167-2022</t>
        </is>
      </c>
      <c r="B733" s="1" t="n">
        <v>44860</v>
      </c>
      <c r="C733" s="1" t="n">
        <v>45830</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49691-2022</t>
        </is>
      </c>
      <c r="B734" s="1" t="n">
        <v>44862</v>
      </c>
      <c r="C734" s="1" t="n">
        <v>45830</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50585-2022</t>
        </is>
      </c>
      <c r="B735" s="1" t="n">
        <v>44866</v>
      </c>
      <c r="C735" s="1" t="n">
        <v>45830</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51287-2022</t>
        </is>
      </c>
      <c r="B736" s="1" t="n">
        <v>44868</v>
      </c>
      <c r="C736" s="1" t="n">
        <v>45830</v>
      </c>
      <c r="D736" t="inlineStr">
        <is>
          <t>SKÅNE LÄN</t>
        </is>
      </c>
      <c r="E736" t="inlineStr">
        <is>
          <t>HÄSSLEHOLM</t>
        </is>
      </c>
      <c r="G736" t="n">
        <v>2.2</v>
      </c>
      <c r="H736" t="n">
        <v>0</v>
      </c>
      <c r="I736" t="n">
        <v>0</v>
      </c>
      <c r="J736" t="n">
        <v>0</v>
      </c>
      <c r="K736" t="n">
        <v>0</v>
      </c>
      <c r="L736" t="n">
        <v>0</v>
      </c>
      <c r="M736" t="n">
        <v>0</v>
      </c>
      <c r="N736" t="n">
        <v>0</v>
      </c>
      <c r="O736" t="n">
        <v>0</v>
      </c>
      <c r="P736" t="n">
        <v>0</v>
      </c>
      <c r="Q736" t="n">
        <v>0</v>
      </c>
      <c r="R736" s="2" t="inlineStr"/>
    </row>
    <row r="737" ht="15" customHeight="1">
      <c r="A737" t="inlineStr">
        <is>
          <t>A 52912-2022</t>
        </is>
      </c>
      <c r="B737" s="1" t="n">
        <v>44872</v>
      </c>
      <c r="C737" s="1" t="n">
        <v>45830</v>
      </c>
      <c r="D737" t="inlineStr">
        <is>
          <t>SKÅNE LÄN</t>
        </is>
      </c>
      <c r="E737" t="inlineStr">
        <is>
          <t>HÄSSLEHOLM</t>
        </is>
      </c>
      <c r="G737" t="n">
        <v>4.7</v>
      </c>
      <c r="H737" t="n">
        <v>0</v>
      </c>
      <c r="I737" t="n">
        <v>0</v>
      </c>
      <c r="J737" t="n">
        <v>0</v>
      </c>
      <c r="K737" t="n">
        <v>0</v>
      </c>
      <c r="L737" t="n">
        <v>0</v>
      </c>
      <c r="M737" t="n">
        <v>0</v>
      </c>
      <c r="N737" t="n">
        <v>0</v>
      </c>
      <c r="O737" t="n">
        <v>0</v>
      </c>
      <c r="P737" t="n">
        <v>0</v>
      </c>
      <c r="Q737" t="n">
        <v>0</v>
      </c>
      <c r="R737" s="2" t="inlineStr"/>
    </row>
    <row r="738" ht="15" customHeight="1">
      <c r="A738" t="inlineStr">
        <is>
          <t>A 53067-2022</t>
        </is>
      </c>
      <c r="B738" s="1" t="n">
        <v>44873</v>
      </c>
      <c r="C738" s="1" t="n">
        <v>45830</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53085-2022</t>
        </is>
      </c>
      <c r="B739" s="1" t="n">
        <v>44873</v>
      </c>
      <c r="C739" s="1" t="n">
        <v>45830</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53077-2022</t>
        </is>
      </c>
      <c r="B740" s="1" t="n">
        <v>44873</v>
      </c>
      <c r="C740" s="1" t="n">
        <v>45830</v>
      </c>
      <c r="D740" t="inlineStr">
        <is>
          <t>SKÅNE LÄN</t>
        </is>
      </c>
      <c r="E740" t="inlineStr">
        <is>
          <t>HÄSSLEHOLM</t>
        </is>
      </c>
      <c r="G740" t="n">
        <v>3</v>
      </c>
      <c r="H740" t="n">
        <v>0</v>
      </c>
      <c r="I740" t="n">
        <v>0</v>
      </c>
      <c r="J740" t="n">
        <v>0</v>
      </c>
      <c r="K740" t="n">
        <v>0</v>
      </c>
      <c r="L740" t="n">
        <v>0</v>
      </c>
      <c r="M740" t="n">
        <v>0</v>
      </c>
      <c r="N740" t="n">
        <v>0</v>
      </c>
      <c r="O740" t="n">
        <v>0</v>
      </c>
      <c r="P740" t="n">
        <v>0</v>
      </c>
      <c r="Q740" t="n">
        <v>0</v>
      </c>
      <c r="R740" s="2" t="inlineStr"/>
    </row>
    <row r="741" ht="15" customHeight="1">
      <c r="A741" t="inlineStr">
        <is>
          <t>A 52564-2022</t>
        </is>
      </c>
      <c r="B741" s="1" t="n">
        <v>44874</v>
      </c>
      <c r="C741" s="1" t="n">
        <v>45830</v>
      </c>
      <c r="D741" t="inlineStr">
        <is>
          <t>SKÅNE LÄN</t>
        </is>
      </c>
      <c r="E741" t="inlineStr">
        <is>
          <t>HÄSSLEHOLM</t>
        </is>
      </c>
      <c r="G741" t="n">
        <v>1.6</v>
      </c>
      <c r="H741" t="n">
        <v>0</v>
      </c>
      <c r="I741" t="n">
        <v>0</v>
      </c>
      <c r="J741" t="n">
        <v>0</v>
      </c>
      <c r="K741" t="n">
        <v>0</v>
      </c>
      <c r="L741" t="n">
        <v>0</v>
      </c>
      <c r="M741" t="n">
        <v>0</v>
      </c>
      <c r="N741" t="n">
        <v>0</v>
      </c>
      <c r="O741" t="n">
        <v>0</v>
      </c>
      <c r="P741" t="n">
        <v>0</v>
      </c>
      <c r="Q741" t="n">
        <v>0</v>
      </c>
      <c r="R741" s="2" t="inlineStr"/>
    </row>
    <row r="742" ht="15" customHeight="1">
      <c r="A742" t="inlineStr">
        <is>
          <t>A 52968-2022</t>
        </is>
      </c>
      <c r="B742" s="1" t="n">
        <v>44875</v>
      </c>
      <c r="C742" s="1" t="n">
        <v>45830</v>
      </c>
      <c r="D742" t="inlineStr">
        <is>
          <t>SKÅNE LÄN</t>
        </is>
      </c>
      <c r="E742" t="inlineStr">
        <is>
          <t>HÄSSLEHOLM</t>
        </is>
      </c>
      <c r="G742" t="n">
        <v>2.6</v>
      </c>
      <c r="H742" t="n">
        <v>0</v>
      </c>
      <c r="I742" t="n">
        <v>0</v>
      </c>
      <c r="J742" t="n">
        <v>0</v>
      </c>
      <c r="K742" t="n">
        <v>0</v>
      </c>
      <c r="L742" t="n">
        <v>0</v>
      </c>
      <c r="M742" t="n">
        <v>0</v>
      </c>
      <c r="N742" t="n">
        <v>0</v>
      </c>
      <c r="O742" t="n">
        <v>0</v>
      </c>
      <c r="P742" t="n">
        <v>0</v>
      </c>
      <c r="Q742" t="n">
        <v>0</v>
      </c>
      <c r="R742" s="2" t="inlineStr"/>
    </row>
    <row r="743" ht="15" customHeight="1">
      <c r="A743" t="inlineStr">
        <is>
          <t>A 53576-2022</t>
        </is>
      </c>
      <c r="B743" s="1" t="n">
        <v>44875</v>
      </c>
      <c r="C743" s="1" t="n">
        <v>45830</v>
      </c>
      <c r="D743" t="inlineStr">
        <is>
          <t>SKÅNE LÄN</t>
        </is>
      </c>
      <c r="E743" t="inlineStr">
        <is>
          <t>HÄSSLEHOLM</t>
        </is>
      </c>
      <c r="F743" t="inlineStr">
        <is>
          <t>Övriga Aktiebolag</t>
        </is>
      </c>
      <c r="G743" t="n">
        <v>1.2</v>
      </c>
      <c r="H743" t="n">
        <v>0</v>
      </c>
      <c r="I743" t="n">
        <v>0</v>
      </c>
      <c r="J743" t="n">
        <v>0</v>
      </c>
      <c r="K743" t="n">
        <v>0</v>
      </c>
      <c r="L743" t="n">
        <v>0</v>
      </c>
      <c r="M743" t="n">
        <v>0</v>
      </c>
      <c r="N743" t="n">
        <v>0</v>
      </c>
      <c r="O743" t="n">
        <v>0</v>
      </c>
      <c r="P743" t="n">
        <v>0</v>
      </c>
      <c r="Q743" t="n">
        <v>0</v>
      </c>
      <c r="R743" s="2" t="inlineStr"/>
    </row>
    <row r="744" ht="15" customHeight="1">
      <c r="A744" t="inlineStr">
        <is>
          <t>A 53593-2022</t>
        </is>
      </c>
      <c r="B744" s="1" t="n">
        <v>44875</v>
      </c>
      <c r="C744" s="1" t="n">
        <v>45830</v>
      </c>
      <c r="D744" t="inlineStr">
        <is>
          <t>SKÅNE LÄN</t>
        </is>
      </c>
      <c r="E744" t="inlineStr">
        <is>
          <t>HÄSSLEHOLM</t>
        </is>
      </c>
      <c r="F744" t="inlineStr">
        <is>
          <t>Övriga Aktiebolag</t>
        </is>
      </c>
      <c r="G744" t="n">
        <v>1.8</v>
      </c>
      <c r="H744" t="n">
        <v>0</v>
      </c>
      <c r="I744" t="n">
        <v>0</v>
      </c>
      <c r="J744" t="n">
        <v>0</v>
      </c>
      <c r="K744" t="n">
        <v>0</v>
      </c>
      <c r="L744" t="n">
        <v>0</v>
      </c>
      <c r="M744" t="n">
        <v>0</v>
      </c>
      <c r="N744" t="n">
        <v>0</v>
      </c>
      <c r="O744" t="n">
        <v>0</v>
      </c>
      <c r="P744" t="n">
        <v>0</v>
      </c>
      <c r="Q744" t="n">
        <v>0</v>
      </c>
      <c r="R744" s="2" t="inlineStr"/>
    </row>
    <row r="745" ht="15" customHeight="1">
      <c r="A745" t="inlineStr">
        <is>
          <t>A 53590-2022</t>
        </is>
      </c>
      <c r="B745" s="1" t="n">
        <v>44875</v>
      </c>
      <c r="C745" s="1" t="n">
        <v>45830</v>
      </c>
      <c r="D745" t="inlineStr">
        <is>
          <t>SKÅNE LÄN</t>
        </is>
      </c>
      <c r="E745" t="inlineStr">
        <is>
          <t>HÄSSLEHOLM</t>
        </is>
      </c>
      <c r="F745" t="inlineStr">
        <is>
          <t>Övriga Aktiebolag</t>
        </is>
      </c>
      <c r="G745" t="n">
        <v>2.9</v>
      </c>
      <c r="H745" t="n">
        <v>0</v>
      </c>
      <c r="I745" t="n">
        <v>0</v>
      </c>
      <c r="J745" t="n">
        <v>0</v>
      </c>
      <c r="K745" t="n">
        <v>0</v>
      </c>
      <c r="L745" t="n">
        <v>0</v>
      </c>
      <c r="M745" t="n">
        <v>0</v>
      </c>
      <c r="N745" t="n">
        <v>0</v>
      </c>
      <c r="O745" t="n">
        <v>0</v>
      </c>
      <c r="P745" t="n">
        <v>0</v>
      </c>
      <c r="Q745" t="n">
        <v>0</v>
      </c>
      <c r="R745" s="2" t="inlineStr"/>
    </row>
    <row r="746" ht="15" customHeight="1">
      <c r="A746" t="inlineStr">
        <is>
          <t>A 53058-2022</t>
        </is>
      </c>
      <c r="B746" s="1" t="n">
        <v>44876</v>
      </c>
      <c r="C746" s="1" t="n">
        <v>45830</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53136-2022</t>
        </is>
      </c>
      <c r="B747" s="1" t="n">
        <v>44876</v>
      </c>
      <c r="C747" s="1" t="n">
        <v>45830</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53302-2022</t>
        </is>
      </c>
      <c r="B748" s="1" t="n">
        <v>44877</v>
      </c>
      <c r="C748" s="1" t="n">
        <v>45830</v>
      </c>
      <c r="D748" t="inlineStr">
        <is>
          <t>SKÅNE LÄN</t>
        </is>
      </c>
      <c r="E748" t="inlineStr">
        <is>
          <t>HÄSSLEHOLM</t>
        </is>
      </c>
      <c r="G748" t="n">
        <v>0.1</v>
      </c>
      <c r="H748" t="n">
        <v>0</v>
      </c>
      <c r="I748" t="n">
        <v>0</v>
      </c>
      <c r="J748" t="n">
        <v>0</v>
      </c>
      <c r="K748" t="n">
        <v>0</v>
      </c>
      <c r="L748" t="n">
        <v>0</v>
      </c>
      <c r="M748" t="n">
        <v>0</v>
      </c>
      <c r="N748" t="n">
        <v>0</v>
      </c>
      <c r="O748" t="n">
        <v>0</v>
      </c>
      <c r="P748" t="n">
        <v>0</v>
      </c>
      <c r="Q748" t="n">
        <v>0</v>
      </c>
      <c r="R748" s="2" t="inlineStr"/>
    </row>
    <row r="749" ht="15" customHeight="1">
      <c r="A749" t="inlineStr">
        <is>
          <t>A 54106-2022</t>
        </is>
      </c>
      <c r="B749" s="1" t="n">
        <v>44879</v>
      </c>
      <c r="C749" s="1" t="n">
        <v>45830</v>
      </c>
      <c r="D749" t="inlineStr">
        <is>
          <t>SKÅNE LÄN</t>
        </is>
      </c>
      <c r="E749" t="inlineStr">
        <is>
          <t>HÄSSLEHOLM</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54174-2022</t>
        </is>
      </c>
      <c r="B750" s="1" t="n">
        <v>44881</v>
      </c>
      <c r="C750" s="1" t="n">
        <v>45830</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54164-2022</t>
        </is>
      </c>
      <c r="B751" s="1" t="n">
        <v>44881</v>
      </c>
      <c r="C751" s="1" t="n">
        <v>45830</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54171-2022</t>
        </is>
      </c>
      <c r="B752" s="1" t="n">
        <v>44881</v>
      </c>
      <c r="C752" s="1" t="n">
        <v>45830</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54176-2022</t>
        </is>
      </c>
      <c r="B753" s="1" t="n">
        <v>44881</v>
      </c>
      <c r="C753" s="1" t="n">
        <v>45830</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54874-2022</t>
        </is>
      </c>
      <c r="B754" s="1" t="n">
        <v>44881</v>
      </c>
      <c r="C754" s="1" t="n">
        <v>45830</v>
      </c>
      <c r="D754" t="inlineStr">
        <is>
          <t>SKÅNE LÄN</t>
        </is>
      </c>
      <c r="E754" t="inlineStr">
        <is>
          <t>HÄSSLEHOLM</t>
        </is>
      </c>
      <c r="G754" t="n">
        <v>8.1</v>
      </c>
      <c r="H754" t="n">
        <v>0</v>
      </c>
      <c r="I754" t="n">
        <v>0</v>
      </c>
      <c r="J754" t="n">
        <v>0</v>
      </c>
      <c r="K754" t="n">
        <v>0</v>
      </c>
      <c r="L754" t="n">
        <v>0</v>
      </c>
      <c r="M754" t="n">
        <v>0</v>
      </c>
      <c r="N754" t="n">
        <v>0</v>
      </c>
      <c r="O754" t="n">
        <v>0</v>
      </c>
      <c r="P754" t="n">
        <v>0</v>
      </c>
      <c r="Q754" t="n">
        <v>0</v>
      </c>
      <c r="R754" s="2" t="inlineStr"/>
    </row>
    <row r="755" ht="15" customHeight="1">
      <c r="A755" t="inlineStr">
        <is>
          <t>A 54326-2022</t>
        </is>
      </c>
      <c r="B755" s="1" t="n">
        <v>44882</v>
      </c>
      <c r="C755" s="1" t="n">
        <v>45830</v>
      </c>
      <c r="D755" t="inlineStr">
        <is>
          <t>SKÅNE LÄN</t>
        </is>
      </c>
      <c r="E755" t="inlineStr">
        <is>
          <t>HÄSSLEHOLM</t>
        </is>
      </c>
      <c r="G755" t="n">
        <v>1.5</v>
      </c>
      <c r="H755" t="n">
        <v>0</v>
      </c>
      <c r="I755" t="n">
        <v>0</v>
      </c>
      <c r="J755" t="n">
        <v>0</v>
      </c>
      <c r="K755" t="n">
        <v>0</v>
      </c>
      <c r="L755" t="n">
        <v>0</v>
      </c>
      <c r="M755" t="n">
        <v>0</v>
      </c>
      <c r="N755" t="n">
        <v>0</v>
      </c>
      <c r="O755" t="n">
        <v>0</v>
      </c>
      <c r="P755" t="n">
        <v>0</v>
      </c>
      <c r="Q755" t="n">
        <v>0</v>
      </c>
      <c r="R755" s="2" t="inlineStr"/>
    </row>
    <row r="756" ht="15" customHeight="1">
      <c r="A756" t="inlineStr">
        <is>
          <t>A 54462-2022</t>
        </is>
      </c>
      <c r="B756" s="1" t="n">
        <v>44882</v>
      </c>
      <c r="C756" s="1" t="n">
        <v>45830</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54518-2022</t>
        </is>
      </c>
      <c r="B757" s="1" t="n">
        <v>44882</v>
      </c>
      <c r="C757" s="1" t="n">
        <v>45830</v>
      </c>
      <c r="D757" t="inlineStr">
        <is>
          <t>SKÅNE LÄN</t>
        </is>
      </c>
      <c r="E757" t="inlineStr">
        <is>
          <t>HÄSSLEHOLM</t>
        </is>
      </c>
      <c r="F757" t="inlineStr">
        <is>
          <t>Övriga Aktiebolag</t>
        </is>
      </c>
      <c r="G757" t="n">
        <v>6.8</v>
      </c>
      <c r="H757" t="n">
        <v>0</v>
      </c>
      <c r="I757" t="n">
        <v>0</v>
      </c>
      <c r="J757" t="n">
        <v>0</v>
      </c>
      <c r="K757" t="n">
        <v>0</v>
      </c>
      <c r="L757" t="n">
        <v>0</v>
      </c>
      <c r="M757" t="n">
        <v>0</v>
      </c>
      <c r="N757" t="n">
        <v>0</v>
      </c>
      <c r="O757" t="n">
        <v>0</v>
      </c>
      <c r="P757" t="n">
        <v>0</v>
      </c>
      <c r="Q757" t="n">
        <v>0</v>
      </c>
      <c r="R757" s="2" t="inlineStr"/>
    </row>
    <row r="758" ht="15" customHeight="1">
      <c r="A758" t="inlineStr">
        <is>
          <t>A 55424-2022</t>
        </is>
      </c>
      <c r="B758" s="1" t="n">
        <v>44882</v>
      </c>
      <c r="C758" s="1" t="n">
        <v>45830</v>
      </c>
      <c r="D758" t="inlineStr">
        <is>
          <t>SKÅNE LÄN</t>
        </is>
      </c>
      <c r="E758" t="inlineStr">
        <is>
          <t>HÄSSLEHOLM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55429-2022</t>
        </is>
      </c>
      <c r="B759" s="1" t="n">
        <v>44882</v>
      </c>
      <c r="C759" s="1" t="n">
        <v>45830</v>
      </c>
      <c r="D759" t="inlineStr">
        <is>
          <t>SKÅNE LÄN</t>
        </is>
      </c>
      <c r="E759" t="inlineStr">
        <is>
          <t>HÄSSLEHOLM</t>
        </is>
      </c>
      <c r="F759" t="inlineStr">
        <is>
          <t>Övriga Aktiebolag</t>
        </is>
      </c>
      <c r="G759" t="n">
        <v>3.2</v>
      </c>
      <c r="H759" t="n">
        <v>0</v>
      </c>
      <c r="I759" t="n">
        <v>0</v>
      </c>
      <c r="J759" t="n">
        <v>0</v>
      </c>
      <c r="K759" t="n">
        <v>0</v>
      </c>
      <c r="L759" t="n">
        <v>0</v>
      </c>
      <c r="M759" t="n">
        <v>0</v>
      </c>
      <c r="N759" t="n">
        <v>0</v>
      </c>
      <c r="O759" t="n">
        <v>0</v>
      </c>
      <c r="P759" t="n">
        <v>0</v>
      </c>
      <c r="Q759" t="n">
        <v>0</v>
      </c>
      <c r="R759" s="2" t="inlineStr"/>
    </row>
    <row r="760" ht="15" customHeight="1">
      <c r="A760" t="inlineStr">
        <is>
          <t>A 55412-2022</t>
        </is>
      </c>
      <c r="B760" s="1" t="n">
        <v>44882</v>
      </c>
      <c r="C760" s="1" t="n">
        <v>45830</v>
      </c>
      <c r="D760" t="inlineStr">
        <is>
          <t>SKÅNE LÄN</t>
        </is>
      </c>
      <c r="E760" t="inlineStr">
        <is>
          <t>HÄSSLEHOLM</t>
        </is>
      </c>
      <c r="F760" t="inlineStr">
        <is>
          <t>Övriga Aktiebolag</t>
        </is>
      </c>
      <c r="G760" t="n">
        <v>4</v>
      </c>
      <c r="H760" t="n">
        <v>0</v>
      </c>
      <c r="I760" t="n">
        <v>0</v>
      </c>
      <c r="J760" t="n">
        <v>0</v>
      </c>
      <c r="K760" t="n">
        <v>0</v>
      </c>
      <c r="L760" t="n">
        <v>0</v>
      </c>
      <c r="M760" t="n">
        <v>0</v>
      </c>
      <c r="N760" t="n">
        <v>0</v>
      </c>
      <c r="O760" t="n">
        <v>0</v>
      </c>
      <c r="P760" t="n">
        <v>0</v>
      </c>
      <c r="Q760" t="n">
        <v>0</v>
      </c>
      <c r="R760" s="2" t="inlineStr"/>
    </row>
    <row r="761" ht="15" customHeight="1">
      <c r="A761" t="inlineStr">
        <is>
          <t>A 55419-2022</t>
        </is>
      </c>
      <c r="B761" s="1" t="n">
        <v>44882</v>
      </c>
      <c r="C761" s="1" t="n">
        <v>45830</v>
      </c>
      <c r="D761" t="inlineStr">
        <is>
          <t>SKÅNE LÄN</t>
        </is>
      </c>
      <c r="E761" t="inlineStr">
        <is>
          <t>HÄSSLEHOLM</t>
        </is>
      </c>
      <c r="F761" t="inlineStr">
        <is>
          <t>Övriga Aktiebolag</t>
        </is>
      </c>
      <c r="G761" t="n">
        <v>5.8</v>
      </c>
      <c r="H761" t="n">
        <v>0</v>
      </c>
      <c r="I761" t="n">
        <v>0</v>
      </c>
      <c r="J761" t="n">
        <v>0</v>
      </c>
      <c r="K761" t="n">
        <v>0</v>
      </c>
      <c r="L761" t="n">
        <v>0</v>
      </c>
      <c r="M761" t="n">
        <v>0</v>
      </c>
      <c r="N761" t="n">
        <v>0</v>
      </c>
      <c r="O761" t="n">
        <v>0</v>
      </c>
      <c r="P761" t="n">
        <v>0</v>
      </c>
      <c r="Q761" t="n">
        <v>0</v>
      </c>
      <c r="R761" s="2" t="inlineStr"/>
    </row>
    <row r="762" ht="15" customHeight="1">
      <c r="A762" t="inlineStr">
        <is>
          <t>A 54662-2022</t>
        </is>
      </c>
      <c r="B762" s="1" t="n">
        <v>44883</v>
      </c>
      <c r="C762" s="1" t="n">
        <v>45830</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54777-2022</t>
        </is>
      </c>
      <c r="B763" s="1" t="n">
        <v>44883</v>
      </c>
      <c r="C763" s="1" t="n">
        <v>45830</v>
      </c>
      <c r="D763" t="inlineStr">
        <is>
          <t>SKÅNE LÄN</t>
        </is>
      </c>
      <c r="E763" t="inlineStr">
        <is>
          <t>HÄSSLEHOLM</t>
        </is>
      </c>
      <c r="G763" t="n">
        <v>1.7</v>
      </c>
      <c r="H763" t="n">
        <v>0</v>
      </c>
      <c r="I763" t="n">
        <v>0</v>
      </c>
      <c r="J763" t="n">
        <v>0</v>
      </c>
      <c r="K763" t="n">
        <v>0</v>
      </c>
      <c r="L763" t="n">
        <v>0</v>
      </c>
      <c r="M763" t="n">
        <v>0</v>
      </c>
      <c r="N763" t="n">
        <v>0</v>
      </c>
      <c r="O763" t="n">
        <v>0</v>
      </c>
      <c r="P763" t="n">
        <v>0</v>
      </c>
      <c r="Q763" t="n">
        <v>0</v>
      </c>
      <c r="R763" s="2" t="inlineStr"/>
    </row>
    <row r="764" ht="15" customHeight="1">
      <c r="A764" t="inlineStr">
        <is>
          <t>A 54671-2022</t>
        </is>
      </c>
      <c r="B764" s="1" t="n">
        <v>44883</v>
      </c>
      <c r="C764" s="1" t="n">
        <v>45830</v>
      </c>
      <c r="D764" t="inlineStr">
        <is>
          <t>SKÅNE LÄN</t>
        </is>
      </c>
      <c r="E764" t="inlineStr">
        <is>
          <t>HÄSSLEHOLM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54807-2022</t>
        </is>
      </c>
      <c r="B765" s="1" t="n">
        <v>44883</v>
      </c>
      <c r="C765" s="1" t="n">
        <v>45830</v>
      </c>
      <c r="D765" t="inlineStr">
        <is>
          <t>SKÅNE LÄN</t>
        </is>
      </c>
      <c r="E765" t="inlineStr">
        <is>
          <t>HÄSSLEHOLM</t>
        </is>
      </c>
      <c r="G765" t="n">
        <v>4</v>
      </c>
      <c r="H765" t="n">
        <v>0</v>
      </c>
      <c r="I765" t="n">
        <v>0</v>
      </c>
      <c r="J765" t="n">
        <v>0</v>
      </c>
      <c r="K765" t="n">
        <v>0</v>
      </c>
      <c r="L765" t="n">
        <v>0</v>
      </c>
      <c r="M765" t="n">
        <v>0</v>
      </c>
      <c r="N765" t="n">
        <v>0</v>
      </c>
      <c r="O765" t="n">
        <v>0</v>
      </c>
      <c r="P765" t="n">
        <v>0</v>
      </c>
      <c r="Q765" t="n">
        <v>0</v>
      </c>
      <c r="R765" s="2" t="inlineStr"/>
    </row>
    <row r="766" ht="15" customHeight="1">
      <c r="A766" t="inlineStr">
        <is>
          <t>A 55662-2022</t>
        </is>
      </c>
      <c r="B766" s="1" t="n">
        <v>44883</v>
      </c>
      <c r="C766" s="1" t="n">
        <v>45830</v>
      </c>
      <c r="D766" t="inlineStr">
        <is>
          <t>SKÅNE LÄN</t>
        </is>
      </c>
      <c r="E766" t="inlineStr">
        <is>
          <t>HÄSSLEHOLM</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55690-2022</t>
        </is>
      </c>
      <c r="B767" s="1" t="n">
        <v>44883</v>
      </c>
      <c r="C767" s="1" t="n">
        <v>45830</v>
      </c>
      <c r="D767" t="inlineStr">
        <is>
          <t>SKÅNE LÄN</t>
        </is>
      </c>
      <c r="E767" t="inlineStr">
        <is>
          <t>HÄSSLEHOLM</t>
        </is>
      </c>
      <c r="G767" t="n">
        <v>3.5</v>
      </c>
      <c r="H767" t="n">
        <v>0</v>
      </c>
      <c r="I767" t="n">
        <v>0</v>
      </c>
      <c r="J767" t="n">
        <v>0</v>
      </c>
      <c r="K767" t="n">
        <v>0</v>
      </c>
      <c r="L767" t="n">
        <v>0</v>
      </c>
      <c r="M767" t="n">
        <v>0</v>
      </c>
      <c r="N767" t="n">
        <v>0</v>
      </c>
      <c r="O767" t="n">
        <v>0</v>
      </c>
      <c r="P767" t="n">
        <v>0</v>
      </c>
      <c r="Q767" t="n">
        <v>0</v>
      </c>
      <c r="R767" s="2" t="inlineStr"/>
    </row>
    <row r="768" ht="15" customHeight="1">
      <c r="A768" t="inlineStr">
        <is>
          <t>A 55618-2022</t>
        </is>
      </c>
      <c r="B768" s="1" t="n">
        <v>44883</v>
      </c>
      <c r="C768" s="1" t="n">
        <v>45830</v>
      </c>
      <c r="D768" t="inlineStr">
        <is>
          <t>SKÅNE LÄN</t>
        </is>
      </c>
      <c r="E768" t="inlineStr">
        <is>
          <t>HÄSSLEHOLM</t>
        </is>
      </c>
      <c r="F768" t="inlineStr">
        <is>
          <t>Övriga Aktiebolag</t>
        </is>
      </c>
      <c r="G768" t="n">
        <v>0.7</v>
      </c>
      <c r="H768" t="n">
        <v>0</v>
      </c>
      <c r="I768" t="n">
        <v>0</v>
      </c>
      <c r="J768" t="n">
        <v>0</v>
      </c>
      <c r="K768" t="n">
        <v>0</v>
      </c>
      <c r="L768" t="n">
        <v>0</v>
      </c>
      <c r="M768" t="n">
        <v>0</v>
      </c>
      <c r="N768" t="n">
        <v>0</v>
      </c>
      <c r="O768" t="n">
        <v>0</v>
      </c>
      <c r="P768" t="n">
        <v>0</v>
      </c>
      <c r="Q768" t="n">
        <v>0</v>
      </c>
      <c r="R768" s="2" t="inlineStr"/>
    </row>
    <row r="769" ht="15" customHeight="1">
      <c r="A769" t="inlineStr">
        <is>
          <t>A 55649-2022</t>
        </is>
      </c>
      <c r="B769" s="1" t="n">
        <v>44883</v>
      </c>
      <c r="C769" s="1" t="n">
        <v>45830</v>
      </c>
      <c r="D769" t="inlineStr">
        <is>
          <t>SKÅNE LÄN</t>
        </is>
      </c>
      <c r="E769" t="inlineStr">
        <is>
          <t>HÄSSLEHOLM</t>
        </is>
      </c>
      <c r="F769" t="inlineStr">
        <is>
          <t>Övriga Aktiebolag</t>
        </is>
      </c>
      <c r="G769" t="n">
        <v>2.4</v>
      </c>
      <c r="H769" t="n">
        <v>0</v>
      </c>
      <c r="I769" t="n">
        <v>0</v>
      </c>
      <c r="J769" t="n">
        <v>0</v>
      </c>
      <c r="K769" t="n">
        <v>0</v>
      </c>
      <c r="L769" t="n">
        <v>0</v>
      </c>
      <c r="M769" t="n">
        <v>0</v>
      </c>
      <c r="N769" t="n">
        <v>0</v>
      </c>
      <c r="O769" t="n">
        <v>0</v>
      </c>
      <c r="P769" t="n">
        <v>0</v>
      </c>
      <c r="Q769" t="n">
        <v>0</v>
      </c>
      <c r="R769" s="2" t="inlineStr"/>
    </row>
    <row r="770" ht="15" customHeight="1">
      <c r="A770" t="inlineStr">
        <is>
          <t>A 54948-2022</t>
        </is>
      </c>
      <c r="B770" s="1" t="n">
        <v>44886</v>
      </c>
      <c r="C770" s="1" t="n">
        <v>45830</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55154-2022</t>
        </is>
      </c>
      <c r="B771" s="1" t="n">
        <v>44886</v>
      </c>
      <c r="C771" s="1" t="n">
        <v>45830</v>
      </c>
      <c r="D771" t="inlineStr">
        <is>
          <t>SKÅNE LÄN</t>
        </is>
      </c>
      <c r="E771" t="inlineStr">
        <is>
          <t>HÄSSLEHOLM</t>
        </is>
      </c>
      <c r="G771" t="n">
        <v>1.4</v>
      </c>
      <c r="H771" t="n">
        <v>0</v>
      </c>
      <c r="I771" t="n">
        <v>0</v>
      </c>
      <c r="J771" t="n">
        <v>0</v>
      </c>
      <c r="K771" t="n">
        <v>0</v>
      </c>
      <c r="L771" t="n">
        <v>0</v>
      </c>
      <c r="M771" t="n">
        <v>0</v>
      </c>
      <c r="N771" t="n">
        <v>0</v>
      </c>
      <c r="O771" t="n">
        <v>0</v>
      </c>
      <c r="P771" t="n">
        <v>0</v>
      </c>
      <c r="Q771" t="n">
        <v>0</v>
      </c>
      <c r="R771" s="2" t="inlineStr"/>
    </row>
    <row r="772" ht="15" customHeight="1">
      <c r="A772" t="inlineStr">
        <is>
          <t>A 55155-2022</t>
        </is>
      </c>
      <c r="B772" s="1" t="n">
        <v>44886</v>
      </c>
      <c r="C772" s="1" t="n">
        <v>45830</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55364-2022</t>
        </is>
      </c>
      <c r="B773" s="1" t="n">
        <v>44887</v>
      </c>
      <c r="C773" s="1" t="n">
        <v>45830</v>
      </c>
      <c r="D773" t="inlineStr">
        <is>
          <t>SKÅNE LÄN</t>
        </is>
      </c>
      <c r="E773" t="inlineStr">
        <is>
          <t>HÄSSLEHOLM</t>
        </is>
      </c>
      <c r="G773" t="n">
        <v>0.4</v>
      </c>
      <c r="H773" t="n">
        <v>0</v>
      </c>
      <c r="I773" t="n">
        <v>0</v>
      </c>
      <c r="J773" t="n">
        <v>0</v>
      </c>
      <c r="K773" t="n">
        <v>0</v>
      </c>
      <c r="L773" t="n">
        <v>0</v>
      </c>
      <c r="M773" t="n">
        <v>0</v>
      </c>
      <c r="N773" t="n">
        <v>0</v>
      </c>
      <c r="O773" t="n">
        <v>0</v>
      </c>
      <c r="P773" t="n">
        <v>0</v>
      </c>
      <c r="Q773" t="n">
        <v>0</v>
      </c>
      <c r="R773" s="2" t="inlineStr"/>
    </row>
    <row r="774" ht="15" customHeight="1">
      <c r="A774" t="inlineStr">
        <is>
          <t>A 55394-2022</t>
        </is>
      </c>
      <c r="B774" s="1" t="n">
        <v>44887</v>
      </c>
      <c r="C774" s="1" t="n">
        <v>45830</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55425-2022</t>
        </is>
      </c>
      <c r="B775" s="1" t="n">
        <v>44887</v>
      </c>
      <c r="C775" s="1" t="n">
        <v>45830</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57033-2022</t>
        </is>
      </c>
      <c r="B776" s="1" t="n">
        <v>44895</v>
      </c>
      <c r="C776" s="1" t="n">
        <v>45830</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57079-2022</t>
        </is>
      </c>
      <c r="B777" s="1" t="n">
        <v>44895</v>
      </c>
      <c r="C777" s="1" t="n">
        <v>45830</v>
      </c>
      <c r="D777" t="inlineStr">
        <is>
          <t>SKÅNE LÄN</t>
        </is>
      </c>
      <c r="E777" t="inlineStr">
        <is>
          <t>HÄSSLEHOLM</t>
        </is>
      </c>
      <c r="G777" t="n">
        <v>2.6</v>
      </c>
      <c r="H777" t="n">
        <v>0</v>
      </c>
      <c r="I777" t="n">
        <v>0</v>
      </c>
      <c r="J777" t="n">
        <v>0</v>
      </c>
      <c r="K777" t="n">
        <v>0</v>
      </c>
      <c r="L777" t="n">
        <v>0</v>
      </c>
      <c r="M777" t="n">
        <v>0</v>
      </c>
      <c r="N777" t="n">
        <v>0</v>
      </c>
      <c r="O777" t="n">
        <v>0</v>
      </c>
      <c r="P777" t="n">
        <v>0</v>
      </c>
      <c r="Q777" t="n">
        <v>0</v>
      </c>
      <c r="R777" s="2" t="inlineStr"/>
    </row>
    <row r="778" ht="15" customHeight="1">
      <c r="A778" t="inlineStr">
        <is>
          <t>A 58891-2022</t>
        </is>
      </c>
      <c r="B778" s="1" t="n">
        <v>44896</v>
      </c>
      <c r="C778" s="1" t="n">
        <v>45830</v>
      </c>
      <c r="D778" t="inlineStr">
        <is>
          <t>SKÅNE LÄN</t>
        </is>
      </c>
      <c r="E778" t="inlineStr">
        <is>
          <t>HÄSSLEHOLM</t>
        </is>
      </c>
      <c r="F778" t="inlineStr">
        <is>
          <t>Kyrkan</t>
        </is>
      </c>
      <c r="G778" t="n">
        <v>1.6</v>
      </c>
      <c r="H778" t="n">
        <v>0</v>
      </c>
      <c r="I778" t="n">
        <v>0</v>
      </c>
      <c r="J778" t="n">
        <v>0</v>
      </c>
      <c r="K778" t="n">
        <v>0</v>
      </c>
      <c r="L778" t="n">
        <v>0</v>
      </c>
      <c r="M778" t="n">
        <v>0</v>
      </c>
      <c r="N778" t="n">
        <v>0</v>
      </c>
      <c r="O778" t="n">
        <v>0</v>
      </c>
      <c r="P778" t="n">
        <v>0</v>
      </c>
      <c r="Q778" t="n">
        <v>0</v>
      </c>
      <c r="R778" s="2" t="inlineStr"/>
    </row>
    <row r="779" ht="15" customHeight="1">
      <c r="A779" t="inlineStr">
        <is>
          <t>A 57656-2022</t>
        </is>
      </c>
      <c r="B779" s="1" t="n">
        <v>44897</v>
      </c>
      <c r="C779" s="1" t="n">
        <v>45830</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57649-2022</t>
        </is>
      </c>
      <c r="B780" s="1" t="n">
        <v>44897</v>
      </c>
      <c r="C780" s="1" t="n">
        <v>45830</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57676-2022</t>
        </is>
      </c>
      <c r="B781" s="1" t="n">
        <v>44897</v>
      </c>
      <c r="C781" s="1" t="n">
        <v>45830</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57665-2022</t>
        </is>
      </c>
      <c r="B782" s="1" t="n">
        <v>44897</v>
      </c>
      <c r="C782" s="1" t="n">
        <v>45830</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57978-2022</t>
        </is>
      </c>
      <c r="B783" s="1" t="n">
        <v>44900</v>
      </c>
      <c r="C783" s="1" t="n">
        <v>45830</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59763-2022</t>
        </is>
      </c>
      <c r="B784" s="1" t="n">
        <v>44900</v>
      </c>
      <c r="C784" s="1" t="n">
        <v>45830</v>
      </c>
      <c r="D784" t="inlineStr">
        <is>
          <t>SKÅNE LÄN</t>
        </is>
      </c>
      <c r="E784" t="inlineStr">
        <is>
          <t>HÄSSLEHOLM</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59728-2022</t>
        </is>
      </c>
      <c r="B785" s="1" t="n">
        <v>44900</v>
      </c>
      <c r="C785" s="1" t="n">
        <v>45830</v>
      </c>
      <c r="D785" t="inlineStr">
        <is>
          <t>SKÅNE LÄN</t>
        </is>
      </c>
      <c r="E785" t="inlineStr">
        <is>
          <t>HÄSSLEHOLM</t>
        </is>
      </c>
      <c r="G785" t="n">
        <v>0.3</v>
      </c>
      <c r="H785" t="n">
        <v>0</v>
      </c>
      <c r="I785" t="n">
        <v>0</v>
      </c>
      <c r="J785" t="n">
        <v>0</v>
      </c>
      <c r="K785" t="n">
        <v>0</v>
      </c>
      <c r="L785" t="n">
        <v>0</v>
      </c>
      <c r="M785" t="n">
        <v>0</v>
      </c>
      <c r="N785" t="n">
        <v>0</v>
      </c>
      <c r="O785" t="n">
        <v>0</v>
      </c>
      <c r="P785" t="n">
        <v>0</v>
      </c>
      <c r="Q785" t="n">
        <v>0</v>
      </c>
      <c r="R785" s="2" t="inlineStr"/>
    </row>
    <row r="786" ht="15" customHeight="1">
      <c r="A786" t="inlineStr">
        <is>
          <t>A 61485-2022</t>
        </is>
      </c>
      <c r="B786" s="1" t="n">
        <v>44910</v>
      </c>
      <c r="C786" s="1" t="n">
        <v>45830</v>
      </c>
      <c r="D786" t="inlineStr">
        <is>
          <t>SKÅNE LÄN</t>
        </is>
      </c>
      <c r="E786" t="inlineStr">
        <is>
          <t>HÄSSLEHOLM</t>
        </is>
      </c>
      <c r="G786" t="n">
        <v>1.9</v>
      </c>
      <c r="H786" t="n">
        <v>0</v>
      </c>
      <c r="I786" t="n">
        <v>0</v>
      </c>
      <c r="J786" t="n">
        <v>0</v>
      </c>
      <c r="K786" t="n">
        <v>0</v>
      </c>
      <c r="L786" t="n">
        <v>0</v>
      </c>
      <c r="M786" t="n">
        <v>0</v>
      </c>
      <c r="N786" t="n">
        <v>0</v>
      </c>
      <c r="O786" t="n">
        <v>0</v>
      </c>
      <c r="P786" t="n">
        <v>0</v>
      </c>
      <c r="Q786" t="n">
        <v>0</v>
      </c>
      <c r="R786" s="2" t="inlineStr"/>
    </row>
    <row r="787" ht="15" customHeight="1">
      <c r="A787" t="inlineStr">
        <is>
          <t>A 61498-2022</t>
        </is>
      </c>
      <c r="B787" s="1" t="n">
        <v>44910</v>
      </c>
      <c r="C787" s="1" t="n">
        <v>45830</v>
      </c>
      <c r="D787" t="inlineStr">
        <is>
          <t>SKÅNE LÄN</t>
        </is>
      </c>
      <c r="E787" t="inlineStr">
        <is>
          <t>HÄSSLEHOLM</t>
        </is>
      </c>
      <c r="F787" t="inlineStr">
        <is>
          <t>Kyrkan</t>
        </is>
      </c>
      <c r="G787" t="n">
        <v>3.2</v>
      </c>
      <c r="H787" t="n">
        <v>0</v>
      </c>
      <c r="I787" t="n">
        <v>0</v>
      </c>
      <c r="J787" t="n">
        <v>0</v>
      </c>
      <c r="K787" t="n">
        <v>0</v>
      </c>
      <c r="L787" t="n">
        <v>0</v>
      </c>
      <c r="M787" t="n">
        <v>0</v>
      </c>
      <c r="N787" t="n">
        <v>0</v>
      </c>
      <c r="O787" t="n">
        <v>0</v>
      </c>
      <c r="P787" t="n">
        <v>0</v>
      </c>
      <c r="Q787" t="n">
        <v>0</v>
      </c>
      <c r="R787" s="2" t="inlineStr"/>
    </row>
    <row r="788" ht="15" customHeight="1">
      <c r="A788" t="inlineStr">
        <is>
          <t>A 61504-2022</t>
        </is>
      </c>
      <c r="B788" s="1" t="n">
        <v>44910</v>
      </c>
      <c r="C788" s="1" t="n">
        <v>45830</v>
      </c>
      <c r="D788" t="inlineStr">
        <is>
          <t>SKÅNE LÄN</t>
        </is>
      </c>
      <c r="E788" t="inlineStr">
        <is>
          <t>HÄSSLEHOLM</t>
        </is>
      </c>
      <c r="F788" t="inlineStr">
        <is>
          <t>Kyrkan</t>
        </is>
      </c>
      <c r="G788" t="n">
        <v>2.9</v>
      </c>
      <c r="H788" t="n">
        <v>0</v>
      </c>
      <c r="I788" t="n">
        <v>0</v>
      </c>
      <c r="J788" t="n">
        <v>0</v>
      </c>
      <c r="K788" t="n">
        <v>0</v>
      </c>
      <c r="L788" t="n">
        <v>0</v>
      </c>
      <c r="M788" t="n">
        <v>0</v>
      </c>
      <c r="N788" t="n">
        <v>0</v>
      </c>
      <c r="O788" t="n">
        <v>0</v>
      </c>
      <c r="P788" t="n">
        <v>0</v>
      </c>
      <c r="Q788" t="n">
        <v>0</v>
      </c>
      <c r="R788" s="2" t="inlineStr"/>
    </row>
    <row r="789" ht="15" customHeight="1">
      <c r="A789" t="inlineStr">
        <is>
          <t>A 61507-2022</t>
        </is>
      </c>
      <c r="B789" s="1" t="n">
        <v>44910</v>
      </c>
      <c r="C789" s="1" t="n">
        <v>45830</v>
      </c>
      <c r="D789" t="inlineStr">
        <is>
          <t>SKÅNE LÄN</t>
        </is>
      </c>
      <c r="E789" t="inlineStr">
        <is>
          <t>HÄSSLEHOLM</t>
        </is>
      </c>
      <c r="F789" t="inlineStr">
        <is>
          <t>Kyrkan</t>
        </is>
      </c>
      <c r="G789" t="n">
        <v>4.3</v>
      </c>
      <c r="H789" t="n">
        <v>0</v>
      </c>
      <c r="I789" t="n">
        <v>0</v>
      </c>
      <c r="J789" t="n">
        <v>0</v>
      </c>
      <c r="K789" t="n">
        <v>0</v>
      </c>
      <c r="L789" t="n">
        <v>0</v>
      </c>
      <c r="M789" t="n">
        <v>0</v>
      </c>
      <c r="N789" t="n">
        <v>0</v>
      </c>
      <c r="O789" t="n">
        <v>0</v>
      </c>
      <c r="P789" t="n">
        <v>0</v>
      </c>
      <c r="Q789" t="n">
        <v>0</v>
      </c>
      <c r="R789" s="2" t="inlineStr"/>
    </row>
    <row r="790" ht="15" customHeight="1">
      <c r="A790" t="inlineStr">
        <is>
          <t>A 61524-2022</t>
        </is>
      </c>
      <c r="B790" s="1" t="n">
        <v>44910</v>
      </c>
      <c r="C790" s="1" t="n">
        <v>45830</v>
      </c>
      <c r="D790" t="inlineStr">
        <is>
          <t>SKÅNE LÄN</t>
        </is>
      </c>
      <c r="E790" t="inlineStr">
        <is>
          <t>HÄSSLEHOLM</t>
        </is>
      </c>
      <c r="F790" t="inlineStr">
        <is>
          <t>Kyrkan</t>
        </is>
      </c>
      <c r="G790" t="n">
        <v>2.1</v>
      </c>
      <c r="H790" t="n">
        <v>0</v>
      </c>
      <c r="I790" t="n">
        <v>0</v>
      </c>
      <c r="J790" t="n">
        <v>0</v>
      </c>
      <c r="K790" t="n">
        <v>0</v>
      </c>
      <c r="L790" t="n">
        <v>0</v>
      </c>
      <c r="M790" t="n">
        <v>0</v>
      </c>
      <c r="N790" t="n">
        <v>0</v>
      </c>
      <c r="O790" t="n">
        <v>0</v>
      </c>
      <c r="P790" t="n">
        <v>0</v>
      </c>
      <c r="Q790" t="n">
        <v>0</v>
      </c>
      <c r="R790" s="2" t="inlineStr"/>
    </row>
    <row r="791" ht="15" customHeight="1">
      <c r="A791" t="inlineStr">
        <is>
          <t>A 61539-2022</t>
        </is>
      </c>
      <c r="B791" s="1" t="n">
        <v>44910</v>
      </c>
      <c r="C791" s="1" t="n">
        <v>45830</v>
      </c>
      <c r="D791" t="inlineStr">
        <is>
          <t>SKÅNE LÄN</t>
        </is>
      </c>
      <c r="E791" t="inlineStr">
        <is>
          <t>HÄSSLEHOLM</t>
        </is>
      </c>
      <c r="G791" t="n">
        <v>8.6</v>
      </c>
      <c r="H791" t="n">
        <v>0</v>
      </c>
      <c r="I791" t="n">
        <v>0</v>
      </c>
      <c r="J791" t="n">
        <v>0</v>
      </c>
      <c r="K791" t="n">
        <v>0</v>
      </c>
      <c r="L791" t="n">
        <v>0</v>
      </c>
      <c r="M791" t="n">
        <v>0</v>
      </c>
      <c r="N791" t="n">
        <v>0</v>
      </c>
      <c r="O791" t="n">
        <v>0</v>
      </c>
      <c r="P791" t="n">
        <v>0</v>
      </c>
      <c r="Q791" t="n">
        <v>0</v>
      </c>
      <c r="R791" s="2" t="inlineStr"/>
    </row>
    <row r="792" ht="15" customHeight="1">
      <c r="A792" t="inlineStr">
        <is>
          <t>A 61533-2022</t>
        </is>
      </c>
      <c r="B792" s="1" t="n">
        <v>44910</v>
      </c>
      <c r="C792" s="1" t="n">
        <v>45830</v>
      </c>
      <c r="D792" t="inlineStr">
        <is>
          <t>SKÅNE LÄN</t>
        </is>
      </c>
      <c r="E792" t="inlineStr">
        <is>
          <t>HÄSSLEHOLM</t>
        </is>
      </c>
      <c r="F792" t="inlineStr">
        <is>
          <t>Kyrkan</t>
        </is>
      </c>
      <c r="G792" t="n">
        <v>1</v>
      </c>
      <c r="H792" t="n">
        <v>0</v>
      </c>
      <c r="I792" t="n">
        <v>0</v>
      </c>
      <c r="J792" t="n">
        <v>0</v>
      </c>
      <c r="K792" t="n">
        <v>0</v>
      </c>
      <c r="L792" t="n">
        <v>0</v>
      </c>
      <c r="M792" t="n">
        <v>0</v>
      </c>
      <c r="N792" t="n">
        <v>0</v>
      </c>
      <c r="O792" t="n">
        <v>0</v>
      </c>
      <c r="P792" t="n">
        <v>0</v>
      </c>
      <c r="Q792" t="n">
        <v>0</v>
      </c>
      <c r="R792" s="2" t="inlineStr"/>
    </row>
    <row r="793" ht="15" customHeight="1">
      <c r="A793" t="inlineStr">
        <is>
          <t>A 60519-2022</t>
        </is>
      </c>
      <c r="B793" s="1" t="n">
        <v>44911</v>
      </c>
      <c r="C793" s="1" t="n">
        <v>45830</v>
      </c>
      <c r="D793" t="inlineStr">
        <is>
          <t>SKÅNE LÄN</t>
        </is>
      </c>
      <c r="E793" t="inlineStr">
        <is>
          <t>HÄSSLEHOLM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60846-2022</t>
        </is>
      </c>
      <c r="B794" s="1" t="n">
        <v>44914</v>
      </c>
      <c r="C794" s="1" t="n">
        <v>45830</v>
      </c>
      <c r="D794" t="inlineStr">
        <is>
          <t>SKÅNE LÄN</t>
        </is>
      </c>
      <c r="E794" t="inlineStr">
        <is>
          <t>HÄSSLEHOLM</t>
        </is>
      </c>
      <c r="G794" t="n">
        <v>2.1</v>
      </c>
      <c r="H794" t="n">
        <v>0</v>
      </c>
      <c r="I794" t="n">
        <v>0</v>
      </c>
      <c r="J794" t="n">
        <v>0</v>
      </c>
      <c r="K794" t="n">
        <v>0</v>
      </c>
      <c r="L794" t="n">
        <v>0</v>
      </c>
      <c r="M794" t="n">
        <v>0</v>
      </c>
      <c r="N794" t="n">
        <v>0</v>
      </c>
      <c r="O794" t="n">
        <v>0</v>
      </c>
      <c r="P794" t="n">
        <v>0</v>
      </c>
      <c r="Q794" t="n">
        <v>0</v>
      </c>
      <c r="R794" s="2" t="inlineStr"/>
    </row>
    <row r="795" ht="15" customHeight="1">
      <c r="A795" t="inlineStr">
        <is>
          <t>A 60843-2022</t>
        </is>
      </c>
      <c r="B795" s="1" t="n">
        <v>44914</v>
      </c>
      <c r="C795" s="1" t="n">
        <v>45830</v>
      </c>
      <c r="D795" t="inlineStr">
        <is>
          <t>SKÅNE LÄN</t>
        </is>
      </c>
      <c r="E795" t="inlineStr">
        <is>
          <t>HÄSSLEHOLM</t>
        </is>
      </c>
      <c r="G795" t="n">
        <v>2.2</v>
      </c>
      <c r="H795" t="n">
        <v>0</v>
      </c>
      <c r="I795" t="n">
        <v>0</v>
      </c>
      <c r="J795" t="n">
        <v>0</v>
      </c>
      <c r="K795" t="n">
        <v>0</v>
      </c>
      <c r="L795" t="n">
        <v>0</v>
      </c>
      <c r="M795" t="n">
        <v>0</v>
      </c>
      <c r="N795" t="n">
        <v>0</v>
      </c>
      <c r="O795" t="n">
        <v>0</v>
      </c>
      <c r="P795" t="n">
        <v>0</v>
      </c>
      <c r="Q795" t="n">
        <v>0</v>
      </c>
      <c r="R795" s="2" t="inlineStr"/>
    </row>
    <row r="796" ht="15" customHeight="1">
      <c r="A796" t="inlineStr">
        <is>
          <t>A 60848-2022</t>
        </is>
      </c>
      <c r="B796" s="1" t="n">
        <v>44914</v>
      </c>
      <c r="C796" s="1" t="n">
        <v>45830</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60959-2022</t>
        </is>
      </c>
      <c r="B797" s="1" t="n">
        <v>44914</v>
      </c>
      <c r="C797" s="1" t="n">
        <v>45830</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61170-2022</t>
        </is>
      </c>
      <c r="B798" s="1" t="n">
        <v>44915</v>
      </c>
      <c r="C798" s="1" t="n">
        <v>45830</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61186-2022</t>
        </is>
      </c>
      <c r="B799" s="1" t="n">
        <v>44915</v>
      </c>
      <c r="C799" s="1" t="n">
        <v>45830</v>
      </c>
      <c r="D799" t="inlineStr">
        <is>
          <t>SKÅNE LÄN</t>
        </is>
      </c>
      <c r="E799" t="inlineStr">
        <is>
          <t>HÄSSLEHOLM</t>
        </is>
      </c>
      <c r="G799" t="n">
        <v>2.9</v>
      </c>
      <c r="H799" t="n">
        <v>0</v>
      </c>
      <c r="I799" t="n">
        <v>0</v>
      </c>
      <c r="J799" t="n">
        <v>0</v>
      </c>
      <c r="K799" t="n">
        <v>0</v>
      </c>
      <c r="L799" t="n">
        <v>0</v>
      </c>
      <c r="M799" t="n">
        <v>0</v>
      </c>
      <c r="N799" t="n">
        <v>0</v>
      </c>
      <c r="O799" t="n">
        <v>0</v>
      </c>
      <c r="P799" t="n">
        <v>0</v>
      </c>
      <c r="Q799" t="n">
        <v>0</v>
      </c>
      <c r="R799" s="2" t="inlineStr"/>
    </row>
    <row r="800" ht="15" customHeight="1">
      <c r="A800" t="inlineStr">
        <is>
          <t>A 61178-2022</t>
        </is>
      </c>
      <c r="B800" s="1" t="n">
        <v>44915</v>
      </c>
      <c r="C800" s="1" t="n">
        <v>45830</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61292-2022</t>
        </is>
      </c>
      <c r="B801" s="1" t="n">
        <v>44915</v>
      </c>
      <c r="C801" s="1" t="n">
        <v>45830</v>
      </c>
      <c r="D801" t="inlineStr">
        <is>
          <t>SKÅNE LÄN</t>
        </is>
      </c>
      <c r="E801" t="inlineStr">
        <is>
          <t>HÄSSLEHOLM</t>
        </is>
      </c>
      <c r="G801" t="n">
        <v>3</v>
      </c>
      <c r="H801" t="n">
        <v>0</v>
      </c>
      <c r="I801" t="n">
        <v>0</v>
      </c>
      <c r="J801" t="n">
        <v>0</v>
      </c>
      <c r="K801" t="n">
        <v>0</v>
      </c>
      <c r="L801" t="n">
        <v>0</v>
      </c>
      <c r="M801" t="n">
        <v>0</v>
      </c>
      <c r="N801" t="n">
        <v>0</v>
      </c>
      <c r="O801" t="n">
        <v>0</v>
      </c>
      <c r="P801" t="n">
        <v>0</v>
      </c>
      <c r="Q801" t="n">
        <v>0</v>
      </c>
      <c r="R801" s="2" t="inlineStr"/>
    </row>
    <row r="802" ht="15" customHeight="1">
      <c r="A802" t="inlineStr">
        <is>
          <t>A 61158-2022</t>
        </is>
      </c>
      <c r="B802" s="1" t="n">
        <v>44915</v>
      </c>
      <c r="C802" s="1" t="n">
        <v>45830</v>
      </c>
      <c r="D802" t="inlineStr">
        <is>
          <t>SKÅNE LÄN</t>
        </is>
      </c>
      <c r="E802" t="inlineStr">
        <is>
          <t>HÄSSLEHOLM</t>
        </is>
      </c>
      <c r="G802" t="n">
        <v>8.4</v>
      </c>
      <c r="H802" t="n">
        <v>0</v>
      </c>
      <c r="I802" t="n">
        <v>0</v>
      </c>
      <c r="J802" t="n">
        <v>0</v>
      </c>
      <c r="K802" t="n">
        <v>0</v>
      </c>
      <c r="L802" t="n">
        <v>0</v>
      </c>
      <c r="M802" t="n">
        <v>0</v>
      </c>
      <c r="N802" t="n">
        <v>0</v>
      </c>
      <c r="O802" t="n">
        <v>0</v>
      </c>
      <c r="P802" t="n">
        <v>0</v>
      </c>
      <c r="Q802" t="n">
        <v>0</v>
      </c>
      <c r="R802" s="2" t="inlineStr"/>
    </row>
    <row r="803" ht="15" customHeight="1">
      <c r="A803" t="inlineStr">
        <is>
          <t>A 62171-2022</t>
        </is>
      </c>
      <c r="B803" s="1" t="n">
        <v>44915</v>
      </c>
      <c r="C803" s="1" t="n">
        <v>45830</v>
      </c>
      <c r="D803" t="inlineStr">
        <is>
          <t>SKÅNE LÄN</t>
        </is>
      </c>
      <c r="E803" t="inlineStr">
        <is>
          <t>HÄSSLEHOLM</t>
        </is>
      </c>
      <c r="F803" t="inlineStr">
        <is>
          <t>Kyrkan</t>
        </is>
      </c>
      <c r="G803" t="n">
        <v>9</v>
      </c>
      <c r="H803" t="n">
        <v>0</v>
      </c>
      <c r="I803" t="n">
        <v>0</v>
      </c>
      <c r="J803" t="n">
        <v>0</v>
      </c>
      <c r="K803" t="n">
        <v>0</v>
      </c>
      <c r="L803" t="n">
        <v>0</v>
      </c>
      <c r="M803" t="n">
        <v>0</v>
      </c>
      <c r="N803" t="n">
        <v>0</v>
      </c>
      <c r="O803" t="n">
        <v>0</v>
      </c>
      <c r="P803" t="n">
        <v>0</v>
      </c>
      <c r="Q803" t="n">
        <v>0</v>
      </c>
      <c r="R803" s="2" t="inlineStr"/>
    </row>
    <row r="804" ht="15" customHeight="1">
      <c r="A804" t="inlineStr">
        <is>
          <t>A 61185-2022</t>
        </is>
      </c>
      <c r="B804" s="1" t="n">
        <v>44915</v>
      </c>
      <c r="C804" s="1" t="n">
        <v>45830</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62167-2022</t>
        </is>
      </c>
      <c r="B805" s="1" t="n">
        <v>44915</v>
      </c>
      <c r="C805" s="1" t="n">
        <v>45830</v>
      </c>
      <c r="D805" t="inlineStr">
        <is>
          <t>SKÅNE LÄN</t>
        </is>
      </c>
      <c r="E805" t="inlineStr">
        <is>
          <t>HÄSSLEHOLM</t>
        </is>
      </c>
      <c r="F805" t="inlineStr">
        <is>
          <t>Kyrkan</t>
        </is>
      </c>
      <c r="G805" t="n">
        <v>3.1</v>
      </c>
      <c r="H805" t="n">
        <v>0</v>
      </c>
      <c r="I805" t="n">
        <v>0</v>
      </c>
      <c r="J805" t="n">
        <v>0</v>
      </c>
      <c r="K805" t="n">
        <v>0</v>
      </c>
      <c r="L805" t="n">
        <v>0</v>
      </c>
      <c r="M805" t="n">
        <v>0</v>
      </c>
      <c r="N805" t="n">
        <v>0</v>
      </c>
      <c r="O805" t="n">
        <v>0</v>
      </c>
      <c r="P805" t="n">
        <v>0</v>
      </c>
      <c r="Q805" t="n">
        <v>0</v>
      </c>
      <c r="R805" s="2" t="inlineStr"/>
    </row>
    <row r="806" ht="15" customHeight="1">
      <c r="A806" t="inlineStr">
        <is>
          <t>A 62199-2022</t>
        </is>
      </c>
      <c r="B806" s="1" t="n">
        <v>44915</v>
      </c>
      <c r="C806" s="1" t="n">
        <v>45830</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61625-2022</t>
        </is>
      </c>
      <c r="B807" s="1" t="n">
        <v>44916</v>
      </c>
      <c r="C807" s="1" t="n">
        <v>45830</v>
      </c>
      <c r="D807" t="inlineStr">
        <is>
          <t>SKÅNE LÄN</t>
        </is>
      </c>
      <c r="E807" t="inlineStr">
        <is>
          <t>HÄSSLEHOLM</t>
        </is>
      </c>
      <c r="G807" t="n">
        <v>2.4</v>
      </c>
      <c r="H807" t="n">
        <v>0</v>
      </c>
      <c r="I807" t="n">
        <v>0</v>
      </c>
      <c r="J807" t="n">
        <v>0</v>
      </c>
      <c r="K807" t="n">
        <v>0</v>
      </c>
      <c r="L807" t="n">
        <v>0</v>
      </c>
      <c r="M807" t="n">
        <v>0</v>
      </c>
      <c r="N807" t="n">
        <v>0</v>
      </c>
      <c r="O807" t="n">
        <v>0</v>
      </c>
      <c r="P807" t="n">
        <v>0</v>
      </c>
      <c r="Q807" t="n">
        <v>0</v>
      </c>
      <c r="R807" s="2" t="inlineStr"/>
    </row>
    <row r="808" ht="15" customHeight="1">
      <c r="A808" t="inlineStr">
        <is>
          <t>A 61680-2022</t>
        </is>
      </c>
      <c r="B808" s="1" t="n">
        <v>44917</v>
      </c>
      <c r="C808" s="1" t="n">
        <v>45830</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61909-2022</t>
        </is>
      </c>
      <c r="B809" s="1" t="n">
        <v>44917</v>
      </c>
      <c r="C809" s="1" t="n">
        <v>45830</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61901-2022</t>
        </is>
      </c>
      <c r="B810" s="1" t="n">
        <v>44917</v>
      </c>
      <c r="C810" s="1" t="n">
        <v>45830</v>
      </c>
      <c r="D810" t="inlineStr">
        <is>
          <t>SKÅNE LÄN</t>
        </is>
      </c>
      <c r="E810" t="inlineStr">
        <is>
          <t>HÄSSLEHOLM</t>
        </is>
      </c>
      <c r="G810" t="n">
        <v>1.7</v>
      </c>
      <c r="H810" t="n">
        <v>0</v>
      </c>
      <c r="I810" t="n">
        <v>0</v>
      </c>
      <c r="J810" t="n">
        <v>0</v>
      </c>
      <c r="K810" t="n">
        <v>0</v>
      </c>
      <c r="L810" t="n">
        <v>0</v>
      </c>
      <c r="M810" t="n">
        <v>0</v>
      </c>
      <c r="N810" t="n">
        <v>0</v>
      </c>
      <c r="O810" t="n">
        <v>0</v>
      </c>
      <c r="P810" t="n">
        <v>0</v>
      </c>
      <c r="Q810" t="n">
        <v>0</v>
      </c>
      <c r="R810" s="2" t="inlineStr"/>
    </row>
    <row r="811" ht="15" customHeight="1">
      <c r="A811" t="inlineStr">
        <is>
          <t>A 62044-2022</t>
        </is>
      </c>
      <c r="B811" s="1" t="n">
        <v>44918</v>
      </c>
      <c r="C811" s="1" t="n">
        <v>45830</v>
      </c>
      <c r="D811" t="inlineStr">
        <is>
          <t>SKÅNE LÄN</t>
        </is>
      </c>
      <c r="E811" t="inlineStr">
        <is>
          <t>HÄSSLEHOLM</t>
        </is>
      </c>
      <c r="G811" t="n">
        <v>2.1</v>
      </c>
      <c r="H811" t="n">
        <v>0</v>
      </c>
      <c r="I811" t="n">
        <v>0</v>
      </c>
      <c r="J811" t="n">
        <v>0</v>
      </c>
      <c r="K811" t="n">
        <v>0</v>
      </c>
      <c r="L811" t="n">
        <v>0</v>
      </c>
      <c r="M811" t="n">
        <v>0</v>
      </c>
      <c r="N811" t="n">
        <v>0</v>
      </c>
      <c r="O811" t="n">
        <v>0</v>
      </c>
      <c r="P811" t="n">
        <v>0</v>
      </c>
      <c r="Q811" t="n">
        <v>0</v>
      </c>
      <c r="R811" s="2" t="inlineStr"/>
    </row>
    <row r="812" ht="15" customHeight="1">
      <c r="A812" t="inlineStr">
        <is>
          <t>A 62041-2022</t>
        </is>
      </c>
      <c r="B812" s="1" t="n">
        <v>44918</v>
      </c>
      <c r="C812" s="1" t="n">
        <v>45830</v>
      </c>
      <c r="D812" t="inlineStr">
        <is>
          <t>SKÅNE LÄN</t>
        </is>
      </c>
      <c r="E812" t="inlineStr">
        <is>
          <t>HÄSSLEHOLM</t>
        </is>
      </c>
      <c r="G812" t="n">
        <v>2.8</v>
      </c>
      <c r="H812" t="n">
        <v>0</v>
      </c>
      <c r="I812" t="n">
        <v>0</v>
      </c>
      <c r="J812" t="n">
        <v>0</v>
      </c>
      <c r="K812" t="n">
        <v>0</v>
      </c>
      <c r="L812" t="n">
        <v>0</v>
      </c>
      <c r="M812" t="n">
        <v>0</v>
      </c>
      <c r="N812" t="n">
        <v>0</v>
      </c>
      <c r="O812" t="n">
        <v>0</v>
      </c>
      <c r="P812" t="n">
        <v>0</v>
      </c>
      <c r="Q812" t="n">
        <v>0</v>
      </c>
      <c r="R812" s="2" t="inlineStr"/>
    </row>
    <row r="813" ht="15" customHeight="1">
      <c r="A813" t="inlineStr">
        <is>
          <t>A 62234-2022</t>
        </is>
      </c>
      <c r="B813" s="1" t="n">
        <v>44922</v>
      </c>
      <c r="C813" s="1" t="n">
        <v>45830</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876-2023</t>
        </is>
      </c>
      <c r="B814" s="1" t="n">
        <v>44931</v>
      </c>
      <c r="C814" s="1" t="n">
        <v>45830</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1426-2023</t>
        </is>
      </c>
      <c r="B815" s="1" t="n">
        <v>44937</v>
      </c>
      <c r="C815" s="1" t="n">
        <v>45830</v>
      </c>
      <c r="D815" t="inlineStr">
        <is>
          <t>SKÅNE LÄN</t>
        </is>
      </c>
      <c r="E815" t="inlineStr">
        <is>
          <t>HÄSSLEHOLM</t>
        </is>
      </c>
      <c r="F815" t="inlineStr">
        <is>
          <t>Sveaskog</t>
        </is>
      </c>
      <c r="G815" t="n">
        <v>6.8</v>
      </c>
      <c r="H815" t="n">
        <v>0</v>
      </c>
      <c r="I815" t="n">
        <v>0</v>
      </c>
      <c r="J815" t="n">
        <v>0</v>
      </c>
      <c r="K815" t="n">
        <v>0</v>
      </c>
      <c r="L815" t="n">
        <v>0</v>
      </c>
      <c r="M815" t="n">
        <v>0</v>
      </c>
      <c r="N815" t="n">
        <v>0</v>
      </c>
      <c r="O815" t="n">
        <v>0</v>
      </c>
      <c r="P815" t="n">
        <v>0</v>
      </c>
      <c r="Q815" t="n">
        <v>0</v>
      </c>
      <c r="R815" s="2" t="inlineStr"/>
    </row>
    <row r="816" ht="15" customHeight="1">
      <c r="A816" t="inlineStr">
        <is>
          <t>A 1560-2023</t>
        </is>
      </c>
      <c r="B816" s="1" t="n">
        <v>44937</v>
      </c>
      <c r="C816" s="1" t="n">
        <v>45830</v>
      </c>
      <c r="D816" t="inlineStr">
        <is>
          <t>SKÅNE LÄN</t>
        </is>
      </c>
      <c r="E816" t="inlineStr">
        <is>
          <t>HÄSSLEHOLM</t>
        </is>
      </c>
      <c r="G816" t="n">
        <v>6.8</v>
      </c>
      <c r="H816" t="n">
        <v>0</v>
      </c>
      <c r="I816" t="n">
        <v>0</v>
      </c>
      <c r="J816" t="n">
        <v>0</v>
      </c>
      <c r="K816" t="n">
        <v>0</v>
      </c>
      <c r="L816" t="n">
        <v>0</v>
      </c>
      <c r="M816" t="n">
        <v>0</v>
      </c>
      <c r="N816" t="n">
        <v>0</v>
      </c>
      <c r="O816" t="n">
        <v>0</v>
      </c>
      <c r="P816" t="n">
        <v>0</v>
      </c>
      <c r="Q816" t="n">
        <v>0</v>
      </c>
      <c r="R816" s="2" t="inlineStr"/>
    </row>
    <row r="817" ht="15" customHeight="1">
      <c r="A817" t="inlineStr">
        <is>
          <t>A 1557-2023</t>
        </is>
      </c>
      <c r="B817" s="1" t="n">
        <v>44937</v>
      </c>
      <c r="C817" s="1" t="n">
        <v>45830</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1562-2023</t>
        </is>
      </c>
      <c r="B818" s="1" t="n">
        <v>44937</v>
      </c>
      <c r="C818" s="1" t="n">
        <v>45830</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1553-2023</t>
        </is>
      </c>
      <c r="B819" s="1" t="n">
        <v>44937</v>
      </c>
      <c r="C819" s="1" t="n">
        <v>45830</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2663-2023</t>
        </is>
      </c>
      <c r="B820" s="1" t="n">
        <v>44942</v>
      </c>
      <c r="C820" s="1" t="n">
        <v>45830</v>
      </c>
      <c r="D820" t="inlineStr">
        <is>
          <t>SKÅNE LÄN</t>
        </is>
      </c>
      <c r="E820" t="inlineStr">
        <is>
          <t>HÄSSLEHOLM</t>
        </is>
      </c>
      <c r="F820" t="inlineStr">
        <is>
          <t>Kyrkan</t>
        </is>
      </c>
      <c r="G820" t="n">
        <v>0.8</v>
      </c>
      <c r="H820" t="n">
        <v>0</v>
      </c>
      <c r="I820" t="n">
        <v>0</v>
      </c>
      <c r="J820" t="n">
        <v>0</v>
      </c>
      <c r="K820" t="n">
        <v>0</v>
      </c>
      <c r="L820" t="n">
        <v>0</v>
      </c>
      <c r="M820" t="n">
        <v>0</v>
      </c>
      <c r="N820" t="n">
        <v>0</v>
      </c>
      <c r="O820" t="n">
        <v>0</v>
      </c>
      <c r="P820" t="n">
        <v>0</v>
      </c>
      <c r="Q820" t="n">
        <v>0</v>
      </c>
      <c r="R820" s="2" t="inlineStr"/>
    </row>
    <row r="821" ht="15" customHeight="1">
      <c r="A821" t="inlineStr">
        <is>
          <t>A 2743-2023</t>
        </is>
      </c>
      <c r="B821" s="1" t="n">
        <v>44944</v>
      </c>
      <c r="C821" s="1" t="n">
        <v>45830</v>
      </c>
      <c r="D821" t="inlineStr">
        <is>
          <t>SKÅNE LÄN</t>
        </is>
      </c>
      <c r="E821" t="inlineStr">
        <is>
          <t>HÄSSLEHOLM</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2882-2023</t>
        </is>
      </c>
      <c r="B822" s="1" t="n">
        <v>44945</v>
      </c>
      <c r="C822" s="1" t="n">
        <v>45830</v>
      </c>
      <c r="D822" t="inlineStr">
        <is>
          <t>SKÅNE LÄN</t>
        </is>
      </c>
      <c r="E822" t="inlineStr">
        <is>
          <t>HÄSSLEHOLM</t>
        </is>
      </c>
      <c r="G822" t="n">
        <v>5.2</v>
      </c>
      <c r="H822" t="n">
        <v>0</v>
      </c>
      <c r="I822" t="n">
        <v>0</v>
      </c>
      <c r="J822" t="n">
        <v>0</v>
      </c>
      <c r="K822" t="n">
        <v>0</v>
      </c>
      <c r="L822" t="n">
        <v>0</v>
      </c>
      <c r="M822" t="n">
        <v>0</v>
      </c>
      <c r="N822" t="n">
        <v>0</v>
      </c>
      <c r="O822" t="n">
        <v>0</v>
      </c>
      <c r="P822" t="n">
        <v>0</v>
      </c>
      <c r="Q822" t="n">
        <v>0</v>
      </c>
      <c r="R822" s="2" t="inlineStr"/>
    </row>
    <row r="823" ht="15" customHeight="1">
      <c r="A823" t="inlineStr">
        <is>
          <t>A 3135-2023</t>
        </is>
      </c>
      <c r="B823" s="1" t="n">
        <v>44946</v>
      </c>
      <c r="C823" s="1" t="n">
        <v>45830</v>
      </c>
      <c r="D823" t="inlineStr">
        <is>
          <t>SKÅNE LÄN</t>
        </is>
      </c>
      <c r="E823" t="inlineStr">
        <is>
          <t>HÄSSLEHOLM</t>
        </is>
      </c>
      <c r="G823" t="n">
        <v>7.2</v>
      </c>
      <c r="H823" t="n">
        <v>0</v>
      </c>
      <c r="I823" t="n">
        <v>0</v>
      </c>
      <c r="J823" t="n">
        <v>0</v>
      </c>
      <c r="K823" t="n">
        <v>0</v>
      </c>
      <c r="L823" t="n">
        <v>0</v>
      </c>
      <c r="M823" t="n">
        <v>0</v>
      </c>
      <c r="N823" t="n">
        <v>0</v>
      </c>
      <c r="O823" t="n">
        <v>0</v>
      </c>
      <c r="P823" t="n">
        <v>0</v>
      </c>
      <c r="Q823" t="n">
        <v>0</v>
      </c>
      <c r="R823" s="2" t="inlineStr"/>
    </row>
    <row r="824" ht="15" customHeight="1">
      <c r="A824" t="inlineStr">
        <is>
          <t>A 3123-2023</t>
        </is>
      </c>
      <c r="B824" s="1" t="n">
        <v>44946</v>
      </c>
      <c r="C824" s="1" t="n">
        <v>45830</v>
      </c>
      <c r="D824" t="inlineStr">
        <is>
          <t>SKÅNE LÄN</t>
        </is>
      </c>
      <c r="E824" t="inlineStr">
        <is>
          <t>HÄSSLEHOLM</t>
        </is>
      </c>
      <c r="G824" t="n">
        <v>3.5</v>
      </c>
      <c r="H824" t="n">
        <v>0</v>
      </c>
      <c r="I824" t="n">
        <v>0</v>
      </c>
      <c r="J824" t="n">
        <v>0</v>
      </c>
      <c r="K824" t="n">
        <v>0</v>
      </c>
      <c r="L824" t="n">
        <v>0</v>
      </c>
      <c r="M824" t="n">
        <v>0</v>
      </c>
      <c r="N824" t="n">
        <v>0</v>
      </c>
      <c r="O824" t="n">
        <v>0</v>
      </c>
      <c r="P824" t="n">
        <v>0</v>
      </c>
      <c r="Q824" t="n">
        <v>0</v>
      </c>
      <c r="R824" s="2" t="inlineStr"/>
    </row>
    <row r="825" ht="15" customHeight="1">
      <c r="A825" t="inlineStr">
        <is>
          <t>A 3069-2023</t>
        </is>
      </c>
      <c r="B825" s="1" t="n">
        <v>44946</v>
      </c>
      <c r="C825" s="1" t="n">
        <v>45830</v>
      </c>
      <c r="D825" t="inlineStr">
        <is>
          <t>SKÅNE LÄN</t>
        </is>
      </c>
      <c r="E825" t="inlineStr">
        <is>
          <t>HÄSSLEHOLM</t>
        </is>
      </c>
      <c r="G825" t="n">
        <v>3.7</v>
      </c>
      <c r="H825" t="n">
        <v>0</v>
      </c>
      <c r="I825" t="n">
        <v>0</v>
      </c>
      <c r="J825" t="n">
        <v>0</v>
      </c>
      <c r="K825" t="n">
        <v>0</v>
      </c>
      <c r="L825" t="n">
        <v>0</v>
      </c>
      <c r="M825" t="n">
        <v>0</v>
      </c>
      <c r="N825" t="n">
        <v>0</v>
      </c>
      <c r="O825" t="n">
        <v>0</v>
      </c>
      <c r="P825" t="n">
        <v>0</v>
      </c>
      <c r="Q825" t="n">
        <v>0</v>
      </c>
      <c r="R825" s="2" t="inlineStr"/>
    </row>
    <row r="826" ht="15" customHeight="1">
      <c r="A826" t="inlineStr">
        <is>
          <t>A 3126-2023</t>
        </is>
      </c>
      <c r="B826" s="1" t="n">
        <v>44946</v>
      </c>
      <c r="C826" s="1" t="n">
        <v>45830</v>
      </c>
      <c r="D826" t="inlineStr">
        <is>
          <t>SKÅNE LÄN</t>
        </is>
      </c>
      <c r="E826" t="inlineStr">
        <is>
          <t>HÄSSLEHOLM</t>
        </is>
      </c>
      <c r="G826" t="n">
        <v>2.2</v>
      </c>
      <c r="H826" t="n">
        <v>0</v>
      </c>
      <c r="I826" t="n">
        <v>0</v>
      </c>
      <c r="J826" t="n">
        <v>0</v>
      </c>
      <c r="K826" t="n">
        <v>0</v>
      </c>
      <c r="L826" t="n">
        <v>0</v>
      </c>
      <c r="M826" t="n">
        <v>0</v>
      </c>
      <c r="N826" t="n">
        <v>0</v>
      </c>
      <c r="O826" t="n">
        <v>0</v>
      </c>
      <c r="P826" t="n">
        <v>0</v>
      </c>
      <c r="Q826" t="n">
        <v>0</v>
      </c>
      <c r="R826" s="2" t="inlineStr"/>
    </row>
    <row r="827" ht="15" customHeight="1">
      <c r="A827" t="inlineStr">
        <is>
          <t>A 3132-2023</t>
        </is>
      </c>
      <c r="B827" s="1" t="n">
        <v>44946</v>
      </c>
      <c r="C827" s="1" t="n">
        <v>45830</v>
      </c>
      <c r="D827" t="inlineStr">
        <is>
          <t>SKÅNE LÄN</t>
        </is>
      </c>
      <c r="E827" t="inlineStr">
        <is>
          <t>HÄSSLEHOLM</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3349-2023</t>
        </is>
      </c>
      <c r="B828" s="1" t="n">
        <v>44949</v>
      </c>
      <c r="C828" s="1" t="n">
        <v>45830</v>
      </c>
      <c r="D828" t="inlineStr">
        <is>
          <t>SKÅNE LÄN</t>
        </is>
      </c>
      <c r="E828" t="inlineStr">
        <is>
          <t>HÄSSLEHOLM</t>
        </is>
      </c>
      <c r="G828" t="n">
        <v>2.3</v>
      </c>
      <c r="H828" t="n">
        <v>0</v>
      </c>
      <c r="I828" t="n">
        <v>0</v>
      </c>
      <c r="J828" t="n">
        <v>0</v>
      </c>
      <c r="K828" t="n">
        <v>0</v>
      </c>
      <c r="L828" t="n">
        <v>0</v>
      </c>
      <c r="M828" t="n">
        <v>0</v>
      </c>
      <c r="N828" t="n">
        <v>0</v>
      </c>
      <c r="O828" t="n">
        <v>0</v>
      </c>
      <c r="P828" t="n">
        <v>0</v>
      </c>
      <c r="Q828" t="n">
        <v>0</v>
      </c>
      <c r="R828" s="2" t="inlineStr"/>
    </row>
    <row r="829" ht="15" customHeight="1">
      <c r="A829" t="inlineStr">
        <is>
          <t>A 3325-2023</t>
        </is>
      </c>
      <c r="B829" s="1" t="n">
        <v>44949</v>
      </c>
      <c r="C829" s="1" t="n">
        <v>45830</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3364-2023</t>
        </is>
      </c>
      <c r="B830" s="1" t="n">
        <v>44949</v>
      </c>
      <c r="C830" s="1" t="n">
        <v>45830</v>
      </c>
      <c r="D830" t="inlineStr">
        <is>
          <t>SKÅNE LÄN</t>
        </is>
      </c>
      <c r="E830" t="inlineStr">
        <is>
          <t>HÄSSLEHOLM</t>
        </is>
      </c>
      <c r="G830" t="n">
        <v>5.1</v>
      </c>
      <c r="H830" t="n">
        <v>0</v>
      </c>
      <c r="I830" t="n">
        <v>0</v>
      </c>
      <c r="J830" t="n">
        <v>0</v>
      </c>
      <c r="K830" t="n">
        <v>0</v>
      </c>
      <c r="L830" t="n">
        <v>0</v>
      </c>
      <c r="M830" t="n">
        <v>0</v>
      </c>
      <c r="N830" t="n">
        <v>0</v>
      </c>
      <c r="O830" t="n">
        <v>0</v>
      </c>
      <c r="P830" t="n">
        <v>0</v>
      </c>
      <c r="Q830" t="n">
        <v>0</v>
      </c>
      <c r="R830" s="2" t="inlineStr"/>
    </row>
    <row r="831" ht="15" customHeight="1">
      <c r="A831" t="inlineStr">
        <is>
          <t>A 3291-2023</t>
        </is>
      </c>
      <c r="B831" s="1" t="n">
        <v>44949</v>
      </c>
      <c r="C831" s="1" t="n">
        <v>45830</v>
      </c>
      <c r="D831" t="inlineStr">
        <is>
          <t>SKÅNE LÄN</t>
        </is>
      </c>
      <c r="E831" t="inlineStr">
        <is>
          <t>HÄSSLEHOLM</t>
        </is>
      </c>
      <c r="G831" t="n">
        <v>3.6</v>
      </c>
      <c r="H831" t="n">
        <v>0</v>
      </c>
      <c r="I831" t="n">
        <v>0</v>
      </c>
      <c r="J831" t="n">
        <v>0</v>
      </c>
      <c r="K831" t="n">
        <v>0</v>
      </c>
      <c r="L831" t="n">
        <v>0</v>
      </c>
      <c r="M831" t="n">
        <v>0</v>
      </c>
      <c r="N831" t="n">
        <v>0</v>
      </c>
      <c r="O831" t="n">
        <v>0</v>
      </c>
      <c r="P831" t="n">
        <v>0</v>
      </c>
      <c r="Q831" t="n">
        <v>0</v>
      </c>
      <c r="R831" s="2" t="inlineStr"/>
    </row>
    <row r="832" ht="15" customHeight="1">
      <c r="A832" t="inlineStr">
        <is>
          <t>A 3452-2023</t>
        </is>
      </c>
      <c r="B832" s="1" t="n">
        <v>44949</v>
      </c>
      <c r="C832" s="1" t="n">
        <v>45830</v>
      </c>
      <c r="D832" t="inlineStr">
        <is>
          <t>SKÅNE LÄN</t>
        </is>
      </c>
      <c r="E832" t="inlineStr">
        <is>
          <t>HÄSSLEHOLM</t>
        </is>
      </c>
      <c r="G832" t="n">
        <v>1.3</v>
      </c>
      <c r="H832" t="n">
        <v>0</v>
      </c>
      <c r="I832" t="n">
        <v>0</v>
      </c>
      <c r="J832" t="n">
        <v>0</v>
      </c>
      <c r="K832" t="n">
        <v>0</v>
      </c>
      <c r="L832" t="n">
        <v>0</v>
      </c>
      <c r="M832" t="n">
        <v>0</v>
      </c>
      <c r="N832" t="n">
        <v>0</v>
      </c>
      <c r="O832" t="n">
        <v>0</v>
      </c>
      <c r="P832" t="n">
        <v>0</v>
      </c>
      <c r="Q832" t="n">
        <v>0</v>
      </c>
      <c r="R832" s="2" t="inlineStr"/>
    </row>
    <row r="833" ht="15" customHeight="1">
      <c r="A833" t="inlineStr">
        <is>
          <t>A 3531-2023</t>
        </is>
      </c>
      <c r="B833" s="1" t="n">
        <v>44950</v>
      </c>
      <c r="C833" s="1" t="n">
        <v>45830</v>
      </c>
      <c r="D833" t="inlineStr">
        <is>
          <t>SKÅNE LÄN</t>
        </is>
      </c>
      <c r="E833" t="inlineStr">
        <is>
          <t>HÄSSLEHOLM</t>
        </is>
      </c>
      <c r="G833" t="n">
        <v>10.1</v>
      </c>
      <c r="H833" t="n">
        <v>0</v>
      </c>
      <c r="I833" t="n">
        <v>0</v>
      </c>
      <c r="J833" t="n">
        <v>0</v>
      </c>
      <c r="K833" t="n">
        <v>0</v>
      </c>
      <c r="L833" t="n">
        <v>0</v>
      </c>
      <c r="M833" t="n">
        <v>0</v>
      </c>
      <c r="N833" t="n">
        <v>0</v>
      </c>
      <c r="O833" t="n">
        <v>0</v>
      </c>
      <c r="P833" t="n">
        <v>0</v>
      </c>
      <c r="Q833" t="n">
        <v>0</v>
      </c>
      <c r="R833" s="2" t="inlineStr"/>
    </row>
    <row r="834" ht="15" customHeight="1">
      <c r="A834" t="inlineStr">
        <is>
          <t>A 3855-2023</t>
        </is>
      </c>
      <c r="B834" s="1" t="n">
        <v>44951</v>
      </c>
      <c r="C834" s="1" t="n">
        <v>45830</v>
      </c>
      <c r="D834" t="inlineStr">
        <is>
          <t>SKÅNE LÄN</t>
        </is>
      </c>
      <c r="E834" t="inlineStr">
        <is>
          <t>HÄSSLEHOLM</t>
        </is>
      </c>
      <c r="G834" t="n">
        <v>2.3</v>
      </c>
      <c r="H834" t="n">
        <v>0</v>
      </c>
      <c r="I834" t="n">
        <v>0</v>
      </c>
      <c r="J834" t="n">
        <v>0</v>
      </c>
      <c r="K834" t="n">
        <v>0</v>
      </c>
      <c r="L834" t="n">
        <v>0</v>
      </c>
      <c r="M834" t="n">
        <v>0</v>
      </c>
      <c r="N834" t="n">
        <v>0</v>
      </c>
      <c r="O834" t="n">
        <v>0</v>
      </c>
      <c r="P834" t="n">
        <v>0</v>
      </c>
      <c r="Q834" t="n">
        <v>0</v>
      </c>
      <c r="R834" s="2" t="inlineStr"/>
    </row>
    <row r="835" ht="15" customHeight="1">
      <c r="A835" t="inlineStr">
        <is>
          <t>A 4042-2023</t>
        </is>
      </c>
      <c r="B835" s="1" t="n">
        <v>44952</v>
      </c>
      <c r="C835" s="1" t="n">
        <v>45830</v>
      </c>
      <c r="D835" t="inlineStr">
        <is>
          <t>SKÅNE LÄN</t>
        </is>
      </c>
      <c r="E835" t="inlineStr">
        <is>
          <t>HÄSSLEHOLM</t>
        </is>
      </c>
      <c r="G835" t="n">
        <v>2.7</v>
      </c>
      <c r="H835" t="n">
        <v>0</v>
      </c>
      <c r="I835" t="n">
        <v>0</v>
      </c>
      <c r="J835" t="n">
        <v>0</v>
      </c>
      <c r="K835" t="n">
        <v>0</v>
      </c>
      <c r="L835" t="n">
        <v>0</v>
      </c>
      <c r="M835" t="n">
        <v>0</v>
      </c>
      <c r="N835" t="n">
        <v>0</v>
      </c>
      <c r="O835" t="n">
        <v>0</v>
      </c>
      <c r="P835" t="n">
        <v>0</v>
      </c>
      <c r="Q835" t="n">
        <v>0</v>
      </c>
      <c r="R835" s="2" t="inlineStr"/>
    </row>
    <row r="836" ht="15" customHeight="1">
      <c r="A836" t="inlineStr">
        <is>
          <t>A 4140-2023</t>
        </is>
      </c>
      <c r="B836" s="1" t="n">
        <v>44953</v>
      </c>
      <c r="C836" s="1" t="n">
        <v>45830</v>
      </c>
      <c r="D836" t="inlineStr">
        <is>
          <t>SKÅNE LÄN</t>
        </is>
      </c>
      <c r="E836" t="inlineStr">
        <is>
          <t>HÄSSLEHOLM</t>
        </is>
      </c>
      <c r="G836" t="n">
        <v>10.6</v>
      </c>
      <c r="H836" t="n">
        <v>0</v>
      </c>
      <c r="I836" t="n">
        <v>0</v>
      </c>
      <c r="J836" t="n">
        <v>0</v>
      </c>
      <c r="K836" t="n">
        <v>0</v>
      </c>
      <c r="L836" t="n">
        <v>0</v>
      </c>
      <c r="M836" t="n">
        <v>0</v>
      </c>
      <c r="N836" t="n">
        <v>0</v>
      </c>
      <c r="O836" t="n">
        <v>0</v>
      </c>
      <c r="P836" t="n">
        <v>0</v>
      </c>
      <c r="Q836" t="n">
        <v>0</v>
      </c>
      <c r="R836" s="2" t="inlineStr"/>
    </row>
    <row r="837" ht="15" customHeight="1">
      <c r="A837" t="inlineStr">
        <is>
          <t>A 4187-2023</t>
        </is>
      </c>
      <c r="B837" s="1" t="n">
        <v>44953</v>
      </c>
      <c r="C837" s="1" t="n">
        <v>45830</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4382-2023</t>
        </is>
      </c>
      <c r="B838" s="1" t="n">
        <v>44955</v>
      </c>
      <c r="C838" s="1" t="n">
        <v>45830</v>
      </c>
      <c r="D838" t="inlineStr">
        <is>
          <t>SKÅNE LÄN</t>
        </is>
      </c>
      <c r="E838" t="inlineStr">
        <is>
          <t>HÄSSLEHOLM</t>
        </is>
      </c>
      <c r="G838" t="n">
        <v>0.3</v>
      </c>
      <c r="H838" t="n">
        <v>0</v>
      </c>
      <c r="I838" t="n">
        <v>0</v>
      </c>
      <c r="J838" t="n">
        <v>0</v>
      </c>
      <c r="K838" t="n">
        <v>0</v>
      </c>
      <c r="L838" t="n">
        <v>0</v>
      </c>
      <c r="M838" t="n">
        <v>0</v>
      </c>
      <c r="N838" t="n">
        <v>0</v>
      </c>
      <c r="O838" t="n">
        <v>0</v>
      </c>
      <c r="P838" t="n">
        <v>0</v>
      </c>
      <c r="Q838" t="n">
        <v>0</v>
      </c>
      <c r="R838" s="2" t="inlineStr"/>
    </row>
    <row r="839" ht="15" customHeight="1">
      <c r="A839" t="inlineStr">
        <is>
          <t>A 4787-2023</t>
        </is>
      </c>
      <c r="B839" s="1" t="n">
        <v>44957</v>
      </c>
      <c r="C839" s="1" t="n">
        <v>45830</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4774-2023</t>
        </is>
      </c>
      <c r="B840" s="1" t="n">
        <v>44957</v>
      </c>
      <c r="C840" s="1" t="n">
        <v>45830</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4788-2023</t>
        </is>
      </c>
      <c r="B841" s="1" t="n">
        <v>44957</v>
      </c>
      <c r="C841" s="1" t="n">
        <v>45830</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5116-2023</t>
        </is>
      </c>
      <c r="B842" s="1" t="n">
        <v>44958</v>
      </c>
      <c r="C842" s="1" t="n">
        <v>45830</v>
      </c>
      <c r="D842" t="inlineStr">
        <is>
          <t>SKÅNE LÄN</t>
        </is>
      </c>
      <c r="E842" t="inlineStr">
        <is>
          <t>HÄSSLEHOLM</t>
        </is>
      </c>
      <c r="G842" t="n">
        <v>1.7</v>
      </c>
      <c r="H842" t="n">
        <v>0</v>
      </c>
      <c r="I842" t="n">
        <v>0</v>
      </c>
      <c r="J842" t="n">
        <v>0</v>
      </c>
      <c r="K842" t="n">
        <v>0</v>
      </c>
      <c r="L842" t="n">
        <v>0</v>
      </c>
      <c r="M842" t="n">
        <v>0</v>
      </c>
      <c r="N842" t="n">
        <v>0</v>
      </c>
      <c r="O842" t="n">
        <v>0</v>
      </c>
      <c r="P842" t="n">
        <v>0</v>
      </c>
      <c r="Q842" t="n">
        <v>0</v>
      </c>
      <c r="R842" s="2" t="inlineStr"/>
    </row>
    <row r="843" ht="15" customHeight="1">
      <c r="A843" t="inlineStr">
        <is>
          <t>A 5754-2023</t>
        </is>
      </c>
      <c r="B843" s="1" t="n">
        <v>44958</v>
      </c>
      <c r="C843" s="1" t="n">
        <v>45830</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5036-2023</t>
        </is>
      </c>
      <c r="B844" s="1" t="n">
        <v>44958</v>
      </c>
      <c r="C844" s="1" t="n">
        <v>45830</v>
      </c>
      <c r="D844" t="inlineStr">
        <is>
          <t>SKÅNE LÄN</t>
        </is>
      </c>
      <c r="E844" t="inlineStr">
        <is>
          <t>HÄSSLEHOLM</t>
        </is>
      </c>
      <c r="G844" t="n">
        <v>3.1</v>
      </c>
      <c r="H844" t="n">
        <v>0</v>
      </c>
      <c r="I844" t="n">
        <v>0</v>
      </c>
      <c r="J844" t="n">
        <v>0</v>
      </c>
      <c r="K844" t="n">
        <v>0</v>
      </c>
      <c r="L844" t="n">
        <v>0</v>
      </c>
      <c r="M844" t="n">
        <v>0</v>
      </c>
      <c r="N844" t="n">
        <v>0</v>
      </c>
      <c r="O844" t="n">
        <v>0</v>
      </c>
      <c r="P844" t="n">
        <v>0</v>
      </c>
      <c r="Q844" t="n">
        <v>0</v>
      </c>
      <c r="R844" s="2" t="inlineStr"/>
    </row>
    <row r="845" ht="15" customHeight="1">
      <c r="A845" t="inlineStr">
        <is>
          <t>A 5285-2023</t>
        </is>
      </c>
      <c r="B845" s="1" t="n">
        <v>44959</v>
      </c>
      <c r="C845" s="1" t="n">
        <v>45830</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5282-2023</t>
        </is>
      </c>
      <c r="B846" s="1" t="n">
        <v>44959</v>
      </c>
      <c r="C846" s="1" t="n">
        <v>45830</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5316-2023</t>
        </is>
      </c>
      <c r="B847" s="1" t="n">
        <v>44959</v>
      </c>
      <c r="C847" s="1" t="n">
        <v>45830</v>
      </c>
      <c r="D847" t="inlineStr">
        <is>
          <t>SKÅNE LÄN</t>
        </is>
      </c>
      <c r="E847" t="inlineStr">
        <is>
          <t>HÄSSLEHOLM</t>
        </is>
      </c>
      <c r="G847" t="n">
        <v>2.1</v>
      </c>
      <c r="H847" t="n">
        <v>0</v>
      </c>
      <c r="I847" t="n">
        <v>0</v>
      </c>
      <c r="J847" t="n">
        <v>0</v>
      </c>
      <c r="K847" t="n">
        <v>0</v>
      </c>
      <c r="L847" t="n">
        <v>0</v>
      </c>
      <c r="M847" t="n">
        <v>0</v>
      </c>
      <c r="N847" t="n">
        <v>0</v>
      </c>
      <c r="O847" t="n">
        <v>0</v>
      </c>
      <c r="P847" t="n">
        <v>0</v>
      </c>
      <c r="Q847" t="n">
        <v>0</v>
      </c>
      <c r="R847" s="2" t="inlineStr"/>
    </row>
    <row r="848" ht="15" customHeight="1">
      <c r="A848" t="inlineStr">
        <is>
          <t>A 5284-2023</t>
        </is>
      </c>
      <c r="B848" s="1" t="n">
        <v>44959</v>
      </c>
      <c r="C848" s="1" t="n">
        <v>45830</v>
      </c>
      <c r="D848" t="inlineStr">
        <is>
          <t>SKÅNE LÄN</t>
        </is>
      </c>
      <c r="E848" t="inlineStr">
        <is>
          <t>HÄSSLEHOLM</t>
        </is>
      </c>
      <c r="G848" t="n">
        <v>0.4</v>
      </c>
      <c r="H848" t="n">
        <v>0</v>
      </c>
      <c r="I848" t="n">
        <v>0</v>
      </c>
      <c r="J848" t="n">
        <v>0</v>
      </c>
      <c r="K848" t="n">
        <v>0</v>
      </c>
      <c r="L848" t="n">
        <v>0</v>
      </c>
      <c r="M848" t="n">
        <v>0</v>
      </c>
      <c r="N848" t="n">
        <v>0</v>
      </c>
      <c r="O848" t="n">
        <v>0</v>
      </c>
      <c r="P848" t="n">
        <v>0</v>
      </c>
      <c r="Q848" t="n">
        <v>0</v>
      </c>
      <c r="R848" s="2" t="inlineStr"/>
    </row>
    <row r="849" ht="15" customHeight="1">
      <c r="A849" t="inlineStr">
        <is>
          <t>A 5306-2023</t>
        </is>
      </c>
      <c r="B849" s="1" t="n">
        <v>44959</v>
      </c>
      <c r="C849" s="1" t="n">
        <v>45830</v>
      </c>
      <c r="D849" t="inlineStr">
        <is>
          <t>SKÅNE LÄN</t>
        </is>
      </c>
      <c r="E849" t="inlineStr">
        <is>
          <t>HÄSSLEHOLM</t>
        </is>
      </c>
      <c r="G849" t="n">
        <v>3</v>
      </c>
      <c r="H849" t="n">
        <v>0</v>
      </c>
      <c r="I849" t="n">
        <v>0</v>
      </c>
      <c r="J849" t="n">
        <v>0</v>
      </c>
      <c r="K849" t="n">
        <v>0</v>
      </c>
      <c r="L849" t="n">
        <v>0</v>
      </c>
      <c r="M849" t="n">
        <v>0</v>
      </c>
      <c r="N849" t="n">
        <v>0</v>
      </c>
      <c r="O849" t="n">
        <v>0</v>
      </c>
      <c r="P849" t="n">
        <v>0</v>
      </c>
      <c r="Q849" t="n">
        <v>0</v>
      </c>
      <c r="R849" s="2" t="inlineStr"/>
    </row>
    <row r="850" ht="15" customHeight="1">
      <c r="A850" t="inlineStr">
        <is>
          <t>A 5971-2023</t>
        </is>
      </c>
      <c r="B850" s="1" t="n">
        <v>44959</v>
      </c>
      <c r="C850" s="1" t="n">
        <v>45830</v>
      </c>
      <c r="D850" t="inlineStr">
        <is>
          <t>SKÅNE LÄN</t>
        </is>
      </c>
      <c r="E850" t="inlineStr">
        <is>
          <t>HÄSSLEHOLM</t>
        </is>
      </c>
      <c r="G850" t="n">
        <v>3.4</v>
      </c>
      <c r="H850" t="n">
        <v>0</v>
      </c>
      <c r="I850" t="n">
        <v>0</v>
      </c>
      <c r="J850" t="n">
        <v>0</v>
      </c>
      <c r="K850" t="n">
        <v>0</v>
      </c>
      <c r="L850" t="n">
        <v>0</v>
      </c>
      <c r="M850" t="n">
        <v>0</v>
      </c>
      <c r="N850" t="n">
        <v>0</v>
      </c>
      <c r="O850" t="n">
        <v>0</v>
      </c>
      <c r="P850" t="n">
        <v>0</v>
      </c>
      <c r="Q850" t="n">
        <v>0</v>
      </c>
      <c r="R850" s="2" t="inlineStr"/>
    </row>
    <row r="851" ht="15" customHeight="1">
      <c r="A851" t="inlineStr">
        <is>
          <t>A 5502-2023</t>
        </is>
      </c>
      <c r="B851" s="1" t="n">
        <v>44960</v>
      </c>
      <c r="C851" s="1" t="n">
        <v>45830</v>
      </c>
      <c r="D851" t="inlineStr">
        <is>
          <t>SKÅNE LÄN</t>
        </is>
      </c>
      <c r="E851" t="inlineStr">
        <is>
          <t>HÄSSLEHOLM</t>
        </is>
      </c>
      <c r="F851" t="inlineStr">
        <is>
          <t>Övriga Aktiebolag</t>
        </is>
      </c>
      <c r="G851" t="n">
        <v>0.6</v>
      </c>
      <c r="H851" t="n">
        <v>0</v>
      </c>
      <c r="I851" t="n">
        <v>0</v>
      </c>
      <c r="J851" t="n">
        <v>0</v>
      </c>
      <c r="K851" t="n">
        <v>0</v>
      </c>
      <c r="L851" t="n">
        <v>0</v>
      </c>
      <c r="M851" t="n">
        <v>0</v>
      </c>
      <c r="N851" t="n">
        <v>0</v>
      </c>
      <c r="O851" t="n">
        <v>0</v>
      </c>
      <c r="P851" t="n">
        <v>0</v>
      </c>
      <c r="Q851" t="n">
        <v>0</v>
      </c>
      <c r="R851" s="2" t="inlineStr"/>
    </row>
    <row r="852" ht="15" customHeight="1">
      <c r="A852" t="inlineStr">
        <is>
          <t>A 5891-2023</t>
        </is>
      </c>
      <c r="B852" s="1" t="n">
        <v>44963</v>
      </c>
      <c r="C852" s="1" t="n">
        <v>45830</v>
      </c>
      <c r="D852" t="inlineStr">
        <is>
          <t>SKÅNE LÄN</t>
        </is>
      </c>
      <c r="E852" t="inlineStr">
        <is>
          <t>HÄSSLEHOLM</t>
        </is>
      </c>
      <c r="G852" t="n">
        <v>2.1</v>
      </c>
      <c r="H852" t="n">
        <v>0</v>
      </c>
      <c r="I852" t="n">
        <v>0</v>
      </c>
      <c r="J852" t="n">
        <v>0</v>
      </c>
      <c r="K852" t="n">
        <v>0</v>
      </c>
      <c r="L852" t="n">
        <v>0</v>
      </c>
      <c r="M852" t="n">
        <v>0</v>
      </c>
      <c r="N852" t="n">
        <v>0</v>
      </c>
      <c r="O852" t="n">
        <v>0</v>
      </c>
      <c r="P852" t="n">
        <v>0</v>
      </c>
      <c r="Q852" t="n">
        <v>0</v>
      </c>
      <c r="R852" s="2" t="inlineStr"/>
    </row>
    <row r="853" ht="15" customHeight="1">
      <c r="A853" t="inlineStr">
        <is>
          <t>A 5890-2023</t>
        </is>
      </c>
      <c r="B853" s="1" t="n">
        <v>44963</v>
      </c>
      <c r="C853" s="1" t="n">
        <v>45830</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5894-2023</t>
        </is>
      </c>
      <c r="B854" s="1" t="n">
        <v>44963</v>
      </c>
      <c r="C854" s="1" t="n">
        <v>45830</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6164-2023</t>
        </is>
      </c>
      <c r="B855" s="1" t="n">
        <v>44964</v>
      </c>
      <c r="C855" s="1" t="n">
        <v>45830</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6416-2023</t>
        </is>
      </c>
      <c r="B856" s="1" t="n">
        <v>44965</v>
      </c>
      <c r="C856" s="1" t="n">
        <v>45830</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6836-2023</t>
        </is>
      </c>
      <c r="B857" s="1" t="n">
        <v>44967</v>
      </c>
      <c r="C857" s="1" t="n">
        <v>45830</v>
      </c>
      <c r="D857" t="inlineStr">
        <is>
          <t>SKÅNE LÄN</t>
        </is>
      </c>
      <c r="E857" t="inlineStr">
        <is>
          <t>HÄSSLEHOLM</t>
        </is>
      </c>
      <c r="G857" t="n">
        <v>3.5</v>
      </c>
      <c r="H857" t="n">
        <v>0</v>
      </c>
      <c r="I857" t="n">
        <v>0</v>
      </c>
      <c r="J857" t="n">
        <v>0</v>
      </c>
      <c r="K857" t="n">
        <v>0</v>
      </c>
      <c r="L857" t="n">
        <v>0</v>
      </c>
      <c r="M857" t="n">
        <v>0</v>
      </c>
      <c r="N857" t="n">
        <v>0</v>
      </c>
      <c r="O857" t="n">
        <v>0</v>
      </c>
      <c r="P857" t="n">
        <v>0</v>
      </c>
      <c r="Q857" t="n">
        <v>0</v>
      </c>
      <c r="R857" s="2" t="inlineStr"/>
    </row>
    <row r="858" ht="15" customHeight="1">
      <c r="A858" t="inlineStr">
        <is>
          <t>A 6845-2023</t>
        </is>
      </c>
      <c r="B858" s="1" t="n">
        <v>44967</v>
      </c>
      <c r="C858" s="1" t="n">
        <v>45830</v>
      </c>
      <c r="D858" t="inlineStr">
        <is>
          <t>SKÅNE LÄN</t>
        </is>
      </c>
      <c r="E858" t="inlineStr">
        <is>
          <t>HÄSSLEHOLM</t>
        </is>
      </c>
      <c r="G858" t="n">
        <v>1.4</v>
      </c>
      <c r="H858" t="n">
        <v>0</v>
      </c>
      <c r="I858" t="n">
        <v>0</v>
      </c>
      <c r="J858" t="n">
        <v>0</v>
      </c>
      <c r="K858" t="n">
        <v>0</v>
      </c>
      <c r="L858" t="n">
        <v>0</v>
      </c>
      <c r="M858" t="n">
        <v>0</v>
      </c>
      <c r="N858" t="n">
        <v>0</v>
      </c>
      <c r="O858" t="n">
        <v>0</v>
      </c>
      <c r="P858" t="n">
        <v>0</v>
      </c>
      <c r="Q858" t="n">
        <v>0</v>
      </c>
      <c r="R858" s="2" t="inlineStr"/>
    </row>
    <row r="859" ht="15" customHeight="1">
      <c r="A859" t="inlineStr">
        <is>
          <t>A 6842-2023</t>
        </is>
      </c>
      <c r="B859" s="1" t="n">
        <v>44967</v>
      </c>
      <c r="C859" s="1" t="n">
        <v>45830</v>
      </c>
      <c r="D859" t="inlineStr">
        <is>
          <t>SKÅNE LÄN</t>
        </is>
      </c>
      <c r="E859" t="inlineStr">
        <is>
          <t>HÄSSLEHOLM</t>
        </is>
      </c>
      <c r="G859" t="n">
        <v>1.9</v>
      </c>
      <c r="H859" t="n">
        <v>0</v>
      </c>
      <c r="I859" t="n">
        <v>0</v>
      </c>
      <c r="J859" t="n">
        <v>0</v>
      </c>
      <c r="K859" t="n">
        <v>0</v>
      </c>
      <c r="L859" t="n">
        <v>0</v>
      </c>
      <c r="M859" t="n">
        <v>0</v>
      </c>
      <c r="N859" t="n">
        <v>0</v>
      </c>
      <c r="O859" t="n">
        <v>0</v>
      </c>
      <c r="P859" t="n">
        <v>0</v>
      </c>
      <c r="Q859" t="n">
        <v>0</v>
      </c>
      <c r="R859" s="2" t="inlineStr"/>
    </row>
    <row r="860" ht="15" customHeight="1">
      <c r="A860" t="inlineStr">
        <is>
          <t>A 6830-2023</t>
        </is>
      </c>
      <c r="B860" s="1" t="n">
        <v>44967</v>
      </c>
      <c r="C860" s="1" t="n">
        <v>45830</v>
      </c>
      <c r="D860" t="inlineStr">
        <is>
          <t>SKÅNE LÄN</t>
        </is>
      </c>
      <c r="E860" t="inlineStr">
        <is>
          <t>HÄSSLEHOLM</t>
        </is>
      </c>
      <c r="G860" t="n">
        <v>3.3</v>
      </c>
      <c r="H860" t="n">
        <v>0</v>
      </c>
      <c r="I860" t="n">
        <v>0</v>
      </c>
      <c r="J860" t="n">
        <v>0</v>
      </c>
      <c r="K860" t="n">
        <v>0</v>
      </c>
      <c r="L860" t="n">
        <v>0</v>
      </c>
      <c r="M860" t="n">
        <v>0</v>
      </c>
      <c r="N860" t="n">
        <v>0</v>
      </c>
      <c r="O860" t="n">
        <v>0</v>
      </c>
      <c r="P860" t="n">
        <v>0</v>
      </c>
      <c r="Q860" t="n">
        <v>0</v>
      </c>
      <c r="R860" s="2" t="inlineStr"/>
    </row>
    <row r="861" ht="15" customHeight="1">
      <c r="A861" t="inlineStr">
        <is>
          <t>A 6835-2023</t>
        </is>
      </c>
      <c r="B861" s="1" t="n">
        <v>44967</v>
      </c>
      <c r="C861" s="1" t="n">
        <v>45830</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7094-2023</t>
        </is>
      </c>
      <c r="B862" s="1" t="n">
        <v>44970</v>
      </c>
      <c r="C862" s="1" t="n">
        <v>45830</v>
      </c>
      <c r="D862" t="inlineStr">
        <is>
          <t>SKÅNE LÄN</t>
        </is>
      </c>
      <c r="E862" t="inlineStr">
        <is>
          <t>HÄSSLEHOLM</t>
        </is>
      </c>
      <c r="G862" t="n">
        <v>3.6</v>
      </c>
      <c r="H862" t="n">
        <v>0</v>
      </c>
      <c r="I862" t="n">
        <v>0</v>
      </c>
      <c r="J862" t="n">
        <v>0</v>
      </c>
      <c r="K862" t="n">
        <v>0</v>
      </c>
      <c r="L862" t="n">
        <v>0</v>
      </c>
      <c r="M862" t="n">
        <v>0</v>
      </c>
      <c r="N862" t="n">
        <v>0</v>
      </c>
      <c r="O862" t="n">
        <v>0</v>
      </c>
      <c r="P862" t="n">
        <v>0</v>
      </c>
      <c r="Q862" t="n">
        <v>0</v>
      </c>
      <c r="R862" s="2" t="inlineStr"/>
    </row>
    <row r="863" ht="15" customHeight="1">
      <c r="A863" t="inlineStr">
        <is>
          <t>A 7494-2023</t>
        </is>
      </c>
      <c r="B863" s="1" t="n">
        <v>44971</v>
      </c>
      <c r="C863" s="1" t="n">
        <v>45830</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7481-2023</t>
        </is>
      </c>
      <c r="B864" s="1" t="n">
        <v>44971</v>
      </c>
      <c r="C864" s="1" t="n">
        <v>45830</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8378-2023</t>
        </is>
      </c>
      <c r="B865" s="1" t="n">
        <v>44971</v>
      </c>
      <c r="C865" s="1" t="n">
        <v>45830</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7581-2023</t>
        </is>
      </c>
      <c r="B866" s="1" t="n">
        <v>44972</v>
      </c>
      <c r="C866" s="1" t="n">
        <v>45830</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8246-2023</t>
        </is>
      </c>
      <c r="B867" s="1" t="n">
        <v>44974</v>
      </c>
      <c r="C867" s="1" t="n">
        <v>45830</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8244-2023</t>
        </is>
      </c>
      <c r="B868" s="1" t="n">
        <v>44974</v>
      </c>
      <c r="C868" s="1" t="n">
        <v>45830</v>
      </c>
      <c r="D868" t="inlineStr">
        <is>
          <t>SKÅNE LÄN</t>
        </is>
      </c>
      <c r="E868" t="inlineStr">
        <is>
          <t>HÄSSLEHOLM</t>
        </is>
      </c>
      <c r="G868" t="n">
        <v>1.2</v>
      </c>
      <c r="H868" t="n">
        <v>0</v>
      </c>
      <c r="I868" t="n">
        <v>0</v>
      </c>
      <c r="J868" t="n">
        <v>0</v>
      </c>
      <c r="K868" t="n">
        <v>0</v>
      </c>
      <c r="L868" t="n">
        <v>0</v>
      </c>
      <c r="M868" t="n">
        <v>0</v>
      </c>
      <c r="N868" t="n">
        <v>0</v>
      </c>
      <c r="O868" t="n">
        <v>0</v>
      </c>
      <c r="P868" t="n">
        <v>0</v>
      </c>
      <c r="Q868" t="n">
        <v>0</v>
      </c>
      <c r="R868" s="2" t="inlineStr"/>
    </row>
    <row r="869" ht="15" customHeight="1">
      <c r="A869" t="inlineStr">
        <is>
          <t>A 8249-2023</t>
        </is>
      </c>
      <c r="B869" s="1" t="n">
        <v>44974</v>
      </c>
      <c r="C869" s="1" t="n">
        <v>45830</v>
      </c>
      <c r="D869" t="inlineStr">
        <is>
          <t>SKÅNE LÄN</t>
        </is>
      </c>
      <c r="E869" t="inlineStr">
        <is>
          <t>HÄSSLEHOLM</t>
        </is>
      </c>
      <c r="G869" t="n">
        <v>5.8</v>
      </c>
      <c r="H869" t="n">
        <v>0</v>
      </c>
      <c r="I869" t="n">
        <v>0</v>
      </c>
      <c r="J869" t="n">
        <v>0</v>
      </c>
      <c r="K869" t="n">
        <v>0</v>
      </c>
      <c r="L869" t="n">
        <v>0</v>
      </c>
      <c r="M869" t="n">
        <v>0</v>
      </c>
      <c r="N869" t="n">
        <v>0</v>
      </c>
      <c r="O869" t="n">
        <v>0</v>
      </c>
      <c r="P869" t="n">
        <v>0</v>
      </c>
      <c r="Q869" t="n">
        <v>0</v>
      </c>
      <c r="R869" s="2" t="inlineStr"/>
    </row>
    <row r="870" ht="15" customHeight="1">
      <c r="A870" t="inlineStr">
        <is>
          <t>A 8250-2023</t>
        </is>
      </c>
      <c r="B870" s="1" t="n">
        <v>44974</v>
      </c>
      <c r="C870" s="1" t="n">
        <v>45830</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8619-2023</t>
        </is>
      </c>
      <c r="B871" s="1" t="n">
        <v>44977</v>
      </c>
      <c r="C871" s="1" t="n">
        <v>45830</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8803-2023</t>
        </is>
      </c>
      <c r="B872" s="1" t="n">
        <v>44978</v>
      </c>
      <c r="C872" s="1" t="n">
        <v>45830</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8807-2023</t>
        </is>
      </c>
      <c r="B873" s="1" t="n">
        <v>44978</v>
      </c>
      <c r="C873" s="1" t="n">
        <v>45830</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8793-2023</t>
        </is>
      </c>
      <c r="B874" s="1" t="n">
        <v>44978</v>
      </c>
      <c r="C874" s="1" t="n">
        <v>45830</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9308-2023</t>
        </is>
      </c>
      <c r="B875" s="1" t="n">
        <v>44980</v>
      </c>
      <c r="C875" s="1" t="n">
        <v>45830</v>
      </c>
      <c r="D875" t="inlineStr">
        <is>
          <t>SKÅNE LÄN</t>
        </is>
      </c>
      <c r="E875" t="inlineStr">
        <is>
          <t>HÄSSLEHOLM</t>
        </is>
      </c>
      <c r="G875" t="n">
        <v>1.1</v>
      </c>
      <c r="H875" t="n">
        <v>0</v>
      </c>
      <c r="I875" t="n">
        <v>0</v>
      </c>
      <c r="J875" t="n">
        <v>0</v>
      </c>
      <c r="K875" t="n">
        <v>0</v>
      </c>
      <c r="L875" t="n">
        <v>0</v>
      </c>
      <c r="M875" t="n">
        <v>0</v>
      </c>
      <c r="N875" t="n">
        <v>0</v>
      </c>
      <c r="O875" t="n">
        <v>0</v>
      </c>
      <c r="P875" t="n">
        <v>0</v>
      </c>
      <c r="Q875" t="n">
        <v>0</v>
      </c>
      <c r="R875" s="2" t="inlineStr"/>
    </row>
    <row r="876" ht="15" customHeight="1">
      <c r="A876" t="inlineStr">
        <is>
          <t>A 9375-2023</t>
        </is>
      </c>
      <c r="B876" s="1" t="n">
        <v>44981</v>
      </c>
      <c r="C876" s="1" t="n">
        <v>45830</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9485-2023</t>
        </is>
      </c>
      <c r="B877" s="1" t="n">
        <v>44981</v>
      </c>
      <c r="C877" s="1" t="n">
        <v>45830</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9502-2023</t>
        </is>
      </c>
      <c r="B878" s="1" t="n">
        <v>44981</v>
      </c>
      <c r="C878" s="1" t="n">
        <v>45830</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9692-2023</t>
        </is>
      </c>
      <c r="B879" s="1" t="n">
        <v>44984</v>
      </c>
      <c r="C879" s="1" t="n">
        <v>45830</v>
      </c>
      <c r="D879" t="inlineStr">
        <is>
          <t>SKÅNE LÄN</t>
        </is>
      </c>
      <c r="E879" t="inlineStr">
        <is>
          <t>HÄSSLEHOLM</t>
        </is>
      </c>
      <c r="G879" t="n">
        <v>1.6</v>
      </c>
      <c r="H879" t="n">
        <v>0</v>
      </c>
      <c r="I879" t="n">
        <v>0</v>
      </c>
      <c r="J879" t="n">
        <v>0</v>
      </c>
      <c r="K879" t="n">
        <v>0</v>
      </c>
      <c r="L879" t="n">
        <v>0</v>
      </c>
      <c r="M879" t="n">
        <v>0</v>
      </c>
      <c r="N879" t="n">
        <v>0</v>
      </c>
      <c r="O879" t="n">
        <v>0</v>
      </c>
      <c r="P879" t="n">
        <v>0</v>
      </c>
      <c r="Q879" t="n">
        <v>0</v>
      </c>
      <c r="R879" s="2" t="inlineStr"/>
    </row>
    <row r="880" ht="15" customHeight="1">
      <c r="A880" t="inlineStr">
        <is>
          <t>A 9697-2023</t>
        </is>
      </c>
      <c r="B880" s="1" t="n">
        <v>44984</v>
      </c>
      <c r="C880" s="1" t="n">
        <v>45830</v>
      </c>
      <c r="D880" t="inlineStr">
        <is>
          <t>SKÅNE LÄN</t>
        </is>
      </c>
      <c r="E880" t="inlineStr">
        <is>
          <t>HÄSSLEHOLM</t>
        </is>
      </c>
      <c r="G880" t="n">
        <v>0.3</v>
      </c>
      <c r="H880" t="n">
        <v>0</v>
      </c>
      <c r="I880" t="n">
        <v>0</v>
      </c>
      <c r="J880" t="n">
        <v>0</v>
      </c>
      <c r="K880" t="n">
        <v>0</v>
      </c>
      <c r="L880" t="n">
        <v>0</v>
      </c>
      <c r="M880" t="n">
        <v>0</v>
      </c>
      <c r="N880" t="n">
        <v>0</v>
      </c>
      <c r="O880" t="n">
        <v>0</v>
      </c>
      <c r="P880" t="n">
        <v>0</v>
      </c>
      <c r="Q880" t="n">
        <v>0</v>
      </c>
      <c r="R880" s="2" t="inlineStr"/>
    </row>
    <row r="881" ht="15" customHeight="1">
      <c r="A881" t="inlineStr">
        <is>
          <t>A 9709-2023</t>
        </is>
      </c>
      <c r="B881" s="1" t="n">
        <v>44984</v>
      </c>
      <c r="C881" s="1" t="n">
        <v>45830</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10897-2023</t>
        </is>
      </c>
      <c r="B882" s="1" t="n">
        <v>44985</v>
      </c>
      <c r="C882" s="1" t="n">
        <v>45830</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10220-2023</t>
        </is>
      </c>
      <c r="B883" s="1" t="n">
        <v>44986</v>
      </c>
      <c r="C883" s="1" t="n">
        <v>45830</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10277-2023</t>
        </is>
      </c>
      <c r="B884" s="1" t="n">
        <v>44986</v>
      </c>
      <c r="C884" s="1" t="n">
        <v>45830</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10221-2023</t>
        </is>
      </c>
      <c r="B885" s="1" t="n">
        <v>44986</v>
      </c>
      <c r="C885" s="1" t="n">
        <v>45830</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10270-2023</t>
        </is>
      </c>
      <c r="B886" s="1" t="n">
        <v>44986</v>
      </c>
      <c r="C886" s="1" t="n">
        <v>45830</v>
      </c>
      <c r="D886" t="inlineStr">
        <is>
          <t>SKÅNE LÄN</t>
        </is>
      </c>
      <c r="E886" t="inlineStr">
        <is>
          <t>HÄSSLEHOLM</t>
        </is>
      </c>
      <c r="G886" t="n">
        <v>1.7</v>
      </c>
      <c r="H886" t="n">
        <v>0</v>
      </c>
      <c r="I886" t="n">
        <v>0</v>
      </c>
      <c r="J886" t="n">
        <v>0</v>
      </c>
      <c r="K886" t="n">
        <v>0</v>
      </c>
      <c r="L886" t="n">
        <v>0</v>
      </c>
      <c r="M886" t="n">
        <v>0</v>
      </c>
      <c r="N886" t="n">
        <v>0</v>
      </c>
      <c r="O886" t="n">
        <v>0</v>
      </c>
      <c r="P886" t="n">
        <v>0</v>
      </c>
      <c r="Q886" t="n">
        <v>0</v>
      </c>
      <c r="R886" s="2" t="inlineStr"/>
    </row>
    <row r="887" ht="15" customHeight="1">
      <c r="A887" t="inlineStr">
        <is>
          <t>A 10290-2023</t>
        </is>
      </c>
      <c r="B887" s="1" t="n">
        <v>44986</v>
      </c>
      <c r="C887" s="1" t="n">
        <v>45830</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11121-2023</t>
        </is>
      </c>
      <c r="B888" s="1" t="n">
        <v>44986</v>
      </c>
      <c r="C888" s="1" t="n">
        <v>45830</v>
      </c>
      <c r="D888" t="inlineStr">
        <is>
          <t>SKÅNE LÄN</t>
        </is>
      </c>
      <c r="E888" t="inlineStr">
        <is>
          <t>HÄSSLEHOLM</t>
        </is>
      </c>
      <c r="F888" t="inlineStr">
        <is>
          <t>Kommuner</t>
        </is>
      </c>
      <c r="G888" t="n">
        <v>5.8</v>
      </c>
      <c r="H888" t="n">
        <v>0</v>
      </c>
      <c r="I888" t="n">
        <v>0</v>
      </c>
      <c r="J888" t="n">
        <v>0</v>
      </c>
      <c r="K888" t="n">
        <v>0</v>
      </c>
      <c r="L888" t="n">
        <v>0</v>
      </c>
      <c r="M888" t="n">
        <v>0</v>
      </c>
      <c r="N888" t="n">
        <v>0</v>
      </c>
      <c r="O888" t="n">
        <v>0</v>
      </c>
      <c r="P888" t="n">
        <v>0</v>
      </c>
      <c r="Q888" t="n">
        <v>0</v>
      </c>
      <c r="R888" s="2" t="inlineStr"/>
    </row>
    <row r="889" ht="15" customHeight="1">
      <c r="A889" t="inlineStr">
        <is>
          <t>A 11116-2023</t>
        </is>
      </c>
      <c r="B889" s="1" t="n">
        <v>44986</v>
      </c>
      <c r="C889" s="1" t="n">
        <v>45830</v>
      </c>
      <c r="D889" t="inlineStr">
        <is>
          <t>SKÅNE LÄN</t>
        </is>
      </c>
      <c r="E889" t="inlineStr">
        <is>
          <t>HÄSSLEHOLM</t>
        </is>
      </c>
      <c r="F889" t="inlineStr">
        <is>
          <t>Kommuner</t>
        </is>
      </c>
      <c r="G889" t="n">
        <v>15</v>
      </c>
      <c r="H889" t="n">
        <v>0</v>
      </c>
      <c r="I889" t="n">
        <v>0</v>
      </c>
      <c r="J889" t="n">
        <v>0</v>
      </c>
      <c r="K889" t="n">
        <v>0</v>
      </c>
      <c r="L889" t="n">
        <v>0</v>
      </c>
      <c r="M889" t="n">
        <v>0</v>
      </c>
      <c r="N889" t="n">
        <v>0</v>
      </c>
      <c r="O889" t="n">
        <v>0</v>
      </c>
      <c r="P889" t="n">
        <v>0</v>
      </c>
      <c r="Q889" t="n">
        <v>0</v>
      </c>
      <c r="R889" s="2" t="inlineStr"/>
    </row>
    <row r="890" ht="15" customHeight="1">
      <c r="A890" t="inlineStr">
        <is>
          <t>A 10389-2023</t>
        </is>
      </c>
      <c r="B890" s="1" t="n">
        <v>44987</v>
      </c>
      <c r="C890" s="1" t="n">
        <v>45830</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10660-2023</t>
        </is>
      </c>
      <c r="B891" s="1" t="n">
        <v>44988</v>
      </c>
      <c r="C891" s="1" t="n">
        <v>45830</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11217-2023</t>
        </is>
      </c>
      <c r="B892" s="1" t="n">
        <v>44992</v>
      </c>
      <c r="C892" s="1" t="n">
        <v>45830</v>
      </c>
      <c r="D892" t="inlineStr">
        <is>
          <t>SKÅNE LÄN</t>
        </is>
      </c>
      <c r="E892" t="inlineStr">
        <is>
          <t>HÄSSLEHOLM</t>
        </is>
      </c>
      <c r="G892" t="n">
        <v>1.9</v>
      </c>
      <c r="H892" t="n">
        <v>0</v>
      </c>
      <c r="I892" t="n">
        <v>0</v>
      </c>
      <c r="J892" t="n">
        <v>0</v>
      </c>
      <c r="K892" t="n">
        <v>0</v>
      </c>
      <c r="L892" t="n">
        <v>0</v>
      </c>
      <c r="M892" t="n">
        <v>0</v>
      </c>
      <c r="N892" t="n">
        <v>0</v>
      </c>
      <c r="O892" t="n">
        <v>0</v>
      </c>
      <c r="P892" t="n">
        <v>0</v>
      </c>
      <c r="Q892" t="n">
        <v>0</v>
      </c>
      <c r="R892" s="2" t="inlineStr"/>
    </row>
    <row r="893" ht="15" customHeight="1">
      <c r="A893" t="inlineStr">
        <is>
          <t>A 11237-2023</t>
        </is>
      </c>
      <c r="B893" s="1" t="n">
        <v>44992</v>
      </c>
      <c r="C893" s="1" t="n">
        <v>45830</v>
      </c>
      <c r="D893" t="inlineStr">
        <is>
          <t>SKÅNE LÄN</t>
        </is>
      </c>
      <c r="E893" t="inlineStr">
        <is>
          <t>HÄSSLEHOLM</t>
        </is>
      </c>
      <c r="G893" t="n">
        <v>5.8</v>
      </c>
      <c r="H893" t="n">
        <v>0</v>
      </c>
      <c r="I893" t="n">
        <v>0</v>
      </c>
      <c r="J893" t="n">
        <v>0</v>
      </c>
      <c r="K893" t="n">
        <v>0</v>
      </c>
      <c r="L893" t="n">
        <v>0</v>
      </c>
      <c r="M893" t="n">
        <v>0</v>
      </c>
      <c r="N893" t="n">
        <v>0</v>
      </c>
      <c r="O893" t="n">
        <v>0</v>
      </c>
      <c r="P893" t="n">
        <v>0</v>
      </c>
      <c r="Q893" t="n">
        <v>0</v>
      </c>
      <c r="R893" s="2" t="inlineStr"/>
    </row>
    <row r="894" ht="15" customHeight="1">
      <c r="A894" t="inlineStr">
        <is>
          <t>A 11240-2023</t>
        </is>
      </c>
      <c r="B894" s="1" t="n">
        <v>44992</v>
      </c>
      <c r="C894" s="1" t="n">
        <v>45830</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11681-2023</t>
        </is>
      </c>
      <c r="B895" s="1" t="n">
        <v>44992</v>
      </c>
      <c r="C895" s="1" t="n">
        <v>45830</v>
      </c>
      <c r="D895" t="inlineStr">
        <is>
          <t>SKÅNE LÄN</t>
        </is>
      </c>
      <c r="E895" t="inlineStr">
        <is>
          <t>HÄSSLEHOLM</t>
        </is>
      </c>
      <c r="F895" t="inlineStr">
        <is>
          <t>Övriga Aktiebolag</t>
        </is>
      </c>
      <c r="G895" t="n">
        <v>1.6</v>
      </c>
      <c r="H895" t="n">
        <v>0</v>
      </c>
      <c r="I895" t="n">
        <v>0</v>
      </c>
      <c r="J895" t="n">
        <v>0</v>
      </c>
      <c r="K895" t="n">
        <v>0</v>
      </c>
      <c r="L895" t="n">
        <v>0</v>
      </c>
      <c r="M895" t="n">
        <v>0</v>
      </c>
      <c r="N895" t="n">
        <v>0</v>
      </c>
      <c r="O895" t="n">
        <v>0</v>
      </c>
      <c r="P895" t="n">
        <v>0</v>
      </c>
      <c r="Q895" t="n">
        <v>0</v>
      </c>
      <c r="R895" s="2" t="inlineStr"/>
    </row>
    <row r="896" ht="15" customHeight="1">
      <c r="A896" t="inlineStr">
        <is>
          <t>A 11715-2023</t>
        </is>
      </c>
      <c r="B896" s="1" t="n">
        <v>44992</v>
      </c>
      <c r="C896" s="1" t="n">
        <v>45830</v>
      </c>
      <c r="D896" t="inlineStr">
        <is>
          <t>SKÅNE LÄN</t>
        </is>
      </c>
      <c r="E896" t="inlineStr">
        <is>
          <t>HÄSSLEHOLM</t>
        </is>
      </c>
      <c r="F896" t="inlineStr">
        <is>
          <t>Övriga Aktiebolag</t>
        </is>
      </c>
      <c r="G896" t="n">
        <v>2</v>
      </c>
      <c r="H896" t="n">
        <v>0</v>
      </c>
      <c r="I896" t="n">
        <v>0</v>
      </c>
      <c r="J896" t="n">
        <v>0</v>
      </c>
      <c r="K896" t="n">
        <v>0</v>
      </c>
      <c r="L896" t="n">
        <v>0</v>
      </c>
      <c r="M896" t="n">
        <v>0</v>
      </c>
      <c r="N896" t="n">
        <v>0</v>
      </c>
      <c r="O896" t="n">
        <v>0</v>
      </c>
      <c r="P896" t="n">
        <v>0</v>
      </c>
      <c r="Q896" t="n">
        <v>0</v>
      </c>
      <c r="R896" s="2" t="inlineStr"/>
    </row>
    <row r="897" ht="15" customHeight="1">
      <c r="A897" t="inlineStr">
        <is>
          <t>A 11840-2023</t>
        </is>
      </c>
      <c r="B897" s="1" t="n">
        <v>44995</v>
      </c>
      <c r="C897" s="1" t="n">
        <v>45830</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12162-2023</t>
        </is>
      </c>
      <c r="B898" s="1" t="n">
        <v>44998</v>
      </c>
      <c r="C898" s="1" t="n">
        <v>45830</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12346-2023</t>
        </is>
      </c>
      <c r="B899" s="1" t="n">
        <v>44999</v>
      </c>
      <c r="C899" s="1" t="n">
        <v>45830</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12344-2023</t>
        </is>
      </c>
      <c r="B900" s="1" t="n">
        <v>44999</v>
      </c>
      <c r="C900" s="1" t="n">
        <v>45830</v>
      </c>
      <c r="D900" t="inlineStr">
        <is>
          <t>SKÅNE LÄN</t>
        </is>
      </c>
      <c r="E900" t="inlineStr">
        <is>
          <t>HÄSSLEHOLM</t>
        </is>
      </c>
      <c r="G900" t="n">
        <v>2.4</v>
      </c>
      <c r="H900" t="n">
        <v>0</v>
      </c>
      <c r="I900" t="n">
        <v>0</v>
      </c>
      <c r="J900" t="n">
        <v>0</v>
      </c>
      <c r="K900" t="n">
        <v>0</v>
      </c>
      <c r="L900" t="n">
        <v>0</v>
      </c>
      <c r="M900" t="n">
        <v>0</v>
      </c>
      <c r="N900" t="n">
        <v>0</v>
      </c>
      <c r="O900" t="n">
        <v>0</v>
      </c>
      <c r="P900" t="n">
        <v>0</v>
      </c>
      <c r="Q900" t="n">
        <v>0</v>
      </c>
      <c r="R900" s="2" t="inlineStr"/>
    </row>
    <row r="901" ht="15" customHeight="1">
      <c r="A901" t="inlineStr">
        <is>
          <t>A 12469-2023</t>
        </is>
      </c>
      <c r="B901" s="1" t="n">
        <v>44999</v>
      </c>
      <c r="C901" s="1" t="n">
        <v>45830</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12570-2023</t>
        </is>
      </c>
      <c r="B902" s="1" t="n">
        <v>44999</v>
      </c>
      <c r="C902" s="1" t="n">
        <v>45830</v>
      </c>
      <c r="D902" t="inlineStr">
        <is>
          <t>SKÅNE LÄN</t>
        </is>
      </c>
      <c r="E902" t="inlineStr">
        <is>
          <t>HÄSSLEHOLM</t>
        </is>
      </c>
      <c r="G902" t="n">
        <v>3.4</v>
      </c>
      <c r="H902" t="n">
        <v>0</v>
      </c>
      <c r="I902" t="n">
        <v>0</v>
      </c>
      <c r="J902" t="n">
        <v>0</v>
      </c>
      <c r="K902" t="n">
        <v>0</v>
      </c>
      <c r="L902" t="n">
        <v>0</v>
      </c>
      <c r="M902" t="n">
        <v>0</v>
      </c>
      <c r="N902" t="n">
        <v>0</v>
      </c>
      <c r="O902" t="n">
        <v>0</v>
      </c>
      <c r="P902" t="n">
        <v>0</v>
      </c>
      <c r="Q902" t="n">
        <v>0</v>
      </c>
      <c r="R902" s="2" t="inlineStr"/>
    </row>
    <row r="903" ht="15" customHeight="1">
      <c r="A903" t="inlineStr">
        <is>
          <t>A 12558-2023</t>
        </is>
      </c>
      <c r="B903" s="1" t="n">
        <v>45000</v>
      </c>
      <c r="C903" s="1" t="n">
        <v>45830</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12839-2023</t>
        </is>
      </c>
      <c r="B904" s="1" t="n">
        <v>45000</v>
      </c>
      <c r="C904" s="1" t="n">
        <v>45830</v>
      </c>
      <c r="D904" t="inlineStr">
        <is>
          <t>SKÅNE LÄN</t>
        </is>
      </c>
      <c r="E904" t="inlineStr">
        <is>
          <t>HÄSSLEHOLM</t>
        </is>
      </c>
      <c r="G904" t="n">
        <v>5</v>
      </c>
      <c r="H904" t="n">
        <v>0</v>
      </c>
      <c r="I904" t="n">
        <v>0</v>
      </c>
      <c r="J904" t="n">
        <v>0</v>
      </c>
      <c r="K904" t="n">
        <v>0</v>
      </c>
      <c r="L904" t="n">
        <v>0</v>
      </c>
      <c r="M904" t="n">
        <v>0</v>
      </c>
      <c r="N904" t="n">
        <v>0</v>
      </c>
      <c r="O904" t="n">
        <v>0</v>
      </c>
      <c r="P904" t="n">
        <v>0</v>
      </c>
      <c r="Q904" t="n">
        <v>0</v>
      </c>
      <c r="R904" s="2" t="inlineStr"/>
    </row>
    <row r="905" ht="15" customHeight="1">
      <c r="A905" t="inlineStr">
        <is>
          <t>A 12843-2023</t>
        </is>
      </c>
      <c r="B905" s="1" t="n">
        <v>45001</v>
      </c>
      <c r="C905" s="1" t="n">
        <v>45830</v>
      </c>
      <c r="D905" t="inlineStr">
        <is>
          <t>SKÅNE LÄN</t>
        </is>
      </c>
      <c r="E905" t="inlineStr">
        <is>
          <t>HÄSSLEHOLM</t>
        </is>
      </c>
      <c r="G905" t="n">
        <v>3.9</v>
      </c>
      <c r="H905" t="n">
        <v>0</v>
      </c>
      <c r="I905" t="n">
        <v>0</v>
      </c>
      <c r="J905" t="n">
        <v>0</v>
      </c>
      <c r="K905" t="n">
        <v>0</v>
      </c>
      <c r="L905" t="n">
        <v>0</v>
      </c>
      <c r="M905" t="n">
        <v>0</v>
      </c>
      <c r="N905" t="n">
        <v>0</v>
      </c>
      <c r="O905" t="n">
        <v>0</v>
      </c>
      <c r="P905" t="n">
        <v>0</v>
      </c>
      <c r="Q905" t="n">
        <v>0</v>
      </c>
      <c r="R905" s="2" t="inlineStr"/>
    </row>
    <row r="906" ht="15" customHeight="1">
      <c r="A906" t="inlineStr">
        <is>
          <t>A 13087-2023</t>
        </is>
      </c>
      <c r="B906" s="1" t="n">
        <v>45001</v>
      </c>
      <c r="C906" s="1" t="n">
        <v>45830</v>
      </c>
      <c r="D906" t="inlineStr">
        <is>
          <t>SKÅNE LÄN</t>
        </is>
      </c>
      <c r="E906" t="inlineStr">
        <is>
          <t>HÄSSLEHOLM</t>
        </is>
      </c>
      <c r="G906" t="n">
        <v>3.8</v>
      </c>
      <c r="H906" t="n">
        <v>0</v>
      </c>
      <c r="I906" t="n">
        <v>0</v>
      </c>
      <c r="J906" t="n">
        <v>0</v>
      </c>
      <c r="K906" t="n">
        <v>0</v>
      </c>
      <c r="L906" t="n">
        <v>0</v>
      </c>
      <c r="M906" t="n">
        <v>0</v>
      </c>
      <c r="N906" t="n">
        <v>0</v>
      </c>
      <c r="O906" t="n">
        <v>0</v>
      </c>
      <c r="P906" t="n">
        <v>0</v>
      </c>
      <c r="Q906" t="n">
        <v>0</v>
      </c>
      <c r="R906" s="2" t="inlineStr"/>
    </row>
    <row r="907" ht="15" customHeight="1">
      <c r="A907" t="inlineStr">
        <is>
          <t>A 13316-2023</t>
        </is>
      </c>
      <c r="B907" s="1" t="n">
        <v>45005</v>
      </c>
      <c r="C907" s="1" t="n">
        <v>45830</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13358-2023</t>
        </is>
      </c>
      <c r="B908" s="1" t="n">
        <v>45005</v>
      </c>
      <c r="C908" s="1" t="n">
        <v>45830</v>
      </c>
      <c r="D908" t="inlineStr">
        <is>
          <t>SKÅNE LÄN</t>
        </is>
      </c>
      <c r="E908" t="inlineStr">
        <is>
          <t>HÄSSLEHOLM</t>
        </is>
      </c>
      <c r="F908" t="inlineStr">
        <is>
          <t>Övriga Aktiebolag</t>
        </is>
      </c>
      <c r="G908" t="n">
        <v>0.5</v>
      </c>
      <c r="H908" t="n">
        <v>0</v>
      </c>
      <c r="I908" t="n">
        <v>0</v>
      </c>
      <c r="J908" t="n">
        <v>0</v>
      </c>
      <c r="K908" t="n">
        <v>0</v>
      </c>
      <c r="L908" t="n">
        <v>0</v>
      </c>
      <c r="M908" t="n">
        <v>0</v>
      </c>
      <c r="N908" t="n">
        <v>0</v>
      </c>
      <c r="O908" t="n">
        <v>0</v>
      </c>
      <c r="P908" t="n">
        <v>0</v>
      </c>
      <c r="Q908" t="n">
        <v>0</v>
      </c>
      <c r="R908" s="2" t="inlineStr"/>
    </row>
    <row r="909" ht="15" customHeight="1">
      <c r="A909" t="inlineStr">
        <is>
          <t>A 13673-2023</t>
        </is>
      </c>
      <c r="B909" s="1" t="n">
        <v>45006</v>
      </c>
      <c r="C909" s="1" t="n">
        <v>45830</v>
      </c>
      <c r="D909" t="inlineStr">
        <is>
          <t>SKÅNE LÄN</t>
        </is>
      </c>
      <c r="E909" t="inlineStr">
        <is>
          <t>HÄSSLEHOLM</t>
        </is>
      </c>
      <c r="G909" t="n">
        <v>3.2</v>
      </c>
      <c r="H909" t="n">
        <v>0</v>
      </c>
      <c r="I909" t="n">
        <v>0</v>
      </c>
      <c r="J909" t="n">
        <v>0</v>
      </c>
      <c r="K909" t="n">
        <v>0</v>
      </c>
      <c r="L909" t="n">
        <v>0</v>
      </c>
      <c r="M909" t="n">
        <v>0</v>
      </c>
      <c r="N909" t="n">
        <v>0</v>
      </c>
      <c r="O909" t="n">
        <v>0</v>
      </c>
      <c r="P909" t="n">
        <v>0</v>
      </c>
      <c r="Q909" t="n">
        <v>0</v>
      </c>
      <c r="R909" s="2" t="inlineStr"/>
    </row>
    <row r="910" ht="15" customHeight="1">
      <c r="A910" t="inlineStr">
        <is>
          <t>A 13932-2023</t>
        </is>
      </c>
      <c r="B910" s="1" t="n">
        <v>45008</v>
      </c>
      <c r="C910" s="1" t="n">
        <v>45830</v>
      </c>
      <c r="D910" t="inlineStr">
        <is>
          <t>SKÅNE LÄN</t>
        </is>
      </c>
      <c r="E910" t="inlineStr">
        <is>
          <t>HÄSSLEHOLM</t>
        </is>
      </c>
      <c r="G910" t="n">
        <v>3.3</v>
      </c>
      <c r="H910" t="n">
        <v>0</v>
      </c>
      <c r="I910" t="n">
        <v>0</v>
      </c>
      <c r="J910" t="n">
        <v>0</v>
      </c>
      <c r="K910" t="n">
        <v>0</v>
      </c>
      <c r="L910" t="n">
        <v>0</v>
      </c>
      <c r="M910" t="n">
        <v>0</v>
      </c>
      <c r="N910" t="n">
        <v>0</v>
      </c>
      <c r="O910" t="n">
        <v>0</v>
      </c>
      <c r="P910" t="n">
        <v>0</v>
      </c>
      <c r="Q910" t="n">
        <v>0</v>
      </c>
      <c r="R910" s="2" t="inlineStr"/>
    </row>
    <row r="911" ht="15" customHeight="1">
      <c r="A911" t="inlineStr">
        <is>
          <t>A 14008-2023</t>
        </is>
      </c>
      <c r="B911" s="1" t="n">
        <v>45008</v>
      </c>
      <c r="C911" s="1" t="n">
        <v>45830</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13961-2023</t>
        </is>
      </c>
      <c r="B912" s="1" t="n">
        <v>45008</v>
      </c>
      <c r="C912" s="1" t="n">
        <v>45830</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13998-2023</t>
        </is>
      </c>
      <c r="B913" s="1" t="n">
        <v>45008</v>
      </c>
      <c r="C913" s="1" t="n">
        <v>45830</v>
      </c>
      <c r="D913" t="inlineStr">
        <is>
          <t>SKÅNE LÄN</t>
        </is>
      </c>
      <c r="E913" t="inlineStr">
        <is>
          <t>HÄSSLEHOLM</t>
        </is>
      </c>
      <c r="G913" t="n">
        <v>4.8</v>
      </c>
      <c r="H913" t="n">
        <v>0</v>
      </c>
      <c r="I913" t="n">
        <v>0</v>
      </c>
      <c r="J913" t="n">
        <v>0</v>
      </c>
      <c r="K913" t="n">
        <v>0</v>
      </c>
      <c r="L913" t="n">
        <v>0</v>
      </c>
      <c r="M913" t="n">
        <v>0</v>
      </c>
      <c r="N913" t="n">
        <v>0</v>
      </c>
      <c r="O913" t="n">
        <v>0</v>
      </c>
      <c r="P913" t="n">
        <v>0</v>
      </c>
      <c r="Q913" t="n">
        <v>0</v>
      </c>
      <c r="R913" s="2" t="inlineStr"/>
    </row>
    <row r="914" ht="15" customHeight="1">
      <c r="A914" t="inlineStr">
        <is>
          <t>A 13954-2023</t>
        </is>
      </c>
      <c r="B914" s="1" t="n">
        <v>45008</v>
      </c>
      <c r="C914" s="1" t="n">
        <v>45830</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14002-2023</t>
        </is>
      </c>
      <c r="B915" s="1" t="n">
        <v>45008</v>
      </c>
      <c r="C915" s="1" t="n">
        <v>45830</v>
      </c>
      <c r="D915" t="inlineStr">
        <is>
          <t>SKÅNE LÄN</t>
        </is>
      </c>
      <c r="E915" t="inlineStr">
        <is>
          <t>HÄSSLEHOLM</t>
        </is>
      </c>
      <c r="G915" t="n">
        <v>3.6</v>
      </c>
      <c r="H915" t="n">
        <v>0</v>
      </c>
      <c r="I915" t="n">
        <v>0</v>
      </c>
      <c r="J915" t="n">
        <v>0</v>
      </c>
      <c r="K915" t="n">
        <v>0</v>
      </c>
      <c r="L915" t="n">
        <v>0</v>
      </c>
      <c r="M915" t="n">
        <v>0</v>
      </c>
      <c r="N915" t="n">
        <v>0</v>
      </c>
      <c r="O915" t="n">
        <v>0</v>
      </c>
      <c r="P915" t="n">
        <v>0</v>
      </c>
      <c r="Q915" t="n">
        <v>0</v>
      </c>
      <c r="R915" s="2" t="inlineStr"/>
    </row>
    <row r="916" ht="15" customHeight="1">
      <c r="A916" t="inlineStr">
        <is>
          <t>A 13992-2023</t>
        </is>
      </c>
      <c r="B916" s="1" t="n">
        <v>45008</v>
      </c>
      <c r="C916" s="1" t="n">
        <v>45830</v>
      </c>
      <c r="D916" t="inlineStr">
        <is>
          <t>SKÅNE LÄN</t>
        </is>
      </c>
      <c r="E916" t="inlineStr">
        <is>
          <t>HÄSSLEHOLM</t>
        </is>
      </c>
      <c r="G916" t="n">
        <v>3.8</v>
      </c>
      <c r="H916" t="n">
        <v>0</v>
      </c>
      <c r="I916" t="n">
        <v>0</v>
      </c>
      <c r="J916" t="n">
        <v>0</v>
      </c>
      <c r="K916" t="n">
        <v>0</v>
      </c>
      <c r="L916" t="n">
        <v>0</v>
      </c>
      <c r="M916" t="n">
        <v>0</v>
      </c>
      <c r="N916" t="n">
        <v>0</v>
      </c>
      <c r="O916" t="n">
        <v>0</v>
      </c>
      <c r="P916" t="n">
        <v>0</v>
      </c>
      <c r="Q916" t="n">
        <v>0</v>
      </c>
      <c r="R916" s="2" t="inlineStr"/>
    </row>
    <row r="917" ht="15" customHeight="1">
      <c r="A917" t="inlineStr">
        <is>
          <t>A 14145-2023</t>
        </is>
      </c>
      <c r="B917" s="1" t="n">
        <v>45009</v>
      </c>
      <c r="C917" s="1" t="n">
        <v>45830</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14633-2023</t>
        </is>
      </c>
      <c r="B918" s="1" t="n">
        <v>45013</v>
      </c>
      <c r="C918" s="1" t="n">
        <v>45830</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14612-2023</t>
        </is>
      </c>
      <c r="B919" s="1" t="n">
        <v>45013</v>
      </c>
      <c r="C919" s="1" t="n">
        <v>45830</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14666-2023</t>
        </is>
      </c>
      <c r="B920" s="1" t="n">
        <v>45013</v>
      </c>
      <c r="C920" s="1" t="n">
        <v>45830</v>
      </c>
      <c r="D920" t="inlineStr">
        <is>
          <t>SKÅNE LÄN</t>
        </is>
      </c>
      <c r="E920" t="inlineStr">
        <is>
          <t>HÄSSLEHOLM</t>
        </is>
      </c>
      <c r="G920" t="n">
        <v>3.1</v>
      </c>
      <c r="H920" t="n">
        <v>0</v>
      </c>
      <c r="I920" t="n">
        <v>0</v>
      </c>
      <c r="J920" t="n">
        <v>0</v>
      </c>
      <c r="K920" t="n">
        <v>0</v>
      </c>
      <c r="L920" t="n">
        <v>0</v>
      </c>
      <c r="M920" t="n">
        <v>0</v>
      </c>
      <c r="N920" t="n">
        <v>0</v>
      </c>
      <c r="O920" t="n">
        <v>0</v>
      </c>
      <c r="P920" t="n">
        <v>0</v>
      </c>
      <c r="Q920" t="n">
        <v>0</v>
      </c>
      <c r="R920" s="2" t="inlineStr"/>
    </row>
    <row r="921" ht="15" customHeight="1">
      <c r="A921" t="inlineStr">
        <is>
          <t>A 14615-2023</t>
        </is>
      </c>
      <c r="B921" s="1" t="n">
        <v>45013</v>
      </c>
      <c r="C921" s="1" t="n">
        <v>45830</v>
      </c>
      <c r="D921" t="inlineStr">
        <is>
          <t>SKÅNE LÄN</t>
        </is>
      </c>
      <c r="E921" t="inlineStr">
        <is>
          <t>HÄSSLEHOLM</t>
        </is>
      </c>
      <c r="G921" t="n">
        <v>2.5</v>
      </c>
      <c r="H921" t="n">
        <v>0</v>
      </c>
      <c r="I921" t="n">
        <v>0</v>
      </c>
      <c r="J921" t="n">
        <v>0</v>
      </c>
      <c r="K921" t="n">
        <v>0</v>
      </c>
      <c r="L921" t="n">
        <v>0</v>
      </c>
      <c r="M921" t="n">
        <v>0</v>
      </c>
      <c r="N921" t="n">
        <v>0</v>
      </c>
      <c r="O921" t="n">
        <v>0</v>
      </c>
      <c r="P921" t="n">
        <v>0</v>
      </c>
      <c r="Q921" t="n">
        <v>0</v>
      </c>
      <c r="R921" s="2" t="inlineStr"/>
    </row>
    <row r="922" ht="15" customHeight="1">
      <c r="A922" t="inlineStr">
        <is>
          <t>A 14700-2023</t>
        </is>
      </c>
      <c r="B922" s="1" t="n">
        <v>45014</v>
      </c>
      <c r="C922" s="1" t="n">
        <v>45830</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14939-2023</t>
        </is>
      </c>
      <c r="B923" s="1" t="n">
        <v>45014</v>
      </c>
      <c r="C923" s="1" t="n">
        <v>45830</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15053-2023</t>
        </is>
      </c>
      <c r="B924" s="1" t="n">
        <v>45015</v>
      </c>
      <c r="C924" s="1" t="n">
        <v>45830</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15055-2023</t>
        </is>
      </c>
      <c r="B925" s="1" t="n">
        <v>45015</v>
      </c>
      <c r="C925" s="1" t="n">
        <v>45830</v>
      </c>
      <c r="D925" t="inlineStr">
        <is>
          <t>SKÅNE LÄN</t>
        </is>
      </c>
      <c r="E925" t="inlineStr">
        <is>
          <t>HÄSSLEHOLM</t>
        </is>
      </c>
      <c r="G925" t="n">
        <v>1.9</v>
      </c>
      <c r="H925" t="n">
        <v>0</v>
      </c>
      <c r="I925" t="n">
        <v>0</v>
      </c>
      <c r="J925" t="n">
        <v>0</v>
      </c>
      <c r="K925" t="n">
        <v>0</v>
      </c>
      <c r="L925" t="n">
        <v>0</v>
      </c>
      <c r="M925" t="n">
        <v>0</v>
      </c>
      <c r="N925" t="n">
        <v>0</v>
      </c>
      <c r="O925" t="n">
        <v>0</v>
      </c>
      <c r="P925" t="n">
        <v>0</v>
      </c>
      <c r="Q925" t="n">
        <v>0</v>
      </c>
      <c r="R925" s="2" t="inlineStr"/>
    </row>
    <row r="926" ht="15" customHeight="1">
      <c r="A926" t="inlineStr">
        <is>
          <t>A 15060-2023</t>
        </is>
      </c>
      <c r="B926" s="1" t="n">
        <v>45015</v>
      </c>
      <c r="C926" s="1" t="n">
        <v>45830</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15104-2023</t>
        </is>
      </c>
      <c r="B927" s="1" t="n">
        <v>45016</v>
      </c>
      <c r="C927" s="1" t="n">
        <v>45830</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15133-2023</t>
        </is>
      </c>
      <c r="B928" s="1" t="n">
        <v>45016</v>
      </c>
      <c r="C928" s="1" t="n">
        <v>45830</v>
      </c>
      <c r="D928" t="inlineStr">
        <is>
          <t>SKÅNE LÄN</t>
        </is>
      </c>
      <c r="E928" t="inlineStr">
        <is>
          <t>HÄSSLEHOLM</t>
        </is>
      </c>
      <c r="G928" t="n">
        <v>7.8</v>
      </c>
      <c r="H928" t="n">
        <v>0</v>
      </c>
      <c r="I928" t="n">
        <v>0</v>
      </c>
      <c r="J928" t="n">
        <v>0</v>
      </c>
      <c r="K928" t="n">
        <v>0</v>
      </c>
      <c r="L928" t="n">
        <v>0</v>
      </c>
      <c r="M928" t="n">
        <v>0</v>
      </c>
      <c r="N928" t="n">
        <v>0</v>
      </c>
      <c r="O928" t="n">
        <v>0</v>
      </c>
      <c r="P928" t="n">
        <v>0</v>
      </c>
      <c r="Q928" t="n">
        <v>0</v>
      </c>
      <c r="R928" s="2" t="inlineStr"/>
    </row>
    <row r="929" ht="15" customHeight="1">
      <c r="A929" t="inlineStr">
        <is>
          <t>A 15546-2023</t>
        </is>
      </c>
      <c r="B929" s="1" t="n">
        <v>45018</v>
      </c>
      <c r="C929" s="1" t="n">
        <v>45830</v>
      </c>
      <c r="D929" t="inlineStr">
        <is>
          <t>SKÅNE LÄN</t>
        </is>
      </c>
      <c r="E929" t="inlineStr">
        <is>
          <t>HÄSSLEHOLM</t>
        </is>
      </c>
      <c r="G929" t="n">
        <v>4.2</v>
      </c>
      <c r="H929" t="n">
        <v>0</v>
      </c>
      <c r="I929" t="n">
        <v>0</v>
      </c>
      <c r="J929" t="n">
        <v>0</v>
      </c>
      <c r="K929" t="n">
        <v>0</v>
      </c>
      <c r="L929" t="n">
        <v>0</v>
      </c>
      <c r="M929" t="n">
        <v>0</v>
      </c>
      <c r="N929" t="n">
        <v>0</v>
      </c>
      <c r="O929" t="n">
        <v>0</v>
      </c>
      <c r="P929" t="n">
        <v>0</v>
      </c>
      <c r="Q929" t="n">
        <v>0</v>
      </c>
      <c r="R929" s="2" t="inlineStr"/>
    </row>
    <row r="930" ht="15" customHeight="1">
      <c r="A930" t="inlineStr">
        <is>
          <t>A 15508-2023</t>
        </is>
      </c>
      <c r="B930" s="1" t="n">
        <v>45020</v>
      </c>
      <c r="C930" s="1" t="n">
        <v>45830</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15603-2023</t>
        </is>
      </c>
      <c r="B931" s="1" t="n">
        <v>45020</v>
      </c>
      <c r="C931" s="1" t="n">
        <v>45830</v>
      </c>
      <c r="D931" t="inlineStr">
        <is>
          <t>SKÅNE LÄN</t>
        </is>
      </c>
      <c r="E931" t="inlineStr">
        <is>
          <t>HÄSSLEHOLM</t>
        </is>
      </c>
      <c r="G931" t="n">
        <v>3.7</v>
      </c>
      <c r="H931" t="n">
        <v>0</v>
      </c>
      <c r="I931" t="n">
        <v>0</v>
      </c>
      <c r="J931" t="n">
        <v>0</v>
      </c>
      <c r="K931" t="n">
        <v>0</v>
      </c>
      <c r="L931" t="n">
        <v>0</v>
      </c>
      <c r="M931" t="n">
        <v>0</v>
      </c>
      <c r="N931" t="n">
        <v>0</v>
      </c>
      <c r="O931" t="n">
        <v>0</v>
      </c>
      <c r="P931" t="n">
        <v>0</v>
      </c>
      <c r="Q931" t="n">
        <v>0</v>
      </c>
      <c r="R931" s="2" t="inlineStr"/>
    </row>
    <row r="932" ht="15" customHeight="1">
      <c r="A932" t="inlineStr">
        <is>
          <t>A 15698-2023</t>
        </is>
      </c>
      <c r="B932" s="1" t="n">
        <v>45021</v>
      </c>
      <c r="C932" s="1" t="n">
        <v>45830</v>
      </c>
      <c r="D932" t="inlineStr">
        <is>
          <t>SKÅNE LÄN</t>
        </is>
      </c>
      <c r="E932" t="inlineStr">
        <is>
          <t>HÄSSLEHOLM</t>
        </is>
      </c>
      <c r="F932" t="inlineStr">
        <is>
          <t>Kommuner</t>
        </is>
      </c>
      <c r="G932" t="n">
        <v>5.5</v>
      </c>
      <c r="H932" t="n">
        <v>0</v>
      </c>
      <c r="I932" t="n">
        <v>0</v>
      </c>
      <c r="J932" t="n">
        <v>0</v>
      </c>
      <c r="K932" t="n">
        <v>0</v>
      </c>
      <c r="L932" t="n">
        <v>0</v>
      </c>
      <c r="M932" t="n">
        <v>0</v>
      </c>
      <c r="N932" t="n">
        <v>0</v>
      </c>
      <c r="O932" t="n">
        <v>0</v>
      </c>
      <c r="P932" t="n">
        <v>0</v>
      </c>
      <c r="Q932" t="n">
        <v>0</v>
      </c>
      <c r="R932" s="2" t="inlineStr"/>
    </row>
    <row r="933" ht="15" customHeight="1">
      <c r="A933" t="inlineStr">
        <is>
          <t>A 15701-2023</t>
        </is>
      </c>
      <c r="B933" s="1" t="n">
        <v>45021</v>
      </c>
      <c r="C933" s="1" t="n">
        <v>45830</v>
      </c>
      <c r="D933" t="inlineStr">
        <is>
          <t>SKÅNE LÄN</t>
        </is>
      </c>
      <c r="E933" t="inlineStr">
        <is>
          <t>HÄSSLEHOLM</t>
        </is>
      </c>
      <c r="F933" t="inlineStr">
        <is>
          <t>Kommuner</t>
        </is>
      </c>
      <c r="G933" t="n">
        <v>3.5</v>
      </c>
      <c r="H933" t="n">
        <v>0</v>
      </c>
      <c r="I933" t="n">
        <v>0</v>
      </c>
      <c r="J933" t="n">
        <v>0</v>
      </c>
      <c r="K933" t="n">
        <v>0</v>
      </c>
      <c r="L933" t="n">
        <v>0</v>
      </c>
      <c r="M933" t="n">
        <v>0</v>
      </c>
      <c r="N933" t="n">
        <v>0</v>
      </c>
      <c r="O933" t="n">
        <v>0</v>
      </c>
      <c r="P933" t="n">
        <v>0</v>
      </c>
      <c r="Q933" t="n">
        <v>0</v>
      </c>
      <c r="R933" s="2" t="inlineStr"/>
    </row>
    <row r="934" ht="15" customHeight="1">
      <c r="A934" t="inlineStr">
        <is>
          <t>A 15990-2023</t>
        </is>
      </c>
      <c r="B934" s="1" t="n">
        <v>45023</v>
      </c>
      <c r="C934" s="1" t="n">
        <v>45830</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16017-2023</t>
        </is>
      </c>
      <c r="B935" s="1" t="n">
        <v>45026</v>
      </c>
      <c r="C935" s="1" t="n">
        <v>45830</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16454-2023</t>
        </is>
      </c>
      <c r="B936" s="1" t="n">
        <v>45029</v>
      </c>
      <c r="C936" s="1" t="n">
        <v>45830</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16891-2023</t>
        </is>
      </c>
      <c r="B937" s="1" t="n">
        <v>45033</v>
      </c>
      <c r="C937" s="1" t="n">
        <v>45830</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17176-2023</t>
        </is>
      </c>
      <c r="B938" s="1" t="n">
        <v>45034</v>
      </c>
      <c r="C938" s="1" t="n">
        <v>45830</v>
      </c>
      <c r="D938" t="inlineStr">
        <is>
          <t>SKÅNE LÄN</t>
        </is>
      </c>
      <c r="E938" t="inlineStr">
        <is>
          <t>HÄSSLEHOLM</t>
        </is>
      </c>
      <c r="G938" t="n">
        <v>2</v>
      </c>
      <c r="H938" t="n">
        <v>0</v>
      </c>
      <c r="I938" t="n">
        <v>0</v>
      </c>
      <c r="J938" t="n">
        <v>0</v>
      </c>
      <c r="K938" t="n">
        <v>0</v>
      </c>
      <c r="L938" t="n">
        <v>0</v>
      </c>
      <c r="M938" t="n">
        <v>0</v>
      </c>
      <c r="N938" t="n">
        <v>0</v>
      </c>
      <c r="O938" t="n">
        <v>0</v>
      </c>
      <c r="P938" t="n">
        <v>0</v>
      </c>
      <c r="Q938" t="n">
        <v>0</v>
      </c>
      <c r="R938" s="2" t="inlineStr"/>
    </row>
    <row r="939" ht="15" customHeight="1">
      <c r="A939" t="inlineStr">
        <is>
          <t>A 17535-2023</t>
        </is>
      </c>
      <c r="B939" s="1" t="n">
        <v>45036</v>
      </c>
      <c r="C939" s="1" t="n">
        <v>45830</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18063-2023</t>
        </is>
      </c>
      <c r="B940" s="1" t="n">
        <v>45040</v>
      </c>
      <c r="C940" s="1" t="n">
        <v>45830</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18086-2023</t>
        </is>
      </c>
      <c r="B941" s="1" t="n">
        <v>45040</v>
      </c>
      <c r="C941" s="1" t="n">
        <v>45830</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45830</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45830</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45830</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45830</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45830</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45830</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45830</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45830</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45830</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45830</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45830</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45830</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45830</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45830</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45830</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45830</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45830</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45830</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45830</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45830</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45830</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45830</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45830</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45830</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45830</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45830</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45830</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45830</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45830</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45830</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45830</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45830</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45830</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45830</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45830</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45830</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45830</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45830</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45830</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45830</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45830</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45830</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45830</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45830</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45830</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45830</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45830</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45830</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45830</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45830</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45830</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45830</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45830</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45830</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45830</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45830</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45830</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45830</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45830</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45830</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45830</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45830</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45830</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45830</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45830</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45830</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45830</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45830</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45830</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45830</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45830</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45830</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45830</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45830</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45830</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45830</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45830</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45830</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45830</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45830</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45830</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45830</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45830</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45830</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45830</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45830</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45830</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45830</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45830</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45830</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45830</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45830</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45830</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45830</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45830</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45830</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45830</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45830</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45830</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45830</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45830</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45830</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45830</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45830</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45830</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45830</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45830</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45830</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45830</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45830</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45830</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45830</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45830</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45830</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45830</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45830</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45830</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45830</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45830</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45830</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45830</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45830</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45830</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45830</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45830</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45830</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45830</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45830</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45830</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45830</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45830</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45830</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45830</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45830</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45830</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45830</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45830</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45830</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45830</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45830</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45830</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45830</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45830</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45830</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45830</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45830</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45830</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45830</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45830</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45830</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45830</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45830</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45830</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45830</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45830</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45830</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45830</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45830</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45830</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45830</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45830</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45830</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45830</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45830</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45830</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45830</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45830</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45830</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45830</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45830</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45830</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45830</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45830</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45830</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45830</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45830</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45830</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45830</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45830</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45830</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45830</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45830</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45830</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45830</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45830</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45830</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45830</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45830</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45830</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45830</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45830</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45830</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45830</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45830</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45830</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45830</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45830</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45830</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45830</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45830</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45830</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45830</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45830</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45830</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45830</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45830</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45830</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45830</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45830</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45830</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45830</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45830</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45830</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45830</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45830</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45830</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45830</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45830</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45830</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45830</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45830</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45830</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45830</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45830</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45830</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45830</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45830</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45830</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45830</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45830</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45830</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45830</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45830</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45830</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45830</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45830</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45830</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45830</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45830</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45830</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45830</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45830</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45830</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45830</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45830</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45830</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45830</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45830</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45830</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45830</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45830</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45830</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45830</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45830</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45830</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45830</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45830</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45830</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45830</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45830</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45830</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45830</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45830</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45830</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45830</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45830</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45830</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45830</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45830</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45830</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45830</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45830</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45830</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45830</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45830</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45830</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45830</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45830</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45830</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45830</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45830</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45830</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45830</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45830</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45830</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45830</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45830</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45830</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45830</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45830</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45830</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45830</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45830</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45830</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45830</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45830</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45830</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45830</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45830</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45830</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45830</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45830</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45830</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45830</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45830</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45830</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45830</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45830</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45830</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45830</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45830</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45830</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45830</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45830</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45830</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45830</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45830</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45830</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45830</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45830</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45830</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45830</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45830</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45830</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45830</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45830</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45830</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45830</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45830</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45830</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45830</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45830</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45830</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45830</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45830</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45830</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45830</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45830</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45830</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45830</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45830</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45830</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45830</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45830</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45830</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45830</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45830</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45830</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45830</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45830</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45830</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45830</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45830</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45830</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45830</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45830</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45830</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45830</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45830</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45830</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45830</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45830</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45830</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45830</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45830</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45830</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45830</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45830</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45830</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45830</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45830</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45830</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45830</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45830</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45830</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45830</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45830</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45830</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45830</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45830</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45830</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45830</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45830</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45830</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45830</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45830</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45830</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45830</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45830</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45830</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45830</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45830</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45830</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45830</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45830</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45830</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45830</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45830</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45830</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45830</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45830</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45830</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45830</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45830</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45830</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45830</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45830</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45830</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45830</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45830</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45830</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45830</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45830</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45830</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45830</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45830</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45830</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45830</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45830</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45830</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45830</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45830</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45830</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45830</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45830</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45830</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45830</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45830</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45830</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45830</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45830</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45830</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45830</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45830</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45830</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45830</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45830</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45830</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45830</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45830</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45830</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45830</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45830</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45830</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45830</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45830</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45830</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45830</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45830</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45830</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45830</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45830</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45830</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45830</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45830</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45830</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45830</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45830</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45830</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45830</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45830</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45830</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45830</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45830</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45830</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45830</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45830</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45830</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45830</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45830</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45830</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45830</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45830</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45830</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45830</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45830</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45830</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45830</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45830</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45830</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45830</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45830</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45830</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45830</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45830</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45830</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45830</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45830</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45830</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45830</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45830</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45830</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45830</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45830</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45830</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45830</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45830</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45830</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45830</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45830</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45830</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45830</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45830</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45830</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45830</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45830</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45830</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45830</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45830</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45830</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45830</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45830</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45830</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45830</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45830</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45830</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45830</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45830</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45830</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45830</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45830</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45830</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45830</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45830</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45830</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45830</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45830</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45830</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45830</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45830</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45830</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45830</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45830</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45830</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45830</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45830</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45830</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45830</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45830</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45830</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45830</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45830</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45830</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45830</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45830</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45830</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45830</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45830</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45830</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45830</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45830</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45830</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45830</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45830</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45830</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45830</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45830</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45830</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45830</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45830</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45830</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45830</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45830</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45830</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45830</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45830</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45830</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45830</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45830</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45830</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45830</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45830</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45830</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45830</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45830</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45830</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45830</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45830</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45830</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45830</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45830</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45830</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45830</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45830</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45830</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45830</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45830</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45830</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45830</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45830</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45830</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45830</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45830</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45830</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45830</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45830</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45830</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45830</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45830</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45830</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45830</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45830</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45830</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45830</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45830</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45830</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45830</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45830</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45830</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45830</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45830</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45830</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45830</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45830</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45830</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45830</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45830</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45830</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45830</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45830</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45830</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45830</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45830</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45830</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45830</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45830</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45830</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45830</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45830</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45830</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45830</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45830</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45830</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45830</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45830</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45830</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45830</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45830</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45830</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45830</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45830</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45830</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45830</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45830</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45830</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45830</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45830</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45830</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45830</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45830</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45830</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45830</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45830</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45830</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45830</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45830</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45830</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45830</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45830</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45830</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45830</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45830</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45830</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45830</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45830</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45830</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45830</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45830</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45830</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45830</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45830</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45830</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45830</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45830</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45830</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45830</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45830</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45830</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45830</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45830</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45830</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45830</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45830</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45830</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45830</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45830</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45830</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45830</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45830</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45830</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45830</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45830</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45830</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45830</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45830</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45830</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45830</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45830</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45830</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45830</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45830</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45830</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45830</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45830</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45830</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45830</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45830</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45830</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45830</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45830</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45830</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45830</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45830</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45830</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45830</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45830</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45830</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45830</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45830</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45830</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45830</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45830</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45830</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45830</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45830</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45830</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45830</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45830</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45830</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45830</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45830</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45830</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45830</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45830</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45830</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45830</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45830</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45830</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45830</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45830</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45830</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45830</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45830</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45830</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45830</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45830</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45830</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45830</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45830</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45830</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45830</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45830</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45830</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45830</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45830</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45830</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45830</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45830</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45830</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45830</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45830</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45830</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45830</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45830</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45830</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45830</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45830</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45830</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45830</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45830</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45830</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45830</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45830</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45830</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45830</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45830</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45830</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45830</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45830</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45830</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45830</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45830</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45830</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45830</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45830</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45830</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45830</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45830</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45830</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45830</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45830</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45830</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45830</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45830</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45830</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45830</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45830</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45830</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45830</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45830</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45830</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45830</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45830</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45830</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45830</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45830</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45830</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45830</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45830</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45830</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45830</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45830</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45830</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45830</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45830</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45830</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45830</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45830</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45830</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45830</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45830</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45830</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45830</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45830</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45830</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45830</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45830</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45830</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45830</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45830</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45830</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45830</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45830</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45830</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45830</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45830</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45830</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45830</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45830</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45830</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45830</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45830</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45830</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45830</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45830</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45830</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45830</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45830</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45830</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45830</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45830</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45830</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45830</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45830</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45830</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45830</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45830</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45830</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45830</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45830</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45830</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45830</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45830</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45830</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45830</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45830</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45830</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45830</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45830</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45830</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45830</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45830</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24032-2025</t>
        </is>
      </c>
      <c r="B1814" s="1" t="n">
        <v>45796</v>
      </c>
      <c r="C1814" s="1" t="n">
        <v>45830</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45830</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24034-2025</t>
        </is>
      </c>
      <c r="B1816" s="1" t="n">
        <v>45796</v>
      </c>
      <c r="C1816" s="1" t="n">
        <v>45830</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24047-2025</t>
        </is>
      </c>
      <c r="B1817" s="1" t="n">
        <v>45796</v>
      </c>
      <c r="C1817" s="1" t="n">
        <v>45830</v>
      </c>
      <c r="D1817" t="inlineStr">
        <is>
          <t>SKÅNE LÄN</t>
        </is>
      </c>
      <c r="E1817" t="inlineStr">
        <is>
          <t>HÄSSLEHOLM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45830</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24658-2025</t>
        </is>
      </c>
      <c r="B1819" s="1" t="n">
        <v>45798</v>
      </c>
      <c r="C1819" s="1" t="n">
        <v>45830</v>
      </c>
      <c r="D1819" t="inlineStr">
        <is>
          <t>SKÅNE LÄN</t>
        </is>
      </c>
      <c r="E1819" t="inlineStr">
        <is>
          <t>HÄSSLEHOLM</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24675-2025</t>
        </is>
      </c>
      <c r="B1820" s="1" t="n">
        <v>45798</v>
      </c>
      <c r="C1820" s="1" t="n">
        <v>45830</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45830</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45830</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24904-2025</t>
        </is>
      </c>
      <c r="B1823" s="1" t="n">
        <v>45799</v>
      </c>
      <c r="C1823" s="1" t="n">
        <v>45830</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25372-2025</t>
        </is>
      </c>
      <c r="B1824" s="1" t="n">
        <v>45799</v>
      </c>
      <c r="C1824" s="1" t="n">
        <v>45830</v>
      </c>
      <c r="D1824" t="inlineStr">
        <is>
          <t>SKÅNE LÄN</t>
        </is>
      </c>
      <c r="E1824" t="inlineStr">
        <is>
          <t>HÄSSLEHOLM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45830</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45830</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45830</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45830</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45830</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45830</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26244-2025</t>
        </is>
      </c>
      <c r="B1831" s="1" t="n">
        <v>45805</v>
      </c>
      <c r="C1831" s="1" t="n">
        <v>45830</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45830</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45830</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45830</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27940-2025</t>
        </is>
      </c>
      <c r="B1835" s="1" t="n">
        <v>45817</v>
      </c>
      <c r="C1835" s="1" t="n">
        <v>45830</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27934-2025</t>
        </is>
      </c>
      <c r="B1836" s="1" t="n">
        <v>45817</v>
      </c>
      <c r="C1836" s="1" t="n">
        <v>45830</v>
      </c>
      <c r="D1836" t="inlineStr">
        <is>
          <t>SKÅNE LÄN</t>
        </is>
      </c>
      <c r="E1836" t="inlineStr">
        <is>
          <t>HÄSSLEHOLM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27887-2025</t>
        </is>
      </c>
      <c r="B1837" s="1" t="n">
        <v>45817</v>
      </c>
      <c r="C1837" s="1" t="n">
        <v>45830</v>
      </c>
      <c r="D1837" t="inlineStr">
        <is>
          <t>SKÅNE LÄN</t>
        </is>
      </c>
      <c r="E1837" t="inlineStr">
        <is>
          <t>HÄSSLEHOLM</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28095-2025</t>
        </is>
      </c>
      <c r="B1838" s="1" t="n">
        <v>45817</v>
      </c>
      <c r="C1838" s="1" t="n">
        <v>45830</v>
      </c>
      <c r="D1838" t="inlineStr">
        <is>
          <t>SKÅNE LÄN</t>
        </is>
      </c>
      <c r="E1838" t="inlineStr">
        <is>
          <t>HÄSSLEHOLM</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28122-2025</t>
        </is>
      </c>
      <c r="B1839" s="1" t="n">
        <v>45817</v>
      </c>
      <c r="C1839" s="1" t="n">
        <v>45830</v>
      </c>
      <c r="D1839" t="inlineStr">
        <is>
          <t>SKÅNE LÄN</t>
        </is>
      </c>
      <c r="E1839" t="inlineStr">
        <is>
          <t>HÄSSLEHOLM</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28240-2025</t>
        </is>
      </c>
      <c r="B1840" s="1" t="n">
        <v>45817</v>
      </c>
      <c r="C1840" s="1" t="n">
        <v>45830</v>
      </c>
      <c r="D1840" t="inlineStr">
        <is>
          <t>SKÅNE LÄN</t>
        </is>
      </c>
      <c r="E1840" t="inlineStr">
        <is>
          <t>HÄSSLEHOLM</t>
        </is>
      </c>
      <c r="G1840" t="n">
        <v>7.7</v>
      </c>
      <c r="H1840" t="n">
        <v>0</v>
      </c>
      <c r="I1840" t="n">
        <v>0</v>
      </c>
      <c r="J1840" t="n">
        <v>0</v>
      </c>
      <c r="K1840" t="n">
        <v>0</v>
      </c>
      <c r="L1840" t="n">
        <v>0</v>
      </c>
      <c r="M1840" t="n">
        <v>0</v>
      </c>
      <c r="N1840" t="n">
        <v>0</v>
      </c>
      <c r="O1840" t="n">
        <v>0</v>
      </c>
      <c r="P1840" t="n">
        <v>0</v>
      </c>
      <c r="Q1840" t="n">
        <v>0</v>
      </c>
      <c r="R1840" s="2" t="inlineStr"/>
    </row>
    <row r="1841" ht="15" customHeight="1">
      <c r="A1841" t="inlineStr">
        <is>
          <t>A 28251-2025</t>
        </is>
      </c>
      <c r="B1841" s="1" t="n">
        <v>45817</v>
      </c>
      <c r="C1841" s="1" t="n">
        <v>45830</v>
      </c>
      <c r="D1841" t="inlineStr">
        <is>
          <t>SKÅNE LÄN</t>
        </is>
      </c>
      <c r="E1841" t="inlineStr">
        <is>
          <t>HÄSSLEHOLM</t>
        </is>
      </c>
      <c r="G1841" t="n">
        <v>7.2</v>
      </c>
      <c r="H1841" t="n">
        <v>0</v>
      </c>
      <c r="I1841" t="n">
        <v>0</v>
      </c>
      <c r="J1841" t="n">
        <v>0</v>
      </c>
      <c r="K1841" t="n">
        <v>0</v>
      </c>
      <c r="L1841" t="n">
        <v>0</v>
      </c>
      <c r="M1841" t="n">
        <v>0</v>
      </c>
      <c r="N1841" t="n">
        <v>0</v>
      </c>
      <c r="O1841" t="n">
        <v>0</v>
      </c>
      <c r="P1841" t="n">
        <v>0</v>
      </c>
      <c r="Q1841" t="n">
        <v>0</v>
      </c>
      <c r="R1841" s="2" t="inlineStr"/>
    </row>
    <row r="1842" ht="15" customHeight="1">
      <c r="A1842" t="inlineStr">
        <is>
          <t>A 29171-2025</t>
        </is>
      </c>
      <c r="B1842" s="1" t="n">
        <v>45821</v>
      </c>
      <c r="C1842" s="1" t="n">
        <v>45830</v>
      </c>
      <c r="D1842" t="inlineStr">
        <is>
          <t>SKÅNE LÄN</t>
        </is>
      </c>
      <c r="E1842" t="inlineStr">
        <is>
          <t>HÄSSLEHOLM</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29170-2025</t>
        </is>
      </c>
      <c r="B1843" s="1" t="n">
        <v>45821</v>
      </c>
      <c r="C1843" s="1" t="n">
        <v>45830</v>
      </c>
      <c r="D1843" t="inlineStr">
        <is>
          <t>SKÅNE LÄN</t>
        </is>
      </c>
      <c r="E1843" t="inlineStr">
        <is>
          <t>HÄSSLEHOLM</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29168-2025</t>
        </is>
      </c>
      <c r="B1844" s="1" t="n">
        <v>45821</v>
      </c>
      <c r="C1844" s="1" t="n">
        <v>45830</v>
      </c>
      <c r="D1844" t="inlineStr">
        <is>
          <t>SKÅNE LÄN</t>
        </is>
      </c>
      <c r="E1844" t="inlineStr">
        <is>
          <t>HÄSSLEHOLM</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29649-2025</t>
        </is>
      </c>
      <c r="B1845" s="1" t="n">
        <v>45825</v>
      </c>
      <c r="C1845" s="1" t="n">
        <v>45830</v>
      </c>
      <c r="D1845" t="inlineStr">
        <is>
          <t>SKÅNE LÄN</t>
        </is>
      </c>
      <c r="E1845" t="inlineStr">
        <is>
          <t>HÄSSLEHOLM</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30092-2025</t>
        </is>
      </c>
      <c r="B1846" s="1" t="n">
        <v>45826</v>
      </c>
      <c r="C1846" s="1" t="n">
        <v>45830</v>
      </c>
      <c r="D1846" t="inlineStr">
        <is>
          <t>SKÅNE LÄN</t>
        </is>
      </c>
      <c r="E1846" t="inlineStr">
        <is>
          <t>HÄSSLEHOLM</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30109-2025</t>
        </is>
      </c>
      <c r="B1847" s="1" t="n">
        <v>45826</v>
      </c>
      <c r="C1847" s="1" t="n">
        <v>45830</v>
      </c>
      <c r="D1847" t="inlineStr">
        <is>
          <t>SKÅNE LÄN</t>
        </is>
      </c>
      <c r="E1847" t="inlineStr">
        <is>
          <t>HÄSSLEHOLM</t>
        </is>
      </c>
      <c r="G1847" t="n">
        <v>2.4</v>
      </c>
      <c r="H1847" t="n">
        <v>0</v>
      </c>
      <c r="I1847" t="n">
        <v>0</v>
      </c>
      <c r="J1847" t="n">
        <v>0</v>
      </c>
      <c r="K1847" t="n">
        <v>0</v>
      </c>
      <c r="L1847" t="n">
        <v>0</v>
      </c>
      <c r="M1847" t="n">
        <v>0</v>
      </c>
      <c r="N1847" t="n">
        <v>0</v>
      </c>
      <c r="O1847" t="n">
        <v>0</v>
      </c>
      <c r="P1847" t="n">
        <v>0</v>
      </c>
      <c r="Q1847" t="n">
        <v>0</v>
      </c>
      <c r="R1847" s="2" t="inlineStr"/>
    </row>
    <row r="1848">
      <c r="A1848" t="inlineStr">
        <is>
          <t>A 30010-2025</t>
        </is>
      </c>
      <c r="B1848" s="1" t="n">
        <v>45826</v>
      </c>
      <c r="C1848" s="1" t="n">
        <v>45830</v>
      </c>
      <c r="D1848" t="inlineStr">
        <is>
          <t>SKÅNE LÄN</t>
        </is>
      </c>
      <c r="E1848" t="inlineStr">
        <is>
          <t>HÄSSLEHOLM</t>
        </is>
      </c>
      <c r="G1848" t="n">
        <v>4.5</v>
      </c>
      <c r="H1848" t="n">
        <v>0</v>
      </c>
      <c r="I1848" t="n">
        <v>0</v>
      </c>
      <c r="J1848" t="n">
        <v>0</v>
      </c>
      <c r="K1848" t="n">
        <v>0</v>
      </c>
      <c r="L1848" t="n">
        <v>0</v>
      </c>
      <c r="M1848" t="n">
        <v>0</v>
      </c>
      <c r="N1848" t="n">
        <v>0</v>
      </c>
      <c r="O1848" t="n">
        <v>0</v>
      </c>
      <c r="P1848" t="n">
        <v>0</v>
      </c>
      <c r="Q1848" t="n">
        <v>0</v>
      </c>
      <c r="R1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2025-06-22T18:47:51Z</dcterms:created>
  <dcterms:modified xmlns:dcterms="http://purl.org/dc/terms/" xmlns:xsi="http://www.w3.org/2001/XMLSchema-instance" xsi:type="dcterms:W3CDTF">2025-06-22T18:47:52Z</dcterms:modified>
</cp:coreProperties>
</file>