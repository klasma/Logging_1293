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46193</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46193</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46193</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46193</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c r="Z5">
        <f>HYPERLINK("https://klasma.github.io/Logging_1293/fåglar/A 24907-2026 prioriterade fågelarter.docx", "A 24907-2026")</f>
        <v/>
      </c>
    </row>
    <row r="6" ht="15" customHeight="1">
      <c r="A6" t="inlineStr">
        <is>
          <t>A 33927-2021</t>
        </is>
      </c>
      <c r="B6" s="1" t="n">
        <v>44378</v>
      </c>
      <c r="C6" s="1" t="n">
        <v>46193</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46193</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46193</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46193</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46193</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49384-2021</t>
        </is>
      </c>
      <c r="B11" s="1" t="n">
        <v>44454</v>
      </c>
      <c r="C11" s="1" t="n">
        <v>46193</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4059-2023</t>
        </is>
      </c>
      <c r="B12" s="1" t="n">
        <v>44952</v>
      </c>
      <c r="C12" s="1" t="n">
        <v>46193</v>
      </c>
      <c r="D12" t="inlineStr">
        <is>
          <t>SKÅNE LÄN</t>
        </is>
      </c>
      <c r="E12" t="inlineStr">
        <is>
          <t>HÄSSLEHOLM</t>
        </is>
      </c>
      <c r="G12" t="n">
        <v>2.9</v>
      </c>
      <c r="H12" t="n">
        <v>5</v>
      </c>
      <c r="I12" t="n">
        <v>0</v>
      </c>
      <c r="J12" t="n">
        <v>0</v>
      </c>
      <c r="K12" t="n">
        <v>0</v>
      </c>
      <c r="L12" t="n">
        <v>0</v>
      </c>
      <c r="M12" t="n">
        <v>0</v>
      </c>
      <c r="N12" t="n">
        <v>0</v>
      </c>
      <c r="O12" t="n">
        <v>0</v>
      </c>
      <c r="P12" t="n">
        <v>0</v>
      </c>
      <c r="Q12" t="n">
        <v>5</v>
      </c>
      <c r="R12" s="2" t="inlineStr">
        <is>
          <t>Dvärgpipistrell
Gråskimlig fladdermus
Större brunfladdermus
Trollpipistrell
Vattenfladdermus</t>
        </is>
      </c>
      <c r="S12">
        <f>HYPERLINK("https://klasma.github.io/Logging_1293/artfynd/A 4059-2023 artfynd.xlsx", "A 4059-2023")</f>
        <v/>
      </c>
      <c r="T12">
        <f>HYPERLINK("https://klasma.github.io/Logging_1293/kartor/A 4059-2023 karta.png", "A 4059-2023")</f>
        <v/>
      </c>
      <c r="V12">
        <f>HYPERLINK("https://klasma.github.io/Logging_1293/klagomål/A 4059-2023 FSC-klagomål.docx", "A 4059-2023")</f>
        <v/>
      </c>
      <c r="W12">
        <f>HYPERLINK("https://klasma.github.io/Logging_1293/klagomålsmail/A 4059-2023 FSC-klagomål mail.docx", "A 4059-2023")</f>
        <v/>
      </c>
      <c r="X12">
        <f>HYPERLINK("https://klasma.github.io/Logging_1293/tillsyn/A 4059-2023 tillsynsbegäran.docx", "A 4059-2023")</f>
        <v/>
      </c>
      <c r="Y12">
        <f>HYPERLINK("https://klasma.github.io/Logging_1293/tillsynsmail/A 4059-2023 tillsynsbegäran mail.docx", "A 4059-2023")</f>
        <v/>
      </c>
    </row>
    <row r="13" ht="15" customHeight="1">
      <c r="A13" t="inlineStr">
        <is>
          <t>A 24435-2026</t>
        </is>
      </c>
      <c r="B13" s="1" t="n">
        <v>46168</v>
      </c>
      <c r="C13" s="1" t="n">
        <v>46193</v>
      </c>
      <c r="D13" t="inlineStr">
        <is>
          <t>SKÅNE LÄN</t>
        </is>
      </c>
      <c r="E13" t="inlineStr">
        <is>
          <t>HÄSSLEHOLM</t>
        </is>
      </c>
      <c r="G13" t="n">
        <v>10.6</v>
      </c>
      <c r="H13" t="n">
        <v>0</v>
      </c>
      <c r="I13" t="n">
        <v>1</v>
      </c>
      <c r="J13" t="n">
        <v>0</v>
      </c>
      <c r="K13" t="n">
        <v>0</v>
      </c>
      <c r="L13" t="n">
        <v>0</v>
      </c>
      <c r="M13" t="n">
        <v>0</v>
      </c>
      <c r="N13" t="n">
        <v>0</v>
      </c>
      <c r="O13" t="n">
        <v>0</v>
      </c>
      <c r="P13" t="n">
        <v>0</v>
      </c>
      <c r="Q13" t="n">
        <v>5</v>
      </c>
      <c r="R13" s="2" t="inlineStr">
        <is>
          <t>Rostfläck
Bäckbräsma
Glansfläck
Kärrfibbla
Kärrviol</t>
        </is>
      </c>
      <c r="S13">
        <f>HYPERLINK("https://klasma.github.io/Logging_1293/artfynd/A 24435-2026 artfynd.xlsx", "A 24435-2026")</f>
        <v/>
      </c>
      <c r="T13">
        <f>HYPERLINK("https://klasma.github.io/Logging_1293/kartor/A 24435-2026 karta.png", "A 24435-2026")</f>
        <v/>
      </c>
      <c r="V13">
        <f>HYPERLINK("https://klasma.github.io/Logging_1293/klagomål/A 24435-2026 FSC-klagomål.docx", "A 24435-2026")</f>
        <v/>
      </c>
      <c r="W13">
        <f>HYPERLINK("https://klasma.github.io/Logging_1293/klagomålsmail/A 24435-2026 FSC-klagomål mail.docx", "A 24435-2026")</f>
        <v/>
      </c>
      <c r="X13">
        <f>HYPERLINK("https://klasma.github.io/Logging_1293/tillsyn/A 24435-2026 tillsynsbegäran.docx", "A 24435-2026")</f>
        <v/>
      </c>
      <c r="Y13">
        <f>HYPERLINK("https://klasma.github.io/Logging_1293/tillsynsmail/A 24435-2026 tillsynsbegäran mail.docx", "A 24435-2026")</f>
        <v/>
      </c>
    </row>
    <row r="14" ht="15" customHeight="1">
      <c r="A14" t="inlineStr">
        <is>
          <t>A 4615-2025</t>
        </is>
      </c>
      <c r="B14" s="1" t="n">
        <v>45687</v>
      </c>
      <c r="C14" s="1" t="n">
        <v>46193</v>
      </c>
      <c r="D14" t="inlineStr">
        <is>
          <t>SKÅNE LÄN</t>
        </is>
      </c>
      <c r="E14" t="inlineStr">
        <is>
          <t>HÄSSLEHOLM</t>
        </is>
      </c>
      <c r="G14" t="n">
        <v>1.7</v>
      </c>
      <c r="H14" t="n">
        <v>5</v>
      </c>
      <c r="I14" t="n">
        <v>0</v>
      </c>
      <c r="J14" t="n">
        <v>2</v>
      </c>
      <c r="K14" t="n">
        <v>0</v>
      </c>
      <c r="L14" t="n">
        <v>0</v>
      </c>
      <c r="M14" t="n">
        <v>0</v>
      </c>
      <c r="N14" t="n">
        <v>0</v>
      </c>
      <c r="O14" t="n">
        <v>2</v>
      </c>
      <c r="P14" t="n">
        <v>0</v>
      </c>
      <c r="Q14" t="n">
        <v>5</v>
      </c>
      <c r="R14" s="2" t="inlineStr">
        <is>
          <t>Entita
Talltita
Tjäder
Grönsiska
Kungsfågel</t>
        </is>
      </c>
      <c r="S14">
        <f>HYPERLINK("https://klasma.github.io/Logging_1293/artfynd/A 4615-2025 artfynd.xlsx", "A 4615-2025")</f>
        <v/>
      </c>
      <c r="T14">
        <f>HYPERLINK("https://klasma.github.io/Logging_1293/kartor/A 4615-2025 karta.png", "A 4615-2025")</f>
        <v/>
      </c>
      <c r="V14">
        <f>HYPERLINK("https://klasma.github.io/Logging_1293/klagomål/A 4615-2025 FSC-klagomål.docx", "A 4615-2025")</f>
        <v/>
      </c>
      <c r="W14">
        <f>HYPERLINK("https://klasma.github.io/Logging_1293/klagomålsmail/A 4615-2025 FSC-klagomål mail.docx", "A 4615-2025")</f>
        <v/>
      </c>
      <c r="X14">
        <f>HYPERLINK("https://klasma.github.io/Logging_1293/tillsyn/A 4615-2025 tillsynsbegäran.docx", "A 4615-2025")</f>
        <v/>
      </c>
      <c r="Y14">
        <f>HYPERLINK("https://klasma.github.io/Logging_1293/tillsynsmail/A 4615-2025 tillsynsbegäran mail.docx", "A 4615-2025")</f>
        <v/>
      </c>
      <c r="Z14">
        <f>HYPERLINK("https://klasma.github.io/Logging_1293/fåglar/A 4615-2025 prioriterade fågelarter.docx", "A 4615-2025")</f>
        <v/>
      </c>
    </row>
    <row r="15" ht="15" customHeight="1">
      <c r="A15" t="inlineStr">
        <is>
          <t>A 4598-2025</t>
        </is>
      </c>
      <c r="B15" s="1" t="n">
        <v>45687</v>
      </c>
      <c r="C15" s="1" t="n">
        <v>46193</v>
      </c>
      <c r="D15" t="inlineStr">
        <is>
          <t>SKÅNE LÄN</t>
        </is>
      </c>
      <c r="E15" t="inlineStr">
        <is>
          <t>HÄSSLEHOLM</t>
        </is>
      </c>
      <c r="G15" t="n">
        <v>3.3</v>
      </c>
      <c r="H15" t="n">
        <v>5</v>
      </c>
      <c r="I15" t="n">
        <v>0</v>
      </c>
      <c r="J15" t="n">
        <v>1</v>
      </c>
      <c r="K15" t="n">
        <v>0</v>
      </c>
      <c r="L15" t="n">
        <v>0</v>
      </c>
      <c r="M15" t="n">
        <v>0</v>
      </c>
      <c r="N15" t="n">
        <v>0</v>
      </c>
      <c r="O15" t="n">
        <v>1</v>
      </c>
      <c r="P15" t="n">
        <v>0</v>
      </c>
      <c r="Q15" t="n">
        <v>5</v>
      </c>
      <c r="R15" s="2" t="inlineStr">
        <is>
          <t>Entita
Spillkråka
Tofsmes
Grönsiska
Kungsfågel</t>
        </is>
      </c>
      <c r="S15">
        <f>HYPERLINK("https://klasma.github.io/Logging_1293/artfynd/A 4598-2025 artfynd.xlsx", "A 4598-2025")</f>
        <v/>
      </c>
      <c r="T15">
        <f>HYPERLINK("https://klasma.github.io/Logging_1293/kartor/A 4598-2025 karta.png", "A 4598-2025")</f>
        <v/>
      </c>
      <c r="V15">
        <f>HYPERLINK("https://klasma.github.io/Logging_1293/klagomål/A 4598-2025 FSC-klagomål.docx", "A 4598-2025")</f>
        <v/>
      </c>
      <c r="W15">
        <f>HYPERLINK("https://klasma.github.io/Logging_1293/klagomålsmail/A 4598-2025 FSC-klagomål mail.docx", "A 4598-2025")</f>
        <v/>
      </c>
      <c r="X15">
        <f>HYPERLINK("https://klasma.github.io/Logging_1293/tillsyn/A 4598-2025 tillsynsbegäran.docx", "A 4598-2025")</f>
        <v/>
      </c>
      <c r="Y15">
        <f>HYPERLINK("https://klasma.github.io/Logging_1293/tillsynsmail/A 4598-2025 tillsynsbegäran mail.docx", "A 4598-2025")</f>
        <v/>
      </c>
      <c r="Z15">
        <f>HYPERLINK("https://klasma.github.io/Logging_1293/fåglar/A 4598-2025 prioriterade fågelarter.docx", "A 4598-2025")</f>
        <v/>
      </c>
    </row>
    <row r="16" ht="15" customHeight="1">
      <c r="A16" t="inlineStr">
        <is>
          <t>A 13890-2024</t>
        </is>
      </c>
      <c r="B16" s="1" t="n">
        <v>45391</v>
      </c>
      <c r="C16" s="1" t="n">
        <v>46193</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46193</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46193</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8253-2025</t>
        </is>
      </c>
      <c r="B19" s="1" t="n">
        <v>45708</v>
      </c>
      <c r="C19" s="1" t="n">
        <v>46193</v>
      </c>
      <c r="D19" t="inlineStr">
        <is>
          <t>SKÅNE LÄN</t>
        </is>
      </c>
      <c r="E19" t="inlineStr">
        <is>
          <t>HÄSSLEHOLM</t>
        </is>
      </c>
      <c r="G19" t="n">
        <v>2</v>
      </c>
      <c r="H19" t="n">
        <v>3</v>
      </c>
      <c r="I19" t="n">
        <v>0</v>
      </c>
      <c r="J19" t="n">
        <v>1</v>
      </c>
      <c r="K19" t="n">
        <v>1</v>
      </c>
      <c r="L19" t="n">
        <v>0</v>
      </c>
      <c r="M19" t="n">
        <v>0</v>
      </c>
      <c r="N19" t="n">
        <v>0</v>
      </c>
      <c r="O19" t="n">
        <v>2</v>
      </c>
      <c r="P19" t="n">
        <v>1</v>
      </c>
      <c r="Q19" t="n">
        <v>3</v>
      </c>
      <c r="R19" s="2" t="inlineStr">
        <is>
          <t>Grönfink
Entita
Kungsfågel</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14933-2023</t>
        </is>
      </c>
      <c r="B20" s="1" t="n">
        <v>45014</v>
      </c>
      <c r="C20" s="1" t="n">
        <v>46193</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c r="Z20">
        <f>HYPERLINK("https://klasma.github.io/Logging_1293/fåglar/A 14933-2023 prioriterade fågelarter.docx", "A 14933-2023")</f>
        <v/>
      </c>
    </row>
    <row r="21" ht="15" customHeight="1">
      <c r="A21" t="inlineStr">
        <is>
          <t>A 27390-2025</t>
        </is>
      </c>
      <c r="B21" s="1" t="n">
        <v>45812</v>
      </c>
      <c r="C21" s="1" t="n">
        <v>46193</v>
      </c>
      <c r="D21" t="inlineStr">
        <is>
          <t>SKÅNE LÄN</t>
        </is>
      </c>
      <c r="E21" t="inlineStr">
        <is>
          <t>HÄSSLEHOLM</t>
        </is>
      </c>
      <c r="G21" t="n">
        <v>3.2</v>
      </c>
      <c r="H21" t="n">
        <v>0</v>
      </c>
      <c r="I21" t="n">
        <v>1</v>
      </c>
      <c r="J21" t="n">
        <v>2</v>
      </c>
      <c r="K21" t="n">
        <v>0</v>
      </c>
      <c r="L21" t="n">
        <v>0</v>
      </c>
      <c r="M21" t="n">
        <v>0</v>
      </c>
      <c r="N21" t="n">
        <v>0</v>
      </c>
      <c r="O21" t="n">
        <v>2</v>
      </c>
      <c r="P21" t="n">
        <v>0</v>
      </c>
      <c r="Q21" t="n">
        <v>3</v>
      </c>
      <c r="R21" s="2" t="inlineStr">
        <is>
          <t>Grönhjon
Kattfotslav
Havstulpanlav</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4595-2025</t>
        </is>
      </c>
      <c r="B22" s="1" t="n">
        <v>45687</v>
      </c>
      <c r="C22" s="1" t="n">
        <v>46193</v>
      </c>
      <c r="D22" t="inlineStr">
        <is>
          <t>SKÅNE LÄN</t>
        </is>
      </c>
      <c r="E22" t="inlineStr">
        <is>
          <t>HÄSSLEHOLM</t>
        </is>
      </c>
      <c r="G22" t="n">
        <v>2.6</v>
      </c>
      <c r="H22" t="n">
        <v>2</v>
      </c>
      <c r="I22" t="n">
        <v>1</v>
      </c>
      <c r="J22" t="n">
        <v>1</v>
      </c>
      <c r="K22" t="n">
        <v>0</v>
      </c>
      <c r="L22" t="n">
        <v>0</v>
      </c>
      <c r="M22" t="n">
        <v>0</v>
      </c>
      <c r="N22" t="n">
        <v>0</v>
      </c>
      <c r="O22" t="n">
        <v>1</v>
      </c>
      <c r="P22" t="n">
        <v>0</v>
      </c>
      <c r="Q22" t="n">
        <v>3</v>
      </c>
      <c r="R22" s="2" t="inlineStr">
        <is>
          <t>Entita
Blåmossa
Tjäder</t>
        </is>
      </c>
      <c r="S22">
        <f>HYPERLINK("https://klasma.github.io/Logging_1293/artfynd/A 4595-2025 artfynd.xlsx", "A 4595-2025")</f>
        <v/>
      </c>
      <c r="T22">
        <f>HYPERLINK("https://klasma.github.io/Logging_1293/kartor/A 4595-2025 karta.png", "A 4595-2025")</f>
        <v/>
      </c>
      <c r="V22">
        <f>HYPERLINK("https://klasma.github.io/Logging_1293/klagomål/A 4595-2025 FSC-klagomål.docx", "A 4595-2025")</f>
        <v/>
      </c>
      <c r="W22">
        <f>HYPERLINK("https://klasma.github.io/Logging_1293/klagomålsmail/A 4595-2025 FSC-klagomål mail.docx", "A 4595-2025")</f>
        <v/>
      </c>
      <c r="X22">
        <f>HYPERLINK("https://klasma.github.io/Logging_1293/tillsyn/A 4595-2025 tillsynsbegäran.docx", "A 4595-2025")</f>
        <v/>
      </c>
      <c r="Y22">
        <f>HYPERLINK("https://klasma.github.io/Logging_1293/tillsynsmail/A 4595-2025 tillsynsbegäran mail.docx", "A 4595-2025")</f>
        <v/>
      </c>
      <c r="Z22">
        <f>HYPERLINK("https://klasma.github.io/Logging_1293/fåglar/A 4595-2025 prioriterade fågelarter.docx", "A 4595-2025")</f>
        <v/>
      </c>
    </row>
    <row r="23" ht="15" customHeight="1">
      <c r="A23" t="inlineStr">
        <is>
          <t>A 44167-2021</t>
        </is>
      </c>
      <c r="B23" s="1" t="n">
        <v>44434</v>
      </c>
      <c r="C23" s="1" t="n">
        <v>46193</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25538-2024</t>
        </is>
      </c>
      <c r="B24" s="1" t="n">
        <v>45463</v>
      </c>
      <c r="C24" s="1" t="n">
        <v>46193</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57676-2022</t>
        </is>
      </c>
      <c r="B25" s="1" t="n">
        <v>44897</v>
      </c>
      <c r="C25" s="1" t="n">
        <v>46193</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46193</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46813-2024</t>
        </is>
      </c>
      <c r="B27" s="1" t="n">
        <v>45583</v>
      </c>
      <c r="C27" s="1" t="n">
        <v>46193</v>
      </c>
      <c r="D27" t="inlineStr">
        <is>
          <t>SKÅNE LÄN</t>
        </is>
      </c>
      <c r="E27" t="inlineStr">
        <is>
          <t>HÄSSLEHOLM</t>
        </is>
      </c>
      <c r="G27" t="n">
        <v>14.9</v>
      </c>
      <c r="H27" t="n">
        <v>2</v>
      </c>
      <c r="I27" t="n">
        <v>0</v>
      </c>
      <c r="J27" t="n">
        <v>0</v>
      </c>
      <c r="K27" t="n">
        <v>0</v>
      </c>
      <c r="L27" t="n">
        <v>0</v>
      </c>
      <c r="M27" t="n">
        <v>0</v>
      </c>
      <c r="N27" t="n">
        <v>0</v>
      </c>
      <c r="O27" t="n">
        <v>0</v>
      </c>
      <c r="P27" t="n">
        <v>0</v>
      </c>
      <c r="Q27" t="n">
        <v>2</v>
      </c>
      <c r="R27" s="2" t="inlineStr">
        <is>
          <t>Spillkråka
Gröngöling</t>
        </is>
      </c>
      <c r="S27">
        <f>HYPERLINK("https://klasma.github.io/Logging_1293/artfynd/A 46813-2024 artfynd.xlsx", "A 46813-2024")</f>
        <v/>
      </c>
      <c r="T27">
        <f>HYPERLINK("https://klasma.github.io/Logging_1293/kartor/A 46813-2024 karta.png", "A 46813-2024")</f>
        <v/>
      </c>
      <c r="V27">
        <f>HYPERLINK("https://klasma.github.io/Logging_1293/klagomål/A 46813-2024 FSC-klagomål.docx", "A 46813-2024")</f>
        <v/>
      </c>
      <c r="W27">
        <f>HYPERLINK("https://klasma.github.io/Logging_1293/klagomålsmail/A 46813-2024 FSC-klagomål mail.docx", "A 46813-2024")</f>
        <v/>
      </c>
      <c r="X27">
        <f>HYPERLINK("https://klasma.github.io/Logging_1293/tillsyn/A 46813-2024 tillsynsbegäran.docx", "A 46813-2024")</f>
        <v/>
      </c>
      <c r="Y27">
        <f>HYPERLINK("https://klasma.github.io/Logging_1293/tillsynsmail/A 46813-2024 tillsynsbegäran mail.docx", "A 46813-2024")</f>
        <v/>
      </c>
      <c r="Z27">
        <f>HYPERLINK("https://klasma.github.io/Logging_1293/fåglar/A 46813-2024 prioriterade fågelarter.docx", "A 46813-2024")</f>
        <v/>
      </c>
    </row>
    <row r="28" ht="15" customHeight="1">
      <c r="A28" t="inlineStr">
        <is>
          <t>A 21659-2026</t>
        </is>
      </c>
      <c r="B28" s="1" t="n">
        <v>46149</v>
      </c>
      <c r="C28" s="1" t="n">
        <v>46193</v>
      </c>
      <c r="D28" t="inlineStr">
        <is>
          <t>SKÅNE LÄN</t>
        </is>
      </c>
      <c r="E28" t="inlineStr">
        <is>
          <t>HÄSSLEHOLM</t>
        </is>
      </c>
      <c r="G28" t="n">
        <v>1.8</v>
      </c>
      <c r="H28" t="n">
        <v>2</v>
      </c>
      <c r="I28" t="n">
        <v>0</v>
      </c>
      <c r="J28" t="n">
        <v>1</v>
      </c>
      <c r="K28" t="n">
        <v>0</v>
      </c>
      <c r="L28" t="n">
        <v>0</v>
      </c>
      <c r="M28" t="n">
        <v>0</v>
      </c>
      <c r="N28" t="n">
        <v>0</v>
      </c>
      <c r="O28" t="n">
        <v>1</v>
      </c>
      <c r="P28" t="n">
        <v>0</v>
      </c>
      <c r="Q28" t="n">
        <v>2</v>
      </c>
      <c r="R28" s="2" t="inlineStr">
        <is>
          <t>Göktyta
Skogsduva</t>
        </is>
      </c>
      <c r="S28">
        <f>HYPERLINK("https://klasma.github.io/Logging_1293/artfynd/A 21659-2026 artfynd.xlsx", "A 21659-2026")</f>
        <v/>
      </c>
      <c r="T28">
        <f>HYPERLINK("https://klasma.github.io/Logging_1293/kartor/A 21659-2026 karta.png", "A 21659-2026")</f>
        <v/>
      </c>
      <c r="V28">
        <f>HYPERLINK("https://klasma.github.io/Logging_1293/klagomål/A 21659-2026 FSC-klagomål.docx", "A 21659-2026")</f>
        <v/>
      </c>
      <c r="W28">
        <f>HYPERLINK("https://klasma.github.io/Logging_1293/klagomålsmail/A 21659-2026 FSC-klagomål mail.docx", "A 21659-2026")</f>
        <v/>
      </c>
      <c r="X28">
        <f>HYPERLINK("https://klasma.github.io/Logging_1293/tillsyn/A 21659-2026 tillsynsbegäran.docx", "A 21659-2026")</f>
        <v/>
      </c>
      <c r="Y28">
        <f>HYPERLINK("https://klasma.github.io/Logging_1293/tillsynsmail/A 21659-2026 tillsynsbegäran mail.docx", "A 21659-2026")</f>
        <v/>
      </c>
      <c r="Z28">
        <f>HYPERLINK("https://klasma.github.io/Logging_1293/fåglar/A 21659-2026 prioriterade fågelarter.docx", "A 21659-2026")</f>
        <v/>
      </c>
    </row>
    <row r="29" ht="15" customHeight="1">
      <c r="A29" t="inlineStr">
        <is>
          <t>A 8257-2025</t>
        </is>
      </c>
      <c r="B29" s="1" t="n">
        <v>45708</v>
      </c>
      <c r="C29" s="1" t="n">
        <v>46193</v>
      </c>
      <c r="D29" t="inlineStr">
        <is>
          <t>SKÅNE LÄN</t>
        </is>
      </c>
      <c r="E29" t="inlineStr">
        <is>
          <t>HÄSSLEHOLM</t>
        </is>
      </c>
      <c r="G29" t="n">
        <v>2.1</v>
      </c>
      <c r="H29" t="n">
        <v>2</v>
      </c>
      <c r="I29" t="n">
        <v>0</v>
      </c>
      <c r="J29" t="n">
        <v>1</v>
      </c>
      <c r="K29" t="n">
        <v>0</v>
      </c>
      <c r="L29" t="n">
        <v>0</v>
      </c>
      <c r="M29" t="n">
        <v>0</v>
      </c>
      <c r="N29" t="n">
        <v>0</v>
      </c>
      <c r="O29" t="n">
        <v>1</v>
      </c>
      <c r="P29" t="n">
        <v>0</v>
      </c>
      <c r="Q29" t="n">
        <v>2</v>
      </c>
      <c r="R29" s="2" t="inlineStr">
        <is>
          <t>Talltita
Grönsiska</t>
        </is>
      </c>
      <c r="S29">
        <f>HYPERLINK("https://klasma.github.io/Logging_1293/artfynd/A 8257-2025 artfynd.xlsx", "A 8257-2025")</f>
        <v/>
      </c>
      <c r="T29">
        <f>HYPERLINK("https://klasma.github.io/Logging_1293/kartor/A 8257-2025 karta.png", "A 8257-2025")</f>
        <v/>
      </c>
      <c r="V29">
        <f>HYPERLINK("https://klasma.github.io/Logging_1293/klagomål/A 8257-2025 FSC-klagomål.docx", "A 8257-2025")</f>
        <v/>
      </c>
      <c r="W29">
        <f>HYPERLINK("https://klasma.github.io/Logging_1293/klagomålsmail/A 8257-2025 FSC-klagomål mail.docx", "A 8257-2025")</f>
        <v/>
      </c>
      <c r="X29">
        <f>HYPERLINK("https://klasma.github.io/Logging_1293/tillsyn/A 8257-2025 tillsynsbegäran.docx", "A 8257-2025")</f>
        <v/>
      </c>
      <c r="Y29">
        <f>HYPERLINK("https://klasma.github.io/Logging_1293/tillsynsmail/A 8257-2025 tillsynsbegäran mail.docx", "A 8257-2025")</f>
        <v/>
      </c>
      <c r="Z29">
        <f>HYPERLINK("https://klasma.github.io/Logging_1293/fåglar/A 8257-2025 prioriterade fågelarter.docx", "A 8257-2025")</f>
        <v/>
      </c>
    </row>
    <row r="30" ht="15" customHeight="1">
      <c r="A30" t="inlineStr">
        <is>
          <t>A 49572-2022</t>
        </is>
      </c>
      <c r="B30" s="1" t="n">
        <v>44862</v>
      </c>
      <c r="C30" s="1" t="n">
        <v>46193</v>
      </c>
      <c r="D30" t="inlineStr">
        <is>
          <t>SKÅNE LÄN</t>
        </is>
      </c>
      <c r="E30" t="inlineStr">
        <is>
          <t>HÄSSLEHOLM</t>
        </is>
      </c>
      <c r="G30" t="n">
        <v>1.4</v>
      </c>
      <c r="H30" t="n">
        <v>1</v>
      </c>
      <c r="I30" t="n">
        <v>1</v>
      </c>
      <c r="J30" t="n">
        <v>0</v>
      </c>
      <c r="K30" t="n">
        <v>0</v>
      </c>
      <c r="L30" t="n">
        <v>0</v>
      </c>
      <c r="M30" t="n">
        <v>0</v>
      </c>
      <c r="N30" t="n">
        <v>0</v>
      </c>
      <c r="O30" t="n">
        <v>0</v>
      </c>
      <c r="P30" t="n">
        <v>0</v>
      </c>
      <c r="Q30" t="n">
        <v>2</v>
      </c>
      <c r="R30" s="2" t="inlineStr">
        <is>
          <t>Blåmossa
Revlummer</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37457-2022</t>
        </is>
      </c>
      <c r="B31" s="1" t="n">
        <v>44809</v>
      </c>
      <c r="C31" s="1" t="n">
        <v>46193</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46193</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46193</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58891-2022</t>
        </is>
      </c>
      <c r="B35" s="1" t="n">
        <v>44896</v>
      </c>
      <c r="C35" s="1" t="n">
        <v>46193</v>
      </c>
      <c r="D35" t="inlineStr">
        <is>
          <t>SKÅNE LÄN</t>
        </is>
      </c>
      <c r="E35" t="inlineStr">
        <is>
          <t>HÄSSLEHOLM</t>
        </is>
      </c>
      <c r="F35" t="inlineStr">
        <is>
          <t>Kyrkan</t>
        </is>
      </c>
      <c r="G35" t="n">
        <v>1.6</v>
      </c>
      <c r="H35" t="n">
        <v>1</v>
      </c>
      <c r="I35" t="n">
        <v>0</v>
      </c>
      <c r="J35" t="n">
        <v>0</v>
      </c>
      <c r="K35" t="n">
        <v>0</v>
      </c>
      <c r="L35" t="n">
        <v>0</v>
      </c>
      <c r="M35" t="n">
        <v>0</v>
      </c>
      <c r="N35" t="n">
        <v>0</v>
      </c>
      <c r="O35" t="n">
        <v>0</v>
      </c>
      <c r="P35" t="n">
        <v>0</v>
      </c>
      <c r="Q35" t="n">
        <v>1</v>
      </c>
      <c r="R35" s="2" t="inlineStr">
        <is>
          <t>Revlummer</t>
        </is>
      </c>
      <c r="S35">
        <f>HYPERLINK("https://klasma.github.io/Logging_1293/artfynd/A 58891-2022 artfynd.xlsx", "A 58891-2022")</f>
        <v/>
      </c>
      <c r="T35">
        <f>HYPERLINK("https://klasma.github.io/Logging_1293/kartor/A 58891-2022 karta.png", "A 58891-2022")</f>
        <v/>
      </c>
      <c r="V35">
        <f>HYPERLINK("https://klasma.github.io/Logging_1293/klagomål/A 58891-2022 FSC-klagomål.docx", "A 58891-2022")</f>
        <v/>
      </c>
      <c r="W35">
        <f>HYPERLINK("https://klasma.github.io/Logging_1293/klagomålsmail/A 58891-2022 FSC-klagomål mail.docx", "A 58891-2022")</f>
        <v/>
      </c>
      <c r="X35">
        <f>HYPERLINK("https://klasma.github.io/Logging_1293/tillsyn/A 58891-2022 tillsynsbegäran.docx", "A 58891-2022")</f>
        <v/>
      </c>
      <c r="Y35">
        <f>HYPERLINK("https://klasma.github.io/Logging_1293/tillsynsmail/A 58891-2022 tillsynsbegäran mail.docx", "A 58891-2022")</f>
        <v/>
      </c>
    </row>
    <row r="36" ht="15" customHeight="1">
      <c r="A36" t="inlineStr">
        <is>
          <t>A 29272-2023</t>
        </is>
      </c>
      <c r="B36" s="1" t="n">
        <v>45105</v>
      </c>
      <c r="C36" s="1" t="n">
        <v>46193</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4619-2025</t>
        </is>
      </c>
      <c r="B37" s="1" t="n">
        <v>45687</v>
      </c>
      <c r="C37" s="1" t="n">
        <v>46193</v>
      </c>
      <c r="D37" t="inlineStr">
        <is>
          <t>SKÅNE LÄN</t>
        </is>
      </c>
      <c r="E37" t="inlineStr">
        <is>
          <t>HÄSSLEHOLM</t>
        </is>
      </c>
      <c r="G37" t="n">
        <v>2.2</v>
      </c>
      <c r="H37" t="n">
        <v>0</v>
      </c>
      <c r="I37" t="n">
        <v>0</v>
      </c>
      <c r="J37" t="n">
        <v>0</v>
      </c>
      <c r="K37" t="n">
        <v>1</v>
      </c>
      <c r="L37" t="n">
        <v>0</v>
      </c>
      <c r="M37" t="n">
        <v>0</v>
      </c>
      <c r="N37" t="n">
        <v>0</v>
      </c>
      <c r="O37" t="n">
        <v>1</v>
      </c>
      <c r="P37" t="n">
        <v>1</v>
      </c>
      <c r="Q37" t="n">
        <v>1</v>
      </c>
      <c r="R37" s="2" t="inlineStr">
        <is>
          <t>Vildris</t>
        </is>
      </c>
      <c r="S37">
        <f>HYPERLINK("https://klasma.github.io/Logging_1293/artfynd/A 4619-2025 artfynd.xlsx", "A 4619-2025")</f>
        <v/>
      </c>
      <c r="T37">
        <f>HYPERLINK("https://klasma.github.io/Logging_1293/kartor/A 4619-2025 karta.png", "A 4619-2025")</f>
        <v/>
      </c>
      <c r="V37">
        <f>HYPERLINK("https://klasma.github.io/Logging_1293/klagomål/A 4619-2025 FSC-klagomål.docx", "A 4619-2025")</f>
        <v/>
      </c>
      <c r="W37">
        <f>HYPERLINK("https://klasma.github.io/Logging_1293/klagomålsmail/A 4619-2025 FSC-klagomål mail.docx", "A 4619-2025")</f>
        <v/>
      </c>
      <c r="X37">
        <f>HYPERLINK("https://klasma.github.io/Logging_1293/tillsyn/A 4619-2025 tillsynsbegäran.docx", "A 4619-2025")</f>
        <v/>
      </c>
      <c r="Y37">
        <f>HYPERLINK("https://klasma.github.io/Logging_1293/tillsynsmail/A 4619-2025 tillsynsbegäran mail.docx", "A 4619-2025")</f>
        <v/>
      </c>
    </row>
    <row r="38" ht="15" customHeight="1">
      <c r="A38" t="inlineStr">
        <is>
          <t>A 61498-2022</t>
        </is>
      </c>
      <c r="B38" s="1" t="n">
        <v>44910</v>
      </c>
      <c r="C38" s="1" t="n">
        <v>46193</v>
      </c>
      <c r="D38" t="inlineStr">
        <is>
          <t>SKÅNE LÄN</t>
        </is>
      </c>
      <c r="E38" t="inlineStr">
        <is>
          <t>HÄSSLEHOLM</t>
        </is>
      </c>
      <c r="F38" t="inlineStr">
        <is>
          <t>Kyrkan</t>
        </is>
      </c>
      <c r="G38" t="n">
        <v>3.2</v>
      </c>
      <c r="H38" t="n">
        <v>1</v>
      </c>
      <c r="I38" t="n">
        <v>0</v>
      </c>
      <c r="J38" t="n">
        <v>0</v>
      </c>
      <c r="K38" t="n">
        <v>0</v>
      </c>
      <c r="L38" t="n">
        <v>0</v>
      </c>
      <c r="M38" t="n">
        <v>0</v>
      </c>
      <c r="N38" t="n">
        <v>0</v>
      </c>
      <c r="O38" t="n">
        <v>0</v>
      </c>
      <c r="P38" t="n">
        <v>0</v>
      </c>
      <c r="Q38" t="n">
        <v>1</v>
      </c>
      <c r="R38" s="2" t="inlineStr">
        <is>
          <t>Revlummer</t>
        </is>
      </c>
      <c r="S38">
        <f>HYPERLINK("https://klasma.github.io/Logging_1293/artfynd/A 61498-2022 artfynd.xlsx", "A 61498-2022")</f>
        <v/>
      </c>
      <c r="T38">
        <f>HYPERLINK("https://klasma.github.io/Logging_1293/kartor/A 61498-2022 karta.png", "A 61498-2022")</f>
        <v/>
      </c>
      <c r="V38">
        <f>HYPERLINK("https://klasma.github.io/Logging_1293/klagomål/A 61498-2022 FSC-klagomål.docx", "A 61498-2022")</f>
        <v/>
      </c>
      <c r="W38">
        <f>HYPERLINK("https://klasma.github.io/Logging_1293/klagomålsmail/A 61498-2022 FSC-klagomål mail.docx", "A 61498-2022")</f>
        <v/>
      </c>
      <c r="X38">
        <f>HYPERLINK("https://klasma.github.io/Logging_1293/tillsyn/A 61498-2022 tillsynsbegäran.docx", "A 61498-2022")</f>
        <v/>
      </c>
      <c r="Y38">
        <f>HYPERLINK("https://klasma.github.io/Logging_1293/tillsynsmail/A 61498-2022 tillsynsbegäran mail.docx", "A 61498-2022")</f>
        <v/>
      </c>
    </row>
    <row r="39" ht="15" customHeight="1">
      <c r="A39" t="inlineStr">
        <is>
          <t>A 36240-2023</t>
        </is>
      </c>
      <c r="B39" s="1" t="n">
        <v>45150</v>
      </c>
      <c r="C39" s="1" t="n">
        <v>46193</v>
      </c>
      <c r="D39" t="inlineStr">
        <is>
          <t>SKÅNE LÄN</t>
        </is>
      </c>
      <c r="E39" t="inlineStr">
        <is>
          <t>HÄSSLEHOLM</t>
        </is>
      </c>
      <c r="G39" t="n">
        <v>1.5</v>
      </c>
      <c r="H39" t="n">
        <v>1</v>
      </c>
      <c r="I39" t="n">
        <v>0</v>
      </c>
      <c r="J39" t="n">
        <v>0</v>
      </c>
      <c r="K39" t="n">
        <v>0</v>
      </c>
      <c r="L39" t="n">
        <v>0</v>
      </c>
      <c r="M39" t="n">
        <v>0</v>
      </c>
      <c r="N39" t="n">
        <v>0</v>
      </c>
      <c r="O39" t="n">
        <v>0</v>
      </c>
      <c r="P39" t="n">
        <v>0</v>
      </c>
      <c r="Q39" t="n">
        <v>1</v>
      </c>
      <c r="R39" s="2" t="inlineStr">
        <is>
          <t>Törnskata</t>
        </is>
      </c>
      <c r="S39">
        <f>HYPERLINK("https://klasma.github.io/Logging_1293/artfynd/A 36240-2023 artfynd.xlsx", "A 36240-2023")</f>
        <v/>
      </c>
      <c r="T39">
        <f>HYPERLINK("https://klasma.github.io/Logging_1293/kartor/A 36240-2023 karta.png", "A 36240-2023")</f>
        <v/>
      </c>
      <c r="V39">
        <f>HYPERLINK("https://klasma.github.io/Logging_1293/klagomål/A 36240-2023 FSC-klagomål.docx", "A 36240-2023")</f>
        <v/>
      </c>
      <c r="W39">
        <f>HYPERLINK("https://klasma.github.io/Logging_1293/klagomålsmail/A 36240-2023 FSC-klagomål mail.docx", "A 36240-2023")</f>
        <v/>
      </c>
      <c r="X39">
        <f>HYPERLINK("https://klasma.github.io/Logging_1293/tillsyn/A 36240-2023 tillsynsbegäran.docx", "A 36240-2023")</f>
        <v/>
      </c>
      <c r="Y39">
        <f>HYPERLINK("https://klasma.github.io/Logging_1293/tillsynsmail/A 36240-2023 tillsynsbegäran mail.docx", "A 36240-2023")</f>
        <v/>
      </c>
      <c r="Z39">
        <f>HYPERLINK("https://klasma.github.io/Logging_1293/fåglar/A 36240-2023 prioriterade fågelarter.docx", "A 36240-2023")</f>
        <v/>
      </c>
    </row>
    <row r="40" ht="15" customHeight="1">
      <c r="A40" t="inlineStr">
        <is>
          <t>A 15698-2023</t>
        </is>
      </c>
      <c r="B40" s="1" t="n">
        <v>45021</v>
      </c>
      <c r="C40" s="1" t="n">
        <v>46193</v>
      </c>
      <c r="D40" t="inlineStr">
        <is>
          <t>SKÅNE LÄN</t>
        </is>
      </c>
      <c r="E40" t="inlineStr">
        <is>
          <t>HÄSSLEHOLM</t>
        </is>
      </c>
      <c r="F40" t="inlineStr">
        <is>
          <t>Kommuner</t>
        </is>
      </c>
      <c r="G40" t="n">
        <v>5.5</v>
      </c>
      <c r="H40" t="n">
        <v>0</v>
      </c>
      <c r="I40" t="n">
        <v>0</v>
      </c>
      <c r="J40" t="n">
        <v>0</v>
      </c>
      <c r="K40" t="n">
        <v>1</v>
      </c>
      <c r="L40" t="n">
        <v>0</v>
      </c>
      <c r="M40" t="n">
        <v>0</v>
      </c>
      <c r="N40" t="n">
        <v>0</v>
      </c>
      <c r="O40" t="n">
        <v>1</v>
      </c>
      <c r="P40" t="n">
        <v>1</v>
      </c>
      <c r="Q40" t="n">
        <v>1</v>
      </c>
      <c r="R40" s="2" t="inlineStr">
        <is>
          <t>Igelkott</t>
        </is>
      </c>
      <c r="S40">
        <f>HYPERLINK("https://klasma.github.io/Logging_1293/artfynd/A 15698-2023 artfynd.xlsx", "A 15698-2023")</f>
        <v/>
      </c>
      <c r="T40">
        <f>HYPERLINK("https://klasma.github.io/Logging_1293/kartor/A 15698-2023 karta.png", "A 15698-2023")</f>
        <v/>
      </c>
      <c r="V40">
        <f>HYPERLINK("https://klasma.github.io/Logging_1293/klagomål/A 15698-2023 FSC-klagomål.docx", "A 15698-2023")</f>
        <v/>
      </c>
      <c r="W40">
        <f>HYPERLINK("https://klasma.github.io/Logging_1293/klagomålsmail/A 15698-2023 FSC-klagomål mail.docx", "A 15698-2023")</f>
        <v/>
      </c>
      <c r="X40">
        <f>HYPERLINK("https://klasma.github.io/Logging_1293/tillsyn/A 15698-2023 tillsynsbegäran.docx", "A 15698-2023")</f>
        <v/>
      </c>
      <c r="Y40">
        <f>HYPERLINK("https://klasma.github.io/Logging_1293/tillsynsmail/A 15698-2023 tillsynsbegäran mail.docx", "A 15698-2023")</f>
        <v/>
      </c>
    </row>
    <row r="41" ht="15" customHeight="1">
      <c r="A41" t="inlineStr">
        <is>
          <t>A 12338-2024</t>
        </is>
      </c>
      <c r="B41" s="1" t="n">
        <v>45378</v>
      </c>
      <c r="C41" s="1" t="n">
        <v>46193</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Skogsalm</t>
        </is>
      </c>
      <c r="S41">
        <f>HYPERLINK("https://klasma.github.io/Logging_1293/artfynd/A 12338-2024 artfynd.xlsx", "A 12338-2024")</f>
        <v/>
      </c>
      <c r="T41">
        <f>HYPERLINK("https://klasma.github.io/Logging_1293/kartor/A 12338-2024 karta.png", "A 12338-2024")</f>
        <v/>
      </c>
      <c r="V41">
        <f>HYPERLINK("https://klasma.github.io/Logging_1293/klagomål/A 12338-2024 FSC-klagomål.docx", "A 12338-2024")</f>
        <v/>
      </c>
      <c r="W41">
        <f>HYPERLINK("https://klasma.github.io/Logging_1293/klagomålsmail/A 12338-2024 FSC-klagomål mail.docx", "A 12338-2024")</f>
        <v/>
      </c>
      <c r="X41">
        <f>HYPERLINK("https://klasma.github.io/Logging_1293/tillsyn/A 12338-2024 tillsynsbegäran.docx", "A 12338-2024")</f>
        <v/>
      </c>
      <c r="Y41">
        <f>HYPERLINK("https://klasma.github.io/Logging_1293/tillsynsmail/A 12338-2024 tillsynsbegäran mail.docx", "A 12338-2024")</f>
        <v/>
      </c>
    </row>
    <row r="42" ht="15" customHeight="1">
      <c r="A42" t="inlineStr">
        <is>
          <t>A 43874-2022</t>
        </is>
      </c>
      <c r="B42" s="1" t="n">
        <v>44838</v>
      </c>
      <c r="C42" s="1" t="n">
        <v>46193</v>
      </c>
      <c r="D42" t="inlineStr">
        <is>
          <t>SKÅNE LÄN</t>
        </is>
      </c>
      <c r="E42" t="inlineStr">
        <is>
          <t>HÄSSLEHOLM</t>
        </is>
      </c>
      <c r="G42" t="n">
        <v>2.1</v>
      </c>
      <c r="H42" t="n">
        <v>0</v>
      </c>
      <c r="I42" t="n">
        <v>0</v>
      </c>
      <c r="J42" t="n">
        <v>0</v>
      </c>
      <c r="K42" t="n">
        <v>1</v>
      </c>
      <c r="L42" t="n">
        <v>0</v>
      </c>
      <c r="M42" t="n">
        <v>0</v>
      </c>
      <c r="N42" t="n">
        <v>0</v>
      </c>
      <c r="O42" t="n">
        <v>1</v>
      </c>
      <c r="P42" t="n">
        <v>1</v>
      </c>
      <c r="Q42" t="n">
        <v>1</v>
      </c>
      <c r="R42" s="2" t="inlineStr">
        <is>
          <t>Igelkott</t>
        </is>
      </c>
      <c r="S42">
        <f>HYPERLINK("https://klasma.github.io/Logging_1293/artfynd/A 43874-2022 artfynd.xlsx", "A 43874-2022")</f>
        <v/>
      </c>
      <c r="T42">
        <f>HYPERLINK("https://klasma.github.io/Logging_1293/kartor/A 43874-2022 karta.png", "A 43874-2022")</f>
        <v/>
      </c>
      <c r="V42">
        <f>HYPERLINK("https://klasma.github.io/Logging_1293/klagomål/A 43874-2022 FSC-klagomål.docx", "A 43874-2022")</f>
        <v/>
      </c>
      <c r="W42">
        <f>HYPERLINK("https://klasma.github.io/Logging_1293/klagomålsmail/A 43874-2022 FSC-klagomål mail.docx", "A 43874-2022")</f>
        <v/>
      </c>
      <c r="X42">
        <f>HYPERLINK("https://klasma.github.io/Logging_1293/tillsyn/A 43874-2022 tillsynsbegäran.docx", "A 43874-2022")</f>
        <v/>
      </c>
      <c r="Y42">
        <f>HYPERLINK("https://klasma.github.io/Logging_1293/tillsynsmail/A 43874-2022 tillsynsbegäran mail.docx", "A 43874-2022")</f>
        <v/>
      </c>
    </row>
    <row r="43" ht="15" customHeight="1">
      <c r="A43" t="inlineStr">
        <is>
          <t>A 61929-2023</t>
        </is>
      </c>
      <c r="B43" s="1" t="n">
        <v>45266</v>
      </c>
      <c r="C43" s="1" t="n">
        <v>46193</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Slåttergubbe</t>
        </is>
      </c>
      <c r="S43">
        <f>HYPERLINK("https://klasma.github.io/Logging_1293/artfynd/A 61929-2023 artfynd.xlsx", "A 61929-2023")</f>
        <v/>
      </c>
      <c r="T43">
        <f>HYPERLINK("https://klasma.github.io/Logging_1293/kartor/A 61929-2023 karta.png", "A 61929-2023")</f>
        <v/>
      </c>
      <c r="V43">
        <f>HYPERLINK("https://klasma.github.io/Logging_1293/klagomål/A 61929-2023 FSC-klagomål.docx", "A 61929-2023")</f>
        <v/>
      </c>
      <c r="W43">
        <f>HYPERLINK("https://klasma.github.io/Logging_1293/klagomålsmail/A 61929-2023 FSC-klagomål mail.docx", "A 61929-2023")</f>
        <v/>
      </c>
      <c r="X43">
        <f>HYPERLINK("https://klasma.github.io/Logging_1293/tillsyn/A 61929-2023 tillsynsbegäran.docx", "A 61929-2023")</f>
        <v/>
      </c>
      <c r="Y43">
        <f>HYPERLINK("https://klasma.github.io/Logging_1293/tillsynsmail/A 61929-2023 tillsynsbegäran mail.docx", "A 61929-2023")</f>
        <v/>
      </c>
    </row>
    <row r="44" ht="15" customHeight="1">
      <c r="A44" t="inlineStr">
        <is>
          <t>A 13018-2024</t>
        </is>
      </c>
      <c r="B44" s="1" t="n">
        <v>45385</v>
      </c>
      <c r="C44" s="1" t="n">
        <v>46193</v>
      </c>
      <c r="D44" t="inlineStr">
        <is>
          <t>SKÅNE LÄN</t>
        </is>
      </c>
      <c r="E44" t="inlineStr">
        <is>
          <t>HÄSSLEHOLM</t>
        </is>
      </c>
      <c r="G44" t="n">
        <v>4.8</v>
      </c>
      <c r="H44" t="n">
        <v>0</v>
      </c>
      <c r="I44" t="n">
        <v>0</v>
      </c>
      <c r="J44" t="n">
        <v>1</v>
      </c>
      <c r="K44" t="n">
        <v>0</v>
      </c>
      <c r="L44" t="n">
        <v>0</v>
      </c>
      <c r="M44" t="n">
        <v>0</v>
      </c>
      <c r="N44" t="n">
        <v>0</v>
      </c>
      <c r="O44" t="n">
        <v>1</v>
      </c>
      <c r="P44" t="n">
        <v>0</v>
      </c>
      <c r="Q44" t="n">
        <v>1</v>
      </c>
      <c r="R44" s="2" t="inlineStr">
        <is>
          <t>Älg</t>
        </is>
      </c>
      <c r="S44">
        <f>HYPERLINK("https://klasma.github.io/Logging_1293/artfynd/A 13018-2024 artfynd.xlsx", "A 13018-2024")</f>
        <v/>
      </c>
      <c r="T44">
        <f>HYPERLINK("https://klasma.github.io/Logging_1293/kartor/A 13018-2024 karta.png", "A 13018-2024")</f>
        <v/>
      </c>
      <c r="V44">
        <f>HYPERLINK("https://klasma.github.io/Logging_1293/klagomål/A 13018-2024 FSC-klagomål.docx", "A 13018-2024")</f>
        <v/>
      </c>
      <c r="W44">
        <f>HYPERLINK("https://klasma.github.io/Logging_1293/klagomålsmail/A 13018-2024 FSC-klagomål mail.docx", "A 13018-2024")</f>
        <v/>
      </c>
      <c r="X44">
        <f>HYPERLINK("https://klasma.github.io/Logging_1293/tillsyn/A 13018-2024 tillsynsbegäran.docx", "A 13018-2024")</f>
        <v/>
      </c>
      <c r="Y44">
        <f>HYPERLINK("https://klasma.github.io/Logging_1293/tillsynsmail/A 13018-2024 tillsynsbegäran mail.docx", "A 13018-2024")</f>
        <v/>
      </c>
    </row>
    <row r="45" ht="15" customHeight="1">
      <c r="A45" t="inlineStr">
        <is>
          <t>A 9289-2025</t>
        </is>
      </c>
      <c r="B45" s="1" t="n">
        <v>45714</v>
      </c>
      <c r="C45" s="1" t="n">
        <v>46193</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16121-2025</t>
        </is>
      </c>
      <c r="B46" s="1" t="n">
        <v>45750</v>
      </c>
      <c r="C46" s="1" t="n">
        <v>46193</v>
      </c>
      <c r="D46" t="inlineStr">
        <is>
          <t>SKÅNE LÄN</t>
        </is>
      </c>
      <c r="E46" t="inlineStr">
        <is>
          <t>HÄSSLEHOLM</t>
        </is>
      </c>
      <c r="G46" t="n">
        <v>1.6</v>
      </c>
      <c r="H46" t="n">
        <v>0</v>
      </c>
      <c r="I46" t="n">
        <v>0</v>
      </c>
      <c r="J46" t="n">
        <v>0</v>
      </c>
      <c r="K46" t="n">
        <v>1</v>
      </c>
      <c r="L46" t="n">
        <v>0</v>
      </c>
      <c r="M46" t="n">
        <v>0</v>
      </c>
      <c r="N46" t="n">
        <v>0</v>
      </c>
      <c r="O46" t="n">
        <v>1</v>
      </c>
      <c r="P46" t="n">
        <v>1</v>
      </c>
      <c r="Q46" t="n">
        <v>1</v>
      </c>
      <c r="R46" s="2" t="inlineStr">
        <is>
          <t>Igelkott</t>
        </is>
      </c>
      <c r="S46">
        <f>HYPERLINK("https://klasma.github.io/Logging_1293/artfynd/A 16121-2025 artfynd.xlsx", "A 16121-2025")</f>
        <v/>
      </c>
      <c r="T46">
        <f>HYPERLINK("https://klasma.github.io/Logging_1293/kartor/A 16121-2025 karta.png", "A 16121-2025")</f>
        <v/>
      </c>
      <c r="V46">
        <f>HYPERLINK("https://klasma.github.io/Logging_1293/klagomål/A 16121-2025 FSC-klagomål.docx", "A 16121-2025")</f>
        <v/>
      </c>
      <c r="W46">
        <f>HYPERLINK("https://klasma.github.io/Logging_1293/klagomålsmail/A 16121-2025 FSC-klagomål mail.docx", "A 16121-2025")</f>
        <v/>
      </c>
      <c r="X46">
        <f>HYPERLINK("https://klasma.github.io/Logging_1293/tillsyn/A 16121-2025 tillsynsbegäran.docx", "A 16121-2025")</f>
        <v/>
      </c>
      <c r="Y46">
        <f>HYPERLINK("https://klasma.github.io/Logging_1293/tillsynsmail/A 16121-2025 tillsynsbegäran mail.docx", "A 16121-2025")</f>
        <v/>
      </c>
    </row>
    <row r="47" ht="15" customHeight="1">
      <c r="A47" t="inlineStr">
        <is>
          <t>A 16860-2025</t>
        </is>
      </c>
      <c r="B47" s="1" t="n">
        <v>45751</v>
      </c>
      <c r="C47" s="1" t="n">
        <v>46193</v>
      </c>
      <c r="D47" t="inlineStr">
        <is>
          <t>SKÅNE LÄN</t>
        </is>
      </c>
      <c r="E47" t="inlineStr">
        <is>
          <t>HÄSSLEHOLM</t>
        </is>
      </c>
      <c r="G47" t="n">
        <v>1.3</v>
      </c>
      <c r="H47" t="n">
        <v>1</v>
      </c>
      <c r="I47" t="n">
        <v>0</v>
      </c>
      <c r="J47" t="n">
        <v>0</v>
      </c>
      <c r="K47" t="n">
        <v>0</v>
      </c>
      <c r="L47" t="n">
        <v>0</v>
      </c>
      <c r="M47" t="n">
        <v>0</v>
      </c>
      <c r="N47" t="n">
        <v>0</v>
      </c>
      <c r="O47" t="n">
        <v>0</v>
      </c>
      <c r="P47" t="n">
        <v>0</v>
      </c>
      <c r="Q47" t="n">
        <v>1</v>
      </c>
      <c r="R47" s="2" t="inlineStr">
        <is>
          <t>Hårklomossa</t>
        </is>
      </c>
      <c r="S47">
        <f>HYPERLINK("https://klasma.github.io/Logging_1293/artfynd/A 16860-2025 artfynd.xlsx", "A 16860-2025")</f>
        <v/>
      </c>
      <c r="T47">
        <f>HYPERLINK("https://klasma.github.io/Logging_1293/kartor/A 16860-2025 karta.png", "A 16860-2025")</f>
        <v/>
      </c>
      <c r="V47">
        <f>HYPERLINK("https://klasma.github.io/Logging_1293/klagomål/A 16860-2025 FSC-klagomål.docx", "A 16860-2025")</f>
        <v/>
      </c>
      <c r="W47">
        <f>HYPERLINK("https://klasma.github.io/Logging_1293/klagomålsmail/A 16860-2025 FSC-klagomål mail.docx", "A 16860-2025")</f>
        <v/>
      </c>
      <c r="X47">
        <f>HYPERLINK("https://klasma.github.io/Logging_1293/tillsyn/A 16860-2025 tillsynsbegäran.docx", "A 16860-2025")</f>
        <v/>
      </c>
      <c r="Y47">
        <f>HYPERLINK("https://klasma.github.io/Logging_1293/tillsynsmail/A 16860-2025 tillsynsbegäran mail.docx", "A 16860-2025")</f>
        <v/>
      </c>
    </row>
    <row r="48" ht="15" customHeight="1">
      <c r="A48" t="inlineStr">
        <is>
          <t>A 8223-2025</t>
        </is>
      </c>
      <c r="B48" s="1" t="n">
        <v>45708</v>
      </c>
      <c r="C48" s="1" t="n">
        <v>46193</v>
      </c>
      <c r="D48" t="inlineStr">
        <is>
          <t>SKÅNE LÄN</t>
        </is>
      </c>
      <c r="E48" t="inlineStr">
        <is>
          <t>HÄSSLEHOLM</t>
        </is>
      </c>
      <c r="G48" t="n">
        <v>0.8</v>
      </c>
      <c r="H48" t="n">
        <v>1</v>
      </c>
      <c r="I48" t="n">
        <v>0</v>
      </c>
      <c r="J48" t="n">
        <v>0</v>
      </c>
      <c r="K48" t="n">
        <v>0</v>
      </c>
      <c r="L48" t="n">
        <v>0</v>
      </c>
      <c r="M48" t="n">
        <v>0</v>
      </c>
      <c r="N48" t="n">
        <v>0</v>
      </c>
      <c r="O48" t="n">
        <v>0</v>
      </c>
      <c r="P48" t="n">
        <v>0</v>
      </c>
      <c r="Q48" t="n">
        <v>1</v>
      </c>
      <c r="R48" s="2" t="inlineStr">
        <is>
          <t>Kungsfågel</t>
        </is>
      </c>
      <c r="S48">
        <f>HYPERLINK("https://klasma.github.io/Logging_1293/artfynd/A 8223-2025 artfynd.xlsx", "A 8223-2025")</f>
        <v/>
      </c>
      <c r="T48">
        <f>HYPERLINK("https://klasma.github.io/Logging_1293/kartor/A 8223-2025 karta.png", "A 8223-2025")</f>
        <v/>
      </c>
      <c r="V48">
        <f>HYPERLINK("https://klasma.github.io/Logging_1293/klagomål/A 8223-2025 FSC-klagomål.docx", "A 8223-2025")</f>
        <v/>
      </c>
      <c r="W48">
        <f>HYPERLINK("https://klasma.github.io/Logging_1293/klagomålsmail/A 8223-2025 FSC-klagomål mail.docx", "A 8223-2025")</f>
        <v/>
      </c>
      <c r="X48">
        <f>HYPERLINK("https://klasma.github.io/Logging_1293/tillsyn/A 8223-2025 tillsynsbegäran.docx", "A 8223-2025")</f>
        <v/>
      </c>
      <c r="Y48">
        <f>HYPERLINK("https://klasma.github.io/Logging_1293/tillsynsmail/A 8223-2025 tillsynsbegäran mail.docx", "A 8223-2025")</f>
        <v/>
      </c>
      <c r="Z48">
        <f>HYPERLINK("https://klasma.github.io/Logging_1293/fåglar/A 8223-2025 prioriterade fågelarter.docx", "A 8223-2025")</f>
        <v/>
      </c>
    </row>
    <row r="49" ht="15" customHeight="1">
      <c r="A49" t="inlineStr">
        <is>
          <t>A 27242-2022</t>
        </is>
      </c>
      <c r="B49" s="1" t="n">
        <v>44741</v>
      </c>
      <c r="C49" s="1" t="n">
        <v>46193</v>
      </c>
      <c r="D49" t="inlineStr">
        <is>
          <t>SKÅNE LÄN</t>
        </is>
      </c>
      <c r="E49" t="inlineStr">
        <is>
          <t>HÄSSLEHOLM</t>
        </is>
      </c>
      <c r="G49" t="n">
        <v>1.9</v>
      </c>
      <c r="H49" t="n">
        <v>0</v>
      </c>
      <c r="I49" t="n">
        <v>0</v>
      </c>
      <c r="J49" t="n">
        <v>0</v>
      </c>
      <c r="K49" t="n">
        <v>1</v>
      </c>
      <c r="L49" t="n">
        <v>0</v>
      </c>
      <c r="M49" t="n">
        <v>0</v>
      </c>
      <c r="N49" t="n">
        <v>0</v>
      </c>
      <c r="O49" t="n">
        <v>1</v>
      </c>
      <c r="P49" t="n">
        <v>1</v>
      </c>
      <c r="Q49" t="n">
        <v>1</v>
      </c>
      <c r="R49" s="2" t="inlineStr">
        <is>
          <t>Vildris</t>
        </is>
      </c>
      <c r="S49">
        <f>HYPERLINK("https://klasma.github.io/Logging_1293/artfynd/A 27242-2022 artfynd.xlsx", "A 27242-2022")</f>
        <v/>
      </c>
      <c r="T49">
        <f>HYPERLINK("https://klasma.github.io/Logging_1293/kartor/A 27242-2022 karta.png", "A 27242-2022")</f>
        <v/>
      </c>
      <c r="V49">
        <f>HYPERLINK("https://klasma.github.io/Logging_1293/klagomål/A 27242-2022 FSC-klagomål.docx", "A 27242-2022")</f>
        <v/>
      </c>
      <c r="W49">
        <f>HYPERLINK("https://klasma.github.io/Logging_1293/klagomålsmail/A 27242-2022 FSC-klagomål mail.docx", "A 27242-2022")</f>
        <v/>
      </c>
      <c r="X49">
        <f>HYPERLINK("https://klasma.github.io/Logging_1293/tillsyn/A 27242-2022 tillsynsbegäran.docx", "A 27242-2022")</f>
        <v/>
      </c>
      <c r="Y49">
        <f>HYPERLINK("https://klasma.github.io/Logging_1293/tillsynsmail/A 27242-2022 tillsynsbegäran mail.docx", "A 27242-2022")</f>
        <v/>
      </c>
    </row>
    <row r="50" ht="15" customHeight="1">
      <c r="A50" t="inlineStr">
        <is>
          <t>A 21328-2023</t>
        </is>
      </c>
      <c r="B50" s="1" t="n">
        <v>45062</v>
      </c>
      <c r="C50" s="1" t="n">
        <v>46193</v>
      </c>
      <c r="D50" t="inlineStr">
        <is>
          <t>SKÅNE LÄN</t>
        </is>
      </c>
      <c r="E50" t="inlineStr">
        <is>
          <t>HÄSSLEHOLM</t>
        </is>
      </c>
      <c r="G50" t="n">
        <v>2.1</v>
      </c>
      <c r="H50" t="n">
        <v>0</v>
      </c>
      <c r="I50" t="n">
        <v>1</v>
      </c>
      <c r="J50" t="n">
        <v>0</v>
      </c>
      <c r="K50" t="n">
        <v>0</v>
      </c>
      <c r="L50" t="n">
        <v>0</v>
      </c>
      <c r="M50" t="n">
        <v>0</v>
      </c>
      <c r="N50" t="n">
        <v>0</v>
      </c>
      <c r="O50" t="n">
        <v>0</v>
      </c>
      <c r="P50" t="n">
        <v>0</v>
      </c>
      <c r="Q50" t="n">
        <v>1</v>
      </c>
      <c r="R50" s="2" t="inlineStr">
        <is>
          <t>Tibast</t>
        </is>
      </c>
      <c r="S50">
        <f>HYPERLINK("https://klasma.github.io/Logging_1293/artfynd/A 21328-2023 artfynd.xlsx", "A 21328-2023")</f>
        <v/>
      </c>
      <c r="T50">
        <f>HYPERLINK("https://klasma.github.io/Logging_1293/kartor/A 21328-2023 karta.png", "A 21328-2023")</f>
        <v/>
      </c>
      <c r="V50">
        <f>HYPERLINK("https://klasma.github.io/Logging_1293/klagomål/A 21328-2023 FSC-klagomål.docx", "A 21328-2023")</f>
        <v/>
      </c>
      <c r="W50">
        <f>HYPERLINK("https://klasma.github.io/Logging_1293/klagomålsmail/A 21328-2023 FSC-klagomål mail.docx", "A 21328-2023")</f>
        <v/>
      </c>
      <c r="X50">
        <f>HYPERLINK("https://klasma.github.io/Logging_1293/tillsyn/A 21328-2023 tillsynsbegäran.docx", "A 21328-2023")</f>
        <v/>
      </c>
      <c r="Y50">
        <f>HYPERLINK("https://klasma.github.io/Logging_1293/tillsynsmail/A 21328-2023 tillsynsbegäran mail.docx", "A 21328-2023")</f>
        <v/>
      </c>
    </row>
    <row r="51" ht="15" customHeight="1">
      <c r="A51" t="inlineStr">
        <is>
          <t>A 40613-2025</t>
        </is>
      </c>
      <c r="B51" s="1" t="n">
        <v>45896</v>
      </c>
      <c r="C51" s="1" t="n">
        <v>46193</v>
      </c>
      <c r="D51" t="inlineStr">
        <is>
          <t>SKÅNE LÄN</t>
        </is>
      </c>
      <c r="E51" t="inlineStr">
        <is>
          <t>HÄSSLEHOLM</t>
        </is>
      </c>
      <c r="F51" t="inlineStr">
        <is>
          <t>Kyrkan</t>
        </is>
      </c>
      <c r="G51" t="n">
        <v>3.4</v>
      </c>
      <c r="H51" t="n">
        <v>1</v>
      </c>
      <c r="I51" t="n">
        <v>0</v>
      </c>
      <c r="J51" t="n">
        <v>0</v>
      </c>
      <c r="K51" t="n">
        <v>0</v>
      </c>
      <c r="L51" t="n">
        <v>0</v>
      </c>
      <c r="M51" t="n">
        <v>0</v>
      </c>
      <c r="N51" t="n">
        <v>0</v>
      </c>
      <c r="O51" t="n">
        <v>0</v>
      </c>
      <c r="P51" t="n">
        <v>0</v>
      </c>
      <c r="Q51" t="n">
        <v>1</v>
      </c>
      <c r="R51" s="2" t="inlineStr">
        <is>
          <t>Revlummer</t>
        </is>
      </c>
      <c r="S51">
        <f>HYPERLINK("https://klasma.github.io/Logging_1293/artfynd/A 40613-2025 artfynd.xlsx", "A 40613-2025")</f>
        <v/>
      </c>
      <c r="T51">
        <f>HYPERLINK("https://klasma.github.io/Logging_1293/kartor/A 40613-2025 karta.png", "A 40613-2025")</f>
        <v/>
      </c>
      <c r="V51">
        <f>HYPERLINK("https://klasma.github.io/Logging_1293/klagomål/A 40613-2025 FSC-klagomål.docx", "A 40613-2025")</f>
        <v/>
      </c>
      <c r="W51">
        <f>HYPERLINK("https://klasma.github.io/Logging_1293/klagomålsmail/A 40613-2025 FSC-klagomål mail.docx", "A 40613-2025")</f>
        <v/>
      </c>
      <c r="X51">
        <f>HYPERLINK("https://klasma.github.io/Logging_1293/tillsyn/A 40613-2025 tillsynsbegäran.docx", "A 40613-2025")</f>
        <v/>
      </c>
      <c r="Y51">
        <f>HYPERLINK("https://klasma.github.io/Logging_1293/tillsynsmail/A 40613-2025 tillsynsbegäran mail.docx", "A 40613-2025")</f>
        <v/>
      </c>
    </row>
    <row r="52" ht="15" customHeight="1">
      <c r="A52" t="inlineStr">
        <is>
          <t>A 20280-2025</t>
        </is>
      </c>
      <c r="B52" s="1" t="n">
        <v>45774</v>
      </c>
      <c r="C52" s="1" t="n">
        <v>46193</v>
      </c>
      <c r="D52" t="inlineStr">
        <is>
          <t>SKÅNE LÄN</t>
        </is>
      </c>
      <c r="E52" t="inlineStr">
        <is>
          <t>HÄSSLEHOLM</t>
        </is>
      </c>
      <c r="G52" t="n">
        <v>3</v>
      </c>
      <c r="H52" t="n">
        <v>0</v>
      </c>
      <c r="I52" t="n">
        <v>0</v>
      </c>
      <c r="J52" t="n">
        <v>0</v>
      </c>
      <c r="K52" t="n">
        <v>1</v>
      </c>
      <c r="L52" t="n">
        <v>0</v>
      </c>
      <c r="M52" t="n">
        <v>0</v>
      </c>
      <c r="N52" t="n">
        <v>0</v>
      </c>
      <c r="O52" t="n">
        <v>1</v>
      </c>
      <c r="P52" t="n">
        <v>1</v>
      </c>
      <c r="Q52" t="n">
        <v>1</v>
      </c>
      <c r="R52" s="2" t="inlineStr">
        <is>
          <t>Revig blodrot</t>
        </is>
      </c>
      <c r="S52">
        <f>HYPERLINK("https://klasma.github.io/Logging_1293/artfynd/A 20280-2025 artfynd.xlsx", "A 20280-2025")</f>
        <v/>
      </c>
      <c r="T52">
        <f>HYPERLINK("https://klasma.github.io/Logging_1293/kartor/A 20280-2025 karta.png", "A 20280-2025")</f>
        <v/>
      </c>
      <c r="V52">
        <f>HYPERLINK("https://klasma.github.io/Logging_1293/klagomål/A 20280-2025 FSC-klagomål.docx", "A 20280-2025")</f>
        <v/>
      </c>
      <c r="W52">
        <f>HYPERLINK("https://klasma.github.io/Logging_1293/klagomålsmail/A 20280-2025 FSC-klagomål mail.docx", "A 20280-2025")</f>
        <v/>
      </c>
      <c r="X52">
        <f>HYPERLINK("https://klasma.github.io/Logging_1293/tillsyn/A 20280-2025 tillsynsbegäran.docx", "A 20280-2025")</f>
        <v/>
      </c>
      <c r="Y52">
        <f>HYPERLINK("https://klasma.github.io/Logging_1293/tillsynsmail/A 20280-2025 tillsynsbegäran mail.docx", "A 20280-2025")</f>
        <v/>
      </c>
    </row>
    <row r="53" ht="15" customHeight="1">
      <c r="A53" t="inlineStr">
        <is>
          <t>A 61707-2024</t>
        </is>
      </c>
      <c r="B53" s="1" t="n">
        <v>45648</v>
      </c>
      <c r="C53" s="1" t="n">
        <v>46193</v>
      </c>
      <c r="D53" t="inlineStr">
        <is>
          <t>SKÅNE LÄN</t>
        </is>
      </c>
      <c r="E53" t="inlineStr">
        <is>
          <t>HÄSSLEHOLM</t>
        </is>
      </c>
      <c r="G53" t="n">
        <v>3.2</v>
      </c>
      <c r="H53" t="n">
        <v>0</v>
      </c>
      <c r="I53" t="n">
        <v>0</v>
      </c>
      <c r="J53" t="n">
        <v>1</v>
      </c>
      <c r="K53" t="n">
        <v>0</v>
      </c>
      <c r="L53" t="n">
        <v>0</v>
      </c>
      <c r="M53" t="n">
        <v>0</v>
      </c>
      <c r="N53" t="n">
        <v>0</v>
      </c>
      <c r="O53" t="n">
        <v>1</v>
      </c>
      <c r="P53" t="n">
        <v>0</v>
      </c>
      <c r="Q53" t="n">
        <v>1</v>
      </c>
      <c r="R53" s="2" t="inlineStr">
        <is>
          <t>Rödlånke</t>
        </is>
      </c>
      <c r="S53">
        <f>HYPERLINK("https://klasma.github.io/Logging_1293/artfynd/A 61707-2024 artfynd.xlsx", "A 61707-2024")</f>
        <v/>
      </c>
      <c r="T53">
        <f>HYPERLINK("https://klasma.github.io/Logging_1293/kartor/A 61707-2024 karta.png", "A 61707-2024")</f>
        <v/>
      </c>
      <c r="V53">
        <f>HYPERLINK("https://klasma.github.io/Logging_1293/klagomål/A 61707-2024 FSC-klagomål.docx", "A 61707-2024")</f>
        <v/>
      </c>
      <c r="W53">
        <f>HYPERLINK("https://klasma.github.io/Logging_1293/klagomålsmail/A 61707-2024 FSC-klagomål mail.docx", "A 61707-2024")</f>
        <v/>
      </c>
      <c r="X53">
        <f>HYPERLINK("https://klasma.github.io/Logging_1293/tillsyn/A 61707-2024 tillsynsbegäran.docx", "A 61707-2024")</f>
        <v/>
      </c>
      <c r="Y53">
        <f>HYPERLINK("https://klasma.github.io/Logging_1293/tillsynsmail/A 61707-2024 tillsynsbegäran mail.docx", "A 61707-2024")</f>
        <v/>
      </c>
    </row>
    <row r="54" ht="15" customHeight="1">
      <c r="A54" t="inlineStr">
        <is>
          <t>A 6634-2024</t>
        </is>
      </c>
      <c r="B54" s="1" t="n">
        <v>45341</v>
      </c>
      <c r="C54" s="1" t="n">
        <v>46193</v>
      </c>
      <c r="D54" t="inlineStr">
        <is>
          <t>SKÅNE LÄN</t>
        </is>
      </c>
      <c r="E54" t="inlineStr">
        <is>
          <t>HÄSSLEHOLM</t>
        </is>
      </c>
      <c r="G54" t="n">
        <v>1.9</v>
      </c>
      <c r="H54" t="n">
        <v>0</v>
      </c>
      <c r="I54" t="n">
        <v>0</v>
      </c>
      <c r="J54" t="n">
        <v>0</v>
      </c>
      <c r="K54" t="n">
        <v>1</v>
      </c>
      <c r="L54" t="n">
        <v>0</v>
      </c>
      <c r="M54" t="n">
        <v>0</v>
      </c>
      <c r="N54" t="n">
        <v>0</v>
      </c>
      <c r="O54" t="n">
        <v>1</v>
      </c>
      <c r="P54" t="n">
        <v>1</v>
      </c>
      <c r="Q54" t="n">
        <v>1</v>
      </c>
      <c r="R54" s="2" t="inlineStr">
        <is>
          <t>Revig blodrot</t>
        </is>
      </c>
      <c r="S54">
        <f>HYPERLINK("https://klasma.github.io/Logging_1293/artfynd/A 6634-2024 artfynd.xlsx", "A 6634-2024")</f>
        <v/>
      </c>
      <c r="T54">
        <f>HYPERLINK("https://klasma.github.io/Logging_1293/kartor/A 6634-2024 karta.png", "A 6634-2024")</f>
        <v/>
      </c>
      <c r="V54">
        <f>HYPERLINK("https://klasma.github.io/Logging_1293/klagomål/A 6634-2024 FSC-klagomål.docx", "A 6634-2024")</f>
        <v/>
      </c>
      <c r="W54">
        <f>HYPERLINK("https://klasma.github.io/Logging_1293/klagomålsmail/A 6634-2024 FSC-klagomål mail.docx", "A 6634-2024")</f>
        <v/>
      </c>
      <c r="X54">
        <f>HYPERLINK("https://klasma.github.io/Logging_1293/tillsyn/A 6634-2024 tillsynsbegäran.docx", "A 6634-2024")</f>
        <v/>
      </c>
      <c r="Y54">
        <f>HYPERLINK("https://klasma.github.io/Logging_1293/tillsynsmail/A 6634-2024 tillsynsbegäran mail.docx", "A 6634-2024")</f>
        <v/>
      </c>
    </row>
    <row r="55" ht="15" customHeight="1">
      <c r="A55" t="inlineStr">
        <is>
          <t>A 60925-2024</t>
        </is>
      </c>
      <c r="B55" s="1" t="n">
        <v>45645</v>
      </c>
      <c r="C55" s="1" t="n">
        <v>46193</v>
      </c>
      <c r="D55" t="inlineStr">
        <is>
          <t>SKÅNE LÄN</t>
        </is>
      </c>
      <c r="E55" t="inlineStr">
        <is>
          <t>HÄSSLEHOLM</t>
        </is>
      </c>
      <c r="G55" t="n">
        <v>1.8</v>
      </c>
      <c r="H55" t="n">
        <v>0</v>
      </c>
      <c r="I55" t="n">
        <v>0</v>
      </c>
      <c r="J55" t="n">
        <v>0</v>
      </c>
      <c r="K55" t="n">
        <v>0</v>
      </c>
      <c r="L55" t="n">
        <v>1</v>
      </c>
      <c r="M55" t="n">
        <v>0</v>
      </c>
      <c r="N55" t="n">
        <v>0</v>
      </c>
      <c r="O55" t="n">
        <v>1</v>
      </c>
      <c r="P55" t="n">
        <v>1</v>
      </c>
      <c r="Q55" t="n">
        <v>1</v>
      </c>
      <c r="R55" s="2" t="inlineStr">
        <is>
          <t>Ask</t>
        </is>
      </c>
      <c r="S55">
        <f>HYPERLINK("https://klasma.github.io/Logging_1293/artfynd/A 60925-2024 artfynd.xlsx", "A 60925-2024")</f>
        <v/>
      </c>
      <c r="T55">
        <f>HYPERLINK("https://klasma.github.io/Logging_1293/kartor/A 60925-2024 karta.png", "A 60925-2024")</f>
        <v/>
      </c>
      <c r="V55">
        <f>HYPERLINK("https://klasma.github.io/Logging_1293/klagomål/A 60925-2024 FSC-klagomål.docx", "A 60925-2024")</f>
        <v/>
      </c>
      <c r="W55">
        <f>HYPERLINK("https://klasma.github.io/Logging_1293/klagomålsmail/A 60925-2024 FSC-klagomål mail.docx", "A 60925-2024")</f>
        <v/>
      </c>
      <c r="X55">
        <f>HYPERLINK("https://klasma.github.io/Logging_1293/tillsyn/A 60925-2024 tillsynsbegäran.docx", "A 60925-2024")</f>
        <v/>
      </c>
      <c r="Y55">
        <f>HYPERLINK("https://klasma.github.io/Logging_1293/tillsynsmail/A 60925-2024 tillsynsbegäran mail.docx", "A 60925-2024")</f>
        <v/>
      </c>
    </row>
    <row r="56" ht="15" customHeight="1">
      <c r="A56" t="inlineStr">
        <is>
          <t>A 2194-2025</t>
        </is>
      </c>
      <c r="B56" s="1" t="n">
        <v>45673</v>
      </c>
      <c r="C56" s="1" t="n">
        <v>46193</v>
      </c>
      <c r="D56" t="inlineStr">
        <is>
          <t>SKÅNE LÄN</t>
        </is>
      </c>
      <c r="E56" t="inlineStr">
        <is>
          <t>HÄSSLEHOLM</t>
        </is>
      </c>
      <c r="G56" t="n">
        <v>3.4</v>
      </c>
      <c r="H56" t="n">
        <v>1</v>
      </c>
      <c r="I56" t="n">
        <v>0</v>
      </c>
      <c r="J56" t="n">
        <v>0</v>
      </c>
      <c r="K56" t="n">
        <v>0</v>
      </c>
      <c r="L56" t="n">
        <v>0</v>
      </c>
      <c r="M56" t="n">
        <v>0</v>
      </c>
      <c r="N56" t="n">
        <v>0</v>
      </c>
      <c r="O56" t="n">
        <v>0</v>
      </c>
      <c r="P56" t="n">
        <v>0</v>
      </c>
      <c r="Q56" t="n">
        <v>1</v>
      </c>
      <c r="R56" s="2" t="inlineStr">
        <is>
          <t>Utter</t>
        </is>
      </c>
      <c r="S56">
        <f>HYPERLINK("https://klasma.github.io/Logging_1293/artfynd/A 2194-2025 artfynd.xlsx", "A 2194-2025")</f>
        <v/>
      </c>
      <c r="T56">
        <f>HYPERLINK("https://klasma.github.io/Logging_1293/kartor/A 2194-2025 karta.png", "A 2194-2025")</f>
        <v/>
      </c>
      <c r="V56">
        <f>HYPERLINK("https://klasma.github.io/Logging_1293/klagomål/A 2194-2025 FSC-klagomål.docx", "A 2194-2025")</f>
        <v/>
      </c>
      <c r="W56">
        <f>HYPERLINK("https://klasma.github.io/Logging_1293/klagomålsmail/A 2194-2025 FSC-klagomål mail.docx", "A 2194-2025")</f>
        <v/>
      </c>
      <c r="X56">
        <f>HYPERLINK("https://klasma.github.io/Logging_1293/tillsyn/A 2194-2025 tillsynsbegäran.docx", "A 2194-2025")</f>
        <v/>
      </c>
      <c r="Y56">
        <f>HYPERLINK("https://klasma.github.io/Logging_1293/tillsynsmail/A 2194-2025 tillsynsbegäran mail.docx", "A 2194-2025")</f>
        <v/>
      </c>
    </row>
    <row r="57" ht="15" customHeight="1">
      <c r="A57" t="inlineStr">
        <is>
          <t>A 42735-2024</t>
        </is>
      </c>
      <c r="B57" s="1" t="n">
        <v>45566</v>
      </c>
      <c r="C57" s="1" t="n">
        <v>46193</v>
      </c>
      <c r="D57" t="inlineStr">
        <is>
          <t>SKÅNE LÄN</t>
        </is>
      </c>
      <c r="E57" t="inlineStr">
        <is>
          <t>HÄSSLEHOLM</t>
        </is>
      </c>
      <c r="G57" t="n">
        <v>3.7</v>
      </c>
      <c r="H57" t="n">
        <v>1</v>
      </c>
      <c r="I57" t="n">
        <v>0</v>
      </c>
      <c r="J57" t="n">
        <v>0</v>
      </c>
      <c r="K57" t="n">
        <v>0</v>
      </c>
      <c r="L57" t="n">
        <v>0</v>
      </c>
      <c r="M57" t="n">
        <v>0</v>
      </c>
      <c r="N57" t="n">
        <v>0</v>
      </c>
      <c r="O57" t="n">
        <v>0</v>
      </c>
      <c r="P57" t="n">
        <v>0</v>
      </c>
      <c r="Q57" t="n">
        <v>1</v>
      </c>
      <c r="R57" s="2" t="inlineStr">
        <is>
          <t>Revlummer</t>
        </is>
      </c>
      <c r="S57">
        <f>HYPERLINK("https://klasma.github.io/Logging_1293/artfynd/A 42735-2024 artfynd.xlsx", "A 42735-2024")</f>
        <v/>
      </c>
      <c r="T57">
        <f>HYPERLINK("https://klasma.github.io/Logging_1293/kartor/A 42735-2024 karta.png", "A 42735-2024")</f>
        <v/>
      </c>
      <c r="V57">
        <f>HYPERLINK("https://klasma.github.io/Logging_1293/klagomål/A 42735-2024 FSC-klagomål.docx", "A 42735-2024")</f>
        <v/>
      </c>
      <c r="W57">
        <f>HYPERLINK("https://klasma.github.io/Logging_1293/klagomålsmail/A 42735-2024 FSC-klagomål mail.docx", "A 42735-2024")</f>
        <v/>
      </c>
      <c r="X57">
        <f>HYPERLINK("https://klasma.github.io/Logging_1293/tillsyn/A 42735-2024 tillsynsbegäran.docx", "A 42735-2024")</f>
        <v/>
      </c>
      <c r="Y57">
        <f>HYPERLINK("https://klasma.github.io/Logging_1293/tillsynsmail/A 42735-2024 tillsynsbegäran mail.docx", "A 42735-2024")</f>
        <v/>
      </c>
    </row>
    <row r="58" ht="15" customHeight="1">
      <c r="A58" t="inlineStr">
        <is>
          <t>A 24985-2025</t>
        </is>
      </c>
      <c r="B58" s="1" t="n">
        <v>45799</v>
      </c>
      <c r="C58" s="1" t="n">
        <v>46193</v>
      </c>
      <c r="D58" t="inlineStr">
        <is>
          <t>SKÅNE LÄN</t>
        </is>
      </c>
      <c r="E58" t="inlineStr">
        <is>
          <t>HÄSSLEHOLM</t>
        </is>
      </c>
      <c r="G58" t="n">
        <v>2.3</v>
      </c>
      <c r="H58" t="n">
        <v>1</v>
      </c>
      <c r="I58" t="n">
        <v>0</v>
      </c>
      <c r="J58" t="n">
        <v>1</v>
      </c>
      <c r="K58" t="n">
        <v>0</v>
      </c>
      <c r="L58" t="n">
        <v>0</v>
      </c>
      <c r="M58" t="n">
        <v>0</v>
      </c>
      <c r="N58" t="n">
        <v>0</v>
      </c>
      <c r="O58" t="n">
        <v>1</v>
      </c>
      <c r="P58" t="n">
        <v>0</v>
      </c>
      <c r="Q58" t="n">
        <v>1</v>
      </c>
      <c r="R58" s="2" t="inlineStr">
        <is>
          <t>Enkelbeckasin</t>
        </is>
      </c>
      <c r="S58">
        <f>HYPERLINK("https://klasma.github.io/Logging_1293/artfynd/A 24985-2025 artfynd.xlsx", "A 24985-2025")</f>
        <v/>
      </c>
      <c r="T58">
        <f>HYPERLINK("https://klasma.github.io/Logging_1293/kartor/A 24985-2025 karta.png", "A 24985-2025")</f>
        <v/>
      </c>
      <c r="V58">
        <f>HYPERLINK("https://klasma.github.io/Logging_1293/klagomål/A 24985-2025 FSC-klagomål.docx", "A 24985-2025")</f>
        <v/>
      </c>
      <c r="W58">
        <f>HYPERLINK("https://klasma.github.io/Logging_1293/klagomålsmail/A 24985-2025 FSC-klagomål mail.docx", "A 24985-2025")</f>
        <v/>
      </c>
      <c r="X58">
        <f>HYPERLINK("https://klasma.github.io/Logging_1293/tillsyn/A 24985-2025 tillsynsbegäran.docx", "A 24985-2025")</f>
        <v/>
      </c>
      <c r="Y58">
        <f>HYPERLINK("https://klasma.github.io/Logging_1293/tillsynsmail/A 24985-2025 tillsynsbegäran mail.docx", "A 24985-2025")</f>
        <v/>
      </c>
      <c r="Z58">
        <f>HYPERLINK("https://klasma.github.io/Logging_1293/fåglar/A 24985-2025 prioriterade fågelarter.docx", "A 24985-2025")</f>
        <v/>
      </c>
    </row>
    <row r="59" ht="15" customHeight="1">
      <c r="A59" t="inlineStr">
        <is>
          <t>A 16550-2025</t>
        </is>
      </c>
      <c r="B59" s="1" t="n">
        <v>45751</v>
      </c>
      <c r="C59" s="1" t="n">
        <v>46193</v>
      </c>
      <c r="D59" t="inlineStr">
        <is>
          <t>SKÅNE LÄN</t>
        </is>
      </c>
      <c r="E59" t="inlineStr">
        <is>
          <t>HÄSSLEHOLM</t>
        </is>
      </c>
      <c r="G59" t="n">
        <v>0.7</v>
      </c>
      <c r="H59" t="n">
        <v>0</v>
      </c>
      <c r="I59" t="n">
        <v>1</v>
      </c>
      <c r="J59" t="n">
        <v>0</v>
      </c>
      <c r="K59" t="n">
        <v>0</v>
      </c>
      <c r="L59" t="n">
        <v>0</v>
      </c>
      <c r="M59" t="n">
        <v>0</v>
      </c>
      <c r="N59" t="n">
        <v>0</v>
      </c>
      <c r="O59" t="n">
        <v>0</v>
      </c>
      <c r="P59" t="n">
        <v>0</v>
      </c>
      <c r="Q59" t="n">
        <v>1</v>
      </c>
      <c r="R59" s="2" t="inlineStr">
        <is>
          <t>Skuggsprötmossa</t>
        </is>
      </c>
      <c r="S59">
        <f>HYPERLINK("https://klasma.github.io/Logging_1293/artfynd/A 16550-2025 artfynd.xlsx", "A 16550-2025")</f>
        <v/>
      </c>
      <c r="T59">
        <f>HYPERLINK("https://klasma.github.io/Logging_1293/kartor/A 16550-2025 karta.png", "A 16550-2025")</f>
        <v/>
      </c>
      <c r="V59">
        <f>HYPERLINK("https://klasma.github.io/Logging_1293/klagomål/A 16550-2025 FSC-klagomål.docx", "A 16550-2025")</f>
        <v/>
      </c>
      <c r="W59">
        <f>HYPERLINK("https://klasma.github.io/Logging_1293/klagomålsmail/A 16550-2025 FSC-klagomål mail.docx", "A 16550-2025")</f>
        <v/>
      </c>
      <c r="X59">
        <f>HYPERLINK("https://klasma.github.io/Logging_1293/tillsyn/A 16550-2025 tillsynsbegäran.docx", "A 16550-2025")</f>
        <v/>
      </c>
      <c r="Y59">
        <f>HYPERLINK("https://klasma.github.io/Logging_1293/tillsynsmail/A 16550-2025 tillsynsbegäran mail.docx", "A 16550-2025")</f>
        <v/>
      </c>
    </row>
    <row r="60" ht="15" customHeight="1">
      <c r="A60" t="inlineStr">
        <is>
          <t>A 53056-2025</t>
        </is>
      </c>
      <c r="B60" s="1" t="n">
        <v>45958</v>
      </c>
      <c r="C60" s="1" t="n">
        <v>46193</v>
      </c>
      <c r="D60" t="inlineStr">
        <is>
          <t>SKÅNE LÄN</t>
        </is>
      </c>
      <c r="E60" t="inlineStr">
        <is>
          <t>HÄSSLEHOLM</t>
        </is>
      </c>
      <c r="G60" t="n">
        <v>1.5</v>
      </c>
      <c r="H60" t="n">
        <v>0</v>
      </c>
      <c r="I60" t="n">
        <v>0</v>
      </c>
      <c r="J60" t="n">
        <v>1</v>
      </c>
      <c r="K60" t="n">
        <v>0</v>
      </c>
      <c r="L60" t="n">
        <v>0</v>
      </c>
      <c r="M60" t="n">
        <v>0</v>
      </c>
      <c r="N60" t="n">
        <v>0</v>
      </c>
      <c r="O60" t="n">
        <v>1</v>
      </c>
      <c r="P60" t="n">
        <v>0</v>
      </c>
      <c r="Q60" t="n">
        <v>1</v>
      </c>
      <c r="R60" s="2" t="inlineStr">
        <is>
          <t>Gullpudra</t>
        </is>
      </c>
      <c r="S60">
        <f>HYPERLINK("https://klasma.github.io/Logging_1293/artfynd/A 53056-2025 artfynd.xlsx", "A 53056-2025")</f>
        <v/>
      </c>
      <c r="T60">
        <f>HYPERLINK("https://klasma.github.io/Logging_1293/kartor/A 53056-2025 karta.png", "A 53056-2025")</f>
        <v/>
      </c>
      <c r="V60">
        <f>HYPERLINK("https://klasma.github.io/Logging_1293/klagomål/A 53056-2025 FSC-klagomål.docx", "A 53056-2025")</f>
        <v/>
      </c>
      <c r="W60">
        <f>HYPERLINK("https://klasma.github.io/Logging_1293/klagomålsmail/A 53056-2025 FSC-klagomål mail.docx", "A 53056-2025")</f>
        <v/>
      </c>
      <c r="X60">
        <f>HYPERLINK("https://klasma.github.io/Logging_1293/tillsyn/A 53056-2025 tillsynsbegäran.docx", "A 53056-2025")</f>
        <v/>
      </c>
      <c r="Y60">
        <f>HYPERLINK("https://klasma.github.io/Logging_1293/tillsynsmail/A 53056-2025 tillsynsbegäran mail.docx", "A 53056-2025")</f>
        <v/>
      </c>
    </row>
    <row r="61" ht="15" customHeight="1">
      <c r="A61" t="inlineStr">
        <is>
          <t>A 54523-2024</t>
        </is>
      </c>
      <c r="B61" s="1" t="n">
        <v>45617</v>
      </c>
      <c r="C61" s="1" t="n">
        <v>46193</v>
      </c>
      <c r="D61" t="inlineStr">
        <is>
          <t>SKÅNE LÄN</t>
        </is>
      </c>
      <c r="E61" t="inlineStr">
        <is>
          <t>HÄSSLEHOLM</t>
        </is>
      </c>
      <c r="G61" t="n">
        <v>4.5</v>
      </c>
      <c r="H61" t="n">
        <v>1</v>
      </c>
      <c r="I61" t="n">
        <v>0</v>
      </c>
      <c r="J61" t="n">
        <v>0</v>
      </c>
      <c r="K61" t="n">
        <v>0</v>
      </c>
      <c r="L61" t="n">
        <v>0</v>
      </c>
      <c r="M61" t="n">
        <v>0</v>
      </c>
      <c r="N61" t="n">
        <v>0</v>
      </c>
      <c r="O61" t="n">
        <v>0</v>
      </c>
      <c r="P61" t="n">
        <v>0</v>
      </c>
      <c r="Q61" t="n">
        <v>1</v>
      </c>
      <c r="R61" s="2" t="inlineStr">
        <is>
          <t>Grönvit nattviol</t>
        </is>
      </c>
      <c r="S61">
        <f>HYPERLINK("https://klasma.github.io/Logging_1293/artfynd/A 54523-2024 artfynd.xlsx", "A 54523-2024")</f>
        <v/>
      </c>
      <c r="T61">
        <f>HYPERLINK("https://klasma.github.io/Logging_1293/kartor/A 54523-2024 karta.png", "A 54523-2024")</f>
        <v/>
      </c>
      <c r="V61">
        <f>HYPERLINK("https://klasma.github.io/Logging_1293/klagomål/A 54523-2024 FSC-klagomål.docx", "A 54523-2024")</f>
        <v/>
      </c>
      <c r="W61">
        <f>HYPERLINK("https://klasma.github.io/Logging_1293/klagomålsmail/A 54523-2024 FSC-klagomål mail.docx", "A 54523-2024")</f>
        <v/>
      </c>
      <c r="X61">
        <f>HYPERLINK("https://klasma.github.io/Logging_1293/tillsyn/A 54523-2024 tillsynsbegäran.docx", "A 54523-2024")</f>
        <v/>
      </c>
      <c r="Y61">
        <f>HYPERLINK("https://klasma.github.io/Logging_1293/tillsynsmail/A 54523-2024 tillsynsbegäran mail.docx", "A 54523-2024")</f>
        <v/>
      </c>
    </row>
    <row r="62" ht="15" customHeight="1">
      <c r="A62" t="inlineStr">
        <is>
          <t>A 23857-2024</t>
        </is>
      </c>
      <c r="B62" s="1" t="n">
        <v>45455</v>
      </c>
      <c r="C62" s="1" t="n">
        <v>46193</v>
      </c>
      <c r="D62" t="inlineStr">
        <is>
          <t>SKÅNE LÄN</t>
        </is>
      </c>
      <c r="E62" t="inlineStr">
        <is>
          <t>HÄSSLEHOLM</t>
        </is>
      </c>
      <c r="G62" t="n">
        <v>3</v>
      </c>
      <c r="H62" t="n">
        <v>0</v>
      </c>
      <c r="I62" t="n">
        <v>0</v>
      </c>
      <c r="J62" t="n">
        <v>0</v>
      </c>
      <c r="K62" t="n">
        <v>0</v>
      </c>
      <c r="L62" t="n">
        <v>0</v>
      </c>
      <c r="M62" t="n">
        <v>0</v>
      </c>
      <c r="N62" t="n">
        <v>0</v>
      </c>
      <c r="O62" t="n">
        <v>0</v>
      </c>
      <c r="P62" t="n">
        <v>0</v>
      </c>
      <c r="Q62" t="n">
        <v>1</v>
      </c>
      <c r="R62" s="2" t="inlineStr">
        <is>
          <t>Missne</t>
        </is>
      </c>
      <c r="S62">
        <f>HYPERLINK("https://klasma.github.io/Logging_1293/artfynd/A 23857-2024 artfynd.xlsx", "A 23857-2024")</f>
        <v/>
      </c>
      <c r="T62">
        <f>HYPERLINK("https://klasma.github.io/Logging_1293/kartor/A 23857-2024 karta.png", "A 23857-2024")</f>
        <v/>
      </c>
      <c r="V62">
        <f>HYPERLINK("https://klasma.github.io/Logging_1293/klagomål/A 23857-2024 FSC-klagomål.docx", "A 23857-2024")</f>
        <v/>
      </c>
      <c r="W62">
        <f>HYPERLINK("https://klasma.github.io/Logging_1293/klagomålsmail/A 23857-2024 FSC-klagomål mail.docx", "A 23857-2024")</f>
        <v/>
      </c>
      <c r="X62">
        <f>HYPERLINK("https://klasma.github.io/Logging_1293/tillsyn/A 23857-2024 tillsynsbegäran.docx", "A 23857-2024")</f>
        <v/>
      </c>
      <c r="Y62">
        <f>HYPERLINK("https://klasma.github.io/Logging_1293/tillsynsmail/A 23857-2024 tillsynsbegäran mail.docx", "A 23857-2024")</f>
        <v/>
      </c>
    </row>
    <row r="63" ht="15" customHeight="1">
      <c r="A63" t="inlineStr">
        <is>
          <t>A 27934-2025</t>
        </is>
      </c>
      <c r="B63" s="1" t="n">
        <v>45817</v>
      </c>
      <c r="C63" s="1" t="n">
        <v>46193</v>
      </c>
      <c r="D63" t="inlineStr">
        <is>
          <t>SKÅNE LÄN</t>
        </is>
      </c>
      <c r="E63" t="inlineStr">
        <is>
          <t>HÄSSLEHOLM</t>
        </is>
      </c>
      <c r="G63" t="n">
        <v>0.7</v>
      </c>
      <c r="H63" t="n">
        <v>0</v>
      </c>
      <c r="I63" t="n">
        <v>0</v>
      </c>
      <c r="J63" t="n">
        <v>0</v>
      </c>
      <c r="K63" t="n">
        <v>0</v>
      </c>
      <c r="L63" t="n">
        <v>0</v>
      </c>
      <c r="M63" t="n">
        <v>0</v>
      </c>
      <c r="N63" t="n">
        <v>0</v>
      </c>
      <c r="O63" t="n">
        <v>0</v>
      </c>
      <c r="P63" t="n">
        <v>0</v>
      </c>
      <c r="Q63" t="n">
        <v>1</v>
      </c>
      <c r="R63" s="2" t="inlineStr">
        <is>
          <t>Missne</t>
        </is>
      </c>
      <c r="S63">
        <f>HYPERLINK("https://klasma.github.io/Logging_1293/artfynd/A 27934-2025 artfynd.xlsx", "A 27934-2025")</f>
        <v/>
      </c>
      <c r="T63">
        <f>HYPERLINK("https://klasma.github.io/Logging_1293/kartor/A 27934-2025 karta.png", "A 27934-2025")</f>
        <v/>
      </c>
      <c r="V63">
        <f>HYPERLINK("https://klasma.github.io/Logging_1293/klagomål/A 27934-2025 FSC-klagomål.docx", "A 27934-2025")</f>
        <v/>
      </c>
      <c r="W63">
        <f>HYPERLINK("https://klasma.github.io/Logging_1293/klagomålsmail/A 27934-2025 FSC-klagomål mail.docx", "A 27934-2025")</f>
        <v/>
      </c>
      <c r="X63">
        <f>HYPERLINK("https://klasma.github.io/Logging_1293/tillsyn/A 27934-2025 tillsynsbegäran.docx", "A 27934-2025")</f>
        <v/>
      </c>
      <c r="Y63">
        <f>HYPERLINK("https://klasma.github.io/Logging_1293/tillsynsmail/A 27934-2025 tillsynsbegäran mail.docx", "A 27934-2025")</f>
        <v/>
      </c>
    </row>
    <row r="64" ht="15" customHeight="1">
      <c r="A64" t="inlineStr">
        <is>
          <t>A 25533-2024</t>
        </is>
      </c>
      <c r="B64" s="1" t="n">
        <v>45463</v>
      </c>
      <c r="C64" s="1" t="n">
        <v>46193</v>
      </c>
      <c r="D64" t="inlineStr">
        <is>
          <t>SKÅNE LÄN</t>
        </is>
      </c>
      <c r="E64" t="inlineStr">
        <is>
          <t>HÄSSLEHOLM</t>
        </is>
      </c>
      <c r="G64" t="n">
        <v>1.8</v>
      </c>
      <c r="H64" t="n">
        <v>1</v>
      </c>
      <c r="I64" t="n">
        <v>0</v>
      </c>
      <c r="J64" t="n">
        <v>0</v>
      </c>
      <c r="K64" t="n">
        <v>0</v>
      </c>
      <c r="L64" t="n">
        <v>0</v>
      </c>
      <c r="M64" t="n">
        <v>0</v>
      </c>
      <c r="N64" t="n">
        <v>0</v>
      </c>
      <c r="O64" t="n">
        <v>0</v>
      </c>
      <c r="P64" t="n">
        <v>0</v>
      </c>
      <c r="Q64" t="n">
        <v>1</v>
      </c>
      <c r="R64" s="2" t="inlineStr">
        <is>
          <t>Fiskgjuse</t>
        </is>
      </c>
      <c r="S64">
        <f>HYPERLINK("https://klasma.github.io/Logging_1293/artfynd/A 25533-2024 artfynd.xlsx", "A 25533-2024")</f>
        <v/>
      </c>
      <c r="T64">
        <f>HYPERLINK("https://klasma.github.io/Logging_1293/kartor/A 25533-2024 karta.png", "A 25533-2024")</f>
        <v/>
      </c>
      <c r="V64">
        <f>HYPERLINK("https://klasma.github.io/Logging_1293/klagomål/A 25533-2024 FSC-klagomål.docx", "A 25533-2024")</f>
        <v/>
      </c>
      <c r="W64">
        <f>HYPERLINK("https://klasma.github.io/Logging_1293/klagomålsmail/A 25533-2024 FSC-klagomål mail.docx", "A 25533-2024")</f>
        <v/>
      </c>
      <c r="X64">
        <f>HYPERLINK("https://klasma.github.io/Logging_1293/tillsyn/A 25533-2024 tillsynsbegäran.docx", "A 25533-2024")</f>
        <v/>
      </c>
      <c r="Y64">
        <f>HYPERLINK("https://klasma.github.io/Logging_1293/tillsynsmail/A 25533-2024 tillsynsbegäran mail.docx", "A 25533-2024")</f>
        <v/>
      </c>
      <c r="Z64">
        <f>HYPERLINK("https://klasma.github.io/Logging_1293/fåglar/A 25533-2024 prioriterade fågelarter.docx", "A 25533-2024")</f>
        <v/>
      </c>
    </row>
    <row r="65" ht="15" customHeight="1">
      <c r="A65" t="inlineStr">
        <is>
          <t>A 34834-2023</t>
        </is>
      </c>
      <c r="B65" s="1" t="n">
        <v>45141</v>
      </c>
      <c r="C65" s="1" t="n">
        <v>46193</v>
      </c>
      <c r="D65" t="inlineStr">
        <is>
          <t>SKÅNE LÄN</t>
        </is>
      </c>
      <c r="E65" t="inlineStr">
        <is>
          <t>HÄSSLEHOLM</t>
        </is>
      </c>
      <c r="G65" t="n">
        <v>1</v>
      </c>
      <c r="H65" t="n">
        <v>1</v>
      </c>
      <c r="I65" t="n">
        <v>0</v>
      </c>
      <c r="J65" t="n">
        <v>0</v>
      </c>
      <c r="K65" t="n">
        <v>0</v>
      </c>
      <c r="L65" t="n">
        <v>0</v>
      </c>
      <c r="M65" t="n">
        <v>0</v>
      </c>
      <c r="N65" t="n">
        <v>0</v>
      </c>
      <c r="O65" t="n">
        <v>0</v>
      </c>
      <c r="P65" t="n">
        <v>0</v>
      </c>
      <c r="Q65" t="n">
        <v>1</v>
      </c>
      <c r="R65" s="2" t="inlineStr">
        <is>
          <t>Lopplummer (aggregat)</t>
        </is>
      </c>
      <c r="S65">
        <f>HYPERLINK("https://klasma.github.io/Logging_1293/artfynd/A 34834-2023 artfynd.xlsx", "A 34834-2023")</f>
        <v/>
      </c>
      <c r="T65">
        <f>HYPERLINK("https://klasma.github.io/Logging_1293/kartor/A 34834-2023 karta.png", "A 34834-2023")</f>
        <v/>
      </c>
      <c r="V65">
        <f>HYPERLINK("https://klasma.github.io/Logging_1293/klagomål/A 34834-2023 FSC-klagomål.docx", "A 34834-2023")</f>
        <v/>
      </c>
      <c r="W65">
        <f>HYPERLINK("https://klasma.github.io/Logging_1293/klagomålsmail/A 34834-2023 FSC-klagomål mail.docx", "A 34834-2023")</f>
        <v/>
      </c>
      <c r="X65">
        <f>HYPERLINK("https://klasma.github.io/Logging_1293/tillsyn/A 34834-2023 tillsynsbegäran.docx", "A 34834-2023")</f>
        <v/>
      </c>
      <c r="Y65">
        <f>HYPERLINK("https://klasma.github.io/Logging_1293/tillsynsmail/A 34834-2023 tillsynsbegäran mail.docx", "A 34834-2023")</f>
        <v/>
      </c>
    </row>
    <row r="66" ht="15" customHeight="1">
      <c r="A66" t="inlineStr">
        <is>
          <t>A 57533-2025</t>
        </is>
      </c>
      <c r="B66" s="1" t="n">
        <v>45980</v>
      </c>
      <c r="C66" s="1" t="n">
        <v>46193</v>
      </c>
      <c r="D66" t="inlineStr">
        <is>
          <t>SKÅNE LÄN</t>
        </is>
      </c>
      <c r="E66" t="inlineStr">
        <is>
          <t>HÄSSLEHOLM</t>
        </is>
      </c>
      <c r="G66" t="n">
        <v>0.9</v>
      </c>
      <c r="H66" t="n">
        <v>0</v>
      </c>
      <c r="I66" t="n">
        <v>1</v>
      </c>
      <c r="J66" t="n">
        <v>0</v>
      </c>
      <c r="K66" t="n">
        <v>0</v>
      </c>
      <c r="L66" t="n">
        <v>0</v>
      </c>
      <c r="M66" t="n">
        <v>0</v>
      </c>
      <c r="N66" t="n">
        <v>0</v>
      </c>
      <c r="O66" t="n">
        <v>0</v>
      </c>
      <c r="P66" t="n">
        <v>0</v>
      </c>
      <c r="Q66" t="n">
        <v>1</v>
      </c>
      <c r="R66" s="2" t="inlineStr">
        <is>
          <t>Strutbräken</t>
        </is>
      </c>
      <c r="S66">
        <f>HYPERLINK("https://klasma.github.io/Logging_1293/artfynd/A 57533-2025 artfynd.xlsx", "A 57533-2025")</f>
        <v/>
      </c>
      <c r="T66">
        <f>HYPERLINK("https://klasma.github.io/Logging_1293/kartor/A 57533-2025 karta.png", "A 57533-2025")</f>
        <v/>
      </c>
      <c r="V66">
        <f>HYPERLINK("https://klasma.github.io/Logging_1293/klagomål/A 57533-2025 FSC-klagomål.docx", "A 57533-2025")</f>
        <v/>
      </c>
      <c r="W66">
        <f>HYPERLINK("https://klasma.github.io/Logging_1293/klagomålsmail/A 57533-2025 FSC-klagomål mail.docx", "A 57533-2025")</f>
        <v/>
      </c>
      <c r="X66">
        <f>HYPERLINK("https://klasma.github.io/Logging_1293/tillsyn/A 57533-2025 tillsynsbegäran.docx", "A 57533-2025")</f>
        <v/>
      </c>
      <c r="Y66">
        <f>HYPERLINK("https://klasma.github.io/Logging_1293/tillsynsmail/A 57533-2025 tillsynsbegäran mail.docx", "A 57533-2025")</f>
        <v/>
      </c>
    </row>
    <row r="67" ht="15" customHeight="1">
      <c r="A67" t="inlineStr">
        <is>
          <t>A 29649-2025</t>
        </is>
      </c>
      <c r="B67" s="1" t="n">
        <v>45825</v>
      </c>
      <c r="C67" s="1" t="n">
        <v>46193</v>
      </c>
      <c r="D67" t="inlineStr">
        <is>
          <t>SKÅNE LÄN</t>
        </is>
      </c>
      <c r="E67" t="inlineStr">
        <is>
          <t>HÄSSLEHOLM</t>
        </is>
      </c>
      <c r="G67" t="n">
        <v>2.6</v>
      </c>
      <c r="H67" t="n">
        <v>0</v>
      </c>
      <c r="I67" t="n">
        <v>1</v>
      </c>
      <c r="J67" t="n">
        <v>0</v>
      </c>
      <c r="K67" t="n">
        <v>0</v>
      </c>
      <c r="L67" t="n">
        <v>0</v>
      </c>
      <c r="M67" t="n">
        <v>0</v>
      </c>
      <c r="N67" t="n">
        <v>0</v>
      </c>
      <c r="O67" t="n">
        <v>0</v>
      </c>
      <c r="P67" t="n">
        <v>0</v>
      </c>
      <c r="Q67" t="n">
        <v>1</v>
      </c>
      <c r="R67" s="2" t="inlineStr">
        <is>
          <t>Tibast</t>
        </is>
      </c>
      <c r="S67">
        <f>HYPERLINK("https://klasma.github.io/Logging_1293/artfynd/A 29649-2025 artfynd.xlsx", "A 29649-2025")</f>
        <v/>
      </c>
      <c r="T67">
        <f>HYPERLINK("https://klasma.github.io/Logging_1293/kartor/A 29649-2025 karta.png", "A 29649-2025")</f>
        <v/>
      </c>
      <c r="V67">
        <f>HYPERLINK("https://klasma.github.io/Logging_1293/klagomål/A 29649-2025 FSC-klagomål.docx", "A 29649-2025")</f>
        <v/>
      </c>
      <c r="W67">
        <f>HYPERLINK("https://klasma.github.io/Logging_1293/klagomålsmail/A 29649-2025 FSC-klagomål mail.docx", "A 29649-2025")</f>
        <v/>
      </c>
      <c r="X67">
        <f>HYPERLINK("https://klasma.github.io/Logging_1293/tillsyn/A 29649-2025 tillsynsbegäran.docx", "A 29649-2025")</f>
        <v/>
      </c>
      <c r="Y67">
        <f>HYPERLINK("https://klasma.github.io/Logging_1293/tillsynsmail/A 29649-2025 tillsynsbegäran mail.docx", "A 29649-2025")</f>
        <v/>
      </c>
    </row>
    <row r="68" ht="15" customHeight="1">
      <c r="A68" t="inlineStr">
        <is>
          <t>A 63487-2025</t>
        </is>
      </c>
      <c r="B68" s="1" t="n">
        <v>46013</v>
      </c>
      <c r="C68" s="1" t="n">
        <v>46193</v>
      </c>
      <c r="D68" t="inlineStr">
        <is>
          <t>SKÅNE LÄN</t>
        </is>
      </c>
      <c r="E68" t="inlineStr">
        <is>
          <t>HÄSSLEHOLM</t>
        </is>
      </c>
      <c r="F68" t="inlineStr">
        <is>
          <t>Kommuner</t>
        </is>
      </c>
      <c r="G68" t="n">
        <v>9.800000000000001</v>
      </c>
      <c r="H68" t="n">
        <v>1</v>
      </c>
      <c r="I68" t="n">
        <v>0</v>
      </c>
      <c r="J68" t="n">
        <v>0</v>
      </c>
      <c r="K68" t="n">
        <v>0</v>
      </c>
      <c r="L68" t="n">
        <v>0</v>
      </c>
      <c r="M68" t="n">
        <v>0</v>
      </c>
      <c r="N68" t="n">
        <v>0</v>
      </c>
      <c r="O68" t="n">
        <v>0</v>
      </c>
      <c r="P68" t="n">
        <v>0</v>
      </c>
      <c r="Q68" t="n">
        <v>1</v>
      </c>
      <c r="R68" s="2" t="inlineStr">
        <is>
          <t>Kungsfågel</t>
        </is>
      </c>
      <c r="S68">
        <f>HYPERLINK("https://klasma.github.io/Logging_1293/artfynd/A 63487-2025 artfynd.xlsx", "A 63487-2025")</f>
        <v/>
      </c>
      <c r="T68">
        <f>HYPERLINK("https://klasma.github.io/Logging_1293/kartor/A 63487-2025 karta.png", "A 63487-2025")</f>
        <v/>
      </c>
      <c r="V68">
        <f>HYPERLINK("https://klasma.github.io/Logging_1293/klagomål/A 63487-2025 FSC-klagomål.docx", "A 63487-2025")</f>
        <v/>
      </c>
      <c r="W68">
        <f>HYPERLINK("https://klasma.github.io/Logging_1293/klagomålsmail/A 63487-2025 FSC-klagomål mail.docx", "A 63487-2025")</f>
        <v/>
      </c>
      <c r="X68">
        <f>HYPERLINK("https://klasma.github.io/Logging_1293/tillsyn/A 63487-2025 tillsynsbegäran.docx", "A 63487-2025")</f>
        <v/>
      </c>
      <c r="Y68">
        <f>HYPERLINK("https://klasma.github.io/Logging_1293/tillsynsmail/A 63487-2025 tillsynsbegäran mail.docx", "A 63487-2025")</f>
        <v/>
      </c>
      <c r="Z68">
        <f>HYPERLINK("https://klasma.github.io/Logging_1293/fåglar/A 63487-2025 prioriterade fågelarter.docx", "A 63487-2025")</f>
        <v/>
      </c>
    </row>
    <row r="69" ht="15" customHeight="1">
      <c r="A69" t="inlineStr">
        <is>
          <t>A 417-2022</t>
        </is>
      </c>
      <c r="B69" s="1" t="n">
        <v>44565</v>
      </c>
      <c r="C69" s="1" t="n">
        <v>46193</v>
      </c>
      <c r="D69" t="inlineStr">
        <is>
          <t>SKÅNE LÄN</t>
        </is>
      </c>
      <c r="E69" t="inlineStr">
        <is>
          <t>HÄSSLEHOLM</t>
        </is>
      </c>
      <c r="G69" t="n">
        <v>0</v>
      </c>
      <c r="H69" t="n">
        <v>0</v>
      </c>
      <c r="I69" t="n">
        <v>0</v>
      </c>
      <c r="J69" t="n">
        <v>0</v>
      </c>
      <c r="K69" t="n">
        <v>1</v>
      </c>
      <c r="L69" t="n">
        <v>0</v>
      </c>
      <c r="M69" t="n">
        <v>0</v>
      </c>
      <c r="N69" t="n">
        <v>0</v>
      </c>
      <c r="O69" t="n">
        <v>1</v>
      </c>
      <c r="P69" t="n">
        <v>1</v>
      </c>
      <c r="Q69" t="n">
        <v>1</v>
      </c>
      <c r="R69" s="2" t="inlineStr">
        <is>
          <t>Igelkott</t>
        </is>
      </c>
      <c r="S69">
        <f>HYPERLINK("https://klasma.github.io/Logging_1293/artfynd/A 417-2022 artfynd.xlsx", "A 417-2022")</f>
        <v/>
      </c>
      <c r="T69">
        <f>HYPERLINK("https://klasma.github.io/Logging_1293/kartor/A 417-2022 karta.png", "A 417-2022")</f>
        <v/>
      </c>
      <c r="V69">
        <f>HYPERLINK("https://klasma.github.io/Logging_1293/klagomål/A 417-2022 FSC-klagomål.docx", "A 417-2022")</f>
        <v/>
      </c>
      <c r="W69">
        <f>HYPERLINK("https://klasma.github.io/Logging_1293/klagomålsmail/A 417-2022 FSC-klagomål mail.docx", "A 417-2022")</f>
        <v/>
      </c>
      <c r="X69">
        <f>HYPERLINK("https://klasma.github.io/Logging_1293/tillsyn/A 417-2022 tillsynsbegäran.docx", "A 417-2022")</f>
        <v/>
      </c>
      <c r="Y69">
        <f>HYPERLINK("https://klasma.github.io/Logging_1293/tillsynsmail/A 417-2022 tillsynsbegäran mail.docx", "A 417-2022")</f>
        <v/>
      </c>
    </row>
    <row r="70" ht="15" customHeight="1">
      <c r="A70" t="inlineStr">
        <is>
          <t>A 26857-2025</t>
        </is>
      </c>
      <c r="B70" s="1" t="n">
        <v>45810</v>
      </c>
      <c r="C70" s="1" t="n">
        <v>46193</v>
      </c>
      <c r="D70" t="inlineStr">
        <is>
          <t>SKÅNE LÄN</t>
        </is>
      </c>
      <c r="E70" t="inlineStr">
        <is>
          <t>HÄSSLEHOLM</t>
        </is>
      </c>
      <c r="G70" t="n">
        <v>0.8</v>
      </c>
      <c r="H70" t="n">
        <v>1</v>
      </c>
      <c r="I70" t="n">
        <v>0</v>
      </c>
      <c r="J70" t="n">
        <v>0</v>
      </c>
      <c r="K70" t="n">
        <v>1</v>
      </c>
      <c r="L70" t="n">
        <v>0</v>
      </c>
      <c r="M70" t="n">
        <v>0</v>
      </c>
      <c r="N70" t="n">
        <v>0</v>
      </c>
      <c r="O70" t="n">
        <v>1</v>
      </c>
      <c r="P70" t="n">
        <v>1</v>
      </c>
      <c r="Q70" t="n">
        <v>1</v>
      </c>
      <c r="R70" s="2" t="inlineStr">
        <is>
          <t>Blå kärrhök</t>
        </is>
      </c>
      <c r="S70">
        <f>HYPERLINK("https://klasma.github.io/Logging_1293/artfynd/A 26857-2025 artfynd.xlsx", "A 26857-2025")</f>
        <v/>
      </c>
      <c r="T70">
        <f>HYPERLINK("https://klasma.github.io/Logging_1293/kartor/A 26857-2025 karta.png", "A 26857-2025")</f>
        <v/>
      </c>
      <c r="V70">
        <f>HYPERLINK("https://klasma.github.io/Logging_1293/klagomål/A 26857-2025 FSC-klagomål.docx", "A 26857-2025")</f>
        <v/>
      </c>
      <c r="W70">
        <f>HYPERLINK("https://klasma.github.io/Logging_1293/klagomålsmail/A 26857-2025 FSC-klagomål mail.docx", "A 26857-2025")</f>
        <v/>
      </c>
      <c r="X70">
        <f>HYPERLINK("https://klasma.github.io/Logging_1293/tillsyn/A 26857-2025 tillsynsbegäran.docx", "A 26857-2025")</f>
        <v/>
      </c>
      <c r="Y70">
        <f>HYPERLINK("https://klasma.github.io/Logging_1293/tillsynsmail/A 26857-2025 tillsynsbegäran mail.docx", "A 26857-2025")</f>
        <v/>
      </c>
      <c r="Z70">
        <f>HYPERLINK("https://klasma.github.io/Logging_1293/fåglar/A 26857-2025 prioriterade fågelarter.docx", "A 26857-2025")</f>
        <v/>
      </c>
    </row>
    <row r="71" ht="15" customHeight="1">
      <c r="A71" t="inlineStr">
        <is>
          <t>A 13894-2026</t>
        </is>
      </c>
      <c r="B71" s="1" t="n">
        <v>46098</v>
      </c>
      <c r="C71" s="1" t="n">
        <v>46193</v>
      </c>
      <c r="D71" t="inlineStr">
        <is>
          <t>SKÅNE LÄN</t>
        </is>
      </c>
      <c r="E71" t="inlineStr">
        <is>
          <t>HÄSSLEHOLM</t>
        </is>
      </c>
      <c r="G71" t="n">
        <v>2.6</v>
      </c>
      <c r="H71" t="n">
        <v>1</v>
      </c>
      <c r="I71" t="n">
        <v>0</v>
      </c>
      <c r="J71" t="n">
        <v>1</v>
      </c>
      <c r="K71" t="n">
        <v>0</v>
      </c>
      <c r="L71" t="n">
        <v>0</v>
      </c>
      <c r="M71" t="n">
        <v>0</v>
      </c>
      <c r="N71" t="n">
        <v>0</v>
      </c>
      <c r="O71" t="n">
        <v>1</v>
      </c>
      <c r="P71" t="n">
        <v>0</v>
      </c>
      <c r="Q71" t="n">
        <v>1</v>
      </c>
      <c r="R71" s="2" t="inlineStr">
        <is>
          <t>Entita</t>
        </is>
      </c>
      <c r="S71">
        <f>HYPERLINK("https://klasma.github.io/Logging_1293/artfynd/A 13894-2026 artfynd.xlsx", "A 13894-2026")</f>
        <v/>
      </c>
      <c r="T71">
        <f>HYPERLINK("https://klasma.github.io/Logging_1293/kartor/A 13894-2026 karta.png", "A 13894-2026")</f>
        <v/>
      </c>
      <c r="V71">
        <f>HYPERLINK("https://klasma.github.io/Logging_1293/klagomål/A 13894-2026 FSC-klagomål.docx", "A 13894-2026")</f>
        <v/>
      </c>
      <c r="W71">
        <f>HYPERLINK("https://klasma.github.io/Logging_1293/klagomålsmail/A 13894-2026 FSC-klagomål mail.docx", "A 13894-2026")</f>
        <v/>
      </c>
      <c r="X71">
        <f>HYPERLINK("https://klasma.github.io/Logging_1293/tillsyn/A 13894-2026 tillsynsbegäran.docx", "A 13894-2026")</f>
        <v/>
      </c>
      <c r="Y71">
        <f>HYPERLINK("https://klasma.github.io/Logging_1293/tillsynsmail/A 13894-2026 tillsynsbegäran mail.docx", "A 13894-2026")</f>
        <v/>
      </c>
      <c r="Z71">
        <f>HYPERLINK("https://klasma.github.io/Logging_1293/fåglar/A 13894-2026 prioriterade fågelarter.docx", "A 13894-2026")</f>
        <v/>
      </c>
    </row>
    <row r="72" ht="15" customHeight="1">
      <c r="A72" t="inlineStr">
        <is>
          <t>A 25944-2026</t>
        </is>
      </c>
      <c r="B72" s="1" t="n">
        <v>46181</v>
      </c>
      <c r="C72" s="1" t="n">
        <v>46193</v>
      </c>
      <c r="D72" t="inlineStr">
        <is>
          <t>SKÅNE LÄN</t>
        </is>
      </c>
      <c r="E72" t="inlineStr">
        <is>
          <t>HÄSSLEHOLM</t>
        </is>
      </c>
      <c r="G72" t="n">
        <v>3.4</v>
      </c>
      <c r="H72" t="n">
        <v>0</v>
      </c>
      <c r="I72" t="n">
        <v>0</v>
      </c>
      <c r="J72" t="n">
        <v>1</v>
      </c>
      <c r="K72" t="n">
        <v>0</v>
      </c>
      <c r="L72" t="n">
        <v>0</v>
      </c>
      <c r="M72" t="n">
        <v>0</v>
      </c>
      <c r="N72" t="n">
        <v>0</v>
      </c>
      <c r="O72" t="n">
        <v>1</v>
      </c>
      <c r="P72" t="n">
        <v>0</v>
      </c>
      <c r="Q72" t="n">
        <v>1</v>
      </c>
      <c r="R72" s="2" t="inlineStr">
        <is>
          <t>Sydlig sotticka</t>
        </is>
      </c>
      <c r="S72">
        <f>HYPERLINK("https://klasma.github.io/Logging_1293/artfynd/A 25944-2026 artfynd.xlsx", "A 25944-2026")</f>
        <v/>
      </c>
      <c r="T72">
        <f>HYPERLINK("https://klasma.github.io/Logging_1293/kartor/A 25944-2026 karta.png", "A 25944-2026")</f>
        <v/>
      </c>
      <c r="V72">
        <f>HYPERLINK("https://klasma.github.io/Logging_1293/klagomål/A 25944-2026 FSC-klagomål.docx", "A 25944-2026")</f>
        <v/>
      </c>
      <c r="W72">
        <f>HYPERLINK("https://klasma.github.io/Logging_1293/klagomålsmail/A 25944-2026 FSC-klagomål mail.docx", "A 25944-2026")</f>
        <v/>
      </c>
      <c r="X72">
        <f>HYPERLINK("https://klasma.github.io/Logging_1293/tillsyn/A 25944-2026 tillsynsbegäran.docx", "A 25944-2026")</f>
        <v/>
      </c>
      <c r="Y72">
        <f>HYPERLINK("https://klasma.github.io/Logging_1293/tillsynsmail/A 25944-2026 tillsynsbegäran mail.docx", "A 25944-2026")</f>
        <v/>
      </c>
    </row>
    <row r="73" ht="15" customHeight="1">
      <c r="A73" t="inlineStr">
        <is>
          <t>A 55618-2022</t>
        </is>
      </c>
      <c r="B73" s="1" t="n">
        <v>44883</v>
      </c>
      <c r="C73" s="1" t="n">
        <v>46193</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46193</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46193</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46193</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46193</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46193</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46193</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46193</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46193</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46193</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46193</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46193</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46193</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46193</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46193</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49324-2021</t>
        </is>
      </c>
      <c r="B88" s="1" t="n">
        <v>44454</v>
      </c>
      <c r="C88" s="1" t="n">
        <v>46193</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54175-2021</t>
        </is>
      </c>
      <c r="B89" s="1" t="n">
        <v>44470</v>
      </c>
      <c r="C89" s="1" t="n">
        <v>46193</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14402-2022</t>
        </is>
      </c>
      <c r="B90" s="1" t="n">
        <v>44652</v>
      </c>
      <c r="C90" s="1" t="n">
        <v>46193</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7249-2022</t>
        </is>
      </c>
      <c r="B91" s="1" t="n">
        <v>44606</v>
      </c>
      <c r="C91" s="1" t="n">
        <v>46193</v>
      </c>
      <c r="D91" t="inlineStr">
        <is>
          <t>SKÅNE LÄN</t>
        </is>
      </c>
      <c r="E91" t="inlineStr">
        <is>
          <t>HÄSSLEHOLM</t>
        </is>
      </c>
      <c r="F91" t="inlineStr">
        <is>
          <t>Övriga Aktiebolag</t>
        </is>
      </c>
      <c r="G91" t="n">
        <v>0.6</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46193</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23962-2022</t>
        </is>
      </c>
      <c r="B93" s="1" t="n">
        <v>44722</v>
      </c>
      <c r="C93" s="1" t="n">
        <v>46193</v>
      </c>
      <c r="D93" t="inlineStr">
        <is>
          <t>SKÅNE LÄN</t>
        </is>
      </c>
      <c r="E93" t="inlineStr">
        <is>
          <t>HÄSSLEHOLM</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46193</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50094-2021</t>
        </is>
      </c>
      <c r="B95" s="1" t="n">
        <v>44456</v>
      </c>
      <c r="C95" s="1" t="n">
        <v>46193</v>
      </c>
      <c r="D95" t="inlineStr">
        <is>
          <t>SKÅNE LÄN</t>
        </is>
      </c>
      <c r="E95" t="inlineStr">
        <is>
          <t>HÄSSLEHOLM</t>
        </is>
      </c>
      <c r="G95" t="n">
        <v>1.9</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46193</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46193</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46193</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46193</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46193</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46193</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46193</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46193</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46193</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46193</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50618-2021</t>
        </is>
      </c>
      <c r="B106" s="1" t="n">
        <v>44459</v>
      </c>
      <c r="C106" s="1" t="n">
        <v>46193</v>
      </c>
      <c r="D106" t="inlineStr">
        <is>
          <t>SKÅNE LÄN</t>
        </is>
      </c>
      <c r="E106" t="inlineStr">
        <is>
          <t>HÄSSLEHOLM</t>
        </is>
      </c>
      <c r="F106" t="inlineStr">
        <is>
          <t>Kyrkan</t>
        </is>
      </c>
      <c r="G106" t="n">
        <v>15.1</v>
      </c>
      <c r="H106" t="n">
        <v>0</v>
      </c>
      <c r="I106" t="n">
        <v>0</v>
      </c>
      <c r="J106" t="n">
        <v>0</v>
      </c>
      <c r="K106" t="n">
        <v>0</v>
      </c>
      <c r="L106" t="n">
        <v>0</v>
      </c>
      <c r="M106" t="n">
        <v>0</v>
      </c>
      <c r="N106" t="n">
        <v>0</v>
      </c>
      <c r="O106" t="n">
        <v>0</v>
      </c>
      <c r="P106" t="n">
        <v>0</v>
      </c>
      <c r="Q106" t="n">
        <v>0</v>
      </c>
      <c r="R106" s="2" t="inlineStr"/>
    </row>
    <row r="107" ht="15" customHeight="1">
      <c r="A107" t="inlineStr">
        <is>
          <t>A 69419-2021</t>
        </is>
      </c>
      <c r="B107" s="1" t="n">
        <v>44531</v>
      </c>
      <c r="C107" s="1" t="n">
        <v>46193</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26387-2022</t>
        </is>
      </c>
      <c r="B108" s="1" t="n">
        <v>44735</v>
      </c>
      <c r="C108" s="1" t="n">
        <v>46193</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40764-2022</t>
        </is>
      </c>
      <c r="B109" s="1" t="n">
        <v>44820</v>
      </c>
      <c r="C109" s="1" t="n">
        <v>46193</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46193</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46193</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61073-2021</t>
        </is>
      </c>
      <c r="B112" s="1" t="n">
        <v>44497</v>
      </c>
      <c r="C112" s="1" t="n">
        <v>46193</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2765-2022</t>
        </is>
      </c>
      <c r="B113" s="1" t="n">
        <v>44580</v>
      </c>
      <c r="C113" s="1" t="n">
        <v>46193</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37181-2022</t>
        </is>
      </c>
      <c r="B114" s="1" t="n">
        <v>44806</v>
      </c>
      <c r="C114" s="1" t="n">
        <v>46193</v>
      </c>
      <c r="D114" t="inlineStr">
        <is>
          <t>SKÅNE LÄN</t>
        </is>
      </c>
      <c r="E114" t="inlineStr">
        <is>
          <t>HÄSSLEHOLM</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46193</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46193</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46193</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46193</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v>
      </c>
      <c r="C119" s="1" t="n">
        <v>46193</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46193</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4156-2022</t>
        </is>
      </c>
      <c r="B121" s="1" t="n">
        <v>44588</v>
      </c>
      <c r="C121" s="1" t="n">
        <v>46193</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v>
      </c>
      <c r="C122" s="1" t="n">
        <v>46193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46193</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46193</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46193</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46193</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v>
      </c>
      <c r="C127" s="1" t="n">
        <v>46193</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46193</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46193</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46193</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v>
      </c>
      <c r="C131" s="1" t="n">
        <v>46193</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46193</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37334-2021</t>
        </is>
      </c>
      <c r="B133" s="1" t="n">
        <v>44397</v>
      </c>
      <c r="C133" s="1" t="n">
        <v>46193</v>
      </c>
      <c r="D133" t="inlineStr">
        <is>
          <t>SKÅNE LÄN</t>
        </is>
      </c>
      <c r="E133" t="inlineStr">
        <is>
          <t>HÄSSLEHOLM</t>
        </is>
      </c>
      <c r="G133" t="n">
        <v>0.7</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46193</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46193</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46193</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46193</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46193</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46193</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v>
      </c>
      <c r="C140" s="1" t="n">
        <v>46193</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46193</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46193</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46193</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56989-2021</t>
        </is>
      </c>
      <c r="B144" s="1" t="n">
        <v>44482</v>
      </c>
      <c r="C144" s="1" t="n">
        <v>46193</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51159-2021</t>
        </is>
      </c>
      <c r="B145" s="1" t="n">
        <v>44461</v>
      </c>
      <c r="C145" s="1" t="n">
        <v>46193</v>
      </c>
      <c r="D145" t="inlineStr">
        <is>
          <t>SKÅNE LÄN</t>
        </is>
      </c>
      <c r="E145" t="inlineStr">
        <is>
          <t>HÄSSLEHOLM</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46193</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46193</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39102-2022</t>
        </is>
      </c>
      <c r="B148" s="1" t="n">
        <v>44817</v>
      </c>
      <c r="C148" s="1" t="n">
        <v>46193</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47112-2021</t>
        </is>
      </c>
      <c r="B149" s="1" t="n">
        <v>44446</v>
      </c>
      <c r="C149" s="1" t="n">
        <v>46193</v>
      </c>
      <c r="D149" t="inlineStr">
        <is>
          <t>SKÅNE LÄN</t>
        </is>
      </c>
      <c r="E149" t="inlineStr">
        <is>
          <t>HÄSSLEHOLM</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56431-2021</t>
        </is>
      </c>
      <c r="B150" s="1" t="n">
        <v>44480</v>
      </c>
      <c r="C150" s="1" t="n">
        <v>46193</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6414-2022</t>
        </is>
      </c>
      <c r="B151" s="1" t="n">
        <v>44600</v>
      </c>
      <c r="C151" s="1" t="n">
        <v>46193</v>
      </c>
      <c r="D151" t="inlineStr">
        <is>
          <t>SKÅNE LÄN</t>
        </is>
      </c>
      <c r="E151" t="inlineStr">
        <is>
          <t>HÄSSLEHOLM</t>
        </is>
      </c>
      <c r="G151" t="n">
        <v>2.9</v>
      </c>
      <c r="H151" t="n">
        <v>0</v>
      </c>
      <c r="I151" t="n">
        <v>0</v>
      </c>
      <c r="J151" t="n">
        <v>0</v>
      </c>
      <c r="K151" t="n">
        <v>0</v>
      </c>
      <c r="L151" t="n">
        <v>0</v>
      </c>
      <c r="M151" t="n">
        <v>0</v>
      </c>
      <c r="N151" t="n">
        <v>0</v>
      </c>
      <c r="O151" t="n">
        <v>0</v>
      </c>
      <c r="P151" t="n">
        <v>0</v>
      </c>
      <c r="Q151" t="n">
        <v>0</v>
      </c>
      <c r="R151" s="2" t="inlineStr"/>
    </row>
    <row r="152" ht="15" customHeight="1">
      <c r="A152" t="inlineStr">
        <is>
          <t>A 52567-2021</t>
        </is>
      </c>
      <c r="B152" s="1" t="n">
        <v>44466</v>
      </c>
      <c r="C152" s="1" t="n">
        <v>46193</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74297-2021</t>
        </is>
      </c>
      <c r="B153" s="1" t="n">
        <v>44558</v>
      </c>
      <c r="C153" s="1" t="n">
        <v>46193</v>
      </c>
      <c r="D153" t="inlineStr">
        <is>
          <t>SKÅNE LÄN</t>
        </is>
      </c>
      <c r="E153" t="inlineStr">
        <is>
          <t>HÄSSLEHOLM</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52295-2021</t>
        </is>
      </c>
      <c r="B154" s="1" t="n">
        <v>44463</v>
      </c>
      <c r="C154" s="1" t="n">
        <v>46193</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68909-2021</t>
        </is>
      </c>
      <c r="B155" s="1" t="n">
        <v>44530</v>
      </c>
      <c r="C155" s="1" t="n">
        <v>46193</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5091-2022</t>
        </is>
      </c>
      <c r="B156" s="1" t="n">
        <v>44593</v>
      </c>
      <c r="C156" s="1" t="n">
        <v>46193</v>
      </c>
      <c r="D156" t="inlineStr">
        <is>
          <t>SKÅNE LÄN</t>
        </is>
      </c>
      <c r="E156" t="inlineStr">
        <is>
          <t>HÄSSLEHOLM</t>
        </is>
      </c>
      <c r="G156" t="n">
        <v>2.5</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46193</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15986-2022</t>
        </is>
      </c>
      <c r="B158" s="1" t="n">
        <v>44664</v>
      </c>
      <c r="C158" s="1" t="n">
        <v>46193</v>
      </c>
      <c r="D158" t="inlineStr">
        <is>
          <t>SKÅNE LÄN</t>
        </is>
      </c>
      <c r="E158" t="inlineStr">
        <is>
          <t>HÄSSLEHOLM</t>
        </is>
      </c>
      <c r="F158" t="inlineStr">
        <is>
          <t>Kyrkan</t>
        </is>
      </c>
      <c r="G158" t="n">
        <v>6</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v>
      </c>
      <c r="C159" s="1" t="n">
        <v>46193</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51888-2021</t>
        </is>
      </c>
      <c r="B160" s="1" t="n">
        <v>44462</v>
      </c>
      <c r="C160" s="1" t="n">
        <v>46193</v>
      </c>
      <c r="D160" t="inlineStr">
        <is>
          <t>SKÅNE LÄN</t>
        </is>
      </c>
      <c r="E160" t="inlineStr">
        <is>
          <t>HÄSSLEHOLM</t>
        </is>
      </c>
      <c r="G160" t="n">
        <v>5.6</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v>
      </c>
      <c r="C161" s="1" t="n">
        <v>46193</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46193</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v>
      </c>
      <c r="C163" s="1" t="n">
        <v>46193</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46193</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46193</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219-2022</t>
        </is>
      </c>
      <c r="B166" s="1" t="n">
        <v>44564</v>
      </c>
      <c r="C166" s="1" t="n">
        <v>46193</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6048-2022</t>
        </is>
      </c>
      <c r="B167" s="1" t="n">
        <v>44599</v>
      </c>
      <c r="C167" s="1" t="n">
        <v>46193</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40734-2024</t>
        </is>
      </c>
      <c r="B168" s="1" t="n">
        <v>45558</v>
      </c>
      <c r="C168" s="1" t="n">
        <v>46193</v>
      </c>
      <c r="D168" t="inlineStr">
        <is>
          <t>SKÅNE LÄN</t>
        </is>
      </c>
      <c r="E168" t="inlineStr">
        <is>
          <t>HÄSSLEHOLM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40738-2024</t>
        </is>
      </c>
      <c r="B169" s="1" t="n">
        <v>45558</v>
      </c>
      <c r="C169" s="1" t="n">
        <v>46193</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5054-2022</t>
        </is>
      </c>
      <c r="B170" s="1" t="n">
        <v>44593</v>
      </c>
      <c r="C170" s="1" t="n">
        <v>46193</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49181-2024</t>
        </is>
      </c>
      <c r="B171" s="1" t="n">
        <v>45595</v>
      </c>
      <c r="C171" s="1" t="n">
        <v>46193</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55412-2022</t>
        </is>
      </c>
      <c r="B172" s="1" t="n">
        <v>44882</v>
      </c>
      <c r="C172" s="1" t="n">
        <v>46193</v>
      </c>
      <c r="D172" t="inlineStr">
        <is>
          <t>SKÅNE LÄN</t>
        </is>
      </c>
      <c r="E172" t="inlineStr">
        <is>
          <t>HÄSSLEHOLM</t>
        </is>
      </c>
      <c r="F172" t="inlineStr">
        <is>
          <t>Övriga Aktiebolag</t>
        </is>
      </c>
      <c r="G172" t="n">
        <v>4</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46193</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46193</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3349-2023</t>
        </is>
      </c>
      <c r="B175" s="1" t="n">
        <v>44949</v>
      </c>
      <c r="C175" s="1" t="n">
        <v>46193</v>
      </c>
      <c r="D175" t="inlineStr">
        <is>
          <t>SKÅNE LÄN</t>
        </is>
      </c>
      <c r="E175" t="inlineStr">
        <is>
          <t>HÄSSLEHOLM</t>
        </is>
      </c>
      <c r="G175" t="n">
        <v>2.3</v>
      </c>
      <c r="H175" t="n">
        <v>0</v>
      </c>
      <c r="I175" t="n">
        <v>0</v>
      </c>
      <c r="J175" t="n">
        <v>0</v>
      </c>
      <c r="K175" t="n">
        <v>0</v>
      </c>
      <c r="L175" t="n">
        <v>0</v>
      </c>
      <c r="M175" t="n">
        <v>0</v>
      </c>
      <c r="N175" t="n">
        <v>0</v>
      </c>
      <c r="O175" t="n">
        <v>0</v>
      </c>
      <c r="P175" t="n">
        <v>0</v>
      </c>
      <c r="Q175" t="n">
        <v>0</v>
      </c>
      <c r="R175" s="2" t="inlineStr"/>
    </row>
    <row r="176" ht="15" customHeight="1">
      <c r="A176" t="inlineStr">
        <is>
          <t>A 45399-2022</t>
        </is>
      </c>
      <c r="B176" s="1" t="n">
        <v>44844</v>
      </c>
      <c r="C176" s="1" t="n">
        <v>46193</v>
      </c>
      <c r="D176" t="inlineStr">
        <is>
          <t>SKÅNE LÄN</t>
        </is>
      </c>
      <c r="E176" t="inlineStr">
        <is>
          <t>HÄSSLEHOLM</t>
        </is>
      </c>
      <c r="G176" t="n">
        <v>0</v>
      </c>
      <c r="H176" t="n">
        <v>0</v>
      </c>
      <c r="I176" t="n">
        <v>0</v>
      </c>
      <c r="J176" t="n">
        <v>0</v>
      </c>
      <c r="K176" t="n">
        <v>0</v>
      </c>
      <c r="L176" t="n">
        <v>0</v>
      </c>
      <c r="M176" t="n">
        <v>0</v>
      </c>
      <c r="N176" t="n">
        <v>0</v>
      </c>
      <c r="O176" t="n">
        <v>0</v>
      </c>
      <c r="P176" t="n">
        <v>0</v>
      </c>
      <c r="Q176" t="n">
        <v>0</v>
      </c>
      <c r="R176" s="2" t="inlineStr"/>
    </row>
    <row r="177" ht="15" customHeight="1">
      <c r="A177" t="inlineStr">
        <is>
          <t>A 32881-2024</t>
        </is>
      </c>
      <c r="B177" s="1" t="n">
        <v>45516</v>
      </c>
      <c r="C177" s="1" t="n">
        <v>46193</v>
      </c>
      <c r="D177" t="inlineStr">
        <is>
          <t>SKÅNE LÄN</t>
        </is>
      </c>
      <c r="E177" t="inlineStr">
        <is>
          <t>HÄSSLEHOLM</t>
        </is>
      </c>
      <c r="G177" t="n">
        <v>6.3</v>
      </c>
      <c r="H177" t="n">
        <v>0</v>
      </c>
      <c r="I177" t="n">
        <v>0</v>
      </c>
      <c r="J177" t="n">
        <v>0</v>
      </c>
      <c r="K177" t="n">
        <v>0</v>
      </c>
      <c r="L177" t="n">
        <v>0</v>
      </c>
      <c r="M177" t="n">
        <v>0</v>
      </c>
      <c r="N177" t="n">
        <v>0</v>
      </c>
      <c r="O177" t="n">
        <v>0</v>
      </c>
      <c r="P177" t="n">
        <v>0</v>
      </c>
      <c r="Q177" t="n">
        <v>0</v>
      </c>
      <c r="R177" s="2" t="inlineStr"/>
    </row>
    <row r="178" ht="15" customHeight="1">
      <c r="A178" t="inlineStr">
        <is>
          <t>A 2743-2023</t>
        </is>
      </c>
      <c r="B178" s="1" t="n">
        <v>44944</v>
      </c>
      <c r="C178" s="1" t="n">
        <v>46193</v>
      </c>
      <c r="D178" t="inlineStr">
        <is>
          <t>SKÅNE LÄN</t>
        </is>
      </c>
      <c r="E178" t="inlineStr">
        <is>
          <t>HÄSSLEHOLM</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418-2022</t>
        </is>
      </c>
      <c r="B179" s="1" t="n">
        <v>44565</v>
      </c>
      <c r="C179" s="1" t="n">
        <v>46193</v>
      </c>
      <c r="D179" t="inlineStr">
        <is>
          <t>SKÅNE LÄN</t>
        </is>
      </c>
      <c r="E179" t="inlineStr">
        <is>
          <t>HÄSSLEHOLM</t>
        </is>
      </c>
      <c r="G179" t="n">
        <v>0</v>
      </c>
      <c r="H179" t="n">
        <v>0</v>
      </c>
      <c r="I179" t="n">
        <v>0</v>
      </c>
      <c r="J179" t="n">
        <v>0</v>
      </c>
      <c r="K179" t="n">
        <v>0</v>
      </c>
      <c r="L179" t="n">
        <v>0</v>
      </c>
      <c r="M179" t="n">
        <v>0</v>
      </c>
      <c r="N179" t="n">
        <v>0</v>
      </c>
      <c r="O179" t="n">
        <v>0</v>
      </c>
      <c r="P179" t="n">
        <v>0</v>
      </c>
      <c r="Q179" t="n">
        <v>0</v>
      </c>
      <c r="R179" s="2" t="inlineStr"/>
    </row>
    <row r="180" ht="15" customHeight="1">
      <c r="A180" t="inlineStr">
        <is>
          <t>A 60959-2022</t>
        </is>
      </c>
      <c r="B180" s="1" t="n">
        <v>44914</v>
      </c>
      <c r="C180" s="1" t="n">
        <v>46193</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62044-2022</t>
        </is>
      </c>
      <c r="B181" s="1" t="n">
        <v>44918</v>
      </c>
      <c r="C181" s="1" t="n">
        <v>46193</v>
      </c>
      <c r="D181" t="inlineStr">
        <is>
          <t>SKÅNE LÄN</t>
        </is>
      </c>
      <c r="E181" t="inlineStr">
        <is>
          <t>HÄSSLEHOLM</t>
        </is>
      </c>
      <c r="G181" t="n">
        <v>2.1</v>
      </c>
      <c r="H181" t="n">
        <v>0</v>
      </c>
      <c r="I181" t="n">
        <v>0</v>
      </c>
      <c r="J181" t="n">
        <v>0</v>
      </c>
      <c r="K181" t="n">
        <v>0</v>
      </c>
      <c r="L181" t="n">
        <v>0</v>
      </c>
      <c r="M181" t="n">
        <v>0</v>
      </c>
      <c r="N181" t="n">
        <v>0</v>
      </c>
      <c r="O181" t="n">
        <v>0</v>
      </c>
      <c r="P181" t="n">
        <v>0</v>
      </c>
      <c r="Q181" t="n">
        <v>0</v>
      </c>
      <c r="R181" s="2" t="inlineStr"/>
    </row>
    <row r="182" ht="15" customHeight="1">
      <c r="A182" t="inlineStr">
        <is>
          <t>A 6164-2023</t>
        </is>
      </c>
      <c r="B182" s="1" t="n">
        <v>44964</v>
      </c>
      <c r="C182" s="1" t="n">
        <v>46193</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3746-2024</t>
        </is>
      </c>
      <c r="B183" s="1" t="n">
        <v>45321</v>
      </c>
      <c r="C183" s="1" t="n">
        <v>46193</v>
      </c>
      <c r="D183" t="inlineStr">
        <is>
          <t>SKÅNE LÄN</t>
        </is>
      </c>
      <c r="E183" t="inlineStr">
        <is>
          <t>HÄSSLEHOLM</t>
        </is>
      </c>
      <c r="G183" t="n">
        <v>3.4</v>
      </c>
      <c r="H183" t="n">
        <v>0</v>
      </c>
      <c r="I183" t="n">
        <v>0</v>
      </c>
      <c r="J183" t="n">
        <v>0</v>
      </c>
      <c r="K183" t="n">
        <v>0</v>
      </c>
      <c r="L183" t="n">
        <v>0</v>
      </c>
      <c r="M183" t="n">
        <v>0</v>
      </c>
      <c r="N183" t="n">
        <v>0</v>
      </c>
      <c r="O183" t="n">
        <v>0</v>
      </c>
      <c r="P183" t="n">
        <v>0</v>
      </c>
      <c r="Q183" t="n">
        <v>0</v>
      </c>
      <c r="R183" s="2" t="inlineStr"/>
    </row>
    <row r="184" ht="15" customHeight="1">
      <c r="A184" t="inlineStr">
        <is>
          <t>A 7262-2022</t>
        </is>
      </c>
      <c r="B184" s="1" t="n">
        <v>44606</v>
      </c>
      <c r="C184" s="1" t="n">
        <v>46193</v>
      </c>
      <c r="D184" t="inlineStr">
        <is>
          <t>SKÅNE LÄN</t>
        </is>
      </c>
      <c r="E184" t="inlineStr">
        <is>
          <t>HÄSSLEHOLM</t>
        </is>
      </c>
      <c r="F184" t="inlineStr">
        <is>
          <t>Övriga Aktiebolag</t>
        </is>
      </c>
      <c r="G184" t="n">
        <v>1</v>
      </c>
      <c r="H184" t="n">
        <v>0</v>
      </c>
      <c r="I184" t="n">
        <v>0</v>
      </c>
      <c r="J184" t="n">
        <v>0</v>
      </c>
      <c r="K184" t="n">
        <v>0</v>
      </c>
      <c r="L184" t="n">
        <v>0</v>
      </c>
      <c r="M184" t="n">
        <v>0</v>
      </c>
      <c r="N184" t="n">
        <v>0</v>
      </c>
      <c r="O184" t="n">
        <v>0</v>
      </c>
      <c r="P184" t="n">
        <v>0</v>
      </c>
      <c r="Q184" t="n">
        <v>0</v>
      </c>
      <c r="R184" s="2" t="inlineStr"/>
    </row>
    <row r="185" ht="15" customHeight="1">
      <c r="A185" t="inlineStr">
        <is>
          <t>A 44262-2021</t>
        </is>
      </c>
      <c r="B185" s="1" t="n">
        <v>44434</v>
      </c>
      <c r="C185" s="1" t="n">
        <v>46193</v>
      </c>
      <c r="D185" t="inlineStr">
        <is>
          <t>SKÅNE LÄN</t>
        </is>
      </c>
      <c r="E185" t="inlineStr">
        <is>
          <t>HÄSSLEHOLM</t>
        </is>
      </c>
      <c r="G185" t="n">
        <v>4.7</v>
      </c>
      <c r="H185" t="n">
        <v>0</v>
      </c>
      <c r="I185" t="n">
        <v>0</v>
      </c>
      <c r="J185" t="n">
        <v>0</v>
      </c>
      <c r="K185" t="n">
        <v>0</v>
      </c>
      <c r="L185" t="n">
        <v>0</v>
      </c>
      <c r="M185" t="n">
        <v>0</v>
      </c>
      <c r="N185" t="n">
        <v>0</v>
      </c>
      <c r="O185" t="n">
        <v>0</v>
      </c>
      <c r="P185" t="n">
        <v>0</v>
      </c>
      <c r="Q185" t="n">
        <v>0</v>
      </c>
      <c r="R185" s="2" t="inlineStr"/>
    </row>
    <row r="186" ht="15" customHeight="1">
      <c r="A186" t="inlineStr">
        <is>
          <t>A 1553-2023</t>
        </is>
      </c>
      <c r="B186" s="1" t="n">
        <v>44937</v>
      </c>
      <c r="C186" s="1" t="n">
        <v>46193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37318-2024</t>
        </is>
      </c>
      <c r="B187" s="1" t="n">
        <v>45540</v>
      </c>
      <c r="C187" s="1" t="n">
        <v>46193</v>
      </c>
      <c r="D187" t="inlineStr">
        <is>
          <t>SKÅNE LÄN</t>
        </is>
      </c>
      <c r="E187" t="inlineStr">
        <is>
          <t>HÄSSLEHOLM</t>
        </is>
      </c>
      <c r="G187" t="n">
        <v>3.9</v>
      </c>
      <c r="H187" t="n">
        <v>0</v>
      </c>
      <c r="I187" t="n">
        <v>0</v>
      </c>
      <c r="J187" t="n">
        <v>0</v>
      </c>
      <c r="K187" t="n">
        <v>0</v>
      </c>
      <c r="L187" t="n">
        <v>0</v>
      </c>
      <c r="M187" t="n">
        <v>0</v>
      </c>
      <c r="N187" t="n">
        <v>0</v>
      </c>
      <c r="O187" t="n">
        <v>0</v>
      </c>
      <c r="P187" t="n">
        <v>0</v>
      </c>
      <c r="Q187" t="n">
        <v>0</v>
      </c>
      <c r="R187" s="2" t="inlineStr"/>
    </row>
    <row r="188" ht="15" customHeight="1">
      <c r="A188" t="inlineStr">
        <is>
          <t>A 37324-2024</t>
        </is>
      </c>
      <c r="B188" s="1" t="n">
        <v>45540</v>
      </c>
      <c r="C188" s="1" t="n">
        <v>46193</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25176-2024</t>
        </is>
      </c>
      <c r="B189" s="1" t="n">
        <v>45462</v>
      </c>
      <c r="C189" s="1" t="n">
        <v>46193</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3452-2023</t>
        </is>
      </c>
      <c r="B190" s="1" t="n">
        <v>44949</v>
      </c>
      <c r="C190" s="1" t="n">
        <v>46193</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2596-2024</t>
        </is>
      </c>
      <c r="B191" s="1" t="n">
        <v>45313</v>
      </c>
      <c r="C191" s="1" t="n">
        <v>46193</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2681-2024</t>
        </is>
      </c>
      <c r="B192" s="1" t="n">
        <v>45314</v>
      </c>
      <c r="C192" s="1" t="n">
        <v>46193</v>
      </c>
      <c r="D192" t="inlineStr">
        <is>
          <t>SKÅNE LÄN</t>
        </is>
      </c>
      <c r="E192" t="inlineStr">
        <is>
          <t>HÄSSLEHOLM</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4187-2023</t>
        </is>
      </c>
      <c r="B193" s="1" t="n">
        <v>44953</v>
      </c>
      <c r="C193" s="1" t="n">
        <v>46193</v>
      </c>
      <c r="D193" t="inlineStr">
        <is>
          <t>SKÅNE LÄN</t>
        </is>
      </c>
      <c r="E193" t="inlineStr">
        <is>
          <t>HÄSSLEHOLM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4382-2023</t>
        </is>
      </c>
      <c r="B194" s="1" t="n">
        <v>44955</v>
      </c>
      <c r="C194" s="1" t="n">
        <v>46193</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51893-2021</t>
        </is>
      </c>
      <c r="B195" s="1" t="n">
        <v>44462</v>
      </c>
      <c r="C195" s="1" t="n">
        <v>46193</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3726-2024</t>
        </is>
      </c>
      <c r="B196" s="1" t="n">
        <v>45321</v>
      </c>
      <c r="C196" s="1" t="n">
        <v>46193</v>
      </c>
      <c r="D196" t="inlineStr">
        <is>
          <t>SKÅNE LÄN</t>
        </is>
      </c>
      <c r="E196" t="inlineStr">
        <is>
          <t>HÄSSLEHOLM</t>
        </is>
      </c>
      <c r="G196" t="n">
        <v>0.3</v>
      </c>
      <c r="H196" t="n">
        <v>0</v>
      </c>
      <c r="I196" t="n">
        <v>0</v>
      </c>
      <c r="J196" t="n">
        <v>0</v>
      </c>
      <c r="K196" t="n">
        <v>0</v>
      </c>
      <c r="L196" t="n">
        <v>0</v>
      </c>
      <c r="M196" t="n">
        <v>0</v>
      </c>
      <c r="N196" t="n">
        <v>0</v>
      </c>
      <c r="O196" t="n">
        <v>0</v>
      </c>
      <c r="P196" t="n">
        <v>0</v>
      </c>
      <c r="Q196" t="n">
        <v>0</v>
      </c>
      <c r="R196" s="2" t="inlineStr"/>
    </row>
    <row r="197" ht="15" customHeight="1">
      <c r="A197" t="inlineStr">
        <is>
          <t>A 39044-2024</t>
        </is>
      </c>
      <c r="B197" s="1" t="n">
        <v>45548</v>
      </c>
      <c r="C197" s="1" t="n">
        <v>46193</v>
      </c>
      <c r="D197" t="inlineStr">
        <is>
          <t>SKÅNE LÄN</t>
        </is>
      </c>
      <c r="E197" t="inlineStr">
        <is>
          <t>HÄSSLEHOLM</t>
        </is>
      </c>
      <c r="G197" t="n">
        <v>2.8</v>
      </c>
      <c r="H197" t="n">
        <v>0</v>
      </c>
      <c r="I197" t="n">
        <v>0</v>
      </c>
      <c r="J197" t="n">
        <v>0</v>
      </c>
      <c r="K197" t="n">
        <v>0</v>
      </c>
      <c r="L197" t="n">
        <v>0</v>
      </c>
      <c r="M197" t="n">
        <v>0</v>
      </c>
      <c r="N197" t="n">
        <v>0</v>
      </c>
      <c r="O197" t="n">
        <v>0</v>
      </c>
      <c r="P197" t="n">
        <v>0</v>
      </c>
      <c r="Q197" t="n">
        <v>0</v>
      </c>
      <c r="R197" s="2" t="inlineStr"/>
    </row>
    <row r="198" ht="15" customHeight="1">
      <c r="A198" t="inlineStr">
        <is>
          <t>A 64826-2021</t>
        </is>
      </c>
      <c r="B198" s="1" t="n">
        <v>44512</v>
      </c>
      <c r="C198" s="1" t="n">
        <v>46193</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v>
      </c>
      <c r="C199" s="1" t="n">
        <v>46193</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49107-2023</t>
        </is>
      </c>
      <c r="B200" s="1" t="n">
        <v>45210</v>
      </c>
      <c r="C200" s="1" t="n">
        <v>46193</v>
      </c>
      <c r="D200" t="inlineStr">
        <is>
          <t>SKÅNE LÄN</t>
        </is>
      </c>
      <c r="E200" t="inlineStr">
        <is>
          <t>HÄSSLEHOLM</t>
        </is>
      </c>
      <c r="G200" t="n">
        <v>0.3</v>
      </c>
      <c r="H200" t="n">
        <v>0</v>
      </c>
      <c r="I200" t="n">
        <v>0</v>
      </c>
      <c r="J200" t="n">
        <v>0</v>
      </c>
      <c r="K200" t="n">
        <v>0</v>
      </c>
      <c r="L200" t="n">
        <v>0</v>
      </c>
      <c r="M200" t="n">
        <v>0</v>
      </c>
      <c r="N200" t="n">
        <v>0</v>
      </c>
      <c r="O200" t="n">
        <v>0</v>
      </c>
      <c r="P200" t="n">
        <v>0</v>
      </c>
      <c r="Q200" t="n">
        <v>0</v>
      </c>
      <c r="R200" s="2" t="inlineStr"/>
    </row>
    <row r="201" ht="15" customHeight="1">
      <c r="A201" t="inlineStr">
        <is>
          <t>A 5282-2023</t>
        </is>
      </c>
      <c r="B201" s="1" t="n">
        <v>44959</v>
      </c>
      <c r="C201" s="1" t="n">
        <v>46193</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14255-2024</t>
        </is>
      </c>
      <c r="B202" s="1" t="n">
        <v>45393</v>
      </c>
      <c r="C202" s="1" t="n">
        <v>46193</v>
      </c>
      <c r="D202" t="inlineStr">
        <is>
          <t>SKÅNE LÄN</t>
        </is>
      </c>
      <c r="E202" t="inlineStr">
        <is>
          <t>HÄSSLEHOLM</t>
        </is>
      </c>
      <c r="G202" t="n">
        <v>11.9</v>
      </c>
      <c r="H202" t="n">
        <v>0</v>
      </c>
      <c r="I202" t="n">
        <v>0</v>
      </c>
      <c r="J202" t="n">
        <v>0</v>
      </c>
      <c r="K202" t="n">
        <v>0</v>
      </c>
      <c r="L202" t="n">
        <v>0</v>
      </c>
      <c r="M202" t="n">
        <v>0</v>
      </c>
      <c r="N202" t="n">
        <v>0</v>
      </c>
      <c r="O202" t="n">
        <v>0</v>
      </c>
      <c r="P202" t="n">
        <v>0</v>
      </c>
      <c r="Q202" t="n">
        <v>0</v>
      </c>
      <c r="R202" s="2" t="inlineStr"/>
    </row>
    <row r="203" ht="15" customHeight="1">
      <c r="A203" t="inlineStr">
        <is>
          <t>A 53897-2023</t>
        </is>
      </c>
      <c r="B203" s="1" t="n">
        <v>45231</v>
      </c>
      <c r="C203" s="1" t="n">
        <v>46193</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20058-2023</t>
        </is>
      </c>
      <c r="B204" s="1" t="n">
        <v>45054</v>
      </c>
      <c r="C204" s="1" t="n">
        <v>46193</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10897-2023</t>
        </is>
      </c>
      <c r="B205" s="1" t="n">
        <v>44985</v>
      </c>
      <c r="C205" s="1" t="n">
        <v>46193</v>
      </c>
      <c r="D205" t="inlineStr">
        <is>
          <t>SKÅNE LÄN</t>
        </is>
      </c>
      <c r="E205" t="inlineStr">
        <is>
          <t>HÄSSLEHOLM</t>
        </is>
      </c>
      <c r="G205" t="n">
        <v>0.7</v>
      </c>
      <c r="H205" t="n">
        <v>0</v>
      </c>
      <c r="I205" t="n">
        <v>0</v>
      </c>
      <c r="J205" t="n">
        <v>0</v>
      </c>
      <c r="K205" t="n">
        <v>0</v>
      </c>
      <c r="L205" t="n">
        <v>0</v>
      </c>
      <c r="M205" t="n">
        <v>0</v>
      </c>
      <c r="N205" t="n">
        <v>0</v>
      </c>
      <c r="O205" t="n">
        <v>0</v>
      </c>
      <c r="P205" t="n">
        <v>0</v>
      </c>
      <c r="Q205" t="n">
        <v>0</v>
      </c>
      <c r="R205" s="2" t="inlineStr"/>
    </row>
    <row r="206" ht="15" customHeight="1">
      <c r="A206" t="inlineStr">
        <is>
          <t>A 20990-2023</t>
        </is>
      </c>
      <c r="B206" s="1" t="n">
        <v>45061</v>
      </c>
      <c r="C206" s="1" t="n">
        <v>46193</v>
      </c>
      <c r="D206" t="inlineStr">
        <is>
          <t>SKÅNE LÄN</t>
        </is>
      </c>
      <c r="E206" t="inlineStr">
        <is>
          <t>HÄSSLEHOLM</t>
        </is>
      </c>
      <c r="G206" t="n">
        <v>2.8</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46193</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46193</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16108-2025</t>
        </is>
      </c>
      <c r="B209" s="1" t="n">
        <v>45750</v>
      </c>
      <c r="C209" s="1" t="n">
        <v>46193</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22696-2023</t>
        </is>
      </c>
      <c r="B210" s="1" t="n">
        <v>45071</v>
      </c>
      <c r="C210" s="1" t="n">
        <v>46193</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30344-2022</t>
        </is>
      </c>
      <c r="B211" s="1" t="n">
        <v>44760</v>
      </c>
      <c r="C211" s="1" t="n">
        <v>46193</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33873-2021</t>
        </is>
      </c>
      <c r="B212" s="1" t="n">
        <v>44378</v>
      </c>
      <c r="C212" s="1" t="n">
        <v>46193</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56986-2024</t>
        </is>
      </c>
      <c r="B213" s="1" t="n">
        <v>45626</v>
      </c>
      <c r="C213" s="1" t="n">
        <v>46193</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49111-2023</t>
        </is>
      </c>
      <c r="B214" s="1" t="n">
        <v>45210</v>
      </c>
      <c r="C214" s="1" t="n">
        <v>46193</v>
      </c>
      <c r="D214" t="inlineStr">
        <is>
          <t>SKÅNE LÄN</t>
        </is>
      </c>
      <c r="E214" t="inlineStr">
        <is>
          <t>HÄSSLEHOLM</t>
        </is>
      </c>
      <c r="G214" t="n">
        <v>0.2</v>
      </c>
      <c r="H214" t="n">
        <v>0</v>
      </c>
      <c r="I214" t="n">
        <v>0</v>
      </c>
      <c r="J214" t="n">
        <v>0</v>
      </c>
      <c r="K214" t="n">
        <v>0</v>
      </c>
      <c r="L214" t="n">
        <v>0</v>
      </c>
      <c r="M214" t="n">
        <v>0</v>
      </c>
      <c r="N214" t="n">
        <v>0</v>
      </c>
      <c r="O214" t="n">
        <v>0</v>
      </c>
      <c r="P214" t="n">
        <v>0</v>
      </c>
      <c r="Q214" t="n">
        <v>0</v>
      </c>
      <c r="R214" s="2" t="inlineStr"/>
    </row>
    <row r="215" ht="15" customHeight="1">
      <c r="A215" t="inlineStr">
        <is>
          <t>A 34348-2022</t>
        </is>
      </c>
      <c r="B215" s="1" t="n">
        <v>44792</v>
      </c>
      <c r="C215" s="1" t="n">
        <v>46193</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56527-2021</t>
        </is>
      </c>
      <c r="B216" s="1" t="n">
        <v>44480</v>
      </c>
      <c r="C216" s="1" t="n">
        <v>46193</v>
      </c>
      <c r="D216" t="inlineStr">
        <is>
          <t>SKÅNE LÄN</t>
        </is>
      </c>
      <c r="E216" t="inlineStr">
        <is>
          <t>HÄSSLEHOLM</t>
        </is>
      </c>
      <c r="F216" t="inlineStr">
        <is>
          <t>Kyrkan</t>
        </is>
      </c>
      <c r="G216" t="n">
        <v>2.7</v>
      </c>
      <c r="H216" t="n">
        <v>0</v>
      </c>
      <c r="I216" t="n">
        <v>0</v>
      </c>
      <c r="J216" t="n">
        <v>0</v>
      </c>
      <c r="K216" t="n">
        <v>0</v>
      </c>
      <c r="L216" t="n">
        <v>0</v>
      </c>
      <c r="M216" t="n">
        <v>0</v>
      </c>
      <c r="N216" t="n">
        <v>0</v>
      </c>
      <c r="O216" t="n">
        <v>0</v>
      </c>
      <c r="P216" t="n">
        <v>0</v>
      </c>
      <c r="Q216" t="n">
        <v>0</v>
      </c>
      <c r="R216" s="2" t="inlineStr"/>
    </row>
    <row r="217" ht="15" customHeight="1">
      <c r="A217" t="inlineStr">
        <is>
          <t>A 6836-2023</t>
        </is>
      </c>
      <c r="B217" s="1" t="n">
        <v>44967</v>
      </c>
      <c r="C217" s="1" t="n">
        <v>46193</v>
      </c>
      <c r="D217" t="inlineStr">
        <is>
          <t>SKÅNE LÄN</t>
        </is>
      </c>
      <c r="E217" t="inlineStr">
        <is>
          <t>HÄSSLEHOLM</t>
        </is>
      </c>
      <c r="G217" t="n">
        <v>3.5</v>
      </c>
      <c r="H217" t="n">
        <v>0</v>
      </c>
      <c r="I217" t="n">
        <v>0</v>
      </c>
      <c r="J217" t="n">
        <v>0</v>
      </c>
      <c r="K217" t="n">
        <v>0</v>
      </c>
      <c r="L217" t="n">
        <v>0</v>
      </c>
      <c r="M217" t="n">
        <v>0</v>
      </c>
      <c r="N217" t="n">
        <v>0</v>
      </c>
      <c r="O217" t="n">
        <v>0</v>
      </c>
      <c r="P217" t="n">
        <v>0</v>
      </c>
      <c r="Q217" t="n">
        <v>0</v>
      </c>
      <c r="R217" s="2" t="inlineStr"/>
    </row>
    <row r="218" ht="15" customHeight="1">
      <c r="A218" t="inlineStr">
        <is>
          <t>A 31931-2024</t>
        </is>
      </c>
      <c r="B218" s="1" t="n">
        <v>45510</v>
      </c>
      <c r="C218" s="1" t="n">
        <v>46193</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8803-2023</t>
        </is>
      </c>
      <c r="B219" s="1" t="n">
        <v>44978</v>
      </c>
      <c r="C219" s="1" t="n">
        <v>46193</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3992-2022</t>
        </is>
      </c>
      <c r="B220" s="1" t="n">
        <v>44587</v>
      </c>
      <c r="C220" s="1" t="n">
        <v>46193</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11681-2023</t>
        </is>
      </c>
      <c r="B221" s="1" t="n">
        <v>44992</v>
      </c>
      <c r="C221" s="1" t="n">
        <v>46193</v>
      </c>
      <c r="D221" t="inlineStr">
        <is>
          <t>SKÅNE LÄN</t>
        </is>
      </c>
      <c r="E221" t="inlineStr">
        <is>
          <t>HÄSSLEHOLM</t>
        </is>
      </c>
      <c r="F221" t="inlineStr">
        <is>
          <t>Övriga Aktiebolag</t>
        </is>
      </c>
      <c r="G221" t="n">
        <v>1.6</v>
      </c>
      <c r="H221" t="n">
        <v>0</v>
      </c>
      <c r="I221" t="n">
        <v>0</v>
      </c>
      <c r="J221" t="n">
        <v>0</v>
      </c>
      <c r="K221" t="n">
        <v>0</v>
      </c>
      <c r="L221" t="n">
        <v>0</v>
      </c>
      <c r="M221" t="n">
        <v>0</v>
      </c>
      <c r="N221" t="n">
        <v>0</v>
      </c>
      <c r="O221" t="n">
        <v>0</v>
      </c>
      <c r="P221" t="n">
        <v>0</v>
      </c>
      <c r="Q221" t="n">
        <v>0</v>
      </c>
      <c r="R221" s="2" t="inlineStr"/>
    </row>
    <row r="222" ht="15" customHeight="1">
      <c r="A222" t="inlineStr">
        <is>
          <t>A 25955-2022</t>
        </is>
      </c>
      <c r="B222" s="1" t="n">
        <v>44734</v>
      </c>
      <c r="C222" s="1" t="n">
        <v>46193</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46222-2022</t>
        </is>
      </c>
      <c r="B223" s="1" t="n">
        <v>44847</v>
      </c>
      <c r="C223" s="1" t="n">
        <v>46193</v>
      </c>
      <c r="D223" t="inlineStr">
        <is>
          <t>SKÅNE LÄN</t>
        </is>
      </c>
      <c r="E223" t="inlineStr">
        <is>
          <t>HÄSSLEHOLM</t>
        </is>
      </c>
      <c r="G223" t="n">
        <v>6.3</v>
      </c>
      <c r="H223" t="n">
        <v>0</v>
      </c>
      <c r="I223" t="n">
        <v>0</v>
      </c>
      <c r="J223" t="n">
        <v>0</v>
      </c>
      <c r="K223" t="n">
        <v>0</v>
      </c>
      <c r="L223" t="n">
        <v>0</v>
      </c>
      <c r="M223" t="n">
        <v>0</v>
      </c>
      <c r="N223" t="n">
        <v>0</v>
      </c>
      <c r="O223" t="n">
        <v>0</v>
      </c>
      <c r="P223" t="n">
        <v>0</v>
      </c>
      <c r="Q223" t="n">
        <v>0</v>
      </c>
      <c r="R223" s="2" t="inlineStr"/>
    </row>
    <row r="224" ht="15" customHeight="1">
      <c r="A224" t="inlineStr">
        <is>
          <t>A 45357-2022</t>
        </is>
      </c>
      <c r="B224" s="1" t="n">
        <v>44844</v>
      </c>
      <c r="C224" s="1" t="n">
        <v>46193</v>
      </c>
      <c r="D224" t="inlineStr">
        <is>
          <t>SKÅNE LÄN</t>
        </is>
      </c>
      <c r="E224" t="inlineStr">
        <is>
          <t>HÄSSLEHOLM</t>
        </is>
      </c>
      <c r="G224" t="n">
        <v>5.8</v>
      </c>
      <c r="H224" t="n">
        <v>0</v>
      </c>
      <c r="I224" t="n">
        <v>0</v>
      </c>
      <c r="J224" t="n">
        <v>0</v>
      </c>
      <c r="K224" t="n">
        <v>0</v>
      </c>
      <c r="L224" t="n">
        <v>0</v>
      </c>
      <c r="M224" t="n">
        <v>0</v>
      </c>
      <c r="N224" t="n">
        <v>0</v>
      </c>
      <c r="O224" t="n">
        <v>0</v>
      </c>
      <c r="P224" t="n">
        <v>0</v>
      </c>
      <c r="Q224" t="n">
        <v>0</v>
      </c>
      <c r="R224" s="2" t="inlineStr"/>
    </row>
    <row r="225" ht="15" customHeight="1">
      <c r="A225" t="inlineStr">
        <is>
          <t>A 20657-2022</t>
        </is>
      </c>
      <c r="B225" s="1" t="n">
        <v>44700</v>
      </c>
      <c r="C225" s="1" t="n">
        <v>46193</v>
      </c>
      <c r="D225" t="inlineStr">
        <is>
          <t>SKÅNE LÄN</t>
        </is>
      </c>
      <c r="E225" t="inlineStr">
        <is>
          <t>HÄSSLEHOLM</t>
        </is>
      </c>
      <c r="G225" t="n">
        <v>3.8</v>
      </c>
      <c r="H225" t="n">
        <v>0</v>
      </c>
      <c r="I225" t="n">
        <v>0</v>
      </c>
      <c r="J225" t="n">
        <v>0</v>
      </c>
      <c r="K225" t="n">
        <v>0</v>
      </c>
      <c r="L225" t="n">
        <v>0</v>
      </c>
      <c r="M225" t="n">
        <v>0</v>
      </c>
      <c r="N225" t="n">
        <v>0</v>
      </c>
      <c r="O225" t="n">
        <v>0</v>
      </c>
      <c r="P225" t="n">
        <v>0</v>
      </c>
      <c r="Q225" t="n">
        <v>0</v>
      </c>
      <c r="R225" s="2" t="inlineStr"/>
    </row>
    <row r="226" ht="15" customHeight="1">
      <c r="A226" t="inlineStr">
        <is>
          <t>A 34299-2024</t>
        </is>
      </c>
      <c r="B226" s="1" t="n">
        <v>45524</v>
      </c>
      <c r="C226" s="1" t="n">
        <v>46193</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50249-2024</t>
        </is>
      </c>
      <c r="B227" s="1" t="n">
        <v>45600</v>
      </c>
      <c r="C227" s="1" t="n">
        <v>46193</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60846-2022</t>
        </is>
      </c>
      <c r="B228" s="1" t="n">
        <v>44914</v>
      </c>
      <c r="C228" s="1" t="n">
        <v>46193</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60843-2022</t>
        </is>
      </c>
      <c r="B229" s="1" t="n">
        <v>44914</v>
      </c>
      <c r="C229" s="1" t="n">
        <v>46193</v>
      </c>
      <c r="D229" t="inlineStr">
        <is>
          <t>SKÅNE LÄN</t>
        </is>
      </c>
      <c r="E229" t="inlineStr">
        <is>
          <t>HÄSSLEHOLM</t>
        </is>
      </c>
      <c r="G229" t="n">
        <v>2.2</v>
      </c>
      <c r="H229" t="n">
        <v>0</v>
      </c>
      <c r="I229" t="n">
        <v>0</v>
      </c>
      <c r="J229" t="n">
        <v>0</v>
      </c>
      <c r="K229" t="n">
        <v>0</v>
      </c>
      <c r="L229" t="n">
        <v>0</v>
      </c>
      <c r="M229" t="n">
        <v>0</v>
      </c>
      <c r="N229" t="n">
        <v>0</v>
      </c>
      <c r="O229" t="n">
        <v>0</v>
      </c>
      <c r="P229" t="n">
        <v>0</v>
      </c>
      <c r="Q229" t="n">
        <v>0</v>
      </c>
      <c r="R229" s="2" t="inlineStr"/>
    </row>
    <row r="230" ht="15" customHeight="1">
      <c r="A230" t="inlineStr">
        <is>
          <t>A 51040-2024</t>
        </is>
      </c>
      <c r="B230" s="1" t="n">
        <v>45603</v>
      </c>
      <c r="C230" s="1" t="n">
        <v>46193</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56881-2021</t>
        </is>
      </c>
      <c r="B231" s="1" t="n">
        <v>44481</v>
      </c>
      <c r="C231" s="1" t="n">
        <v>46193</v>
      </c>
      <c r="D231" t="inlineStr">
        <is>
          <t>SKÅNE LÄN</t>
        </is>
      </c>
      <c r="E231" t="inlineStr">
        <is>
          <t>HÄSSLEHOLM</t>
        </is>
      </c>
      <c r="G231" t="n">
        <v>0.4</v>
      </c>
      <c r="H231" t="n">
        <v>0</v>
      </c>
      <c r="I231" t="n">
        <v>0</v>
      </c>
      <c r="J231" t="n">
        <v>0</v>
      </c>
      <c r="K231" t="n">
        <v>0</v>
      </c>
      <c r="L231" t="n">
        <v>0</v>
      </c>
      <c r="M231" t="n">
        <v>0</v>
      </c>
      <c r="N231" t="n">
        <v>0</v>
      </c>
      <c r="O231" t="n">
        <v>0</v>
      </c>
      <c r="P231" t="n">
        <v>0</v>
      </c>
      <c r="Q231" t="n">
        <v>0</v>
      </c>
      <c r="R231" s="2" t="inlineStr"/>
    </row>
    <row r="232" ht="15" customHeight="1">
      <c r="A232" t="inlineStr">
        <is>
          <t>A 54408-2024</t>
        </is>
      </c>
      <c r="B232" s="1" t="n">
        <v>45617</v>
      </c>
      <c r="C232" s="1" t="n">
        <v>46193</v>
      </c>
      <c r="D232" t="inlineStr">
        <is>
          <t>SKÅNE LÄN</t>
        </is>
      </c>
      <c r="E232" t="inlineStr">
        <is>
          <t>HÄSSLEHOLM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14008-2023</t>
        </is>
      </c>
      <c r="B233" s="1" t="n">
        <v>45008</v>
      </c>
      <c r="C233" s="1" t="n">
        <v>46193</v>
      </c>
      <c r="D233" t="inlineStr">
        <is>
          <t>SKÅNE LÄN</t>
        </is>
      </c>
      <c r="E233" t="inlineStr">
        <is>
          <t>HÄSSLEHOLM</t>
        </is>
      </c>
      <c r="G233" t="n">
        <v>3.3</v>
      </c>
      <c r="H233" t="n">
        <v>0</v>
      </c>
      <c r="I233" t="n">
        <v>0</v>
      </c>
      <c r="J233" t="n">
        <v>0</v>
      </c>
      <c r="K233" t="n">
        <v>0</v>
      </c>
      <c r="L233" t="n">
        <v>0</v>
      </c>
      <c r="M233" t="n">
        <v>0</v>
      </c>
      <c r="N233" t="n">
        <v>0</v>
      </c>
      <c r="O233" t="n">
        <v>0</v>
      </c>
      <c r="P233" t="n">
        <v>0</v>
      </c>
      <c r="Q233" t="n">
        <v>0</v>
      </c>
      <c r="R233" s="2" t="inlineStr"/>
    </row>
    <row r="234" ht="15" customHeight="1">
      <c r="A234" t="inlineStr">
        <is>
          <t>A 56956-2024</t>
        </is>
      </c>
      <c r="B234" s="1" t="n">
        <v>45626</v>
      </c>
      <c r="C234" s="1" t="n">
        <v>46193</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20493-2024</t>
        </is>
      </c>
      <c r="B235" s="1" t="n">
        <v>45435</v>
      </c>
      <c r="C235" s="1" t="n">
        <v>46193</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45392-2024</t>
        </is>
      </c>
      <c r="B236" s="1" t="n">
        <v>45576</v>
      </c>
      <c r="C236" s="1" t="n">
        <v>46193</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20187-2023</t>
        </is>
      </c>
      <c r="B237" s="1" t="n">
        <v>45055</v>
      </c>
      <c r="C237" s="1" t="n">
        <v>46193</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45989-2021</t>
        </is>
      </c>
      <c r="B238" s="1" t="n">
        <v>44441</v>
      </c>
      <c r="C238" s="1" t="n">
        <v>46193</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7306-2025</t>
        </is>
      </c>
      <c r="B239" s="1" t="n">
        <v>45702</v>
      </c>
      <c r="C239" s="1" t="n">
        <v>46193</v>
      </c>
      <c r="D239" t="inlineStr">
        <is>
          <t>SKÅNE LÄN</t>
        </is>
      </c>
      <c r="E239" t="inlineStr">
        <is>
          <t>HÄSSLEHOLM</t>
        </is>
      </c>
      <c r="F239" t="inlineStr">
        <is>
          <t>Övriga Aktiebolag</t>
        </is>
      </c>
      <c r="G239" t="n">
        <v>3.3</v>
      </c>
      <c r="H239" t="n">
        <v>0</v>
      </c>
      <c r="I239" t="n">
        <v>0</v>
      </c>
      <c r="J239" t="n">
        <v>0</v>
      </c>
      <c r="K239" t="n">
        <v>0</v>
      </c>
      <c r="L239" t="n">
        <v>0</v>
      </c>
      <c r="M239" t="n">
        <v>0</v>
      </c>
      <c r="N239" t="n">
        <v>0</v>
      </c>
      <c r="O239" t="n">
        <v>0</v>
      </c>
      <c r="P239" t="n">
        <v>0</v>
      </c>
      <c r="Q239" t="n">
        <v>0</v>
      </c>
      <c r="R239" s="2" t="inlineStr"/>
    </row>
    <row r="240" ht="15" customHeight="1">
      <c r="A240" t="inlineStr">
        <is>
          <t>A 7308-2025</t>
        </is>
      </c>
      <c r="B240" s="1" t="n">
        <v>45702</v>
      </c>
      <c r="C240" s="1" t="n">
        <v>46193</v>
      </c>
      <c r="D240" t="inlineStr">
        <is>
          <t>SKÅNE LÄN</t>
        </is>
      </c>
      <c r="E240" t="inlineStr">
        <is>
          <t>HÄSSLEHOLM</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41874-2024</t>
        </is>
      </c>
      <c r="B241" s="1" t="n">
        <v>45561</v>
      </c>
      <c r="C241" s="1" t="n">
        <v>46193</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11798-2022</t>
        </is>
      </c>
      <c r="B242" s="1" t="n">
        <v>44634</v>
      </c>
      <c r="C242" s="1" t="n">
        <v>46193</v>
      </c>
      <c r="D242" t="inlineStr">
        <is>
          <t>SKÅNE LÄN</t>
        </is>
      </c>
      <c r="E242" t="inlineStr">
        <is>
          <t>HÄSSLEHOLM</t>
        </is>
      </c>
      <c r="G242" t="n">
        <v>2.8</v>
      </c>
      <c r="H242" t="n">
        <v>0</v>
      </c>
      <c r="I242" t="n">
        <v>0</v>
      </c>
      <c r="J242" t="n">
        <v>0</v>
      </c>
      <c r="K242" t="n">
        <v>0</v>
      </c>
      <c r="L242" t="n">
        <v>0</v>
      </c>
      <c r="M242" t="n">
        <v>0</v>
      </c>
      <c r="N242" t="n">
        <v>0</v>
      </c>
      <c r="O242" t="n">
        <v>0</v>
      </c>
      <c r="P242" t="n">
        <v>0</v>
      </c>
      <c r="Q242" t="n">
        <v>0</v>
      </c>
      <c r="R242" s="2" t="inlineStr"/>
    </row>
    <row r="243" ht="15" customHeight="1">
      <c r="A243" t="inlineStr">
        <is>
          <t>A 26642-2023</t>
        </is>
      </c>
      <c r="B243" s="1" t="n">
        <v>45092</v>
      </c>
      <c r="C243" s="1" t="n">
        <v>46193</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37038-2022</t>
        </is>
      </c>
      <c r="B244" s="1" t="n">
        <v>44806</v>
      </c>
      <c r="C244" s="1" t="n">
        <v>46193</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39223-2024</t>
        </is>
      </c>
      <c r="B245" s="1" t="n">
        <v>45550</v>
      </c>
      <c r="C245" s="1" t="n">
        <v>46193</v>
      </c>
      <c r="D245" t="inlineStr">
        <is>
          <t>SKÅNE LÄN</t>
        </is>
      </c>
      <c r="E245" t="inlineStr">
        <is>
          <t>HÄSSLEHOLM</t>
        </is>
      </c>
      <c r="G245" t="n">
        <v>3.1</v>
      </c>
      <c r="H245" t="n">
        <v>0</v>
      </c>
      <c r="I245" t="n">
        <v>0</v>
      </c>
      <c r="J245" t="n">
        <v>0</v>
      </c>
      <c r="K245" t="n">
        <v>0</v>
      </c>
      <c r="L245" t="n">
        <v>0</v>
      </c>
      <c r="M245" t="n">
        <v>0</v>
      </c>
      <c r="N245" t="n">
        <v>0</v>
      </c>
      <c r="O245" t="n">
        <v>0</v>
      </c>
      <c r="P245" t="n">
        <v>0</v>
      </c>
      <c r="Q245" t="n">
        <v>0</v>
      </c>
      <c r="R245" s="2" t="inlineStr"/>
    </row>
    <row r="246" ht="15" customHeight="1">
      <c r="A246" t="inlineStr">
        <is>
          <t>A 16454-2023</t>
        </is>
      </c>
      <c r="B246" s="1" t="n">
        <v>45029</v>
      </c>
      <c r="C246" s="1" t="n">
        <v>46193</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31572-2022</t>
        </is>
      </c>
      <c r="B247" s="1" t="n">
        <v>44775</v>
      </c>
      <c r="C247" s="1" t="n">
        <v>46193</v>
      </c>
      <c r="D247" t="inlineStr">
        <is>
          <t>SKÅNE LÄN</t>
        </is>
      </c>
      <c r="E247" t="inlineStr">
        <is>
          <t>HÄSSLEHOLM</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46193</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5016-2024</t>
        </is>
      </c>
      <c r="B249" s="1" t="n">
        <v>45329</v>
      </c>
      <c r="C249" s="1" t="n">
        <v>46193</v>
      </c>
      <c r="D249" t="inlineStr">
        <is>
          <t>SKÅNE LÄN</t>
        </is>
      </c>
      <c r="E249" t="inlineStr">
        <is>
          <t>HÄSSLEHOLM</t>
        </is>
      </c>
      <c r="G249" t="n">
        <v>3.2</v>
      </c>
      <c r="H249" t="n">
        <v>0</v>
      </c>
      <c r="I249" t="n">
        <v>0</v>
      </c>
      <c r="J249" t="n">
        <v>0</v>
      </c>
      <c r="K249" t="n">
        <v>0</v>
      </c>
      <c r="L249" t="n">
        <v>0</v>
      </c>
      <c r="M249" t="n">
        <v>0</v>
      </c>
      <c r="N249" t="n">
        <v>0</v>
      </c>
      <c r="O249" t="n">
        <v>0</v>
      </c>
      <c r="P249" t="n">
        <v>0</v>
      </c>
      <c r="Q249" t="n">
        <v>0</v>
      </c>
      <c r="R249" s="2" t="inlineStr"/>
    </row>
    <row r="250" ht="15" customHeight="1">
      <c r="A250" t="inlineStr">
        <is>
          <t>A 9375-2023</t>
        </is>
      </c>
      <c r="B250" s="1" t="n">
        <v>44981</v>
      </c>
      <c r="C250" s="1" t="n">
        <v>46193</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29287-2023</t>
        </is>
      </c>
      <c r="B251" s="1" t="n">
        <v>45098</v>
      </c>
      <c r="C251" s="1" t="n">
        <v>46193</v>
      </c>
      <c r="D251" t="inlineStr">
        <is>
          <t>SKÅNE LÄN</t>
        </is>
      </c>
      <c r="E251" t="inlineStr">
        <is>
          <t>HÄSSLEHOLM</t>
        </is>
      </c>
      <c r="G251" t="n">
        <v>5.7</v>
      </c>
      <c r="H251" t="n">
        <v>0</v>
      </c>
      <c r="I251" t="n">
        <v>0</v>
      </c>
      <c r="J251" t="n">
        <v>0</v>
      </c>
      <c r="K251" t="n">
        <v>0</v>
      </c>
      <c r="L251" t="n">
        <v>0</v>
      </c>
      <c r="M251" t="n">
        <v>0</v>
      </c>
      <c r="N251" t="n">
        <v>0</v>
      </c>
      <c r="O251" t="n">
        <v>0</v>
      </c>
      <c r="P251" t="n">
        <v>0</v>
      </c>
      <c r="Q251" t="n">
        <v>0</v>
      </c>
      <c r="R251" s="2" t="inlineStr"/>
    </row>
    <row r="252" ht="15" customHeight="1">
      <c r="A252" t="inlineStr">
        <is>
          <t>A 4512-2024</t>
        </is>
      </c>
      <c r="B252" s="1" t="n">
        <v>45327</v>
      </c>
      <c r="C252" s="1" t="n">
        <v>46193</v>
      </c>
      <c r="D252" t="inlineStr">
        <is>
          <t>SKÅNE LÄN</t>
        </is>
      </c>
      <c r="E252" t="inlineStr">
        <is>
          <t>HÄSSLEHOLM</t>
        </is>
      </c>
      <c r="G252" t="n">
        <v>2</v>
      </c>
      <c r="H252" t="n">
        <v>0</v>
      </c>
      <c r="I252" t="n">
        <v>0</v>
      </c>
      <c r="J252" t="n">
        <v>0</v>
      </c>
      <c r="K252" t="n">
        <v>0</v>
      </c>
      <c r="L252" t="n">
        <v>0</v>
      </c>
      <c r="M252" t="n">
        <v>0</v>
      </c>
      <c r="N252" t="n">
        <v>0</v>
      </c>
      <c r="O252" t="n">
        <v>0</v>
      </c>
      <c r="P252" t="n">
        <v>0</v>
      </c>
      <c r="Q252" t="n">
        <v>0</v>
      </c>
      <c r="R252" s="2" t="inlineStr"/>
    </row>
    <row r="253" ht="15" customHeight="1">
      <c r="A253" t="inlineStr">
        <is>
          <t>A 14700-2023</t>
        </is>
      </c>
      <c r="B253" s="1" t="n">
        <v>45014</v>
      </c>
      <c r="C253" s="1" t="n">
        <v>46193</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3531-2023</t>
        </is>
      </c>
      <c r="B254" s="1" t="n">
        <v>44950</v>
      </c>
      <c r="C254" s="1" t="n">
        <v>46193</v>
      </c>
      <c r="D254" t="inlineStr">
        <is>
          <t>SKÅNE LÄN</t>
        </is>
      </c>
      <c r="E254" t="inlineStr">
        <is>
          <t>HÄSSLEHOLM</t>
        </is>
      </c>
      <c r="G254" t="n">
        <v>10.1</v>
      </c>
      <c r="H254" t="n">
        <v>0</v>
      </c>
      <c r="I254" t="n">
        <v>0</v>
      </c>
      <c r="J254" t="n">
        <v>0</v>
      </c>
      <c r="K254" t="n">
        <v>0</v>
      </c>
      <c r="L254" t="n">
        <v>0</v>
      </c>
      <c r="M254" t="n">
        <v>0</v>
      </c>
      <c r="N254" t="n">
        <v>0</v>
      </c>
      <c r="O254" t="n">
        <v>0</v>
      </c>
      <c r="P254" t="n">
        <v>0</v>
      </c>
      <c r="Q254" t="n">
        <v>0</v>
      </c>
      <c r="R254" s="2" t="inlineStr"/>
    </row>
    <row r="255" ht="15" customHeight="1">
      <c r="A255" t="inlineStr">
        <is>
          <t>A 4916-2024</t>
        </is>
      </c>
      <c r="B255" s="1" t="n">
        <v>45329</v>
      </c>
      <c r="C255" s="1" t="n">
        <v>46193</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4579-2025</t>
        </is>
      </c>
      <c r="B256" s="1" t="n">
        <v>45687</v>
      </c>
      <c r="C256" s="1" t="n">
        <v>46193</v>
      </c>
      <c r="D256" t="inlineStr">
        <is>
          <t>SKÅNE LÄN</t>
        </is>
      </c>
      <c r="E256" t="inlineStr">
        <is>
          <t>HÄSSLEHOLM</t>
        </is>
      </c>
      <c r="G256" t="n">
        <v>2.8</v>
      </c>
      <c r="H256" t="n">
        <v>0</v>
      </c>
      <c r="I256" t="n">
        <v>0</v>
      </c>
      <c r="J256" t="n">
        <v>0</v>
      </c>
      <c r="K256" t="n">
        <v>0</v>
      </c>
      <c r="L256" t="n">
        <v>0</v>
      </c>
      <c r="M256" t="n">
        <v>0</v>
      </c>
      <c r="N256" t="n">
        <v>0</v>
      </c>
      <c r="O256" t="n">
        <v>0</v>
      </c>
      <c r="P256" t="n">
        <v>0</v>
      </c>
      <c r="Q256" t="n">
        <v>0</v>
      </c>
      <c r="R256" s="2" t="inlineStr"/>
    </row>
    <row r="257" ht="15" customHeight="1">
      <c r="A257" t="inlineStr">
        <is>
          <t>A 55416-2021</t>
        </is>
      </c>
      <c r="B257" s="1" t="n">
        <v>44475</v>
      </c>
      <c r="C257" s="1" t="n">
        <v>46193</v>
      </c>
      <c r="D257" t="inlineStr">
        <is>
          <t>SKÅNE LÄN</t>
        </is>
      </c>
      <c r="E257" t="inlineStr">
        <is>
          <t>HÄSSLEHOLM</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18623-2023</t>
        </is>
      </c>
      <c r="B258" s="1" t="n">
        <v>45043</v>
      </c>
      <c r="C258" s="1" t="n">
        <v>46193</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60509-2023</t>
        </is>
      </c>
      <c r="B259" s="1" t="n">
        <v>45259</v>
      </c>
      <c r="C259" s="1" t="n">
        <v>46193</v>
      </c>
      <c r="D259" t="inlineStr">
        <is>
          <t>SKÅNE LÄN</t>
        </is>
      </c>
      <c r="E259" t="inlineStr">
        <is>
          <t>HÄSSLEHOLM</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28236-2022</t>
        </is>
      </c>
      <c r="B260" s="1" t="n">
        <v>44746</v>
      </c>
      <c r="C260" s="1" t="n">
        <v>46193</v>
      </c>
      <c r="D260" t="inlineStr">
        <is>
          <t>SKÅNE LÄN</t>
        </is>
      </c>
      <c r="E260" t="inlineStr">
        <is>
          <t>HÄSSLEHOLM</t>
        </is>
      </c>
      <c r="G260" t="n">
        <v>3.5</v>
      </c>
      <c r="H260" t="n">
        <v>0</v>
      </c>
      <c r="I260" t="n">
        <v>0</v>
      </c>
      <c r="J260" t="n">
        <v>0</v>
      </c>
      <c r="K260" t="n">
        <v>0</v>
      </c>
      <c r="L260" t="n">
        <v>0</v>
      </c>
      <c r="M260" t="n">
        <v>0</v>
      </c>
      <c r="N260" t="n">
        <v>0</v>
      </c>
      <c r="O260" t="n">
        <v>0</v>
      </c>
      <c r="P260" t="n">
        <v>0</v>
      </c>
      <c r="Q260" t="n">
        <v>0</v>
      </c>
      <c r="R260" s="2" t="inlineStr"/>
    </row>
    <row r="261" ht="15" customHeight="1">
      <c r="A261" t="inlineStr">
        <is>
          <t>A 3663-2024</t>
        </is>
      </c>
      <c r="B261" s="1" t="n">
        <v>45321</v>
      </c>
      <c r="C261" s="1" t="n">
        <v>46193</v>
      </c>
      <c r="D261" t="inlineStr">
        <is>
          <t>SKÅNE LÄN</t>
        </is>
      </c>
      <c r="E261" t="inlineStr">
        <is>
          <t>HÄSSLEHOLM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67801-2021</t>
        </is>
      </c>
      <c r="B262" s="1" t="n">
        <v>44525</v>
      </c>
      <c r="C262" s="1" t="n">
        <v>46193</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45398-2024</t>
        </is>
      </c>
      <c r="B263" s="1" t="n">
        <v>45576</v>
      </c>
      <c r="C263" s="1" t="n">
        <v>46193</v>
      </c>
      <c r="D263" t="inlineStr">
        <is>
          <t>SKÅNE LÄN</t>
        </is>
      </c>
      <c r="E263" t="inlineStr">
        <is>
          <t>HÄSSLEHOLM</t>
        </is>
      </c>
      <c r="G263" t="n">
        <v>4.2</v>
      </c>
      <c r="H263" t="n">
        <v>0</v>
      </c>
      <c r="I263" t="n">
        <v>0</v>
      </c>
      <c r="J263" t="n">
        <v>0</v>
      </c>
      <c r="K263" t="n">
        <v>0</v>
      </c>
      <c r="L263" t="n">
        <v>0</v>
      </c>
      <c r="M263" t="n">
        <v>0</v>
      </c>
      <c r="N263" t="n">
        <v>0</v>
      </c>
      <c r="O263" t="n">
        <v>0</v>
      </c>
      <c r="P263" t="n">
        <v>0</v>
      </c>
      <c r="Q263" t="n">
        <v>0</v>
      </c>
      <c r="R263" s="2" t="inlineStr"/>
    </row>
    <row r="264" ht="15" customHeight="1">
      <c r="A264" t="inlineStr">
        <is>
          <t>A 20279-2025</t>
        </is>
      </c>
      <c r="B264" s="1" t="n">
        <v>45774</v>
      </c>
      <c r="C264" s="1" t="n">
        <v>46193</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4809-2025</t>
        </is>
      </c>
      <c r="B265" s="1" t="n">
        <v>45688</v>
      </c>
      <c r="C265" s="1" t="n">
        <v>46193</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9485-2023</t>
        </is>
      </c>
      <c r="B266" s="1" t="n">
        <v>44981</v>
      </c>
      <c r="C266" s="1" t="n">
        <v>46193</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9502-2023</t>
        </is>
      </c>
      <c r="B267" s="1" t="n">
        <v>44981</v>
      </c>
      <c r="C267" s="1" t="n">
        <v>46193</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59030-2024</t>
        </is>
      </c>
      <c r="B268" s="1" t="n">
        <v>45636</v>
      </c>
      <c r="C268" s="1" t="n">
        <v>46193</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10928-2024</t>
        </is>
      </c>
      <c r="B269" s="1" t="n">
        <v>45370</v>
      </c>
      <c r="C269" s="1" t="n">
        <v>46193</v>
      </c>
      <c r="D269" t="inlineStr">
        <is>
          <t>SKÅNE LÄN</t>
        </is>
      </c>
      <c r="E269" t="inlineStr">
        <is>
          <t>HÄSSLEHOLM</t>
        </is>
      </c>
      <c r="F269" t="inlineStr">
        <is>
          <t>Övriga Aktiebolag</t>
        </is>
      </c>
      <c r="G269" t="n">
        <v>0.5</v>
      </c>
      <c r="H269" t="n">
        <v>0</v>
      </c>
      <c r="I269" t="n">
        <v>0</v>
      </c>
      <c r="J269" t="n">
        <v>0</v>
      </c>
      <c r="K269" t="n">
        <v>0</v>
      </c>
      <c r="L269" t="n">
        <v>0</v>
      </c>
      <c r="M269" t="n">
        <v>0</v>
      </c>
      <c r="N269" t="n">
        <v>0</v>
      </c>
      <c r="O269" t="n">
        <v>0</v>
      </c>
      <c r="P269" t="n">
        <v>0</v>
      </c>
      <c r="Q269" t="n">
        <v>0</v>
      </c>
      <c r="R269" s="2" t="inlineStr"/>
    </row>
    <row r="270" ht="15" customHeight="1">
      <c r="A270" t="inlineStr">
        <is>
          <t>A 5890-2023</t>
        </is>
      </c>
      <c r="B270" s="1" t="n">
        <v>44963</v>
      </c>
      <c r="C270" s="1" t="n">
        <v>46193</v>
      </c>
      <c r="D270" t="inlineStr">
        <is>
          <t>SKÅNE LÄN</t>
        </is>
      </c>
      <c r="E270" t="inlineStr">
        <is>
          <t>HÄSSLEHOLM</t>
        </is>
      </c>
      <c r="G270" t="n">
        <v>1.6</v>
      </c>
      <c r="H270" t="n">
        <v>0</v>
      </c>
      <c r="I270" t="n">
        <v>0</v>
      </c>
      <c r="J270" t="n">
        <v>0</v>
      </c>
      <c r="K270" t="n">
        <v>0</v>
      </c>
      <c r="L270" t="n">
        <v>0</v>
      </c>
      <c r="M270" t="n">
        <v>0</v>
      </c>
      <c r="N270" t="n">
        <v>0</v>
      </c>
      <c r="O270" t="n">
        <v>0</v>
      </c>
      <c r="P270" t="n">
        <v>0</v>
      </c>
      <c r="Q270" t="n">
        <v>0</v>
      </c>
      <c r="R270" s="2" t="inlineStr"/>
    </row>
    <row r="271" ht="15" customHeight="1">
      <c r="A271" t="inlineStr">
        <is>
          <t>A 5894-2023</t>
        </is>
      </c>
      <c r="B271" s="1" t="n">
        <v>44963</v>
      </c>
      <c r="C271" s="1" t="n">
        <v>46193</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12843-2023</t>
        </is>
      </c>
      <c r="B272" s="1" t="n">
        <v>45001</v>
      </c>
      <c r="C272" s="1" t="n">
        <v>46193</v>
      </c>
      <c r="D272" t="inlineStr">
        <is>
          <t>SKÅNE LÄN</t>
        </is>
      </c>
      <c r="E272" t="inlineStr">
        <is>
          <t>HÄSSLEHOLM</t>
        </is>
      </c>
      <c r="G272" t="n">
        <v>3.9</v>
      </c>
      <c r="H272" t="n">
        <v>0</v>
      </c>
      <c r="I272" t="n">
        <v>0</v>
      </c>
      <c r="J272" t="n">
        <v>0</v>
      </c>
      <c r="K272" t="n">
        <v>0</v>
      </c>
      <c r="L272" t="n">
        <v>0</v>
      </c>
      <c r="M272" t="n">
        <v>0</v>
      </c>
      <c r="N272" t="n">
        <v>0</v>
      </c>
      <c r="O272" t="n">
        <v>0</v>
      </c>
      <c r="P272" t="n">
        <v>0</v>
      </c>
      <c r="Q272" t="n">
        <v>0</v>
      </c>
      <c r="R272" s="2" t="inlineStr"/>
    </row>
    <row r="273" ht="15" customHeight="1">
      <c r="A273" t="inlineStr">
        <is>
          <t>A 10944-2024</t>
        </is>
      </c>
      <c r="B273" s="1" t="n">
        <v>45370</v>
      </c>
      <c r="C273" s="1" t="n">
        <v>46193</v>
      </c>
      <c r="D273" t="inlineStr">
        <is>
          <t>SKÅNE LÄN</t>
        </is>
      </c>
      <c r="E273" t="inlineStr">
        <is>
          <t>HÄSSLEHOLM</t>
        </is>
      </c>
      <c r="F273" t="inlineStr">
        <is>
          <t>Övriga Aktiebolag</t>
        </is>
      </c>
      <c r="G273" t="n">
        <v>2.6</v>
      </c>
      <c r="H273" t="n">
        <v>0</v>
      </c>
      <c r="I273" t="n">
        <v>0</v>
      </c>
      <c r="J273" t="n">
        <v>0</v>
      </c>
      <c r="K273" t="n">
        <v>0</v>
      </c>
      <c r="L273" t="n">
        <v>0</v>
      </c>
      <c r="M273" t="n">
        <v>0</v>
      </c>
      <c r="N273" t="n">
        <v>0</v>
      </c>
      <c r="O273" t="n">
        <v>0</v>
      </c>
      <c r="P273" t="n">
        <v>0</v>
      </c>
      <c r="Q273" t="n">
        <v>0</v>
      </c>
      <c r="R273" s="2" t="inlineStr"/>
    </row>
    <row r="274" ht="15" customHeight="1">
      <c r="A274" t="inlineStr">
        <is>
          <t>A 7481-2023</t>
        </is>
      </c>
      <c r="B274" s="1" t="n">
        <v>44971</v>
      </c>
      <c r="C274" s="1" t="n">
        <v>46193</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5980-2024</t>
        </is>
      </c>
      <c r="B275" s="1" t="n">
        <v>45335</v>
      </c>
      <c r="C275" s="1" t="n">
        <v>46193</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62199-2022</t>
        </is>
      </c>
      <c r="B276" s="1" t="n">
        <v>44915</v>
      </c>
      <c r="C276" s="1" t="n">
        <v>46193</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677-2024</t>
        </is>
      </c>
      <c r="B277" s="1" t="n">
        <v>45300</v>
      </c>
      <c r="C277" s="1" t="n">
        <v>46193</v>
      </c>
      <c r="D277" t="inlineStr">
        <is>
          <t>SKÅNE LÄN</t>
        </is>
      </c>
      <c r="E277" t="inlineStr">
        <is>
          <t>HÄSSLEHOLM</t>
        </is>
      </c>
      <c r="G277" t="n">
        <v>6.8</v>
      </c>
      <c r="H277" t="n">
        <v>0</v>
      </c>
      <c r="I277" t="n">
        <v>0</v>
      </c>
      <c r="J277" t="n">
        <v>0</v>
      </c>
      <c r="K277" t="n">
        <v>0</v>
      </c>
      <c r="L277" t="n">
        <v>0</v>
      </c>
      <c r="M277" t="n">
        <v>0</v>
      </c>
      <c r="N277" t="n">
        <v>0</v>
      </c>
      <c r="O277" t="n">
        <v>0</v>
      </c>
      <c r="P277" t="n">
        <v>0</v>
      </c>
      <c r="Q277" t="n">
        <v>0</v>
      </c>
      <c r="R277" s="2" t="inlineStr"/>
    </row>
    <row r="278" ht="15" customHeight="1">
      <c r="A278" t="inlineStr">
        <is>
          <t>A 35150-2023</t>
        </is>
      </c>
      <c r="B278" s="1" t="n">
        <v>45145</v>
      </c>
      <c r="C278" s="1" t="n">
        <v>46193</v>
      </c>
      <c r="D278" t="inlineStr">
        <is>
          <t>SKÅNE LÄN</t>
        </is>
      </c>
      <c r="E278" t="inlineStr">
        <is>
          <t>HÄSSLEHOLM</t>
        </is>
      </c>
      <c r="G278" t="n">
        <v>4.9</v>
      </c>
      <c r="H278" t="n">
        <v>0</v>
      </c>
      <c r="I278" t="n">
        <v>0</v>
      </c>
      <c r="J278" t="n">
        <v>0</v>
      </c>
      <c r="K278" t="n">
        <v>0</v>
      </c>
      <c r="L278" t="n">
        <v>0</v>
      </c>
      <c r="M278" t="n">
        <v>0</v>
      </c>
      <c r="N278" t="n">
        <v>0</v>
      </c>
      <c r="O278" t="n">
        <v>0</v>
      </c>
      <c r="P278" t="n">
        <v>0</v>
      </c>
      <c r="Q278" t="n">
        <v>0</v>
      </c>
      <c r="R278" s="2" t="inlineStr"/>
    </row>
    <row r="279" ht="15" customHeight="1">
      <c r="A279" t="inlineStr">
        <is>
          <t>A 42372-2024</t>
        </is>
      </c>
      <c r="B279" s="1" t="n">
        <v>45564</v>
      </c>
      <c r="C279" s="1" t="n">
        <v>46193</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15562-2024</t>
        </is>
      </c>
      <c r="B280" s="1" t="n">
        <v>45401</v>
      </c>
      <c r="C280" s="1" t="n">
        <v>46193</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12507-2022</t>
        </is>
      </c>
      <c r="B281" s="1" t="n">
        <v>44638</v>
      </c>
      <c r="C281" s="1" t="n">
        <v>46193</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18580-2023</t>
        </is>
      </c>
      <c r="B282" s="1" t="n">
        <v>45043</v>
      </c>
      <c r="C282" s="1" t="n">
        <v>46193</v>
      </c>
      <c r="D282" t="inlineStr">
        <is>
          <t>SKÅNE LÄN</t>
        </is>
      </c>
      <c r="E282" t="inlineStr">
        <is>
          <t>HÄSSLEHOLM</t>
        </is>
      </c>
      <c r="G282" t="n">
        <v>1.5</v>
      </c>
      <c r="H282" t="n">
        <v>0</v>
      </c>
      <c r="I282" t="n">
        <v>0</v>
      </c>
      <c r="J282" t="n">
        <v>0</v>
      </c>
      <c r="K282" t="n">
        <v>0</v>
      </c>
      <c r="L282" t="n">
        <v>0</v>
      </c>
      <c r="M282" t="n">
        <v>0</v>
      </c>
      <c r="N282" t="n">
        <v>0</v>
      </c>
      <c r="O282" t="n">
        <v>0</v>
      </c>
      <c r="P282" t="n">
        <v>0</v>
      </c>
      <c r="Q282" t="n">
        <v>0</v>
      </c>
      <c r="R282" s="2" t="inlineStr"/>
    </row>
    <row r="283" ht="15" customHeight="1">
      <c r="A283" t="inlineStr">
        <is>
          <t>A 17335-2024</t>
        </is>
      </c>
      <c r="B283" s="1" t="n">
        <v>45414</v>
      </c>
      <c r="C283" s="1" t="n">
        <v>46193</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50000-2023</t>
        </is>
      </c>
      <c r="B284" s="1" t="n">
        <v>45215</v>
      </c>
      <c r="C284" s="1" t="n">
        <v>46193</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17699-2024</t>
        </is>
      </c>
      <c r="B285" s="1" t="n">
        <v>45418</v>
      </c>
      <c r="C285" s="1" t="n">
        <v>46193</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17702-2024</t>
        </is>
      </c>
      <c r="B286" s="1" t="n">
        <v>45418</v>
      </c>
      <c r="C286" s="1" t="n">
        <v>46193</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50607-2023</t>
        </is>
      </c>
      <c r="B287" s="1" t="n">
        <v>45210</v>
      </c>
      <c r="C287" s="1" t="n">
        <v>46193</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50616-2023</t>
        </is>
      </c>
      <c r="B288" s="1" t="n">
        <v>45210</v>
      </c>
      <c r="C288" s="1" t="n">
        <v>46193</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22690-2022</t>
        </is>
      </c>
      <c r="B289" s="1" t="n">
        <v>44714</v>
      </c>
      <c r="C289" s="1" t="n">
        <v>46193</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20566-2023</t>
        </is>
      </c>
      <c r="B290" s="1" t="n">
        <v>45057</v>
      </c>
      <c r="C290" s="1" t="n">
        <v>46193</v>
      </c>
      <c r="D290" t="inlineStr">
        <is>
          <t>SKÅNE LÄN</t>
        </is>
      </c>
      <c r="E290" t="inlineStr">
        <is>
          <t>HÄSSLEHOLM</t>
        </is>
      </c>
      <c r="G290" t="n">
        <v>5.2</v>
      </c>
      <c r="H290" t="n">
        <v>0</v>
      </c>
      <c r="I290" t="n">
        <v>0</v>
      </c>
      <c r="J290" t="n">
        <v>0</v>
      </c>
      <c r="K290" t="n">
        <v>0</v>
      </c>
      <c r="L290" t="n">
        <v>0</v>
      </c>
      <c r="M290" t="n">
        <v>0</v>
      </c>
      <c r="N290" t="n">
        <v>0</v>
      </c>
      <c r="O290" t="n">
        <v>0</v>
      </c>
      <c r="P290" t="n">
        <v>0</v>
      </c>
      <c r="Q290" t="n">
        <v>0</v>
      </c>
      <c r="R290" s="2" t="inlineStr"/>
    </row>
    <row r="291" ht="15" customHeight="1">
      <c r="A291" t="inlineStr">
        <is>
          <t>A 7904-2022</t>
        </is>
      </c>
      <c r="B291" s="1" t="n">
        <v>44607</v>
      </c>
      <c r="C291" s="1" t="n">
        <v>46193</v>
      </c>
      <c r="D291" t="inlineStr">
        <is>
          <t>SKÅNE LÄN</t>
        </is>
      </c>
      <c r="E291" t="inlineStr">
        <is>
          <t>HÄSSLEHOLM</t>
        </is>
      </c>
      <c r="F291" t="inlineStr">
        <is>
          <t>Kyrkan</t>
        </is>
      </c>
      <c r="G291" t="n">
        <v>3.9</v>
      </c>
      <c r="H291" t="n">
        <v>0</v>
      </c>
      <c r="I291" t="n">
        <v>0</v>
      </c>
      <c r="J291" t="n">
        <v>0</v>
      </c>
      <c r="K291" t="n">
        <v>0</v>
      </c>
      <c r="L291" t="n">
        <v>0</v>
      </c>
      <c r="M291" t="n">
        <v>0</v>
      </c>
      <c r="N291" t="n">
        <v>0</v>
      </c>
      <c r="O291" t="n">
        <v>0</v>
      </c>
      <c r="P291" t="n">
        <v>0</v>
      </c>
      <c r="Q291" t="n">
        <v>0</v>
      </c>
      <c r="R291" s="2" t="inlineStr"/>
    </row>
    <row r="292" ht="15" customHeight="1">
      <c r="A292" t="inlineStr">
        <is>
          <t>A 9323-2025</t>
        </is>
      </c>
      <c r="B292" s="1" t="n">
        <v>45714</v>
      </c>
      <c r="C292" s="1" t="n">
        <v>46193</v>
      </c>
      <c r="D292" t="inlineStr">
        <is>
          <t>SKÅNE LÄN</t>
        </is>
      </c>
      <c r="E292" t="inlineStr">
        <is>
          <t>HÄSSLEHOLM</t>
        </is>
      </c>
      <c r="G292" t="n">
        <v>5.2</v>
      </c>
      <c r="H292" t="n">
        <v>0</v>
      </c>
      <c r="I292" t="n">
        <v>0</v>
      </c>
      <c r="J292" t="n">
        <v>0</v>
      </c>
      <c r="K292" t="n">
        <v>0</v>
      </c>
      <c r="L292" t="n">
        <v>0</v>
      </c>
      <c r="M292" t="n">
        <v>0</v>
      </c>
      <c r="N292" t="n">
        <v>0</v>
      </c>
      <c r="O292" t="n">
        <v>0</v>
      </c>
      <c r="P292" t="n">
        <v>0</v>
      </c>
      <c r="Q292" t="n">
        <v>0</v>
      </c>
      <c r="R292" s="2" t="inlineStr"/>
    </row>
    <row r="293" ht="15" customHeight="1">
      <c r="A293" t="inlineStr">
        <is>
          <t>A 32967-2023</t>
        </is>
      </c>
      <c r="B293" s="1" t="n">
        <v>45125</v>
      </c>
      <c r="C293" s="1" t="n">
        <v>46193</v>
      </c>
      <c r="D293" t="inlineStr">
        <is>
          <t>SKÅNE LÄN</t>
        </is>
      </c>
      <c r="E293" t="inlineStr">
        <is>
          <t>HÄSSLEHOLM</t>
        </is>
      </c>
      <c r="G293" t="n">
        <v>1.4</v>
      </c>
      <c r="H293" t="n">
        <v>0</v>
      </c>
      <c r="I293" t="n">
        <v>0</v>
      </c>
      <c r="J293" t="n">
        <v>0</v>
      </c>
      <c r="K293" t="n">
        <v>0</v>
      </c>
      <c r="L293" t="n">
        <v>0</v>
      </c>
      <c r="M293" t="n">
        <v>0</v>
      </c>
      <c r="N293" t="n">
        <v>0</v>
      </c>
      <c r="O293" t="n">
        <v>0</v>
      </c>
      <c r="P293" t="n">
        <v>0</v>
      </c>
      <c r="Q293" t="n">
        <v>0</v>
      </c>
      <c r="R293" s="2" t="inlineStr"/>
    </row>
    <row r="294" ht="15" customHeight="1">
      <c r="A294" t="inlineStr">
        <is>
          <t>A 57079-2022</t>
        </is>
      </c>
      <c r="B294" s="1" t="n">
        <v>44895</v>
      </c>
      <c r="C294" s="1" t="n">
        <v>46193</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32968-2023</t>
        </is>
      </c>
      <c r="B295" s="1" t="n">
        <v>45125</v>
      </c>
      <c r="C295" s="1" t="n">
        <v>46193</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42231-2022</t>
        </is>
      </c>
      <c r="B296" s="1" t="n">
        <v>44830</v>
      </c>
      <c r="C296" s="1" t="n">
        <v>46193</v>
      </c>
      <c r="D296" t="inlineStr">
        <is>
          <t>SKÅNE LÄN</t>
        </is>
      </c>
      <c r="E296" t="inlineStr">
        <is>
          <t>HÄSSLEHOLM</t>
        </is>
      </c>
      <c r="G296" t="n">
        <v>2.7</v>
      </c>
      <c r="H296" t="n">
        <v>0</v>
      </c>
      <c r="I296" t="n">
        <v>0</v>
      </c>
      <c r="J296" t="n">
        <v>0</v>
      </c>
      <c r="K296" t="n">
        <v>0</v>
      </c>
      <c r="L296" t="n">
        <v>0</v>
      </c>
      <c r="M296" t="n">
        <v>0</v>
      </c>
      <c r="N296" t="n">
        <v>0</v>
      </c>
      <c r="O296" t="n">
        <v>0</v>
      </c>
      <c r="P296" t="n">
        <v>0</v>
      </c>
      <c r="Q296" t="n">
        <v>0</v>
      </c>
      <c r="R296" s="2" t="inlineStr"/>
    </row>
    <row r="297" ht="15" customHeight="1">
      <c r="A297" t="inlineStr">
        <is>
          <t>A 23946-2023</t>
        </is>
      </c>
      <c r="B297" s="1" t="n">
        <v>45078</v>
      </c>
      <c r="C297" s="1" t="n">
        <v>46193</v>
      </c>
      <c r="D297" t="inlineStr">
        <is>
          <t>SKÅNE LÄN</t>
        </is>
      </c>
      <c r="E297" t="inlineStr">
        <is>
          <t>HÄSSLEHOLM</t>
        </is>
      </c>
      <c r="G297" t="n">
        <v>0.2</v>
      </c>
      <c r="H297" t="n">
        <v>0</v>
      </c>
      <c r="I297" t="n">
        <v>0</v>
      </c>
      <c r="J297" t="n">
        <v>0</v>
      </c>
      <c r="K297" t="n">
        <v>0</v>
      </c>
      <c r="L297" t="n">
        <v>0</v>
      </c>
      <c r="M297" t="n">
        <v>0</v>
      </c>
      <c r="N297" t="n">
        <v>0</v>
      </c>
      <c r="O297" t="n">
        <v>0</v>
      </c>
      <c r="P297" t="n">
        <v>0</v>
      </c>
      <c r="Q297" t="n">
        <v>0</v>
      </c>
      <c r="R297" s="2" t="inlineStr"/>
    </row>
    <row r="298" ht="15" customHeight="1">
      <c r="A298" t="inlineStr">
        <is>
          <t>A 7250-2022</t>
        </is>
      </c>
      <c r="B298" s="1" t="n">
        <v>44606</v>
      </c>
      <c r="C298" s="1" t="n">
        <v>46193</v>
      </c>
      <c r="D298" t="inlineStr">
        <is>
          <t>SKÅNE LÄN</t>
        </is>
      </c>
      <c r="E298" t="inlineStr">
        <is>
          <t>HÄSSLEHOLM</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15417-2022</t>
        </is>
      </c>
      <c r="B299" s="1" t="n">
        <v>44659</v>
      </c>
      <c r="C299" s="1" t="n">
        <v>46193</v>
      </c>
      <c r="D299" t="inlineStr">
        <is>
          <t>SKÅNE LÄN</t>
        </is>
      </c>
      <c r="E299" t="inlineStr">
        <is>
          <t>HÄSSLEHOLM</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54982-2024</t>
        </is>
      </c>
      <c r="B300" s="1" t="n">
        <v>45620</v>
      </c>
      <c r="C300" s="1" t="n">
        <v>46193</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20564-2023</t>
        </is>
      </c>
      <c r="B301" s="1" t="n">
        <v>45057</v>
      </c>
      <c r="C301" s="1" t="n">
        <v>46193</v>
      </c>
      <c r="D301" t="inlineStr">
        <is>
          <t>SKÅNE LÄN</t>
        </is>
      </c>
      <c r="E301" t="inlineStr">
        <is>
          <t>HÄSSLEHOLM</t>
        </is>
      </c>
      <c r="G301" t="n">
        <v>2.6</v>
      </c>
      <c r="H301" t="n">
        <v>0</v>
      </c>
      <c r="I301" t="n">
        <v>0</v>
      </c>
      <c r="J301" t="n">
        <v>0</v>
      </c>
      <c r="K301" t="n">
        <v>0</v>
      </c>
      <c r="L301" t="n">
        <v>0</v>
      </c>
      <c r="M301" t="n">
        <v>0</v>
      </c>
      <c r="N301" t="n">
        <v>0</v>
      </c>
      <c r="O301" t="n">
        <v>0</v>
      </c>
      <c r="P301" t="n">
        <v>0</v>
      </c>
      <c r="Q301" t="n">
        <v>0</v>
      </c>
      <c r="R301" s="2" t="inlineStr"/>
    </row>
    <row r="302" ht="15" customHeight="1">
      <c r="A302" t="inlineStr">
        <is>
          <t>A 49250-2022</t>
        </is>
      </c>
      <c r="B302" s="1" t="n">
        <v>44858</v>
      </c>
      <c r="C302" s="1" t="n">
        <v>46193</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51895-2021</t>
        </is>
      </c>
      <c r="B303" s="1" t="n">
        <v>44462</v>
      </c>
      <c r="C303" s="1" t="n">
        <v>46193</v>
      </c>
      <c r="D303" t="inlineStr">
        <is>
          <t>SKÅNE LÄN</t>
        </is>
      </c>
      <c r="E303" t="inlineStr">
        <is>
          <t>HÄSSLEHOLM</t>
        </is>
      </c>
      <c r="G303" t="n">
        <v>5.7</v>
      </c>
      <c r="H303" t="n">
        <v>0</v>
      </c>
      <c r="I303" t="n">
        <v>0</v>
      </c>
      <c r="J303" t="n">
        <v>0</v>
      </c>
      <c r="K303" t="n">
        <v>0</v>
      </c>
      <c r="L303" t="n">
        <v>0</v>
      </c>
      <c r="M303" t="n">
        <v>0</v>
      </c>
      <c r="N303" t="n">
        <v>0</v>
      </c>
      <c r="O303" t="n">
        <v>0</v>
      </c>
      <c r="P303" t="n">
        <v>0</v>
      </c>
      <c r="Q303" t="n">
        <v>0</v>
      </c>
      <c r="R303" s="2" t="inlineStr"/>
    </row>
    <row r="304" ht="15" customHeight="1">
      <c r="A304" t="inlineStr">
        <is>
          <t>A 36795-2023</t>
        </is>
      </c>
      <c r="B304" s="1" t="n">
        <v>45154</v>
      </c>
      <c r="C304" s="1" t="n">
        <v>46193</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41694-2024</t>
        </is>
      </c>
      <c r="B305" s="1" t="n">
        <v>45560</v>
      </c>
      <c r="C305" s="1" t="n">
        <v>46193</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47757-2024</t>
        </is>
      </c>
      <c r="B306" s="1" t="n">
        <v>45588</v>
      </c>
      <c r="C306" s="1" t="n">
        <v>46193</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8759-2024</t>
        </is>
      </c>
      <c r="B307" s="1" t="n">
        <v>45356</v>
      </c>
      <c r="C307" s="1" t="n">
        <v>46193</v>
      </c>
      <c r="D307" t="inlineStr">
        <is>
          <t>SKÅNE LÄN</t>
        </is>
      </c>
      <c r="E307" t="inlineStr">
        <is>
          <t>HÄSSLEHOLM</t>
        </is>
      </c>
      <c r="G307" t="n">
        <v>5.7</v>
      </c>
      <c r="H307" t="n">
        <v>0</v>
      </c>
      <c r="I307" t="n">
        <v>0</v>
      </c>
      <c r="J307" t="n">
        <v>0</v>
      </c>
      <c r="K307" t="n">
        <v>0</v>
      </c>
      <c r="L307" t="n">
        <v>0</v>
      </c>
      <c r="M307" t="n">
        <v>0</v>
      </c>
      <c r="N307" t="n">
        <v>0</v>
      </c>
      <c r="O307" t="n">
        <v>0</v>
      </c>
      <c r="P307" t="n">
        <v>0</v>
      </c>
      <c r="Q307" t="n">
        <v>0</v>
      </c>
      <c r="R307" s="2" t="inlineStr"/>
    </row>
    <row r="308" ht="15" customHeight="1">
      <c r="A308" t="inlineStr">
        <is>
          <t>A 2663-2023</t>
        </is>
      </c>
      <c r="B308" s="1" t="n">
        <v>44942</v>
      </c>
      <c r="C308" s="1" t="n">
        <v>46193</v>
      </c>
      <c r="D308" t="inlineStr">
        <is>
          <t>SKÅNE LÄN</t>
        </is>
      </c>
      <c r="E308" t="inlineStr">
        <is>
          <t>HÄSSLEHOLM</t>
        </is>
      </c>
      <c r="F308" t="inlineStr">
        <is>
          <t>Kyrkan</t>
        </is>
      </c>
      <c r="G308" t="n">
        <v>0.8</v>
      </c>
      <c r="H308" t="n">
        <v>0</v>
      </c>
      <c r="I308" t="n">
        <v>0</v>
      </c>
      <c r="J308" t="n">
        <v>0</v>
      </c>
      <c r="K308" t="n">
        <v>0</v>
      </c>
      <c r="L308" t="n">
        <v>0</v>
      </c>
      <c r="M308" t="n">
        <v>0</v>
      </c>
      <c r="N308" t="n">
        <v>0</v>
      </c>
      <c r="O308" t="n">
        <v>0</v>
      </c>
      <c r="P308" t="n">
        <v>0</v>
      </c>
      <c r="Q308" t="n">
        <v>0</v>
      </c>
      <c r="R308" s="2" t="inlineStr"/>
    </row>
    <row r="309" ht="15" customHeight="1">
      <c r="A309" t="inlineStr">
        <is>
          <t>A 12584-2025</t>
        </is>
      </c>
      <c r="B309" s="1" t="n">
        <v>45732</v>
      </c>
      <c r="C309" s="1" t="n">
        <v>46193</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7192-2025</t>
        </is>
      </c>
      <c r="B310" s="1" t="n">
        <v>45702</v>
      </c>
      <c r="C310" s="1" t="n">
        <v>46193</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27954-2022</t>
        </is>
      </c>
      <c r="B311" s="1" t="n">
        <v>44743</v>
      </c>
      <c r="C311" s="1" t="n">
        <v>46193</v>
      </c>
      <c r="D311" t="inlineStr">
        <is>
          <t>SKÅNE LÄN</t>
        </is>
      </c>
      <c r="E311" t="inlineStr">
        <is>
          <t>HÄSSLEHOLM</t>
        </is>
      </c>
      <c r="G311" t="n">
        <v>9.4</v>
      </c>
      <c r="H311" t="n">
        <v>0</v>
      </c>
      <c r="I311" t="n">
        <v>0</v>
      </c>
      <c r="J311" t="n">
        <v>0</v>
      </c>
      <c r="K311" t="n">
        <v>0</v>
      </c>
      <c r="L311" t="n">
        <v>0</v>
      </c>
      <c r="M311" t="n">
        <v>0</v>
      </c>
      <c r="N311" t="n">
        <v>0</v>
      </c>
      <c r="O311" t="n">
        <v>0</v>
      </c>
      <c r="P311" t="n">
        <v>0</v>
      </c>
      <c r="Q311" t="n">
        <v>0</v>
      </c>
      <c r="R311" s="2" t="inlineStr"/>
    </row>
    <row r="312" ht="15" customHeight="1">
      <c r="A312" t="inlineStr">
        <is>
          <t>A 1557-2023</t>
        </is>
      </c>
      <c r="B312" s="1" t="n">
        <v>44937</v>
      </c>
      <c r="C312" s="1" t="n">
        <v>46193</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12936-2025</t>
        </is>
      </c>
      <c r="B313" s="1" t="n">
        <v>45734</v>
      </c>
      <c r="C313" s="1" t="n">
        <v>46193</v>
      </c>
      <c r="D313" t="inlineStr">
        <is>
          <t>SKÅNE LÄN</t>
        </is>
      </c>
      <c r="E313" t="inlineStr">
        <is>
          <t>HÄSSLEHOLM</t>
        </is>
      </c>
      <c r="G313" t="n">
        <v>1.7</v>
      </c>
      <c r="H313" t="n">
        <v>0</v>
      </c>
      <c r="I313" t="n">
        <v>0</v>
      </c>
      <c r="J313" t="n">
        <v>0</v>
      </c>
      <c r="K313" t="n">
        <v>0</v>
      </c>
      <c r="L313" t="n">
        <v>0</v>
      </c>
      <c r="M313" t="n">
        <v>0</v>
      </c>
      <c r="N313" t="n">
        <v>0</v>
      </c>
      <c r="O313" t="n">
        <v>0</v>
      </c>
      <c r="P313" t="n">
        <v>0</v>
      </c>
      <c r="Q313" t="n">
        <v>0</v>
      </c>
      <c r="R313" s="2" t="inlineStr"/>
    </row>
    <row r="314" ht="15" customHeight="1">
      <c r="A314" t="inlineStr">
        <is>
          <t>A 45984-2021</t>
        </is>
      </c>
      <c r="B314" s="1" t="n">
        <v>44441</v>
      </c>
      <c r="C314" s="1" t="n">
        <v>46193</v>
      </c>
      <c r="D314" t="inlineStr">
        <is>
          <t>SKÅNE LÄN</t>
        </is>
      </c>
      <c r="E314" t="inlineStr">
        <is>
          <t>HÄSSLEHOLM</t>
        </is>
      </c>
      <c r="G314" t="n">
        <v>2.1</v>
      </c>
      <c r="H314" t="n">
        <v>0</v>
      </c>
      <c r="I314" t="n">
        <v>0</v>
      </c>
      <c r="J314" t="n">
        <v>0</v>
      </c>
      <c r="K314" t="n">
        <v>0</v>
      </c>
      <c r="L314" t="n">
        <v>0</v>
      </c>
      <c r="M314" t="n">
        <v>0</v>
      </c>
      <c r="N314" t="n">
        <v>0</v>
      </c>
      <c r="O314" t="n">
        <v>0</v>
      </c>
      <c r="P314" t="n">
        <v>0</v>
      </c>
      <c r="Q314" t="n">
        <v>0</v>
      </c>
      <c r="R314" s="2" t="inlineStr"/>
    </row>
    <row r="315" ht="15" customHeight="1">
      <c r="A315" t="inlineStr">
        <is>
          <t>A 61170-2022</t>
        </is>
      </c>
      <c r="B315" s="1" t="n">
        <v>44915</v>
      </c>
      <c r="C315" s="1" t="n">
        <v>46193</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31998-2023</t>
        </is>
      </c>
      <c r="B316" s="1" t="n">
        <v>45119</v>
      </c>
      <c r="C316" s="1" t="n">
        <v>46193</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6835-2023</t>
        </is>
      </c>
      <c r="B317" s="1" t="n">
        <v>44967</v>
      </c>
      <c r="C317" s="1" t="n">
        <v>46193</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8749-2024</t>
        </is>
      </c>
      <c r="B318" s="1" t="n">
        <v>45356</v>
      </c>
      <c r="C318" s="1" t="n">
        <v>46193</v>
      </c>
      <c r="D318" t="inlineStr">
        <is>
          <t>SKÅNE LÄN</t>
        </is>
      </c>
      <c r="E318" t="inlineStr">
        <is>
          <t>HÄSSLEHOLM</t>
        </is>
      </c>
      <c r="G318" t="n">
        <v>2.9</v>
      </c>
      <c r="H318" t="n">
        <v>0</v>
      </c>
      <c r="I318" t="n">
        <v>0</v>
      </c>
      <c r="J318" t="n">
        <v>0</v>
      </c>
      <c r="K318" t="n">
        <v>0</v>
      </c>
      <c r="L318" t="n">
        <v>0</v>
      </c>
      <c r="M318" t="n">
        <v>0</v>
      </c>
      <c r="N318" t="n">
        <v>0</v>
      </c>
      <c r="O318" t="n">
        <v>0</v>
      </c>
      <c r="P318" t="n">
        <v>0</v>
      </c>
      <c r="Q318" t="n">
        <v>0</v>
      </c>
      <c r="R318" s="2" t="inlineStr"/>
    </row>
    <row r="319" ht="15" customHeight="1">
      <c r="A319" t="inlineStr">
        <is>
          <t>A 8752-2024</t>
        </is>
      </c>
      <c r="B319" s="1" t="n">
        <v>45356</v>
      </c>
      <c r="C319" s="1" t="n">
        <v>46193</v>
      </c>
      <c r="D319" t="inlineStr">
        <is>
          <t>SKÅNE LÄN</t>
        </is>
      </c>
      <c r="E319" t="inlineStr">
        <is>
          <t>HÄSSLEHOLM</t>
        </is>
      </c>
      <c r="G319" t="n">
        <v>3.4</v>
      </c>
      <c r="H319" t="n">
        <v>0</v>
      </c>
      <c r="I319" t="n">
        <v>0</v>
      </c>
      <c r="J319" t="n">
        <v>0</v>
      </c>
      <c r="K319" t="n">
        <v>0</v>
      </c>
      <c r="L319" t="n">
        <v>0</v>
      </c>
      <c r="M319" t="n">
        <v>0</v>
      </c>
      <c r="N319" t="n">
        <v>0</v>
      </c>
      <c r="O319" t="n">
        <v>0</v>
      </c>
      <c r="P319" t="n">
        <v>0</v>
      </c>
      <c r="Q319" t="n">
        <v>0</v>
      </c>
      <c r="R319" s="2" t="inlineStr"/>
    </row>
    <row r="320" ht="15" customHeight="1">
      <c r="A320" t="inlineStr">
        <is>
          <t>A 4140-2023</t>
        </is>
      </c>
      <c r="B320" s="1" t="n">
        <v>44953</v>
      </c>
      <c r="C320" s="1" t="n">
        <v>46193</v>
      </c>
      <c r="D320" t="inlineStr">
        <is>
          <t>SKÅNE LÄN</t>
        </is>
      </c>
      <c r="E320" t="inlineStr">
        <is>
          <t>HÄSSLEHOLM</t>
        </is>
      </c>
      <c r="G320" t="n">
        <v>10.6</v>
      </c>
      <c r="H320" t="n">
        <v>0</v>
      </c>
      <c r="I320" t="n">
        <v>0</v>
      </c>
      <c r="J320" t="n">
        <v>0</v>
      </c>
      <c r="K320" t="n">
        <v>0</v>
      </c>
      <c r="L320" t="n">
        <v>0</v>
      </c>
      <c r="M320" t="n">
        <v>0</v>
      </c>
      <c r="N320" t="n">
        <v>0</v>
      </c>
      <c r="O320" t="n">
        <v>0</v>
      </c>
      <c r="P320" t="n">
        <v>0</v>
      </c>
      <c r="Q320" t="n">
        <v>0</v>
      </c>
      <c r="R320" s="2" t="inlineStr"/>
    </row>
    <row r="321" ht="15" customHeight="1">
      <c r="A321" t="inlineStr">
        <is>
          <t>A 42906-2022</t>
        </is>
      </c>
      <c r="B321" s="1" t="n">
        <v>44833</v>
      </c>
      <c r="C321" s="1" t="n">
        <v>46193</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1560-2023</t>
        </is>
      </c>
      <c r="B322" s="1" t="n">
        <v>44937</v>
      </c>
      <c r="C322" s="1" t="n">
        <v>46193</v>
      </c>
      <c r="D322" t="inlineStr">
        <is>
          <t>SKÅNE LÄN</t>
        </is>
      </c>
      <c r="E322" t="inlineStr">
        <is>
          <t>HÄSSLEHOLM</t>
        </is>
      </c>
      <c r="G322" t="n">
        <v>6.8</v>
      </c>
      <c r="H322" t="n">
        <v>0</v>
      </c>
      <c r="I322" t="n">
        <v>0</v>
      </c>
      <c r="J322" t="n">
        <v>0</v>
      </c>
      <c r="K322" t="n">
        <v>0</v>
      </c>
      <c r="L322" t="n">
        <v>0</v>
      </c>
      <c r="M322" t="n">
        <v>0</v>
      </c>
      <c r="N322" t="n">
        <v>0</v>
      </c>
      <c r="O322" t="n">
        <v>0</v>
      </c>
      <c r="P322" t="n">
        <v>0</v>
      </c>
      <c r="Q322" t="n">
        <v>0</v>
      </c>
      <c r="R322" s="2" t="inlineStr"/>
    </row>
    <row r="323" ht="15" customHeight="1">
      <c r="A323" t="inlineStr">
        <is>
          <t>A 15036-2024</t>
        </is>
      </c>
      <c r="B323" s="1" t="n">
        <v>45399</v>
      </c>
      <c r="C323" s="1" t="n">
        <v>46193</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31933-2024</t>
        </is>
      </c>
      <c r="B324" s="1" t="n">
        <v>45510</v>
      </c>
      <c r="C324" s="1" t="n">
        <v>46193</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9098-2022</t>
        </is>
      </c>
      <c r="B325" s="1" t="n">
        <v>44615</v>
      </c>
      <c r="C325" s="1" t="n">
        <v>46193</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25077-2024</t>
        </is>
      </c>
      <c r="B326" s="1" t="n">
        <v>45462</v>
      </c>
      <c r="C326" s="1" t="n">
        <v>46193</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34883-2023</t>
        </is>
      </c>
      <c r="B327" s="1" t="n">
        <v>45142</v>
      </c>
      <c r="C327" s="1" t="n">
        <v>46193</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34886-2023</t>
        </is>
      </c>
      <c r="B328" s="1" t="n">
        <v>45142</v>
      </c>
      <c r="C328" s="1" t="n">
        <v>46193</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7476-2025</t>
        </is>
      </c>
      <c r="B329" s="1" t="n">
        <v>45702</v>
      </c>
      <c r="C329" s="1" t="n">
        <v>46193</v>
      </c>
      <c r="D329" t="inlineStr">
        <is>
          <t>SKÅNE LÄN</t>
        </is>
      </c>
      <c r="E329" t="inlineStr">
        <is>
          <t>HÄSSLEHOLM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54659-2023</t>
        </is>
      </c>
      <c r="B330" s="1" t="n">
        <v>45235</v>
      </c>
      <c r="C330" s="1" t="n">
        <v>46193</v>
      </c>
      <c r="D330" t="inlineStr">
        <is>
          <t>SKÅNE LÄN</t>
        </is>
      </c>
      <c r="E330" t="inlineStr">
        <is>
          <t>HÄSSLEHOLM</t>
        </is>
      </c>
      <c r="G330" t="n">
        <v>5</v>
      </c>
      <c r="H330" t="n">
        <v>0</v>
      </c>
      <c r="I330" t="n">
        <v>0</v>
      </c>
      <c r="J330" t="n">
        <v>0</v>
      </c>
      <c r="K330" t="n">
        <v>0</v>
      </c>
      <c r="L330" t="n">
        <v>0</v>
      </c>
      <c r="M330" t="n">
        <v>0</v>
      </c>
      <c r="N330" t="n">
        <v>0</v>
      </c>
      <c r="O330" t="n">
        <v>0</v>
      </c>
      <c r="P330" t="n">
        <v>0</v>
      </c>
      <c r="Q330" t="n">
        <v>0</v>
      </c>
      <c r="R330" s="2" t="inlineStr"/>
    </row>
    <row r="331" ht="15" customHeight="1">
      <c r="A331" t="inlineStr">
        <is>
          <t>A 34342-2021</t>
        </is>
      </c>
      <c r="B331" s="1" t="n">
        <v>44379</v>
      </c>
      <c r="C331" s="1" t="n">
        <v>46193</v>
      </c>
      <c r="D331" t="inlineStr">
        <is>
          <t>SKÅNE LÄN</t>
        </is>
      </c>
      <c r="E331" t="inlineStr">
        <is>
          <t>HÄSSLEHOLM</t>
        </is>
      </c>
      <c r="G331" t="n">
        <v>7</v>
      </c>
      <c r="H331" t="n">
        <v>0</v>
      </c>
      <c r="I331" t="n">
        <v>0</v>
      </c>
      <c r="J331" t="n">
        <v>0</v>
      </c>
      <c r="K331" t="n">
        <v>0</v>
      </c>
      <c r="L331" t="n">
        <v>0</v>
      </c>
      <c r="M331" t="n">
        <v>0</v>
      </c>
      <c r="N331" t="n">
        <v>0</v>
      </c>
      <c r="O331" t="n">
        <v>0</v>
      </c>
      <c r="P331" t="n">
        <v>0</v>
      </c>
      <c r="Q331" t="n">
        <v>0</v>
      </c>
      <c r="R331" s="2" t="inlineStr"/>
    </row>
    <row r="332" ht="15" customHeight="1">
      <c r="A332" t="inlineStr">
        <is>
          <t>A 46942-2024</t>
        </is>
      </c>
      <c r="B332" s="1" t="n">
        <v>45585</v>
      </c>
      <c r="C332" s="1" t="n">
        <v>46193</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12558-2023</t>
        </is>
      </c>
      <c r="B333" s="1" t="n">
        <v>45000</v>
      </c>
      <c r="C333" s="1" t="n">
        <v>46193</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13673-2023</t>
        </is>
      </c>
      <c r="B334" s="1" t="n">
        <v>45006</v>
      </c>
      <c r="C334" s="1" t="n">
        <v>46193</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58915-2023</t>
        </is>
      </c>
      <c r="B335" s="1" t="n">
        <v>45250</v>
      </c>
      <c r="C335" s="1" t="n">
        <v>46193</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48844-2023</t>
        </is>
      </c>
      <c r="B336" s="1" t="n">
        <v>45209</v>
      </c>
      <c r="C336" s="1" t="n">
        <v>46193</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20494-2024</t>
        </is>
      </c>
      <c r="B337" s="1" t="n">
        <v>45435</v>
      </c>
      <c r="C337" s="1" t="n">
        <v>46193</v>
      </c>
      <c r="D337" t="inlineStr">
        <is>
          <t>SKÅNE LÄN</t>
        </is>
      </c>
      <c r="E337" t="inlineStr">
        <is>
          <t>HÄSSLEHOLM</t>
        </is>
      </c>
      <c r="G337" t="n">
        <v>1.4</v>
      </c>
      <c r="H337" t="n">
        <v>0</v>
      </c>
      <c r="I337" t="n">
        <v>0</v>
      </c>
      <c r="J337" t="n">
        <v>0</v>
      </c>
      <c r="K337" t="n">
        <v>0</v>
      </c>
      <c r="L337" t="n">
        <v>0</v>
      </c>
      <c r="M337" t="n">
        <v>0</v>
      </c>
      <c r="N337" t="n">
        <v>0</v>
      </c>
      <c r="O337" t="n">
        <v>0</v>
      </c>
      <c r="P337" t="n">
        <v>0</v>
      </c>
      <c r="Q337" t="n">
        <v>0</v>
      </c>
      <c r="R337" s="2" t="inlineStr"/>
    </row>
    <row r="338" ht="15" customHeight="1">
      <c r="A338" t="inlineStr">
        <is>
          <t>A 57033-2022</t>
        </is>
      </c>
      <c r="B338" s="1" t="n">
        <v>44895</v>
      </c>
      <c r="C338" s="1" t="n">
        <v>46193</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33257-2024</t>
        </is>
      </c>
      <c r="B339" s="1" t="n">
        <v>45518</v>
      </c>
      <c r="C339" s="1" t="n">
        <v>46193</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44697-2021</t>
        </is>
      </c>
      <c r="B340" s="1" t="n">
        <v>44438</v>
      </c>
      <c r="C340" s="1" t="n">
        <v>46193</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53067-2022</t>
        </is>
      </c>
      <c r="B341" s="1" t="n">
        <v>44873</v>
      </c>
      <c r="C341" s="1" t="n">
        <v>46193</v>
      </c>
      <c r="D341" t="inlineStr">
        <is>
          <t>SKÅNE LÄN</t>
        </is>
      </c>
      <c r="E341" t="inlineStr">
        <is>
          <t>HÄSSLEHOLM</t>
        </is>
      </c>
      <c r="G341" t="n">
        <v>1.2</v>
      </c>
      <c r="H341" t="n">
        <v>0</v>
      </c>
      <c r="I341" t="n">
        <v>0</v>
      </c>
      <c r="J341" t="n">
        <v>0</v>
      </c>
      <c r="K341" t="n">
        <v>0</v>
      </c>
      <c r="L341" t="n">
        <v>0</v>
      </c>
      <c r="M341" t="n">
        <v>0</v>
      </c>
      <c r="N341" t="n">
        <v>0</v>
      </c>
      <c r="O341" t="n">
        <v>0</v>
      </c>
      <c r="P341" t="n">
        <v>0</v>
      </c>
      <c r="Q341" t="n">
        <v>0</v>
      </c>
      <c r="R341" s="2" t="inlineStr"/>
    </row>
    <row r="342" ht="15" customHeight="1">
      <c r="A342" t="inlineStr">
        <is>
          <t>A 1120-2024</t>
        </is>
      </c>
      <c r="B342" s="1" t="n">
        <v>45302</v>
      </c>
      <c r="C342" s="1" t="n">
        <v>46193</v>
      </c>
      <c r="D342" t="inlineStr">
        <is>
          <t>SKÅNE LÄN</t>
        </is>
      </c>
      <c r="E342" t="inlineStr">
        <is>
          <t>HÄSSLEHOLM</t>
        </is>
      </c>
      <c r="G342" t="n">
        <v>2.7</v>
      </c>
      <c r="H342" t="n">
        <v>0</v>
      </c>
      <c r="I342" t="n">
        <v>0</v>
      </c>
      <c r="J342" t="n">
        <v>0</v>
      </c>
      <c r="K342" t="n">
        <v>0</v>
      </c>
      <c r="L342" t="n">
        <v>0</v>
      </c>
      <c r="M342" t="n">
        <v>0</v>
      </c>
      <c r="N342" t="n">
        <v>0</v>
      </c>
      <c r="O342" t="n">
        <v>0</v>
      </c>
      <c r="P342" t="n">
        <v>0</v>
      </c>
      <c r="Q342" t="n">
        <v>0</v>
      </c>
      <c r="R342" s="2" t="inlineStr"/>
    </row>
    <row r="343" ht="15" customHeight="1">
      <c r="A343" t="inlineStr">
        <is>
          <t>A 21329-2023</t>
        </is>
      </c>
      <c r="B343" s="1" t="n">
        <v>45062</v>
      </c>
      <c r="C343" s="1" t="n">
        <v>46193</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27177-2024</t>
        </is>
      </c>
      <c r="B344" s="1" t="n">
        <v>45471</v>
      </c>
      <c r="C344" s="1" t="n">
        <v>46193</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42428-2022</t>
        </is>
      </c>
      <c r="B345" s="1" t="n">
        <v>44831</v>
      </c>
      <c r="C345" s="1" t="n">
        <v>46193</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22595-2024</t>
        </is>
      </c>
      <c r="B346" s="1" t="n">
        <v>45447</v>
      </c>
      <c r="C346" s="1" t="n">
        <v>46193</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38148-2022</t>
        </is>
      </c>
      <c r="B347" s="1" t="n">
        <v>44811</v>
      </c>
      <c r="C347" s="1" t="n">
        <v>46193</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51618-2024</t>
        </is>
      </c>
      <c r="B348" s="1" t="n">
        <v>45604</v>
      </c>
      <c r="C348" s="1" t="n">
        <v>46193</v>
      </c>
      <c r="D348" t="inlineStr">
        <is>
          <t>SKÅNE LÄN</t>
        </is>
      </c>
      <c r="E348" t="inlineStr">
        <is>
          <t>HÄSSLEHOLM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10409-2024</t>
        </is>
      </c>
      <c r="B349" s="1" t="n">
        <v>45365</v>
      </c>
      <c r="C349" s="1" t="n">
        <v>46193</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61186-2022</t>
        </is>
      </c>
      <c r="B350" s="1" t="n">
        <v>44915</v>
      </c>
      <c r="C350" s="1" t="n">
        <v>46193</v>
      </c>
      <c r="D350" t="inlineStr">
        <is>
          <t>SKÅNE LÄN</t>
        </is>
      </c>
      <c r="E350" t="inlineStr">
        <is>
          <t>HÄSSLEHOLM</t>
        </is>
      </c>
      <c r="G350" t="n">
        <v>2.9</v>
      </c>
      <c r="H350" t="n">
        <v>0</v>
      </c>
      <c r="I350" t="n">
        <v>0</v>
      </c>
      <c r="J350" t="n">
        <v>0</v>
      </c>
      <c r="K350" t="n">
        <v>0</v>
      </c>
      <c r="L350" t="n">
        <v>0</v>
      </c>
      <c r="M350" t="n">
        <v>0</v>
      </c>
      <c r="N350" t="n">
        <v>0</v>
      </c>
      <c r="O350" t="n">
        <v>0</v>
      </c>
      <c r="P350" t="n">
        <v>0</v>
      </c>
      <c r="Q350" t="n">
        <v>0</v>
      </c>
      <c r="R350" s="2" t="inlineStr"/>
    </row>
    <row r="351" ht="15" customHeight="1">
      <c r="A351" t="inlineStr">
        <is>
          <t>A 31995-2023</t>
        </is>
      </c>
      <c r="B351" s="1" t="n">
        <v>45107</v>
      </c>
      <c r="C351" s="1" t="n">
        <v>46193</v>
      </c>
      <c r="D351" t="inlineStr">
        <is>
          <t>SKÅNE LÄN</t>
        </is>
      </c>
      <c r="E351" t="inlineStr">
        <is>
          <t>HÄSSLEHOLM</t>
        </is>
      </c>
      <c r="G351" t="n">
        <v>7.3</v>
      </c>
      <c r="H351" t="n">
        <v>0</v>
      </c>
      <c r="I351" t="n">
        <v>0</v>
      </c>
      <c r="J351" t="n">
        <v>0</v>
      </c>
      <c r="K351" t="n">
        <v>0</v>
      </c>
      <c r="L351" t="n">
        <v>0</v>
      </c>
      <c r="M351" t="n">
        <v>0</v>
      </c>
      <c r="N351" t="n">
        <v>0</v>
      </c>
      <c r="O351" t="n">
        <v>0</v>
      </c>
      <c r="P351" t="n">
        <v>0</v>
      </c>
      <c r="Q351" t="n">
        <v>0</v>
      </c>
      <c r="R351" s="2" t="inlineStr"/>
    </row>
    <row r="352" ht="15" customHeight="1">
      <c r="A352" t="inlineStr">
        <is>
          <t>A 34342-2021</t>
        </is>
      </c>
      <c r="B352" s="1" t="n">
        <v>44379</v>
      </c>
      <c r="C352" s="1" t="n">
        <v>46193</v>
      </c>
      <c r="D352" t="inlineStr">
        <is>
          <t>SKÅNE LÄN</t>
        </is>
      </c>
      <c r="E352" t="inlineStr">
        <is>
          <t>HÄSSLEHOLM</t>
        </is>
      </c>
      <c r="G352" t="n">
        <v>7</v>
      </c>
      <c r="H352" t="n">
        <v>0</v>
      </c>
      <c r="I352" t="n">
        <v>0</v>
      </c>
      <c r="J352" t="n">
        <v>0</v>
      </c>
      <c r="K352" t="n">
        <v>0</v>
      </c>
      <c r="L352" t="n">
        <v>0</v>
      </c>
      <c r="M352" t="n">
        <v>0</v>
      </c>
      <c r="N352" t="n">
        <v>0</v>
      </c>
      <c r="O352" t="n">
        <v>0</v>
      </c>
      <c r="P352" t="n">
        <v>0</v>
      </c>
      <c r="Q352" t="n">
        <v>0</v>
      </c>
      <c r="R352" s="2" t="inlineStr"/>
    </row>
    <row r="353" ht="15" customHeight="1">
      <c r="A353" t="inlineStr">
        <is>
          <t>A 4356-2024</t>
        </is>
      </c>
      <c r="B353" s="1" t="n">
        <v>45325</v>
      </c>
      <c r="C353" s="1" t="n">
        <v>46193</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47840-2023</t>
        </is>
      </c>
      <c r="B354" s="1" t="n">
        <v>45204</v>
      </c>
      <c r="C354" s="1" t="n">
        <v>46193</v>
      </c>
      <c r="D354" t="inlineStr">
        <is>
          <t>SKÅNE LÄN</t>
        </is>
      </c>
      <c r="E354" t="inlineStr">
        <is>
          <t>HÄSSLEHOLM</t>
        </is>
      </c>
      <c r="G354" t="n">
        <v>2.4</v>
      </c>
      <c r="H354" t="n">
        <v>0</v>
      </c>
      <c r="I354" t="n">
        <v>0</v>
      </c>
      <c r="J354" t="n">
        <v>0</v>
      </c>
      <c r="K354" t="n">
        <v>0</v>
      </c>
      <c r="L354" t="n">
        <v>0</v>
      </c>
      <c r="M354" t="n">
        <v>0</v>
      </c>
      <c r="N354" t="n">
        <v>0</v>
      </c>
      <c r="O354" t="n">
        <v>0</v>
      </c>
      <c r="P354" t="n">
        <v>0</v>
      </c>
      <c r="Q354" t="n">
        <v>0</v>
      </c>
      <c r="R354" s="2" t="inlineStr"/>
    </row>
    <row r="355" ht="15" customHeight="1">
      <c r="A355" t="inlineStr">
        <is>
          <t>A 42776-2021</t>
        </is>
      </c>
      <c r="B355" s="1" t="n">
        <v>44428</v>
      </c>
      <c r="C355" s="1" t="n">
        <v>46193</v>
      </c>
      <c r="D355" t="inlineStr">
        <is>
          <t>SKÅNE LÄN</t>
        </is>
      </c>
      <c r="E355" t="inlineStr">
        <is>
          <t>HÄSSLEHOLM</t>
        </is>
      </c>
      <c r="G355" t="n">
        <v>3.2</v>
      </c>
      <c r="H355" t="n">
        <v>0</v>
      </c>
      <c r="I355" t="n">
        <v>0</v>
      </c>
      <c r="J355" t="n">
        <v>0</v>
      </c>
      <c r="K355" t="n">
        <v>0</v>
      </c>
      <c r="L355" t="n">
        <v>0</v>
      </c>
      <c r="M355" t="n">
        <v>0</v>
      </c>
      <c r="N355" t="n">
        <v>0</v>
      </c>
      <c r="O355" t="n">
        <v>0</v>
      </c>
      <c r="P355" t="n">
        <v>0</v>
      </c>
      <c r="Q355" t="n">
        <v>0</v>
      </c>
      <c r="R355" s="2" t="inlineStr"/>
    </row>
    <row r="356" ht="15" customHeight="1">
      <c r="A356" t="inlineStr">
        <is>
          <t>A 45222-2023</t>
        </is>
      </c>
      <c r="B356" s="1" t="n">
        <v>45191</v>
      </c>
      <c r="C356" s="1" t="n">
        <v>46193</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13310-2025</t>
        </is>
      </c>
      <c r="B357" s="1" t="n">
        <v>45735</v>
      </c>
      <c r="C357" s="1" t="n">
        <v>46193</v>
      </c>
      <c r="D357" t="inlineStr">
        <is>
          <t>SKÅNE LÄN</t>
        </is>
      </c>
      <c r="E357" t="inlineStr">
        <is>
          <t>HÄSSLEHOLM</t>
        </is>
      </c>
      <c r="G357" t="n">
        <v>2</v>
      </c>
      <c r="H357" t="n">
        <v>0</v>
      </c>
      <c r="I357" t="n">
        <v>0</v>
      </c>
      <c r="J357" t="n">
        <v>0</v>
      </c>
      <c r="K357" t="n">
        <v>0</v>
      </c>
      <c r="L357" t="n">
        <v>0</v>
      </c>
      <c r="M357" t="n">
        <v>0</v>
      </c>
      <c r="N357" t="n">
        <v>0</v>
      </c>
      <c r="O357" t="n">
        <v>0</v>
      </c>
      <c r="P357" t="n">
        <v>0</v>
      </c>
      <c r="Q357" t="n">
        <v>0</v>
      </c>
      <c r="R357" s="2" t="inlineStr"/>
    </row>
    <row r="358" ht="15" customHeight="1">
      <c r="A358" t="inlineStr">
        <is>
          <t>A 12780-2024</t>
        </is>
      </c>
      <c r="B358" s="1" t="n">
        <v>45384</v>
      </c>
      <c r="C358" s="1" t="n">
        <v>46193</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34888-2023</t>
        </is>
      </c>
      <c r="B359" s="1" t="n">
        <v>45142</v>
      </c>
      <c r="C359" s="1" t="n">
        <v>46193</v>
      </c>
      <c r="D359" t="inlineStr">
        <is>
          <t>SKÅNE LÄN</t>
        </is>
      </c>
      <c r="E359" t="inlineStr">
        <is>
          <t>HÄSSLEHOLM</t>
        </is>
      </c>
      <c r="G359" t="n">
        <v>1.4</v>
      </c>
      <c r="H359" t="n">
        <v>0</v>
      </c>
      <c r="I359" t="n">
        <v>0</v>
      </c>
      <c r="J359" t="n">
        <v>0</v>
      </c>
      <c r="K359" t="n">
        <v>0</v>
      </c>
      <c r="L359" t="n">
        <v>0</v>
      </c>
      <c r="M359" t="n">
        <v>0</v>
      </c>
      <c r="N359" t="n">
        <v>0</v>
      </c>
      <c r="O359" t="n">
        <v>0</v>
      </c>
      <c r="P359" t="n">
        <v>0</v>
      </c>
      <c r="Q359" t="n">
        <v>0</v>
      </c>
      <c r="R359" s="2" t="inlineStr"/>
    </row>
    <row r="360" ht="15" customHeight="1">
      <c r="A360" t="inlineStr">
        <is>
          <t>A 28457-2024</t>
        </is>
      </c>
      <c r="B360" s="1" t="n">
        <v>45477</v>
      </c>
      <c r="C360" s="1" t="n">
        <v>46193</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15055-2023</t>
        </is>
      </c>
      <c r="B361" s="1" t="n">
        <v>45015</v>
      </c>
      <c r="C361" s="1" t="n">
        <v>46193</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22594-2024</t>
        </is>
      </c>
      <c r="B362" s="1" t="n">
        <v>45447</v>
      </c>
      <c r="C362" s="1" t="n">
        <v>46193</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55056-2021</t>
        </is>
      </c>
      <c r="B363" s="1" t="n">
        <v>44474</v>
      </c>
      <c r="C363" s="1" t="n">
        <v>46193</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53085-2022</t>
        </is>
      </c>
      <c r="B364" s="1" t="n">
        <v>44873</v>
      </c>
      <c r="C364" s="1" t="n">
        <v>46193</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4042-2023</t>
        </is>
      </c>
      <c r="B365" s="1" t="n">
        <v>44952</v>
      </c>
      <c r="C365" s="1" t="n">
        <v>46193</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25324-2024</t>
        </is>
      </c>
      <c r="B366" s="1" t="n">
        <v>45462</v>
      </c>
      <c r="C366" s="1" t="n">
        <v>46193</v>
      </c>
      <c r="D366" t="inlineStr">
        <is>
          <t>SKÅNE LÄN</t>
        </is>
      </c>
      <c r="E366" t="inlineStr">
        <is>
          <t>HÄSSLEHOLM</t>
        </is>
      </c>
      <c r="G366" t="n">
        <v>0.2</v>
      </c>
      <c r="H366" t="n">
        <v>0</v>
      </c>
      <c r="I366" t="n">
        <v>0</v>
      </c>
      <c r="J366" t="n">
        <v>0</v>
      </c>
      <c r="K366" t="n">
        <v>0</v>
      </c>
      <c r="L366" t="n">
        <v>0</v>
      </c>
      <c r="M366" t="n">
        <v>0</v>
      </c>
      <c r="N366" t="n">
        <v>0</v>
      </c>
      <c r="O366" t="n">
        <v>0</v>
      </c>
      <c r="P366" t="n">
        <v>0</v>
      </c>
      <c r="Q366" t="n">
        <v>0</v>
      </c>
      <c r="R366" s="2" t="inlineStr"/>
    </row>
    <row r="367" ht="15" customHeight="1">
      <c r="A367" t="inlineStr">
        <is>
          <t>A 3123-2023</t>
        </is>
      </c>
      <c r="B367" s="1" t="n">
        <v>44946</v>
      </c>
      <c r="C367" s="1" t="n">
        <v>46193</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3126-2023</t>
        </is>
      </c>
      <c r="B368" s="1" t="n">
        <v>44946</v>
      </c>
      <c r="C368" s="1" t="n">
        <v>46193</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16388-2025</t>
        </is>
      </c>
      <c r="B369" s="1" t="n">
        <v>45751</v>
      </c>
      <c r="C369" s="1" t="n">
        <v>46193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16668-2025</t>
        </is>
      </c>
      <c r="B370" s="1" t="n">
        <v>45754</v>
      </c>
      <c r="C370" s="1" t="n">
        <v>46193</v>
      </c>
      <c r="D370" t="inlineStr">
        <is>
          <t>SKÅNE LÄN</t>
        </is>
      </c>
      <c r="E370" t="inlineStr">
        <is>
          <t>HÄSSLEHOLM</t>
        </is>
      </c>
      <c r="G370" t="n">
        <v>4</v>
      </c>
      <c r="H370" t="n">
        <v>0</v>
      </c>
      <c r="I370" t="n">
        <v>0</v>
      </c>
      <c r="J370" t="n">
        <v>0</v>
      </c>
      <c r="K370" t="n">
        <v>0</v>
      </c>
      <c r="L370" t="n">
        <v>0</v>
      </c>
      <c r="M370" t="n">
        <v>0</v>
      </c>
      <c r="N370" t="n">
        <v>0</v>
      </c>
      <c r="O370" t="n">
        <v>0</v>
      </c>
      <c r="P370" t="n">
        <v>0</v>
      </c>
      <c r="Q370" t="n">
        <v>0</v>
      </c>
      <c r="R370" s="2" t="inlineStr"/>
    </row>
    <row r="371" ht="15" customHeight="1">
      <c r="A371" t="inlineStr">
        <is>
          <t>A 25213-2023</t>
        </is>
      </c>
      <c r="B371" s="1" t="n">
        <v>45086</v>
      </c>
      <c r="C371" s="1" t="n">
        <v>46193</v>
      </c>
      <c r="D371" t="inlineStr">
        <is>
          <t>SKÅNE LÄN</t>
        </is>
      </c>
      <c r="E371" t="inlineStr">
        <is>
          <t>HÄSSLEHOLM</t>
        </is>
      </c>
      <c r="G371" t="n">
        <v>7.2</v>
      </c>
      <c r="H371" t="n">
        <v>0</v>
      </c>
      <c r="I371" t="n">
        <v>0</v>
      </c>
      <c r="J371" t="n">
        <v>0</v>
      </c>
      <c r="K371" t="n">
        <v>0</v>
      </c>
      <c r="L371" t="n">
        <v>0</v>
      </c>
      <c r="M371" t="n">
        <v>0</v>
      </c>
      <c r="N371" t="n">
        <v>0</v>
      </c>
      <c r="O371" t="n">
        <v>0</v>
      </c>
      <c r="P371" t="n">
        <v>0</v>
      </c>
      <c r="Q371" t="n">
        <v>0</v>
      </c>
      <c r="R371" s="2" t="inlineStr"/>
    </row>
    <row r="372" ht="15" customHeight="1">
      <c r="A372" t="inlineStr">
        <is>
          <t>A 9709-2023</t>
        </is>
      </c>
      <c r="B372" s="1" t="n">
        <v>44984</v>
      </c>
      <c r="C372" s="1" t="n">
        <v>46193</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51287-2022</t>
        </is>
      </c>
      <c r="B373" s="1" t="n">
        <v>44868</v>
      </c>
      <c r="C373" s="1" t="n">
        <v>46193</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26403-2024</t>
        </is>
      </c>
      <c r="B374" s="1" t="n">
        <v>45469</v>
      </c>
      <c r="C374" s="1" t="n">
        <v>46193</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26403-2024</t>
        </is>
      </c>
      <c r="B375" s="1" t="n">
        <v>45469</v>
      </c>
      <c r="C375" s="1" t="n">
        <v>46193</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2290-2024</t>
        </is>
      </c>
      <c r="B376" s="1" t="n">
        <v>45310</v>
      </c>
      <c r="C376" s="1" t="n">
        <v>46193</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24865-2024</t>
        </is>
      </c>
      <c r="B377" s="1" t="n">
        <v>45461</v>
      </c>
      <c r="C377" s="1" t="n">
        <v>46193</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13646-2024</t>
        </is>
      </c>
      <c r="B378" s="1" t="n">
        <v>45387</v>
      </c>
      <c r="C378" s="1" t="n">
        <v>46193</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13316-2023</t>
        </is>
      </c>
      <c r="B379" s="1" t="n">
        <v>45005</v>
      </c>
      <c r="C379" s="1" t="n">
        <v>46193</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21867-2023</t>
        </is>
      </c>
      <c r="B380" s="1" t="n">
        <v>45063</v>
      </c>
      <c r="C380" s="1" t="n">
        <v>46193</v>
      </c>
      <c r="D380" t="inlineStr">
        <is>
          <t>SKÅNE LÄN</t>
        </is>
      </c>
      <c r="E380" t="inlineStr">
        <is>
          <t>HÄSSLEHOLM</t>
        </is>
      </c>
      <c r="G380" t="n">
        <v>7.6</v>
      </c>
      <c r="H380" t="n">
        <v>0</v>
      </c>
      <c r="I380" t="n">
        <v>0</v>
      </c>
      <c r="J380" t="n">
        <v>0</v>
      </c>
      <c r="K380" t="n">
        <v>0</v>
      </c>
      <c r="L380" t="n">
        <v>0</v>
      </c>
      <c r="M380" t="n">
        <v>0</v>
      </c>
      <c r="N380" t="n">
        <v>0</v>
      </c>
      <c r="O380" t="n">
        <v>0</v>
      </c>
      <c r="P380" t="n">
        <v>0</v>
      </c>
      <c r="Q380" t="n">
        <v>0</v>
      </c>
      <c r="R380" s="2" t="inlineStr"/>
    </row>
    <row r="381" ht="15" customHeight="1">
      <c r="A381" t="inlineStr">
        <is>
          <t>A 65235-2021</t>
        </is>
      </c>
      <c r="B381" s="1" t="n">
        <v>44515</v>
      </c>
      <c r="C381" s="1" t="n">
        <v>46193</v>
      </c>
      <c r="D381" t="inlineStr">
        <is>
          <t>SKÅNE LÄN</t>
        </is>
      </c>
      <c r="E381" t="inlineStr">
        <is>
          <t>HÄSSLEHOLM</t>
        </is>
      </c>
      <c r="G381" t="n">
        <v>2.5</v>
      </c>
      <c r="H381" t="n">
        <v>0</v>
      </c>
      <c r="I381" t="n">
        <v>0</v>
      </c>
      <c r="J381" t="n">
        <v>0</v>
      </c>
      <c r="K381" t="n">
        <v>0</v>
      </c>
      <c r="L381" t="n">
        <v>0</v>
      </c>
      <c r="M381" t="n">
        <v>0</v>
      </c>
      <c r="N381" t="n">
        <v>0</v>
      </c>
      <c r="O381" t="n">
        <v>0</v>
      </c>
      <c r="P381" t="n">
        <v>0</v>
      </c>
      <c r="Q381" t="n">
        <v>0</v>
      </c>
      <c r="R381" s="2" t="inlineStr"/>
    </row>
    <row r="382" ht="15" customHeight="1">
      <c r="A382" t="inlineStr">
        <is>
          <t>A 13358-2023</t>
        </is>
      </c>
      <c r="B382" s="1" t="n">
        <v>45005</v>
      </c>
      <c r="C382" s="1" t="n">
        <v>46193</v>
      </c>
      <c r="D382" t="inlineStr">
        <is>
          <t>SKÅNE LÄN</t>
        </is>
      </c>
      <c r="E382" t="inlineStr">
        <is>
          <t>HÄSSLEHOLM</t>
        </is>
      </c>
      <c r="F382" t="inlineStr">
        <is>
          <t>Övriga Aktiebolag</t>
        </is>
      </c>
      <c r="G382" t="n">
        <v>0.5</v>
      </c>
      <c r="H382" t="n">
        <v>0</v>
      </c>
      <c r="I382" t="n">
        <v>0</v>
      </c>
      <c r="J382" t="n">
        <v>0</v>
      </c>
      <c r="K382" t="n">
        <v>0</v>
      </c>
      <c r="L382" t="n">
        <v>0</v>
      </c>
      <c r="M382" t="n">
        <v>0</v>
      </c>
      <c r="N382" t="n">
        <v>0</v>
      </c>
      <c r="O382" t="n">
        <v>0</v>
      </c>
      <c r="P382" t="n">
        <v>0</v>
      </c>
      <c r="Q382" t="n">
        <v>0</v>
      </c>
      <c r="R382" s="2" t="inlineStr"/>
    </row>
    <row r="383" ht="15" customHeight="1">
      <c r="A383" t="inlineStr">
        <is>
          <t>A 5316-2023</t>
        </is>
      </c>
      <c r="B383" s="1" t="n">
        <v>44959</v>
      </c>
      <c r="C383" s="1" t="n">
        <v>46193</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32794-2023</t>
        </is>
      </c>
      <c r="B384" s="1" t="n">
        <v>45124</v>
      </c>
      <c r="C384" s="1" t="n">
        <v>46193</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25057-2024</t>
        </is>
      </c>
      <c r="B385" s="1" t="n">
        <v>45462</v>
      </c>
      <c r="C385" s="1" t="n">
        <v>46193</v>
      </c>
      <c r="D385" t="inlineStr">
        <is>
          <t>SKÅNE LÄN</t>
        </is>
      </c>
      <c r="E385" t="inlineStr">
        <is>
          <t>HÄSSLEHOLM</t>
        </is>
      </c>
      <c r="G385" t="n">
        <v>4.3</v>
      </c>
      <c r="H385" t="n">
        <v>0</v>
      </c>
      <c r="I385" t="n">
        <v>0</v>
      </c>
      <c r="J385" t="n">
        <v>0</v>
      </c>
      <c r="K385" t="n">
        <v>0</v>
      </c>
      <c r="L385" t="n">
        <v>0</v>
      </c>
      <c r="M385" t="n">
        <v>0</v>
      </c>
      <c r="N385" t="n">
        <v>0</v>
      </c>
      <c r="O385" t="n">
        <v>0</v>
      </c>
      <c r="P385" t="n">
        <v>0</v>
      </c>
      <c r="Q385" t="n">
        <v>0</v>
      </c>
      <c r="R385" s="2" t="inlineStr"/>
    </row>
    <row r="386" ht="15" customHeight="1">
      <c r="A386" t="inlineStr">
        <is>
          <t>A 28211-2022</t>
        </is>
      </c>
      <c r="B386" s="1" t="n">
        <v>44746</v>
      </c>
      <c r="C386" s="1" t="n">
        <v>46193</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12162-2023</t>
        </is>
      </c>
      <c r="B387" s="1" t="n">
        <v>44998</v>
      </c>
      <c r="C387" s="1" t="n">
        <v>46193</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13087-2023</t>
        </is>
      </c>
      <c r="B388" s="1" t="n">
        <v>45001</v>
      </c>
      <c r="C388" s="1" t="n">
        <v>46193</v>
      </c>
      <c r="D388" t="inlineStr">
        <is>
          <t>SKÅNE LÄN</t>
        </is>
      </c>
      <c r="E388" t="inlineStr">
        <is>
          <t>HÄSSLEHOLM</t>
        </is>
      </c>
      <c r="G388" t="n">
        <v>3.8</v>
      </c>
      <c r="H388" t="n">
        <v>0</v>
      </c>
      <c r="I388" t="n">
        <v>0</v>
      </c>
      <c r="J388" t="n">
        <v>0</v>
      </c>
      <c r="K388" t="n">
        <v>0</v>
      </c>
      <c r="L388" t="n">
        <v>0</v>
      </c>
      <c r="M388" t="n">
        <v>0</v>
      </c>
      <c r="N388" t="n">
        <v>0</v>
      </c>
      <c r="O388" t="n">
        <v>0</v>
      </c>
      <c r="P388" t="n">
        <v>0</v>
      </c>
      <c r="Q388" t="n">
        <v>0</v>
      </c>
      <c r="R388" s="2" t="inlineStr"/>
    </row>
    <row r="389" ht="15" customHeight="1">
      <c r="A389" t="inlineStr">
        <is>
          <t>A 10028-2024</t>
        </is>
      </c>
      <c r="B389" s="1" t="n">
        <v>45363</v>
      </c>
      <c r="C389" s="1" t="n">
        <v>46193</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52968-2022</t>
        </is>
      </c>
      <c r="B390" s="1" t="n">
        <v>44875</v>
      </c>
      <c r="C390" s="1" t="n">
        <v>46193</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61158-2022</t>
        </is>
      </c>
      <c r="B391" s="1" t="n">
        <v>44915</v>
      </c>
      <c r="C391" s="1" t="n">
        <v>46193</v>
      </c>
      <c r="D391" t="inlineStr">
        <is>
          <t>SKÅNE LÄN</t>
        </is>
      </c>
      <c r="E391" t="inlineStr">
        <is>
          <t>HÄSSLEHOLM</t>
        </is>
      </c>
      <c r="G391" t="n">
        <v>8.4</v>
      </c>
      <c r="H391" t="n">
        <v>0</v>
      </c>
      <c r="I391" t="n">
        <v>0</v>
      </c>
      <c r="J391" t="n">
        <v>0</v>
      </c>
      <c r="K391" t="n">
        <v>0</v>
      </c>
      <c r="L391" t="n">
        <v>0</v>
      </c>
      <c r="M391" t="n">
        <v>0</v>
      </c>
      <c r="N391" t="n">
        <v>0</v>
      </c>
      <c r="O391" t="n">
        <v>0</v>
      </c>
      <c r="P391" t="n">
        <v>0</v>
      </c>
      <c r="Q391" t="n">
        <v>0</v>
      </c>
      <c r="R391" s="2" t="inlineStr"/>
    </row>
    <row r="392" ht="15" customHeight="1">
      <c r="A392" t="inlineStr">
        <is>
          <t>A 24776-2025</t>
        </is>
      </c>
      <c r="B392" s="1" t="n">
        <v>45799</v>
      </c>
      <c r="C392" s="1" t="n">
        <v>46193</v>
      </c>
      <c r="D392" t="inlineStr">
        <is>
          <t>SKÅNE LÄN</t>
        </is>
      </c>
      <c r="E392" t="inlineStr">
        <is>
          <t>HÄSSLEHOLM</t>
        </is>
      </c>
      <c r="G392" t="n">
        <v>5.4</v>
      </c>
      <c r="H392" t="n">
        <v>0</v>
      </c>
      <c r="I392" t="n">
        <v>0</v>
      </c>
      <c r="J392" t="n">
        <v>0</v>
      </c>
      <c r="K392" t="n">
        <v>0</v>
      </c>
      <c r="L392" t="n">
        <v>0</v>
      </c>
      <c r="M392" t="n">
        <v>0</v>
      </c>
      <c r="N392" t="n">
        <v>0</v>
      </c>
      <c r="O392" t="n">
        <v>0</v>
      </c>
      <c r="P392" t="n">
        <v>0</v>
      </c>
      <c r="Q392" t="n">
        <v>0</v>
      </c>
      <c r="R392" s="2" t="inlineStr"/>
    </row>
    <row r="393" ht="15" customHeight="1">
      <c r="A393" t="inlineStr">
        <is>
          <t>A 12468-2024</t>
        </is>
      </c>
      <c r="B393" s="1" t="n">
        <v>45379</v>
      </c>
      <c r="C393" s="1" t="n">
        <v>46193</v>
      </c>
      <c r="D393" t="inlineStr">
        <is>
          <t>SKÅNE LÄN</t>
        </is>
      </c>
      <c r="E393" t="inlineStr">
        <is>
          <t>HÄSSLEHOLM</t>
        </is>
      </c>
      <c r="G393" t="n">
        <v>15.5</v>
      </c>
      <c r="H393" t="n">
        <v>0</v>
      </c>
      <c r="I393" t="n">
        <v>0</v>
      </c>
      <c r="J393" t="n">
        <v>0</v>
      </c>
      <c r="K393" t="n">
        <v>0</v>
      </c>
      <c r="L393" t="n">
        <v>0</v>
      </c>
      <c r="M393" t="n">
        <v>0</v>
      </c>
      <c r="N393" t="n">
        <v>0</v>
      </c>
      <c r="O393" t="n">
        <v>0</v>
      </c>
      <c r="P393" t="n">
        <v>0</v>
      </c>
      <c r="Q393" t="n">
        <v>0</v>
      </c>
      <c r="R393" s="2" t="inlineStr"/>
    </row>
    <row r="394" ht="15" customHeight="1">
      <c r="A394" t="inlineStr">
        <is>
          <t>A 14702-2025</t>
        </is>
      </c>
      <c r="B394" s="1" t="n">
        <v>45742</v>
      </c>
      <c r="C394" s="1" t="n">
        <v>46193</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9669-2025</t>
        </is>
      </c>
      <c r="B395" s="1" t="n">
        <v>45716</v>
      </c>
      <c r="C395" s="1" t="n">
        <v>46193</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59109-2023</t>
        </is>
      </c>
      <c r="B396" s="1" t="n">
        <v>45253</v>
      </c>
      <c r="C396" s="1" t="n">
        <v>46193</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4009-2024</t>
        </is>
      </c>
      <c r="B397" s="1" t="n">
        <v>45323</v>
      </c>
      <c r="C397" s="1" t="n">
        <v>46193</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62167-2022</t>
        </is>
      </c>
      <c r="B398" s="1" t="n">
        <v>44915</v>
      </c>
      <c r="C398" s="1" t="n">
        <v>46193</v>
      </c>
      <c r="D398" t="inlineStr">
        <is>
          <t>SKÅNE LÄN</t>
        </is>
      </c>
      <c r="E398" t="inlineStr">
        <is>
          <t>HÄSSLEHOLM</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62234-2022</t>
        </is>
      </c>
      <c r="B399" s="1" t="n">
        <v>44922</v>
      </c>
      <c r="C399" s="1" t="n">
        <v>46193</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60848-2022</t>
        </is>
      </c>
      <c r="B400" s="1" t="n">
        <v>44914</v>
      </c>
      <c r="C400" s="1" t="n">
        <v>46193</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44741-2023</t>
        </is>
      </c>
      <c r="B401" s="1" t="n">
        <v>45190</v>
      </c>
      <c r="C401" s="1" t="n">
        <v>46193</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v>
      </c>
      <c r="C402" s="1" t="n">
        <v>46193</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58888-2024</t>
        </is>
      </c>
      <c r="B403" s="1" t="n">
        <v>45636</v>
      </c>
      <c r="C403" s="1" t="n">
        <v>46193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9239-2025</t>
        </is>
      </c>
      <c r="B404" s="1" t="n">
        <v>45714</v>
      </c>
      <c r="C404" s="1" t="n">
        <v>46193</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57649-2022</t>
        </is>
      </c>
      <c r="B405" s="1" t="n">
        <v>44897</v>
      </c>
      <c r="C405" s="1" t="n">
        <v>46193</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57665-2022</t>
        </is>
      </c>
      <c r="B406" s="1" t="n">
        <v>44897</v>
      </c>
      <c r="C406" s="1" t="n">
        <v>46193</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50899-2024</t>
        </is>
      </c>
      <c r="B407" s="1" t="n">
        <v>45602</v>
      </c>
      <c r="C407" s="1" t="n">
        <v>46193</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54671-2022</t>
        </is>
      </c>
      <c r="B408" s="1" t="n">
        <v>44883</v>
      </c>
      <c r="C408" s="1" t="n">
        <v>46193</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48624-2021</t>
        </is>
      </c>
      <c r="B409" s="1" t="n">
        <v>44452</v>
      </c>
      <c r="C409" s="1" t="n">
        <v>46193</v>
      </c>
      <c r="D409" t="inlineStr">
        <is>
          <t>SKÅNE LÄN</t>
        </is>
      </c>
      <c r="E409" t="inlineStr">
        <is>
          <t>HÄSSLEHOLM</t>
        </is>
      </c>
      <c r="G409" t="n">
        <v>2.2</v>
      </c>
      <c r="H409" t="n">
        <v>0</v>
      </c>
      <c r="I409" t="n">
        <v>0</v>
      </c>
      <c r="J409" t="n">
        <v>0</v>
      </c>
      <c r="K409" t="n">
        <v>0</v>
      </c>
      <c r="L409" t="n">
        <v>0</v>
      </c>
      <c r="M409" t="n">
        <v>0</v>
      </c>
      <c r="N409" t="n">
        <v>0</v>
      </c>
      <c r="O409" t="n">
        <v>0</v>
      </c>
      <c r="P409" t="n">
        <v>0</v>
      </c>
      <c r="Q409" t="n">
        <v>0</v>
      </c>
      <c r="R409" s="2" t="inlineStr"/>
    </row>
    <row r="410" ht="15" customHeight="1">
      <c r="A410" t="inlineStr">
        <is>
          <t>A 53887-2023</t>
        </is>
      </c>
      <c r="B410" s="1" t="n">
        <v>45231</v>
      </c>
      <c r="C410" s="1" t="n">
        <v>46193</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6165-2023</t>
        </is>
      </c>
      <c r="B411" s="1" t="n">
        <v>44964</v>
      </c>
      <c r="C411" s="1" t="n">
        <v>46193</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49167-2022</t>
        </is>
      </c>
      <c r="B412" s="1" t="n">
        <v>44860</v>
      </c>
      <c r="C412" s="1" t="n">
        <v>46193</v>
      </c>
      <c r="D412" t="inlineStr">
        <is>
          <t>SKÅNE LÄN</t>
        </is>
      </c>
      <c r="E412" t="inlineStr">
        <is>
          <t>HÄSSLEHOLM</t>
        </is>
      </c>
      <c r="G412" t="n">
        <v>1.3</v>
      </c>
      <c r="H412" t="n">
        <v>0</v>
      </c>
      <c r="I412" t="n">
        <v>0</v>
      </c>
      <c r="J412" t="n">
        <v>0</v>
      </c>
      <c r="K412" t="n">
        <v>0</v>
      </c>
      <c r="L412" t="n">
        <v>0</v>
      </c>
      <c r="M412" t="n">
        <v>0</v>
      </c>
      <c r="N412" t="n">
        <v>0</v>
      </c>
      <c r="O412" t="n">
        <v>0</v>
      </c>
      <c r="P412" t="n">
        <v>0</v>
      </c>
      <c r="Q412" t="n">
        <v>0</v>
      </c>
      <c r="R412" s="2" t="inlineStr"/>
    </row>
    <row r="413" ht="15" customHeight="1">
      <c r="A413" t="inlineStr">
        <is>
          <t>A 28071-2023</t>
        </is>
      </c>
      <c r="B413" s="1" t="n">
        <v>45099</v>
      </c>
      <c r="C413" s="1" t="n">
        <v>46193</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3507-2024</t>
        </is>
      </c>
      <c r="B414" s="1" t="n">
        <v>45320</v>
      </c>
      <c r="C414" s="1" t="n">
        <v>46193</v>
      </c>
      <c r="D414" t="inlineStr">
        <is>
          <t>SKÅNE LÄN</t>
        </is>
      </c>
      <c r="E414" t="inlineStr">
        <is>
          <t>HÄSSLEHOLM</t>
        </is>
      </c>
      <c r="G414" t="n">
        <v>6.4</v>
      </c>
      <c r="H414" t="n">
        <v>0</v>
      </c>
      <c r="I414" t="n">
        <v>0</v>
      </c>
      <c r="J414" t="n">
        <v>0</v>
      </c>
      <c r="K414" t="n">
        <v>0</v>
      </c>
      <c r="L414" t="n">
        <v>0</v>
      </c>
      <c r="M414" t="n">
        <v>0</v>
      </c>
      <c r="N414" t="n">
        <v>0</v>
      </c>
      <c r="O414" t="n">
        <v>0</v>
      </c>
      <c r="P414" t="n">
        <v>0</v>
      </c>
      <c r="Q414" t="n">
        <v>0</v>
      </c>
      <c r="R414" s="2" t="inlineStr"/>
    </row>
    <row r="415" ht="15" customHeight="1">
      <c r="A415" t="inlineStr">
        <is>
          <t>A 4119-2024</t>
        </is>
      </c>
      <c r="B415" s="1" t="n">
        <v>45323</v>
      </c>
      <c r="C415" s="1" t="n">
        <v>46193</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16017-2023</t>
        </is>
      </c>
      <c r="B416" s="1" t="n">
        <v>45026</v>
      </c>
      <c r="C416" s="1" t="n">
        <v>46193</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48877-2024</t>
        </is>
      </c>
      <c r="B417" s="1" t="n">
        <v>45594</v>
      </c>
      <c r="C417" s="1" t="n">
        <v>46193</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31989-2024</t>
        </is>
      </c>
      <c r="B418" s="1" t="n">
        <v>45510</v>
      </c>
      <c r="C418" s="1" t="n">
        <v>46193</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1619-2022</t>
        </is>
      </c>
      <c r="B419" s="1" t="n">
        <v>44573</v>
      </c>
      <c r="C419" s="1" t="n">
        <v>46193</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10802-2024</t>
        </is>
      </c>
      <c r="B420" s="1" t="n">
        <v>45369</v>
      </c>
      <c r="C420" s="1" t="n">
        <v>46193</v>
      </c>
      <c r="D420" t="inlineStr">
        <is>
          <t>SKÅNE LÄN</t>
        </is>
      </c>
      <c r="E420" t="inlineStr">
        <is>
          <t>HÄSSLEHOLM</t>
        </is>
      </c>
      <c r="G420" t="n">
        <v>3.4</v>
      </c>
      <c r="H420" t="n">
        <v>0</v>
      </c>
      <c r="I420" t="n">
        <v>0</v>
      </c>
      <c r="J420" t="n">
        <v>0</v>
      </c>
      <c r="K420" t="n">
        <v>0</v>
      </c>
      <c r="L420" t="n">
        <v>0</v>
      </c>
      <c r="M420" t="n">
        <v>0</v>
      </c>
      <c r="N420" t="n">
        <v>0</v>
      </c>
      <c r="O420" t="n">
        <v>0</v>
      </c>
      <c r="P420" t="n">
        <v>0</v>
      </c>
      <c r="Q420" t="n">
        <v>0</v>
      </c>
      <c r="R420" s="2" t="inlineStr"/>
    </row>
    <row r="421" ht="15" customHeight="1">
      <c r="A421" t="inlineStr">
        <is>
          <t>A 35640-2023</t>
        </is>
      </c>
      <c r="B421" s="1" t="n">
        <v>45147</v>
      </c>
      <c r="C421" s="1" t="n">
        <v>46193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39453-2025</t>
        </is>
      </c>
      <c r="B422" s="1" t="n">
        <v>45889</v>
      </c>
      <c r="C422" s="1" t="n">
        <v>46193</v>
      </c>
      <c r="D422" t="inlineStr">
        <is>
          <t>SKÅNE LÄN</t>
        </is>
      </c>
      <c r="E422" t="inlineStr">
        <is>
          <t>HÄSSLEHOLM</t>
        </is>
      </c>
      <c r="G422" t="n">
        <v>2.5</v>
      </c>
      <c r="H422" t="n">
        <v>0</v>
      </c>
      <c r="I422" t="n">
        <v>0</v>
      </c>
      <c r="J422" t="n">
        <v>0</v>
      </c>
      <c r="K422" t="n">
        <v>0</v>
      </c>
      <c r="L422" t="n">
        <v>0</v>
      </c>
      <c r="M422" t="n">
        <v>0</v>
      </c>
      <c r="N422" t="n">
        <v>0</v>
      </c>
      <c r="O422" t="n">
        <v>0</v>
      </c>
      <c r="P422" t="n">
        <v>0</v>
      </c>
      <c r="Q422" t="n">
        <v>0</v>
      </c>
      <c r="R422" s="2" t="inlineStr"/>
    </row>
    <row r="423" ht="15" customHeight="1">
      <c r="A423" t="inlineStr">
        <is>
          <t>A 48771-2024</t>
        </is>
      </c>
      <c r="B423" s="1" t="n">
        <v>45593</v>
      </c>
      <c r="C423" s="1" t="n">
        <v>46193</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24241-2023</t>
        </is>
      </c>
      <c r="B424" s="1" t="n">
        <v>45079</v>
      </c>
      <c r="C424" s="1" t="n">
        <v>46193</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23987-2024</t>
        </is>
      </c>
      <c r="B425" s="1" t="n">
        <v>45456</v>
      </c>
      <c r="C425" s="1" t="n">
        <v>46193</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48046-2023</t>
        </is>
      </c>
      <c r="B426" s="1" t="n">
        <v>45204</v>
      </c>
      <c r="C426" s="1" t="n">
        <v>46193</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11607-2025</t>
        </is>
      </c>
      <c r="B427" s="1" t="n">
        <v>45727</v>
      </c>
      <c r="C427" s="1" t="n">
        <v>46193</v>
      </c>
      <c r="D427" t="inlineStr">
        <is>
          <t>SKÅNE LÄN</t>
        </is>
      </c>
      <c r="E427" t="inlineStr">
        <is>
          <t>HÄSSLEHOLM</t>
        </is>
      </c>
      <c r="G427" t="n">
        <v>4.1</v>
      </c>
      <c r="H427" t="n">
        <v>0</v>
      </c>
      <c r="I427" t="n">
        <v>0</v>
      </c>
      <c r="J427" t="n">
        <v>0</v>
      </c>
      <c r="K427" t="n">
        <v>0</v>
      </c>
      <c r="L427" t="n">
        <v>0</v>
      </c>
      <c r="M427" t="n">
        <v>0</v>
      </c>
      <c r="N427" t="n">
        <v>0</v>
      </c>
      <c r="O427" t="n">
        <v>0</v>
      </c>
      <c r="P427" t="n">
        <v>0</v>
      </c>
      <c r="Q427" t="n">
        <v>0</v>
      </c>
      <c r="R427" s="2" t="inlineStr"/>
    </row>
    <row r="428" ht="15" customHeight="1">
      <c r="A428" t="inlineStr">
        <is>
          <t>A 19739-2023</t>
        </is>
      </c>
      <c r="B428" s="1" t="n">
        <v>45051</v>
      </c>
      <c r="C428" s="1" t="n">
        <v>46193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59246-2024</t>
        </is>
      </c>
      <c r="B429" s="1" t="n">
        <v>45636</v>
      </c>
      <c r="C429" s="1" t="n">
        <v>46193</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49106-2023</t>
        </is>
      </c>
      <c r="B430" s="1" t="n">
        <v>45210</v>
      </c>
      <c r="C430" s="1" t="n">
        <v>46193</v>
      </c>
      <c r="D430" t="inlineStr">
        <is>
          <t>SKÅNE LÄN</t>
        </is>
      </c>
      <c r="E430" t="inlineStr">
        <is>
          <t>HÄSSLEHOLM</t>
        </is>
      </c>
      <c r="G430" t="n">
        <v>0.3</v>
      </c>
      <c r="H430" t="n">
        <v>0</v>
      </c>
      <c r="I430" t="n">
        <v>0</v>
      </c>
      <c r="J430" t="n">
        <v>0</v>
      </c>
      <c r="K430" t="n">
        <v>0</v>
      </c>
      <c r="L430" t="n">
        <v>0</v>
      </c>
      <c r="M430" t="n">
        <v>0</v>
      </c>
      <c r="N430" t="n">
        <v>0</v>
      </c>
      <c r="O430" t="n">
        <v>0</v>
      </c>
      <c r="P430" t="n">
        <v>0</v>
      </c>
      <c r="Q430" t="n">
        <v>0</v>
      </c>
      <c r="R430" s="2" t="inlineStr"/>
    </row>
    <row r="431" ht="15" customHeight="1">
      <c r="A431" t="inlineStr">
        <is>
          <t>A 23666-2023</t>
        </is>
      </c>
      <c r="B431" s="1" t="n">
        <v>45077</v>
      </c>
      <c r="C431" s="1" t="n">
        <v>46193</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9697-2023</t>
        </is>
      </c>
      <c r="B432" s="1" t="n">
        <v>44984</v>
      </c>
      <c r="C432" s="1" t="n">
        <v>46193</v>
      </c>
      <c r="D432" t="inlineStr">
        <is>
          <t>SKÅNE LÄN</t>
        </is>
      </c>
      <c r="E432" t="inlineStr">
        <is>
          <t>HÄSSLEHOLM</t>
        </is>
      </c>
      <c r="G432" t="n">
        <v>0.3</v>
      </c>
      <c r="H432" t="n">
        <v>0</v>
      </c>
      <c r="I432" t="n">
        <v>0</v>
      </c>
      <c r="J432" t="n">
        <v>0</v>
      </c>
      <c r="K432" t="n">
        <v>0</v>
      </c>
      <c r="L432" t="n">
        <v>0</v>
      </c>
      <c r="M432" t="n">
        <v>0</v>
      </c>
      <c r="N432" t="n">
        <v>0</v>
      </c>
      <c r="O432" t="n">
        <v>0</v>
      </c>
      <c r="P432" t="n">
        <v>0</v>
      </c>
      <c r="Q432" t="n">
        <v>0</v>
      </c>
      <c r="R432" s="2" t="inlineStr"/>
    </row>
    <row r="433" ht="15" customHeight="1">
      <c r="A433" t="inlineStr">
        <is>
          <t>A 22132-2024</t>
        </is>
      </c>
      <c r="B433" s="1" t="n">
        <v>45444</v>
      </c>
      <c r="C433" s="1" t="n">
        <v>46193</v>
      </c>
      <c r="D433" t="inlineStr">
        <is>
          <t>SKÅNE LÄN</t>
        </is>
      </c>
      <c r="E433" t="inlineStr">
        <is>
          <t>HÄSSLEHOLM</t>
        </is>
      </c>
      <c r="G433" t="n">
        <v>3.1</v>
      </c>
      <c r="H433" t="n">
        <v>0</v>
      </c>
      <c r="I433" t="n">
        <v>0</v>
      </c>
      <c r="J433" t="n">
        <v>0</v>
      </c>
      <c r="K433" t="n">
        <v>0</v>
      </c>
      <c r="L433" t="n">
        <v>0</v>
      </c>
      <c r="M433" t="n">
        <v>0</v>
      </c>
      <c r="N433" t="n">
        <v>0</v>
      </c>
      <c r="O433" t="n">
        <v>0</v>
      </c>
      <c r="P433" t="n">
        <v>0</v>
      </c>
      <c r="Q433" t="n">
        <v>0</v>
      </c>
      <c r="R433" s="2" t="inlineStr"/>
    </row>
    <row r="434" ht="15" customHeight="1">
      <c r="A434" t="inlineStr">
        <is>
          <t>A 54171-2022</t>
        </is>
      </c>
      <c r="B434" s="1" t="n">
        <v>44881</v>
      </c>
      <c r="C434" s="1" t="n">
        <v>46193</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27478-2023</t>
        </is>
      </c>
      <c r="B435" s="1" t="n">
        <v>45092</v>
      </c>
      <c r="C435" s="1" t="n">
        <v>46193</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1170-2025</t>
        </is>
      </c>
      <c r="B436" s="1" t="n">
        <v>45667</v>
      </c>
      <c r="C436" s="1" t="n">
        <v>46193</v>
      </c>
      <c r="D436" t="inlineStr">
        <is>
          <t>SKÅNE LÄN</t>
        </is>
      </c>
      <c r="E436" t="inlineStr">
        <is>
          <t>HÄSSLEHOLM</t>
        </is>
      </c>
      <c r="G436" t="n">
        <v>4.3</v>
      </c>
      <c r="H436" t="n">
        <v>0</v>
      </c>
      <c r="I436" t="n">
        <v>0</v>
      </c>
      <c r="J436" t="n">
        <v>0</v>
      </c>
      <c r="K436" t="n">
        <v>0</v>
      </c>
      <c r="L436" t="n">
        <v>0</v>
      </c>
      <c r="M436" t="n">
        <v>0</v>
      </c>
      <c r="N436" t="n">
        <v>0</v>
      </c>
      <c r="O436" t="n">
        <v>0</v>
      </c>
      <c r="P436" t="n">
        <v>0</v>
      </c>
      <c r="Q436" t="n">
        <v>0</v>
      </c>
      <c r="R436" s="2" t="inlineStr"/>
    </row>
    <row r="437" ht="15" customHeight="1">
      <c r="A437" t="inlineStr">
        <is>
          <t>A 57749-2023</t>
        </is>
      </c>
      <c r="B437" s="1" t="n">
        <v>45246</v>
      </c>
      <c r="C437" s="1" t="n">
        <v>46193</v>
      </c>
      <c r="D437" t="inlineStr">
        <is>
          <t>SKÅNE LÄN</t>
        </is>
      </c>
      <c r="E437" t="inlineStr">
        <is>
          <t>HÄSSLEHOLM</t>
        </is>
      </c>
      <c r="G437" t="n">
        <v>2.7</v>
      </c>
      <c r="H437" t="n">
        <v>0</v>
      </c>
      <c r="I437" t="n">
        <v>0</v>
      </c>
      <c r="J437" t="n">
        <v>0</v>
      </c>
      <c r="K437" t="n">
        <v>0</v>
      </c>
      <c r="L437" t="n">
        <v>0</v>
      </c>
      <c r="M437" t="n">
        <v>0</v>
      </c>
      <c r="N437" t="n">
        <v>0</v>
      </c>
      <c r="O437" t="n">
        <v>0</v>
      </c>
      <c r="P437" t="n">
        <v>0</v>
      </c>
      <c r="Q437" t="n">
        <v>0</v>
      </c>
      <c r="R437" s="2" t="inlineStr"/>
    </row>
    <row r="438" ht="15" customHeight="1">
      <c r="A438" t="inlineStr">
        <is>
          <t>A 35237-2023</t>
        </is>
      </c>
      <c r="B438" s="1" t="n">
        <v>45145</v>
      </c>
      <c r="C438" s="1" t="n">
        <v>46193</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44940-2023</t>
        </is>
      </c>
      <c r="B439" s="1" t="n">
        <v>45190</v>
      </c>
      <c r="C439" s="1" t="n">
        <v>46193</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260-2024</t>
        </is>
      </c>
      <c r="B440" s="1" t="n">
        <v>45294</v>
      </c>
      <c r="C440" s="1" t="n">
        <v>46193</v>
      </c>
      <c r="D440" t="inlineStr">
        <is>
          <t>SKÅNE LÄN</t>
        </is>
      </c>
      <c r="E440" t="inlineStr">
        <is>
          <t>HÄSSLEHOLM</t>
        </is>
      </c>
      <c r="G440" t="n">
        <v>0.2</v>
      </c>
      <c r="H440" t="n">
        <v>0</v>
      </c>
      <c r="I440" t="n">
        <v>0</v>
      </c>
      <c r="J440" t="n">
        <v>0</v>
      </c>
      <c r="K440" t="n">
        <v>0</v>
      </c>
      <c r="L440" t="n">
        <v>0</v>
      </c>
      <c r="M440" t="n">
        <v>0</v>
      </c>
      <c r="N440" t="n">
        <v>0</v>
      </c>
      <c r="O440" t="n">
        <v>0</v>
      </c>
      <c r="P440" t="n">
        <v>0</v>
      </c>
      <c r="Q440" t="n">
        <v>0</v>
      </c>
      <c r="R440" s="2" t="inlineStr"/>
    </row>
    <row r="441" ht="15" customHeight="1">
      <c r="A441" t="inlineStr">
        <is>
          <t>A 18800-2023</t>
        </is>
      </c>
      <c r="B441" s="1" t="n">
        <v>45044</v>
      </c>
      <c r="C441" s="1" t="n">
        <v>46193</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57275-2023</t>
        </is>
      </c>
      <c r="B442" s="1" t="n">
        <v>45245</v>
      </c>
      <c r="C442" s="1" t="n">
        <v>46193</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3245-2022</t>
        </is>
      </c>
      <c r="B443" s="1" t="n">
        <v>44583</v>
      </c>
      <c r="C443" s="1" t="n">
        <v>46193</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25206-2023</t>
        </is>
      </c>
      <c r="B444" s="1" t="n">
        <v>45086</v>
      </c>
      <c r="C444" s="1" t="n">
        <v>46193</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5116-2023</t>
        </is>
      </c>
      <c r="B445" s="1" t="n">
        <v>44958</v>
      </c>
      <c r="C445" s="1" t="n">
        <v>46193</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31255-2024</t>
        </is>
      </c>
      <c r="B446" s="1" t="n">
        <v>45503</v>
      </c>
      <c r="C446" s="1" t="n">
        <v>46193</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10220-2023</t>
        </is>
      </c>
      <c r="B447" s="1" t="n">
        <v>44986</v>
      </c>
      <c r="C447" s="1" t="n">
        <v>46193</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27304-2023</t>
        </is>
      </c>
      <c r="B448" s="1" t="n">
        <v>45096</v>
      </c>
      <c r="C448" s="1" t="n">
        <v>46193</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4787-2023</t>
        </is>
      </c>
      <c r="B449" s="1" t="n">
        <v>44957</v>
      </c>
      <c r="C449" s="1" t="n">
        <v>46193</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4788-2023</t>
        </is>
      </c>
      <c r="B450" s="1" t="n">
        <v>44957</v>
      </c>
      <c r="C450" s="1" t="n">
        <v>46193</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48191-2021</t>
        </is>
      </c>
      <c r="B451" s="1" t="n">
        <v>44449</v>
      </c>
      <c r="C451" s="1" t="n">
        <v>46193</v>
      </c>
      <c r="D451" t="inlineStr">
        <is>
          <t>SKÅNE LÄN</t>
        </is>
      </c>
      <c r="E451" t="inlineStr">
        <is>
          <t>HÄSSLEHOLM</t>
        </is>
      </c>
      <c r="G451" t="n">
        <v>6</v>
      </c>
      <c r="H451" t="n">
        <v>0</v>
      </c>
      <c r="I451" t="n">
        <v>0</v>
      </c>
      <c r="J451" t="n">
        <v>0</v>
      </c>
      <c r="K451" t="n">
        <v>0</v>
      </c>
      <c r="L451" t="n">
        <v>0</v>
      </c>
      <c r="M451" t="n">
        <v>0</v>
      </c>
      <c r="N451" t="n">
        <v>0</v>
      </c>
      <c r="O451" t="n">
        <v>0</v>
      </c>
      <c r="P451" t="n">
        <v>0</v>
      </c>
      <c r="Q451" t="n">
        <v>0</v>
      </c>
      <c r="R451" s="2" t="inlineStr"/>
    </row>
    <row r="452" ht="15" customHeight="1">
      <c r="A452" t="inlineStr">
        <is>
          <t>A 6845-2023</t>
        </is>
      </c>
      <c r="B452" s="1" t="n">
        <v>44967</v>
      </c>
      <c r="C452" s="1" t="n">
        <v>46193</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32210-2024</t>
        </is>
      </c>
      <c r="B453" s="1" t="n">
        <v>45511</v>
      </c>
      <c r="C453" s="1" t="n">
        <v>46193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59431-2023</t>
        </is>
      </c>
      <c r="B454" s="1" t="n">
        <v>45254</v>
      </c>
      <c r="C454" s="1" t="n">
        <v>46193</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59433-2023</t>
        </is>
      </c>
      <c r="B455" s="1" t="n">
        <v>45254</v>
      </c>
      <c r="C455" s="1" t="n">
        <v>46193</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32834-2024</t>
        </is>
      </c>
      <c r="B456" s="1" t="n">
        <v>45516</v>
      </c>
      <c r="C456" s="1" t="n">
        <v>46193</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25611-2024</t>
        </is>
      </c>
      <c r="B457" s="1" t="n">
        <v>45463</v>
      </c>
      <c r="C457" s="1" t="n">
        <v>46193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49199-2024</t>
        </is>
      </c>
      <c r="B458" s="1" t="n">
        <v>45595</v>
      </c>
      <c r="C458" s="1" t="n">
        <v>46193</v>
      </c>
      <c r="D458" t="inlineStr">
        <is>
          <t>SKÅNE LÄN</t>
        </is>
      </c>
      <c r="E458" t="inlineStr">
        <is>
          <t>HÄSSLEHOLM</t>
        </is>
      </c>
      <c r="G458" t="n">
        <v>5.2</v>
      </c>
      <c r="H458" t="n">
        <v>0</v>
      </c>
      <c r="I458" t="n">
        <v>0</v>
      </c>
      <c r="J458" t="n">
        <v>0</v>
      </c>
      <c r="K458" t="n">
        <v>0</v>
      </c>
      <c r="L458" t="n">
        <v>0</v>
      </c>
      <c r="M458" t="n">
        <v>0</v>
      </c>
      <c r="N458" t="n">
        <v>0</v>
      </c>
      <c r="O458" t="n">
        <v>0</v>
      </c>
      <c r="P458" t="n">
        <v>0</v>
      </c>
      <c r="Q458" t="n">
        <v>0</v>
      </c>
      <c r="R458" s="2" t="inlineStr"/>
    </row>
    <row r="459" ht="15" customHeight="1">
      <c r="A459" t="inlineStr">
        <is>
          <t>A 23864-2024</t>
        </is>
      </c>
      <c r="B459" s="1" t="n">
        <v>45455</v>
      </c>
      <c r="C459" s="1" t="n">
        <v>46193</v>
      </c>
      <c r="D459" t="inlineStr">
        <is>
          <t>SKÅNE LÄN</t>
        </is>
      </c>
      <c r="E459" t="inlineStr">
        <is>
          <t>HÄSSLEHOLM</t>
        </is>
      </c>
      <c r="G459" t="n">
        <v>6.2</v>
      </c>
      <c r="H459" t="n">
        <v>0</v>
      </c>
      <c r="I459" t="n">
        <v>0</v>
      </c>
      <c r="J459" t="n">
        <v>0</v>
      </c>
      <c r="K459" t="n">
        <v>0</v>
      </c>
      <c r="L459" t="n">
        <v>0</v>
      </c>
      <c r="M459" t="n">
        <v>0</v>
      </c>
      <c r="N459" t="n">
        <v>0</v>
      </c>
      <c r="O459" t="n">
        <v>0</v>
      </c>
      <c r="P459" t="n">
        <v>0</v>
      </c>
      <c r="Q459" t="n">
        <v>0</v>
      </c>
      <c r="R459" s="2" t="inlineStr"/>
    </row>
    <row r="460" ht="15" customHeight="1">
      <c r="A460" t="inlineStr">
        <is>
          <t>A 58886-2024</t>
        </is>
      </c>
      <c r="B460" s="1" t="n">
        <v>45636</v>
      </c>
      <c r="C460" s="1" t="n">
        <v>46193</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26536-2022</t>
        </is>
      </c>
      <c r="B461" s="1" t="n">
        <v>44739</v>
      </c>
      <c r="C461" s="1" t="n">
        <v>46193</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16334-2024</t>
        </is>
      </c>
      <c r="B462" s="1" t="n">
        <v>45407</v>
      </c>
      <c r="C462" s="1" t="n">
        <v>46193</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54174-2022</t>
        </is>
      </c>
      <c r="B463" s="1" t="n">
        <v>44881</v>
      </c>
      <c r="C463" s="1" t="n">
        <v>46193</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52235-2021</t>
        </is>
      </c>
      <c r="B464" s="1" t="n">
        <v>44463</v>
      </c>
      <c r="C464" s="1" t="n">
        <v>46193</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12469-2023</t>
        </is>
      </c>
      <c r="B465" s="1" t="n">
        <v>44999</v>
      </c>
      <c r="C465" s="1" t="n">
        <v>46193</v>
      </c>
      <c r="D465" t="inlineStr">
        <is>
          <t>SKÅNE LÄN</t>
        </is>
      </c>
      <c r="E465" t="inlineStr">
        <is>
          <t>HÄSSLEHOLM</t>
        </is>
      </c>
      <c r="G465" t="n">
        <v>2.6</v>
      </c>
      <c r="H465" t="n">
        <v>0</v>
      </c>
      <c r="I465" t="n">
        <v>0</v>
      </c>
      <c r="J465" t="n">
        <v>0</v>
      </c>
      <c r="K465" t="n">
        <v>0</v>
      </c>
      <c r="L465" t="n">
        <v>0</v>
      </c>
      <c r="M465" t="n">
        <v>0</v>
      </c>
      <c r="N465" t="n">
        <v>0</v>
      </c>
      <c r="O465" t="n">
        <v>0</v>
      </c>
      <c r="P465" t="n">
        <v>0</v>
      </c>
      <c r="Q465" t="n">
        <v>0</v>
      </c>
      <c r="R465" s="2" t="inlineStr"/>
    </row>
    <row r="466" ht="15" customHeight="1">
      <c r="A466" t="inlineStr">
        <is>
          <t>A 39366-2025</t>
        </is>
      </c>
      <c r="B466" s="1" t="n">
        <v>45889</v>
      </c>
      <c r="C466" s="1" t="n">
        <v>46193</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48663-2024</t>
        </is>
      </c>
      <c r="B467" s="1" t="n">
        <v>45593</v>
      </c>
      <c r="C467" s="1" t="n">
        <v>46193</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53302-2022</t>
        </is>
      </c>
      <c r="B468" s="1" t="n">
        <v>44877</v>
      </c>
      <c r="C468" s="1" t="n">
        <v>46193</v>
      </c>
      <c r="D468" t="inlineStr">
        <is>
          <t>SKÅNE LÄN</t>
        </is>
      </c>
      <c r="E468" t="inlineStr">
        <is>
          <t>HÄSSLEHOLM</t>
        </is>
      </c>
      <c r="G468" t="n">
        <v>0.1</v>
      </c>
      <c r="H468" t="n">
        <v>0</v>
      </c>
      <c r="I468" t="n">
        <v>0</v>
      </c>
      <c r="J468" t="n">
        <v>0</v>
      </c>
      <c r="K468" t="n">
        <v>0</v>
      </c>
      <c r="L468" t="n">
        <v>0</v>
      </c>
      <c r="M468" t="n">
        <v>0</v>
      </c>
      <c r="N468" t="n">
        <v>0</v>
      </c>
      <c r="O468" t="n">
        <v>0</v>
      </c>
      <c r="P468" t="n">
        <v>0</v>
      </c>
      <c r="Q468" t="n">
        <v>0</v>
      </c>
      <c r="R468" s="2" t="inlineStr"/>
    </row>
    <row r="469" ht="15" customHeight="1">
      <c r="A469" t="inlineStr">
        <is>
          <t>A 41873-2023</t>
        </is>
      </c>
      <c r="B469" s="1" t="n">
        <v>45176</v>
      </c>
      <c r="C469" s="1" t="n">
        <v>46193</v>
      </c>
      <c r="D469" t="inlineStr">
        <is>
          <t>SKÅNE LÄN</t>
        </is>
      </c>
      <c r="E469" t="inlineStr">
        <is>
          <t>HÄSSLEHOLM</t>
        </is>
      </c>
      <c r="G469" t="n">
        <v>2.8</v>
      </c>
      <c r="H469" t="n">
        <v>0</v>
      </c>
      <c r="I469" t="n">
        <v>0</v>
      </c>
      <c r="J469" t="n">
        <v>0</v>
      </c>
      <c r="K469" t="n">
        <v>0</v>
      </c>
      <c r="L469" t="n">
        <v>0</v>
      </c>
      <c r="M469" t="n">
        <v>0</v>
      </c>
      <c r="N469" t="n">
        <v>0</v>
      </c>
      <c r="O469" t="n">
        <v>0</v>
      </c>
      <c r="P469" t="n">
        <v>0</v>
      </c>
      <c r="Q469" t="n">
        <v>0</v>
      </c>
      <c r="R469" s="2" t="inlineStr"/>
    </row>
    <row r="470" ht="15" customHeight="1">
      <c r="A470" t="inlineStr">
        <is>
          <t>A 50659-2023</t>
        </is>
      </c>
      <c r="B470" s="1" t="n">
        <v>45217</v>
      </c>
      <c r="C470" s="1" t="n">
        <v>46193</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v>
      </c>
      <c r="C471" s="1" t="n">
        <v>46193</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29850-2024</t>
        </is>
      </c>
      <c r="B472" s="1" t="n">
        <v>45485</v>
      </c>
      <c r="C472" s="1" t="n">
        <v>46193</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60973-2024</t>
        </is>
      </c>
      <c r="B473" s="1" t="n">
        <v>45644</v>
      </c>
      <c r="C473" s="1" t="n">
        <v>46193</v>
      </c>
      <c r="D473" t="inlineStr">
        <is>
          <t>SKÅNE LÄN</t>
        </is>
      </c>
      <c r="E473" t="inlineStr">
        <is>
          <t>HÄSSLEHOLM</t>
        </is>
      </c>
      <c r="G473" t="n">
        <v>3.6</v>
      </c>
      <c r="H473" t="n">
        <v>0</v>
      </c>
      <c r="I473" t="n">
        <v>0</v>
      </c>
      <c r="J473" t="n">
        <v>0</v>
      </c>
      <c r="K473" t="n">
        <v>0</v>
      </c>
      <c r="L473" t="n">
        <v>0</v>
      </c>
      <c r="M473" t="n">
        <v>0</v>
      </c>
      <c r="N473" t="n">
        <v>0</v>
      </c>
      <c r="O473" t="n">
        <v>0</v>
      </c>
      <c r="P473" t="n">
        <v>0</v>
      </c>
      <c r="Q473" t="n">
        <v>0</v>
      </c>
      <c r="R473" s="2" t="inlineStr"/>
    </row>
    <row r="474" ht="15" customHeight="1">
      <c r="A474" t="inlineStr">
        <is>
          <t>A 27464-2022</t>
        </is>
      </c>
      <c r="B474" s="1" t="n">
        <v>44742</v>
      </c>
      <c r="C474" s="1" t="n">
        <v>46193</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50525-2024</t>
        </is>
      </c>
      <c r="B475" s="1" t="n">
        <v>45601</v>
      </c>
      <c r="C475" s="1" t="n">
        <v>46193</v>
      </c>
      <c r="D475" t="inlineStr">
        <is>
          <t>SKÅNE LÄN</t>
        </is>
      </c>
      <c r="E475" t="inlineStr">
        <is>
          <t>HÄSSLEHOLM</t>
        </is>
      </c>
      <c r="G475" t="n">
        <v>2.6</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46193</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62041-2022</t>
        </is>
      </c>
      <c r="B477" s="1" t="n">
        <v>44918</v>
      </c>
      <c r="C477" s="1" t="n">
        <v>46193</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59763-2022</t>
        </is>
      </c>
      <c r="B478" s="1" t="n">
        <v>44900</v>
      </c>
      <c r="C478" s="1" t="n">
        <v>46193</v>
      </c>
      <c r="D478" t="inlineStr">
        <is>
          <t>SKÅNE LÄN</t>
        </is>
      </c>
      <c r="E478" t="inlineStr">
        <is>
          <t>HÄSSLEHOLM</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43061-2024</t>
        </is>
      </c>
      <c r="B479" s="1" t="n">
        <v>45567</v>
      </c>
      <c r="C479" s="1" t="n">
        <v>46193</v>
      </c>
      <c r="D479" t="inlineStr">
        <is>
          <t>SKÅNE LÄN</t>
        </is>
      </c>
      <c r="E479" t="inlineStr">
        <is>
          <t>HÄSSLEHOLM</t>
        </is>
      </c>
      <c r="G479" t="n">
        <v>4.5</v>
      </c>
      <c r="H479" t="n">
        <v>0</v>
      </c>
      <c r="I479" t="n">
        <v>0</v>
      </c>
      <c r="J479" t="n">
        <v>0</v>
      </c>
      <c r="K479" t="n">
        <v>0</v>
      </c>
      <c r="L479" t="n">
        <v>0</v>
      </c>
      <c r="M479" t="n">
        <v>0</v>
      </c>
      <c r="N479" t="n">
        <v>0</v>
      </c>
      <c r="O479" t="n">
        <v>0</v>
      </c>
      <c r="P479" t="n">
        <v>0</v>
      </c>
      <c r="Q479" t="n">
        <v>0</v>
      </c>
      <c r="R479" s="2" t="inlineStr"/>
    </row>
    <row r="480" ht="15" customHeight="1">
      <c r="A480" t="inlineStr">
        <is>
          <t>A 10277-2023</t>
        </is>
      </c>
      <c r="B480" s="1" t="n">
        <v>44986</v>
      </c>
      <c r="C480" s="1" t="n">
        <v>46193</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10290-2023</t>
        </is>
      </c>
      <c r="B481" s="1" t="n">
        <v>44986</v>
      </c>
      <c r="C481" s="1" t="n">
        <v>46193</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39937-2025</t>
        </is>
      </c>
      <c r="B482" s="1" t="n">
        <v>45891</v>
      </c>
      <c r="C482" s="1" t="n">
        <v>46193</v>
      </c>
      <c r="D482" t="inlineStr">
        <is>
          <t>SKÅNE LÄN</t>
        </is>
      </c>
      <c r="E482" t="inlineStr">
        <is>
          <t>HÄSSLEHOLM</t>
        </is>
      </c>
      <c r="G482" t="n">
        <v>4.5</v>
      </c>
      <c r="H482" t="n">
        <v>0</v>
      </c>
      <c r="I482" t="n">
        <v>0</v>
      </c>
      <c r="J482" t="n">
        <v>0</v>
      </c>
      <c r="K482" t="n">
        <v>0</v>
      </c>
      <c r="L482" t="n">
        <v>0</v>
      </c>
      <c r="M482" t="n">
        <v>0</v>
      </c>
      <c r="N482" t="n">
        <v>0</v>
      </c>
      <c r="O482" t="n">
        <v>0</v>
      </c>
      <c r="P482" t="n">
        <v>0</v>
      </c>
      <c r="Q482" t="n">
        <v>0</v>
      </c>
      <c r="R482" s="2" t="inlineStr"/>
    </row>
    <row r="483" ht="15" customHeight="1">
      <c r="A483" t="inlineStr">
        <is>
          <t>A 33465-2024</t>
        </is>
      </c>
      <c r="B483" s="1" t="n">
        <v>45519</v>
      </c>
      <c r="C483" s="1" t="n">
        <v>46193</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20666-2023</t>
        </is>
      </c>
      <c r="B484" s="1" t="n">
        <v>45058</v>
      </c>
      <c r="C484" s="1" t="n">
        <v>46193</v>
      </c>
      <c r="D484" t="inlineStr">
        <is>
          <t>SKÅNE LÄN</t>
        </is>
      </c>
      <c r="E484" t="inlineStr">
        <is>
          <t>HÄSSLEHOLM</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41400-2025</t>
        </is>
      </c>
      <c r="B485" s="1" t="n">
        <v>45901</v>
      </c>
      <c r="C485" s="1" t="n">
        <v>46193</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31986-2023</t>
        </is>
      </c>
      <c r="B486" s="1" t="n">
        <v>45119</v>
      </c>
      <c r="C486" s="1" t="n">
        <v>46193</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19593-2023</t>
        </is>
      </c>
      <c r="B487" s="1" t="n">
        <v>45050</v>
      </c>
      <c r="C487" s="1" t="n">
        <v>46193</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41401-2025</t>
        </is>
      </c>
      <c r="B488" s="1" t="n">
        <v>45901</v>
      </c>
      <c r="C488" s="1" t="n">
        <v>46193</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41209-2023</t>
        </is>
      </c>
      <c r="B489" s="1" t="n">
        <v>45174</v>
      </c>
      <c r="C489" s="1" t="n">
        <v>46193</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61197-2024</t>
        </is>
      </c>
      <c r="B490" s="1" t="n">
        <v>45645</v>
      </c>
      <c r="C490" s="1" t="n">
        <v>46193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13549-2025</t>
        </is>
      </c>
      <c r="B491" s="1" t="n">
        <v>45736</v>
      </c>
      <c r="C491" s="1" t="n">
        <v>46193</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35833-2023</t>
        </is>
      </c>
      <c r="B492" s="1" t="n">
        <v>45148</v>
      </c>
      <c r="C492" s="1" t="n">
        <v>46193</v>
      </c>
      <c r="D492" t="inlineStr">
        <is>
          <t>SKÅNE LÄN</t>
        </is>
      </c>
      <c r="E492" t="inlineStr">
        <is>
          <t>HÄSSLEHOLM</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57491-2024</t>
        </is>
      </c>
      <c r="B493" s="1" t="n">
        <v>45629</v>
      </c>
      <c r="C493" s="1" t="n">
        <v>46193</v>
      </c>
      <c r="D493" t="inlineStr">
        <is>
          <t>SKÅNE LÄN</t>
        </is>
      </c>
      <c r="E493" t="inlineStr">
        <is>
          <t>HÄSSLEHOLM</t>
        </is>
      </c>
      <c r="G493" t="n">
        <v>3.2</v>
      </c>
      <c r="H493" t="n">
        <v>0</v>
      </c>
      <c r="I493" t="n">
        <v>0</v>
      </c>
      <c r="J493" t="n">
        <v>0</v>
      </c>
      <c r="K493" t="n">
        <v>0</v>
      </c>
      <c r="L493" t="n">
        <v>0</v>
      </c>
      <c r="M493" t="n">
        <v>0</v>
      </c>
      <c r="N493" t="n">
        <v>0</v>
      </c>
      <c r="O493" t="n">
        <v>0</v>
      </c>
      <c r="P493" t="n">
        <v>0</v>
      </c>
      <c r="Q493" t="n">
        <v>0</v>
      </c>
      <c r="R493" s="2" t="inlineStr"/>
    </row>
    <row r="494" ht="15" customHeight="1">
      <c r="A494" t="inlineStr">
        <is>
          <t>A 58250-2024</t>
        </is>
      </c>
      <c r="B494" s="1" t="n">
        <v>45632</v>
      </c>
      <c r="C494" s="1" t="n">
        <v>46193</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50571-2023</t>
        </is>
      </c>
      <c r="B495" s="1" t="n">
        <v>45217</v>
      </c>
      <c r="C495" s="1" t="n">
        <v>46193</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42520-2025</t>
        </is>
      </c>
      <c r="B496" s="1" t="n">
        <v>45905</v>
      </c>
      <c r="C496" s="1" t="n">
        <v>46193</v>
      </c>
      <c r="D496" t="inlineStr">
        <is>
          <t>SKÅNE LÄN</t>
        </is>
      </c>
      <c r="E496" t="inlineStr">
        <is>
          <t>HÄSSLEHOLM</t>
        </is>
      </c>
      <c r="G496" t="n">
        <v>2.5</v>
      </c>
      <c r="H496" t="n">
        <v>0</v>
      </c>
      <c r="I496" t="n">
        <v>0</v>
      </c>
      <c r="J496" t="n">
        <v>0</v>
      </c>
      <c r="K496" t="n">
        <v>0</v>
      </c>
      <c r="L496" t="n">
        <v>0</v>
      </c>
      <c r="M496" t="n">
        <v>0</v>
      </c>
      <c r="N496" t="n">
        <v>0</v>
      </c>
      <c r="O496" t="n">
        <v>0</v>
      </c>
      <c r="P496" t="n">
        <v>0</v>
      </c>
      <c r="Q496" t="n">
        <v>0</v>
      </c>
      <c r="R496" s="2" t="inlineStr"/>
    </row>
    <row r="497" ht="15" customHeight="1">
      <c r="A497" t="inlineStr">
        <is>
          <t>A 43332-2025</t>
        </is>
      </c>
      <c r="B497" s="1" t="n">
        <v>45910</v>
      </c>
      <c r="C497" s="1" t="n">
        <v>46193</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18041-2023</t>
        </is>
      </c>
      <c r="B498" s="1" t="n">
        <v>45040</v>
      </c>
      <c r="C498" s="1" t="n">
        <v>46193</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6798-2025</t>
        </is>
      </c>
      <c r="B499" s="1" t="n">
        <v>45700</v>
      </c>
      <c r="C499" s="1" t="n">
        <v>46193</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69357-2021</t>
        </is>
      </c>
      <c r="B500" s="1" t="n">
        <v>44531</v>
      </c>
      <c r="C500" s="1" t="n">
        <v>46193</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58618-2024</t>
        </is>
      </c>
      <c r="B501" s="1" t="n">
        <v>45635</v>
      </c>
      <c r="C501" s="1" t="n">
        <v>46193</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52337-2023</t>
        </is>
      </c>
      <c r="B502" s="1" t="n">
        <v>45224</v>
      </c>
      <c r="C502" s="1" t="n">
        <v>46193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43516-2025</t>
        </is>
      </c>
      <c r="B503" s="1" t="n">
        <v>45911</v>
      </c>
      <c r="C503" s="1" t="n">
        <v>46193</v>
      </c>
      <c r="D503" t="inlineStr">
        <is>
          <t>SKÅNE LÄN</t>
        </is>
      </c>
      <c r="E503" t="inlineStr">
        <is>
          <t>HÄSSLEHOLM</t>
        </is>
      </c>
      <c r="G503" t="n">
        <v>2.4</v>
      </c>
      <c r="H503" t="n">
        <v>0</v>
      </c>
      <c r="I503" t="n">
        <v>0</v>
      </c>
      <c r="J503" t="n">
        <v>0</v>
      </c>
      <c r="K503" t="n">
        <v>0</v>
      </c>
      <c r="L503" t="n">
        <v>0</v>
      </c>
      <c r="M503" t="n">
        <v>0</v>
      </c>
      <c r="N503" t="n">
        <v>0</v>
      </c>
      <c r="O503" t="n">
        <v>0</v>
      </c>
      <c r="P503" t="n">
        <v>0</v>
      </c>
      <c r="Q503" t="n">
        <v>0</v>
      </c>
      <c r="R503" s="2" t="inlineStr"/>
    </row>
    <row r="504" ht="15" customHeight="1">
      <c r="A504" t="inlineStr">
        <is>
          <t>A 37898-2021</t>
        </is>
      </c>
      <c r="B504" s="1" t="n">
        <v>44403</v>
      </c>
      <c r="C504" s="1" t="n">
        <v>46193</v>
      </c>
      <c r="D504" t="inlineStr">
        <is>
          <t>SKÅNE LÄN</t>
        </is>
      </c>
      <c r="E504" t="inlineStr">
        <is>
          <t>HÄSSLEHOLM</t>
        </is>
      </c>
      <c r="F504" t="inlineStr">
        <is>
          <t>Kommuner</t>
        </is>
      </c>
      <c r="G504" t="n">
        <v>8.4</v>
      </c>
      <c r="H504" t="n">
        <v>0</v>
      </c>
      <c r="I504" t="n">
        <v>0</v>
      </c>
      <c r="J504" t="n">
        <v>0</v>
      </c>
      <c r="K504" t="n">
        <v>0</v>
      </c>
      <c r="L504" t="n">
        <v>0</v>
      </c>
      <c r="M504" t="n">
        <v>0</v>
      </c>
      <c r="N504" t="n">
        <v>0</v>
      </c>
      <c r="O504" t="n">
        <v>0</v>
      </c>
      <c r="P504" t="n">
        <v>0</v>
      </c>
      <c r="Q504" t="n">
        <v>0</v>
      </c>
      <c r="R504" s="2" t="inlineStr"/>
    </row>
    <row r="505" ht="15" customHeight="1">
      <c r="A505" t="inlineStr">
        <is>
          <t>A 43738-2025</t>
        </is>
      </c>
      <c r="B505" s="1" t="n">
        <v>45912</v>
      </c>
      <c r="C505" s="1" t="n">
        <v>46193</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43741-2025</t>
        </is>
      </c>
      <c r="B506" s="1" t="n">
        <v>45912</v>
      </c>
      <c r="C506" s="1" t="n">
        <v>46193</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35810-2023</t>
        </is>
      </c>
      <c r="B507" s="1" t="n">
        <v>45148</v>
      </c>
      <c r="C507" s="1" t="n">
        <v>46193</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13084-2025</t>
        </is>
      </c>
      <c r="B508" s="1" t="n">
        <v>45734</v>
      </c>
      <c r="C508" s="1" t="n">
        <v>46193</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23172-2022</t>
        </is>
      </c>
      <c r="B509" s="1" t="n">
        <v>44719</v>
      </c>
      <c r="C509" s="1" t="n">
        <v>46193</v>
      </c>
      <c r="D509" t="inlineStr">
        <is>
          <t>SKÅNE LÄN</t>
        </is>
      </c>
      <c r="E509" t="inlineStr">
        <is>
          <t>HÄSSLEHOLM</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23173-2022</t>
        </is>
      </c>
      <c r="B510" s="1" t="n">
        <v>44719</v>
      </c>
      <c r="C510" s="1" t="n">
        <v>46193</v>
      </c>
      <c r="D510" t="inlineStr">
        <is>
          <t>SKÅNE LÄN</t>
        </is>
      </c>
      <c r="E510" t="inlineStr">
        <is>
          <t>HÄSSLEHOLM</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43869-2025</t>
        </is>
      </c>
      <c r="B511" s="1" t="n">
        <v>45912</v>
      </c>
      <c r="C511" s="1" t="n">
        <v>46193</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52608-2023</t>
        </is>
      </c>
      <c r="B512" s="1" t="n">
        <v>45219</v>
      </c>
      <c r="C512" s="1" t="n">
        <v>46193</v>
      </c>
      <c r="D512" t="inlineStr">
        <is>
          <t>SKÅNE LÄN</t>
        </is>
      </c>
      <c r="E512" t="inlineStr">
        <is>
          <t>HÄSSLEHOLM</t>
        </is>
      </c>
      <c r="F512" t="inlineStr">
        <is>
          <t>Övriga Aktiebolag</t>
        </is>
      </c>
      <c r="G512" t="n">
        <v>2.1</v>
      </c>
      <c r="H512" t="n">
        <v>0</v>
      </c>
      <c r="I512" t="n">
        <v>0</v>
      </c>
      <c r="J512" t="n">
        <v>0</v>
      </c>
      <c r="K512" t="n">
        <v>0</v>
      </c>
      <c r="L512" t="n">
        <v>0</v>
      </c>
      <c r="M512" t="n">
        <v>0</v>
      </c>
      <c r="N512" t="n">
        <v>0</v>
      </c>
      <c r="O512" t="n">
        <v>0</v>
      </c>
      <c r="P512" t="n">
        <v>0</v>
      </c>
      <c r="Q512" t="n">
        <v>0</v>
      </c>
      <c r="R512" s="2" t="inlineStr"/>
    </row>
    <row r="513" ht="15" customHeight="1">
      <c r="A513" t="inlineStr">
        <is>
          <t>A 26286-2026</t>
        </is>
      </c>
      <c r="B513" s="1" t="n">
        <v>46182</v>
      </c>
      <c r="C513" s="1" t="n">
        <v>46193</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56355-2023</t>
        </is>
      </c>
      <c r="B514" s="1" t="n">
        <v>45243</v>
      </c>
      <c r="C514" s="1" t="n">
        <v>46193</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27991-2024</t>
        </is>
      </c>
      <c r="B515" s="1" t="n">
        <v>45476</v>
      </c>
      <c r="C515" s="1" t="n">
        <v>46193</v>
      </c>
      <c r="D515" t="inlineStr">
        <is>
          <t>SKÅNE LÄN</t>
        </is>
      </c>
      <c r="E515" t="inlineStr">
        <is>
          <t>HÄSSLEHOLM</t>
        </is>
      </c>
      <c r="G515" t="n">
        <v>5.8</v>
      </c>
      <c r="H515" t="n">
        <v>0</v>
      </c>
      <c r="I515" t="n">
        <v>0</v>
      </c>
      <c r="J515" t="n">
        <v>0</v>
      </c>
      <c r="K515" t="n">
        <v>0</v>
      </c>
      <c r="L515" t="n">
        <v>0</v>
      </c>
      <c r="M515" t="n">
        <v>0</v>
      </c>
      <c r="N515" t="n">
        <v>0</v>
      </c>
      <c r="O515" t="n">
        <v>0</v>
      </c>
      <c r="P515" t="n">
        <v>0</v>
      </c>
      <c r="Q515" t="n">
        <v>0</v>
      </c>
      <c r="R515" s="2" t="inlineStr"/>
    </row>
    <row r="516" ht="15" customHeight="1">
      <c r="A516" t="inlineStr">
        <is>
          <t>A 6612-2024</t>
        </is>
      </c>
      <c r="B516" s="1" t="n">
        <v>45341</v>
      </c>
      <c r="C516" s="1" t="n">
        <v>46193</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9394-2025</t>
        </is>
      </c>
      <c r="B517" s="1" t="n">
        <v>45715</v>
      </c>
      <c r="C517" s="1" t="n">
        <v>46193</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5887-2025</t>
        </is>
      </c>
      <c r="B518" s="1" t="n">
        <v>45695</v>
      </c>
      <c r="C518" s="1" t="n">
        <v>46193</v>
      </c>
      <c r="D518" t="inlineStr">
        <is>
          <t>SKÅNE LÄN</t>
        </is>
      </c>
      <c r="E518" t="inlineStr">
        <is>
          <t>HÄSSLEHOLM</t>
        </is>
      </c>
      <c r="G518" t="n">
        <v>4.8</v>
      </c>
      <c r="H518" t="n">
        <v>0</v>
      </c>
      <c r="I518" t="n">
        <v>0</v>
      </c>
      <c r="J518" t="n">
        <v>0</v>
      </c>
      <c r="K518" t="n">
        <v>0</v>
      </c>
      <c r="L518" t="n">
        <v>0</v>
      </c>
      <c r="M518" t="n">
        <v>0</v>
      </c>
      <c r="N518" t="n">
        <v>0</v>
      </c>
      <c r="O518" t="n">
        <v>0</v>
      </c>
      <c r="P518" t="n">
        <v>0</v>
      </c>
      <c r="Q518" t="n">
        <v>0</v>
      </c>
      <c r="R518" s="2" t="inlineStr"/>
    </row>
    <row r="519" ht="15" customHeight="1">
      <c r="A519" t="inlineStr">
        <is>
          <t>A 7305-2025</t>
        </is>
      </c>
      <c r="B519" s="1" t="n">
        <v>45702</v>
      </c>
      <c r="C519" s="1" t="n">
        <v>46193</v>
      </c>
      <c r="D519" t="inlineStr">
        <is>
          <t>SKÅNE LÄN</t>
        </is>
      </c>
      <c r="E519" t="inlineStr">
        <is>
          <t>HÄSSLEHOLM</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52341-2023</t>
        </is>
      </c>
      <c r="B520" s="1" t="n">
        <v>45224</v>
      </c>
      <c r="C520" s="1" t="n">
        <v>46193</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48889-2024</t>
        </is>
      </c>
      <c r="B521" s="1" t="n">
        <v>45594</v>
      </c>
      <c r="C521" s="1" t="n">
        <v>46193</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26291-2026</t>
        </is>
      </c>
      <c r="B522" s="1" t="n">
        <v>46182</v>
      </c>
      <c r="C522" s="1" t="n">
        <v>46193</v>
      </c>
      <c r="D522" t="inlineStr">
        <is>
          <t>SKÅNE LÄN</t>
        </is>
      </c>
      <c r="E522" t="inlineStr">
        <is>
          <t>HÄSSLEHOLM</t>
        </is>
      </c>
      <c r="G522" t="n">
        <v>1.4</v>
      </c>
      <c r="H522" t="n">
        <v>0</v>
      </c>
      <c r="I522" t="n">
        <v>0</v>
      </c>
      <c r="J522" t="n">
        <v>0</v>
      </c>
      <c r="K522" t="n">
        <v>0</v>
      </c>
      <c r="L522" t="n">
        <v>0</v>
      </c>
      <c r="M522" t="n">
        <v>0</v>
      </c>
      <c r="N522" t="n">
        <v>0</v>
      </c>
      <c r="O522" t="n">
        <v>0</v>
      </c>
      <c r="P522" t="n">
        <v>0</v>
      </c>
      <c r="Q522" t="n">
        <v>0</v>
      </c>
      <c r="R522" s="2" t="inlineStr"/>
    </row>
    <row r="523" ht="15" customHeight="1">
      <c r="A523" t="inlineStr">
        <is>
          <t>A 2567-2024</t>
        </is>
      </c>
      <c r="B523" s="1" t="n">
        <v>45313</v>
      </c>
      <c r="C523" s="1" t="n">
        <v>46193</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27173-2024</t>
        </is>
      </c>
      <c r="B524" s="1" t="n">
        <v>45471</v>
      </c>
      <c r="C524" s="1" t="n">
        <v>46193</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40780-2022</t>
        </is>
      </c>
      <c r="B525" s="1" t="n">
        <v>44820</v>
      </c>
      <c r="C525" s="1" t="n">
        <v>46193</v>
      </c>
      <c r="D525" t="inlineStr">
        <is>
          <t>SKÅNE LÄN</t>
        </is>
      </c>
      <c r="E525" t="inlineStr">
        <is>
          <t>HÄSSLEHOLM</t>
        </is>
      </c>
      <c r="G525" t="n">
        <v>7.4</v>
      </c>
      <c r="H525" t="n">
        <v>0</v>
      </c>
      <c r="I525" t="n">
        <v>0</v>
      </c>
      <c r="J525" t="n">
        <v>0</v>
      </c>
      <c r="K525" t="n">
        <v>0</v>
      </c>
      <c r="L525" t="n">
        <v>0</v>
      </c>
      <c r="M525" t="n">
        <v>0</v>
      </c>
      <c r="N525" t="n">
        <v>0</v>
      </c>
      <c r="O525" t="n">
        <v>0</v>
      </c>
      <c r="P525" t="n">
        <v>0</v>
      </c>
      <c r="Q525" t="n">
        <v>0</v>
      </c>
      <c r="R525" s="2" t="inlineStr"/>
    </row>
    <row r="526" ht="15" customHeight="1">
      <c r="A526" t="inlineStr">
        <is>
          <t>A 51245-2023</t>
        </is>
      </c>
      <c r="B526" s="1" t="n">
        <v>45212</v>
      </c>
      <c r="C526" s="1" t="n">
        <v>46193</v>
      </c>
      <c r="D526" t="inlineStr">
        <is>
          <t>SKÅNE LÄN</t>
        </is>
      </c>
      <c r="E526" t="inlineStr">
        <is>
          <t>HÄSSLEHOLM</t>
        </is>
      </c>
      <c r="G526" t="n">
        <v>2.1</v>
      </c>
      <c r="H526" t="n">
        <v>0</v>
      </c>
      <c r="I526" t="n">
        <v>0</v>
      </c>
      <c r="J526" t="n">
        <v>0</v>
      </c>
      <c r="K526" t="n">
        <v>0</v>
      </c>
      <c r="L526" t="n">
        <v>0</v>
      </c>
      <c r="M526" t="n">
        <v>0</v>
      </c>
      <c r="N526" t="n">
        <v>0</v>
      </c>
      <c r="O526" t="n">
        <v>0</v>
      </c>
      <c r="P526" t="n">
        <v>0</v>
      </c>
      <c r="Q526" t="n">
        <v>0</v>
      </c>
      <c r="R526" s="2" t="inlineStr"/>
    </row>
    <row r="527" ht="15" customHeight="1">
      <c r="A527" t="inlineStr">
        <is>
          <t>A 44611-2025</t>
        </is>
      </c>
      <c r="B527" s="1" t="n">
        <v>45917</v>
      </c>
      <c r="C527" s="1" t="n">
        <v>46193</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44616-2025</t>
        </is>
      </c>
      <c r="B528" s="1" t="n">
        <v>45917</v>
      </c>
      <c r="C528" s="1" t="n">
        <v>46193</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44614-2025</t>
        </is>
      </c>
      <c r="B529" s="1" t="n">
        <v>45917</v>
      </c>
      <c r="C529" s="1" t="n">
        <v>46193</v>
      </c>
      <c r="D529" t="inlineStr">
        <is>
          <t>SKÅNE LÄN</t>
        </is>
      </c>
      <c r="E529" t="inlineStr">
        <is>
          <t>HÄSSLEHOLM</t>
        </is>
      </c>
      <c r="G529" t="n">
        <v>5.4</v>
      </c>
      <c r="H529" t="n">
        <v>0</v>
      </c>
      <c r="I529" t="n">
        <v>0</v>
      </c>
      <c r="J529" t="n">
        <v>0</v>
      </c>
      <c r="K529" t="n">
        <v>0</v>
      </c>
      <c r="L529" t="n">
        <v>0</v>
      </c>
      <c r="M529" t="n">
        <v>0</v>
      </c>
      <c r="N529" t="n">
        <v>0</v>
      </c>
      <c r="O529" t="n">
        <v>0</v>
      </c>
      <c r="P529" t="n">
        <v>0</v>
      </c>
      <c r="Q529" t="n">
        <v>0</v>
      </c>
      <c r="R529" s="2" t="inlineStr"/>
    </row>
    <row r="530" ht="15" customHeight="1">
      <c r="A530" t="inlineStr">
        <is>
          <t>A 45516-2025</t>
        </is>
      </c>
      <c r="B530" s="1" t="n">
        <v>45922</v>
      </c>
      <c r="C530" s="1" t="n">
        <v>46193</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8239-2025</t>
        </is>
      </c>
      <c r="B531" s="1" t="n">
        <v>45708</v>
      </c>
      <c r="C531" s="1" t="n">
        <v>46193</v>
      </c>
      <c r="D531" t="inlineStr">
        <is>
          <t>SKÅNE LÄN</t>
        </is>
      </c>
      <c r="E531" t="inlineStr">
        <is>
          <t>HÄSSLEHOLM</t>
        </is>
      </c>
      <c r="G531" t="n">
        <v>2.7</v>
      </c>
      <c r="H531" t="n">
        <v>0</v>
      </c>
      <c r="I531" t="n">
        <v>0</v>
      </c>
      <c r="J531" t="n">
        <v>0</v>
      </c>
      <c r="K531" t="n">
        <v>0</v>
      </c>
      <c r="L531" t="n">
        <v>0</v>
      </c>
      <c r="M531" t="n">
        <v>0</v>
      </c>
      <c r="N531" t="n">
        <v>0</v>
      </c>
      <c r="O531" t="n">
        <v>0</v>
      </c>
      <c r="P531" t="n">
        <v>0</v>
      </c>
      <c r="Q531" t="n">
        <v>0</v>
      </c>
      <c r="R531" s="2" t="inlineStr"/>
    </row>
    <row r="532" ht="15" customHeight="1">
      <c r="A532" t="inlineStr">
        <is>
          <t>A 45514-2025</t>
        </is>
      </c>
      <c r="B532" s="1" t="n">
        <v>45922</v>
      </c>
      <c r="C532" s="1" t="n">
        <v>46193</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45221-2025</t>
        </is>
      </c>
      <c r="B533" s="1" t="n">
        <v>45919</v>
      </c>
      <c r="C533" s="1" t="n">
        <v>46193</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45496-2025</t>
        </is>
      </c>
      <c r="B534" s="1" t="n">
        <v>45922</v>
      </c>
      <c r="C534" s="1" t="n">
        <v>46193</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9678-2025</t>
        </is>
      </c>
      <c r="B535" s="1" t="n">
        <v>45716</v>
      </c>
      <c r="C535" s="1" t="n">
        <v>46193</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45683-2025</t>
        </is>
      </c>
      <c r="B536" s="1" t="n">
        <v>45923</v>
      </c>
      <c r="C536" s="1" t="n">
        <v>46193</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48747-2022</t>
        </is>
      </c>
      <c r="B537" s="1" t="n">
        <v>44859</v>
      </c>
      <c r="C537" s="1" t="n">
        <v>46193</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7153-2025</t>
        </is>
      </c>
      <c r="B538" s="1" t="n">
        <v>45702</v>
      </c>
      <c r="C538" s="1" t="n">
        <v>46193</v>
      </c>
      <c r="D538" t="inlineStr">
        <is>
          <t>SKÅNE LÄN</t>
        </is>
      </c>
      <c r="E538" t="inlineStr">
        <is>
          <t>HÄSSLEHOLM</t>
        </is>
      </c>
      <c r="G538" t="n">
        <v>2.7</v>
      </c>
      <c r="H538" t="n">
        <v>0</v>
      </c>
      <c r="I538" t="n">
        <v>0</v>
      </c>
      <c r="J538" t="n">
        <v>0</v>
      </c>
      <c r="K538" t="n">
        <v>0</v>
      </c>
      <c r="L538" t="n">
        <v>0</v>
      </c>
      <c r="M538" t="n">
        <v>0</v>
      </c>
      <c r="N538" t="n">
        <v>0</v>
      </c>
      <c r="O538" t="n">
        <v>0</v>
      </c>
      <c r="P538" t="n">
        <v>0</v>
      </c>
      <c r="Q538" t="n">
        <v>0</v>
      </c>
      <c r="R538" s="2" t="inlineStr"/>
    </row>
    <row r="539" ht="15" customHeight="1">
      <c r="A539" t="inlineStr">
        <is>
          <t>A 21091-2025</t>
        </is>
      </c>
      <c r="B539" s="1" t="n">
        <v>45777</v>
      </c>
      <c r="C539" s="1" t="n">
        <v>46193</v>
      </c>
      <c r="D539" t="inlineStr">
        <is>
          <t>SKÅNE LÄN</t>
        </is>
      </c>
      <c r="E539" t="inlineStr">
        <is>
          <t>HÄSSLEHOLM</t>
        </is>
      </c>
      <c r="G539" t="n">
        <v>3.4</v>
      </c>
      <c r="H539" t="n">
        <v>0</v>
      </c>
      <c r="I539" t="n">
        <v>0</v>
      </c>
      <c r="J539" t="n">
        <v>0</v>
      </c>
      <c r="K539" t="n">
        <v>0</v>
      </c>
      <c r="L539" t="n">
        <v>0</v>
      </c>
      <c r="M539" t="n">
        <v>0</v>
      </c>
      <c r="N539" t="n">
        <v>0</v>
      </c>
      <c r="O539" t="n">
        <v>0</v>
      </c>
      <c r="P539" t="n">
        <v>0</v>
      </c>
      <c r="Q539" t="n">
        <v>0</v>
      </c>
      <c r="R539" s="2" t="inlineStr"/>
    </row>
    <row r="540" ht="15" customHeight="1">
      <c r="A540" t="inlineStr">
        <is>
          <t>A 11121-2023</t>
        </is>
      </c>
      <c r="B540" s="1" t="n">
        <v>44986</v>
      </c>
      <c r="C540" s="1" t="n">
        <v>46193</v>
      </c>
      <c r="D540" t="inlineStr">
        <is>
          <t>SKÅNE LÄN</t>
        </is>
      </c>
      <c r="E540" t="inlineStr">
        <is>
          <t>HÄSSLEHOLM</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21206-2025</t>
        </is>
      </c>
      <c r="B541" s="1" t="n">
        <v>45779</v>
      </c>
      <c r="C541" s="1" t="n">
        <v>46193</v>
      </c>
      <c r="D541" t="inlineStr">
        <is>
          <t>SKÅNE LÄN</t>
        </is>
      </c>
      <c r="E541" t="inlineStr">
        <is>
          <t>HÄSSLEHOLM</t>
        </is>
      </c>
      <c r="G541" t="n">
        <v>2.2</v>
      </c>
      <c r="H541" t="n">
        <v>0</v>
      </c>
      <c r="I541" t="n">
        <v>0</v>
      </c>
      <c r="J541" t="n">
        <v>0</v>
      </c>
      <c r="K541" t="n">
        <v>0</v>
      </c>
      <c r="L541" t="n">
        <v>0</v>
      </c>
      <c r="M541" t="n">
        <v>0</v>
      </c>
      <c r="N541" t="n">
        <v>0</v>
      </c>
      <c r="O541" t="n">
        <v>0</v>
      </c>
      <c r="P541" t="n">
        <v>0</v>
      </c>
      <c r="Q541" t="n">
        <v>0</v>
      </c>
      <c r="R541" s="2" t="inlineStr"/>
    </row>
    <row r="542" ht="15" customHeight="1">
      <c r="A542" t="inlineStr">
        <is>
          <t>A 45763-2025</t>
        </is>
      </c>
      <c r="B542" s="1" t="n">
        <v>45923</v>
      </c>
      <c r="C542" s="1" t="n">
        <v>46193</v>
      </c>
      <c r="D542" t="inlineStr">
        <is>
          <t>SKÅNE LÄN</t>
        </is>
      </c>
      <c r="E542" t="inlineStr">
        <is>
          <t>HÄSSLEHOLM</t>
        </is>
      </c>
      <c r="G542" t="n">
        <v>4.8</v>
      </c>
      <c r="H542" t="n">
        <v>0</v>
      </c>
      <c r="I542" t="n">
        <v>0</v>
      </c>
      <c r="J542" t="n">
        <v>0</v>
      </c>
      <c r="K542" t="n">
        <v>0</v>
      </c>
      <c r="L542" t="n">
        <v>0</v>
      </c>
      <c r="M542" t="n">
        <v>0</v>
      </c>
      <c r="N542" t="n">
        <v>0</v>
      </c>
      <c r="O542" t="n">
        <v>0</v>
      </c>
      <c r="P542" t="n">
        <v>0</v>
      </c>
      <c r="Q542" t="n">
        <v>0</v>
      </c>
      <c r="R542" s="2" t="inlineStr"/>
    </row>
    <row r="543" ht="15" customHeight="1">
      <c r="A543" t="inlineStr">
        <is>
          <t>A 45764-2025</t>
        </is>
      </c>
      <c r="B543" s="1" t="n">
        <v>45923</v>
      </c>
      <c r="C543" s="1" t="n">
        <v>46193</v>
      </c>
      <c r="D543" t="inlineStr">
        <is>
          <t>SKÅNE LÄN</t>
        </is>
      </c>
      <c r="E543" t="inlineStr">
        <is>
          <t>HÄSSLEHOLM</t>
        </is>
      </c>
      <c r="G543" t="n">
        <v>6.3</v>
      </c>
      <c r="H543" t="n">
        <v>0</v>
      </c>
      <c r="I543" t="n">
        <v>0</v>
      </c>
      <c r="J543" t="n">
        <v>0</v>
      </c>
      <c r="K543" t="n">
        <v>0</v>
      </c>
      <c r="L543" t="n">
        <v>0</v>
      </c>
      <c r="M543" t="n">
        <v>0</v>
      </c>
      <c r="N543" t="n">
        <v>0</v>
      </c>
      <c r="O543" t="n">
        <v>0</v>
      </c>
      <c r="P543" t="n">
        <v>0</v>
      </c>
      <c r="Q543" t="n">
        <v>0</v>
      </c>
      <c r="R543" s="2" t="inlineStr"/>
    </row>
    <row r="544" ht="15" customHeight="1">
      <c r="A544" t="inlineStr">
        <is>
          <t>A 11116-2023</t>
        </is>
      </c>
      <c r="B544" s="1" t="n">
        <v>44986</v>
      </c>
      <c r="C544" s="1" t="n">
        <v>46193</v>
      </c>
      <c r="D544" t="inlineStr">
        <is>
          <t>SKÅNE LÄN</t>
        </is>
      </c>
      <c r="E544" t="inlineStr">
        <is>
          <t>HÄSSLEHOLM</t>
        </is>
      </c>
      <c r="F544" t="inlineStr">
        <is>
          <t>Kommuner</t>
        </is>
      </c>
      <c r="G544" t="n">
        <v>15.1</v>
      </c>
      <c r="H544" t="n">
        <v>0</v>
      </c>
      <c r="I544" t="n">
        <v>0</v>
      </c>
      <c r="J544" t="n">
        <v>0</v>
      </c>
      <c r="K544" t="n">
        <v>0</v>
      </c>
      <c r="L544" t="n">
        <v>0</v>
      </c>
      <c r="M544" t="n">
        <v>0</v>
      </c>
      <c r="N544" t="n">
        <v>0</v>
      </c>
      <c r="O544" t="n">
        <v>0</v>
      </c>
      <c r="P544" t="n">
        <v>0</v>
      </c>
      <c r="Q544" t="n">
        <v>0</v>
      </c>
      <c r="R544" s="2" t="inlineStr"/>
    </row>
    <row r="545" ht="15" customHeight="1">
      <c r="A545" t="inlineStr">
        <is>
          <t>A 7581-2023</t>
        </is>
      </c>
      <c r="B545" s="1" t="n">
        <v>44972</v>
      </c>
      <c r="C545" s="1" t="n">
        <v>46193</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45762-2025</t>
        </is>
      </c>
      <c r="B546" s="1" t="n">
        <v>45923</v>
      </c>
      <c r="C546" s="1" t="n">
        <v>46193</v>
      </c>
      <c r="D546" t="inlineStr">
        <is>
          <t>SKÅNE LÄN</t>
        </is>
      </c>
      <c r="E546" t="inlineStr">
        <is>
          <t>HÄSSLEHOLM</t>
        </is>
      </c>
      <c r="G546" t="n">
        <v>2.3</v>
      </c>
      <c r="H546" t="n">
        <v>0</v>
      </c>
      <c r="I546" t="n">
        <v>0</v>
      </c>
      <c r="J546" t="n">
        <v>0</v>
      </c>
      <c r="K546" t="n">
        <v>0</v>
      </c>
      <c r="L546" t="n">
        <v>0</v>
      </c>
      <c r="M546" t="n">
        <v>0</v>
      </c>
      <c r="N546" t="n">
        <v>0</v>
      </c>
      <c r="O546" t="n">
        <v>0</v>
      </c>
      <c r="P546" t="n">
        <v>0</v>
      </c>
      <c r="Q546" t="n">
        <v>0</v>
      </c>
      <c r="R546" s="2" t="inlineStr"/>
    </row>
    <row r="547" ht="15" customHeight="1">
      <c r="A547" t="inlineStr">
        <is>
          <t>A 21141-2024</t>
        </is>
      </c>
      <c r="B547" s="1" t="n">
        <v>45440</v>
      </c>
      <c r="C547" s="1" t="n">
        <v>46193</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9668-2025</t>
        </is>
      </c>
      <c r="B548" s="1" t="n">
        <v>45716</v>
      </c>
      <c r="C548" s="1" t="n">
        <v>46193</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29845-2024</t>
        </is>
      </c>
      <c r="B549" s="1" t="n">
        <v>45485</v>
      </c>
      <c r="C549" s="1" t="n">
        <v>46193</v>
      </c>
      <c r="D549" t="inlineStr">
        <is>
          <t>SKÅNE LÄN</t>
        </is>
      </c>
      <c r="E549" t="inlineStr">
        <is>
          <t>HÄSSLEHOLM</t>
        </is>
      </c>
      <c r="G549" t="n">
        <v>1.3</v>
      </c>
      <c r="H549" t="n">
        <v>0</v>
      </c>
      <c r="I549" t="n">
        <v>0</v>
      </c>
      <c r="J549" t="n">
        <v>0</v>
      </c>
      <c r="K549" t="n">
        <v>0</v>
      </c>
      <c r="L549" t="n">
        <v>0</v>
      </c>
      <c r="M549" t="n">
        <v>0</v>
      </c>
      <c r="N549" t="n">
        <v>0</v>
      </c>
      <c r="O549" t="n">
        <v>0</v>
      </c>
      <c r="P549" t="n">
        <v>0</v>
      </c>
      <c r="Q549" t="n">
        <v>0</v>
      </c>
      <c r="R549" s="2" t="inlineStr"/>
    </row>
    <row r="550" ht="15" customHeight="1">
      <c r="A550" t="inlineStr">
        <is>
          <t>A 20006-2025</t>
        </is>
      </c>
      <c r="B550" s="1" t="n">
        <v>45772</v>
      </c>
      <c r="C550" s="1" t="n">
        <v>46193</v>
      </c>
      <c r="D550" t="inlineStr">
        <is>
          <t>SKÅNE LÄN</t>
        </is>
      </c>
      <c r="E550" t="inlineStr">
        <is>
          <t>HÄSSLEHOLM</t>
        </is>
      </c>
      <c r="G550" t="n">
        <v>3.9</v>
      </c>
      <c r="H550" t="n">
        <v>0</v>
      </c>
      <c r="I550" t="n">
        <v>0</v>
      </c>
      <c r="J550" t="n">
        <v>0</v>
      </c>
      <c r="K550" t="n">
        <v>0</v>
      </c>
      <c r="L550" t="n">
        <v>0</v>
      </c>
      <c r="M550" t="n">
        <v>0</v>
      </c>
      <c r="N550" t="n">
        <v>0</v>
      </c>
      <c r="O550" t="n">
        <v>0</v>
      </c>
      <c r="P550" t="n">
        <v>0</v>
      </c>
      <c r="Q550" t="n">
        <v>0</v>
      </c>
      <c r="R550" s="2" t="inlineStr"/>
    </row>
    <row r="551" ht="15" customHeight="1">
      <c r="A551" t="inlineStr">
        <is>
          <t>A 61533-2024</t>
        </is>
      </c>
      <c r="B551" s="1" t="n">
        <v>45646</v>
      </c>
      <c r="C551" s="1" t="n">
        <v>46193</v>
      </c>
      <c r="D551" t="inlineStr">
        <is>
          <t>SKÅNE LÄN</t>
        </is>
      </c>
      <c r="E551" t="inlineStr">
        <is>
          <t>HÄSSLEHOLM</t>
        </is>
      </c>
      <c r="G551" t="n">
        <v>4.5</v>
      </c>
      <c r="H551" t="n">
        <v>0</v>
      </c>
      <c r="I551" t="n">
        <v>0</v>
      </c>
      <c r="J551" t="n">
        <v>0</v>
      </c>
      <c r="K551" t="n">
        <v>0</v>
      </c>
      <c r="L551" t="n">
        <v>0</v>
      </c>
      <c r="M551" t="n">
        <v>0</v>
      </c>
      <c r="N551" t="n">
        <v>0</v>
      </c>
      <c r="O551" t="n">
        <v>0</v>
      </c>
      <c r="P551" t="n">
        <v>0</v>
      </c>
      <c r="Q551" t="n">
        <v>0</v>
      </c>
      <c r="R551" s="2" t="inlineStr"/>
    </row>
    <row r="552" ht="15" customHeight="1">
      <c r="A552" t="inlineStr">
        <is>
          <t>A 61537-2024</t>
        </is>
      </c>
      <c r="B552" s="1" t="n">
        <v>45646</v>
      </c>
      <c r="C552" s="1" t="n">
        <v>46193</v>
      </c>
      <c r="D552" t="inlineStr">
        <is>
          <t>SKÅNE LÄN</t>
        </is>
      </c>
      <c r="E552" t="inlineStr">
        <is>
          <t>HÄSSLEHOLM</t>
        </is>
      </c>
      <c r="G552" t="n">
        <v>3.7</v>
      </c>
      <c r="H552" t="n">
        <v>0</v>
      </c>
      <c r="I552" t="n">
        <v>0</v>
      </c>
      <c r="J552" t="n">
        <v>0</v>
      </c>
      <c r="K552" t="n">
        <v>0</v>
      </c>
      <c r="L552" t="n">
        <v>0</v>
      </c>
      <c r="M552" t="n">
        <v>0</v>
      </c>
      <c r="N552" t="n">
        <v>0</v>
      </c>
      <c r="O552" t="n">
        <v>0</v>
      </c>
      <c r="P552" t="n">
        <v>0</v>
      </c>
      <c r="Q552" t="n">
        <v>0</v>
      </c>
      <c r="R552" s="2" t="inlineStr"/>
    </row>
    <row r="553" ht="15" customHeight="1">
      <c r="A553" t="inlineStr">
        <is>
          <t>A 6328-2026</t>
        </is>
      </c>
      <c r="B553" s="1" t="n">
        <v>46055</v>
      </c>
      <c r="C553" s="1" t="n">
        <v>46193</v>
      </c>
      <c r="D553" t="inlineStr">
        <is>
          <t>SKÅNE LÄN</t>
        </is>
      </c>
      <c r="E553" t="inlineStr">
        <is>
          <t>HÄSSLEHOLM</t>
        </is>
      </c>
      <c r="G553" t="n">
        <v>1.9</v>
      </c>
      <c r="H553" t="n">
        <v>0</v>
      </c>
      <c r="I553" t="n">
        <v>0</v>
      </c>
      <c r="J553" t="n">
        <v>0</v>
      </c>
      <c r="K553" t="n">
        <v>0</v>
      </c>
      <c r="L553" t="n">
        <v>0</v>
      </c>
      <c r="M553" t="n">
        <v>0</v>
      </c>
      <c r="N553" t="n">
        <v>0</v>
      </c>
      <c r="O553" t="n">
        <v>0</v>
      </c>
      <c r="P553" t="n">
        <v>0</v>
      </c>
      <c r="Q553" t="n">
        <v>0</v>
      </c>
      <c r="R553" s="2" t="inlineStr"/>
    </row>
    <row r="554" ht="15" customHeight="1">
      <c r="A554" t="inlineStr">
        <is>
          <t>A 7818-2024</t>
        </is>
      </c>
      <c r="B554" s="1" t="n">
        <v>45349</v>
      </c>
      <c r="C554" s="1" t="n">
        <v>46193</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46605-2025</t>
        </is>
      </c>
      <c r="B555" s="1" t="n">
        <v>45926</v>
      </c>
      <c r="C555" s="1" t="n">
        <v>46193</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11603-2025</t>
        </is>
      </c>
      <c r="B556" s="1" t="n">
        <v>45727</v>
      </c>
      <c r="C556" s="1" t="n">
        <v>46193</v>
      </c>
      <c r="D556" t="inlineStr">
        <is>
          <t>SKÅNE LÄN</t>
        </is>
      </c>
      <c r="E556" t="inlineStr">
        <is>
          <t>HÄSSLEHOLM</t>
        </is>
      </c>
      <c r="G556" t="n">
        <v>5.6</v>
      </c>
      <c r="H556" t="n">
        <v>0</v>
      </c>
      <c r="I556" t="n">
        <v>0</v>
      </c>
      <c r="J556" t="n">
        <v>0</v>
      </c>
      <c r="K556" t="n">
        <v>0</v>
      </c>
      <c r="L556" t="n">
        <v>0</v>
      </c>
      <c r="M556" t="n">
        <v>0</v>
      </c>
      <c r="N556" t="n">
        <v>0</v>
      </c>
      <c r="O556" t="n">
        <v>0</v>
      </c>
      <c r="P556" t="n">
        <v>0</v>
      </c>
      <c r="Q556" t="n">
        <v>0</v>
      </c>
      <c r="R556" s="2" t="inlineStr"/>
    </row>
    <row r="557" ht="15" customHeight="1">
      <c r="A557" t="inlineStr">
        <is>
          <t>A 39111-2023</t>
        </is>
      </c>
      <c r="B557" s="1" t="n">
        <v>45164</v>
      </c>
      <c r="C557" s="1" t="n">
        <v>46193</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46786-2025</t>
        </is>
      </c>
      <c r="B558" s="1" t="n">
        <v>45926</v>
      </c>
      <c r="C558" s="1" t="n">
        <v>46193</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60851-2024</t>
        </is>
      </c>
      <c r="B559" s="1" t="n">
        <v>45644</v>
      </c>
      <c r="C559" s="1" t="n">
        <v>46193</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317-2025</t>
        </is>
      </c>
      <c r="B560" s="1" t="n">
        <v>45660</v>
      </c>
      <c r="C560" s="1" t="n">
        <v>46193</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57967-2023</t>
        </is>
      </c>
      <c r="B561" s="1" t="n">
        <v>45247</v>
      </c>
      <c r="C561" s="1" t="n">
        <v>46193</v>
      </c>
      <c r="D561" t="inlineStr">
        <is>
          <t>SKÅNE LÄN</t>
        </is>
      </c>
      <c r="E561" t="inlineStr">
        <is>
          <t>HÄSSLEHOLM</t>
        </is>
      </c>
      <c r="G561" t="n">
        <v>8.6</v>
      </c>
      <c r="H561" t="n">
        <v>0</v>
      </c>
      <c r="I561" t="n">
        <v>0</v>
      </c>
      <c r="J561" t="n">
        <v>0</v>
      </c>
      <c r="K561" t="n">
        <v>0</v>
      </c>
      <c r="L561" t="n">
        <v>0</v>
      </c>
      <c r="M561" t="n">
        <v>0</v>
      </c>
      <c r="N561" t="n">
        <v>0</v>
      </c>
      <c r="O561" t="n">
        <v>0</v>
      </c>
      <c r="P561" t="n">
        <v>0</v>
      </c>
      <c r="Q561" t="n">
        <v>0</v>
      </c>
      <c r="R561" s="2" t="inlineStr"/>
    </row>
    <row r="562" ht="15" customHeight="1">
      <c r="A562" t="inlineStr">
        <is>
          <t>A 60920-2024</t>
        </is>
      </c>
      <c r="B562" s="1" t="n">
        <v>45645</v>
      </c>
      <c r="C562" s="1" t="n">
        <v>46193</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19744-2023</t>
        </is>
      </c>
      <c r="B563" s="1" t="n">
        <v>45051</v>
      </c>
      <c r="C563" s="1" t="n">
        <v>46193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1703-2025</t>
        </is>
      </c>
      <c r="B564" s="1" t="n">
        <v>45670</v>
      </c>
      <c r="C564" s="1" t="n">
        <v>46193</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22024-2025</t>
        </is>
      </c>
      <c r="B565" s="1" t="n">
        <v>45784</v>
      </c>
      <c r="C565" s="1" t="n">
        <v>46193</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15990-2023</t>
        </is>
      </c>
      <c r="B566" s="1" t="n">
        <v>45023</v>
      </c>
      <c r="C566" s="1" t="n">
        <v>46193</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29274-2023</t>
        </is>
      </c>
      <c r="B567" s="1" t="n">
        <v>45105</v>
      </c>
      <c r="C567" s="1" t="n">
        <v>46193</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3886-2024</t>
        </is>
      </c>
      <c r="B568" s="1" t="n">
        <v>45322</v>
      </c>
      <c r="C568" s="1" t="n">
        <v>46193</v>
      </c>
      <c r="D568" t="inlineStr">
        <is>
          <t>SKÅNE LÄN</t>
        </is>
      </c>
      <c r="E568" t="inlineStr">
        <is>
          <t>HÄSSLEHOLM</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47907-2021</t>
        </is>
      </c>
      <c r="B569" s="1" t="n">
        <v>44448</v>
      </c>
      <c r="C569" s="1" t="n">
        <v>46193</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61932-2023</t>
        </is>
      </c>
      <c r="B570" s="1" t="n">
        <v>45266</v>
      </c>
      <c r="C570" s="1" t="n">
        <v>46193</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13149-2024</t>
        </is>
      </c>
      <c r="B571" s="1" t="n">
        <v>45386</v>
      </c>
      <c r="C571" s="1" t="n">
        <v>46193</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7513-2025</t>
        </is>
      </c>
      <c r="B572" s="1" t="n">
        <v>45702</v>
      </c>
      <c r="C572" s="1" t="n">
        <v>46193</v>
      </c>
      <c r="D572" t="inlineStr">
        <is>
          <t>SKÅNE LÄN</t>
        </is>
      </c>
      <c r="E572" t="inlineStr">
        <is>
          <t>HÄSSLEHOLM</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45400-2022</t>
        </is>
      </c>
      <c r="B573" s="1" t="n">
        <v>44844</v>
      </c>
      <c r="C573" s="1" t="n">
        <v>46193</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53466-2024</t>
        </is>
      </c>
      <c r="B574" s="1" t="n">
        <v>45614</v>
      </c>
      <c r="C574" s="1" t="n">
        <v>46193</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47127-2025</t>
        </is>
      </c>
      <c r="B575" s="1" t="n">
        <v>45929</v>
      </c>
      <c r="C575" s="1" t="n">
        <v>46193</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10230-2025</t>
        </is>
      </c>
      <c r="B576" s="1" t="n">
        <v>45720</v>
      </c>
      <c r="C576" s="1" t="n">
        <v>46193</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19735-2023</t>
        </is>
      </c>
      <c r="B577" s="1" t="n">
        <v>45051</v>
      </c>
      <c r="C577" s="1" t="n">
        <v>46193</v>
      </c>
      <c r="D577" t="inlineStr">
        <is>
          <t>SKÅNE LÄN</t>
        </is>
      </c>
      <c r="E577" t="inlineStr">
        <is>
          <t>HÄSSLEHOLM</t>
        </is>
      </c>
      <c r="G577" t="n">
        <v>4</v>
      </c>
      <c r="H577" t="n">
        <v>0</v>
      </c>
      <c r="I577" t="n">
        <v>0</v>
      </c>
      <c r="J577" t="n">
        <v>0</v>
      </c>
      <c r="K577" t="n">
        <v>0</v>
      </c>
      <c r="L577" t="n">
        <v>0</v>
      </c>
      <c r="M577" t="n">
        <v>0</v>
      </c>
      <c r="N577" t="n">
        <v>0</v>
      </c>
      <c r="O577" t="n">
        <v>0</v>
      </c>
      <c r="P577" t="n">
        <v>0</v>
      </c>
      <c r="Q577" t="n">
        <v>0</v>
      </c>
      <c r="R577" s="2" t="inlineStr"/>
    </row>
    <row r="578" ht="15" customHeight="1">
      <c r="A578" t="inlineStr">
        <is>
          <t>A 48797-2023</t>
        </is>
      </c>
      <c r="B578" s="1" t="n">
        <v>45209</v>
      </c>
      <c r="C578" s="1" t="n">
        <v>46193</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5532-2025</t>
        </is>
      </c>
      <c r="B579" s="1" t="n">
        <v>45693</v>
      </c>
      <c r="C579" s="1" t="n">
        <v>46193</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55662-2022</t>
        </is>
      </c>
      <c r="B580" s="1" t="n">
        <v>44883</v>
      </c>
      <c r="C580" s="1" t="n">
        <v>46193</v>
      </c>
      <c r="D580" t="inlineStr">
        <is>
          <t>SKÅNE LÄN</t>
        </is>
      </c>
      <c r="E580" t="inlineStr">
        <is>
          <t>HÄSSLEHOLM</t>
        </is>
      </c>
      <c r="F580" t="inlineStr">
        <is>
          <t>Övriga Aktiebolag</t>
        </is>
      </c>
      <c r="G580" t="n">
        <v>2.6</v>
      </c>
      <c r="H580" t="n">
        <v>0</v>
      </c>
      <c r="I580" t="n">
        <v>0</v>
      </c>
      <c r="J580" t="n">
        <v>0</v>
      </c>
      <c r="K580" t="n">
        <v>0</v>
      </c>
      <c r="L580" t="n">
        <v>0</v>
      </c>
      <c r="M580" t="n">
        <v>0</v>
      </c>
      <c r="N580" t="n">
        <v>0</v>
      </c>
      <c r="O580" t="n">
        <v>0</v>
      </c>
      <c r="P580" t="n">
        <v>0</v>
      </c>
      <c r="Q580" t="n">
        <v>0</v>
      </c>
      <c r="R580" s="2" t="inlineStr"/>
    </row>
    <row r="581" ht="15" customHeight="1">
      <c r="A581" t="inlineStr">
        <is>
          <t>A 54874-2022</t>
        </is>
      </c>
      <c r="B581" s="1" t="n">
        <v>44881</v>
      </c>
      <c r="C581" s="1" t="n">
        <v>46193</v>
      </c>
      <c r="D581" t="inlineStr">
        <is>
          <t>SKÅNE LÄN</t>
        </is>
      </c>
      <c r="E581" t="inlineStr">
        <is>
          <t>HÄSSLEHOLM</t>
        </is>
      </c>
      <c r="G581" t="n">
        <v>8.1</v>
      </c>
      <c r="H581" t="n">
        <v>0</v>
      </c>
      <c r="I581" t="n">
        <v>0</v>
      </c>
      <c r="J581" t="n">
        <v>0</v>
      </c>
      <c r="K581" t="n">
        <v>0</v>
      </c>
      <c r="L581" t="n">
        <v>0</v>
      </c>
      <c r="M581" t="n">
        <v>0</v>
      </c>
      <c r="N581" t="n">
        <v>0</v>
      </c>
      <c r="O581" t="n">
        <v>0</v>
      </c>
      <c r="P581" t="n">
        <v>0</v>
      </c>
      <c r="Q581" t="n">
        <v>0</v>
      </c>
      <c r="R581" s="2" t="inlineStr"/>
    </row>
    <row r="582" ht="15" customHeight="1">
      <c r="A582" t="inlineStr">
        <is>
          <t>A 29844-2024</t>
        </is>
      </c>
      <c r="B582" s="1" t="n">
        <v>45485</v>
      </c>
      <c r="C582" s="1" t="n">
        <v>46193</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40536-2024</t>
        </is>
      </c>
      <c r="B583" s="1" t="n">
        <v>45555</v>
      </c>
      <c r="C583" s="1" t="n">
        <v>46193</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33266-2024</t>
        </is>
      </c>
      <c r="B584" s="1" t="n">
        <v>45518</v>
      </c>
      <c r="C584" s="1" t="n">
        <v>46193</v>
      </c>
      <c r="D584" t="inlineStr">
        <is>
          <t>SKÅNE LÄN</t>
        </is>
      </c>
      <c r="E584" t="inlineStr">
        <is>
          <t>HÄSSLEHOLM</t>
        </is>
      </c>
      <c r="G584" t="n">
        <v>3.2</v>
      </c>
      <c r="H584" t="n">
        <v>0</v>
      </c>
      <c r="I584" t="n">
        <v>0</v>
      </c>
      <c r="J584" t="n">
        <v>0</v>
      </c>
      <c r="K584" t="n">
        <v>0</v>
      </c>
      <c r="L584" t="n">
        <v>0</v>
      </c>
      <c r="M584" t="n">
        <v>0</v>
      </c>
      <c r="N584" t="n">
        <v>0</v>
      </c>
      <c r="O584" t="n">
        <v>0</v>
      </c>
      <c r="P584" t="n">
        <v>0</v>
      </c>
      <c r="Q584" t="n">
        <v>0</v>
      </c>
      <c r="R584" s="2" t="inlineStr"/>
    </row>
    <row r="585" ht="15" customHeight="1">
      <c r="A585" t="inlineStr">
        <is>
          <t>A 61625-2022</t>
        </is>
      </c>
      <c r="B585" s="1" t="n">
        <v>44916</v>
      </c>
      <c r="C585" s="1" t="n">
        <v>46193</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56386-2023</t>
        </is>
      </c>
      <c r="B586" s="1" t="n">
        <v>45243</v>
      </c>
      <c r="C586" s="1" t="n">
        <v>46193</v>
      </c>
      <c r="D586" t="inlineStr">
        <is>
          <t>SKÅNE LÄN</t>
        </is>
      </c>
      <c r="E586" t="inlineStr">
        <is>
          <t>HÄSSLEHOLM</t>
        </is>
      </c>
      <c r="G586" t="n">
        <v>2</v>
      </c>
      <c r="H586" t="n">
        <v>0</v>
      </c>
      <c r="I586" t="n">
        <v>0</v>
      </c>
      <c r="J586" t="n">
        <v>0</v>
      </c>
      <c r="K586" t="n">
        <v>0</v>
      </c>
      <c r="L586" t="n">
        <v>0</v>
      </c>
      <c r="M586" t="n">
        <v>0</v>
      </c>
      <c r="N586" t="n">
        <v>0</v>
      </c>
      <c r="O586" t="n">
        <v>0</v>
      </c>
      <c r="P586" t="n">
        <v>0</v>
      </c>
      <c r="Q586" t="n">
        <v>0</v>
      </c>
      <c r="R586" s="2" t="inlineStr"/>
    </row>
    <row r="587" ht="15" customHeight="1">
      <c r="A587" t="inlineStr">
        <is>
          <t>A 25726-2025</t>
        </is>
      </c>
      <c r="B587" s="1" t="n">
        <v>45803</v>
      </c>
      <c r="C587" s="1" t="n">
        <v>46193</v>
      </c>
      <c r="D587" t="inlineStr">
        <is>
          <t>SKÅNE LÄN</t>
        </is>
      </c>
      <c r="E587" t="inlineStr">
        <is>
          <t>HÄSSLEHOLM</t>
        </is>
      </c>
      <c r="G587" t="n">
        <v>5.5</v>
      </c>
      <c r="H587" t="n">
        <v>0</v>
      </c>
      <c r="I587" t="n">
        <v>0</v>
      </c>
      <c r="J587" t="n">
        <v>0</v>
      </c>
      <c r="K587" t="n">
        <v>0</v>
      </c>
      <c r="L587" t="n">
        <v>0</v>
      </c>
      <c r="M587" t="n">
        <v>0</v>
      </c>
      <c r="N587" t="n">
        <v>0</v>
      </c>
      <c r="O587" t="n">
        <v>0</v>
      </c>
      <c r="P587" t="n">
        <v>0</v>
      </c>
      <c r="Q587" t="n">
        <v>0</v>
      </c>
      <c r="R587" s="2" t="inlineStr"/>
    </row>
    <row r="588" ht="15" customHeight="1">
      <c r="A588" t="inlineStr">
        <is>
          <t>A 2490-2024</t>
        </is>
      </c>
      <c r="B588" s="1" t="n">
        <v>45313</v>
      </c>
      <c r="C588" s="1" t="n">
        <v>46193</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31268-2024</t>
        </is>
      </c>
      <c r="B589" s="1" t="n">
        <v>45504</v>
      </c>
      <c r="C589" s="1" t="n">
        <v>46193</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50244-2024</t>
        </is>
      </c>
      <c r="B590" s="1" t="n">
        <v>45600</v>
      </c>
      <c r="C590" s="1" t="n">
        <v>46193</v>
      </c>
      <c r="D590" t="inlineStr">
        <is>
          <t>SKÅNE LÄN</t>
        </is>
      </c>
      <c r="E590" t="inlineStr">
        <is>
          <t>HÄSSLEHOLM</t>
        </is>
      </c>
      <c r="G590" t="n">
        <v>1.9</v>
      </c>
      <c r="H590" t="n">
        <v>0</v>
      </c>
      <c r="I590" t="n">
        <v>0</v>
      </c>
      <c r="J590" t="n">
        <v>0</v>
      </c>
      <c r="K590" t="n">
        <v>0</v>
      </c>
      <c r="L590" t="n">
        <v>0</v>
      </c>
      <c r="M590" t="n">
        <v>0</v>
      </c>
      <c r="N590" t="n">
        <v>0</v>
      </c>
      <c r="O590" t="n">
        <v>0</v>
      </c>
      <c r="P590" t="n">
        <v>0</v>
      </c>
      <c r="Q590" t="n">
        <v>0</v>
      </c>
      <c r="R590" s="2" t="inlineStr"/>
    </row>
    <row r="591" ht="15" customHeight="1">
      <c r="A591" t="inlineStr">
        <is>
          <t>A 13856-2025</t>
        </is>
      </c>
      <c r="B591" s="1" t="n">
        <v>45737</v>
      </c>
      <c r="C591" s="1" t="n">
        <v>46193</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9924-2025</t>
        </is>
      </c>
      <c r="B592" s="1" t="n">
        <v>45717</v>
      </c>
      <c r="C592" s="1" t="n">
        <v>46193</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36568-2024</t>
        </is>
      </c>
      <c r="B593" s="1" t="n">
        <v>45537</v>
      </c>
      <c r="C593" s="1" t="n">
        <v>46193</v>
      </c>
      <c r="D593" t="inlineStr">
        <is>
          <t>SKÅNE LÄN</t>
        </is>
      </c>
      <c r="E593" t="inlineStr">
        <is>
          <t>HÄSSLEHOLM</t>
        </is>
      </c>
      <c r="G593" t="n">
        <v>4.3</v>
      </c>
      <c r="H593" t="n">
        <v>0</v>
      </c>
      <c r="I593" t="n">
        <v>0</v>
      </c>
      <c r="J593" t="n">
        <v>0</v>
      </c>
      <c r="K593" t="n">
        <v>0</v>
      </c>
      <c r="L593" t="n">
        <v>0</v>
      </c>
      <c r="M593" t="n">
        <v>0</v>
      </c>
      <c r="N593" t="n">
        <v>0</v>
      </c>
      <c r="O593" t="n">
        <v>0</v>
      </c>
      <c r="P593" t="n">
        <v>0</v>
      </c>
      <c r="Q593" t="n">
        <v>0</v>
      </c>
      <c r="R593" s="2" t="inlineStr"/>
    </row>
    <row r="594" ht="15" customHeight="1">
      <c r="A594" t="inlineStr">
        <is>
          <t>A 32794-2021</t>
        </is>
      </c>
      <c r="B594" s="1" t="n">
        <v>44375</v>
      </c>
      <c r="C594" s="1" t="n">
        <v>46193</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13007-2024</t>
        </is>
      </c>
      <c r="B595" s="1" t="n">
        <v>45385</v>
      </c>
      <c r="C595" s="1" t="n">
        <v>46193</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23007-2025</t>
        </is>
      </c>
      <c r="B596" s="1" t="n">
        <v>45790</v>
      </c>
      <c r="C596" s="1" t="n">
        <v>46193</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13961-2023</t>
        </is>
      </c>
      <c r="B597" s="1" t="n">
        <v>45008</v>
      </c>
      <c r="C597" s="1" t="n">
        <v>46193</v>
      </c>
      <c r="D597" t="inlineStr">
        <is>
          <t>SKÅNE LÄN</t>
        </is>
      </c>
      <c r="E597" t="inlineStr">
        <is>
          <t>HÄSSLEHOLM</t>
        </is>
      </c>
      <c r="G597" t="n">
        <v>3.8</v>
      </c>
      <c r="H597" t="n">
        <v>0</v>
      </c>
      <c r="I597" t="n">
        <v>0</v>
      </c>
      <c r="J597" t="n">
        <v>0</v>
      </c>
      <c r="K597" t="n">
        <v>0</v>
      </c>
      <c r="L597" t="n">
        <v>0</v>
      </c>
      <c r="M597" t="n">
        <v>0</v>
      </c>
      <c r="N597" t="n">
        <v>0</v>
      </c>
      <c r="O597" t="n">
        <v>0</v>
      </c>
      <c r="P597" t="n">
        <v>0</v>
      </c>
      <c r="Q597" t="n">
        <v>0</v>
      </c>
      <c r="R597" s="2" t="inlineStr"/>
    </row>
    <row r="598" ht="15" customHeight="1">
      <c r="A598" t="inlineStr">
        <is>
          <t>A 7221-2025</t>
        </is>
      </c>
      <c r="B598" s="1" t="n">
        <v>45701</v>
      </c>
      <c r="C598" s="1" t="n">
        <v>46193</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74030-2021</t>
        </is>
      </c>
      <c r="B599" s="1" t="n">
        <v>44553</v>
      </c>
      <c r="C599" s="1" t="n">
        <v>46193</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27606-2024</t>
        </is>
      </c>
      <c r="B600" s="1" t="n">
        <v>45474</v>
      </c>
      <c r="C600" s="1" t="n">
        <v>46193</v>
      </c>
      <c r="D600" t="inlineStr">
        <is>
          <t>SKÅNE LÄN</t>
        </is>
      </c>
      <c r="E600" t="inlineStr">
        <is>
          <t>HÄSSLEHOLM</t>
        </is>
      </c>
      <c r="G600" t="n">
        <v>3.6</v>
      </c>
      <c r="H600" t="n">
        <v>0</v>
      </c>
      <c r="I600" t="n">
        <v>0</v>
      </c>
      <c r="J600" t="n">
        <v>0</v>
      </c>
      <c r="K600" t="n">
        <v>0</v>
      </c>
      <c r="L600" t="n">
        <v>0</v>
      </c>
      <c r="M600" t="n">
        <v>0</v>
      </c>
      <c r="N600" t="n">
        <v>0</v>
      </c>
      <c r="O600" t="n">
        <v>0</v>
      </c>
      <c r="P600" t="n">
        <v>0</v>
      </c>
      <c r="Q600" t="n">
        <v>0</v>
      </c>
      <c r="R600" s="2" t="inlineStr"/>
    </row>
    <row r="601" ht="15" customHeight="1">
      <c r="A601" t="inlineStr">
        <is>
          <t>A 56735-2024</t>
        </is>
      </c>
      <c r="B601" s="1" t="n">
        <v>45628</v>
      </c>
      <c r="C601" s="1" t="n">
        <v>46193</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2621-2025</t>
        </is>
      </c>
      <c r="B602" s="1" t="n">
        <v>45675</v>
      </c>
      <c r="C602" s="1" t="n">
        <v>46193</v>
      </c>
      <c r="D602" t="inlineStr">
        <is>
          <t>SKÅNE LÄN</t>
        </is>
      </c>
      <c r="E602" t="inlineStr">
        <is>
          <t>HÄSSLEHOLM</t>
        </is>
      </c>
      <c r="F602" t="inlineStr">
        <is>
          <t>Kommuner</t>
        </is>
      </c>
      <c r="G602" t="n">
        <v>3</v>
      </c>
      <c r="H602" t="n">
        <v>0</v>
      </c>
      <c r="I602" t="n">
        <v>0</v>
      </c>
      <c r="J602" t="n">
        <v>0</v>
      </c>
      <c r="K602" t="n">
        <v>0</v>
      </c>
      <c r="L602" t="n">
        <v>0</v>
      </c>
      <c r="M602" t="n">
        <v>0</v>
      </c>
      <c r="N602" t="n">
        <v>0</v>
      </c>
      <c r="O602" t="n">
        <v>0</v>
      </c>
      <c r="P602" t="n">
        <v>0</v>
      </c>
      <c r="Q602" t="n">
        <v>0</v>
      </c>
      <c r="R602" s="2" t="inlineStr"/>
    </row>
    <row r="603" ht="15" customHeight="1">
      <c r="A603" t="inlineStr">
        <is>
          <t>A 5497-2026</t>
        </is>
      </c>
      <c r="B603" s="1" t="n">
        <v>46050</v>
      </c>
      <c r="C603" s="1" t="n">
        <v>46193</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48185-2025</t>
        </is>
      </c>
      <c r="B604" s="1" t="n">
        <v>45933</v>
      </c>
      <c r="C604" s="1" t="n">
        <v>46193</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23005-2025</t>
        </is>
      </c>
      <c r="B605" s="1" t="n">
        <v>45790</v>
      </c>
      <c r="C605" s="1" t="n">
        <v>46193</v>
      </c>
      <c r="D605" t="inlineStr">
        <is>
          <t>SKÅNE LÄN</t>
        </is>
      </c>
      <c r="E605" t="inlineStr">
        <is>
          <t>HÄSSLEHOLM</t>
        </is>
      </c>
      <c r="G605" t="n">
        <v>0.3</v>
      </c>
      <c r="H605" t="n">
        <v>0</v>
      </c>
      <c r="I605" t="n">
        <v>0</v>
      </c>
      <c r="J605" t="n">
        <v>0</v>
      </c>
      <c r="K605" t="n">
        <v>0</v>
      </c>
      <c r="L605" t="n">
        <v>0</v>
      </c>
      <c r="M605" t="n">
        <v>0</v>
      </c>
      <c r="N605" t="n">
        <v>0</v>
      </c>
      <c r="O605" t="n">
        <v>0</v>
      </c>
      <c r="P605" t="n">
        <v>0</v>
      </c>
      <c r="Q605" t="n">
        <v>0</v>
      </c>
      <c r="R605" s="2" t="inlineStr"/>
    </row>
    <row r="606" ht="15" customHeight="1">
      <c r="A606" t="inlineStr">
        <is>
          <t>A 3855-2023</t>
        </is>
      </c>
      <c r="B606" s="1" t="n">
        <v>44951</v>
      </c>
      <c r="C606" s="1" t="n">
        <v>46193</v>
      </c>
      <c r="D606" t="inlineStr">
        <is>
          <t>SKÅNE LÄN</t>
        </is>
      </c>
      <c r="E606" t="inlineStr">
        <is>
          <t>HÄSSLEHOLM</t>
        </is>
      </c>
      <c r="G606" t="n">
        <v>2.3</v>
      </c>
      <c r="H606" t="n">
        <v>0</v>
      </c>
      <c r="I606" t="n">
        <v>0</v>
      </c>
      <c r="J606" t="n">
        <v>0</v>
      </c>
      <c r="K606" t="n">
        <v>0</v>
      </c>
      <c r="L606" t="n">
        <v>0</v>
      </c>
      <c r="M606" t="n">
        <v>0</v>
      </c>
      <c r="N606" t="n">
        <v>0</v>
      </c>
      <c r="O606" t="n">
        <v>0</v>
      </c>
      <c r="P606" t="n">
        <v>0</v>
      </c>
      <c r="Q606" t="n">
        <v>0</v>
      </c>
      <c r="R606" s="2" t="inlineStr"/>
    </row>
    <row r="607" ht="15" customHeight="1">
      <c r="A607" t="inlineStr">
        <is>
          <t>A 8737-2025</t>
        </is>
      </c>
      <c r="B607" s="1" t="n">
        <v>45712</v>
      </c>
      <c r="C607" s="1" t="n">
        <v>46193</v>
      </c>
      <c r="D607" t="inlineStr">
        <is>
          <t>SKÅNE LÄN</t>
        </is>
      </c>
      <c r="E607" t="inlineStr">
        <is>
          <t>HÄSSLEHOLM</t>
        </is>
      </c>
      <c r="G607" t="n">
        <v>2.7</v>
      </c>
      <c r="H607" t="n">
        <v>0</v>
      </c>
      <c r="I607" t="n">
        <v>0</v>
      </c>
      <c r="J607" t="n">
        <v>0</v>
      </c>
      <c r="K607" t="n">
        <v>0</v>
      </c>
      <c r="L607" t="n">
        <v>0</v>
      </c>
      <c r="M607" t="n">
        <v>0</v>
      </c>
      <c r="N607" t="n">
        <v>0</v>
      </c>
      <c r="O607" t="n">
        <v>0</v>
      </c>
      <c r="P607" t="n">
        <v>0</v>
      </c>
      <c r="Q607" t="n">
        <v>0</v>
      </c>
      <c r="R607" s="2" t="inlineStr"/>
    </row>
    <row r="608" ht="15" customHeight="1">
      <c r="A608" t="inlineStr">
        <is>
          <t>A 22592-2025</t>
        </is>
      </c>
      <c r="B608" s="1" t="n">
        <v>45789</v>
      </c>
      <c r="C608" s="1" t="n">
        <v>46193</v>
      </c>
      <c r="D608" t="inlineStr">
        <is>
          <t>SKÅNE LÄN</t>
        </is>
      </c>
      <c r="E608" t="inlineStr">
        <is>
          <t>HÄSSLEHOLM</t>
        </is>
      </c>
      <c r="G608" t="n">
        <v>7.1</v>
      </c>
      <c r="H608" t="n">
        <v>0</v>
      </c>
      <c r="I608" t="n">
        <v>0</v>
      </c>
      <c r="J608" t="n">
        <v>0</v>
      </c>
      <c r="K608" t="n">
        <v>0</v>
      </c>
      <c r="L608" t="n">
        <v>0</v>
      </c>
      <c r="M608" t="n">
        <v>0</v>
      </c>
      <c r="N608" t="n">
        <v>0</v>
      </c>
      <c r="O608" t="n">
        <v>0</v>
      </c>
      <c r="P608" t="n">
        <v>0</v>
      </c>
      <c r="Q608" t="n">
        <v>0</v>
      </c>
      <c r="R608" s="2" t="inlineStr"/>
    </row>
    <row r="609" ht="15" customHeight="1">
      <c r="A609" t="inlineStr">
        <is>
          <t>A 34301-2024</t>
        </is>
      </c>
      <c r="B609" s="1" t="n">
        <v>45524</v>
      </c>
      <c r="C609" s="1" t="n">
        <v>46193</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15060-2023</t>
        </is>
      </c>
      <c r="B610" s="1" t="n">
        <v>45015</v>
      </c>
      <c r="C610" s="1" t="n">
        <v>46193</v>
      </c>
      <c r="D610" t="inlineStr">
        <is>
          <t>SKÅNE LÄN</t>
        </is>
      </c>
      <c r="E610" t="inlineStr">
        <is>
          <t>HÄSSLEHOLM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46193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48722-2025</t>
        </is>
      </c>
      <c r="B612" s="1" t="n">
        <v>45935</v>
      </c>
      <c r="C612" s="1" t="n">
        <v>46193</v>
      </c>
      <c r="D612" t="inlineStr">
        <is>
          <t>SKÅNE LÄN</t>
        </is>
      </c>
      <c r="E612" t="inlineStr">
        <is>
          <t>HÄSSLEHOLM</t>
        </is>
      </c>
      <c r="G612" t="n">
        <v>4.3</v>
      </c>
      <c r="H612" t="n">
        <v>0</v>
      </c>
      <c r="I612" t="n">
        <v>0</v>
      </c>
      <c r="J612" t="n">
        <v>0</v>
      </c>
      <c r="K612" t="n">
        <v>0</v>
      </c>
      <c r="L612" t="n">
        <v>0</v>
      </c>
      <c r="M612" t="n">
        <v>0</v>
      </c>
      <c r="N612" t="n">
        <v>0</v>
      </c>
      <c r="O612" t="n">
        <v>0</v>
      </c>
      <c r="P612" t="n">
        <v>0</v>
      </c>
      <c r="Q612" t="n">
        <v>0</v>
      </c>
      <c r="R612" s="2" t="inlineStr"/>
    </row>
    <row r="613" ht="15" customHeight="1">
      <c r="A613" t="inlineStr">
        <is>
          <t>A 17171-2025</t>
        </is>
      </c>
      <c r="B613" s="1" t="n">
        <v>45755</v>
      </c>
      <c r="C613" s="1" t="n">
        <v>46193</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26393-2026</t>
        </is>
      </c>
      <c r="B614" s="1" t="n">
        <v>46183</v>
      </c>
      <c r="C614" s="1" t="n">
        <v>46193</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13954-2023</t>
        </is>
      </c>
      <c r="B615" s="1" t="n">
        <v>45008</v>
      </c>
      <c r="C615" s="1" t="n">
        <v>46193</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51018-2023</t>
        </is>
      </c>
      <c r="B616" s="1" t="n">
        <v>45218</v>
      </c>
      <c r="C616" s="1" t="n">
        <v>46193</v>
      </c>
      <c r="D616" t="inlineStr">
        <is>
          <t>SKÅNE LÄN</t>
        </is>
      </c>
      <c r="E616" t="inlineStr">
        <is>
          <t>HÄSSLEHOLM</t>
        </is>
      </c>
      <c r="G616" t="n">
        <v>3.1</v>
      </c>
      <c r="H616" t="n">
        <v>0</v>
      </c>
      <c r="I616" t="n">
        <v>0</v>
      </c>
      <c r="J616" t="n">
        <v>0</v>
      </c>
      <c r="K616" t="n">
        <v>0</v>
      </c>
      <c r="L616" t="n">
        <v>0</v>
      </c>
      <c r="M616" t="n">
        <v>0</v>
      </c>
      <c r="N616" t="n">
        <v>0</v>
      </c>
      <c r="O616" t="n">
        <v>0</v>
      </c>
      <c r="P616" t="n">
        <v>0</v>
      </c>
      <c r="Q616" t="n">
        <v>0</v>
      </c>
      <c r="R616" s="2" t="inlineStr"/>
    </row>
    <row r="617" ht="15" customHeight="1">
      <c r="A617" t="inlineStr">
        <is>
          <t>A 40152-2024</t>
        </is>
      </c>
      <c r="B617" s="1" t="n">
        <v>45554</v>
      </c>
      <c r="C617" s="1" t="n">
        <v>46193</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31254-2024</t>
        </is>
      </c>
      <c r="B618" s="1" t="n">
        <v>45503</v>
      </c>
      <c r="C618" s="1" t="n">
        <v>46193</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27825-2024</t>
        </is>
      </c>
      <c r="B619" s="1" t="n">
        <v>45475</v>
      </c>
      <c r="C619" s="1" t="n">
        <v>46193</v>
      </c>
      <c r="D619" t="inlineStr">
        <is>
          <t>SKÅNE LÄN</t>
        </is>
      </c>
      <c r="E619" t="inlineStr">
        <is>
          <t>HÄSSLEHOLM</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37764-2022</t>
        </is>
      </c>
      <c r="B620" s="1" t="n">
        <v>44810</v>
      </c>
      <c r="C620" s="1" t="n">
        <v>46193</v>
      </c>
      <c r="D620" t="inlineStr">
        <is>
          <t>SKÅNE LÄN</t>
        </is>
      </c>
      <c r="E620" t="inlineStr">
        <is>
          <t>HÄSSLEHOLM</t>
        </is>
      </c>
      <c r="F620" t="inlineStr">
        <is>
          <t>Kyrkan</t>
        </is>
      </c>
      <c r="G620" t="n">
        <v>9.4</v>
      </c>
      <c r="H620" t="n">
        <v>0</v>
      </c>
      <c r="I620" t="n">
        <v>0</v>
      </c>
      <c r="J620" t="n">
        <v>0</v>
      </c>
      <c r="K620" t="n">
        <v>0</v>
      </c>
      <c r="L620" t="n">
        <v>0</v>
      </c>
      <c r="M620" t="n">
        <v>0</v>
      </c>
      <c r="N620" t="n">
        <v>0</v>
      </c>
      <c r="O620" t="n">
        <v>0</v>
      </c>
      <c r="P620" t="n">
        <v>0</v>
      </c>
      <c r="Q620" t="n">
        <v>0</v>
      </c>
      <c r="R620" s="2" t="inlineStr"/>
    </row>
    <row r="621" ht="15" customHeight="1">
      <c r="A621" t="inlineStr">
        <is>
          <t>A 37486-2024</t>
        </is>
      </c>
      <c r="B621" s="1" t="n">
        <v>45541</v>
      </c>
      <c r="C621" s="1" t="n">
        <v>46193</v>
      </c>
      <c r="D621" t="inlineStr">
        <is>
          <t>SKÅNE LÄN</t>
        </is>
      </c>
      <c r="E621" t="inlineStr">
        <is>
          <t>HÄSSLEHOLM</t>
        </is>
      </c>
      <c r="G621" t="n">
        <v>8.5</v>
      </c>
      <c r="H621" t="n">
        <v>0</v>
      </c>
      <c r="I621" t="n">
        <v>0</v>
      </c>
      <c r="J621" t="n">
        <v>0</v>
      </c>
      <c r="K621" t="n">
        <v>0</v>
      </c>
      <c r="L621" t="n">
        <v>0</v>
      </c>
      <c r="M621" t="n">
        <v>0</v>
      </c>
      <c r="N621" t="n">
        <v>0</v>
      </c>
      <c r="O621" t="n">
        <v>0</v>
      </c>
      <c r="P621" t="n">
        <v>0</v>
      </c>
      <c r="Q621" t="n">
        <v>0</v>
      </c>
      <c r="R621" s="2" t="inlineStr"/>
    </row>
    <row r="622" ht="15" customHeight="1">
      <c r="A622" t="inlineStr">
        <is>
          <t>A 44838-2023</t>
        </is>
      </c>
      <c r="B622" s="1" t="n">
        <v>45190</v>
      </c>
      <c r="C622" s="1" t="n">
        <v>46193</v>
      </c>
      <c r="D622" t="inlineStr">
        <is>
          <t>SKÅNE LÄN</t>
        </is>
      </c>
      <c r="E622" t="inlineStr">
        <is>
          <t>HÄSSLEHOLM</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15072-2024</t>
        </is>
      </c>
      <c r="B623" s="1" t="n">
        <v>45399</v>
      </c>
      <c r="C623" s="1" t="n">
        <v>46193</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16930-2024</t>
        </is>
      </c>
      <c r="B624" s="1" t="n">
        <v>45411</v>
      </c>
      <c r="C624" s="1" t="n">
        <v>46193</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13198-2025</t>
        </is>
      </c>
      <c r="B625" s="1" t="n">
        <v>45735</v>
      </c>
      <c r="C625" s="1" t="n">
        <v>46193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49137-2025</t>
        </is>
      </c>
      <c r="B626" s="1" t="n">
        <v>45938</v>
      </c>
      <c r="C626" s="1" t="n">
        <v>46193</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11262-2025</t>
        </is>
      </c>
      <c r="B627" s="1" t="n">
        <v>45726</v>
      </c>
      <c r="C627" s="1" t="n">
        <v>46193</v>
      </c>
      <c r="D627" t="inlineStr">
        <is>
          <t>SKÅNE LÄN</t>
        </is>
      </c>
      <c r="E627" t="inlineStr">
        <is>
          <t>HÄSSLEHOLM</t>
        </is>
      </c>
      <c r="G627" t="n">
        <v>1.9</v>
      </c>
      <c r="H627" t="n">
        <v>0</v>
      </c>
      <c r="I627" t="n">
        <v>0</v>
      </c>
      <c r="J627" t="n">
        <v>0</v>
      </c>
      <c r="K627" t="n">
        <v>0</v>
      </c>
      <c r="L627" t="n">
        <v>0</v>
      </c>
      <c r="M627" t="n">
        <v>0</v>
      </c>
      <c r="N627" t="n">
        <v>0</v>
      </c>
      <c r="O627" t="n">
        <v>0</v>
      </c>
      <c r="P627" t="n">
        <v>0</v>
      </c>
      <c r="Q627" t="n">
        <v>0</v>
      </c>
      <c r="R627" s="2" t="inlineStr"/>
    </row>
    <row r="628" ht="15" customHeight="1">
      <c r="A628" t="inlineStr">
        <is>
          <t>A 5395-2024</t>
        </is>
      </c>
      <c r="B628" s="1" t="n">
        <v>45331</v>
      </c>
      <c r="C628" s="1" t="n">
        <v>46193</v>
      </c>
      <c r="D628" t="inlineStr">
        <is>
          <t>SKÅNE LÄN</t>
        </is>
      </c>
      <c r="E628" t="inlineStr">
        <is>
          <t>HÄSSLEHOLM</t>
        </is>
      </c>
      <c r="G628" t="n">
        <v>2.6</v>
      </c>
      <c r="H628" t="n">
        <v>0</v>
      </c>
      <c r="I628" t="n">
        <v>0</v>
      </c>
      <c r="J628" t="n">
        <v>0</v>
      </c>
      <c r="K628" t="n">
        <v>0</v>
      </c>
      <c r="L628" t="n">
        <v>0</v>
      </c>
      <c r="M628" t="n">
        <v>0</v>
      </c>
      <c r="N628" t="n">
        <v>0</v>
      </c>
      <c r="O628" t="n">
        <v>0</v>
      </c>
      <c r="P628" t="n">
        <v>0</v>
      </c>
      <c r="Q628" t="n">
        <v>0</v>
      </c>
      <c r="R628" s="2" t="inlineStr"/>
    </row>
    <row r="629" ht="15" customHeight="1">
      <c r="A629" t="inlineStr">
        <is>
          <t>A 3135-2023</t>
        </is>
      </c>
      <c r="B629" s="1" t="n">
        <v>44946</v>
      </c>
      <c r="C629" s="1" t="n">
        <v>46193</v>
      </c>
      <c r="D629" t="inlineStr">
        <is>
          <t>SKÅNE LÄN</t>
        </is>
      </c>
      <c r="E629" t="inlineStr">
        <is>
          <t>HÄSSLEHOLM</t>
        </is>
      </c>
      <c r="G629" t="n">
        <v>7.2</v>
      </c>
      <c r="H629" t="n">
        <v>0</v>
      </c>
      <c r="I629" t="n">
        <v>0</v>
      </c>
      <c r="J629" t="n">
        <v>0</v>
      </c>
      <c r="K629" t="n">
        <v>0</v>
      </c>
      <c r="L629" t="n">
        <v>0</v>
      </c>
      <c r="M629" t="n">
        <v>0</v>
      </c>
      <c r="N629" t="n">
        <v>0</v>
      </c>
      <c r="O629" t="n">
        <v>0</v>
      </c>
      <c r="P629" t="n">
        <v>0</v>
      </c>
      <c r="Q629" t="n">
        <v>0</v>
      </c>
      <c r="R629" s="2" t="inlineStr"/>
    </row>
    <row r="630" ht="15" customHeight="1">
      <c r="A630" t="inlineStr">
        <is>
          <t>A 56069-2024</t>
        </is>
      </c>
      <c r="B630" s="1" t="n">
        <v>45624</v>
      </c>
      <c r="C630" s="1" t="n">
        <v>46193</v>
      </c>
      <c r="D630" t="inlineStr">
        <is>
          <t>SKÅNE LÄN</t>
        </is>
      </c>
      <c r="E630" t="inlineStr">
        <is>
          <t>HÄSSLEHOLM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60797-2024</t>
        </is>
      </c>
      <c r="B631" s="1" t="n">
        <v>45644</v>
      </c>
      <c r="C631" s="1" t="n">
        <v>46193</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59429-2023</t>
        </is>
      </c>
      <c r="B632" s="1" t="n">
        <v>45254</v>
      </c>
      <c r="C632" s="1" t="n">
        <v>46193</v>
      </c>
      <c r="D632" t="inlineStr">
        <is>
          <t>SKÅNE LÄN</t>
        </is>
      </c>
      <c r="E632" t="inlineStr">
        <is>
          <t>HÄSSLEHOLM</t>
        </is>
      </c>
      <c r="G632" t="n">
        <v>0</v>
      </c>
      <c r="H632" t="n">
        <v>0</v>
      </c>
      <c r="I632" t="n">
        <v>0</v>
      </c>
      <c r="J632" t="n">
        <v>0</v>
      </c>
      <c r="K632" t="n">
        <v>0</v>
      </c>
      <c r="L632" t="n">
        <v>0</v>
      </c>
      <c r="M632" t="n">
        <v>0</v>
      </c>
      <c r="N632" t="n">
        <v>0</v>
      </c>
      <c r="O632" t="n">
        <v>0</v>
      </c>
      <c r="P632" t="n">
        <v>0</v>
      </c>
      <c r="Q632" t="n">
        <v>0</v>
      </c>
      <c r="R632" s="2" t="inlineStr"/>
    </row>
    <row r="633" ht="15" customHeight="1">
      <c r="A633" t="inlineStr">
        <is>
          <t>A 40202-2022</t>
        </is>
      </c>
      <c r="B633" s="1" t="n">
        <v>44820</v>
      </c>
      <c r="C633" s="1" t="n">
        <v>46193</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24034-2025</t>
        </is>
      </c>
      <c r="B634" s="1" t="n">
        <v>45796</v>
      </c>
      <c r="C634" s="1" t="n">
        <v>46193</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26443-2026</t>
        </is>
      </c>
      <c r="B635" s="1" t="n">
        <v>46182</v>
      </c>
      <c r="C635" s="1" t="n">
        <v>46193</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49845-2025</t>
        </is>
      </c>
      <c r="B636" s="1" t="n">
        <v>45940</v>
      </c>
      <c r="C636" s="1" t="n">
        <v>46193</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47394-2025</t>
        </is>
      </c>
      <c r="B637" s="1" t="n">
        <v>45930</v>
      </c>
      <c r="C637" s="1" t="n">
        <v>46193</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54326-2022</t>
        </is>
      </c>
      <c r="B638" s="1" t="n">
        <v>44882</v>
      </c>
      <c r="C638" s="1" t="n">
        <v>46193</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24039-2025</t>
        </is>
      </c>
      <c r="B639" s="1" t="n">
        <v>45796</v>
      </c>
      <c r="C639" s="1" t="n">
        <v>46193</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41998-2021</t>
        </is>
      </c>
      <c r="B640" s="1" t="n">
        <v>44425</v>
      </c>
      <c r="C640" s="1" t="n">
        <v>46193</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61524-2022</t>
        </is>
      </c>
      <c r="B641" s="1" t="n">
        <v>44910</v>
      </c>
      <c r="C641" s="1" t="n">
        <v>46193</v>
      </c>
      <c r="D641" t="inlineStr">
        <is>
          <t>SKÅNE LÄN</t>
        </is>
      </c>
      <c r="E641" t="inlineStr">
        <is>
          <t>HÄSSLEHOLM</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7681-2025</t>
        </is>
      </c>
      <c r="B642" s="1" t="n">
        <v>45706</v>
      </c>
      <c r="C642" s="1" t="n">
        <v>46193</v>
      </c>
      <c r="D642" t="inlineStr">
        <is>
          <t>SKÅNE LÄN</t>
        </is>
      </c>
      <c r="E642" t="inlineStr">
        <is>
          <t>HÄSSLEHOLM</t>
        </is>
      </c>
      <c r="G642" t="n">
        <v>1.9</v>
      </c>
      <c r="H642" t="n">
        <v>0</v>
      </c>
      <c r="I642" t="n">
        <v>0</v>
      </c>
      <c r="J642" t="n">
        <v>0</v>
      </c>
      <c r="K642" t="n">
        <v>0</v>
      </c>
      <c r="L642" t="n">
        <v>0</v>
      </c>
      <c r="M642" t="n">
        <v>0</v>
      </c>
      <c r="N642" t="n">
        <v>0</v>
      </c>
      <c r="O642" t="n">
        <v>0</v>
      </c>
      <c r="P642" t="n">
        <v>0</v>
      </c>
      <c r="Q642" t="n">
        <v>0</v>
      </c>
      <c r="R642" s="2" t="inlineStr"/>
    </row>
    <row r="643" ht="15" customHeight="1">
      <c r="A643" t="inlineStr">
        <is>
          <t>A 5252-2025</t>
        </is>
      </c>
      <c r="B643" s="1" t="n">
        <v>45692</v>
      </c>
      <c r="C643" s="1" t="n">
        <v>46193</v>
      </c>
      <c r="D643" t="inlineStr">
        <is>
          <t>SKÅNE LÄN</t>
        </is>
      </c>
      <c r="E643" t="inlineStr">
        <is>
          <t>HÄSSLEHOLM</t>
        </is>
      </c>
      <c r="G643" t="n">
        <v>2.1</v>
      </c>
      <c r="H643" t="n">
        <v>0</v>
      </c>
      <c r="I643" t="n">
        <v>0</v>
      </c>
      <c r="J643" t="n">
        <v>0</v>
      </c>
      <c r="K643" t="n">
        <v>0</v>
      </c>
      <c r="L643" t="n">
        <v>0</v>
      </c>
      <c r="M643" t="n">
        <v>0</v>
      </c>
      <c r="N643" t="n">
        <v>0</v>
      </c>
      <c r="O643" t="n">
        <v>0</v>
      </c>
      <c r="P643" t="n">
        <v>0</v>
      </c>
      <c r="Q643" t="n">
        <v>0</v>
      </c>
      <c r="R643" s="2" t="inlineStr"/>
    </row>
    <row r="644" ht="15" customHeight="1">
      <c r="A644" t="inlineStr">
        <is>
          <t>A 8619-2023</t>
        </is>
      </c>
      <c r="B644" s="1" t="n">
        <v>44977</v>
      </c>
      <c r="C644" s="1" t="n">
        <v>46193</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24047-2025</t>
        </is>
      </c>
      <c r="B645" s="1" t="n">
        <v>45796</v>
      </c>
      <c r="C645" s="1" t="n">
        <v>46193</v>
      </c>
      <c r="D645" t="inlineStr">
        <is>
          <t>SKÅNE LÄN</t>
        </is>
      </c>
      <c r="E645" t="inlineStr">
        <is>
          <t>HÄSSLEHOLM</t>
        </is>
      </c>
      <c r="G645" t="n">
        <v>1.1</v>
      </c>
      <c r="H645" t="n">
        <v>0</v>
      </c>
      <c r="I645" t="n">
        <v>0</v>
      </c>
      <c r="J645" t="n">
        <v>0</v>
      </c>
      <c r="K645" t="n">
        <v>0</v>
      </c>
      <c r="L645" t="n">
        <v>0</v>
      </c>
      <c r="M645" t="n">
        <v>0</v>
      </c>
      <c r="N645" t="n">
        <v>0</v>
      </c>
      <c r="O645" t="n">
        <v>0</v>
      </c>
      <c r="P645" t="n">
        <v>0</v>
      </c>
      <c r="Q645" t="n">
        <v>0</v>
      </c>
      <c r="R645" s="2" t="inlineStr"/>
    </row>
    <row r="646" ht="15" customHeight="1">
      <c r="A646" t="inlineStr">
        <is>
          <t>A 49219-2021</t>
        </is>
      </c>
      <c r="B646" s="1" t="n">
        <v>44454</v>
      </c>
      <c r="C646" s="1" t="n">
        <v>46193</v>
      </c>
      <c r="D646" t="inlineStr">
        <is>
          <t>SKÅNE LÄN</t>
        </is>
      </c>
      <c r="E646" t="inlineStr">
        <is>
          <t>HÄSSLEHOLM</t>
        </is>
      </c>
      <c r="G646" t="n">
        <v>7.8</v>
      </c>
      <c r="H646" t="n">
        <v>0</v>
      </c>
      <c r="I646" t="n">
        <v>0</v>
      </c>
      <c r="J646" t="n">
        <v>0</v>
      </c>
      <c r="K646" t="n">
        <v>0</v>
      </c>
      <c r="L646" t="n">
        <v>0</v>
      </c>
      <c r="M646" t="n">
        <v>0</v>
      </c>
      <c r="N646" t="n">
        <v>0</v>
      </c>
      <c r="O646" t="n">
        <v>0</v>
      </c>
      <c r="P646" t="n">
        <v>0</v>
      </c>
      <c r="Q646" t="n">
        <v>0</v>
      </c>
      <c r="R646" s="2" t="inlineStr"/>
    </row>
    <row r="647" ht="15" customHeight="1">
      <c r="A647" t="inlineStr">
        <is>
          <t>A 60789-2024</t>
        </is>
      </c>
      <c r="B647" s="1" t="n">
        <v>45644</v>
      </c>
      <c r="C647" s="1" t="n">
        <v>46193</v>
      </c>
      <c r="D647" t="inlineStr">
        <is>
          <t>SKÅNE LÄN</t>
        </is>
      </c>
      <c r="E647" t="inlineStr">
        <is>
          <t>HÄSSLEHOLM</t>
        </is>
      </c>
      <c r="G647" t="n">
        <v>3</v>
      </c>
      <c r="H647" t="n">
        <v>0</v>
      </c>
      <c r="I647" t="n">
        <v>0</v>
      </c>
      <c r="J647" t="n">
        <v>0</v>
      </c>
      <c r="K647" t="n">
        <v>0</v>
      </c>
      <c r="L647" t="n">
        <v>0</v>
      </c>
      <c r="M647" t="n">
        <v>0</v>
      </c>
      <c r="N647" t="n">
        <v>0</v>
      </c>
      <c r="O647" t="n">
        <v>0</v>
      </c>
      <c r="P647" t="n">
        <v>0</v>
      </c>
      <c r="Q647" t="n">
        <v>0</v>
      </c>
      <c r="R647" s="2" t="inlineStr"/>
    </row>
    <row r="648" ht="15" customHeight="1">
      <c r="A648" t="inlineStr">
        <is>
          <t>A 46000-2021</t>
        </is>
      </c>
      <c r="B648" s="1" t="n">
        <v>44441</v>
      </c>
      <c r="C648" s="1" t="n">
        <v>46193</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24904-2025</t>
        </is>
      </c>
      <c r="B649" s="1" t="n">
        <v>45799</v>
      </c>
      <c r="C649" s="1" t="n">
        <v>46193</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50834-2025</t>
        </is>
      </c>
      <c r="B650" s="1" t="n">
        <v>45946</v>
      </c>
      <c r="C650" s="1" t="n">
        <v>46193</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62171-2022</t>
        </is>
      </c>
      <c r="B651" s="1" t="n">
        <v>44915</v>
      </c>
      <c r="C651" s="1" t="n">
        <v>46193</v>
      </c>
      <c r="D651" t="inlineStr">
        <is>
          <t>SKÅNE LÄN</t>
        </is>
      </c>
      <c r="E651" t="inlineStr">
        <is>
          <t>HÄSSLEHOLM</t>
        </is>
      </c>
      <c r="F651" t="inlineStr">
        <is>
          <t>Kyrkan</t>
        </is>
      </c>
      <c r="G651" t="n">
        <v>9</v>
      </c>
      <c r="H651" t="n">
        <v>0</v>
      </c>
      <c r="I651" t="n">
        <v>0</v>
      </c>
      <c r="J651" t="n">
        <v>0</v>
      </c>
      <c r="K651" t="n">
        <v>0</v>
      </c>
      <c r="L651" t="n">
        <v>0</v>
      </c>
      <c r="M651" t="n">
        <v>0</v>
      </c>
      <c r="N651" t="n">
        <v>0</v>
      </c>
      <c r="O651" t="n">
        <v>0</v>
      </c>
      <c r="P651" t="n">
        <v>0</v>
      </c>
      <c r="Q651" t="n">
        <v>0</v>
      </c>
      <c r="R651" s="2" t="inlineStr"/>
    </row>
    <row r="652" ht="15" customHeight="1">
      <c r="A652" t="inlineStr">
        <is>
          <t>A 32100-2024</t>
        </is>
      </c>
      <c r="B652" s="1" t="n">
        <v>45511</v>
      </c>
      <c r="C652" s="1" t="n">
        <v>46193</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33481-2024</t>
        </is>
      </c>
      <c r="B653" s="1" t="n">
        <v>45519</v>
      </c>
      <c r="C653" s="1" t="n">
        <v>46193</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48807-2021</t>
        </is>
      </c>
      <c r="B654" s="1" t="n">
        <v>44452</v>
      </c>
      <c r="C654" s="1" t="n">
        <v>46193</v>
      </c>
      <c r="D654" t="inlineStr">
        <is>
          <t>SKÅNE LÄN</t>
        </is>
      </c>
      <c r="E654" t="inlineStr">
        <is>
          <t>HÄSSLEHOLM</t>
        </is>
      </c>
      <c r="G654" t="n">
        <v>1.1</v>
      </c>
      <c r="H654" t="n">
        <v>0</v>
      </c>
      <c r="I654" t="n">
        <v>0</v>
      </c>
      <c r="J654" t="n">
        <v>0</v>
      </c>
      <c r="K654" t="n">
        <v>0</v>
      </c>
      <c r="L654" t="n">
        <v>0</v>
      </c>
      <c r="M654" t="n">
        <v>0</v>
      </c>
      <c r="N654" t="n">
        <v>0</v>
      </c>
      <c r="O654" t="n">
        <v>0</v>
      </c>
      <c r="P654" t="n">
        <v>0</v>
      </c>
      <c r="Q654" t="n">
        <v>0</v>
      </c>
      <c r="R654" s="2" t="inlineStr"/>
    </row>
    <row r="655" ht="15" customHeight="1">
      <c r="A655" t="inlineStr">
        <is>
          <t>A 26437-2026</t>
        </is>
      </c>
      <c r="B655" s="1" t="n">
        <v>46182</v>
      </c>
      <c r="C655" s="1" t="n">
        <v>46193</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50678-2025</t>
        </is>
      </c>
      <c r="B656" s="1" t="n">
        <v>45945</v>
      </c>
      <c r="C656" s="1" t="n">
        <v>46193</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10562-2025</t>
        </is>
      </c>
      <c r="B657" s="1" t="n">
        <v>45721</v>
      </c>
      <c r="C657" s="1" t="n">
        <v>46193</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1886-2025</t>
        </is>
      </c>
      <c r="B658" s="1" t="n">
        <v>45671</v>
      </c>
      <c r="C658" s="1" t="n">
        <v>46193</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54176-2022</t>
        </is>
      </c>
      <c r="B659" s="1" t="n">
        <v>44881</v>
      </c>
      <c r="C659" s="1" t="n">
        <v>46193</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15536-2025</t>
        </is>
      </c>
      <c r="B660" s="1" t="n">
        <v>45747</v>
      </c>
      <c r="C660" s="1" t="n">
        <v>46193</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32512-2024</t>
        </is>
      </c>
      <c r="B661" s="1" t="n">
        <v>45513</v>
      </c>
      <c r="C661" s="1" t="n">
        <v>46193</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16614-2025</t>
        </is>
      </c>
      <c r="B662" s="1" t="n">
        <v>45754</v>
      </c>
      <c r="C662" s="1" t="n">
        <v>46193</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55522-2024</t>
        </is>
      </c>
      <c r="B663" s="1" t="n">
        <v>45622</v>
      </c>
      <c r="C663" s="1" t="n">
        <v>46193</v>
      </c>
      <c r="D663" t="inlineStr">
        <is>
          <t>SKÅNE LÄN</t>
        </is>
      </c>
      <c r="E663" t="inlineStr">
        <is>
          <t>HÄSSLEHOLM</t>
        </is>
      </c>
      <c r="G663" t="n">
        <v>5.6</v>
      </c>
      <c r="H663" t="n">
        <v>0</v>
      </c>
      <c r="I663" t="n">
        <v>0</v>
      </c>
      <c r="J663" t="n">
        <v>0</v>
      </c>
      <c r="K663" t="n">
        <v>0</v>
      </c>
      <c r="L663" t="n">
        <v>0</v>
      </c>
      <c r="M663" t="n">
        <v>0</v>
      </c>
      <c r="N663" t="n">
        <v>0</v>
      </c>
      <c r="O663" t="n">
        <v>0</v>
      </c>
      <c r="P663" t="n">
        <v>0</v>
      </c>
      <c r="Q663" t="n">
        <v>0</v>
      </c>
      <c r="R663" s="2" t="inlineStr"/>
    </row>
    <row r="664" ht="15" customHeight="1">
      <c r="A664" t="inlineStr">
        <is>
          <t>A 49824-2024</t>
        </is>
      </c>
      <c r="B664" s="1" t="n">
        <v>45597</v>
      </c>
      <c r="C664" s="1" t="n">
        <v>46193</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23723-2023</t>
        </is>
      </c>
      <c r="B665" s="1" t="n">
        <v>45077</v>
      </c>
      <c r="C665" s="1" t="n">
        <v>46193</v>
      </c>
      <c r="D665" t="inlineStr">
        <is>
          <t>SKÅNE LÄN</t>
        </is>
      </c>
      <c r="E665" t="inlineStr">
        <is>
          <t>HÄSSLEHOLM</t>
        </is>
      </c>
      <c r="G665" t="n">
        <v>3.9</v>
      </c>
      <c r="H665" t="n">
        <v>0</v>
      </c>
      <c r="I665" t="n">
        <v>0</v>
      </c>
      <c r="J665" t="n">
        <v>0</v>
      </c>
      <c r="K665" t="n">
        <v>0</v>
      </c>
      <c r="L665" t="n">
        <v>0</v>
      </c>
      <c r="M665" t="n">
        <v>0</v>
      </c>
      <c r="N665" t="n">
        <v>0</v>
      </c>
      <c r="O665" t="n">
        <v>0</v>
      </c>
      <c r="P665" t="n">
        <v>0</v>
      </c>
      <c r="Q665" t="n">
        <v>0</v>
      </c>
      <c r="R665" s="2" t="inlineStr"/>
    </row>
    <row r="666" ht="15" customHeight="1">
      <c r="A666" t="inlineStr">
        <is>
          <t>A 5242-2025</t>
        </is>
      </c>
      <c r="B666" s="1" t="n">
        <v>45692</v>
      </c>
      <c r="C666" s="1" t="n">
        <v>46193</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54426-2025</t>
        </is>
      </c>
      <c r="B667" s="1" t="n">
        <v>45965</v>
      </c>
      <c r="C667" s="1" t="n">
        <v>46193</v>
      </c>
      <c r="D667" t="inlineStr">
        <is>
          <t>SKÅNE LÄN</t>
        </is>
      </c>
      <c r="E667" t="inlineStr">
        <is>
          <t>HÄSSLEHOLM</t>
        </is>
      </c>
      <c r="G667" t="n">
        <v>2.5</v>
      </c>
      <c r="H667" t="n">
        <v>0</v>
      </c>
      <c r="I667" t="n">
        <v>0</v>
      </c>
      <c r="J667" t="n">
        <v>0</v>
      </c>
      <c r="K667" t="n">
        <v>0</v>
      </c>
      <c r="L667" t="n">
        <v>0</v>
      </c>
      <c r="M667" t="n">
        <v>0</v>
      </c>
      <c r="N667" t="n">
        <v>0</v>
      </c>
      <c r="O667" t="n">
        <v>0</v>
      </c>
      <c r="P667" t="n">
        <v>0</v>
      </c>
      <c r="Q667" t="n">
        <v>0</v>
      </c>
      <c r="R667" s="2" t="inlineStr"/>
    </row>
    <row r="668" ht="15" customHeight="1">
      <c r="A668" t="inlineStr">
        <is>
          <t>A 24658-2025</t>
        </is>
      </c>
      <c r="B668" s="1" t="n">
        <v>45798</v>
      </c>
      <c r="C668" s="1" t="n">
        <v>46193</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4945-2022</t>
        </is>
      </c>
      <c r="B669" s="1" t="n">
        <v>44593</v>
      </c>
      <c r="C669" s="1" t="n">
        <v>46193</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26403-2026</t>
        </is>
      </c>
      <c r="B670" s="1" t="n">
        <v>46182</v>
      </c>
      <c r="C670" s="1" t="n">
        <v>46193</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24250-2025</t>
        </is>
      </c>
      <c r="B671" s="1" t="n">
        <v>45797</v>
      </c>
      <c r="C671" s="1" t="n">
        <v>46193</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23264-2026</t>
        </is>
      </c>
      <c r="B672" s="1" t="n">
        <v>46162</v>
      </c>
      <c r="C672" s="1" t="n">
        <v>46193</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51024-2025</t>
        </is>
      </c>
      <c r="B673" s="1" t="n">
        <v>45947</v>
      </c>
      <c r="C673" s="1" t="n">
        <v>46193</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32826-2024</t>
        </is>
      </c>
      <c r="B674" s="1" t="n">
        <v>45516</v>
      </c>
      <c r="C674" s="1" t="n">
        <v>46193</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26447-2026</t>
        </is>
      </c>
      <c r="B675" s="1" t="n">
        <v>46182</v>
      </c>
      <c r="C675" s="1" t="n">
        <v>46193</v>
      </c>
      <c r="D675" t="inlineStr">
        <is>
          <t>SKÅNE LÄN</t>
        </is>
      </c>
      <c r="E675" t="inlineStr">
        <is>
          <t>HÄSSLEHOLM</t>
        </is>
      </c>
      <c r="G675" t="n">
        <v>7.9</v>
      </c>
      <c r="H675" t="n">
        <v>0</v>
      </c>
      <c r="I675" t="n">
        <v>0</v>
      </c>
      <c r="J675" t="n">
        <v>0</v>
      </c>
      <c r="K675" t="n">
        <v>0</v>
      </c>
      <c r="L675" t="n">
        <v>0</v>
      </c>
      <c r="M675" t="n">
        <v>0</v>
      </c>
      <c r="N675" t="n">
        <v>0</v>
      </c>
      <c r="O675" t="n">
        <v>0</v>
      </c>
      <c r="P675" t="n">
        <v>0</v>
      </c>
      <c r="Q675" t="n">
        <v>0</v>
      </c>
      <c r="R675" s="2" t="inlineStr"/>
    </row>
    <row r="676" ht="15" customHeight="1">
      <c r="A676" t="inlineStr">
        <is>
          <t>A 47248-2023</t>
        </is>
      </c>
      <c r="B676" s="1" t="n">
        <v>45202</v>
      </c>
      <c r="C676" s="1" t="n">
        <v>46193</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27837-2024</t>
        </is>
      </c>
      <c r="B677" s="1" t="n">
        <v>45475</v>
      </c>
      <c r="C677" s="1" t="n">
        <v>46193</v>
      </c>
      <c r="D677" t="inlineStr">
        <is>
          <t>SKÅNE LÄN</t>
        </is>
      </c>
      <c r="E677" t="inlineStr">
        <is>
          <t>HÄSSLEHOLM</t>
        </is>
      </c>
      <c r="F677" t="inlineStr">
        <is>
          <t>Kommuner</t>
        </is>
      </c>
      <c r="G677" t="n">
        <v>2.3</v>
      </c>
      <c r="H677" t="n">
        <v>0</v>
      </c>
      <c r="I677" t="n">
        <v>0</v>
      </c>
      <c r="J677" t="n">
        <v>0</v>
      </c>
      <c r="K677" t="n">
        <v>0</v>
      </c>
      <c r="L677" t="n">
        <v>0</v>
      </c>
      <c r="M677" t="n">
        <v>0</v>
      </c>
      <c r="N677" t="n">
        <v>0</v>
      </c>
      <c r="O677" t="n">
        <v>0</v>
      </c>
      <c r="P677" t="n">
        <v>0</v>
      </c>
      <c r="Q677" t="n">
        <v>0</v>
      </c>
      <c r="R677" s="2" t="inlineStr"/>
    </row>
    <row r="678" ht="15" customHeight="1">
      <c r="A678" t="inlineStr">
        <is>
          <t>A 38306-2022</t>
        </is>
      </c>
      <c r="B678" s="1" t="n">
        <v>44812</v>
      </c>
      <c r="C678" s="1" t="n">
        <v>46193</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29659-2024</t>
        </is>
      </c>
      <c r="B679" s="1" t="n">
        <v>45484</v>
      </c>
      <c r="C679" s="1" t="n">
        <v>46193</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46193</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1679-2022</t>
        </is>
      </c>
      <c r="B681" s="1" t="n">
        <v>44573</v>
      </c>
      <c r="C681" s="1" t="n">
        <v>46193</v>
      </c>
      <c r="D681" t="inlineStr">
        <is>
          <t>SKÅNE LÄN</t>
        </is>
      </c>
      <c r="E681" t="inlineStr">
        <is>
          <t>HÄSSLEHOLM</t>
        </is>
      </c>
      <c r="F681" t="inlineStr">
        <is>
          <t>Kyrkan</t>
        </is>
      </c>
      <c r="G681" t="n">
        <v>4.3</v>
      </c>
      <c r="H681" t="n">
        <v>0</v>
      </c>
      <c r="I681" t="n">
        <v>0</v>
      </c>
      <c r="J681" t="n">
        <v>0</v>
      </c>
      <c r="K681" t="n">
        <v>0</v>
      </c>
      <c r="L681" t="n">
        <v>0</v>
      </c>
      <c r="M681" t="n">
        <v>0</v>
      </c>
      <c r="N681" t="n">
        <v>0</v>
      </c>
      <c r="O681" t="n">
        <v>0</v>
      </c>
      <c r="P681" t="n">
        <v>0</v>
      </c>
      <c r="Q681" t="n">
        <v>0</v>
      </c>
      <c r="R681" s="2" t="inlineStr"/>
    </row>
    <row r="682" ht="15" customHeight="1">
      <c r="A682" t="inlineStr">
        <is>
          <t>A 51097-2025</t>
        </is>
      </c>
      <c r="B682" s="1" t="n">
        <v>45947</v>
      </c>
      <c r="C682" s="1" t="n">
        <v>46193</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259-2024</t>
        </is>
      </c>
      <c r="B683" s="1" t="n">
        <v>45294</v>
      </c>
      <c r="C683" s="1" t="n">
        <v>46193</v>
      </c>
      <c r="D683" t="inlineStr">
        <is>
          <t>SKÅNE LÄN</t>
        </is>
      </c>
      <c r="E683" t="inlineStr">
        <is>
          <t>HÄSSLEHOLM</t>
        </is>
      </c>
      <c r="G683" t="n">
        <v>8</v>
      </c>
      <c r="H683" t="n">
        <v>0</v>
      </c>
      <c r="I683" t="n">
        <v>0</v>
      </c>
      <c r="J683" t="n">
        <v>0</v>
      </c>
      <c r="K683" t="n">
        <v>0</v>
      </c>
      <c r="L683" t="n">
        <v>0</v>
      </c>
      <c r="M683" t="n">
        <v>0</v>
      </c>
      <c r="N683" t="n">
        <v>0</v>
      </c>
      <c r="O683" t="n">
        <v>0</v>
      </c>
      <c r="P683" t="n">
        <v>0</v>
      </c>
      <c r="Q683" t="n">
        <v>0</v>
      </c>
      <c r="R683" s="2" t="inlineStr"/>
    </row>
    <row r="684" ht="15" customHeight="1">
      <c r="A684" t="inlineStr">
        <is>
          <t>A 12503-2022</t>
        </is>
      </c>
      <c r="B684" s="1" t="n">
        <v>44638</v>
      </c>
      <c r="C684" s="1" t="n">
        <v>46193</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25372-2025</t>
        </is>
      </c>
      <c r="B685" s="1" t="n">
        <v>45799</v>
      </c>
      <c r="C685" s="1" t="n">
        <v>46193</v>
      </c>
      <c r="D685" t="inlineStr">
        <is>
          <t>SKÅNE LÄN</t>
        </is>
      </c>
      <c r="E685" t="inlineStr">
        <is>
          <t>HÄSSLEHOLM</t>
        </is>
      </c>
      <c r="G685" t="n">
        <v>3.1</v>
      </c>
      <c r="H685" t="n">
        <v>0</v>
      </c>
      <c r="I685" t="n">
        <v>0</v>
      </c>
      <c r="J685" t="n">
        <v>0</v>
      </c>
      <c r="K685" t="n">
        <v>0</v>
      </c>
      <c r="L685" t="n">
        <v>0</v>
      </c>
      <c r="M685" t="n">
        <v>0</v>
      </c>
      <c r="N685" t="n">
        <v>0</v>
      </c>
      <c r="O685" t="n">
        <v>0</v>
      </c>
      <c r="P685" t="n">
        <v>0</v>
      </c>
      <c r="Q685" t="n">
        <v>0</v>
      </c>
      <c r="R685" s="2" t="inlineStr"/>
    </row>
    <row r="686" ht="15" customHeight="1">
      <c r="A686" t="inlineStr">
        <is>
          <t>A 9399-2025</t>
        </is>
      </c>
      <c r="B686" s="1" t="n">
        <v>45715</v>
      </c>
      <c r="C686" s="1" t="n">
        <v>46193</v>
      </c>
      <c r="D686" t="inlineStr">
        <is>
          <t>SKÅNE LÄN</t>
        </is>
      </c>
      <c r="E686" t="inlineStr">
        <is>
          <t>HÄSSLEHOLM</t>
        </is>
      </c>
      <c r="G686" t="n">
        <v>5.2</v>
      </c>
      <c r="H686" t="n">
        <v>0</v>
      </c>
      <c r="I686" t="n">
        <v>0</v>
      </c>
      <c r="J686" t="n">
        <v>0</v>
      </c>
      <c r="K686" t="n">
        <v>0</v>
      </c>
      <c r="L686" t="n">
        <v>0</v>
      </c>
      <c r="M686" t="n">
        <v>0</v>
      </c>
      <c r="N686" t="n">
        <v>0</v>
      </c>
      <c r="O686" t="n">
        <v>0</v>
      </c>
      <c r="P686" t="n">
        <v>0</v>
      </c>
      <c r="Q686" t="n">
        <v>0</v>
      </c>
      <c r="R686" s="2" t="inlineStr"/>
    </row>
    <row r="687" ht="15" customHeight="1">
      <c r="A687" t="inlineStr">
        <is>
          <t>A 23950-2023</t>
        </is>
      </c>
      <c r="B687" s="1" t="n">
        <v>45078</v>
      </c>
      <c r="C687" s="1" t="n">
        <v>46193</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23952-2023</t>
        </is>
      </c>
      <c r="B688" s="1" t="n">
        <v>45078</v>
      </c>
      <c r="C688" s="1" t="n">
        <v>46193</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51640-2025</t>
        </is>
      </c>
      <c r="B689" s="1" t="n">
        <v>45951</v>
      </c>
      <c r="C689" s="1" t="n">
        <v>46193</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51565-2023</t>
        </is>
      </c>
      <c r="B690" s="1" t="n">
        <v>45222</v>
      </c>
      <c r="C690" s="1" t="n">
        <v>46193</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26505-2026</t>
        </is>
      </c>
      <c r="B691" s="1" t="n">
        <v>46183</v>
      </c>
      <c r="C691" s="1" t="n">
        <v>46193</v>
      </c>
      <c r="D691" t="inlineStr">
        <is>
          <t>SKÅNE LÄN</t>
        </is>
      </c>
      <c r="E691" t="inlineStr">
        <is>
          <t>HÄSSLEHOLM</t>
        </is>
      </c>
      <c r="G691" t="n">
        <v>3.9</v>
      </c>
      <c r="H691" t="n">
        <v>0</v>
      </c>
      <c r="I691" t="n">
        <v>0</v>
      </c>
      <c r="J691" t="n">
        <v>0</v>
      </c>
      <c r="K691" t="n">
        <v>0</v>
      </c>
      <c r="L691" t="n">
        <v>0</v>
      </c>
      <c r="M691" t="n">
        <v>0</v>
      </c>
      <c r="N691" t="n">
        <v>0</v>
      </c>
      <c r="O691" t="n">
        <v>0</v>
      </c>
      <c r="P691" t="n">
        <v>0</v>
      </c>
      <c r="Q691" t="n">
        <v>0</v>
      </c>
      <c r="R691" s="2" t="inlineStr"/>
    </row>
    <row r="692" ht="15" customHeight="1">
      <c r="A692" t="inlineStr">
        <is>
          <t>A 25430-2025</t>
        </is>
      </c>
      <c r="B692" s="1" t="n">
        <v>45800</v>
      </c>
      <c r="C692" s="1" t="n">
        <v>46193</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11470-2025</t>
        </is>
      </c>
      <c r="B693" s="1" t="n">
        <v>45726</v>
      </c>
      <c r="C693" s="1" t="n">
        <v>46193</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2144-2023</t>
        </is>
      </c>
      <c r="B694" s="1" t="n">
        <v>44940</v>
      </c>
      <c r="C694" s="1" t="n">
        <v>46193</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25615-2025</t>
        </is>
      </c>
      <c r="B695" s="1" t="n">
        <v>45803</v>
      </c>
      <c r="C695" s="1" t="n">
        <v>46193</v>
      </c>
      <c r="D695" t="inlineStr">
        <is>
          <t>SKÅNE LÄN</t>
        </is>
      </c>
      <c r="E695" t="inlineStr">
        <is>
          <t>HÄSSLEHOLM</t>
        </is>
      </c>
      <c r="G695" t="n">
        <v>2.6</v>
      </c>
      <c r="H695" t="n">
        <v>0</v>
      </c>
      <c r="I695" t="n">
        <v>0</v>
      </c>
      <c r="J695" t="n">
        <v>0</v>
      </c>
      <c r="K695" t="n">
        <v>0</v>
      </c>
      <c r="L695" t="n">
        <v>0</v>
      </c>
      <c r="M695" t="n">
        <v>0</v>
      </c>
      <c r="N695" t="n">
        <v>0</v>
      </c>
      <c r="O695" t="n">
        <v>0</v>
      </c>
      <c r="P695" t="n">
        <v>0</v>
      </c>
      <c r="Q695" t="n">
        <v>0</v>
      </c>
      <c r="R695" s="2" t="inlineStr"/>
    </row>
    <row r="696" ht="15" customHeight="1">
      <c r="A696" t="inlineStr">
        <is>
          <t>A 13932-2023</t>
        </is>
      </c>
      <c r="B696" s="1" t="n">
        <v>45008</v>
      </c>
      <c r="C696" s="1" t="n">
        <v>46193</v>
      </c>
      <c r="D696" t="inlineStr">
        <is>
          <t>SKÅNE LÄN</t>
        </is>
      </c>
      <c r="E696" t="inlineStr">
        <is>
          <t>HÄSSLEHOLM</t>
        </is>
      </c>
      <c r="G696" t="n">
        <v>3.3</v>
      </c>
      <c r="H696" t="n">
        <v>0</v>
      </c>
      <c r="I696" t="n">
        <v>0</v>
      </c>
      <c r="J696" t="n">
        <v>0</v>
      </c>
      <c r="K696" t="n">
        <v>0</v>
      </c>
      <c r="L696" t="n">
        <v>0</v>
      </c>
      <c r="M696" t="n">
        <v>0</v>
      </c>
      <c r="N696" t="n">
        <v>0</v>
      </c>
      <c r="O696" t="n">
        <v>0</v>
      </c>
      <c r="P696" t="n">
        <v>0</v>
      </c>
      <c r="Q696" t="n">
        <v>0</v>
      </c>
      <c r="R696" s="2" t="inlineStr"/>
    </row>
    <row r="697" ht="15" customHeight="1">
      <c r="A697" t="inlineStr">
        <is>
          <t>A 61680-2022</t>
        </is>
      </c>
      <c r="B697" s="1" t="n">
        <v>44917</v>
      </c>
      <c r="C697" s="1" t="n">
        <v>46193</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25431-2025</t>
        </is>
      </c>
      <c r="B698" s="1" t="n">
        <v>45800</v>
      </c>
      <c r="C698" s="1" t="n">
        <v>46193</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25432-2025</t>
        </is>
      </c>
      <c r="B699" s="1" t="n">
        <v>45800</v>
      </c>
      <c r="C699" s="1" t="n">
        <v>46193</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11412-2025</t>
        </is>
      </c>
      <c r="B700" s="1" t="n">
        <v>45726</v>
      </c>
      <c r="C700" s="1" t="n">
        <v>46193</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5780-2024</t>
        </is>
      </c>
      <c r="B701" s="1" t="n">
        <v>45335</v>
      </c>
      <c r="C701" s="1" t="n">
        <v>46193</v>
      </c>
      <c r="D701" t="inlineStr">
        <is>
          <t>SKÅNE LÄN</t>
        </is>
      </c>
      <c r="E701" t="inlineStr">
        <is>
          <t>HÄSSLEHOLM</t>
        </is>
      </c>
      <c r="G701" t="n">
        <v>2.5</v>
      </c>
      <c r="H701" t="n">
        <v>0</v>
      </c>
      <c r="I701" t="n">
        <v>0</v>
      </c>
      <c r="J701" t="n">
        <v>0</v>
      </c>
      <c r="K701" t="n">
        <v>0</v>
      </c>
      <c r="L701" t="n">
        <v>0</v>
      </c>
      <c r="M701" t="n">
        <v>0</v>
      </c>
      <c r="N701" t="n">
        <v>0</v>
      </c>
      <c r="O701" t="n">
        <v>0</v>
      </c>
      <c r="P701" t="n">
        <v>0</v>
      </c>
      <c r="Q701" t="n">
        <v>0</v>
      </c>
      <c r="R701" s="2" t="inlineStr"/>
    </row>
    <row r="702" ht="15" customHeight="1">
      <c r="A702" t="inlineStr">
        <is>
          <t>A 15897-2025</t>
        </is>
      </c>
      <c r="B702" s="1" t="n">
        <v>45749</v>
      </c>
      <c r="C702" s="1" t="n">
        <v>46193</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11466-2025</t>
        </is>
      </c>
      <c r="B703" s="1" t="n">
        <v>45726</v>
      </c>
      <c r="C703" s="1" t="n">
        <v>46193</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47352-2025</t>
        </is>
      </c>
      <c r="B704" s="1" t="n">
        <v>45930</v>
      </c>
      <c r="C704" s="1" t="n">
        <v>46193</v>
      </c>
      <c r="D704" t="inlineStr">
        <is>
          <t>SKÅNE LÄN</t>
        </is>
      </c>
      <c r="E704" t="inlineStr">
        <is>
          <t>HÄSSLEHOLM</t>
        </is>
      </c>
      <c r="G704" t="n">
        <v>15.9</v>
      </c>
      <c r="H704" t="n">
        <v>0</v>
      </c>
      <c r="I704" t="n">
        <v>0</v>
      </c>
      <c r="J704" t="n">
        <v>0</v>
      </c>
      <c r="K704" t="n">
        <v>0</v>
      </c>
      <c r="L704" t="n">
        <v>0</v>
      </c>
      <c r="M704" t="n">
        <v>0</v>
      </c>
      <c r="N704" t="n">
        <v>0</v>
      </c>
      <c r="O704" t="n">
        <v>0</v>
      </c>
      <c r="P704" t="n">
        <v>0</v>
      </c>
      <c r="Q704" t="n">
        <v>0</v>
      </c>
      <c r="R704" s="2" t="inlineStr"/>
    </row>
    <row r="705" ht="15" customHeight="1">
      <c r="A705" t="inlineStr">
        <is>
          <t>A 26232-2025</t>
        </is>
      </c>
      <c r="B705" s="1" t="n">
        <v>45805</v>
      </c>
      <c r="C705" s="1" t="n">
        <v>46193</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61504-2022</t>
        </is>
      </c>
      <c r="B706" s="1" t="n">
        <v>44910</v>
      </c>
      <c r="C706" s="1" t="n">
        <v>46193</v>
      </c>
      <c r="D706" t="inlineStr">
        <is>
          <t>SKÅNE LÄN</t>
        </is>
      </c>
      <c r="E706" t="inlineStr">
        <is>
          <t>HÄSSLEHOLM</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29275-2023</t>
        </is>
      </c>
      <c r="B707" s="1" t="n">
        <v>45105</v>
      </c>
      <c r="C707" s="1" t="n">
        <v>46193</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27502-2023</t>
        </is>
      </c>
      <c r="B708" s="1" t="n">
        <v>45092</v>
      </c>
      <c r="C708" s="1" t="n">
        <v>46193</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26244-2025</t>
        </is>
      </c>
      <c r="B709" s="1" t="n">
        <v>45805</v>
      </c>
      <c r="C709" s="1" t="n">
        <v>46193</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53018-2025</t>
        </is>
      </c>
      <c r="B710" s="1" t="n">
        <v>45957</v>
      </c>
      <c r="C710" s="1" t="n">
        <v>46193</v>
      </c>
      <c r="D710" t="inlineStr">
        <is>
          <t>SKÅNE LÄN</t>
        </is>
      </c>
      <c r="E710" t="inlineStr">
        <is>
          <t>HÄSSLEHOLM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54473-2023</t>
        </is>
      </c>
      <c r="B711" s="1" t="n">
        <v>45233</v>
      </c>
      <c r="C711" s="1" t="n">
        <v>46193</v>
      </c>
      <c r="D711" t="inlineStr">
        <is>
          <t>SKÅNE LÄN</t>
        </is>
      </c>
      <c r="E711" t="inlineStr">
        <is>
          <t>HÄSSLEHOLM</t>
        </is>
      </c>
      <c r="G711" t="n">
        <v>24.5</v>
      </c>
      <c r="H711" t="n">
        <v>0</v>
      </c>
      <c r="I711" t="n">
        <v>0</v>
      </c>
      <c r="J711" t="n">
        <v>0</v>
      </c>
      <c r="K711" t="n">
        <v>0</v>
      </c>
      <c r="L711" t="n">
        <v>0</v>
      </c>
      <c r="M711" t="n">
        <v>0</v>
      </c>
      <c r="N711" t="n">
        <v>0</v>
      </c>
      <c r="O711" t="n">
        <v>0</v>
      </c>
      <c r="P711" t="n">
        <v>0</v>
      </c>
      <c r="Q711" t="n">
        <v>0</v>
      </c>
      <c r="R711" s="2" t="inlineStr"/>
    </row>
    <row r="712" ht="15" customHeight="1">
      <c r="A712" t="inlineStr">
        <is>
          <t>A 26641-2023</t>
        </is>
      </c>
      <c r="B712" s="1" t="n">
        <v>45092</v>
      </c>
      <c r="C712" s="1" t="n">
        <v>46193</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38358-2024</t>
        </is>
      </c>
      <c r="B713" s="1" t="n">
        <v>45545</v>
      </c>
      <c r="C713" s="1" t="n">
        <v>46193</v>
      </c>
      <c r="D713" t="inlineStr">
        <is>
          <t>SKÅNE LÄN</t>
        </is>
      </c>
      <c r="E713" t="inlineStr">
        <is>
          <t>HÄSSLEHOLM</t>
        </is>
      </c>
      <c r="G713" t="n">
        <v>9</v>
      </c>
      <c r="H713" t="n">
        <v>0</v>
      </c>
      <c r="I713" t="n">
        <v>0</v>
      </c>
      <c r="J713" t="n">
        <v>0</v>
      </c>
      <c r="K713" t="n">
        <v>0</v>
      </c>
      <c r="L713" t="n">
        <v>0</v>
      </c>
      <c r="M713" t="n">
        <v>0</v>
      </c>
      <c r="N713" t="n">
        <v>0</v>
      </c>
      <c r="O713" t="n">
        <v>0</v>
      </c>
      <c r="P713" t="n">
        <v>0</v>
      </c>
      <c r="Q713" t="n">
        <v>0</v>
      </c>
      <c r="R713" s="2" t="inlineStr"/>
    </row>
    <row r="714" ht="15" customHeight="1">
      <c r="A714" t="inlineStr">
        <is>
          <t>A 51752-2023</t>
        </is>
      </c>
      <c r="B714" s="1" t="n">
        <v>45222</v>
      </c>
      <c r="C714" s="1" t="n">
        <v>46193</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20800-2023</t>
        </is>
      </c>
      <c r="B715" s="1" t="n">
        <v>45058</v>
      </c>
      <c r="C715" s="1" t="n">
        <v>46193</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49219-2024</t>
        </is>
      </c>
      <c r="B716" s="1" t="n">
        <v>45595</v>
      </c>
      <c r="C716" s="1" t="n">
        <v>46193</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7152-2025</t>
        </is>
      </c>
      <c r="B717" s="1" t="n">
        <v>45702</v>
      </c>
      <c r="C717" s="1" t="n">
        <v>46193</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7160-2025</t>
        </is>
      </c>
      <c r="B718" s="1" t="n">
        <v>45702</v>
      </c>
      <c r="C718" s="1" t="n">
        <v>46193</v>
      </c>
      <c r="D718" t="inlineStr">
        <is>
          <t>SKÅNE LÄN</t>
        </is>
      </c>
      <c r="E718" t="inlineStr">
        <is>
          <t>HÄSSLEHOLM</t>
        </is>
      </c>
      <c r="G718" t="n">
        <v>2.5</v>
      </c>
      <c r="H718" t="n">
        <v>0</v>
      </c>
      <c r="I718" t="n">
        <v>0</v>
      </c>
      <c r="J718" t="n">
        <v>0</v>
      </c>
      <c r="K718" t="n">
        <v>0</v>
      </c>
      <c r="L718" t="n">
        <v>0</v>
      </c>
      <c r="M718" t="n">
        <v>0</v>
      </c>
      <c r="N718" t="n">
        <v>0</v>
      </c>
      <c r="O718" t="n">
        <v>0</v>
      </c>
      <c r="P718" t="n">
        <v>0</v>
      </c>
      <c r="Q718" t="n">
        <v>0</v>
      </c>
      <c r="R718" s="2" t="inlineStr"/>
    </row>
    <row r="719" ht="15" customHeight="1">
      <c r="A719" t="inlineStr">
        <is>
          <t>A 15104-2023</t>
        </is>
      </c>
      <c r="B719" s="1" t="n">
        <v>45016</v>
      </c>
      <c r="C719" s="1" t="n">
        <v>46193</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66321-2021</t>
        </is>
      </c>
      <c r="B720" s="1" t="n">
        <v>44518</v>
      </c>
      <c r="C720" s="1" t="n">
        <v>46193</v>
      </c>
      <c r="D720" t="inlineStr">
        <is>
          <t>SKÅNE LÄN</t>
        </is>
      </c>
      <c r="E720" t="inlineStr">
        <is>
          <t>HÄSSLEHOLM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21494-2023</t>
        </is>
      </c>
      <c r="B721" s="1" t="n">
        <v>45063</v>
      </c>
      <c r="C721" s="1" t="n">
        <v>46193</v>
      </c>
      <c r="D721" t="inlineStr">
        <is>
          <t>SKÅNE LÄN</t>
        </is>
      </c>
      <c r="E721" t="inlineStr">
        <is>
          <t>HÄSSLEHOLM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21495-2023</t>
        </is>
      </c>
      <c r="B722" s="1" t="n">
        <v>45063</v>
      </c>
      <c r="C722" s="1" t="n">
        <v>46193</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40739-2024</t>
        </is>
      </c>
      <c r="B723" s="1" t="n">
        <v>45558</v>
      </c>
      <c r="C723" s="1" t="n">
        <v>46193</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53424-2025</t>
        </is>
      </c>
      <c r="B724" s="1" t="n">
        <v>45959</v>
      </c>
      <c r="C724" s="1" t="n">
        <v>46193</v>
      </c>
      <c r="D724" t="inlineStr">
        <is>
          <t>SKÅNE LÄN</t>
        </is>
      </c>
      <c r="E724" t="inlineStr">
        <is>
          <t>HÄSSLEHOLM</t>
        </is>
      </c>
      <c r="G724" t="n">
        <v>3.4</v>
      </c>
      <c r="H724" t="n">
        <v>0</v>
      </c>
      <c r="I724" t="n">
        <v>0</v>
      </c>
      <c r="J724" t="n">
        <v>0</v>
      </c>
      <c r="K724" t="n">
        <v>0</v>
      </c>
      <c r="L724" t="n">
        <v>0</v>
      </c>
      <c r="M724" t="n">
        <v>0</v>
      </c>
      <c r="N724" t="n">
        <v>0</v>
      </c>
      <c r="O724" t="n">
        <v>0</v>
      </c>
      <c r="P724" t="n">
        <v>0</v>
      </c>
      <c r="Q724" t="n">
        <v>0</v>
      </c>
      <c r="R724" s="2" t="inlineStr"/>
    </row>
    <row r="725" ht="15" customHeight="1">
      <c r="A725" t="inlineStr">
        <is>
          <t>A 64884-2023</t>
        </is>
      </c>
      <c r="B725" s="1" t="n">
        <v>45282</v>
      </c>
      <c r="C725" s="1" t="n">
        <v>46193</v>
      </c>
      <c r="D725" t="inlineStr">
        <is>
          <t>SKÅNE LÄN</t>
        </is>
      </c>
      <c r="E725" t="inlineStr">
        <is>
          <t>HÄSSLEHOLM</t>
        </is>
      </c>
      <c r="G725" t="n">
        <v>4.6</v>
      </c>
      <c r="H725" t="n">
        <v>0</v>
      </c>
      <c r="I725" t="n">
        <v>0</v>
      </c>
      <c r="J725" t="n">
        <v>0</v>
      </c>
      <c r="K725" t="n">
        <v>0</v>
      </c>
      <c r="L725" t="n">
        <v>0</v>
      </c>
      <c r="M725" t="n">
        <v>0</v>
      </c>
      <c r="N725" t="n">
        <v>0</v>
      </c>
      <c r="O725" t="n">
        <v>0</v>
      </c>
      <c r="P725" t="n">
        <v>0</v>
      </c>
      <c r="Q725" t="n">
        <v>0</v>
      </c>
      <c r="R725" s="2" t="inlineStr"/>
    </row>
    <row r="726" ht="15" customHeight="1">
      <c r="A726" t="inlineStr">
        <is>
          <t>A 22140-2023</t>
        </is>
      </c>
      <c r="B726" s="1" t="n">
        <v>45065</v>
      </c>
      <c r="C726" s="1" t="n">
        <v>46193</v>
      </c>
      <c r="D726" t="inlineStr">
        <is>
          <t>SKÅNE LÄN</t>
        </is>
      </c>
      <c r="E726" t="inlineStr">
        <is>
          <t>HÄSSLEHOLM</t>
        </is>
      </c>
      <c r="G726" t="n">
        <v>6.7</v>
      </c>
      <c r="H726" t="n">
        <v>0</v>
      </c>
      <c r="I726" t="n">
        <v>0</v>
      </c>
      <c r="J726" t="n">
        <v>0</v>
      </c>
      <c r="K726" t="n">
        <v>0</v>
      </c>
      <c r="L726" t="n">
        <v>0</v>
      </c>
      <c r="M726" t="n">
        <v>0</v>
      </c>
      <c r="N726" t="n">
        <v>0</v>
      </c>
      <c r="O726" t="n">
        <v>0</v>
      </c>
      <c r="P726" t="n">
        <v>0</v>
      </c>
      <c r="Q726" t="n">
        <v>0</v>
      </c>
      <c r="R726" s="2" t="inlineStr"/>
    </row>
    <row r="727" ht="15" customHeight="1">
      <c r="A727" t="inlineStr">
        <is>
          <t>A 31944-2023</t>
        </is>
      </c>
      <c r="B727" s="1" t="n">
        <v>45119</v>
      </c>
      <c r="C727" s="1" t="n">
        <v>46193</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7890-2024</t>
        </is>
      </c>
      <c r="B728" s="1" t="n">
        <v>45350</v>
      </c>
      <c r="C728" s="1" t="n">
        <v>46193</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31946-2023</t>
        </is>
      </c>
      <c r="B729" s="1" t="n">
        <v>45119</v>
      </c>
      <c r="C729" s="1" t="n">
        <v>46193</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8755-2024</t>
        </is>
      </c>
      <c r="B730" s="1" t="n">
        <v>45356</v>
      </c>
      <c r="C730" s="1" t="n">
        <v>46193</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16368-2025</t>
        </is>
      </c>
      <c r="B731" s="1" t="n">
        <v>45751</v>
      </c>
      <c r="C731" s="1" t="n">
        <v>46193</v>
      </c>
      <c r="D731" t="inlineStr">
        <is>
          <t>SKÅNE LÄN</t>
        </is>
      </c>
      <c r="E731" t="inlineStr">
        <is>
          <t>HÄSSLEHOLM</t>
        </is>
      </c>
      <c r="G731" t="n">
        <v>5</v>
      </c>
      <c r="H731" t="n">
        <v>0</v>
      </c>
      <c r="I731" t="n">
        <v>0</v>
      </c>
      <c r="J731" t="n">
        <v>0</v>
      </c>
      <c r="K731" t="n">
        <v>0</v>
      </c>
      <c r="L731" t="n">
        <v>0</v>
      </c>
      <c r="M731" t="n">
        <v>0</v>
      </c>
      <c r="N731" t="n">
        <v>0</v>
      </c>
      <c r="O731" t="n">
        <v>0</v>
      </c>
      <c r="P731" t="n">
        <v>0</v>
      </c>
      <c r="Q731" t="n">
        <v>0</v>
      </c>
      <c r="R731" s="2" t="inlineStr"/>
    </row>
    <row r="732" ht="15" customHeight="1">
      <c r="A732" t="inlineStr">
        <is>
          <t>A 61178-2022</t>
        </is>
      </c>
      <c r="B732" s="1" t="n">
        <v>44915</v>
      </c>
      <c r="C732" s="1" t="n">
        <v>46193</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61185-2022</t>
        </is>
      </c>
      <c r="B733" s="1" t="n">
        <v>44915</v>
      </c>
      <c r="C733" s="1" t="n">
        <v>46193</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61691-2021</t>
        </is>
      </c>
      <c r="B734" s="1" t="n">
        <v>44501</v>
      </c>
      <c r="C734" s="1" t="n">
        <v>46193</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25221-2023</t>
        </is>
      </c>
      <c r="B735" s="1" t="n">
        <v>45086</v>
      </c>
      <c r="C735" s="1" t="n">
        <v>46193</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46193</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27393-2025</t>
        </is>
      </c>
      <c r="B737" s="1" t="n">
        <v>45812</v>
      </c>
      <c r="C737" s="1" t="n">
        <v>46193</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47161-2025</t>
        </is>
      </c>
      <c r="B738" s="1" t="n">
        <v>45929</v>
      </c>
      <c r="C738" s="1" t="n">
        <v>46193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50564-2023</t>
        </is>
      </c>
      <c r="B739" s="1" t="n">
        <v>45217</v>
      </c>
      <c r="C739" s="1" t="n">
        <v>46193</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15133-2023</t>
        </is>
      </c>
      <c r="B740" s="1" t="n">
        <v>45016</v>
      </c>
      <c r="C740" s="1" t="n">
        <v>46193</v>
      </c>
      <c r="D740" t="inlineStr">
        <is>
          <t>SKÅNE LÄN</t>
        </is>
      </c>
      <c r="E740" t="inlineStr">
        <is>
          <t>HÄSSLEHOLM</t>
        </is>
      </c>
      <c r="G740" t="n">
        <v>7.8</v>
      </c>
      <c r="H740" t="n">
        <v>0</v>
      </c>
      <c r="I740" t="n">
        <v>0</v>
      </c>
      <c r="J740" t="n">
        <v>0</v>
      </c>
      <c r="K740" t="n">
        <v>0</v>
      </c>
      <c r="L740" t="n">
        <v>0</v>
      </c>
      <c r="M740" t="n">
        <v>0</v>
      </c>
      <c r="N740" t="n">
        <v>0</v>
      </c>
      <c r="O740" t="n">
        <v>0</v>
      </c>
      <c r="P740" t="n">
        <v>0</v>
      </c>
      <c r="Q740" t="n">
        <v>0</v>
      </c>
      <c r="R740" s="2" t="inlineStr"/>
    </row>
    <row r="741" ht="15" customHeight="1">
      <c r="A741" t="inlineStr">
        <is>
          <t>A 28240-2025</t>
        </is>
      </c>
      <c r="B741" s="1" t="n">
        <v>45817</v>
      </c>
      <c r="C741" s="1" t="n">
        <v>46193</v>
      </c>
      <c r="D741" t="inlineStr">
        <is>
          <t>SKÅNE LÄN</t>
        </is>
      </c>
      <c r="E741" t="inlineStr">
        <is>
          <t>HÄSSLEHOLM</t>
        </is>
      </c>
      <c r="G741" t="n">
        <v>7.7</v>
      </c>
      <c r="H741" t="n">
        <v>0</v>
      </c>
      <c r="I741" t="n">
        <v>0</v>
      </c>
      <c r="J741" t="n">
        <v>0</v>
      </c>
      <c r="K741" t="n">
        <v>0</v>
      </c>
      <c r="L741" t="n">
        <v>0</v>
      </c>
      <c r="M741" t="n">
        <v>0</v>
      </c>
      <c r="N741" t="n">
        <v>0</v>
      </c>
      <c r="O741" t="n">
        <v>0</v>
      </c>
      <c r="P741" t="n">
        <v>0</v>
      </c>
      <c r="Q741" t="n">
        <v>0</v>
      </c>
      <c r="R741" s="2" t="inlineStr"/>
    </row>
    <row r="742" ht="15" customHeight="1">
      <c r="A742" t="inlineStr">
        <is>
          <t>A 15053-2023</t>
        </is>
      </c>
      <c r="B742" s="1" t="n">
        <v>45015</v>
      </c>
      <c r="C742" s="1" t="n">
        <v>46193</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35644-2023</t>
        </is>
      </c>
      <c r="B743" s="1" t="n">
        <v>45147</v>
      </c>
      <c r="C743" s="1" t="n">
        <v>46193</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46185-2022</t>
        </is>
      </c>
      <c r="B744" s="1" t="n">
        <v>44847</v>
      </c>
      <c r="C744" s="1" t="n">
        <v>46193</v>
      </c>
      <c r="D744" t="inlineStr">
        <is>
          <t>SKÅNE LÄN</t>
        </is>
      </c>
      <c r="E744" t="inlineStr">
        <is>
          <t>HÄSSLEHOLM</t>
        </is>
      </c>
      <c r="G744" t="n">
        <v>16.8</v>
      </c>
      <c r="H744" t="n">
        <v>0</v>
      </c>
      <c r="I744" t="n">
        <v>0</v>
      </c>
      <c r="J744" t="n">
        <v>0</v>
      </c>
      <c r="K744" t="n">
        <v>0</v>
      </c>
      <c r="L744" t="n">
        <v>0</v>
      </c>
      <c r="M744" t="n">
        <v>0</v>
      </c>
      <c r="N744" t="n">
        <v>0</v>
      </c>
      <c r="O744" t="n">
        <v>0</v>
      </c>
      <c r="P744" t="n">
        <v>0</v>
      </c>
      <c r="Q744" t="n">
        <v>0</v>
      </c>
      <c r="R744" s="2" t="inlineStr"/>
    </row>
    <row r="745" ht="15" customHeight="1">
      <c r="A745" t="inlineStr">
        <is>
          <t>A 8433-2024</t>
        </is>
      </c>
      <c r="B745" s="1" t="n">
        <v>45353</v>
      </c>
      <c r="C745" s="1" t="n">
        <v>46193</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27940-2025</t>
        </is>
      </c>
      <c r="B746" s="1" t="n">
        <v>45817</v>
      </c>
      <c r="C746" s="1" t="n">
        <v>46193</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27887-2025</t>
        </is>
      </c>
      <c r="B747" s="1" t="n">
        <v>45817</v>
      </c>
      <c r="C747" s="1" t="n">
        <v>46193</v>
      </c>
      <c r="D747" t="inlineStr">
        <is>
          <t>SKÅNE LÄN</t>
        </is>
      </c>
      <c r="E747" t="inlineStr">
        <is>
          <t>HÄSSLEHOLM</t>
        </is>
      </c>
      <c r="G747" t="n">
        <v>4.8</v>
      </c>
      <c r="H747" t="n">
        <v>0</v>
      </c>
      <c r="I747" t="n">
        <v>0</v>
      </c>
      <c r="J747" t="n">
        <v>0</v>
      </c>
      <c r="K747" t="n">
        <v>0</v>
      </c>
      <c r="L747" t="n">
        <v>0</v>
      </c>
      <c r="M747" t="n">
        <v>0</v>
      </c>
      <c r="N747" t="n">
        <v>0</v>
      </c>
      <c r="O747" t="n">
        <v>0</v>
      </c>
      <c r="P747" t="n">
        <v>0</v>
      </c>
      <c r="Q747" t="n">
        <v>0</v>
      </c>
      <c r="R747" s="2" t="inlineStr"/>
    </row>
    <row r="748" ht="15" customHeight="1">
      <c r="A748" t="inlineStr">
        <is>
          <t>A 49827-2022</t>
        </is>
      </c>
      <c r="B748" s="1" t="n">
        <v>44859</v>
      </c>
      <c r="C748" s="1" t="n">
        <v>46193</v>
      </c>
      <c r="D748" t="inlineStr">
        <is>
          <t>SKÅNE LÄN</t>
        </is>
      </c>
      <c r="E748" t="inlineStr">
        <is>
          <t>HÄSSLEHOLM</t>
        </is>
      </c>
      <c r="G748" t="n">
        <v>6.1</v>
      </c>
      <c r="H748" t="n">
        <v>0</v>
      </c>
      <c r="I748" t="n">
        <v>0</v>
      </c>
      <c r="J748" t="n">
        <v>0</v>
      </c>
      <c r="K748" t="n">
        <v>0</v>
      </c>
      <c r="L748" t="n">
        <v>0</v>
      </c>
      <c r="M748" t="n">
        <v>0</v>
      </c>
      <c r="N748" t="n">
        <v>0</v>
      </c>
      <c r="O748" t="n">
        <v>0</v>
      </c>
      <c r="P748" t="n">
        <v>0</v>
      </c>
      <c r="Q748" t="n">
        <v>0</v>
      </c>
      <c r="R748" s="2" t="inlineStr"/>
    </row>
    <row r="749" ht="15" customHeight="1">
      <c r="A749" t="inlineStr">
        <is>
          <t>A 28251-2025</t>
        </is>
      </c>
      <c r="B749" s="1" t="n">
        <v>45817</v>
      </c>
      <c r="C749" s="1" t="n">
        <v>46193</v>
      </c>
      <c r="D749" t="inlineStr">
        <is>
          <t>SKÅNE LÄN</t>
        </is>
      </c>
      <c r="E749" t="inlineStr">
        <is>
          <t>HÄSSLEHOLM</t>
        </is>
      </c>
      <c r="G749" t="n">
        <v>7.2</v>
      </c>
      <c r="H749" t="n">
        <v>0</v>
      </c>
      <c r="I749" t="n">
        <v>0</v>
      </c>
      <c r="J749" t="n">
        <v>0</v>
      </c>
      <c r="K749" t="n">
        <v>0</v>
      </c>
      <c r="L749" t="n">
        <v>0</v>
      </c>
      <c r="M749" t="n">
        <v>0</v>
      </c>
      <c r="N749" t="n">
        <v>0</v>
      </c>
      <c r="O749" t="n">
        <v>0</v>
      </c>
      <c r="P749" t="n">
        <v>0</v>
      </c>
      <c r="Q749" t="n">
        <v>0</v>
      </c>
      <c r="R749" s="2" t="inlineStr"/>
    </row>
    <row r="750" ht="15" customHeight="1">
      <c r="A750" t="inlineStr">
        <is>
          <t>A 54798-2025</t>
        </is>
      </c>
      <c r="B750" s="1" t="n">
        <v>45966</v>
      </c>
      <c r="C750" s="1" t="n">
        <v>46193</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47432-2025</t>
        </is>
      </c>
      <c r="B751" s="1" t="n">
        <v>45930</v>
      </c>
      <c r="C751" s="1" t="n">
        <v>46193</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28122-2025</t>
        </is>
      </c>
      <c r="B752" s="1" t="n">
        <v>45817</v>
      </c>
      <c r="C752" s="1" t="n">
        <v>46193</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13555-2025</t>
        </is>
      </c>
      <c r="B753" s="1" t="n">
        <v>45736</v>
      </c>
      <c r="C753" s="1" t="n">
        <v>46193</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55268-2025</t>
        </is>
      </c>
      <c r="B754" s="1" t="n">
        <v>45968</v>
      </c>
      <c r="C754" s="1" t="n">
        <v>46193</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27297-2023</t>
        </is>
      </c>
      <c r="B755" s="1" t="n">
        <v>45096</v>
      </c>
      <c r="C755" s="1" t="n">
        <v>46193</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28632-2024</t>
        </is>
      </c>
      <c r="B756" s="1" t="n">
        <v>45478</v>
      </c>
      <c r="C756" s="1" t="n">
        <v>46193</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55549-2025</t>
        </is>
      </c>
      <c r="B757" s="1" t="n">
        <v>45971</v>
      </c>
      <c r="C757" s="1" t="n">
        <v>46193</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55455-2025</t>
        </is>
      </c>
      <c r="B758" s="1" t="n">
        <v>45971</v>
      </c>
      <c r="C758" s="1" t="n">
        <v>46193</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29170-2025</t>
        </is>
      </c>
      <c r="B759" s="1" t="n">
        <v>45821</v>
      </c>
      <c r="C759" s="1" t="n">
        <v>46193</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9747-2024</t>
        </is>
      </c>
      <c r="B760" s="1" t="n">
        <v>45362</v>
      </c>
      <c r="C760" s="1" t="n">
        <v>46193</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55458-2025</t>
        </is>
      </c>
      <c r="B761" s="1" t="n">
        <v>45971</v>
      </c>
      <c r="C761" s="1" t="n">
        <v>46193</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29168-2025</t>
        </is>
      </c>
      <c r="B762" s="1" t="n">
        <v>45821</v>
      </c>
      <c r="C762" s="1" t="n">
        <v>46193</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35712-2024</t>
        </is>
      </c>
      <c r="B763" s="1" t="n">
        <v>45532</v>
      </c>
      <c r="C763" s="1" t="n">
        <v>46193</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33466-2024</t>
        </is>
      </c>
      <c r="B764" s="1" t="n">
        <v>45519</v>
      </c>
      <c r="C764" s="1" t="n">
        <v>46193</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26397-2023</t>
        </is>
      </c>
      <c r="B765" s="1" t="n">
        <v>45087</v>
      </c>
      <c r="C765" s="1" t="n">
        <v>46193</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27175-2024</t>
        </is>
      </c>
      <c r="B766" s="1" t="n">
        <v>45471</v>
      </c>
      <c r="C766" s="1" t="n">
        <v>46193</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1197-2024</t>
        </is>
      </c>
      <c r="B767" s="1" t="n">
        <v>45302</v>
      </c>
      <c r="C767" s="1" t="n">
        <v>46193</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48097-2024</t>
        </is>
      </c>
      <c r="B768" s="1" t="n">
        <v>45589</v>
      </c>
      <c r="C768" s="1" t="n">
        <v>46193</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53077-2022</t>
        </is>
      </c>
      <c r="B769" s="1" t="n">
        <v>44873</v>
      </c>
      <c r="C769" s="1" t="n">
        <v>46193</v>
      </c>
      <c r="D769" t="inlineStr">
        <is>
          <t>SKÅNE LÄN</t>
        </is>
      </c>
      <c r="E769" t="inlineStr">
        <is>
          <t>HÄSSLEHOLM</t>
        </is>
      </c>
      <c r="G769" t="n">
        <v>3</v>
      </c>
      <c r="H769" t="n">
        <v>0</v>
      </c>
      <c r="I769" t="n">
        <v>0</v>
      </c>
      <c r="J769" t="n">
        <v>0</v>
      </c>
      <c r="K769" t="n">
        <v>0</v>
      </c>
      <c r="L769" t="n">
        <v>0</v>
      </c>
      <c r="M769" t="n">
        <v>0</v>
      </c>
      <c r="N769" t="n">
        <v>0</v>
      </c>
      <c r="O769" t="n">
        <v>0</v>
      </c>
      <c r="P769" t="n">
        <v>0</v>
      </c>
      <c r="Q769" t="n">
        <v>0</v>
      </c>
      <c r="R769" s="2" t="inlineStr"/>
    </row>
    <row r="770" ht="15" customHeight="1">
      <c r="A770" t="inlineStr">
        <is>
          <t>A 19020-2024</t>
        </is>
      </c>
      <c r="B770" s="1" t="n">
        <v>45427</v>
      </c>
      <c r="C770" s="1" t="n">
        <v>46193</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52912-2022</t>
        </is>
      </c>
      <c r="B771" s="1" t="n">
        <v>44872</v>
      </c>
      <c r="C771" s="1" t="n">
        <v>46193</v>
      </c>
      <c r="D771" t="inlineStr">
        <is>
          <t>SKÅNE LÄN</t>
        </is>
      </c>
      <c r="E771" t="inlineStr">
        <is>
          <t>HÄSSLEHOLM</t>
        </is>
      </c>
      <c r="G771" t="n">
        <v>4.7</v>
      </c>
      <c r="H771" t="n">
        <v>0</v>
      </c>
      <c r="I771" t="n">
        <v>0</v>
      </c>
      <c r="J771" t="n">
        <v>0</v>
      </c>
      <c r="K771" t="n">
        <v>0</v>
      </c>
      <c r="L771" t="n">
        <v>0</v>
      </c>
      <c r="M771" t="n">
        <v>0</v>
      </c>
      <c r="N771" t="n">
        <v>0</v>
      </c>
      <c r="O771" t="n">
        <v>0</v>
      </c>
      <c r="P771" t="n">
        <v>0</v>
      </c>
      <c r="Q771" t="n">
        <v>0</v>
      </c>
      <c r="R771" s="2" t="inlineStr"/>
    </row>
    <row r="772" ht="15" customHeight="1">
      <c r="A772" t="inlineStr">
        <is>
          <t>A 24640-2023</t>
        </is>
      </c>
      <c r="B772" s="1" t="n">
        <v>45084</v>
      </c>
      <c r="C772" s="1" t="n">
        <v>46193</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22535-2024</t>
        </is>
      </c>
      <c r="B773" s="1" t="n">
        <v>45447</v>
      </c>
      <c r="C773" s="1" t="n">
        <v>46193</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30007-2023</t>
        </is>
      </c>
      <c r="B774" s="1" t="n">
        <v>45109</v>
      </c>
      <c r="C774" s="1" t="n">
        <v>46193</v>
      </c>
      <c r="D774" t="inlineStr">
        <is>
          <t>SKÅNE LÄN</t>
        </is>
      </c>
      <c r="E774" t="inlineStr">
        <is>
          <t>HÄSSLEHOLM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31159-2025</t>
        </is>
      </c>
      <c r="B775" s="1" t="n">
        <v>45832</v>
      </c>
      <c r="C775" s="1" t="n">
        <v>46193</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1289-2024</t>
        </is>
      </c>
      <c r="B776" s="1" t="n">
        <v>45303</v>
      </c>
      <c r="C776" s="1" t="n">
        <v>46193</v>
      </c>
      <c r="D776" t="inlineStr">
        <is>
          <t>SKÅNE LÄN</t>
        </is>
      </c>
      <c r="E776" t="inlineStr">
        <is>
          <t>HÄSSLEHOLM</t>
        </is>
      </c>
      <c r="G776" t="n">
        <v>4.6</v>
      </c>
      <c r="H776" t="n">
        <v>0</v>
      </c>
      <c r="I776" t="n">
        <v>0</v>
      </c>
      <c r="J776" t="n">
        <v>0</v>
      </c>
      <c r="K776" t="n">
        <v>0</v>
      </c>
      <c r="L776" t="n">
        <v>0</v>
      </c>
      <c r="M776" t="n">
        <v>0</v>
      </c>
      <c r="N776" t="n">
        <v>0</v>
      </c>
      <c r="O776" t="n">
        <v>0</v>
      </c>
      <c r="P776" t="n">
        <v>0</v>
      </c>
      <c r="Q776" t="n">
        <v>0</v>
      </c>
      <c r="R776" s="2" t="inlineStr"/>
    </row>
    <row r="777" ht="15" customHeight="1">
      <c r="A777" t="inlineStr">
        <is>
          <t>A 11715-2023</t>
        </is>
      </c>
      <c r="B777" s="1" t="n">
        <v>44992</v>
      </c>
      <c r="C777" s="1" t="n">
        <v>46193</v>
      </c>
      <c r="D777" t="inlineStr">
        <is>
          <t>SKÅNE LÄN</t>
        </is>
      </c>
      <c r="E777" t="inlineStr">
        <is>
          <t>HÄSSLEHOLM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25606-2024</t>
        </is>
      </c>
      <c r="B778" s="1" t="n">
        <v>45463</v>
      </c>
      <c r="C778" s="1" t="n">
        <v>46193</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1538-2024</t>
        </is>
      </c>
      <c r="B779" s="1" t="n">
        <v>45306</v>
      </c>
      <c r="C779" s="1" t="n">
        <v>46193</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31934-2024</t>
        </is>
      </c>
      <c r="B780" s="1" t="n">
        <v>45510</v>
      </c>
      <c r="C780" s="1" t="n">
        <v>46193</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29847-2024</t>
        </is>
      </c>
      <c r="B781" s="1" t="n">
        <v>45485</v>
      </c>
      <c r="C781" s="1" t="n">
        <v>46193</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56794-2025</t>
        </is>
      </c>
      <c r="B782" s="1" t="n">
        <v>45978</v>
      </c>
      <c r="C782" s="1" t="n">
        <v>46193</v>
      </c>
      <c r="D782" t="inlineStr">
        <is>
          <t>SKÅNE LÄN</t>
        </is>
      </c>
      <c r="E782" t="inlineStr">
        <is>
          <t>HÄSSLEHOLM</t>
        </is>
      </c>
      <c r="G782" t="n">
        <v>2.3</v>
      </c>
      <c r="H782" t="n">
        <v>0</v>
      </c>
      <c r="I782" t="n">
        <v>0</v>
      </c>
      <c r="J782" t="n">
        <v>0</v>
      </c>
      <c r="K782" t="n">
        <v>0</v>
      </c>
      <c r="L782" t="n">
        <v>0</v>
      </c>
      <c r="M782" t="n">
        <v>0</v>
      </c>
      <c r="N782" t="n">
        <v>0</v>
      </c>
      <c r="O782" t="n">
        <v>0</v>
      </c>
      <c r="P782" t="n">
        <v>0</v>
      </c>
      <c r="Q782" t="n">
        <v>0</v>
      </c>
      <c r="R782" s="2" t="inlineStr"/>
    </row>
    <row r="783" ht="15" customHeight="1">
      <c r="A783" t="inlineStr">
        <is>
          <t>A 7653-2024</t>
        </is>
      </c>
      <c r="B783" s="1" t="n">
        <v>45348</v>
      </c>
      <c r="C783" s="1" t="n">
        <v>46193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19240-2026</t>
        </is>
      </c>
      <c r="B784" s="1" t="n">
        <v>46132</v>
      </c>
      <c r="C784" s="1" t="n">
        <v>46193</v>
      </c>
      <c r="D784" t="inlineStr">
        <is>
          <t>SKÅNE LÄN</t>
        </is>
      </c>
      <c r="E784" t="inlineStr">
        <is>
          <t>HÄSSLEHOLM</t>
        </is>
      </c>
      <c r="G784" t="n">
        <v>4</v>
      </c>
      <c r="H784" t="n">
        <v>0</v>
      </c>
      <c r="I784" t="n">
        <v>0</v>
      </c>
      <c r="J784" t="n">
        <v>0</v>
      </c>
      <c r="K784" t="n">
        <v>0</v>
      </c>
      <c r="L784" t="n">
        <v>0</v>
      </c>
      <c r="M784" t="n">
        <v>0</v>
      </c>
      <c r="N784" t="n">
        <v>0</v>
      </c>
      <c r="O784" t="n">
        <v>0</v>
      </c>
      <c r="P784" t="n">
        <v>0</v>
      </c>
      <c r="Q784" t="n">
        <v>0</v>
      </c>
      <c r="R784" s="2" t="inlineStr"/>
    </row>
    <row r="785" ht="15" customHeight="1">
      <c r="A785" t="inlineStr">
        <is>
          <t>A 56667-2025</t>
        </is>
      </c>
      <c r="B785" s="1" t="n">
        <v>45975</v>
      </c>
      <c r="C785" s="1" t="n">
        <v>46193</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56798-2025</t>
        </is>
      </c>
      <c r="B786" s="1" t="n">
        <v>45978</v>
      </c>
      <c r="C786" s="1" t="n">
        <v>46193</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12570-2023</t>
        </is>
      </c>
      <c r="B787" s="1" t="n">
        <v>44999</v>
      </c>
      <c r="C787" s="1" t="n">
        <v>46193</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14926-2024</t>
        </is>
      </c>
      <c r="B788" s="1" t="n">
        <v>45398</v>
      </c>
      <c r="C788" s="1" t="n">
        <v>46193</v>
      </c>
      <c r="D788" t="inlineStr">
        <is>
          <t>SKÅNE LÄN</t>
        </is>
      </c>
      <c r="E788" t="inlineStr">
        <is>
          <t>HÄSSLEHOLM</t>
        </is>
      </c>
      <c r="G788" t="n">
        <v>3.4</v>
      </c>
      <c r="H788" t="n">
        <v>0</v>
      </c>
      <c r="I788" t="n">
        <v>0</v>
      </c>
      <c r="J788" t="n">
        <v>0</v>
      </c>
      <c r="K788" t="n">
        <v>0</v>
      </c>
      <c r="L788" t="n">
        <v>0</v>
      </c>
      <c r="M788" t="n">
        <v>0</v>
      </c>
      <c r="N788" t="n">
        <v>0</v>
      </c>
      <c r="O788" t="n">
        <v>0</v>
      </c>
      <c r="P788" t="n">
        <v>0</v>
      </c>
      <c r="Q788" t="n">
        <v>0</v>
      </c>
      <c r="R788" s="2" t="inlineStr"/>
    </row>
    <row r="789" ht="15" customHeight="1">
      <c r="A789" t="inlineStr">
        <is>
          <t>A 2688-2024</t>
        </is>
      </c>
      <c r="B789" s="1" t="n">
        <v>45314</v>
      </c>
      <c r="C789" s="1" t="n">
        <v>46193</v>
      </c>
      <c r="D789" t="inlineStr">
        <is>
          <t>SKÅNE LÄN</t>
        </is>
      </c>
      <c r="E789" t="inlineStr">
        <is>
          <t>HÄSSLEHOLM</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36733-2023</t>
        </is>
      </c>
      <c r="B790" s="1" t="n">
        <v>45153</v>
      </c>
      <c r="C790" s="1" t="n">
        <v>46193</v>
      </c>
      <c r="D790" t="inlineStr">
        <is>
          <t>SKÅNE LÄN</t>
        </is>
      </c>
      <c r="E790" t="inlineStr">
        <is>
          <t>HÄSSLEHOLM</t>
        </is>
      </c>
      <c r="G790" t="n">
        <v>4.8</v>
      </c>
      <c r="H790" t="n">
        <v>0</v>
      </c>
      <c r="I790" t="n">
        <v>0</v>
      </c>
      <c r="J790" t="n">
        <v>0</v>
      </c>
      <c r="K790" t="n">
        <v>0</v>
      </c>
      <c r="L790" t="n">
        <v>0</v>
      </c>
      <c r="M790" t="n">
        <v>0</v>
      </c>
      <c r="N790" t="n">
        <v>0</v>
      </c>
      <c r="O790" t="n">
        <v>0</v>
      </c>
      <c r="P790" t="n">
        <v>0</v>
      </c>
      <c r="Q790" t="n">
        <v>0</v>
      </c>
      <c r="R790" s="2" t="inlineStr"/>
    </row>
    <row r="791" ht="15" customHeight="1">
      <c r="A791" t="inlineStr">
        <is>
          <t>A 56797-2025</t>
        </is>
      </c>
      <c r="B791" s="1" t="n">
        <v>45978</v>
      </c>
      <c r="C791" s="1" t="n">
        <v>46193</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32585-2025</t>
        </is>
      </c>
      <c r="B792" s="1" t="n">
        <v>45838</v>
      </c>
      <c r="C792" s="1" t="n">
        <v>46193</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32592-2025</t>
        </is>
      </c>
      <c r="B793" s="1" t="n">
        <v>45838</v>
      </c>
      <c r="C793" s="1" t="n">
        <v>46193</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8244-2023</t>
        </is>
      </c>
      <c r="B794" s="1" t="n">
        <v>44974</v>
      </c>
      <c r="C794" s="1" t="n">
        <v>46193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8246-2023</t>
        </is>
      </c>
      <c r="B795" s="1" t="n">
        <v>44974</v>
      </c>
      <c r="C795" s="1" t="n">
        <v>46193</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27371-2026</t>
        </is>
      </c>
      <c r="B796" s="1" t="n">
        <v>46188</v>
      </c>
      <c r="C796" s="1" t="n">
        <v>46193</v>
      </c>
      <c r="D796" t="inlineStr">
        <is>
          <t>SKÅNE LÄN</t>
        </is>
      </c>
      <c r="E796" t="inlineStr">
        <is>
          <t>HÄSSLEHOLM</t>
        </is>
      </c>
      <c r="G796" t="n">
        <v>1.1</v>
      </c>
      <c r="H796" t="n">
        <v>0</v>
      </c>
      <c r="I796" t="n">
        <v>0</v>
      </c>
      <c r="J796" t="n">
        <v>0</v>
      </c>
      <c r="K796" t="n">
        <v>0</v>
      </c>
      <c r="L796" t="n">
        <v>0</v>
      </c>
      <c r="M796" t="n">
        <v>0</v>
      </c>
      <c r="N796" t="n">
        <v>0</v>
      </c>
      <c r="O796" t="n">
        <v>0</v>
      </c>
      <c r="P796" t="n">
        <v>0</v>
      </c>
      <c r="Q796" t="n">
        <v>0</v>
      </c>
      <c r="R796" s="2" t="inlineStr"/>
    </row>
    <row r="797" ht="15" customHeight="1">
      <c r="A797" t="inlineStr">
        <is>
          <t>A 27123-2026</t>
        </is>
      </c>
      <c r="B797" s="1" t="n">
        <v>46188</v>
      </c>
      <c r="C797" s="1" t="n">
        <v>46193</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30092-2025</t>
        </is>
      </c>
      <c r="B798" s="1" t="n">
        <v>45826</v>
      </c>
      <c r="C798" s="1" t="n">
        <v>46193</v>
      </c>
      <c r="D798" t="inlineStr">
        <is>
          <t>SKÅNE LÄN</t>
        </is>
      </c>
      <c r="E798" t="inlineStr">
        <is>
          <t>HÄSSLEHOLM</t>
        </is>
      </c>
      <c r="G798" t="n">
        <v>1.4</v>
      </c>
      <c r="H798" t="n">
        <v>0</v>
      </c>
      <c r="I798" t="n">
        <v>0</v>
      </c>
      <c r="J798" t="n">
        <v>0</v>
      </c>
      <c r="K798" t="n">
        <v>0</v>
      </c>
      <c r="L798" t="n">
        <v>0</v>
      </c>
      <c r="M798" t="n">
        <v>0</v>
      </c>
      <c r="N798" t="n">
        <v>0</v>
      </c>
      <c r="O798" t="n">
        <v>0</v>
      </c>
      <c r="P798" t="n">
        <v>0</v>
      </c>
      <c r="Q798" t="n">
        <v>0</v>
      </c>
      <c r="R798" s="2" t="inlineStr"/>
    </row>
    <row r="799" ht="15" customHeight="1">
      <c r="A799" t="inlineStr">
        <is>
          <t>A 30109-2025</t>
        </is>
      </c>
      <c r="B799" s="1" t="n">
        <v>45826</v>
      </c>
      <c r="C799" s="1" t="n">
        <v>46193</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55569-2025</t>
        </is>
      </c>
      <c r="B800" s="1" t="n">
        <v>45971</v>
      </c>
      <c r="C800" s="1" t="n">
        <v>46193</v>
      </c>
      <c r="D800" t="inlineStr">
        <is>
          <t>SKÅNE LÄN</t>
        </is>
      </c>
      <c r="E800" t="inlineStr">
        <is>
          <t>HÄSSLEHOLM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24679-2023</t>
        </is>
      </c>
      <c r="B801" s="1" t="n">
        <v>45084</v>
      </c>
      <c r="C801" s="1" t="n">
        <v>46193</v>
      </c>
      <c r="D801" t="inlineStr">
        <is>
          <t>SKÅNE LÄN</t>
        </is>
      </c>
      <c r="E801" t="inlineStr">
        <is>
          <t>HÄSSLEHOLM</t>
        </is>
      </c>
      <c r="G801" t="n">
        <v>7.1</v>
      </c>
      <c r="H801" t="n">
        <v>0</v>
      </c>
      <c r="I801" t="n">
        <v>0</v>
      </c>
      <c r="J801" t="n">
        <v>0</v>
      </c>
      <c r="K801" t="n">
        <v>0</v>
      </c>
      <c r="L801" t="n">
        <v>0</v>
      </c>
      <c r="M801" t="n">
        <v>0</v>
      </c>
      <c r="N801" t="n">
        <v>0</v>
      </c>
      <c r="O801" t="n">
        <v>0</v>
      </c>
      <c r="P801" t="n">
        <v>0</v>
      </c>
      <c r="Q801" t="n">
        <v>0</v>
      </c>
      <c r="R801" s="2" t="inlineStr"/>
    </row>
    <row r="802" ht="15" customHeight="1">
      <c r="A802" t="inlineStr">
        <is>
          <t>A 27122-2026</t>
        </is>
      </c>
      <c r="B802" s="1" t="n">
        <v>46188</v>
      </c>
      <c r="C802" s="1" t="n">
        <v>46193</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47422-2025</t>
        </is>
      </c>
      <c r="B803" s="1" t="n">
        <v>45930</v>
      </c>
      <c r="C803" s="1" t="n">
        <v>46193</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15508-2023</t>
        </is>
      </c>
      <c r="B804" s="1" t="n">
        <v>45020</v>
      </c>
      <c r="C804" s="1" t="n">
        <v>46193</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33948-2025</t>
        </is>
      </c>
      <c r="B805" s="1" t="n">
        <v>45842</v>
      </c>
      <c r="C805" s="1" t="n">
        <v>46193</v>
      </c>
      <c r="D805" t="inlineStr">
        <is>
          <t>SKÅNE LÄN</t>
        </is>
      </c>
      <c r="E805" t="inlineStr">
        <is>
          <t>HÄSSLEHOLM</t>
        </is>
      </c>
      <c r="G805" t="n">
        <v>8.5</v>
      </c>
      <c r="H805" t="n">
        <v>0</v>
      </c>
      <c r="I805" t="n">
        <v>0</v>
      </c>
      <c r="J805" t="n">
        <v>0</v>
      </c>
      <c r="K805" t="n">
        <v>0</v>
      </c>
      <c r="L805" t="n">
        <v>0</v>
      </c>
      <c r="M805" t="n">
        <v>0</v>
      </c>
      <c r="N805" t="n">
        <v>0</v>
      </c>
      <c r="O805" t="n">
        <v>0</v>
      </c>
      <c r="P805" t="n">
        <v>0</v>
      </c>
      <c r="Q805" t="n">
        <v>0</v>
      </c>
      <c r="R805" s="2" t="inlineStr"/>
    </row>
    <row r="806" ht="15" customHeight="1">
      <c r="A806" t="inlineStr">
        <is>
          <t>A 34187-2023</t>
        </is>
      </c>
      <c r="B806" s="1" t="n">
        <v>45138</v>
      </c>
      <c r="C806" s="1" t="n">
        <v>46193</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57817-2025</t>
        </is>
      </c>
      <c r="B807" s="1" t="n">
        <v>45981</v>
      </c>
      <c r="C807" s="1" t="n">
        <v>46193</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47450-2025</t>
        </is>
      </c>
      <c r="B808" s="1" t="n">
        <v>45930</v>
      </c>
      <c r="C808" s="1" t="n">
        <v>46193</v>
      </c>
      <c r="D808" t="inlineStr">
        <is>
          <t>SKÅNE LÄN</t>
        </is>
      </c>
      <c r="E808" t="inlineStr">
        <is>
          <t>HÄSSLEHOLM</t>
        </is>
      </c>
      <c r="G808" t="n">
        <v>3.2</v>
      </c>
      <c r="H808" t="n">
        <v>0</v>
      </c>
      <c r="I808" t="n">
        <v>0</v>
      </c>
      <c r="J808" t="n">
        <v>0</v>
      </c>
      <c r="K808" t="n">
        <v>0</v>
      </c>
      <c r="L808" t="n">
        <v>0</v>
      </c>
      <c r="M808" t="n">
        <v>0</v>
      </c>
      <c r="N808" t="n">
        <v>0</v>
      </c>
      <c r="O808" t="n">
        <v>0</v>
      </c>
      <c r="P808" t="n">
        <v>0</v>
      </c>
      <c r="Q808" t="n">
        <v>0</v>
      </c>
      <c r="R808" s="2" t="inlineStr"/>
    </row>
    <row r="809" ht="15" customHeight="1">
      <c r="A809" t="inlineStr">
        <is>
          <t>A 33877-2025</t>
        </is>
      </c>
      <c r="B809" s="1" t="n">
        <v>45842</v>
      </c>
      <c r="C809" s="1" t="n">
        <v>46193</v>
      </c>
      <c r="D809" t="inlineStr">
        <is>
          <t>SKÅNE LÄN</t>
        </is>
      </c>
      <c r="E809" t="inlineStr">
        <is>
          <t>HÄSSLEHOLM</t>
        </is>
      </c>
      <c r="G809" t="n">
        <v>3.9</v>
      </c>
      <c r="H809" t="n">
        <v>0</v>
      </c>
      <c r="I809" t="n">
        <v>0</v>
      </c>
      <c r="J809" t="n">
        <v>0</v>
      </c>
      <c r="K809" t="n">
        <v>0</v>
      </c>
      <c r="L809" t="n">
        <v>0</v>
      </c>
      <c r="M809" t="n">
        <v>0</v>
      </c>
      <c r="N809" t="n">
        <v>0</v>
      </c>
      <c r="O809" t="n">
        <v>0</v>
      </c>
      <c r="P809" t="n">
        <v>0</v>
      </c>
      <c r="Q809" t="n">
        <v>0</v>
      </c>
      <c r="R809" s="2" t="inlineStr"/>
    </row>
    <row r="810" ht="15" customHeight="1">
      <c r="A810" t="inlineStr">
        <is>
          <t>A 11019-2025</t>
        </is>
      </c>
      <c r="B810" s="1" t="n">
        <v>45723</v>
      </c>
      <c r="C810" s="1" t="n">
        <v>46193</v>
      </c>
      <c r="D810" t="inlineStr">
        <is>
          <t>SKÅNE LÄN</t>
        </is>
      </c>
      <c r="E810" t="inlineStr">
        <is>
          <t>HÄSSLEHOLM</t>
        </is>
      </c>
      <c r="G810" t="n">
        <v>3.2</v>
      </c>
      <c r="H810" t="n">
        <v>0</v>
      </c>
      <c r="I810" t="n">
        <v>0</v>
      </c>
      <c r="J810" t="n">
        <v>0</v>
      </c>
      <c r="K810" t="n">
        <v>0</v>
      </c>
      <c r="L810" t="n">
        <v>0</v>
      </c>
      <c r="M810" t="n">
        <v>0</v>
      </c>
      <c r="N810" t="n">
        <v>0</v>
      </c>
      <c r="O810" t="n">
        <v>0</v>
      </c>
      <c r="P810" t="n">
        <v>0</v>
      </c>
      <c r="Q810" t="n">
        <v>0</v>
      </c>
      <c r="R810" s="2" t="inlineStr"/>
    </row>
    <row r="811" ht="15" customHeight="1">
      <c r="A811" t="inlineStr">
        <is>
          <t>A 56062-2024</t>
        </is>
      </c>
      <c r="B811" s="1" t="n">
        <v>45624</v>
      </c>
      <c r="C811" s="1" t="n">
        <v>46193</v>
      </c>
      <c r="D811" t="inlineStr">
        <is>
          <t>SKÅNE LÄN</t>
        </is>
      </c>
      <c r="E811" t="inlineStr">
        <is>
          <t>HÄSSLEHOLM</t>
        </is>
      </c>
      <c r="F811" t="inlineStr">
        <is>
          <t>Övriga Aktiebolag</t>
        </is>
      </c>
      <c r="G811" t="n">
        <v>0.6</v>
      </c>
      <c r="H811" t="n">
        <v>0</v>
      </c>
      <c r="I811" t="n">
        <v>0</v>
      </c>
      <c r="J811" t="n">
        <v>0</v>
      </c>
      <c r="K811" t="n">
        <v>0</v>
      </c>
      <c r="L811" t="n">
        <v>0</v>
      </c>
      <c r="M811" t="n">
        <v>0</v>
      </c>
      <c r="N811" t="n">
        <v>0</v>
      </c>
      <c r="O811" t="n">
        <v>0</v>
      </c>
      <c r="P811" t="n">
        <v>0</v>
      </c>
      <c r="Q811" t="n">
        <v>0</v>
      </c>
      <c r="R811" s="2" t="inlineStr"/>
    </row>
    <row r="812" ht="15" customHeight="1">
      <c r="A812" t="inlineStr">
        <is>
          <t>A 33950-2025</t>
        </is>
      </c>
      <c r="B812" s="1" t="n">
        <v>45842</v>
      </c>
      <c r="C812" s="1" t="n">
        <v>46193</v>
      </c>
      <c r="D812" t="inlineStr">
        <is>
          <t>SKÅNE LÄN</t>
        </is>
      </c>
      <c r="E812" t="inlineStr">
        <is>
          <t>HÄSSLEHOLM</t>
        </is>
      </c>
      <c r="G812" t="n">
        <v>5.7</v>
      </c>
      <c r="H812" t="n">
        <v>0</v>
      </c>
      <c r="I812" t="n">
        <v>0</v>
      </c>
      <c r="J812" t="n">
        <v>0</v>
      </c>
      <c r="K812" t="n">
        <v>0</v>
      </c>
      <c r="L812" t="n">
        <v>0</v>
      </c>
      <c r="M812" t="n">
        <v>0</v>
      </c>
      <c r="N812" t="n">
        <v>0</v>
      </c>
      <c r="O812" t="n">
        <v>0</v>
      </c>
      <c r="P812" t="n">
        <v>0</v>
      </c>
      <c r="Q812" t="n">
        <v>0</v>
      </c>
      <c r="R812" s="2" t="inlineStr"/>
    </row>
    <row r="813" ht="15" customHeight="1">
      <c r="A813" t="inlineStr">
        <is>
          <t>A 34369-2023</t>
        </is>
      </c>
      <c r="B813" s="1" t="n">
        <v>45139</v>
      </c>
      <c r="C813" s="1" t="n">
        <v>46193</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34174-2025</t>
        </is>
      </c>
      <c r="B814" s="1" t="n">
        <v>45844</v>
      </c>
      <c r="C814" s="1" t="n">
        <v>46193</v>
      </c>
      <c r="D814" t="inlineStr">
        <is>
          <t>SKÅNE LÄN</t>
        </is>
      </c>
      <c r="E814" t="inlineStr">
        <is>
          <t>HÄSSLEHOLM</t>
        </is>
      </c>
      <c r="G814" t="n">
        <v>4.7</v>
      </c>
      <c r="H814" t="n">
        <v>0</v>
      </c>
      <c r="I814" t="n">
        <v>0</v>
      </c>
      <c r="J814" t="n">
        <v>0</v>
      </c>
      <c r="K814" t="n">
        <v>0</v>
      </c>
      <c r="L814" t="n">
        <v>0</v>
      </c>
      <c r="M814" t="n">
        <v>0</v>
      </c>
      <c r="N814" t="n">
        <v>0</v>
      </c>
      <c r="O814" t="n">
        <v>0</v>
      </c>
      <c r="P814" t="n">
        <v>0</v>
      </c>
      <c r="Q814" t="n">
        <v>0</v>
      </c>
      <c r="R814" s="2" t="inlineStr"/>
    </row>
    <row r="815" ht="15" customHeight="1">
      <c r="A815" t="inlineStr">
        <is>
          <t>A 58241-2025</t>
        </is>
      </c>
      <c r="B815" s="1" t="n">
        <v>45985</v>
      </c>
      <c r="C815" s="1" t="n">
        <v>46193</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11753-2025</t>
        </is>
      </c>
      <c r="B816" s="1" t="n">
        <v>45727</v>
      </c>
      <c r="C816" s="1" t="n">
        <v>46193</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8378-2023</t>
        </is>
      </c>
      <c r="B817" s="1" t="n">
        <v>44971</v>
      </c>
      <c r="C817" s="1" t="n">
        <v>46193</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34177-2025</t>
        </is>
      </c>
      <c r="B818" s="1" t="n">
        <v>45844</v>
      </c>
      <c r="C818" s="1" t="n">
        <v>46193</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61569-2023</t>
        </is>
      </c>
      <c r="B819" s="1" t="n">
        <v>45265</v>
      </c>
      <c r="C819" s="1" t="n">
        <v>46193</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32958-2023</t>
        </is>
      </c>
      <c r="B820" s="1" t="n">
        <v>45125</v>
      </c>
      <c r="C820" s="1" t="n">
        <v>46193</v>
      </c>
      <c r="D820" t="inlineStr">
        <is>
          <t>SKÅNE LÄN</t>
        </is>
      </c>
      <c r="E820" t="inlineStr">
        <is>
          <t>HÄSSLEHOLM</t>
        </is>
      </c>
      <c r="G820" t="n">
        <v>7.9</v>
      </c>
      <c r="H820" t="n">
        <v>0</v>
      </c>
      <c r="I820" t="n">
        <v>0</v>
      </c>
      <c r="J820" t="n">
        <v>0</v>
      </c>
      <c r="K820" t="n">
        <v>0</v>
      </c>
      <c r="L820" t="n">
        <v>0</v>
      </c>
      <c r="M820" t="n">
        <v>0</v>
      </c>
      <c r="N820" t="n">
        <v>0</v>
      </c>
      <c r="O820" t="n">
        <v>0</v>
      </c>
      <c r="P820" t="n">
        <v>0</v>
      </c>
      <c r="Q820" t="n">
        <v>0</v>
      </c>
      <c r="R820" s="2" t="inlineStr"/>
    </row>
    <row r="821" ht="15" customHeight="1">
      <c r="A821" t="inlineStr">
        <is>
          <t>A 315-2022</t>
        </is>
      </c>
      <c r="B821" s="1" t="n">
        <v>44565</v>
      </c>
      <c r="C821" s="1" t="n">
        <v>46193</v>
      </c>
      <c r="D821" t="inlineStr">
        <is>
          <t>SKÅNE LÄN</t>
        </is>
      </c>
      <c r="E821" t="inlineStr">
        <is>
          <t>HÄSSLEHOLM</t>
        </is>
      </c>
      <c r="G821" t="n">
        <v>0.4</v>
      </c>
      <c r="H821" t="n">
        <v>0</v>
      </c>
      <c r="I821" t="n">
        <v>0</v>
      </c>
      <c r="J821" t="n">
        <v>0</v>
      </c>
      <c r="K821" t="n">
        <v>0</v>
      </c>
      <c r="L821" t="n">
        <v>0</v>
      </c>
      <c r="M821" t="n">
        <v>0</v>
      </c>
      <c r="N821" t="n">
        <v>0</v>
      </c>
      <c r="O821" t="n">
        <v>0</v>
      </c>
      <c r="P821" t="n">
        <v>0</v>
      </c>
      <c r="Q821" t="n">
        <v>0</v>
      </c>
      <c r="R821" s="2" t="inlineStr"/>
    </row>
    <row r="822" ht="15" customHeight="1">
      <c r="A822" t="inlineStr">
        <is>
          <t>A 53055-2021</t>
        </is>
      </c>
      <c r="B822" s="1" t="n">
        <v>44467</v>
      </c>
      <c r="C822" s="1" t="n">
        <v>46193</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31161-2024</t>
        </is>
      </c>
      <c r="B823" s="1" t="n">
        <v>45503</v>
      </c>
      <c r="C823" s="1" t="n">
        <v>46193</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33067-2024</t>
        </is>
      </c>
      <c r="B824" s="1" t="n">
        <v>45517</v>
      </c>
      <c r="C824" s="1" t="n">
        <v>46193</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34869-2025</t>
        </is>
      </c>
      <c r="B825" s="1" t="n">
        <v>45849</v>
      </c>
      <c r="C825" s="1" t="n">
        <v>46193</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38888-2023</t>
        </is>
      </c>
      <c r="B826" s="1" t="n">
        <v>45161</v>
      </c>
      <c r="C826" s="1" t="n">
        <v>46193</v>
      </c>
      <c r="D826" t="inlineStr">
        <is>
          <t>SKÅNE LÄN</t>
        </is>
      </c>
      <c r="E826" t="inlineStr">
        <is>
          <t>HÄSSLEHOLM</t>
        </is>
      </c>
      <c r="G826" t="n">
        <v>1.6</v>
      </c>
      <c r="H826" t="n">
        <v>0</v>
      </c>
      <c r="I826" t="n">
        <v>0</v>
      </c>
      <c r="J826" t="n">
        <v>0</v>
      </c>
      <c r="K826" t="n">
        <v>0</v>
      </c>
      <c r="L826" t="n">
        <v>0</v>
      </c>
      <c r="M826" t="n">
        <v>0</v>
      </c>
      <c r="N826" t="n">
        <v>0</v>
      </c>
      <c r="O826" t="n">
        <v>0</v>
      </c>
      <c r="P826" t="n">
        <v>0</v>
      </c>
      <c r="Q826" t="n">
        <v>0</v>
      </c>
      <c r="R826" s="2" t="inlineStr"/>
    </row>
    <row r="827" ht="15" customHeight="1">
      <c r="A827" t="inlineStr">
        <is>
          <t>A 1616-2025</t>
        </is>
      </c>
      <c r="B827" s="1" t="n">
        <v>45670</v>
      </c>
      <c r="C827" s="1" t="n">
        <v>46193</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20970-2025</t>
        </is>
      </c>
      <c r="B828" s="1" t="n">
        <v>45777</v>
      </c>
      <c r="C828" s="1" t="n">
        <v>46193</v>
      </c>
      <c r="D828" t="inlineStr">
        <is>
          <t>SKÅNE LÄN</t>
        </is>
      </c>
      <c r="E828" t="inlineStr">
        <is>
          <t>HÄSSLEHOLM</t>
        </is>
      </c>
      <c r="G828" t="n">
        <v>2.2</v>
      </c>
      <c r="H828" t="n">
        <v>0</v>
      </c>
      <c r="I828" t="n">
        <v>0</v>
      </c>
      <c r="J828" t="n">
        <v>0</v>
      </c>
      <c r="K828" t="n">
        <v>0</v>
      </c>
      <c r="L828" t="n">
        <v>0</v>
      </c>
      <c r="M828" t="n">
        <v>0</v>
      </c>
      <c r="N828" t="n">
        <v>0</v>
      </c>
      <c r="O828" t="n">
        <v>0</v>
      </c>
      <c r="P828" t="n">
        <v>0</v>
      </c>
      <c r="Q828" t="n">
        <v>0</v>
      </c>
      <c r="R828" s="2" t="inlineStr"/>
    </row>
    <row r="829" ht="15" customHeight="1">
      <c r="A829" t="inlineStr">
        <is>
          <t>A 5992-2022</t>
        </is>
      </c>
      <c r="B829" s="1" t="n">
        <v>44599</v>
      </c>
      <c r="C829" s="1" t="n">
        <v>46193</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17413-2025</t>
        </is>
      </c>
      <c r="B830" s="1" t="n">
        <v>45757</v>
      </c>
      <c r="C830" s="1" t="n">
        <v>46193</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11240-2023</t>
        </is>
      </c>
      <c r="B831" s="1" t="n">
        <v>44992</v>
      </c>
      <c r="C831" s="1" t="n">
        <v>46193</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3248-2022</t>
        </is>
      </c>
      <c r="B832" s="1" t="n">
        <v>44583</v>
      </c>
      <c r="C832" s="1" t="n">
        <v>46193</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6310-2025</t>
        </is>
      </c>
      <c r="B833" s="1" t="n">
        <v>45698</v>
      </c>
      <c r="C833" s="1" t="n">
        <v>46193</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8524-2024</t>
        </is>
      </c>
      <c r="B834" s="1" t="n">
        <v>45355</v>
      </c>
      <c r="C834" s="1" t="n">
        <v>46193</v>
      </c>
      <c r="D834" t="inlineStr">
        <is>
          <t>SKÅNE LÄN</t>
        </is>
      </c>
      <c r="E834" t="inlineStr">
        <is>
          <t>HÄSSLEHOLM</t>
        </is>
      </c>
      <c r="G834" t="n">
        <v>4</v>
      </c>
      <c r="H834" t="n">
        <v>0</v>
      </c>
      <c r="I834" t="n">
        <v>0</v>
      </c>
      <c r="J834" t="n">
        <v>0</v>
      </c>
      <c r="K834" t="n">
        <v>0</v>
      </c>
      <c r="L834" t="n">
        <v>0</v>
      </c>
      <c r="M834" t="n">
        <v>0</v>
      </c>
      <c r="N834" t="n">
        <v>0</v>
      </c>
      <c r="O834" t="n">
        <v>0</v>
      </c>
      <c r="P834" t="n">
        <v>0</v>
      </c>
      <c r="Q834" t="n">
        <v>0</v>
      </c>
      <c r="R834" s="2" t="inlineStr"/>
    </row>
    <row r="835" ht="15" customHeight="1">
      <c r="A835" t="inlineStr">
        <is>
          <t>A 22157-2024</t>
        </is>
      </c>
      <c r="B835" s="1" t="n">
        <v>45445</v>
      </c>
      <c r="C835" s="1" t="n">
        <v>46193</v>
      </c>
      <c r="D835" t="inlineStr">
        <is>
          <t>SKÅNE LÄN</t>
        </is>
      </c>
      <c r="E835" t="inlineStr">
        <is>
          <t>HÄSSLEHOLM</t>
        </is>
      </c>
      <c r="G835" t="n">
        <v>1</v>
      </c>
      <c r="H835" t="n">
        <v>0</v>
      </c>
      <c r="I835" t="n">
        <v>0</v>
      </c>
      <c r="J835" t="n">
        <v>0</v>
      </c>
      <c r="K835" t="n">
        <v>0</v>
      </c>
      <c r="L835" t="n">
        <v>0</v>
      </c>
      <c r="M835" t="n">
        <v>0</v>
      </c>
      <c r="N835" t="n">
        <v>0</v>
      </c>
      <c r="O835" t="n">
        <v>0</v>
      </c>
      <c r="P835" t="n">
        <v>0</v>
      </c>
      <c r="Q835" t="n">
        <v>0</v>
      </c>
      <c r="R835" s="2" t="inlineStr"/>
    </row>
    <row r="836" ht="15" customHeight="1">
      <c r="A836" t="inlineStr">
        <is>
          <t>A 14145-2023</t>
        </is>
      </c>
      <c r="B836" s="1" t="n">
        <v>45009</v>
      </c>
      <c r="C836" s="1" t="n">
        <v>46193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19666-2025</t>
        </is>
      </c>
      <c r="B837" s="1" t="n">
        <v>45770</v>
      </c>
      <c r="C837" s="1" t="n">
        <v>46193</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21807-2026</t>
        </is>
      </c>
      <c r="B838" s="1" t="n">
        <v>46148</v>
      </c>
      <c r="C838" s="1" t="n">
        <v>46193</v>
      </c>
      <c r="D838" t="inlineStr">
        <is>
          <t>SKÅNE LÄN</t>
        </is>
      </c>
      <c r="E838" t="inlineStr">
        <is>
          <t>HÄSSLEHOLM</t>
        </is>
      </c>
      <c r="G838" t="n">
        <v>5.2</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46193</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36359-2025</t>
        </is>
      </c>
      <c r="B840" s="1" t="n">
        <v>45867</v>
      </c>
      <c r="C840" s="1" t="n">
        <v>46193</v>
      </c>
      <c r="D840" t="inlineStr">
        <is>
          <t>SKÅNE LÄN</t>
        </is>
      </c>
      <c r="E840" t="inlineStr">
        <is>
          <t>HÄSSLEHOLM</t>
        </is>
      </c>
      <c r="G840" t="n">
        <v>2.2</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v>
      </c>
      <c r="C841" s="1" t="n">
        <v>46193</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45220-2023</t>
        </is>
      </c>
      <c r="B842" s="1" t="n">
        <v>45191</v>
      </c>
      <c r="C842" s="1" t="n">
        <v>46193</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38712-2024</t>
        </is>
      </c>
      <c r="B843" s="1" t="n">
        <v>45547</v>
      </c>
      <c r="C843" s="1" t="n">
        <v>46193</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57647-2024</t>
        </is>
      </c>
      <c r="B844" s="1" t="n">
        <v>45630</v>
      </c>
      <c r="C844" s="1" t="n">
        <v>46193</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61182-2024</t>
        </is>
      </c>
      <c r="B845" s="1" t="n">
        <v>45645</v>
      </c>
      <c r="C845" s="1" t="n">
        <v>46193</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13990-2022</t>
        </is>
      </c>
      <c r="B846" s="1" t="n">
        <v>44650</v>
      </c>
      <c r="C846" s="1" t="n">
        <v>46193</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25219-2023</t>
        </is>
      </c>
      <c r="B847" s="1" t="n">
        <v>45086</v>
      </c>
      <c r="C847" s="1" t="n">
        <v>46193</v>
      </c>
      <c r="D847" t="inlineStr">
        <is>
          <t>SKÅNE LÄN</t>
        </is>
      </c>
      <c r="E847" t="inlineStr">
        <is>
          <t>HÄSSLEHOLM</t>
        </is>
      </c>
      <c r="G847" t="n">
        <v>6.9</v>
      </c>
      <c r="H847" t="n">
        <v>0</v>
      </c>
      <c r="I847" t="n">
        <v>0</v>
      </c>
      <c r="J847" t="n">
        <v>0</v>
      </c>
      <c r="K847" t="n">
        <v>0</v>
      </c>
      <c r="L847" t="n">
        <v>0</v>
      </c>
      <c r="M847" t="n">
        <v>0</v>
      </c>
      <c r="N847" t="n">
        <v>0</v>
      </c>
      <c r="O847" t="n">
        <v>0</v>
      </c>
      <c r="P847" t="n">
        <v>0</v>
      </c>
      <c r="Q847" t="n">
        <v>0</v>
      </c>
      <c r="R847" s="2" t="inlineStr"/>
    </row>
    <row r="848" ht="15" customHeight="1">
      <c r="A848" t="inlineStr">
        <is>
          <t>A 37300-2023</t>
        </is>
      </c>
      <c r="B848" s="1" t="n">
        <v>45156</v>
      </c>
      <c r="C848" s="1" t="n">
        <v>46193</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39915-2023</t>
        </is>
      </c>
      <c r="B849" s="1" t="n">
        <v>45168</v>
      </c>
      <c r="C849" s="1" t="n">
        <v>46193</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8209-2025</t>
        </is>
      </c>
      <c r="B850" s="1" t="n">
        <v>45708</v>
      </c>
      <c r="C850" s="1" t="n">
        <v>46193</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35890-2023</t>
        </is>
      </c>
      <c r="B851" s="1" t="n">
        <v>45148</v>
      </c>
      <c r="C851" s="1" t="n">
        <v>46193</v>
      </c>
      <c r="D851" t="inlineStr">
        <is>
          <t>SKÅNE LÄN</t>
        </is>
      </c>
      <c r="E851" t="inlineStr">
        <is>
          <t>HÄSSLEHOLM</t>
        </is>
      </c>
      <c r="G851" t="n">
        <v>2</v>
      </c>
      <c r="H851" t="n">
        <v>0</v>
      </c>
      <c r="I851" t="n">
        <v>0</v>
      </c>
      <c r="J851" t="n">
        <v>0</v>
      </c>
      <c r="K851" t="n">
        <v>0</v>
      </c>
      <c r="L851" t="n">
        <v>0</v>
      </c>
      <c r="M851" t="n">
        <v>0</v>
      </c>
      <c r="N851" t="n">
        <v>0</v>
      </c>
      <c r="O851" t="n">
        <v>0</v>
      </c>
      <c r="P851" t="n">
        <v>0</v>
      </c>
      <c r="Q851" t="n">
        <v>0</v>
      </c>
      <c r="R851" s="2" t="inlineStr"/>
    </row>
    <row r="852" ht="15" customHeight="1">
      <c r="A852" t="inlineStr">
        <is>
          <t>A 35895-2023</t>
        </is>
      </c>
      <c r="B852" s="1" t="n">
        <v>45148</v>
      </c>
      <c r="C852" s="1" t="n">
        <v>46193</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62264-2025</t>
        </is>
      </c>
      <c r="B853" s="1" t="n">
        <v>46006</v>
      </c>
      <c r="C853" s="1" t="n">
        <v>46193</v>
      </c>
      <c r="D853" t="inlineStr">
        <is>
          <t>SKÅNE LÄN</t>
        </is>
      </c>
      <c r="E853" t="inlineStr">
        <is>
          <t>HÄSSLEHOLM</t>
        </is>
      </c>
      <c r="G853" t="n">
        <v>7.5</v>
      </c>
      <c r="H853" t="n">
        <v>0</v>
      </c>
      <c r="I853" t="n">
        <v>0</v>
      </c>
      <c r="J853" t="n">
        <v>0</v>
      </c>
      <c r="K853" t="n">
        <v>0</v>
      </c>
      <c r="L853" t="n">
        <v>0</v>
      </c>
      <c r="M853" t="n">
        <v>0</v>
      </c>
      <c r="N853" t="n">
        <v>0</v>
      </c>
      <c r="O853" t="n">
        <v>0</v>
      </c>
      <c r="P853" t="n">
        <v>0</v>
      </c>
      <c r="Q853" t="n">
        <v>0</v>
      </c>
      <c r="R853" s="2" t="inlineStr"/>
    </row>
    <row r="854" ht="15" customHeight="1">
      <c r="A854" t="inlineStr">
        <is>
          <t>A 4750-2024</t>
        </is>
      </c>
      <c r="B854" s="1" t="n">
        <v>45328</v>
      </c>
      <c r="C854" s="1" t="n">
        <v>46193</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23956-2023</t>
        </is>
      </c>
      <c r="B855" s="1" t="n">
        <v>45078</v>
      </c>
      <c r="C855" s="1" t="n">
        <v>46193</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11708-2025</t>
        </is>
      </c>
      <c r="B856" s="1" t="n">
        <v>45727</v>
      </c>
      <c r="C856" s="1" t="n">
        <v>46193</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48112-2024</t>
        </is>
      </c>
      <c r="B857" s="1" t="n">
        <v>45589</v>
      </c>
      <c r="C857" s="1" t="n">
        <v>46193</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37286-2025</t>
        </is>
      </c>
      <c r="B858" s="1" t="n">
        <v>45876</v>
      </c>
      <c r="C858" s="1" t="n">
        <v>46193</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63284-2025</t>
        </is>
      </c>
      <c r="B859" s="1" t="n">
        <v>46010</v>
      </c>
      <c r="C859" s="1" t="n">
        <v>46193</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37271-2025</t>
        </is>
      </c>
      <c r="B860" s="1" t="n">
        <v>45876</v>
      </c>
      <c r="C860" s="1" t="n">
        <v>46193</v>
      </c>
      <c r="D860" t="inlineStr">
        <is>
          <t>SKÅNE LÄN</t>
        </is>
      </c>
      <c r="E860" t="inlineStr">
        <is>
          <t>HÄSSLEHOLM</t>
        </is>
      </c>
      <c r="G860" t="n">
        <v>4.1</v>
      </c>
      <c r="H860" t="n">
        <v>0</v>
      </c>
      <c r="I860" t="n">
        <v>0</v>
      </c>
      <c r="J860" t="n">
        <v>0</v>
      </c>
      <c r="K860" t="n">
        <v>0</v>
      </c>
      <c r="L860" t="n">
        <v>0</v>
      </c>
      <c r="M860" t="n">
        <v>0</v>
      </c>
      <c r="N860" t="n">
        <v>0</v>
      </c>
      <c r="O860" t="n">
        <v>0</v>
      </c>
      <c r="P860" t="n">
        <v>0</v>
      </c>
      <c r="Q860" t="n">
        <v>0</v>
      </c>
      <c r="R860" s="2" t="inlineStr"/>
    </row>
    <row r="861" ht="15" customHeight="1">
      <c r="A861" t="inlineStr">
        <is>
          <t>A 63354-2025</t>
        </is>
      </c>
      <c r="B861" s="1" t="n">
        <v>46010</v>
      </c>
      <c r="C861" s="1" t="n">
        <v>46193</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27349-2025</t>
        </is>
      </c>
      <c r="B862" s="1" t="n">
        <v>45812</v>
      </c>
      <c r="C862" s="1" t="n">
        <v>46193</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24246-2023</t>
        </is>
      </c>
      <c r="B863" s="1" t="n">
        <v>45079</v>
      </c>
      <c r="C863" s="1" t="n">
        <v>46193</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24249-2023</t>
        </is>
      </c>
      <c r="B864" s="1" t="n">
        <v>45079</v>
      </c>
      <c r="C864" s="1" t="n">
        <v>46193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52548-2023</t>
        </is>
      </c>
      <c r="B865" s="1" t="n">
        <v>45218</v>
      </c>
      <c r="C865" s="1" t="n">
        <v>46193</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32981-2025</t>
        </is>
      </c>
      <c r="B866" s="1" t="n">
        <v>45839</v>
      </c>
      <c r="C866" s="1" t="n">
        <v>46193</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18109-2025</t>
        </is>
      </c>
      <c r="B867" s="1" t="n">
        <v>45761</v>
      </c>
      <c r="C867" s="1" t="n">
        <v>46193</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63510-2025</t>
        </is>
      </c>
      <c r="B868" s="1" t="n">
        <v>46013</v>
      </c>
      <c r="C868" s="1" t="n">
        <v>46193</v>
      </c>
      <c r="D868" t="inlineStr">
        <is>
          <t>SKÅNE LÄN</t>
        </is>
      </c>
      <c r="E868" t="inlineStr">
        <is>
          <t>HÄSSLEHOLM</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8160-2024</t>
        </is>
      </c>
      <c r="B869" s="1" t="n">
        <v>45351</v>
      </c>
      <c r="C869" s="1" t="n">
        <v>46193</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63415-2025</t>
        </is>
      </c>
      <c r="B870" s="1" t="n">
        <v>46013</v>
      </c>
      <c r="C870" s="1" t="n">
        <v>46193</v>
      </c>
      <c r="D870" t="inlineStr">
        <is>
          <t>SKÅNE LÄN</t>
        </is>
      </c>
      <c r="E870" t="inlineStr">
        <is>
          <t>HÄSSLEHOLM</t>
        </is>
      </c>
      <c r="G870" t="n">
        <v>1.3</v>
      </c>
      <c r="H870" t="n">
        <v>0</v>
      </c>
      <c r="I870" t="n">
        <v>0</v>
      </c>
      <c r="J870" t="n">
        <v>0</v>
      </c>
      <c r="K870" t="n">
        <v>0</v>
      </c>
      <c r="L870" t="n">
        <v>0</v>
      </c>
      <c r="M870" t="n">
        <v>0</v>
      </c>
      <c r="N870" t="n">
        <v>0</v>
      </c>
      <c r="O870" t="n">
        <v>0</v>
      </c>
      <c r="P870" t="n">
        <v>0</v>
      </c>
      <c r="Q870" t="n">
        <v>0</v>
      </c>
      <c r="R870" s="2" t="inlineStr"/>
    </row>
    <row r="871" ht="15" customHeight="1">
      <c r="A871" t="inlineStr">
        <is>
          <t>A 43696-2024</t>
        </is>
      </c>
      <c r="B871" s="1" t="n">
        <v>45569</v>
      </c>
      <c r="C871" s="1" t="n">
        <v>46193</v>
      </c>
      <c r="D871" t="inlineStr">
        <is>
          <t>SKÅNE LÄN</t>
        </is>
      </c>
      <c r="E871" t="inlineStr">
        <is>
          <t>HÄSSLEHOLM</t>
        </is>
      </c>
      <c r="G871" t="n">
        <v>2.9</v>
      </c>
      <c r="H871" t="n">
        <v>0</v>
      </c>
      <c r="I871" t="n">
        <v>0</v>
      </c>
      <c r="J871" t="n">
        <v>0</v>
      </c>
      <c r="K871" t="n">
        <v>0</v>
      </c>
      <c r="L871" t="n">
        <v>0</v>
      </c>
      <c r="M871" t="n">
        <v>0</v>
      </c>
      <c r="N871" t="n">
        <v>0</v>
      </c>
      <c r="O871" t="n">
        <v>0</v>
      </c>
      <c r="P871" t="n">
        <v>0</v>
      </c>
      <c r="Q871" t="n">
        <v>0</v>
      </c>
      <c r="R871" s="2" t="inlineStr"/>
    </row>
    <row r="872" ht="15" customHeight="1">
      <c r="A872" t="inlineStr">
        <is>
          <t>A 20185-2023</t>
        </is>
      </c>
      <c r="B872" s="1" t="n">
        <v>45055</v>
      </c>
      <c r="C872" s="1" t="n">
        <v>46193</v>
      </c>
      <c r="D872" t="inlineStr">
        <is>
          <t>SKÅNE LÄN</t>
        </is>
      </c>
      <c r="E872" t="inlineStr">
        <is>
          <t>HÄSSLEHOLM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38376-2022</t>
        </is>
      </c>
      <c r="B873" s="1" t="n">
        <v>44812</v>
      </c>
      <c r="C873" s="1" t="n">
        <v>46193</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18908-2023</t>
        </is>
      </c>
      <c r="B874" s="1" t="n">
        <v>45044</v>
      </c>
      <c r="C874" s="1" t="n">
        <v>46193</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61436-2024</t>
        </is>
      </c>
      <c r="B875" s="1" t="n">
        <v>45646</v>
      </c>
      <c r="C875" s="1" t="n">
        <v>46193</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7604-2024</t>
        </is>
      </c>
      <c r="B876" s="1" t="n">
        <v>45348</v>
      </c>
      <c r="C876" s="1" t="n">
        <v>46193</v>
      </c>
      <c r="D876" t="inlineStr">
        <is>
          <t>SKÅNE LÄN</t>
        </is>
      </c>
      <c r="E876" t="inlineStr">
        <is>
          <t>HÄSSLEHOLM</t>
        </is>
      </c>
      <c r="G876" t="n">
        <v>11.1</v>
      </c>
      <c r="H876" t="n">
        <v>0</v>
      </c>
      <c r="I876" t="n">
        <v>0</v>
      </c>
      <c r="J876" t="n">
        <v>0</v>
      </c>
      <c r="K876" t="n">
        <v>0</v>
      </c>
      <c r="L876" t="n">
        <v>0</v>
      </c>
      <c r="M876" t="n">
        <v>0</v>
      </c>
      <c r="N876" t="n">
        <v>0</v>
      </c>
      <c r="O876" t="n">
        <v>0</v>
      </c>
      <c r="P876" t="n">
        <v>0</v>
      </c>
      <c r="Q876" t="n">
        <v>0</v>
      </c>
      <c r="R876" s="2" t="inlineStr"/>
    </row>
    <row r="877" ht="15" customHeight="1">
      <c r="A877" t="inlineStr">
        <is>
          <t>A 21673-2026</t>
        </is>
      </c>
      <c r="B877" s="1" t="n">
        <v>46149</v>
      </c>
      <c r="C877" s="1" t="n">
        <v>46193</v>
      </c>
      <c r="D877" t="inlineStr">
        <is>
          <t>SKÅNE LÄN</t>
        </is>
      </c>
      <c r="E877" t="inlineStr">
        <is>
          <t>HÄSSLEHOLM</t>
        </is>
      </c>
      <c r="G877" t="n">
        <v>5</v>
      </c>
      <c r="H877" t="n">
        <v>0</v>
      </c>
      <c r="I877" t="n">
        <v>0</v>
      </c>
      <c r="J877" t="n">
        <v>0</v>
      </c>
      <c r="K877" t="n">
        <v>0</v>
      </c>
      <c r="L877" t="n">
        <v>0</v>
      </c>
      <c r="M877" t="n">
        <v>0</v>
      </c>
      <c r="N877" t="n">
        <v>0</v>
      </c>
      <c r="O877" t="n">
        <v>0</v>
      </c>
      <c r="P877" t="n">
        <v>0</v>
      </c>
      <c r="Q877" t="n">
        <v>0</v>
      </c>
      <c r="R877" s="2" t="inlineStr"/>
    </row>
    <row r="878" ht="15" customHeight="1">
      <c r="A878" t="inlineStr">
        <is>
          <t>A 21674-2026</t>
        </is>
      </c>
      <c r="B878" s="1" t="n">
        <v>46149</v>
      </c>
      <c r="C878" s="1" t="n">
        <v>46193</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21613-2026</t>
        </is>
      </c>
      <c r="B879" s="1" t="n">
        <v>46149</v>
      </c>
      <c r="C879" s="1" t="n">
        <v>46193</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19831-2026</t>
        </is>
      </c>
      <c r="B880" s="1" t="n">
        <v>46135</v>
      </c>
      <c r="C880" s="1" t="n">
        <v>46193</v>
      </c>
      <c r="D880" t="inlineStr">
        <is>
          <t>SKÅNE LÄN</t>
        </is>
      </c>
      <c r="E880" t="inlineStr">
        <is>
          <t>HÄSSLEHOLM</t>
        </is>
      </c>
      <c r="G880" t="n">
        <v>2.8</v>
      </c>
      <c r="H880" t="n">
        <v>0</v>
      </c>
      <c r="I880" t="n">
        <v>0</v>
      </c>
      <c r="J880" t="n">
        <v>0</v>
      </c>
      <c r="K880" t="n">
        <v>0</v>
      </c>
      <c r="L880" t="n">
        <v>0</v>
      </c>
      <c r="M880" t="n">
        <v>0</v>
      </c>
      <c r="N880" t="n">
        <v>0</v>
      </c>
      <c r="O880" t="n">
        <v>0</v>
      </c>
      <c r="P880" t="n">
        <v>0</v>
      </c>
      <c r="Q880" t="n">
        <v>0</v>
      </c>
      <c r="R880" s="2" t="inlineStr"/>
    </row>
    <row r="881" ht="15" customHeight="1">
      <c r="A881" t="inlineStr">
        <is>
          <t>A 54435-2024</t>
        </is>
      </c>
      <c r="B881" s="1" t="n">
        <v>45617</v>
      </c>
      <c r="C881" s="1" t="n">
        <v>46193</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720-2025</t>
        </is>
      </c>
      <c r="B882" s="1" t="n">
        <v>45665</v>
      </c>
      <c r="C882" s="1" t="n">
        <v>46193</v>
      </c>
      <c r="D882" t="inlineStr">
        <is>
          <t>SKÅNE LÄN</t>
        </is>
      </c>
      <c r="E882" t="inlineStr">
        <is>
          <t>HÄSSLEHOLM</t>
        </is>
      </c>
      <c r="G882" t="n">
        <v>1.3</v>
      </c>
      <c r="H882" t="n">
        <v>0</v>
      </c>
      <c r="I882" t="n">
        <v>0</v>
      </c>
      <c r="J882" t="n">
        <v>0</v>
      </c>
      <c r="K882" t="n">
        <v>0</v>
      </c>
      <c r="L882" t="n">
        <v>0</v>
      </c>
      <c r="M882" t="n">
        <v>0</v>
      </c>
      <c r="N882" t="n">
        <v>0</v>
      </c>
      <c r="O882" t="n">
        <v>0</v>
      </c>
      <c r="P882" t="n">
        <v>0</v>
      </c>
      <c r="Q882" t="n">
        <v>0</v>
      </c>
      <c r="R882" s="2" t="inlineStr"/>
    </row>
    <row r="883" ht="15" customHeight="1">
      <c r="A883" t="inlineStr">
        <is>
          <t>A 931-2026</t>
        </is>
      </c>
      <c r="B883" s="1" t="n">
        <v>46030</v>
      </c>
      <c r="C883" s="1" t="n">
        <v>46193</v>
      </c>
      <c r="D883" t="inlineStr">
        <is>
          <t>SKÅNE LÄN</t>
        </is>
      </c>
      <c r="E883" t="inlineStr">
        <is>
          <t>HÄSSLEHOLM</t>
        </is>
      </c>
      <c r="F883" t="inlineStr">
        <is>
          <t>Övriga Aktiebolag</t>
        </is>
      </c>
      <c r="G883" t="n">
        <v>2.3</v>
      </c>
      <c r="H883" t="n">
        <v>0</v>
      </c>
      <c r="I883" t="n">
        <v>0</v>
      </c>
      <c r="J883" t="n">
        <v>0</v>
      </c>
      <c r="K883" t="n">
        <v>0</v>
      </c>
      <c r="L883" t="n">
        <v>0</v>
      </c>
      <c r="M883" t="n">
        <v>0</v>
      </c>
      <c r="N883" t="n">
        <v>0</v>
      </c>
      <c r="O883" t="n">
        <v>0</v>
      </c>
      <c r="P883" t="n">
        <v>0</v>
      </c>
      <c r="Q883" t="n">
        <v>0</v>
      </c>
      <c r="R883" s="2" t="inlineStr"/>
    </row>
    <row r="884" ht="15" customHeight="1">
      <c r="A884" t="inlineStr">
        <is>
          <t>A 31581-2023</t>
        </is>
      </c>
      <c r="B884" s="1" t="n">
        <v>45117</v>
      </c>
      <c r="C884" s="1" t="n">
        <v>46193</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21615-2026</t>
        </is>
      </c>
      <c r="B885" s="1" t="n">
        <v>46149</v>
      </c>
      <c r="C885" s="1" t="n">
        <v>46193</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33597-2023</t>
        </is>
      </c>
      <c r="B886" s="1" t="n">
        <v>45132</v>
      </c>
      <c r="C886" s="1" t="n">
        <v>46193</v>
      </c>
      <c r="D886" t="inlineStr">
        <is>
          <t>SKÅNE LÄN</t>
        </is>
      </c>
      <c r="E886" t="inlineStr">
        <is>
          <t>HÄSSLEHOLM</t>
        </is>
      </c>
      <c r="G886" t="n">
        <v>3.9</v>
      </c>
      <c r="H886" t="n">
        <v>0</v>
      </c>
      <c r="I886" t="n">
        <v>0</v>
      </c>
      <c r="J886" t="n">
        <v>0</v>
      </c>
      <c r="K886" t="n">
        <v>0</v>
      </c>
      <c r="L886" t="n">
        <v>0</v>
      </c>
      <c r="M886" t="n">
        <v>0</v>
      </c>
      <c r="N886" t="n">
        <v>0</v>
      </c>
      <c r="O886" t="n">
        <v>0</v>
      </c>
      <c r="P886" t="n">
        <v>0</v>
      </c>
      <c r="Q886" t="n">
        <v>0</v>
      </c>
      <c r="R886" s="2" t="inlineStr"/>
    </row>
    <row r="887" ht="15" customHeight="1">
      <c r="A887" t="inlineStr">
        <is>
          <t>A 33599-2023</t>
        </is>
      </c>
      <c r="B887" s="1" t="n">
        <v>45132</v>
      </c>
      <c r="C887" s="1" t="n">
        <v>46193</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21668-2026</t>
        </is>
      </c>
      <c r="B888" s="1" t="n">
        <v>46149</v>
      </c>
      <c r="C888" s="1" t="n">
        <v>46193</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33938-2023</t>
        </is>
      </c>
      <c r="B889" s="1" t="n">
        <v>45124</v>
      </c>
      <c r="C889" s="1" t="n">
        <v>46193</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1640-2026</t>
        </is>
      </c>
      <c r="B890" s="1" t="n">
        <v>46034</v>
      </c>
      <c r="C890" s="1" t="n">
        <v>46193</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22693-2022</t>
        </is>
      </c>
      <c r="B891" s="1" t="n">
        <v>44714</v>
      </c>
      <c r="C891" s="1" t="n">
        <v>46193</v>
      </c>
      <c r="D891" t="inlineStr">
        <is>
          <t>SKÅNE LÄN</t>
        </is>
      </c>
      <c r="E891" t="inlineStr">
        <is>
          <t>HÄSSLEHOLM</t>
        </is>
      </c>
      <c r="G891" t="n">
        <v>2.8</v>
      </c>
      <c r="H891" t="n">
        <v>0</v>
      </c>
      <c r="I891" t="n">
        <v>0</v>
      </c>
      <c r="J891" t="n">
        <v>0</v>
      </c>
      <c r="K891" t="n">
        <v>0</v>
      </c>
      <c r="L891" t="n">
        <v>0</v>
      </c>
      <c r="M891" t="n">
        <v>0</v>
      </c>
      <c r="N891" t="n">
        <v>0</v>
      </c>
      <c r="O891" t="n">
        <v>0</v>
      </c>
      <c r="P891" t="n">
        <v>0</v>
      </c>
      <c r="Q891" t="n">
        <v>0</v>
      </c>
      <c r="R891" s="2" t="inlineStr"/>
    </row>
    <row r="892" ht="15" customHeight="1">
      <c r="A892" t="inlineStr">
        <is>
          <t>A 35889-2023</t>
        </is>
      </c>
      <c r="B892" s="1" t="n">
        <v>45148</v>
      </c>
      <c r="C892" s="1" t="n">
        <v>46193</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35894-2023</t>
        </is>
      </c>
      <c r="B893" s="1" t="n">
        <v>45148</v>
      </c>
      <c r="C893" s="1" t="n">
        <v>46193</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35974-2022</t>
        </is>
      </c>
      <c r="B894" s="1" t="n">
        <v>44802</v>
      </c>
      <c r="C894" s="1" t="n">
        <v>46193</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2306-2026</t>
        </is>
      </c>
      <c r="B895" s="1" t="n">
        <v>46034</v>
      </c>
      <c r="C895" s="1" t="n">
        <v>46193</v>
      </c>
      <c r="D895" t="inlineStr">
        <is>
          <t>SKÅNE LÄN</t>
        </is>
      </c>
      <c r="E895" t="inlineStr">
        <is>
          <t>HÄSSLEHOLM</t>
        </is>
      </c>
      <c r="G895" t="n">
        <v>3.4</v>
      </c>
      <c r="H895" t="n">
        <v>0</v>
      </c>
      <c r="I895" t="n">
        <v>0</v>
      </c>
      <c r="J895" t="n">
        <v>0</v>
      </c>
      <c r="K895" t="n">
        <v>0</v>
      </c>
      <c r="L895" t="n">
        <v>0</v>
      </c>
      <c r="M895" t="n">
        <v>0</v>
      </c>
      <c r="N895" t="n">
        <v>0</v>
      </c>
      <c r="O895" t="n">
        <v>0</v>
      </c>
      <c r="P895" t="n">
        <v>0</v>
      </c>
      <c r="Q895" t="n">
        <v>0</v>
      </c>
      <c r="R895" s="2" t="inlineStr"/>
    </row>
    <row r="896" ht="15" customHeight="1">
      <c r="A896" t="inlineStr">
        <is>
          <t>A 24906-2022</t>
        </is>
      </c>
      <c r="B896" s="1" t="n">
        <v>44728</v>
      </c>
      <c r="C896" s="1" t="n">
        <v>46193</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1645-2026</t>
        </is>
      </c>
      <c r="B897" s="1" t="n">
        <v>46034</v>
      </c>
      <c r="C897" s="1" t="n">
        <v>46193</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7150-2025</t>
        </is>
      </c>
      <c r="B898" s="1" t="n">
        <v>45702</v>
      </c>
      <c r="C898" s="1" t="n">
        <v>46193</v>
      </c>
      <c r="D898" t="inlineStr">
        <is>
          <t>SKÅNE LÄN</t>
        </is>
      </c>
      <c r="E898" t="inlineStr">
        <is>
          <t>HÄSSLEHOLM</t>
        </is>
      </c>
      <c r="G898" t="n">
        <v>2.3</v>
      </c>
      <c r="H898" t="n">
        <v>0</v>
      </c>
      <c r="I898" t="n">
        <v>0</v>
      </c>
      <c r="J898" t="n">
        <v>0</v>
      </c>
      <c r="K898" t="n">
        <v>0</v>
      </c>
      <c r="L898" t="n">
        <v>0</v>
      </c>
      <c r="M898" t="n">
        <v>0</v>
      </c>
      <c r="N898" t="n">
        <v>0</v>
      </c>
      <c r="O898" t="n">
        <v>0</v>
      </c>
      <c r="P898" t="n">
        <v>0</v>
      </c>
      <c r="Q898" t="n">
        <v>0</v>
      </c>
      <c r="R898" s="2" t="inlineStr"/>
    </row>
    <row r="899" ht="15" customHeight="1">
      <c r="A899" t="inlineStr">
        <is>
          <t>A 24992-2026</t>
        </is>
      </c>
      <c r="B899" s="1" t="n">
        <v>46174</v>
      </c>
      <c r="C899" s="1" t="n">
        <v>46193</v>
      </c>
      <c r="D899" t="inlineStr">
        <is>
          <t>SKÅNE LÄN</t>
        </is>
      </c>
      <c r="E899" t="inlineStr">
        <is>
          <t>HÄSSLEHOLM</t>
        </is>
      </c>
      <c r="G899" t="n">
        <v>10.4</v>
      </c>
      <c r="H899" t="n">
        <v>0</v>
      </c>
      <c r="I899" t="n">
        <v>0</v>
      </c>
      <c r="J899" t="n">
        <v>0</v>
      </c>
      <c r="K899" t="n">
        <v>0</v>
      </c>
      <c r="L899" t="n">
        <v>0</v>
      </c>
      <c r="M899" t="n">
        <v>0</v>
      </c>
      <c r="N899" t="n">
        <v>0</v>
      </c>
      <c r="O899" t="n">
        <v>0</v>
      </c>
      <c r="P899" t="n">
        <v>0</v>
      </c>
      <c r="Q899" t="n">
        <v>0</v>
      </c>
      <c r="R899" s="2" t="inlineStr"/>
    </row>
    <row r="900" ht="15" customHeight="1">
      <c r="A900" t="inlineStr">
        <is>
          <t>A 1656-2026</t>
        </is>
      </c>
      <c r="B900" s="1" t="n">
        <v>46034</v>
      </c>
      <c r="C900" s="1" t="n">
        <v>46193</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1659-2026</t>
        </is>
      </c>
      <c r="B901" s="1" t="n">
        <v>46034</v>
      </c>
      <c r="C901" s="1" t="n">
        <v>46193</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27946-2026</t>
        </is>
      </c>
      <c r="B902" s="1" t="n">
        <v>46192</v>
      </c>
      <c r="C902" s="1" t="n">
        <v>46193</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21658-2026</t>
        </is>
      </c>
      <c r="B903" s="1" t="n">
        <v>46149</v>
      </c>
      <c r="C903" s="1" t="n">
        <v>46193</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2618-2026</t>
        </is>
      </c>
      <c r="B904" s="1" t="n">
        <v>46035</v>
      </c>
      <c r="C904" s="1" t="n">
        <v>46193</v>
      </c>
      <c r="D904" t="inlineStr">
        <is>
          <t>SKÅNE LÄN</t>
        </is>
      </c>
      <c r="E904" t="inlineStr">
        <is>
          <t>HÄSSLEHOLM</t>
        </is>
      </c>
      <c r="F904" t="inlineStr">
        <is>
          <t>Kyrkan</t>
        </is>
      </c>
      <c r="G904" t="n">
        <v>4.8</v>
      </c>
      <c r="H904" t="n">
        <v>0</v>
      </c>
      <c r="I904" t="n">
        <v>0</v>
      </c>
      <c r="J904" t="n">
        <v>0</v>
      </c>
      <c r="K904" t="n">
        <v>0</v>
      </c>
      <c r="L904" t="n">
        <v>0</v>
      </c>
      <c r="M904" t="n">
        <v>0</v>
      </c>
      <c r="N904" t="n">
        <v>0</v>
      </c>
      <c r="O904" t="n">
        <v>0</v>
      </c>
      <c r="P904" t="n">
        <v>0</v>
      </c>
      <c r="Q904" t="n">
        <v>0</v>
      </c>
      <c r="R904" s="2" t="inlineStr"/>
    </row>
    <row r="905" ht="15" customHeight="1">
      <c r="A905" t="inlineStr">
        <is>
          <t>A 55303-2024</t>
        </is>
      </c>
      <c r="B905" s="1" t="n">
        <v>45621</v>
      </c>
      <c r="C905" s="1" t="n">
        <v>46193</v>
      </c>
      <c r="D905" t="inlineStr">
        <is>
          <t>SKÅNE LÄN</t>
        </is>
      </c>
      <c r="E905" t="inlineStr">
        <is>
          <t>HÄSSLEHOLM</t>
        </is>
      </c>
      <c r="G905" t="n">
        <v>3.3</v>
      </c>
      <c r="H905" t="n">
        <v>0</v>
      </c>
      <c r="I905" t="n">
        <v>0</v>
      </c>
      <c r="J905" t="n">
        <v>0</v>
      </c>
      <c r="K905" t="n">
        <v>0</v>
      </c>
      <c r="L905" t="n">
        <v>0</v>
      </c>
      <c r="M905" t="n">
        <v>0</v>
      </c>
      <c r="N905" t="n">
        <v>0</v>
      </c>
      <c r="O905" t="n">
        <v>0</v>
      </c>
      <c r="P905" t="n">
        <v>0</v>
      </c>
      <c r="Q905" t="n">
        <v>0</v>
      </c>
      <c r="R905" s="2" t="inlineStr"/>
    </row>
    <row r="906" ht="15" customHeight="1">
      <c r="A906" t="inlineStr">
        <is>
          <t>A 16397-2022</t>
        </is>
      </c>
      <c r="B906" s="1" t="n">
        <v>44671</v>
      </c>
      <c r="C906" s="1" t="n">
        <v>46193</v>
      </c>
      <c r="D906" t="inlineStr">
        <is>
          <t>SKÅNE LÄN</t>
        </is>
      </c>
      <c r="E906" t="inlineStr">
        <is>
          <t>HÄSSLEHOLM</t>
        </is>
      </c>
      <c r="G906" t="n">
        <v>2.7</v>
      </c>
      <c r="H906" t="n">
        <v>0</v>
      </c>
      <c r="I906" t="n">
        <v>0</v>
      </c>
      <c r="J906" t="n">
        <v>0</v>
      </c>
      <c r="K906" t="n">
        <v>0</v>
      </c>
      <c r="L906" t="n">
        <v>0</v>
      </c>
      <c r="M906" t="n">
        <v>0</v>
      </c>
      <c r="N906" t="n">
        <v>0</v>
      </c>
      <c r="O906" t="n">
        <v>0</v>
      </c>
      <c r="P906" t="n">
        <v>0</v>
      </c>
      <c r="Q906" t="n">
        <v>0</v>
      </c>
      <c r="R906" s="2" t="inlineStr"/>
    </row>
    <row r="907" ht="15" customHeight="1">
      <c r="A907" t="inlineStr">
        <is>
          <t>A 16398-2022</t>
        </is>
      </c>
      <c r="B907" s="1" t="n">
        <v>44671</v>
      </c>
      <c r="C907" s="1" t="n">
        <v>46193</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2617-2026</t>
        </is>
      </c>
      <c r="B908" s="1" t="n">
        <v>46035</v>
      </c>
      <c r="C908" s="1" t="n">
        <v>46193</v>
      </c>
      <c r="D908" t="inlineStr">
        <is>
          <t>SKÅNE LÄN</t>
        </is>
      </c>
      <c r="E908" t="inlineStr">
        <is>
          <t>HÄSSLEHOLM</t>
        </is>
      </c>
      <c r="F908" t="inlineStr">
        <is>
          <t>Kyrkan</t>
        </is>
      </c>
      <c r="G908" t="n">
        <v>5.5</v>
      </c>
      <c r="H908" t="n">
        <v>0</v>
      </c>
      <c r="I908" t="n">
        <v>0</v>
      </c>
      <c r="J908" t="n">
        <v>0</v>
      </c>
      <c r="K908" t="n">
        <v>0</v>
      </c>
      <c r="L908" t="n">
        <v>0</v>
      </c>
      <c r="M908" t="n">
        <v>0</v>
      </c>
      <c r="N908" t="n">
        <v>0</v>
      </c>
      <c r="O908" t="n">
        <v>0</v>
      </c>
      <c r="P908" t="n">
        <v>0</v>
      </c>
      <c r="Q908" t="n">
        <v>0</v>
      </c>
      <c r="R908" s="2" t="inlineStr"/>
    </row>
    <row r="909" ht="15" customHeight="1">
      <c r="A909" t="inlineStr">
        <is>
          <t>A 59434-2023</t>
        </is>
      </c>
      <c r="B909" s="1" t="n">
        <v>45254</v>
      </c>
      <c r="C909" s="1" t="n">
        <v>46193</v>
      </c>
      <c r="D909" t="inlineStr">
        <is>
          <t>SKÅNE LÄN</t>
        </is>
      </c>
      <c r="E909" t="inlineStr">
        <is>
          <t>HÄSSLEHOLM</t>
        </is>
      </c>
      <c r="G909" t="n">
        <v>3.6</v>
      </c>
      <c r="H909" t="n">
        <v>0</v>
      </c>
      <c r="I909" t="n">
        <v>0</v>
      </c>
      <c r="J909" t="n">
        <v>0</v>
      </c>
      <c r="K909" t="n">
        <v>0</v>
      </c>
      <c r="L909" t="n">
        <v>0</v>
      </c>
      <c r="M909" t="n">
        <v>0</v>
      </c>
      <c r="N909" t="n">
        <v>0</v>
      </c>
      <c r="O909" t="n">
        <v>0</v>
      </c>
      <c r="P909" t="n">
        <v>0</v>
      </c>
      <c r="Q909" t="n">
        <v>0</v>
      </c>
      <c r="R909" s="2" t="inlineStr"/>
    </row>
    <row r="910" ht="15" customHeight="1">
      <c r="A910" t="inlineStr">
        <is>
          <t>A 55284-2023</t>
        </is>
      </c>
      <c r="B910" s="1" t="n">
        <v>45237</v>
      </c>
      <c r="C910" s="1" t="n">
        <v>46193</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22384-2024</t>
        </is>
      </c>
      <c r="B911" s="1" t="n">
        <v>45446</v>
      </c>
      <c r="C911" s="1" t="n">
        <v>46193</v>
      </c>
      <c r="D911" t="inlineStr">
        <is>
          <t>SKÅNE LÄN</t>
        </is>
      </c>
      <c r="E911" t="inlineStr">
        <is>
          <t>HÄSSLEHOLM</t>
        </is>
      </c>
      <c r="G911" t="n">
        <v>2.4</v>
      </c>
      <c r="H911" t="n">
        <v>0</v>
      </c>
      <c r="I911" t="n">
        <v>0</v>
      </c>
      <c r="J911" t="n">
        <v>0</v>
      </c>
      <c r="K911" t="n">
        <v>0</v>
      </c>
      <c r="L911" t="n">
        <v>0</v>
      </c>
      <c r="M911" t="n">
        <v>0</v>
      </c>
      <c r="N911" t="n">
        <v>0</v>
      </c>
      <c r="O911" t="n">
        <v>0</v>
      </c>
      <c r="P911" t="n">
        <v>0</v>
      </c>
      <c r="Q911" t="n">
        <v>0</v>
      </c>
      <c r="R911" s="2" t="inlineStr"/>
    </row>
    <row r="912" ht="15" customHeight="1">
      <c r="A912" t="inlineStr">
        <is>
          <t>A 46641-2023</t>
        </is>
      </c>
      <c r="B912" s="1" t="n">
        <v>45198</v>
      </c>
      <c r="C912" s="1" t="n">
        <v>46193</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46645-2023</t>
        </is>
      </c>
      <c r="B913" s="1" t="n">
        <v>45198</v>
      </c>
      <c r="C913" s="1" t="n">
        <v>46193</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3298-2026</t>
        </is>
      </c>
      <c r="B914" s="1" t="n">
        <v>46041</v>
      </c>
      <c r="C914" s="1" t="n">
        <v>46193</v>
      </c>
      <c r="D914" t="inlineStr">
        <is>
          <t>SKÅNE LÄN</t>
        </is>
      </c>
      <c r="E914" t="inlineStr">
        <is>
          <t>HÄSSLEHOLM</t>
        </is>
      </c>
      <c r="G914" t="n">
        <v>1.2</v>
      </c>
      <c r="H914" t="n">
        <v>0</v>
      </c>
      <c r="I914" t="n">
        <v>0</v>
      </c>
      <c r="J914" t="n">
        <v>0</v>
      </c>
      <c r="K914" t="n">
        <v>0</v>
      </c>
      <c r="L914" t="n">
        <v>0</v>
      </c>
      <c r="M914" t="n">
        <v>0</v>
      </c>
      <c r="N914" t="n">
        <v>0</v>
      </c>
      <c r="O914" t="n">
        <v>0</v>
      </c>
      <c r="P914" t="n">
        <v>0</v>
      </c>
      <c r="Q914" t="n">
        <v>0</v>
      </c>
      <c r="R914" s="2" t="inlineStr"/>
    </row>
    <row r="915" ht="15" customHeight="1">
      <c r="A915" t="inlineStr">
        <is>
          <t>A 59556-2023</t>
        </is>
      </c>
      <c r="B915" s="1" t="n">
        <v>45254</v>
      </c>
      <c r="C915" s="1" t="n">
        <v>46193</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3904-2026</t>
        </is>
      </c>
      <c r="B916" s="1" t="n">
        <v>46043</v>
      </c>
      <c r="C916" s="1" t="n">
        <v>46193</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3715-2026</t>
        </is>
      </c>
      <c r="B917" s="1" t="n">
        <v>46043</v>
      </c>
      <c r="C917" s="1" t="n">
        <v>46193</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9543-2025</t>
        </is>
      </c>
      <c r="B918" s="1" t="n">
        <v>45715</v>
      </c>
      <c r="C918" s="1" t="n">
        <v>46193</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3862-2026</t>
        </is>
      </c>
      <c r="B919" s="1" t="n">
        <v>46043</v>
      </c>
      <c r="C919" s="1" t="n">
        <v>46193</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51571-2023</t>
        </is>
      </c>
      <c r="B920" s="1" t="n">
        <v>45222</v>
      </c>
      <c r="C920" s="1" t="n">
        <v>46193</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27291-2023</t>
        </is>
      </c>
      <c r="B921" s="1" t="n">
        <v>45096</v>
      </c>
      <c r="C921" s="1" t="n">
        <v>46193</v>
      </c>
      <c r="D921" t="inlineStr">
        <is>
          <t>SKÅNE LÄN</t>
        </is>
      </c>
      <c r="E921" t="inlineStr">
        <is>
          <t>HÄSSLEHOLM</t>
        </is>
      </c>
      <c r="G921" t="n">
        <v>3.5</v>
      </c>
      <c r="H921" t="n">
        <v>0</v>
      </c>
      <c r="I921" t="n">
        <v>0</v>
      </c>
      <c r="J921" t="n">
        <v>0</v>
      </c>
      <c r="K921" t="n">
        <v>0</v>
      </c>
      <c r="L921" t="n">
        <v>0</v>
      </c>
      <c r="M921" t="n">
        <v>0</v>
      </c>
      <c r="N921" t="n">
        <v>0</v>
      </c>
      <c r="O921" t="n">
        <v>0</v>
      </c>
      <c r="P921" t="n">
        <v>0</v>
      </c>
      <c r="Q921" t="n">
        <v>0</v>
      </c>
      <c r="R921" s="2" t="inlineStr"/>
    </row>
    <row r="922" ht="15" customHeight="1">
      <c r="A922" t="inlineStr">
        <is>
          <t>A 48798-2023</t>
        </is>
      </c>
      <c r="B922" s="1" t="n">
        <v>45209</v>
      </c>
      <c r="C922" s="1" t="n">
        <v>46193</v>
      </c>
      <c r="D922" t="inlineStr">
        <is>
          <t>SKÅNE LÄN</t>
        </is>
      </c>
      <c r="E922" t="inlineStr">
        <is>
          <t>HÄSSLEHOLM</t>
        </is>
      </c>
      <c r="G922" t="n">
        <v>2.1</v>
      </c>
      <c r="H922" t="n">
        <v>0</v>
      </c>
      <c r="I922" t="n">
        <v>0</v>
      </c>
      <c r="J922" t="n">
        <v>0</v>
      </c>
      <c r="K922" t="n">
        <v>0</v>
      </c>
      <c r="L922" t="n">
        <v>0</v>
      </c>
      <c r="M922" t="n">
        <v>0</v>
      </c>
      <c r="N922" t="n">
        <v>0</v>
      </c>
      <c r="O922" t="n">
        <v>0</v>
      </c>
      <c r="P922" t="n">
        <v>0</v>
      </c>
      <c r="Q922" t="n">
        <v>0</v>
      </c>
      <c r="R922" s="2" t="inlineStr"/>
    </row>
    <row r="923" ht="15" customHeight="1">
      <c r="A923" t="inlineStr">
        <is>
          <t>A 48627-2023</t>
        </is>
      </c>
      <c r="B923" s="1" t="n">
        <v>45208</v>
      </c>
      <c r="C923" s="1" t="n">
        <v>46193</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4981-2026</t>
        </is>
      </c>
      <c r="B924" s="1" t="n">
        <v>46049</v>
      </c>
      <c r="C924" s="1" t="n">
        <v>46193</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17152-2025</t>
        </is>
      </c>
      <c r="B925" s="1" t="n">
        <v>45756</v>
      </c>
      <c r="C925" s="1" t="n">
        <v>46193</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48326-2023</t>
        </is>
      </c>
      <c r="B926" s="1" t="n">
        <v>45205</v>
      </c>
      <c r="C926" s="1" t="n">
        <v>46193</v>
      </c>
      <c r="D926" t="inlineStr">
        <is>
          <t>SKÅNE LÄN</t>
        </is>
      </c>
      <c r="E926" t="inlineStr">
        <is>
          <t>HÄSSLEHOLM</t>
        </is>
      </c>
      <c r="G926" t="n">
        <v>12.7</v>
      </c>
      <c r="H926" t="n">
        <v>0</v>
      </c>
      <c r="I926" t="n">
        <v>0</v>
      </c>
      <c r="J926" t="n">
        <v>0</v>
      </c>
      <c r="K926" t="n">
        <v>0</v>
      </c>
      <c r="L926" t="n">
        <v>0</v>
      </c>
      <c r="M926" t="n">
        <v>0</v>
      </c>
      <c r="N926" t="n">
        <v>0</v>
      </c>
      <c r="O926" t="n">
        <v>0</v>
      </c>
      <c r="P926" t="n">
        <v>0</v>
      </c>
      <c r="Q926" t="n">
        <v>0</v>
      </c>
      <c r="R926" s="2" t="inlineStr"/>
    </row>
    <row r="927" ht="15" customHeight="1">
      <c r="A927" t="inlineStr">
        <is>
          <t>A 10752-2025</t>
        </is>
      </c>
      <c r="B927" s="1" t="n">
        <v>45722</v>
      </c>
      <c r="C927" s="1" t="n">
        <v>46193</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54462-2022</t>
        </is>
      </c>
      <c r="B928" s="1" t="n">
        <v>44882</v>
      </c>
      <c r="C928" s="1" t="n">
        <v>46193</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3890-2024</t>
        </is>
      </c>
      <c r="B929" s="1" t="n">
        <v>45322</v>
      </c>
      <c r="C929" s="1" t="n">
        <v>46193</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4994-2026</t>
        </is>
      </c>
      <c r="B930" s="1" t="n">
        <v>46049</v>
      </c>
      <c r="C930" s="1" t="n">
        <v>46193</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5103-2026</t>
        </is>
      </c>
      <c r="B931" s="1" t="n">
        <v>46049</v>
      </c>
      <c r="C931" s="1" t="n">
        <v>46193</v>
      </c>
      <c r="D931" t="inlineStr">
        <is>
          <t>SKÅNE LÄN</t>
        </is>
      </c>
      <c r="E931" t="inlineStr">
        <is>
          <t>HÄSSLEHOLM</t>
        </is>
      </c>
      <c r="G931" t="n">
        <v>5.4</v>
      </c>
      <c r="H931" t="n">
        <v>0</v>
      </c>
      <c r="I931" t="n">
        <v>0</v>
      </c>
      <c r="J931" t="n">
        <v>0</v>
      </c>
      <c r="K931" t="n">
        <v>0</v>
      </c>
      <c r="L931" t="n">
        <v>0</v>
      </c>
      <c r="M931" t="n">
        <v>0</v>
      </c>
      <c r="N931" t="n">
        <v>0</v>
      </c>
      <c r="O931" t="n">
        <v>0</v>
      </c>
      <c r="P931" t="n">
        <v>0</v>
      </c>
      <c r="Q931" t="n">
        <v>0</v>
      </c>
      <c r="R931" s="2" t="inlineStr"/>
    </row>
    <row r="932" ht="15" customHeight="1">
      <c r="A932" t="inlineStr">
        <is>
          <t>A 5503-2026</t>
        </is>
      </c>
      <c r="B932" s="1" t="n">
        <v>46050</v>
      </c>
      <c r="C932" s="1" t="n">
        <v>46193</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54471-2023</t>
        </is>
      </c>
      <c r="B933" s="1" t="n">
        <v>45233</v>
      </c>
      <c r="C933" s="1" t="n">
        <v>46193</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57963-2023</t>
        </is>
      </c>
      <c r="B934" s="1" t="n">
        <v>45247</v>
      </c>
      <c r="C934" s="1" t="n">
        <v>46193</v>
      </c>
      <c r="D934" t="inlineStr">
        <is>
          <t>SKÅNE LÄN</t>
        </is>
      </c>
      <c r="E934" t="inlineStr">
        <is>
          <t>HÄSSLEHOLM</t>
        </is>
      </c>
      <c r="G934" t="n">
        <v>4.6</v>
      </c>
      <c r="H934" t="n">
        <v>0</v>
      </c>
      <c r="I934" t="n">
        <v>0</v>
      </c>
      <c r="J934" t="n">
        <v>0</v>
      </c>
      <c r="K934" t="n">
        <v>0</v>
      </c>
      <c r="L934" t="n">
        <v>0</v>
      </c>
      <c r="M934" t="n">
        <v>0</v>
      </c>
      <c r="N934" t="n">
        <v>0</v>
      </c>
      <c r="O934" t="n">
        <v>0</v>
      </c>
      <c r="P934" t="n">
        <v>0</v>
      </c>
      <c r="Q934" t="n">
        <v>0</v>
      </c>
      <c r="R934" s="2" t="inlineStr"/>
    </row>
    <row r="935" ht="15" customHeight="1">
      <c r="A935" t="inlineStr">
        <is>
          <t>A 59028-2023</t>
        </is>
      </c>
      <c r="B935" s="1" t="n">
        <v>45252</v>
      </c>
      <c r="C935" s="1" t="n">
        <v>46193</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46193</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5759-2026</t>
        </is>
      </c>
      <c r="B937" s="1" t="n">
        <v>46051</v>
      </c>
      <c r="C937" s="1" t="n">
        <v>46193</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260-2024</t>
        </is>
      </c>
      <c r="B938" s="1" t="n">
        <v>45294</v>
      </c>
      <c r="C938" s="1" t="n">
        <v>46193</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v>
      </c>
      <c r="C939" s="1" t="n">
        <v>46193</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30006-2023</t>
        </is>
      </c>
      <c r="B940" s="1" t="n">
        <v>45109</v>
      </c>
      <c r="C940" s="1" t="n">
        <v>46193</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6309-2026</t>
        </is>
      </c>
      <c r="B941" s="1" t="n">
        <v>46055</v>
      </c>
      <c r="C941" s="1" t="n">
        <v>46193</v>
      </c>
      <c r="D941" t="inlineStr">
        <is>
          <t>SKÅNE LÄN</t>
        </is>
      </c>
      <c r="E941" t="inlineStr">
        <is>
          <t>HÄSSLEHOLM</t>
        </is>
      </c>
      <c r="G941" t="n">
        <v>3.5</v>
      </c>
      <c r="H941" t="n">
        <v>0</v>
      </c>
      <c r="I941" t="n">
        <v>0</v>
      </c>
      <c r="J941" t="n">
        <v>0</v>
      </c>
      <c r="K941" t="n">
        <v>0</v>
      </c>
      <c r="L941" t="n">
        <v>0</v>
      </c>
      <c r="M941" t="n">
        <v>0</v>
      </c>
      <c r="N941" t="n">
        <v>0</v>
      </c>
      <c r="O941" t="n">
        <v>0</v>
      </c>
      <c r="P941" t="n">
        <v>0</v>
      </c>
      <c r="Q941" t="n">
        <v>0</v>
      </c>
      <c r="R941" s="2" t="inlineStr"/>
    </row>
    <row r="942" ht="15" customHeight="1">
      <c r="A942" t="inlineStr">
        <is>
          <t>A 6299-2026</t>
        </is>
      </c>
      <c r="B942" s="1" t="n">
        <v>46055</v>
      </c>
      <c r="C942" s="1" t="n">
        <v>46193</v>
      </c>
      <c r="D942" t="inlineStr">
        <is>
          <t>SKÅNE LÄN</t>
        </is>
      </c>
      <c r="E942" t="inlineStr">
        <is>
          <t>HÄSSLEHOLM</t>
        </is>
      </c>
      <c r="G942" t="n">
        <v>5.2</v>
      </c>
      <c r="H942" t="n">
        <v>0</v>
      </c>
      <c r="I942" t="n">
        <v>0</v>
      </c>
      <c r="J942" t="n">
        <v>0</v>
      </c>
      <c r="K942" t="n">
        <v>0</v>
      </c>
      <c r="L942" t="n">
        <v>0</v>
      </c>
      <c r="M942" t="n">
        <v>0</v>
      </c>
      <c r="N942" t="n">
        <v>0</v>
      </c>
      <c r="O942" t="n">
        <v>0</v>
      </c>
      <c r="P942" t="n">
        <v>0</v>
      </c>
      <c r="Q942" t="n">
        <v>0</v>
      </c>
      <c r="R942" s="2" t="inlineStr"/>
    </row>
    <row r="943" ht="15" customHeight="1">
      <c r="A943" t="inlineStr">
        <is>
          <t>A 42364-2023</t>
        </is>
      </c>
      <c r="B943" s="1" t="n">
        <v>45180</v>
      </c>
      <c r="C943" s="1" t="n">
        <v>46193</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61578-2023</t>
        </is>
      </c>
      <c r="B944" s="1" t="n">
        <v>45265</v>
      </c>
      <c r="C944" s="1" t="n">
        <v>46193</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6449-2026</t>
        </is>
      </c>
      <c r="B945" s="1" t="n">
        <v>46055</v>
      </c>
      <c r="C945" s="1" t="n">
        <v>46193</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6295-2026</t>
        </is>
      </c>
      <c r="B946" s="1" t="n">
        <v>46055</v>
      </c>
      <c r="C946" s="1" t="n">
        <v>46193</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46193</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6877-2026</t>
        </is>
      </c>
      <c r="B948" s="1" t="n">
        <v>46057</v>
      </c>
      <c r="C948" s="1" t="n">
        <v>46193</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46193</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7244-2026</t>
        </is>
      </c>
      <c r="B950" s="1" t="n">
        <v>46058</v>
      </c>
      <c r="C950" s="1" t="n">
        <v>46193</v>
      </c>
      <c r="D950" t="inlineStr">
        <is>
          <t>SKÅNE LÄN</t>
        </is>
      </c>
      <c r="E950" t="inlineStr">
        <is>
          <t>HÄSSLEHOLM</t>
        </is>
      </c>
      <c r="G950" t="n">
        <v>7</v>
      </c>
      <c r="H950" t="n">
        <v>0</v>
      </c>
      <c r="I950" t="n">
        <v>0</v>
      </c>
      <c r="J950" t="n">
        <v>0</v>
      </c>
      <c r="K950" t="n">
        <v>0</v>
      </c>
      <c r="L950" t="n">
        <v>0</v>
      </c>
      <c r="M950" t="n">
        <v>0</v>
      </c>
      <c r="N950" t="n">
        <v>0</v>
      </c>
      <c r="O950" t="n">
        <v>0</v>
      </c>
      <c r="P950" t="n">
        <v>0</v>
      </c>
      <c r="Q950" t="n">
        <v>0</v>
      </c>
      <c r="R950" s="2" t="inlineStr"/>
    </row>
    <row r="951" ht="15" customHeight="1">
      <c r="A951" t="inlineStr">
        <is>
          <t>A 3888-2024</t>
        </is>
      </c>
      <c r="B951" s="1" t="n">
        <v>45322</v>
      </c>
      <c r="C951" s="1" t="n">
        <v>46193</v>
      </c>
      <c r="D951" t="inlineStr">
        <is>
          <t>SKÅNE LÄN</t>
        </is>
      </c>
      <c r="E951" t="inlineStr">
        <is>
          <t>HÄSSLEHOLM</t>
        </is>
      </c>
      <c r="G951" t="n">
        <v>2.4</v>
      </c>
      <c r="H951" t="n">
        <v>0</v>
      </c>
      <c r="I951" t="n">
        <v>0</v>
      </c>
      <c r="J951" t="n">
        <v>0</v>
      </c>
      <c r="K951" t="n">
        <v>0</v>
      </c>
      <c r="L951" t="n">
        <v>0</v>
      </c>
      <c r="M951" t="n">
        <v>0</v>
      </c>
      <c r="N951" t="n">
        <v>0</v>
      </c>
      <c r="O951" t="n">
        <v>0</v>
      </c>
      <c r="P951" t="n">
        <v>0</v>
      </c>
      <c r="Q951" t="n">
        <v>0</v>
      </c>
      <c r="R951" s="2" t="inlineStr"/>
    </row>
    <row r="952" ht="15" customHeight="1">
      <c r="A952" t="inlineStr">
        <is>
          <t>A 3889-2024</t>
        </is>
      </c>
      <c r="B952" s="1" t="n">
        <v>45322</v>
      </c>
      <c r="C952" s="1" t="n">
        <v>46193</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8249-2023</t>
        </is>
      </c>
      <c r="B953" s="1" t="n">
        <v>44974</v>
      </c>
      <c r="C953" s="1" t="n">
        <v>46193</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3480-2024</t>
        </is>
      </c>
      <c r="B954" s="1" t="n">
        <v>45320</v>
      </c>
      <c r="C954" s="1" t="n">
        <v>46193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55218-2023</t>
        </is>
      </c>
      <c r="B955" s="1" t="n">
        <v>45237</v>
      </c>
      <c r="C955" s="1" t="n">
        <v>46193</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1119-2024</t>
        </is>
      </c>
      <c r="B956" s="1" t="n">
        <v>45302</v>
      </c>
      <c r="C956" s="1" t="n">
        <v>46193</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9393-2025</t>
        </is>
      </c>
      <c r="B957" s="1" t="n">
        <v>45715</v>
      </c>
      <c r="C957" s="1" t="n">
        <v>46193</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11422-2025</t>
        </is>
      </c>
      <c r="B958" s="1" t="n">
        <v>45726</v>
      </c>
      <c r="C958" s="1" t="n">
        <v>46193</v>
      </c>
      <c r="D958" t="inlineStr">
        <is>
          <t>SKÅNE LÄN</t>
        </is>
      </c>
      <c r="E958" t="inlineStr">
        <is>
          <t>HÄSSLEHOLM</t>
        </is>
      </c>
      <c r="G958" t="n">
        <v>14.9</v>
      </c>
      <c r="H958" t="n">
        <v>0</v>
      </c>
      <c r="I958" t="n">
        <v>0</v>
      </c>
      <c r="J958" t="n">
        <v>0</v>
      </c>
      <c r="K958" t="n">
        <v>0</v>
      </c>
      <c r="L958" t="n">
        <v>0</v>
      </c>
      <c r="M958" t="n">
        <v>0</v>
      </c>
      <c r="N958" t="n">
        <v>0</v>
      </c>
      <c r="O958" t="n">
        <v>0</v>
      </c>
      <c r="P958" t="n">
        <v>0</v>
      </c>
      <c r="Q958" t="n">
        <v>0</v>
      </c>
      <c r="R958" s="2" t="inlineStr"/>
    </row>
    <row r="959" ht="15" customHeight="1">
      <c r="A959" t="inlineStr">
        <is>
          <t>A 7721-2026</t>
        </is>
      </c>
      <c r="B959" s="1" t="n">
        <v>46059</v>
      </c>
      <c r="C959" s="1" t="n">
        <v>46193</v>
      </c>
      <c r="D959" t="inlineStr">
        <is>
          <t>SKÅNE LÄN</t>
        </is>
      </c>
      <c r="E959" t="inlineStr">
        <is>
          <t>HÄSSLEHOLM</t>
        </is>
      </c>
      <c r="G959" t="n">
        <v>3.3</v>
      </c>
      <c r="H959" t="n">
        <v>0</v>
      </c>
      <c r="I959" t="n">
        <v>0</v>
      </c>
      <c r="J959" t="n">
        <v>0</v>
      </c>
      <c r="K959" t="n">
        <v>0</v>
      </c>
      <c r="L959" t="n">
        <v>0</v>
      </c>
      <c r="M959" t="n">
        <v>0</v>
      </c>
      <c r="N959" t="n">
        <v>0</v>
      </c>
      <c r="O959" t="n">
        <v>0</v>
      </c>
      <c r="P959" t="n">
        <v>0</v>
      </c>
      <c r="Q959" t="n">
        <v>0</v>
      </c>
      <c r="R959" s="2" t="inlineStr"/>
    </row>
    <row r="960" ht="15" customHeight="1">
      <c r="A960" t="inlineStr">
        <is>
          <t>A 57277-2023</t>
        </is>
      </c>
      <c r="B960" s="1" t="n">
        <v>45245</v>
      </c>
      <c r="C960" s="1" t="n">
        <v>46193</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8539-2026</t>
        </is>
      </c>
      <c r="B961" s="1" t="n">
        <v>46064</v>
      </c>
      <c r="C961" s="1" t="n">
        <v>46193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8367-2026</t>
        </is>
      </c>
      <c r="B962" s="1" t="n">
        <v>46064</v>
      </c>
      <c r="C962" s="1" t="n">
        <v>46193</v>
      </c>
      <c r="D962" t="inlineStr">
        <is>
          <t>SKÅNE LÄN</t>
        </is>
      </c>
      <c r="E962" t="inlineStr">
        <is>
          <t>HÄSSLEHOLM</t>
        </is>
      </c>
      <c r="G962" t="n">
        <v>1</v>
      </c>
      <c r="H962" t="n">
        <v>0</v>
      </c>
      <c r="I962" t="n">
        <v>0</v>
      </c>
      <c r="J962" t="n">
        <v>0</v>
      </c>
      <c r="K962" t="n">
        <v>0</v>
      </c>
      <c r="L962" t="n">
        <v>0</v>
      </c>
      <c r="M962" t="n">
        <v>0</v>
      </c>
      <c r="N962" t="n">
        <v>0</v>
      </c>
      <c r="O962" t="n">
        <v>0</v>
      </c>
      <c r="P962" t="n">
        <v>0</v>
      </c>
      <c r="Q962" t="n">
        <v>0</v>
      </c>
      <c r="R962" s="2" t="inlineStr"/>
    </row>
    <row r="963" ht="15" customHeight="1">
      <c r="A963" t="inlineStr">
        <is>
          <t>A 8852-2026</t>
        </is>
      </c>
      <c r="B963" s="1" t="n">
        <v>46066</v>
      </c>
      <c r="C963" s="1" t="n">
        <v>46193</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5284-2023</t>
        </is>
      </c>
      <c r="B964" s="1" t="n">
        <v>44959</v>
      </c>
      <c r="C964" s="1" t="n">
        <v>46193</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5285-2023</t>
        </is>
      </c>
      <c r="B965" s="1" t="n">
        <v>44959</v>
      </c>
      <c r="C965" s="1" t="n">
        <v>46193</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57272-2023</t>
        </is>
      </c>
      <c r="B966" s="1" t="n">
        <v>45245</v>
      </c>
      <c r="C966" s="1" t="n">
        <v>46193</v>
      </c>
      <c r="D966" t="inlineStr">
        <is>
          <t>SKÅNE LÄN</t>
        </is>
      </c>
      <c r="E966" t="inlineStr">
        <is>
          <t>HÄSSLEHOLM</t>
        </is>
      </c>
      <c r="G966" t="n">
        <v>2.3</v>
      </c>
      <c r="H966" t="n">
        <v>0</v>
      </c>
      <c r="I966" t="n">
        <v>0</v>
      </c>
      <c r="J966" t="n">
        <v>0</v>
      </c>
      <c r="K966" t="n">
        <v>0</v>
      </c>
      <c r="L966" t="n">
        <v>0</v>
      </c>
      <c r="M966" t="n">
        <v>0</v>
      </c>
      <c r="N966" t="n">
        <v>0</v>
      </c>
      <c r="O966" t="n">
        <v>0</v>
      </c>
      <c r="P966" t="n">
        <v>0</v>
      </c>
      <c r="Q966" t="n">
        <v>0</v>
      </c>
      <c r="R966" s="2" t="inlineStr"/>
    </row>
    <row r="967" ht="15" customHeight="1">
      <c r="A967" t="inlineStr">
        <is>
          <t>A 8674-2026</t>
        </is>
      </c>
      <c r="B967" s="1" t="n">
        <v>46066</v>
      </c>
      <c r="C967" s="1" t="n">
        <v>46193</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2479-2024</t>
        </is>
      </c>
      <c r="B968" s="1" t="n">
        <v>45313</v>
      </c>
      <c r="C968" s="1" t="n">
        <v>46193</v>
      </c>
      <c r="D968" t="inlineStr">
        <is>
          <t>SKÅNE LÄN</t>
        </is>
      </c>
      <c r="E968" t="inlineStr">
        <is>
          <t>HÄSSLEHOLM</t>
        </is>
      </c>
      <c r="G968" t="n">
        <v>1.2</v>
      </c>
      <c r="H968" t="n">
        <v>0</v>
      </c>
      <c r="I968" t="n">
        <v>0</v>
      </c>
      <c r="J968" t="n">
        <v>0</v>
      </c>
      <c r="K968" t="n">
        <v>0</v>
      </c>
      <c r="L968" t="n">
        <v>0</v>
      </c>
      <c r="M968" t="n">
        <v>0</v>
      </c>
      <c r="N968" t="n">
        <v>0</v>
      </c>
      <c r="O968" t="n">
        <v>0</v>
      </c>
      <c r="P968" t="n">
        <v>0</v>
      </c>
      <c r="Q968" t="n">
        <v>0</v>
      </c>
      <c r="R968" s="2" t="inlineStr"/>
    </row>
    <row r="969" ht="15" customHeight="1">
      <c r="A969" t="inlineStr">
        <is>
          <t>A 31160-2024</t>
        </is>
      </c>
      <c r="B969" s="1" t="n">
        <v>45503</v>
      </c>
      <c r="C969" s="1" t="n">
        <v>46193</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58689-2025</t>
        </is>
      </c>
      <c r="B970" s="1" t="n">
        <v>45986</v>
      </c>
      <c r="C970" s="1" t="n">
        <v>46193</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50664-2023</t>
        </is>
      </c>
      <c r="B971" s="1" t="n">
        <v>45217</v>
      </c>
      <c r="C971" s="1" t="n">
        <v>46193</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56490-2021</t>
        </is>
      </c>
      <c r="B972" s="1" t="n">
        <v>44480</v>
      </c>
      <c r="C972" s="1" t="n">
        <v>46193</v>
      </c>
      <c r="D972" t="inlineStr">
        <is>
          <t>SKÅNE LÄN</t>
        </is>
      </c>
      <c r="E972" t="inlineStr">
        <is>
          <t>HÄSSLEHOLM</t>
        </is>
      </c>
      <c r="F972" t="inlineStr">
        <is>
          <t>Kyrkan</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61934-2023</t>
        </is>
      </c>
      <c r="B973" s="1" t="n">
        <v>45266</v>
      </c>
      <c r="C973" s="1" t="n">
        <v>46193</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41459-2022</t>
        </is>
      </c>
      <c r="B974" s="1" t="n">
        <v>44826</v>
      </c>
      <c r="C974" s="1" t="n">
        <v>46193</v>
      </c>
      <c r="D974" t="inlineStr">
        <is>
          <t>SKÅNE LÄN</t>
        </is>
      </c>
      <c r="E974" t="inlineStr">
        <is>
          <t>HÄSSLEHOLM</t>
        </is>
      </c>
      <c r="G974" t="n">
        <v>2.3</v>
      </c>
      <c r="H974" t="n">
        <v>0</v>
      </c>
      <c r="I974" t="n">
        <v>0</v>
      </c>
      <c r="J974" t="n">
        <v>0</v>
      </c>
      <c r="K974" t="n">
        <v>0</v>
      </c>
      <c r="L974" t="n">
        <v>0</v>
      </c>
      <c r="M974" t="n">
        <v>0</v>
      </c>
      <c r="N974" t="n">
        <v>0</v>
      </c>
      <c r="O974" t="n">
        <v>0</v>
      </c>
      <c r="P974" t="n">
        <v>0</v>
      </c>
      <c r="Q974" t="n">
        <v>0</v>
      </c>
      <c r="R974" s="2" t="inlineStr"/>
    </row>
    <row r="975" ht="15" customHeight="1">
      <c r="A975" t="inlineStr">
        <is>
          <t>A 19151-2023</t>
        </is>
      </c>
      <c r="B975" s="1" t="n">
        <v>45044</v>
      </c>
      <c r="C975" s="1" t="n">
        <v>46193</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54658-2023</t>
        </is>
      </c>
      <c r="B976" s="1" t="n">
        <v>45235</v>
      </c>
      <c r="C976" s="1" t="n">
        <v>46193</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42370-2023</t>
        </is>
      </c>
      <c r="B977" s="1" t="n">
        <v>45180</v>
      </c>
      <c r="C977" s="1" t="n">
        <v>46193</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32154-2024</t>
        </is>
      </c>
      <c r="B978" s="1" t="n">
        <v>45511</v>
      </c>
      <c r="C978" s="1" t="n">
        <v>46193</v>
      </c>
      <c r="D978" t="inlineStr">
        <is>
          <t>SKÅNE LÄN</t>
        </is>
      </c>
      <c r="E978" t="inlineStr">
        <is>
          <t>HÄSSLEHOLM</t>
        </is>
      </c>
      <c r="G978" t="n">
        <v>6.4</v>
      </c>
      <c r="H978" t="n">
        <v>0</v>
      </c>
      <c r="I978" t="n">
        <v>0</v>
      </c>
      <c r="J978" t="n">
        <v>0</v>
      </c>
      <c r="K978" t="n">
        <v>0</v>
      </c>
      <c r="L978" t="n">
        <v>0</v>
      </c>
      <c r="M978" t="n">
        <v>0</v>
      </c>
      <c r="N978" t="n">
        <v>0</v>
      </c>
      <c r="O978" t="n">
        <v>0</v>
      </c>
      <c r="P978" t="n">
        <v>0</v>
      </c>
      <c r="Q978" t="n">
        <v>0</v>
      </c>
      <c r="R978" s="2" t="inlineStr"/>
    </row>
    <row r="979" ht="15" customHeight="1">
      <c r="A979" t="inlineStr">
        <is>
          <t>A 16951-2025</t>
        </is>
      </c>
      <c r="B979" s="1" t="n">
        <v>45755</v>
      </c>
      <c r="C979" s="1" t="n">
        <v>46193</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18063-2023</t>
        </is>
      </c>
      <c r="B980" s="1" t="n">
        <v>45040</v>
      </c>
      <c r="C980" s="1" t="n">
        <v>46193</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14674-2025</t>
        </is>
      </c>
      <c r="B981" s="1" t="n">
        <v>45742</v>
      </c>
      <c r="C981" s="1" t="n">
        <v>46193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54777-2022</t>
        </is>
      </c>
      <c r="B982" s="1" t="n">
        <v>44883</v>
      </c>
      <c r="C982" s="1" t="n">
        <v>46193</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46193</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46193</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10051-2026</t>
        </is>
      </c>
      <c r="B985" s="1" t="n">
        <v>46073</v>
      </c>
      <c r="C985" s="1" t="n">
        <v>46193</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23860-2024</t>
        </is>
      </c>
      <c r="B986" s="1" t="n">
        <v>45455</v>
      </c>
      <c r="C986" s="1" t="n">
        <v>46193</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524-2024</t>
        </is>
      </c>
      <c r="B987" s="1" t="n">
        <v>45299</v>
      </c>
      <c r="C987" s="1" t="n">
        <v>46193</v>
      </c>
      <c r="D987" t="inlineStr">
        <is>
          <t>SKÅNE LÄN</t>
        </is>
      </c>
      <c r="E987" t="inlineStr">
        <is>
          <t>HÄSSLEHOLM</t>
        </is>
      </c>
      <c r="G987" t="n">
        <v>29.4</v>
      </c>
      <c r="H987" t="n">
        <v>0</v>
      </c>
      <c r="I987" t="n">
        <v>0</v>
      </c>
      <c r="J987" t="n">
        <v>0</v>
      </c>
      <c r="K987" t="n">
        <v>0</v>
      </c>
      <c r="L987" t="n">
        <v>0</v>
      </c>
      <c r="M987" t="n">
        <v>0</v>
      </c>
      <c r="N987" t="n">
        <v>0</v>
      </c>
      <c r="O987" t="n">
        <v>0</v>
      </c>
      <c r="P987" t="n">
        <v>0</v>
      </c>
      <c r="Q987" t="n">
        <v>0</v>
      </c>
      <c r="R987" s="2" t="inlineStr"/>
    </row>
    <row r="988" ht="15" customHeight="1">
      <c r="A988" t="inlineStr">
        <is>
          <t>A 56065-2025</t>
        </is>
      </c>
      <c r="B988" s="1" t="n">
        <v>45973</v>
      </c>
      <c r="C988" s="1" t="n">
        <v>46193</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54518-2022</t>
        </is>
      </c>
      <c r="B989" s="1" t="n">
        <v>44882</v>
      </c>
      <c r="C989" s="1" t="n">
        <v>46193</v>
      </c>
      <c r="D989" t="inlineStr">
        <is>
          <t>SKÅNE LÄN</t>
        </is>
      </c>
      <c r="E989" t="inlineStr">
        <is>
          <t>HÄSSLEHOLM</t>
        </is>
      </c>
      <c r="F989" t="inlineStr">
        <is>
          <t>Övriga Aktiebolag</t>
        </is>
      </c>
      <c r="G989" t="n">
        <v>6.8</v>
      </c>
      <c r="H989" t="n">
        <v>0</v>
      </c>
      <c r="I989" t="n">
        <v>0</v>
      </c>
      <c r="J989" t="n">
        <v>0</v>
      </c>
      <c r="K989" t="n">
        <v>0</v>
      </c>
      <c r="L989" t="n">
        <v>0</v>
      </c>
      <c r="M989" t="n">
        <v>0</v>
      </c>
      <c r="N989" t="n">
        <v>0</v>
      </c>
      <c r="O989" t="n">
        <v>0</v>
      </c>
      <c r="P989" t="n">
        <v>0</v>
      </c>
      <c r="Q989" t="n">
        <v>0</v>
      </c>
      <c r="R989" s="2" t="inlineStr"/>
    </row>
    <row r="990" ht="15" customHeight="1">
      <c r="A990" t="inlineStr">
        <is>
          <t>A 7094-2023</t>
        </is>
      </c>
      <c r="B990" s="1" t="n">
        <v>44970</v>
      </c>
      <c r="C990" s="1" t="n">
        <v>46193</v>
      </c>
      <c r="D990" t="inlineStr">
        <is>
          <t>SKÅNE LÄN</t>
        </is>
      </c>
      <c r="E990" t="inlineStr">
        <is>
          <t>HÄSSLEHOLM</t>
        </is>
      </c>
      <c r="G990" t="n">
        <v>3.6</v>
      </c>
      <c r="H990" t="n">
        <v>0</v>
      </c>
      <c r="I990" t="n">
        <v>0</v>
      </c>
      <c r="J990" t="n">
        <v>0</v>
      </c>
      <c r="K990" t="n">
        <v>0</v>
      </c>
      <c r="L990" t="n">
        <v>0</v>
      </c>
      <c r="M990" t="n">
        <v>0</v>
      </c>
      <c r="N990" t="n">
        <v>0</v>
      </c>
      <c r="O990" t="n">
        <v>0</v>
      </c>
      <c r="P990" t="n">
        <v>0</v>
      </c>
      <c r="Q990" t="n">
        <v>0</v>
      </c>
      <c r="R990" s="2" t="inlineStr"/>
    </row>
    <row r="991" ht="15" customHeight="1">
      <c r="A991" t="inlineStr">
        <is>
          <t>A 11266-2025</t>
        </is>
      </c>
      <c r="B991" s="1" t="n">
        <v>45726</v>
      </c>
      <c r="C991" s="1" t="n">
        <v>46193</v>
      </c>
      <c r="D991" t="inlineStr">
        <is>
          <t>SKÅNE LÄN</t>
        </is>
      </c>
      <c r="E991" t="inlineStr">
        <is>
          <t>HÄSSLEHOLM</t>
        </is>
      </c>
      <c r="G991" t="n">
        <v>0.3</v>
      </c>
      <c r="H991" t="n">
        <v>0</v>
      </c>
      <c r="I991" t="n">
        <v>0</v>
      </c>
      <c r="J991" t="n">
        <v>0</v>
      </c>
      <c r="K991" t="n">
        <v>0</v>
      </c>
      <c r="L991" t="n">
        <v>0</v>
      </c>
      <c r="M991" t="n">
        <v>0</v>
      </c>
      <c r="N991" t="n">
        <v>0</v>
      </c>
      <c r="O991" t="n">
        <v>0</v>
      </c>
      <c r="P991" t="n">
        <v>0</v>
      </c>
      <c r="Q991" t="n">
        <v>0</v>
      </c>
      <c r="R991" s="2" t="inlineStr"/>
    </row>
    <row r="992" ht="15" customHeight="1">
      <c r="A992" t="inlineStr">
        <is>
          <t>A 49950-2023</t>
        </is>
      </c>
      <c r="B992" s="1" t="n">
        <v>45215</v>
      </c>
      <c r="C992" s="1" t="n">
        <v>46193</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29853-2024</t>
        </is>
      </c>
      <c r="B993" s="1" t="n">
        <v>45485</v>
      </c>
      <c r="C993" s="1" t="n">
        <v>46193</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57695-2023</t>
        </is>
      </c>
      <c r="B994" s="1" t="n">
        <v>45246</v>
      </c>
      <c r="C994" s="1" t="n">
        <v>46193</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63476-2025</t>
        </is>
      </c>
      <c r="B995" s="1" t="n">
        <v>46013</v>
      </c>
      <c r="C995" s="1" t="n">
        <v>46193</v>
      </c>
      <c r="D995" t="inlineStr">
        <is>
          <t>SKÅNE LÄN</t>
        </is>
      </c>
      <c r="E995" t="inlineStr">
        <is>
          <t>HÄSSLEHOLM</t>
        </is>
      </c>
      <c r="F995" t="inlineStr">
        <is>
          <t>Kommuner</t>
        </is>
      </c>
      <c r="G995" t="n">
        <v>0.6</v>
      </c>
      <c r="H995" t="n">
        <v>0</v>
      </c>
      <c r="I995" t="n">
        <v>0</v>
      </c>
      <c r="J995" t="n">
        <v>0</v>
      </c>
      <c r="K995" t="n">
        <v>0</v>
      </c>
      <c r="L995" t="n">
        <v>0</v>
      </c>
      <c r="M995" t="n">
        <v>0</v>
      </c>
      <c r="N995" t="n">
        <v>0</v>
      </c>
      <c r="O995" t="n">
        <v>0</v>
      </c>
      <c r="P995" t="n">
        <v>0</v>
      </c>
      <c r="Q995" t="n">
        <v>0</v>
      </c>
      <c r="R995" s="2" t="inlineStr"/>
    </row>
    <row r="996" ht="15" customHeight="1">
      <c r="A996" t="inlineStr">
        <is>
          <t>A 42232-2022</t>
        </is>
      </c>
      <c r="B996" s="1" t="n">
        <v>44830</v>
      </c>
      <c r="C996" s="1" t="n">
        <v>46193</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56767-2025</t>
        </is>
      </c>
      <c r="B997" s="1" t="n">
        <v>45978</v>
      </c>
      <c r="C997" s="1" t="n">
        <v>46193</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56769-2025</t>
        </is>
      </c>
      <c r="B998" s="1" t="n">
        <v>45978</v>
      </c>
      <c r="C998" s="1" t="n">
        <v>46193</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38829-2024</t>
        </is>
      </c>
      <c r="B999" s="1" t="n">
        <v>45547</v>
      </c>
      <c r="C999" s="1" t="n">
        <v>46193</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25542-2024</t>
        </is>
      </c>
      <c r="B1000" s="1" t="n">
        <v>45463</v>
      </c>
      <c r="C1000" s="1" t="n">
        <v>46193</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55454-2021</t>
        </is>
      </c>
      <c r="B1001" s="1" t="n">
        <v>44475</v>
      </c>
      <c r="C1001" s="1" t="n">
        <v>46193</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11998-2026</t>
        </is>
      </c>
      <c r="B1002" s="1" t="n">
        <v>46085</v>
      </c>
      <c r="C1002" s="1" t="n">
        <v>46193</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11999-2026</t>
        </is>
      </c>
      <c r="B1003" s="1" t="n">
        <v>46085</v>
      </c>
      <c r="C1003" s="1" t="n">
        <v>46193</v>
      </c>
      <c r="D1003" t="inlineStr">
        <is>
          <t>SKÅNE LÄN</t>
        </is>
      </c>
      <c r="E1003" t="inlineStr">
        <is>
          <t>HÄSSLEHOLM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61489-2024</t>
        </is>
      </c>
      <c r="B1004" s="1" t="n">
        <v>45646</v>
      </c>
      <c r="C1004" s="1" t="n">
        <v>46193</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26879-2024</t>
        </is>
      </c>
      <c r="B1005" s="1" t="n">
        <v>45470</v>
      </c>
      <c r="C1005" s="1" t="n">
        <v>46193</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59728-2022</t>
        </is>
      </c>
      <c r="B1006" s="1" t="n">
        <v>44900</v>
      </c>
      <c r="C1006" s="1" t="n">
        <v>46193</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3294-2025</t>
        </is>
      </c>
      <c r="B1007" s="1" t="n">
        <v>45679</v>
      </c>
      <c r="C1007" s="1" t="n">
        <v>46193</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13897-2024</t>
        </is>
      </c>
      <c r="B1008" s="1" t="n">
        <v>45391</v>
      </c>
      <c r="C1008" s="1" t="n">
        <v>46193</v>
      </c>
      <c r="D1008" t="inlineStr">
        <is>
          <t>SKÅNE LÄN</t>
        </is>
      </c>
      <c r="E1008" t="inlineStr">
        <is>
          <t>HÄSSLEHOLM</t>
        </is>
      </c>
      <c r="F1008" t="inlineStr">
        <is>
          <t>Kommuner</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13199-2026</t>
        </is>
      </c>
      <c r="B1009" s="1" t="n">
        <v>46093</v>
      </c>
      <c r="C1009" s="1" t="n">
        <v>46193</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36706-2022</t>
        </is>
      </c>
      <c r="B1010" s="1" t="n">
        <v>44805</v>
      </c>
      <c r="C1010" s="1" t="n">
        <v>46193</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441-2022</t>
        </is>
      </c>
      <c r="B1011" s="1" t="n">
        <v>44565</v>
      </c>
      <c r="C1011" s="1" t="n">
        <v>46193</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13280-2026</t>
        </is>
      </c>
      <c r="B1012" s="1" t="n">
        <v>46093</v>
      </c>
      <c r="C1012" s="1" t="n">
        <v>46193</v>
      </c>
      <c r="D1012" t="inlineStr">
        <is>
          <t>SKÅNE LÄN</t>
        </is>
      </c>
      <c r="E1012" t="inlineStr">
        <is>
          <t>HÄSSLEHOLM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3364-2023</t>
        </is>
      </c>
      <c r="B1013" s="1" t="n">
        <v>44949</v>
      </c>
      <c r="C1013" s="1" t="n">
        <v>46193</v>
      </c>
      <c r="D1013" t="inlineStr">
        <is>
          <t>SKÅNE LÄN</t>
        </is>
      </c>
      <c r="E1013" t="inlineStr">
        <is>
          <t>HÄSSLEHOLM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43629-2023</t>
        </is>
      </c>
      <c r="B1014" s="1" t="n">
        <v>45184</v>
      </c>
      <c r="C1014" s="1" t="n">
        <v>46193</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57656-2022</t>
        </is>
      </c>
      <c r="B1015" s="1" t="n">
        <v>44897</v>
      </c>
      <c r="C1015" s="1" t="n">
        <v>46193</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8250-2023</t>
        </is>
      </c>
      <c r="B1016" s="1" t="n">
        <v>44974</v>
      </c>
      <c r="C1016" s="1" t="n">
        <v>46193</v>
      </c>
      <c r="D1016" t="inlineStr">
        <is>
          <t>SKÅNE LÄN</t>
        </is>
      </c>
      <c r="E1016" t="inlineStr">
        <is>
          <t>HÄSSLEHOLM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6101-2022</t>
        </is>
      </c>
      <c r="B1017" s="1" t="n">
        <v>44599</v>
      </c>
      <c r="C1017" s="1" t="n">
        <v>46193</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6842-2023</t>
        </is>
      </c>
      <c r="B1018" s="1" t="n">
        <v>44967</v>
      </c>
      <c r="C1018" s="1" t="n">
        <v>46193</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13588-2026</t>
        </is>
      </c>
      <c r="B1019" s="1" t="n">
        <v>46095</v>
      </c>
      <c r="C1019" s="1" t="n">
        <v>46193</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13282-2026</t>
        </is>
      </c>
      <c r="B1020" s="1" t="n">
        <v>46093</v>
      </c>
      <c r="C1020" s="1" t="n">
        <v>46193</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7202-2022</t>
        </is>
      </c>
      <c r="B1021" s="1" t="n">
        <v>44606</v>
      </c>
      <c r="C1021" s="1" t="n">
        <v>46193</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14191-2026</t>
        </is>
      </c>
      <c r="B1022" s="1" t="n">
        <v>46099</v>
      </c>
      <c r="C1022" s="1" t="n">
        <v>46193</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13906-2026</t>
        </is>
      </c>
      <c r="B1023" s="1" t="n">
        <v>46098</v>
      </c>
      <c r="C1023" s="1" t="n">
        <v>46193</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13842-2026</t>
        </is>
      </c>
      <c r="B1024" s="1" t="n">
        <v>46098</v>
      </c>
      <c r="C1024" s="1" t="n">
        <v>46193</v>
      </c>
      <c r="D1024" t="inlineStr">
        <is>
          <t>SKÅNE LÄN</t>
        </is>
      </c>
      <c r="E1024" t="inlineStr">
        <is>
          <t>HÄSSLEHOLM</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13886-2026</t>
        </is>
      </c>
      <c r="B1025" s="1" t="n">
        <v>46098</v>
      </c>
      <c r="C1025" s="1" t="n">
        <v>46193</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13910-2026</t>
        </is>
      </c>
      <c r="B1026" s="1" t="n">
        <v>46098</v>
      </c>
      <c r="C1026" s="1" t="n">
        <v>46193</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14541-2026</t>
        </is>
      </c>
      <c r="B1027" s="1" t="n">
        <v>46100</v>
      </c>
      <c r="C1027" s="1" t="n">
        <v>46193</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14538-2026</t>
        </is>
      </c>
      <c r="B1028" s="1" t="n">
        <v>46100</v>
      </c>
      <c r="C1028" s="1" t="n">
        <v>46193</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14549-2026</t>
        </is>
      </c>
      <c r="B1029" s="1" t="n">
        <v>46100</v>
      </c>
      <c r="C1029" s="1" t="n">
        <v>46193</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14540-2026</t>
        </is>
      </c>
      <c r="B1030" s="1" t="n">
        <v>46100</v>
      </c>
      <c r="C1030" s="1" t="n">
        <v>46193</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14471-2026</t>
        </is>
      </c>
      <c r="B1031" s="1" t="n">
        <v>46100</v>
      </c>
      <c r="C1031" s="1" t="n">
        <v>46193</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14965-2026</t>
        </is>
      </c>
      <c r="B1032" s="1" t="n">
        <v>46104</v>
      </c>
      <c r="C1032" s="1" t="n">
        <v>46193</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14971-2026</t>
        </is>
      </c>
      <c r="B1033" s="1" t="n">
        <v>46104</v>
      </c>
      <c r="C1033" s="1" t="n">
        <v>46193</v>
      </c>
      <c r="D1033" t="inlineStr">
        <is>
          <t>SKÅNE LÄN</t>
        </is>
      </c>
      <c r="E1033" t="inlineStr">
        <is>
          <t>HÄSSLEHOLM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15882-2026</t>
        </is>
      </c>
      <c r="B1034" s="1" t="n">
        <v>46107</v>
      </c>
      <c r="C1034" s="1" t="n">
        <v>46193</v>
      </c>
      <c r="D1034" t="inlineStr">
        <is>
          <t>SKÅNE LÄN</t>
        </is>
      </c>
      <c r="E1034" t="inlineStr">
        <is>
          <t>HÄSSLEHOLM</t>
        </is>
      </c>
      <c r="F1034" t="inlineStr">
        <is>
          <t>Kyrkan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15881-2026</t>
        </is>
      </c>
      <c r="B1035" s="1" t="n">
        <v>46107</v>
      </c>
      <c r="C1035" s="1" t="n">
        <v>46193</v>
      </c>
      <c r="D1035" t="inlineStr">
        <is>
          <t>SKÅNE LÄN</t>
        </is>
      </c>
      <c r="E1035" t="inlineStr">
        <is>
          <t>HÄSSLEHOLM</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15979-2026</t>
        </is>
      </c>
      <c r="B1036" s="1" t="n">
        <v>46108</v>
      </c>
      <c r="C1036" s="1" t="n">
        <v>46193</v>
      </c>
      <c r="D1036" t="inlineStr">
        <is>
          <t>SKÅNE LÄN</t>
        </is>
      </c>
      <c r="E1036" t="inlineStr">
        <is>
          <t>HÄSSLEHOLM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16470-2026</t>
        </is>
      </c>
      <c r="B1037" s="1" t="n">
        <v>46112</v>
      </c>
      <c r="C1037" s="1" t="n">
        <v>46193</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16476-2026</t>
        </is>
      </c>
      <c r="B1038" s="1" t="n">
        <v>46112</v>
      </c>
      <c r="C1038" s="1" t="n">
        <v>46193</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23050-2026</t>
        </is>
      </c>
      <c r="B1039" s="1" t="n">
        <v>46161</v>
      </c>
      <c r="C1039" s="1" t="n">
        <v>46193</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17835-2026</t>
        </is>
      </c>
      <c r="B1040" s="1" t="n">
        <v>46121</v>
      </c>
      <c r="C1040" s="1" t="n">
        <v>46193</v>
      </c>
      <c r="D1040" t="inlineStr">
        <is>
          <t>SKÅNE LÄN</t>
        </is>
      </c>
      <c r="E1040" t="inlineStr">
        <is>
          <t>HÄSSLEHOLM</t>
        </is>
      </c>
      <c r="G1040" t="n">
        <v>12.6</v>
      </c>
      <c r="H1040" t="n">
        <v>0</v>
      </c>
      <c r="I1040" t="n">
        <v>0</v>
      </c>
      <c r="J1040" t="n">
        <v>0</v>
      </c>
      <c r="K1040" t="n">
        <v>0</v>
      </c>
      <c r="L1040" t="n">
        <v>0</v>
      </c>
      <c r="M1040" t="n">
        <v>0</v>
      </c>
      <c r="N1040" t="n">
        <v>0</v>
      </c>
      <c r="O1040" t="n">
        <v>0</v>
      </c>
      <c r="P1040" t="n">
        <v>0</v>
      </c>
      <c r="Q1040" t="n">
        <v>0</v>
      </c>
      <c r="R1040" s="2" t="inlineStr"/>
    </row>
    <row r="1041" ht="15" customHeight="1">
      <c r="A1041" t="inlineStr">
        <is>
          <t>A 17844-2026</t>
        </is>
      </c>
      <c r="B1041" s="1" t="n">
        <v>46121</v>
      </c>
      <c r="C1041" s="1" t="n">
        <v>46193</v>
      </c>
      <c r="D1041" t="inlineStr">
        <is>
          <t>SKÅNE LÄN</t>
        </is>
      </c>
      <c r="E1041" t="inlineStr">
        <is>
          <t>HÄSSLEHOLM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23258-2026</t>
        </is>
      </c>
      <c r="B1042" s="1" t="n">
        <v>46162</v>
      </c>
      <c r="C1042" s="1" t="n">
        <v>46193</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23265-2026</t>
        </is>
      </c>
      <c r="B1043" s="1" t="n">
        <v>46162</v>
      </c>
      <c r="C1043" s="1" t="n">
        <v>46193</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32008-2024</t>
        </is>
      </c>
      <c r="B1044" s="1" t="n">
        <v>45510</v>
      </c>
      <c r="C1044" s="1" t="n">
        <v>46193</v>
      </c>
      <c r="D1044" t="inlineStr">
        <is>
          <t>SKÅNE LÄN</t>
        </is>
      </c>
      <c r="E1044" t="inlineStr">
        <is>
          <t>HÄSSLEHOLM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23411-2026</t>
        </is>
      </c>
      <c r="B1045" s="1" t="n">
        <v>46162</v>
      </c>
      <c r="C1045" s="1" t="n">
        <v>46193</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23249-2026</t>
        </is>
      </c>
      <c r="B1046" s="1" t="n">
        <v>46162</v>
      </c>
      <c r="C1046" s="1" t="n">
        <v>46193</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23259-2026</t>
        </is>
      </c>
      <c r="B1047" s="1" t="n">
        <v>46162</v>
      </c>
      <c r="C1047" s="1" t="n">
        <v>46193</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23284-2026</t>
        </is>
      </c>
      <c r="B1048" s="1" t="n">
        <v>46162</v>
      </c>
      <c r="C1048" s="1" t="n">
        <v>46193</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23266-2026</t>
        </is>
      </c>
      <c r="B1049" s="1" t="n">
        <v>46162</v>
      </c>
      <c r="C1049" s="1" t="n">
        <v>46193</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23283-2026</t>
        </is>
      </c>
      <c r="B1050" s="1" t="n">
        <v>46162</v>
      </c>
      <c r="C1050" s="1" t="n">
        <v>46193</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23285-2026</t>
        </is>
      </c>
      <c r="B1051" s="1" t="n">
        <v>46162</v>
      </c>
      <c r="C1051" s="1" t="n">
        <v>46193</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23378-2026</t>
        </is>
      </c>
      <c r="B1052" s="1" t="n">
        <v>46162</v>
      </c>
      <c r="C1052" s="1" t="n">
        <v>46193</v>
      </c>
      <c r="D1052" t="inlineStr">
        <is>
          <t>SKÅNE LÄN</t>
        </is>
      </c>
      <c r="E1052" t="inlineStr">
        <is>
          <t>HÄSSLEHOLM</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17996-2026</t>
        </is>
      </c>
      <c r="B1053" s="1" t="n">
        <v>46124</v>
      </c>
      <c r="C1053" s="1" t="n">
        <v>46193</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18398-2026</t>
        </is>
      </c>
      <c r="B1054" s="1" t="n">
        <v>46126</v>
      </c>
      <c r="C1054" s="1" t="n">
        <v>46193</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24084-2026</t>
        </is>
      </c>
      <c r="B1055" s="1" t="n">
        <v>46168</v>
      </c>
      <c r="C1055" s="1" t="n">
        <v>46193</v>
      </c>
      <c r="D1055" t="inlineStr">
        <is>
          <t>SKÅNE LÄN</t>
        </is>
      </c>
      <c r="E1055" t="inlineStr">
        <is>
          <t>HÄSSLEHOLM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18484-2026</t>
        </is>
      </c>
      <c r="B1056" s="1" t="n">
        <v>46126</v>
      </c>
      <c r="C1056" s="1" t="n">
        <v>46193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18483-2026</t>
        </is>
      </c>
      <c r="B1057" s="1" t="n">
        <v>46127</v>
      </c>
      <c r="C1057" s="1" t="n">
        <v>46193</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14981-2026</t>
        </is>
      </c>
      <c r="B1058" s="1" t="n">
        <v>46104</v>
      </c>
      <c r="C1058" s="1" t="n">
        <v>46193</v>
      </c>
      <c r="D1058" t="inlineStr">
        <is>
          <t>SKÅNE LÄN</t>
        </is>
      </c>
      <c r="E1058" t="inlineStr">
        <is>
          <t>HÄSSLEHOLM</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24990-2026</t>
        </is>
      </c>
      <c r="B1059" s="1" t="n">
        <v>46174</v>
      </c>
      <c r="C1059" s="1" t="n">
        <v>46193</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62417-2025</t>
        </is>
      </c>
      <c r="B1060" s="1" t="n">
        <v>46007</v>
      </c>
      <c r="C1060" s="1" t="n">
        <v>46193</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19101-2026</t>
        </is>
      </c>
      <c r="B1061" s="1" t="n">
        <v>46132</v>
      </c>
      <c r="C1061" s="1" t="n">
        <v>46193</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19003-2026</t>
        </is>
      </c>
      <c r="B1062" s="1" t="n">
        <v>46129</v>
      </c>
      <c r="C1062" s="1" t="n">
        <v>46193</v>
      </c>
      <c r="D1062" t="inlineStr">
        <is>
          <t>SKÅNE LÄN</t>
        </is>
      </c>
      <c r="E1062" t="inlineStr">
        <is>
          <t>HÄSSLEHOLM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19642-2026</t>
        </is>
      </c>
      <c r="B1063" s="1" t="n">
        <v>46134</v>
      </c>
      <c r="C1063" s="1" t="n">
        <v>46193</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19318-2026</t>
        </is>
      </c>
      <c r="B1064" s="1" t="n">
        <v>46133</v>
      </c>
      <c r="C1064" s="1" t="n">
        <v>46193</v>
      </c>
      <c r="D1064" t="inlineStr">
        <is>
          <t>SKÅNE LÄN</t>
        </is>
      </c>
      <c r="E1064" t="inlineStr">
        <is>
          <t>HÄSSLEHOLM</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25145-2026</t>
        </is>
      </c>
      <c r="B1065" s="1" t="n">
        <v>46175</v>
      </c>
      <c r="C1065" s="1" t="n">
        <v>46193</v>
      </c>
      <c r="D1065" t="inlineStr">
        <is>
          <t>SKÅNE LÄN</t>
        </is>
      </c>
      <c r="E1065" t="inlineStr">
        <is>
          <t>HÄSSLEHOLM</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25086-2026</t>
        </is>
      </c>
      <c r="B1066" s="1" t="n">
        <v>46175</v>
      </c>
      <c r="C1066" s="1" t="n">
        <v>46193</v>
      </c>
      <c r="D1066" t="inlineStr">
        <is>
          <t>SKÅNE LÄN</t>
        </is>
      </c>
      <c r="E1066" t="inlineStr">
        <is>
          <t>HÄSSLEHOLM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25141-2026</t>
        </is>
      </c>
      <c r="B1067" s="1" t="n">
        <v>46175</v>
      </c>
      <c r="C1067" s="1" t="n">
        <v>46193</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25144-2026</t>
        </is>
      </c>
      <c r="B1068" s="1" t="n">
        <v>46175</v>
      </c>
      <c r="C1068" s="1" t="n">
        <v>46193</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25388-2026</t>
        </is>
      </c>
      <c r="B1069" s="1" t="n">
        <v>46176</v>
      </c>
      <c r="C1069" s="1" t="n">
        <v>46193</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1706-2025</t>
        </is>
      </c>
      <c r="B1070" s="1" t="n">
        <v>45670</v>
      </c>
      <c r="C1070" s="1" t="n">
        <v>46193</v>
      </c>
      <c r="D1070" t="inlineStr">
        <is>
          <t>SKÅNE LÄN</t>
        </is>
      </c>
      <c r="E1070" t="inlineStr">
        <is>
          <t>HÄSSLEHOLM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24675-2025</t>
        </is>
      </c>
      <c r="B1071" s="1" t="n">
        <v>45798</v>
      </c>
      <c r="C1071" s="1" t="n">
        <v>46193</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54807-2025</t>
        </is>
      </c>
      <c r="B1072" s="1" t="n">
        <v>45966</v>
      </c>
      <c r="C1072" s="1" t="n">
        <v>46193</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25646-2026</t>
        </is>
      </c>
      <c r="B1073" s="1" t="n">
        <v>46177</v>
      </c>
      <c r="C1073" s="1" t="n">
        <v>46193</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v>
      </c>
      <c r="C1074" s="1" t="n">
        <v>46193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13544-2025</t>
        </is>
      </c>
      <c r="B1075" s="1" t="n">
        <v>45736</v>
      </c>
      <c r="C1075" s="1" t="n">
        <v>46193</v>
      </c>
      <c r="D1075" t="inlineStr">
        <is>
          <t>SKÅNE LÄN</t>
        </is>
      </c>
      <c r="E1075" t="inlineStr">
        <is>
          <t>HÄSSLEHOLM</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37141-2021</t>
        </is>
      </c>
      <c r="B1076" s="1" t="n">
        <v>44396</v>
      </c>
      <c r="C1076" s="1" t="n">
        <v>46193</v>
      </c>
      <c r="D1076" t="inlineStr">
        <is>
          <t>SKÅNE LÄN</t>
        </is>
      </c>
      <c r="E1076" t="inlineStr">
        <is>
          <t>HÄSSLEHOLM</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25417-2026</t>
        </is>
      </c>
      <c r="B1077" s="1" t="n">
        <v>46176</v>
      </c>
      <c r="C1077" s="1" t="n">
        <v>46193</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25418-2026</t>
        </is>
      </c>
      <c r="B1078" s="1" t="n">
        <v>46176</v>
      </c>
      <c r="C1078" s="1" t="n">
        <v>46193</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1562-2023</t>
        </is>
      </c>
      <c r="B1079" s="1" t="n">
        <v>44937</v>
      </c>
      <c r="C1079" s="1" t="n">
        <v>46193</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22678-2025</t>
        </is>
      </c>
      <c r="B1080" s="1" t="n">
        <v>45789</v>
      </c>
      <c r="C1080" s="1" t="n">
        <v>46193</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6087-2025</t>
        </is>
      </c>
      <c r="B1081" s="1" t="n">
        <v>45697</v>
      </c>
      <c r="C1081" s="1" t="n">
        <v>46193</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7857-2022</t>
        </is>
      </c>
      <c r="B1082" s="1" t="n">
        <v>44607</v>
      </c>
      <c r="C1082" s="1" t="n">
        <v>46193</v>
      </c>
      <c r="D1082" t="inlineStr">
        <is>
          <t>SKÅNE LÄN</t>
        </is>
      </c>
      <c r="E1082" t="inlineStr">
        <is>
          <t>HÄSSLEHOLM</t>
        </is>
      </c>
      <c r="F1082" t="inlineStr">
        <is>
          <t>Kyrkan</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23967-2022</t>
        </is>
      </c>
      <c r="B1083" s="1" t="n">
        <v>44722</v>
      </c>
      <c r="C1083" s="1" t="n">
        <v>46193</v>
      </c>
      <c r="D1083" t="inlineStr">
        <is>
          <t>SKÅNE LÄN</t>
        </is>
      </c>
      <c r="E1083" t="inlineStr">
        <is>
          <t>HÄSSLEHOLM</t>
        </is>
      </c>
      <c r="F1083" t="inlineStr">
        <is>
          <t>Kyrkan</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38160-2021</t>
        </is>
      </c>
      <c r="B1084" s="1" t="n">
        <v>44405</v>
      </c>
      <c r="C1084" s="1" t="n">
        <v>46193</v>
      </c>
      <c r="D1084" t="inlineStr">
        <is>
          <t>SKÅNE LÄN</t>
        </is>
      </c>
      <c r="E1084" t="inlineStr">
        <is>
          <t>HÄSSLEHOLM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26007-2026</t>
        </is>
      </c>
      <c r="B1085" s="1" t="n">
        <v>46181</v>
      </c>
      <c r="C1085" s="1" t="n">
        <v>46193</v>
      </c>
      <c r="D1085" t="inlineStr">
        <is>
          <t>SKÅNE LÄN</t>
        </is>
      </c>
      <c r="E1085" t="inlineStr">
        <is>
          <t>HÄSSLEHOLM</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26058-2026</t>
        </is>
      </c>
      <c r="B1086" s="1" t="n">
        <v>46177</v>
      </c>
      <c r="C1086" s="1" t="n">
        <v>46193</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13309-2025</t>
        </is>
      </c>
      <c r="B1087" s="1" t="n">
        <v>45735</v>
      </c>
      <c r="C1087" s="1" t="n">
        <v>46193</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62055-2023</t>
        </is>
      </c>
      <c r="B1088" s="1" t="n">
        <v>45266</v>
      </c>
      <c r="C1088" s="1" t="n">
        <v>46193</v>
      </c>
      <c r="D1088" t="inlineStr">
        <is>
          <t>SKÅNE LÄN</t>
        </is>
      </c>
      <c r="E1088" t="inlineStr">
        <is>
          <t>HÄSSLEHOLM</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60704-2023</t>
        </is>
      </c>
      <c r="B1089" s="1" t="n">
        <v>45260</v>
      </c>
      <c r="C1089" s="1" t="n">
        <v>46193</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45361-2023</t>
        </is>
      </c>
      <c r="B1090" s="1" t="n">
        <v>45192</v>
      </c>
      <c r="C1090" s="1" t="n">
        <v>46193</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26011-2026</t>
        </is>
      </c>
      <c r="B1091" s="1" t="n">
        <v>46181</v>
      </c>
      <c r="C1091" s="1" t="n">
        <v>46193</v>
      </c>
      <c r="D1091" t="inlineStr">
        <is>
          <t>SKÅNE LÄN</t>
        </is>
      </c>
      <c r="E1091" t="inlineStr">
        <is>
          <t>HÄSSLEHOLM</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20381-2026</t>
        </is>
      </c>
      <c r="B1092" s="1" t="n">
        <v>46139</v>
      </c>
      <c r="C1092" s="1" t="n">
        <v>46193</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13345-2025</t>
        </is>
      </c>
      <c r="B1093" s="1" t="n">
        <v>45735</v>
      </c>
      <c r="C1093" s="1" t="n">
        <v>46193</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33879-2025</t>
        </is>
      </c>
      <c r="B1094" s="1" t="n">
        <v>45842</v>
      </c>
      <c r="C1094" s="1" t="n">
        <v>46193</v>
      </c>
      <c r="D1094" t="inlineStr">
        <is>
          <t>SKÅNE LÄN</t>
        </is>
      </c>
      <c r="E1094" t="inlineStr">
        <is>
          <t>HÄSSLEHOLM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26316-2026</t>
        </is>
      </c>
      <c r="B1095" s="1" t="n">
        <v>46182</v>
      </c>
      <c r="C1095" s="1" t="n">
        <v>46193</v>
      </c>
      <c r="D1095" t="inlineStr">
        <is>
          <t>SKÅNE LÄN</t>
        </is>
      </c>
      <c r="E1095" t="inlineStr">
        <is>
          <t>HÄSSLEHOLM</t>
        </is>
      </c>
      <c r="F1095" t="inlineStr">
        <is>
          <t>Övriga Aktiebolag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26166-2026</t>
        </is>
      </c>
      <c r="B1096" s="1" t="n">
        <v>46181</v>
      </c>
      <c r="C1096" s="1" t="n">
        <v>46193</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9615-2025</t>
        </is>
      </c>
      <c r="B1097" s="1" t="n">
        <v>45715</v>
      </c>
      <c r="C1097" s="1" t="n">
        <v>46193</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c r="A1098" t="inlineStr">
        <is>
          <t>A 20382-2026</t>
        </is>
      </c>
      <c r="B1098" s="1" t="n">
        <v>46139</v>
      </c>
      <c r="C1098" s="1" t="n">
        <v>46193</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2026-06-20T00:48:36Z</dcterms:created>
  <dcterms:modified xmlns:dcterms="http://purl.org/dc/terms/" xmlns:xsi="http://www.w3.org/2001/XMLSchema-instance" xsi:type="dcterms:W3CDTF">2026-06-20T00:48:37Z</dcterms:modified>
</cp:coreProperties>
</file>