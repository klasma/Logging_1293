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46072</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46072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46072</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46072</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46072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8181-2025</t>
        </is>
      </c>
      <c r="B9" s="1" t="n">
        <v>45708.3941550926</v>
      </c>
      <c r="C9" s="1" t="n">
        <v>46072</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46072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46072</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46072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45673.380625</v>
      </c>
      <c r="C13" s="1" t="n">
        <v>46072</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28736-2025</t>
        </is>
      </c>
      <c r="B14" s="1" t="n">
        <v>45820.3816087963</v>
      </c>
      <c r="C14" s="1" t="n">
        <v>46072</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46072</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46072</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13705-2022</t>
        </is>
      </c>
      <c r="B17" s="1" t="n">
        <v>44648</v>
      </c>
      <c r="C17" s="1" t="n">
        <v>46072</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6634-2024</t>
        </is>
      </c>
      <c r="B18" s="1" t="n">
        <v>45341</v>
      </c>
      <c r="C18" s="1" t="n">
        <v>46072</v>
      </c>
      <c r="D18" t="inlineStr">
        <is>
          <t>SKÅNE LÄN</t>
        </is>
      </c>
      <c r="E18" t="inlineStr">
        <is>
          <t>HÄSSLEHOLM</t>
        </is>
      </c>
      <c r="G18" t="n">
        <v>1.9</v>
      </c>
      <c r="H18" t="n">
        <v>0</v>
      </c>
      <c r="I18" t="n">
        <v>0</v>
      </c>
      <c r="J18" t="n">
        <v>0</v>
      </c>
      <c r="K18" t="n">
        <v>1</v>
      </c>
      <c r="L18" t="n">
        <v>0</v>
      </c>
      <c r="M18" t="n">
        <v>0</v>
      </c>
      <c r="N18" t="n">
        <v>0</v>
      </c>
      <c r="O18" t="n">
        <v>1</v>
      </c>
      <c r="P18" t="n">
        <v>1</v>
      </c>
      <c r="Q18" t="n">
        <v>1</v>
      </c>
      <c r="R18" s="2" t="inlineStr">
        <is>
          <t>Revig blodrot</t>
        </is>
      </c>
      <c r="S18">
        <f>HYPERLINK("https://klasma.github.io/Logging_1293/artfynd/A 6634-2024 artfynd.xlsx", "A 6634-2024")</f>
        <v/>
      </c>
      <c r="T18">
        <f>HYPERLINK("https://klasma.github.io/Logging_1293/kartor/A 6634-2024 karta.png", "A 6634-2024")</f>
        <v/>
      </c>
      <c r="V18">
        <f>HYPERLINK("https://klasma.github.io/Logging_1293/klagomål/A 6634-2024 FSC-klagomål.docx", "A 6634-2024")</f>
        <v/>
      </c>
      <c r="W18">
        <f>HYPERLINK("https://klasma.github.io/Logging_1293/klagomålsmail/A 6634-2024 FSC-klagomål mail.docx", "A 6634-2024")</f>
        <v/>
      </c>
      <c r="X18">
        <f>HYPERLINK("https://klasma.github.io/Logging_1293/tillsyn/A 6634-2024 tillsynsbegäran.docx", "A 6634-2024")</f>
        <v/>
      </c>
      <c r="Y18">
        <f>HYPERLINK("https://klasma.github.io/Logging_1293/tillsynsmail/A 6634-2024 tillsynsbegäran mail.docx", "A 6634-2024")</f>
        <v/>
      </c>
    </row>
    <row r="19" ht="15" customHeight="1">
      <c r="A19" t="inlineStr">
        <is>
          <t>A 60925-2024</t>
        </is>
      </c>
      <c r="B19" s="1" t="n">
        <v>45645.3550462963</v>
      </c>
      <c r="C19" s="1" t="n">
        <v>46072</v>
      </c>
      <c r="D19" t="inlineStr">
        <is>
          <t>SKÅNE LÄN</t>
        </is>
      </c>
      <c r="E19" t="inlineStr">
        <is>
          <t>HÄSSLEHOLM</t>
        </is>
      </c>
      <c r="G19" t="n">
        <v>1.8</v>
      </c>
      <c r="H19" t="n">
        <v>0</v>
      </c>
      <c r="I19" t="n">
        <v>0</v>
      </c>
      <c r="J19" t="n">
        <v>0</v>
      </c>
      <c r="K19" t="n">
        <v>0</v>
      </c>
      <c r="L19" t="n">
        <v>1</v>
      </c>
      <c r="M19" t="n">
        <v>0</v>
      </c>
      <c r="N19" t="n">
        <v>0</v>
      </c>
      <c r="O19" t="n">
        <v>1</v>
      </c>
      <c r="P19" t="n">
        <v>1</v>
      </c>
      <c r="Q19" t="n">
        <v>1</v>
      </c>
      <c r="R19" s="2" t="inlineStr">
        <is>
          <t>Ask</t>
        </is>
      </c>
      <c r="S19">
        <f>HYPERLINK("https://klasma.github.io/Logging_1293/artfynd/A 60925-2024 artfynd.xlsx", "A 60925-2024")</f>
        <v/>
      </c>
      <c r="T19">
        <f>HYPERLINK("https://klasma.github.io/Logging_1293/kartor/A 60925-2024 karta.png", "A 60925-2024")</f>
        <v/>
      </c>
      <c r="V19">
        <f>HYPERLINK("https://klasma.github.io/Logging_1293/klagomål/A 60925-2024 FSC-klagomål.docx", "A 60925-2024")</f>
        <v/>
      </c>
      <c r="W19">
        <f>HYPERLINK("https://klasma.github.io/Logging_1293/klagomålsmail/A 60925-2024 FSC-klagomål mail.docx", "A 60925-2024")</f>
        <v/>
      </c>
      <c r="X19">
        <f>HYPERLINK("https://klasma.github.io/Logging_1293/tillsyn/A 60925-2024 tillsynsbegäran.docx", "A 60925-2024")</f>
        <v/>
      </c>
      <c r="Y19">
        <f>HYPERLINK("https://klasma.github.io/Logging_1293/tillsynsmail/A 60925-2024 tillsynsbegäran mail.docx", "A 60925-2024")</f>
        <v/>
      </c>
    </row>
    <row r="20" ht="15" customHeight="1">
      <c r="A20" t="inlineStr">
        <is>
          <t>A 40613-2025</t>
        </is>
      </c>
      <c r="B20" s="1" t="n">
        <v>45896</v>
      </c>
      <c r="C20" s="1" t="n">
        <v>46072</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57533-2025</t>
        </is>
      </c>
      <c r="B21" s="1" t="n">
        <v>45980.63923611111</v>
      </c>
      <c r="C21" s="1" t="n">
        <v>46072</v>
      </c>
      <c r="D21" t="inlineStr">
        <is>
          <t>SKÅNE LÄN</t>
        </is>
      </c>
      <c r="E21" t="inlineStr">
        <is>
          <t>HÄSSLEHOLM</t>
        </is>
      </c>
      <c r="G21" t="n">
        <v>0.9</v>
      </c>
      <c r="H21" t="n">
        <v>0</v>
      </c>
      <c r="I21" t="n">
        <v>1</v>
      </c>
      <c r="J21" t="n">
        <v>0</v>
      </c>
      <c r="K21" t="n">
        <v>0</v>
      </c>
      <c r="L21" t="n">
        <v>0</v>
      </c>
      <c r="M21" t="n">
        <v>0</v>
      </c>
      <c r="N21" t="n">
        <v>0</v>
      </c>
      <c r="O21" t="n">
        <v>0</v>
      </c>
      <c r="P21" t="n">
        <v>0</v>
      </c>
      <c r="Q21" t="n">
        <v>1</v>
      </c>
      <c r="R21" s="2" t="inlineStr">
        <is>
          <t>Strutbräken</t>
        </is>
      </c>
      <c r="S21">
        <f>HYPERLINK("https://klasma.github.io/Logging_1293/artfynd/A 57533-2025 artfynd.xlsx", "A 57533-2025")</f>
        <v/>
      </c>
      <c r="T21">
        <f>HYPERLINK("https://klasma.github.io/Logging_1293/kartor/A 57533-2025 karta.png", "A 57533-2025")</f>
        <v/>
      </c>
      <c r="V21">
        <f>HYPERLINK("https://klasma.github.io/Logging_1293/klagomål/A 57533-2025 FSC-klagomål.docx", "A 57533-2025")</f>
        <v/>
      </c>
      <c r="W21">
        <f>HYPERLINK("https://klasma.github.io/Logging_1293/klagomålsmail/A 57533-2025 FSC-klagomål mail.docx", "A 57533-2025")</f>
        <v/>
      </c>
      <c r="X21">
        <f>HYPERLINK("https://klasma.github.io/Logging_1293/tillsyn/A 57533-2025 tillsynsbegäran.docx", "A 57533-2025")</f>
        <v/>
      </c>
      <c r="Y21">
        <f>HYPERLINK("https://klasma.github.io/Logging_1293/tillsynsmail/A 57533-2025 tillsynsbegäran mail.docx", "A 57533-2025")</f>
        <v/>
      </c>
    </row>
    <row r="22" ht="15" customHeight="1">
      <c r="A22" t="inlineStr">
        <is>
          <t>A 54523-2024</t>
        </is>
      </c>
      <c r="B22" s="1" t="n">
        <v>45617</v>
      </c>
      <c r="C22" s="1" t="n">
        <v>46072</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46072</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46072</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46072</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7862-2024</t>
        </is>
      </c>
      <c r="B26" s="1" t="n">
        <v>45348</v>
      </c>
      <c r="C26" s="1" t="n">
        <v>46072</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8223-2025</t>
        </is>
      </c>
      <c r="B27" s="1" t="n">
        <v>45708.46127314815</v>
      </c>
      <c r="C27" s="1" t="n">
        <v>46072</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29272-2023</t>
        </is>
      </c>
      <c r="B28" s="1" t="n">
        <v>45105</v>
      </c>
      <c r="C28" s="1" t="n">
        <v>46072</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16107-2025</t>
        </is>
      </c>
      <c r="B29" s="1" t="n">
        <v>45750.34537037037</v>
      </c>
      <c r="C29" s="1" t="n">
        <v>46072</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43874-2022</t>
        </is>
      </c>
      <c r="B30" s="1" t="n">
        <v>44838.44738425926</v>
      </c>
      <c r="C30" s="1" t="n">
        <v>46072</v>
      </c>
      <c r="D30" t="inlineStr">
        <is>
          <t>SKÅNE LÄN</t>
        </is>
      </c>
      <c r="E30" t="inlineStr">
        <is>
          <t>HÄSSLEHOLM</t>
        </is>
      </c>
      <c r="G30" t="n">
        <v>2.1</v>
      </c>
      <c r="H30" t="n">
        <v>0</v>
      </c>
      <c r="I30" t="n">
        <v>0</v>
      </c>
      <c r="J30" t="n">
        <v>1</v>
      </c>
      <c r="K30" t="n">
        <v>0</v>
      </c>
      <c r="L30" t="n">
        <v>0</v>
      </c>
      <c r="M30" t="n">
        <v>0</v>
      </c>
      <c r="N30" t="n">
        <v>0</v>
      </c>
      <c r="O30" t="n">
        <v>1</v>
      </c>
      <c r="P30" t="n">
        <v>0</v>
      </c>
      <c r="Q30" t="n">
        <v>1</v>
      </c>
      <c r="R30" s="2" t="inlineStr">
        <is>
          <t>Igelkott</t>
        </is>
      </c>
      <c r="S30">
        <f>HYPERLINK("https://klasma.github.io/Logging_1293/artfynd/A 43874-2022 artfynd.xlsx", "A 43874-2022")</f>
        <v/>
      </c>
      <c r="T30">
        <f>HYPERLINK("https://klasma.github.io/Logging_1293/kartor/A 43874-2022 karta.png", "A 43874-2022")</f>
        <v/>
      </c>
      <c r="V30">
        <f>HYPERLINK("https://klasma.github.io/Logging_1293/klagomål/A 43874-2022 FSC-klagomål.docx", "A 43874-2022")</f>
        <v/>
      </c>
      <c r="W30">
        <f>HYPERLINK("https://klasma.github.io/Logging_1293/klagomålsmail/A 43874-2022 FSC-klagomål mail.docx", "A 43874-2022")</f>
        <v/>
      </c>
      <c r="X30">
        <f>HYPERLINK("https://klasma.github.io/Logging_1293/tillsyn/A 43874-2022 tillsynsbegäran.docx", "A 43874-2022")</f>
        <v/>
      </c>
      <c r="Y30">
        <f>HYPERLINK("https://klasma.github.io/Logging_1293/tillsynsmail/A 43874-2022 tillsynsbegäran mail.docx", "A 43874-2022")</f>
        <v/>
      </c>
    </row>
    <row r="31" ht="15" customHeight="1">
      <c r="A31" t="inlineStr">
        <is>
          <t>A 4619-2025</t>
        </is>
      </c>
      <c r="B31" s="1" t="n">
        <v>45687</v>
      </c>
      <c r="C31" s="1" t="n">
        <v>46072</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46072</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46072</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46072</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46072</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46072</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37457-2022</t>
        </is>
      </c>
      <c r="B37" s="1" t="n">
        <v>44809</v>
      </c>
      <c r="C37" s="1" t="n">
        <v>46072</v>
      </c>
      <c r="D37" t="inlineStr">
        <is>
          <t>SKÅNE LÄN</t>
        </is>
      </c>
      <c r="E37" t="inlineStr">
        <is>
          <t>HÄSSLEHOLM</t>
        </is>
      </c>
      <c r="G37" t="n">
        <v>2.4</v>
      </c>
      <c r="H37" t="n">
        <v>0</v>
      </c>
      <c r="I37" t="n">
        <v>0</v>
      </c>
      <c r="J37" t="n">
        <v>0</v>
      </c>
      <c r="K37" t="n">
        <v>0</v>
      </c>
      <c r="L37" t="n">
        <v>0</v>
      </c>
      <c r="M37" t="n">
        <v>0</v>
      </c>
      <c r="N37" t="n">
        <v>0</v>
      </c>
      <c r="O37" t="n">
        <v>0</v>
      </c>
      <c r="P37" t="n">
        <v>0</v>
      </c>
      <c r="Q37" t="n">
        <v>0</v>
      </c>
      <c r="R37" s="2" t="inlineStr"/>
    </row>
    <row r="38" ht="15" customHeight="1">
      <c r="A38" t="inlineStr">
        <is>
          <t>A 55618-2022</t>
        </is>
      </c>
      <c r="B38" s="1" t="n">
        <v>44883</v>
      </c>
      <c r="C38" s="1" t="n">
        <v>46072</v>
      </c>
      <c r="D38" t="inlineStr">
        <is>
          <t>SKÅNE LÄN</t>
        </is>
      </c>
      <c r="E38" t="inlineStr">
        <is>
          <t>HÄSSLEHOLM</t>
        </is>
      </c>
      <c r="F38" t="inlineStr">
        <is>
          <t>Övriga Aktiebolag</t>
        </is>
      </c>
      <c r="G38" t="n">
        <v>0.7</v>
      </c>
      <c r="H38" t="n">
        <v>0</v>
      </c>
      <c r="I38" t="n">
        <v>0</v>
      </c>
      <c r="J38" t="n">
        <v>0</v>
      </c>
      <c r="K38" t="n">
        <v>0</v>
      </c>
      <c r="L38" t="n">
        <v>0</v>
      </c>
      <c r="M38" t="n">
        <v>0</v>
      </c>
      <c r="N38" t="n">
        <v>0</v>
      </c>
      <c r="O38" t="n">
        <v>0</v>
      </c>
      <c r="P38" t="n">
        <v>0</v>
      </c>
      <c r="Q38" t="n">
        <v>0</v>
      </c>
      <c r="R38" s="2" t="inlineStr"/>
    </row>
    <row r="39" ht="15" customHeight="1">
      <c r="A39" t="inlineStr">
        <is>
          <t>A 49450-2021</t>
        </is>
      </c>
      <c r="B39" s="1" t="n">
        <v>44454.67208333333</v>
      </c>
      <c r="C39" s="1" t="n">
        <v>46072</v>
      </c>
      <c r="D39" t="inlineStr">
        <is>
          <t>SKÅNE LÄN</t>
        </is>
      </c>
      <c r="E39" t="inlineStr">
        <is>
          <t>HÄSSLEHOLM</t>
        </is>
      </c>
      <c r="G39" t="n">
        <v>3</v>
      </c>
      <c r="H39" t="n">
        <v>0</v>
      </c>
      <c r="I39" t="n">
        <v>0</v>
      </c>
      <c r="J39" t="n">
        <v>0</v>
      </c>
      <c r="K39" t="n">
        <v>0</v>
      </c>
      <c r="L39" t="n">
        <v>0</v>
      </c>
      <c r="M39" t="n">
        <v>0</v>
      </c>
      <c r="N39" t="n">
        <v>0</v>
      </c>
      <c r="O39" t="n">
        <v>0</v>
      </c>
      <c r="P39" t="n">
        <v>0</v>
      </c>
      <c r="Q39" t="n">
        <v>0</v>
      </c>
      <c r="R39" s="2" t="inlineStr"/>
    </row>
    <row r="40" ht="15" customHeight="1">
      <c r="A40" t="inlineStr">
        <is>
          <t>A 54178-2021</t>
        </is>
      </c>
      <c r="B40" s="1" t="n">
        <v>44470</v>
      </c>
      <c r="C40" s="1" t="n">
        <v>46072</v>
      </c>
      <c r="D40" t="inlineStr">
        <is>
          <t>SKÅNE LÄN</t>
        </is>
      </c>
      <c r="E40" t="inlineStr">
        <is>
          <t>HÄSSLEHOLM</t>
        </is>
      </c>
      <c r="G40" t="n">
        <v>2.3</v>
      </c>
      <c r="H40" t="n">
        <v>0</v>
      </c>
      <c r="I40" t="n">
        <v>0</v>
      </c>
      <c r="J40" t="n">
        <v>0</v>
      </c>
      <c r="K40" t="n">
        <v>0</v>
      </c>
      <c r="L40" t="n">
        <v>0</v>
      </c>
      <c r="M40" t="n">
        <v>0</v>
      </c>
      <c r="N40" t="n">
        <v>0</v>
      </c>
      <c r="O40" t="n">
        <v>0</v>
      </c>
      <c r="P40" t="n">
        <v>0</v>
      </c>
      <c r="Q40" t="n">
        <v>0</v>
      </c>
      <c r="R40" s="2" t="inlineStr"/>
    </row>
    <row r="41" ht="15" customHeight="1">
      <c r="A41" t="inlineStr">
        <is>
          <t>A 18011-2021</t>
        </is>
      </c>
      <c r="B41" s="1" t="n">
        <v>44302.28030092592</v>
      </c>
      <c r="C41" s="1" t="n">
        <v>46072</v>
      </c>
      <c r="D41" t="inlineStr">
        <is>
          <t>SKÅNE LÄN</t>
        </is>
      </c>
      <c r="E41" t="inlineStr">
        <is>
          <t>HÄSSLEHOLM</t>
        </is>
      </c>
      <c r="G41" t="n">
        <v>0.4</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46072</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44794-2021</t>
        </is>
      </c>
      <c r="B43" s="1" t="n">
        <v>44438</v>
      </c>
      <c r="C43" s="1" t="n">
        <v>46072</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55154-2022</t>
        </is>
      </c>
      <c r="B44" s="1" t="n">
        <v>44886.68302083333</v>
      </c>
      <c r="C44" s="1" t="n">
        <v>46072</v>
      </c>
      <c r="D44" t="inlineStr">
        <is>
          <t>SKÅNE LÄN</t>
        </is>
      </c>
      <c r="E44" t="inlineStr">
        <is>
          <t>HÄSSLEHOLM</t>
        </is>
      </c>
      <c r="G44" t="n">
        <v>1.4</v>
      </c>
      <c r="H44" t="n">
        <v>0</v>
      </c>
      <c r="I44" t="n">
        <v>0</v>
      </c>
      <c r="J44" t="n">
        <v>0</v>
      </c>
      <c r="K44" t="n">
        <v>0</v>
      </c>
      <c r="L44" t="n">
        <v>0</v>
      </c>
      <c r="M44" t="n">
        <v>0</v>
      </c>
      <c r="N44" t="n">
        <v>0</v>
      </c>
      <c r="O44" t="n">
        <v>0</v>
      </c>
      <c r="P44" t="n">
        <v>0</v>
      </c>
      <c r="Q44" t="n">
        <v>0</v>
      </c>
      <c r="R44" s="2" t="inlineStr"/>
    </row>
    <row r="45" ht="15" customHeight="1">
      <c r="A45" t="inlineStr">
        <is>
          <t>A 55155-2022</t>
        </is>
      </c>
      <c r="B45" s="1" t="n">
        <v>44886.68671296296</v>
      </c>
      <c r="C45" s="1" t="n">
        <v>46072</v>
      </c>
      <c r="D45" t="inlineStr">
        <is>
          <t>SKÅNE LÄN</t>
        </is>
      </c>
      <c r="E45" t="inlineStr">
        <is>
          <t>HÄSSLEHOLM</t>
        </is>
      </c>
      <c r="G45" t="n">
        <v>1.1</v>
      </c>
      <c r="H45" t="n">
        <v>0</v>
      </c>
      <c r="I45" t="n">
        <v>0</v>
      </c>
      <c r="J45" t="n">
        <v>0</v>
      </c>
      <c r="K45" t="n">
        <v>0</v>
      </c>
      <c r="L45" t="n">
        <v>0</v>
      </c>
      <c r="M45" t="n">
        <v>0</v>
      </c>
      <c r="N45" t="n">
        <v>0</v>
      </c>
      <c r="O45" t="n">
        <v>0</v>
      </c>
      <c r="P45" t="n">
        <v>0</v>
      </c>
      <c r="Q45" t="n">
        <v>0</v>
      </c>
      <c r="R45" s="2" t="inlineStr"/>
    </row>
    <row r="46" ht="15" customHeight="1">
      <c r="A46" t="inlineStr">
        <is>
          <t>A 35099-2022</t>
        </is>
      </c>
      <c r="B46" s="1" t="n">
        <v>44797</v>
      </c>
      <c r="C46" s="1" t="n">
        <v>46072</v>
      </c>
      <c r="D46" t="inlineStr">
        <is>
          <t>SKÅNE LÄN</t>
        </is>
      </c>
      <c r="E46" t="inlineStr">
        <is>
          <t>HÄSSLEHOLM</t>
        </is>
      </c>
      <c r="G46" t="n">
        <v>4.1</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46072</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49454-2021</t>
        </is>
      </c>
      <c r="B48" s="1" t="n">
        <v>44454.67652777778</v>
      </c>
      <c r="C48" s="1" t="n">
        <v>46072</v>
      </c>
      <c r="D48" t="inlineStr">
        <is>
          <t>SKÅNE LÄN</t>
        </is>
      </c>
      <c r="E48" t="inlineStr">
        <is>
          <t>HÄSSLEHOLM</t>
        </is>
      </c>
      <c r="G48" t="n">
        <v>0.8</v>
      </c>
      <c r="H48" t="n">
        <v>0</v>
      </c>
      <c r="I48" t="n">
        <v>0</v>
      </c>
      <c r="J48" t="n">
        <v>0</v>
      </c>
      <c r="K48" t="n">
        <v>0</v>
      </c>
      <c r="L48" t="n">
        <v>0</v>
      </c>
      <c r="M48" t="n">
        <v>0</v>
      </c>
      <c r="N48" t="n">
        <v>0</v>
      </c>
      <c r="O48" t="n">
        <v>0</v>
      </c>
      <c r="P48" t="n">
        <v>0</v>
      </c>
      <c r="Q48" t="n">
        <v>0</v>
      </c>
      <c r="R48" s="2" t="inlineStr"/>
    </row>
    <row r="49" ht="15" customHeight="1">
      <c r="A49" t="inlineStr">
        <is>
          <t>A 61510-2021</t>
        </is>
      </c>
      <c r="B49" s="1" t="n">
        <v>44501</v>
      </c>
      <c r="C49" s="1" t="n">
        <v>46072</v>
      </c>
      <c r="D49" t="inlineStr">
        <is>
          <t>SKÅNE LÄN</t>
        </is>
      </c>
      <c r="E49" t="inlineStr">
        <is>
          <t>HÄSSLEHOLM</t>
        </is>
      </c>
      <c r="G49" t="n">
        <v>6.1</v>
      </c>
      <c r="H49" t="n">
        <v>0</v>
      </c>
      <c r="I49" t="n">
        <v>0</v>
      </c>
      <c r="J49" t="n">
        <v>0</v>
      </c>
      <c r="K49" t="n">
        <v>0</v>
      </c>
      <c r="L49" t="n">
        <v>0</v>
      </c>
      <c r="M49" t="n">
        <v>0</v>
      </c>
      <c r="N49" t="n">
        <v>0</v>
      </c>
      <c r="O49" t="n">
        <v>0</v>
      </c>
      <c r="P49" t="n">
        <v>0</v>
      </c>
      <c r="Q49" t="n">
        <v>0</v>
      </c>
      <c r="R49" s="2" t="inlineStr"/>
    </row>
    <row r="50" ht="15" customHeight="1">
      <c r="A50" t="inlineStr">
        <is>
          <t>A 23841-2021</t>
        </is>
      </c>
      <c r="B50" s="1" t="n">
        <v>44335</v>
      </c>
      <c r="C50" s="1" t="n">
        <v>46072</v>
      </c>
      <c r="D50" t="inlineStr">
        <is>
          <t>SKÅNE LÄN</t>
        </is>
      </c>
      <c r="E50" t="inlineStr">
        <is>
          <t>HÄSSLEHOLM</t>
        </is>
      </c>
      <c r="G50" t="n">
        <v>16.9</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46072</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46072</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220-2022</t>
        </is>
      </c>
      <c r="B53" s="1" t="n">
        <v>44564</v>
      </c>
      <c r="C53" s="1" t="n">
        <v>46072</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46072</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46072</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46072</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46072</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46072</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46072</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24496-2021</t>
        </is>
      </c>
      <c r="B60" s="1" t="n">
        <v>44337</v>
      </c>
      <c r="C60" s="1" t="n">
        <v>46072</v>
      </c>
      <c r="D60" t="inlineStr">
        <is>
          <t>SKÅNE LÄN</t>
        </is>
      </c>
      <c r="E60" t="inlineStr">
        <is>
          <t>HÄSSLEHOLM</t>
        </is>
      </c>
      <c r="G60" t="n">
        <v>0.9</v>
      </c>
      <c r="H60" t="n">
        <v>0</v>
      </c>
      <c r="I60" t="n">
        <v>0</v>
      </c>
      <c r="J60" t="n">
        <v>0</v>
      </c>
      <c r="K60" t="n">
        <v>0</v>
      </c>
      <c r="L60" t="n">
        <v>0</v>
      </c>
      <c r="M60" t="n">
        <v>0</v>
      </c>
      <c r="N60" t="n">
        <v>0</v>
      </c>
      <c r="O60" t="n">
        <v>0</v>
      </c>
      <c r="P60" t="n">
        <v>0</v>
      </c>
      <c r="Q60" t="n">
        <v>0</v>
      </c>
      <c r="R60" s="2" t="inlineStr"/>
    </row>
    <row r="61" ht="15" customHeight="1">
      <c r="A61" t="inlineStr">
        <is>
          <t>A 7249-2022</t>
        </is>
      </c>
      <c r="B61" s="1" t="n">
        <v>44606</v>
      </c>
      <c r="C61" s="1" t="n">
        <v>46072</v>
      </c>
      <c r="D61" t="inlineStr">
        <is>
          <t>SKÅNE LÄN</t>
        </is>
      </c>
      <c r="E61" t="inlineStr">
        <is>
          <t>HÄSSLEHOLM</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46072</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46072</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46072</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46072</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23826-2021</t>
        </is>
      </c>
      <c r="B66" s="1" t="n">
        <v>44335</v>
      </c>
      <c r="C66" s="1" t="n">
        <v>46072</v>
      </c>
      <c r="D66" t="inlineStr">
        <is>
          <t>SKÅNE LÄN</t>
        </is>
      </c>
      <c r="E66" t="inlineStr">
        <is>
          <t>HÄSSLEHOLM</t>
        </is>
      </c>
      <c r="G66" t="n">
        <v>6.5</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46072</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46072</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46072</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46072</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45284-2021</t>
        </is>
      </c>
      <c r="B71" s="1" t="n">
        <v>44439.65418981481</v>
      </c>
      <c r="C71" s="1" t="n">
        <v>46072</v>
      </c>
      <c r="D71" t="inlineStr">
        <is>
          <t>SKÅNE LÄN</t>
        </is>
      </c>
      <c r="E71" t="inlineStr">
        <is>
          <t>HÄSSLEHOLM</t>
        </is>
      </c>
      <c r="G71" t="n">
        <v>1.6</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46072</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46072</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3855-2022</t>
        </is>
      </c>
      <c r="B74" s="1" t="n">
        <v>44587</v>
      </c>
      <c r="C74" s="1" t="n">
        <v>46072</v>
      </c>
      <c r="D74" t="inlineStr">
        <is>
          <t>SKÅNE LÄN</t>
        </is>
      </c>
      <c r="E74" t="inlineStr">
        <is>
          <t>HÄSSLEHOLM</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46072</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46072</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50618-2021</t>
        </is>
      </c>
      <c r="B77" s="1" t="n">
        <v>44459</v>
      </c>
      <c r="C77" s="1" t="n">
        <v>46072</v>
      </c>
      <c r="D77" t="inlineStr">
        <is>
          <t>SKÅNE LÄN</t>
        </is>
      </c>
      <c r="E77" t="inlineStr">
        <is>
          <t>HÄSSLEHOLM</t>
        </is>
      </c>
      <c r="F77" t="inlineStr">
        <is>
          <t>Kyrkan</t>
        </is>
      </c>
      <c r="G77" t="n">
        <v>15.1</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46072</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46072</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46072</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46072</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46072</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38160-2021</t>
        </is>
      </c>
      <c r="B83" s="1" t="n">
        <v>44405.42719907407</v>
      </c>
      <c r="C83" s="1" t="n">
        <v>46072</v>
      </c>
      <c r="D83" t="inlineStr">
        <is>
          <t>SKÅNE LÄN</t>
        </is>
      </c>
      <c r="E83" t="inlineStr">
        <is>
          <t>HÄSSLEHOLM</t>
        </is>
      </c>
      <c r="G83" t="n">
        <v>2.2</v>
      </c>
      <c r="H83" t="n">
        <v>0</v>
      </c>
      <c r="I83" t="n">
        <v>0</v>
      </c>
      <c r="J83" t="n">
        <v>0</v>
      </c>
      <c r="K83" t="n">
        <v>0</v>
      </c>
      <c r="L83" t="n">
        <v>0</v>
      </c>
      <c r="M83" t="n">
        <v>0</v>
      </c>
      <c r="N83" t="n">
        <v>0</v>
      </c>
      <c r="O83" t="n">
        <v>0</v>
      </c>
      <c r="P83" t="n">
        <v>0</v>
      </c>
      <c r="Q83" t="n">
        <v>0</v>
      </c>
      <c r="R83" s="2" t="inlineStr"/>
    </row>
    <row r="84" ht="15" customHeight="1">
      <c r="A84" t="inlineStr">
        <is>
          <t>A 44755-2021</t>
        </is>
      </c>
      <c r="B84" s="1" t="n">
        <v>44438</v>
      </c>
      <c r="C84" s="1" t="n">
        <v>46072</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44770-2021</t>
        </is>
      </c>
      <c r="B85" s="1" t="n">
        <v>44438</v>
      </c>
      <c r="C85" s="1" t="n">
        <v>46072</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2765-2022</t>
        </is>
      </c>
      <c r="B86" s="1" t="n">
        <v>44580</v>
      </c>
      <c r="C86" s="1" t="n">
        <v>46072</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37181-2022</t>
        </is>
      </c>
      <c r="B87" s="1" t="n">
        <v>44806</v>
      </c>
      <c r="C87" s="1" t="n">
        <v>46072</v>
      </c>
      <c r="D87" t="inlineStr">
        <is>
          <t>SKÅNE LÄN</t>
        </is>
      </c>
      <c r="E87" t="inlineStr">
        <is>
          <t>HÄSSLEHOLM</t>
        </is>
      </c>
      <c r="F87" t="inlineStr">
        <is>
          <t>Kyrkan</t>
        </is>
      </c>
      <c r="G87" t="n">
        <v>3.5</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46072</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46072</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46072</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46072</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46072</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46072</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46072</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46072</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9292-2022</t>
        </is>
      </c>
      <c r="B96" s="1" t="n">
        <v>44616</v>
      </c>
      <c r="C96" s="1" t="n">
        <v>46072</v>
      </c>
      <c r="D96" t="inlineStr">
        <is>
          <t>SKÅNE LÄN</t>
        </is>
      </c>
      <c r="E96" t="inlineStr">
        <is>
          <t>HÄSSLEHOLM</t>
        </is>
      </c>
      <c r="G96" t="n">
        <v>1.6</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46072</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14054-2021</t>
        </is>
      </c>
      <c r="B98" s="1" t="n">
        <v>44277</v>
      </c>
      <c r="C98" s="1" t="n">
        <v>46072</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9257-2021</t>
        </is>
      </c>
      <c r="B99" s="1" t="n">
        <v>44250</v>
      </c>
      <c r="C99" s="1" t="n">
        <v>46072</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46072</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46072</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46072</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46072</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46072</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46072</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46072</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46072</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46072</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46072</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46072</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46072</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46072</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46072</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46072</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46072</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46072</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34027-2021</t>
        </is>
      </c>
      <c r="B117" s="1" t="n">
        <v>44379</v>
      </c>
      <c r="C117" s="1" t="n">
        <v>46072</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46072</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46072</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46072</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46072</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46072</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46072</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46072</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46072</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46072</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46072</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46072</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46072</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46072</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46072</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46072</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46072</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46072</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27330-2021</t>
        </is>
      </c>
      <c r="B135" s="1" t="n">
        <v>44351</v>
      </c>
      <c r="C135" s="1" t="n">
        <v>46072</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46072</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46072</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46072</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46072</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46072</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46072</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46072</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46072</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46072</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46072</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46072</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46072</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46072</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46072</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46072</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46072</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46072</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46072</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46072</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46072</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46072</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46072</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46072</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2858-2022</t>
        </is>
      </c>
      <c r="B159" s="1" t="n">
        <v>44581</v>
      </c>
      <c r="C159" s="1" t="n">
        <v>46072</v>
      </c>
      <c r="D159" t="inlineStr">
        <is>
          <t>SKÅNE LÄN</t>
        </is>
      </c>
      <c r="E159" t="inlineStr">
        <is>
          <t>HÄSSLEHOLM</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46072</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46072</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11616-2021</t>
        </is>
      </c>
      <c r="B162" s="1" t="n">
        <v>44264.63064814815</v>
      </c>
      <c r="C162" s="1" t="n">
        <v>46072</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51893-2021</t>
        </is>
      </c>
      <c r="B163" s="1" t="n">
        <v>44462</v>
      </c>
      <c r="C163" s="1" t="n">
        <v>46072</v>
      </c>
      <c r="D163" t="inlineStr">
        <is>
          <t>SKÅNE LÄN</t>
        </is>
      </c>
      <c r="E163" t="inlineStr">
        <is>
          <t>HÄSSLEHOLM</t>
        </is>
      </c>
      <c r="G163" t="n">
        <v>1</v>
      </c>
      <c r="H163" t="n">
        <v>0</v>
      </c>
      <c r="I163" t="n">
        <v>0</v>
      </c>
      <c r="J163" t="n">
        <v>0</v>
      </c>
      <c r="K163" t="n">
        <v>0</v>
      </c>
      <c r="L163" t="n">
        <v>0</v>
      </c>
      <c r="M163" t="n">
        <v>0</v>
      </c>
      <c r="N163" t="n">
        <v>0</v>
      </c>
      <c r="O163" t="n">
        <v>0</v>
      </c>
      <c r="P163" t="n">
        <v>0</v>
      </c>
      <c r="Q163" t="n">
        <v>0</v>
      </c>
      <c r="R163" s="2" t="inlineStr"/>
    </row>
    <row r="164" ht="15" customHeight="1">
      <c r="A164" t="inlineStr">
        <is>
          <t>A 55394-2022</t>
        </is>
      </c>
      <c r="B164" s="1" t="n">
        <v>44887.57112268519</v>
      </c>
      <c r="C164" s="1" t="n">
        <v>46072</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46072</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46072</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8695-2021</t>
        </is>
      </c>
      <c r="B167" s="1" t="n">
        <v>44246</v>
      </c>
      <c r="C167" s="1" t="n">
        <v>46072</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13811-2021</t>
        </is>
      </c>
      <c r="B168" s="1" t="n">
        <v>44276</v>
      </c>
      <c r="C168" s="1" t="n">
        <v>46072</v>
      </c>
      <c r="D168" t="inlineStr">
        <is>
          <t>SKÅNE LÄN</t>
        </is>
      </c>
      <c r="E168" t="inlineStr">
        <is>
          <t>HÄSSLEHOLM</t>
        </is>
      </c>
      <c r="G168" t="n">
        <v>8</v>
      </c>
      <c r="H168" t="n">
        <v>0</v>
      </c>
      <c r="I168" t="n">
        <v>0</v>
      </c>
      <c r="J168" t="n">
        <v>0</v>
      </c>
      <c r="K168" t="n">
        <v>0</v>
      </c>
      <c r="L168" t="n">
        <v>0</v>
      </c>
      <c r="M168" t="n">
        <v>0</v>
      </c>
      <c r="N168" t="n">
        <v>0</v>
      </c>
      <c r="O168" t="n">
        <v>0</v>
      </c>
      <c r="P168" t="n">
        <v>0</v>
      </c>
      <c r="Q168" t="n">
        <v>0</v>
      </c>
      <c r="R168" s="2" t="inlineStr"/>
    </row>
    <row r="169" ht="15" customHeight="1">
      <c r="A169" t="inlineStr">
        <is>
          <t>A 7904-2022</t>
        </is>
      </c>
      <c r="B169" s="1" t="n">
        <v>44607</v>
      </c>
      <c r="C169" s="1" t="n">
        <v>46072</v>
      </c>
      <c r="D169" t="inlineStr">
        <is>
          <t>SKÅNE LÄN</t>
        </is>
      </c>
      <c r="E169" t="inlineStr">
        <is>
          <t>HÄSSLEHOLM</t>
        </is>
      </c>
      <c r="F169" t="inlineStr">
        <is>
          <t>Kyrkan</t>
        </is>
      </c>
      <c r="G169" t="n">
        <v>3.9</v>
      </c>
      <c r="H169" t="n">
        <v>0</v>
      </c>
      <c r="I169" t="n">
        <v>0</v>
      </c>
      <c r="J169" t="n">
        <v>0</v>
      </c>
      <c r="K169" t="n">
        <v>0</v>
      </c>
      <c r="L169" t="n">
        <v>0</v>
      </c>
      <c r="M169" t="n">
        <v>0</v>
      </c>
      <c r="N169" t="n">
        <v>0</v>
      </c>
      <c r="O169" t="n">
        <v>0</v>
      </c>
      <c r="P169" t="n">
        <v>0</v>
      </c>
      <c r="Q169" t="n">
        <v>0</v>
      </c>
      <c r="R169" s="2" t="inlineStr"/>
    </row>
    <row r="170" ht="15" customHeight="1">
      <c r="A170" t="inlineStr">
        <is>
          <t>A 9453-2021</t>
        </is>
      </c>
      <c r="B170" s="1" t="n">
        <v>44251</v>
      </c>
      <c r="C170" s="1" t="n">
        <v>46072</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46072</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7250-2022</t>
        </is>
      </c>
      <c r="B172" s="1" t="n">
        <v>44606</v>
      </c>
      <c r="C172" s="1" t="n">
        <v>46072</v>
      </c>
      <c r="D172" t="inlineStr">
        <is>
          <t>SKÅNE LÄN</t>
        </is>
      </c>
      <c r="E172" t="inlineStr">
        <is>
          <t>HÄSSLEHOLM</t>
        </is>
      </c>
      <c r="F172" t="inlineStr">
        <is>
          <t>Övriga Aktiebolag</t>
        </is>
      </c>
      <c r="G172" t="n">
        <v>2.6</v>
      </c>
      <c r="H172" t="n">
        <v>0</v>
      </c>
      <c r="I172" t="n">
        <v>0</v>
      </c>
      <c r="J172" t="n">
        <v>0</v>
      </c>
      <c r="K172" t="n">
        <v>0</v>
      </c>
      <c r="L172" t="n">
        <v>0</v>
      </c>
      <c r="M172" t="n">
        <v>0</v>
      </c>
      <c r="N172" t="n">
        <v>0</v>
      </c>
      <c r="O172" t="n">
        <v>0</v>
      </c>
      <c r="P172" t="n">
        <v>0</v>
      </c>
      <c r="Q172" t="n">
        <v>0</v>
      </c>
      <c r="R172" s="2" t="inlineStr"/>
    </row>
    <row r="173" ht="15" customHeight="1">
      <c r="A173" t="inlineStr">
        <is>
          <t>A 219-2022</t>
        </is>
      </c>
      <c r="B173" s="1" t="n">
        <v>44564</v>
      </c>
      <c r="C173" s="1" t="n">
        <v>46072</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6048-2022</t>
        </is>
      </c>
      <c r="B174" s="1" t="n">
        <v>44599.5174537037</v>
      </c>
      <c r="C174" s="1" t="n">
        <v>46072</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53576-2022</t>
        </is>
      </c>
      <c r="B175" s="1" t="n">
        <v>44875</v>
      </c>
      <c r="C175" s="1" t="n">
        <v>46072</v>
      </c>
      <c r="D175" t="inlineStr">
        <is>
          <t>SKÅNE LÄN</t>
        </is>
      </c>
      <c r="E175" t="inlineStr">
        <is>
          <t>HÄSSLEHOLM</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46072</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6253-2022</t>
        </is>
      </c>
      <c r="B177" s="1" t="n">
        <v>44600</v>
      </c>
      <c r="C177" s="1" t="n">
        <v>46072</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7262-2022</t>
        </is>
      </c>
      <c r="B178" s="1" t="n">
        <v>44606</v>
      </c>
      <c r="C178" s="1" t="n">
        <v>46072</v>
      </c>
      <c r="D178" t="inlineStr">
        <is>
          <t>SKÅNE LÄN</t>
        </is>
      </c>
      <c r="E178" t="inlineStr">
        <is>
          <t>HÄSSLEHOLM</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46072</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23967-2022</t>
        </is>
      </c>
      <c r="B180" s="1" t="n">
        <v>44722.74079861111</v>
      </c>
      <c r="C180" s="1" t="n">
        <v>46072</v>
      </c>
      <c r="D180" t="inlineStr">
        <is>
          <t>SKÅNE LÄN</t>
        </is>
      </c>
      <c r="E180" t="inlineStr">
        <is>
          <t>HÄSSLEHOLM</t>
        </is>
      </c>
      <c r="F180" t="inlineStr">
        <is>
          <t>Kyrkan</t>
        </is>
      </c>
      <c r="G180" t="n">
        <v>12.4</v>
      </c>
      <c r="H180" t="n">
        <v>0</v>
      </c>
      <c r="I180" t="n">
        <v>0</v>
      </c>
      <c r="J180" t="n">
        <v>0</v>
      </c>
      <c r="K180" t="n">
        <v>0</v>
      </c>
      <c r="L180" t="n">
        <v>0</v>
      </c>
      <c r="M180" t="n">
        <v>0</v>
      </c>
      <c r="N180" t="n">
        <v>0</v>
      </c>
      <c r="O180" t="n">
        <v>0</v>
      </c>
      <c r="P180" t="n">
        <v>0</v>
      </c>
      <c r="Q180" t="n">
        <v>0</v>
      </c>
      <c r="R180" s="2" t="inlineStr"/>
    </row>
    <row r="181" ht="15" customHeight="1">
      <c r="A181" t="inlineStr">
        <is>
          <t>A 25464-2022</t>
        </is>
      </c>
      <c r="B181" s="1" t="n">
        <v>44729</v>
      </c>
      <c r="C181" s="1" t="n">
        <v>46072</v>
      </c>
      <c r="D181" t="inlineStr">
        <is>
          <t>SKÅNE LÄN</t>
        </is>
      </c>
      <c r="E181" t="inlineStr">
        <is>
          <t>HÄSSLEHOLM</t>
        </is>
      </c>
      <c r="G181" t="n">
        <v>21</v>
      </c>
      <c r="H181" t="n">
        <v>0</v>
      </c>
      <c r="I181" t="n">
        <v>0</v>
      </c>
      <c r="J181" t="n">
        <v>0</v>
      </c>
      <c r="K181" t="n">
        <v>0</v>
      </c>
      <c r="L181" t="n">
        <v>0</v>
      </c>
      <c r="M181" t="n">
        <v>0</v>
      </c>
      <c r="N181" t="n">
        <v>0</v>
      </c>
      <c r="O181" t="n">
        <v>0</v>
      </c>
      <c r="P181" t="n">
        <v>0</v>
      </c>
      <c r="Q181" t="n">
        <v>0</v>
      </c>
      <c r="R181" s="2" t="inlineStr"/>
    </row>
    <row r="182" ht="15" customHeight="1">
      <c r="A182" t="inlineStr">
        <is>
          <t>A 8177-2022</t>
        </is>
      </c>
      <c r="B182" s="1" t="n">
        <v>44607</v>
      </c>
      <c r="C182" s="1" t="n">
        <v>46072</v>
      </c>
      <c r="D182" t="inlineStr">
        <is>
          <t>SKÅNE LÄN</t>
        </is>
      </c>
      <c r="E182" t="inlineStr">
        <is>
          <t>HÄSSLEHOLM</t>
        </is>
      </c>
      <c r="F182" t="inlineStr">
        <is>
          <t>Kyrkan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30344-2022</t>
        </is>
      </c>
      <c r="B183" s="1" t="n">
        <v>44760.50783564815</v>
      </c>
      <c r="C183" s="1" t="n">
        <v>46072</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56527-2021</t>
        </is>
      </c>
      <c r="B184" s="1" t="n">
        <v>44480</v>
      </c>
      <c r="C184" s="1" t="n">
        <v>46072</v>
      </c>
      <c r="D184" t="inlineStr">
        <is>
          <t>SKÅNE LÄN</t>
        </is>
      </c>
      <c r="E184" t="inlineStr">
        <is>
          <t>HÄSSLEHOLM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25788-2021</t>
        </is>
      </c>
      <c r="B185" s="1" t="n">
        <v>44343</v>
      </c>
      <c r="C185" s="1" t="n">
        <v>46072</v>
      </c>
      <c r="D185" t="inlineStr">
        <is>
          <t>SKÅNE LÄN</t>
        </is>
      </c>
      <c r="E185" t="inlineStr">
        <is>
          <t>HÄSSLEHOLM</t>
        </is>
      </c>
      <c r="G185" t="n">
        <v>4.8</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46072</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20657-2022</t>
        </is>
      </c>
      <c r="B187" s="1" t="n">
        <v>44700</v>
      </c>
      <c r="C187" s="1" t="n">
        <v>46072</v>
      </c>
      <c r="D187" t="inlineStr">
        <is>
          <t>SKÅNE LÄN</t>
        </is>
      </c>
      <c r="E187" t="inlineStr">
        <is>
          <t>HÄSSLEHOLM</t>
        </is>
      </c>
      <c r="G187" t="n">
        <v>3.8</v>
      </c>
      <c r="H187" t="n">
        <v>0</v>
      </c>
      <c r="I187" t="n">
        <v>0</v>
      </c>
      <c r="J187" t="n">
        <v>0</v>
      </c>
      <c r="K187" t="n">
        <v>0</v>
      </c>
      <c r="L187" t="n">
        <v>0</v>
      </c>
      <c r="M187" t="n">
        <v>0</v>
      </c>
      <c r="N187" t="n">
        <v>0</v>
      </c>
      <c r="O187" t="n">
        <v>0</v>
      </c>
      <c r="P187" t="n">
        <v>0</v>
      </c>
      <c r="Q187" t="n">
        <v>0</v>
      </c>
      <c r="R187" s="2" t="inlineStr"/>
    </row>
    <row r="188" ht="15" customHeight="1">
      <c r="A188" t="inlineStr">
        <is>
          <t>A 3992-2022</t>
        </is>
      </c>
      <c r="B188" s="1" t="n">
        <v>44587</v>
      </c>
      <c r="C188" s="1" t="n">
        <v>46072</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23950-2023</t>
        </is>
      </c>
      <c r="B189" s="1" t="n">
        <v>45078.61771990741</v>
      </c>
      <c r="C189" s="1" t="n">
        <v>46072</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23952-2023</t>
        </is>
      </c>
      <c r="B190" s="1" t="n">
        <v>45078.62064814815</v>
      </c>
      <c r="C190" s="1" t="n">
        <v>46072</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35974-2022</t>
        </is>
      </c>
      <c r="B191" s="1" t="n">
        <v>44802</v>
      </c>
      <c r="C191" s="1" t="n">
        <v>46072</v>
      </c>
      <c r="D191" t="inlineStr">
        <is>
          <t>SKÅNE LÄN</t>
        </is>
      </c>
      <c r="E191" t="inlineStr">
        <is>
          <t>HÄSSLEHOLM</t>
        </is>
      </c>
      <c r="G191" t="n">
        <v>3.8</v>
      </c>
      <c r="H191" t="n">
        <v>0</v>
      </c>
      <c r="I191" t="n">
        <v>0</v>
      </c>
      <c r="J191" t="n">
        <v>0</v>
      </c>
      <c r="K191" t="n">
        <v>0</v>
      </c>
      <c r="L191" t="n">
        <v>0</v>
      </c>
      <c r="M191" t="n">
        <v>0</v>
      </c>
      <c r="N191" t="n">
        <v>0</v>
      </c>
      <c r="O191" t="n">
        <v>0</v>
      </c>
      <c r="P191" t="n">
        <v>0</v>
      </c>
      <c r="Q191" t="n">
        <v>0</v>
      </c>
      <c r="R191" s="2" t="inlineStr"/>
    </row>
    <row r="192" ht="15" customHeight="1">
      <c r="A192" t="inlineStr">
        <is>
          <t>A 23956-2023</t>
        </is>
      </c>
      <c r="B192" s="1" t="n">
        <v>45078.62302083334</v>
      </c>
      <c r="C192" s="1" t="n">
        <v>46072</v>
      </c>
      <c r="D192" t="inlineStr">
        <is>
          <t>SKÅNE LÄN</t>
        </is>
      </c>
      <c r="E192" t="inlineStr">
        <is>
          <t>HÄSSLEHOLM</t>
        </is>
      </c>
      <c r="G192" t="n">
        <v>0.1</v>
      </c>
      <c r="H192" t="n">
        <v>0</v>
      </c>
      <c r="I192" t="n">
        <v>0</v>
      </c>
      <c r="J192" t="n">
        <v>0</v>
      </c>
      <c r="K192" t="n">
        <v>0</v>
      </c>
      <c r="L192" t="n">
        <v>0</v>
      </c>
      <c r="M192" t="n">
        <v>0</v>
      </c>
      <c r="N192" t="n">
        <v>0</v>
      </c>
      <c r="O192" t="n">
        <v>0</v>
      </c>
      <c r="P192" t="n">
        <v>0</v>
      </c>
      <c r="Q192" t="n">
        <v>0</v>
      </c>
      <c r="R192" s="2" t="inlineStr"/>
    </row>
    <row r="193" ht="15" customHeight="1">
      <c r="A193" t="inlineStr">
        <is>
          <t>A 1619-2022</t>
        </is>
      </c>
      <c r="B193" s="1" t="n">
        <v>44573</v>
      </c>
      <c r="C193" s="1" t="n">
        <v>46072</v>
      </c>
      <c r="D193" t="inlineStr">
        <is>
          <t>SKÅNE LÄN</t>
        </is>
      </c>
      <c r="E193" t="inlineStr">
        <is>
          <t>HÄSSLEHOLM</t>
        </is>
      </c>
      <c r="G193" t="n">
        <v>1.8</v>
      </c>
      <c r="H193" t="n">
        <v>0</v>
      </c>
      <c r="I193" t="n">
        <v>0</v>
      </c>
      <c r="J193" t="n">
        <v>0</v>
      </c>
      <c r="K193" t="n">
        <v>0</v>
      </c>
      <c r="L193" t="n">
        <v>0</v>
      </c>
      <c r="M193" t="n">
        <v>0</v>
      </c>
      <c r="N193" t="n">
        <v>0</v>
      </c>
      <c r="O193" t="n">
        <v>0</v>
      </c>
      <c r="P193" t="n">
        <v>0</v>
      </c>
      <c r="Q193" t="n">
        <v>0</v>
      </c>
      <c r="R193" s="2" t="inlineStr"/>
    </row>
    <row r="194" ht="15" customHeight="1">
      <c r="A194" t="inlineStr">
        <is>
          <t>A 41874-2024</t>
        </is>
      </c>
      <c r="B194" s="1" t="n">
        <v>45561</v>
      </c>
      <c r="C194" s="1" t="n">
        <v>46072</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7890-2024</t>
        </is>
      </c>
      <c r="B195" s="1" t="n">
        <v>45350.40780092592</v>
      </c>
      <c r="C195" s="1" t="n">
        <v>46072</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55284-2023</t>
        </is>
      </c>
      <c r="B196" s="1" t="n">
        <v>45237.74259259259</v>
      </c>
      <c r="C196" s="1" t="n">
        <v>46072</v>
      </c>
      <c r="D196" t="inlineStr">
        <is>
          <t>SKÅNE LÄN</t>
        </is>
      </c>
      <c r="E196" t="inlineStr">
        <is>
          <t>HÄSSLEHOLM</t>
        </is>
      </c>
      <c r="G196" t="n">
        <v>1.4</v>
      </c>
      <c r="H196" t="n">
        <v>0</v>
      </c>
      <c r="I196" t="n">
        <v>0</v>
      </c>
      <c r="J196" t="n">
        <v>0</v>
      </c>
      <c r="K196" t="n">
        <v>0</v>
      </c>
      <c r="L196" t="n">
        <v>0</v>
      </c>
      <c r="M196" t="n">
        <v>0</v>
      </c>
      <c r="N196" t="n">
        <v>0</v>
      </c>
      <c r="O196" t="n">
        <v>0</v>
      </c>
      <c r="P196" t="n">
        <v>0</v>
      </c>
      <c r="Q196" t="n">
        <v>0</v>
      </c>
      <c r="R196" s="2" t="inlineStr"/>
    </row>
    <row r="197" ht="15" customHeight="1">
      <c r="A197" t="inlineStr">
        <is>
          <t>A 14674-2025</t>
        </is>
      </c>
      <c r="B197" s="1" t="n">
        <v>45742.55548611111</v>
      </c>
      <c r="C197" s="1" t="n">
        <v>46072</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14702-2025</t>
        </is>
      </c>
      <c r="B198" s="1" t="n">
        <v>45742.60403935185</v>
      </c>
      <c r="C198" s="1" t="n">
        <v>46072</v>
      </c>
      <c r="D198" t="inlineStr">
        <is>
          <t>SKÅNE LÄN</t>
        </is>
      </c>
      <c r="E198" t="inlineStr">
        <is>
          <t>HÄSSLEHOLM</t>
        </is>
      </c>
      <c r="G198" t="n">
        <v>1.8</v>
      </c>
      <c r="H198" t="n">
        <v>0</v>
      </c>
      <c r="I198" t="n">
        <v>0</v>
      </c>
      <c r="J198" t="n">
        <v>0</v>
      </c>
      <c r="K198" t="n">
        <v>0</v>
      </c>
      <c r="L198" t="n">
        <v>0</v>
      </c>
      <c r="M198" t="n">
        <v>0</v>
      </c>
      <c r="N198" t="n">
        <v>0</v>
      </c>
      <c r="O198" t="n">
        <v>0</v>
      </c>
      <c r="P198" t="n">
        <v>0</v>
      </c>
      <c r="Q198" t="n">
        <v>0</v>
      </c>
      <c r="R198" s="2" t="inlineStr"/>
    </row>
    <row r="199" ht="15" customHeight="1">
      <c r="A199" t="inlineStr">
        <is>
          <t>A 16388-2025</t>
        </is>
      </c>
      <c r="B199" s="1" t="n">
        <v>45751.42787037037</v>
      </c>
      <c r="C199" s="1" t="n">
        <v>46072</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24241-2023</t>
        </is>
      </c>
      <c r="B200" s="1" t="n">
        <v>45079.61476851852</v>
      </c>
      <c r="C200" s="1" t="n">
        <v>46072</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3500-2024</t>
        </is>
      </c>
      <c r="B201" s="1" t="n">
        <v>45320</v>
      </c>
      <c r="C201" s="1" t="n">
        <v>46072</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58815-2023</t>
        </is>
      </c>
      <c r="B202" s="1" t="n">
        <v>45247</v>
      </c>
      <c r="C202" s="1" t="n">
        <v>46072</v>
      </c>
      <c r="D202" t="inlineStr">
        <is>
          <t>SKÅNE LÄN</t>
        </is>
      </c>
      <c r="E202" t="inlineStr">
        <is>
          <t>HÄSSLEHOLM</t>
        </is>
      </c>
      <c r="G202" t="n">
        <v>0.8</v>
      </c>
      <c r="H202" t="n">
        <v>0</v>
      </c>
      <c r="I202" t="n">
        <v>0</v>
      </c>
      <c r="J202" t="n">
        <v>0</v>
      </c>
      <c r="K202" t="n">
        <v>0</v>
      </c>
      <c r="L202" t="n">
        <v>0</v>
      </c>
      <c r="M202" t="n">
        <v>0</v>
      </c>
      <c r="N202" t="n">
        <v>0</v>
      </c>
      <c r="O202" t="n">
        <v>0</v>
      </c>
      <c r="P202" t="n">
        <v>0</v>
      </c>
      <c r="Q202" t="n">
        <v>0</v>
      </c>
      <c r="R202" s="2" t="inlineStr"/>
    </row>
    <row r="203" ht="15" customHeight="1">
      <c r="A203" t="inlineStr">
        <is>
          <t>A 33597-2023</t>
        </is>
      </c>
      <c r="B203" s="1" t="n">
        <v>45132</v>
      </c>
      <c r="C203" s="1" t="n">
        <v>46072</v>
      </c>
      <c r="D203" t="inlineStr">
        <is>
          <t>SKÅNE LÄN</t>
        </is>
      </c>
      <c r="E203" t="inlineStr">
        <is>
          <t>HÄSSLEHOLM</t>
        </is>
      </c>
      <c r="G203" t="n">
        <v>3.9</v>
      </c>
      <c r="H203" t="n">
        <v>0</v>
      </c>
      <c r="I203" t="n">
        <v>0</v>
      </c>
      <c r="J203" t="n">
        <v>0</v>
      </c>
      <c r="K203" t="n">
        <v>0</v>
      </c>
      <c r="L203" t="n">
        <v>0</v>
      </c>
      <c r="M203" t="n">
        <v>0</v>
      </c>
      <c r="N203" t="n">
        <v>0</v>
      </c>
      <c r="O203" t="n">
        <v>0</v>
      </c>
      <c r="P203" t="n">
        <v>0</v>
      </c>
      <c r="Q203" t="n">
        <v>0</v>
      </c>
      <c r="R203" s="2" t="inlineStr"/>
    </row>
    <row r="204" ht="15" customHeight="1">
      <c r="A204" t="inlineStr">
        <is>
          <t>A 33599-2023</t>
        </is>
      </c>
      <c r="B204" s="1" t="n">
        <v>45132</v>
      </c>
      <c r="C204" s="1" t="n">
        <v>46072</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27173-2024</t>
        </is>
      </c>
      <c r="B205" s="1" t="n">
        <v>45471.57048611111</v>
      </c>
      <c r="C205" s="1" t="n">
        <v>46072</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21310-2022</t>
        </is>
      </c>
      <c r="B206" s="1" t="n">
        <v>44705</v>
      </c>
      <c r="C206" s="1" t="n">
        <v>46072</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21867-2023</t>
        </is>
      </c>
      <c r="B207" s="1" t="n">
        <v>45063</v>
      </c>
      <c r="C207" s="1" t="n">
        <v>46072</v>
      </c>
      <c r="D207" t="inlineStr">
        <is>
          <t>SKÅNE LÄN</t>
        </is>
      </c>
      <c r="E207" t="inlineStr">
        <is>
          <t>HÄSSLEHOLM</t>
        </is>
      </c>
      <c r="G207" t="n">
        <v>7.6</v>
      </c>
      <c r="H207" t="n">
        <v>0</v>
      </c>
      <c r="I207" t="n">
        <v>0</v>
      </c>
      <c r="J207" t="n">
        <v>0</v>
      </c>
      <c r="K207" t="n">
        <v>0</v>
      </c>
      <c r="L207" t="n">
        <v>0</v>
      </c>
      <c r="M207" t="n">
        <v>0</v>
      </c>
      <c r="N207" t="n">
        <v>0</v>
      </c>
      <c r="O207" t="n">
        <v>0</v>
      </c>
      <c r="P207" t="n">
        <v>0</v>
      </c>
      <c r="Q207" t="n">
        <v>0</v>
      </c>
      <c r="R207" s="2" t="inlineStr"/>
    </row>
    <row r="208" ht="15" customHeight="1">
      <c r="A208" t="inlineStr">
        <is>
          <t>A 10020-2024</t>
        </is>
      </c>
      <c r="B208" s="1" t="n">
        <v>45363.96944444445</v>
      </c>
      <c r="C208" s="1" t="n">
        <v>46072</v>
      </c>
      <c r="D208" t="inlineStr">
        <is>
          <t>SKÅNE LÄN</t>
        </is>
      </c>
      <c r="E208" t="inlineStr">
        <is>
          <t>HÄSSLEHOLM</t>
        </is>
      </c>
      <c r="G208" t="n">
        <v>5.3</v>
      </c>
      <c r="H208" t="n">
        <v>0</v>
      </c>
      <c r="I208" t="n">
        <v>0</v>
      </c>
      <c r="J208" t="n">
        <v>0</v>
      </c>
      <c r="K208" t="n">
        <v>0</v>
      </c>
      <c r="L208" t="n">
        <v>0</v>
      </c>
      <c r="M208" t="n">
        <v>0</v>
      </c>
      <c r="N208" t="n">
        <v>0</v>
      </c>
      <c r="O208" t="n">
        <v>0</v>
      </c>
      <c r="P208" t="n">
        <v>0</v>
      </c>
      <c r="Q208" t="n">
        <v>0</v>
      </c>
      <c r="R208" s="2" t="inlineStr"/>
    </row>
    <row r="209" ht="15" customHeight="1">
      <c r="A209" t="inlineStr">
        <is>
          <t>A 5284-2023</t>
        </is>
      </c>
      <c r="B209" s="1" t="n">
        <v>44959.50608796296</v>
      </c>
      <c r="C209" s="1" t="n">
        <v>46072</v>
      </c>
      <c r="D209" t="inlineStr">
        <is>
          <t>SKÅNE LÄN</t>
        </is>
      </c>
      <c r="E209" t="inlineStr">
        <is>
          <t>HÄSSLEHOLM</t>
        </is>
      </c>
      <c r="G209" t="n">
        <v>0.4</v>
      </c>
      <c r="H209" t="n">
        <v>0</v>
      </c>
      <c r="I209" t="n">
        <v>0</v>
      </c>
      <c r="J209" t="n">
        <v>0</v>
      </c>
      <c r="K209" t="n">
        <v>0</v>
      </c>
      <c r="L209" t="n">
        <v>0</v>
      </c>
      <c r="M209" t="n">
        <v>0</v>
      </c>
      <c r="N209" t="n">
        <v>0</v>
      </c>
      <c r="O209" t="n">
        <v>0</v>
      </c>
      <c r="P209" t="n">
        <v>0</v>
      </c>
      <c r="Q209" t="n">
        <v>0</v>
      </c>
      <c r="R209" s="2" t="inlineStr"/>
    </row>
    <row r="210" ht="15" customHeight="1">
      <c r="A210" t="inlineStr">
        <is>
          <t>A 5285-2023</t>
        </is>
      </c>
      <c r="B210" s="1" t="n">
        <v>44959.50783564815</v>
      </c>
      <c r="C210" s="1" t="n">
        <v>46072</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34888-2023</t>
        </is>
      </c>
      <c r="B211" s="1" t="n">
        <v>45142.388125</v>
      </c>
      <c r="C211" s="1" t="n">
        <v>46072</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70087-2021</t>
        </is>
      </c>
      <c r="B212" s="1" t="n">
        <v>44533</v>
      </c>
      <c r="C212" s="1" t="n">
        <v>46072</v>
      </c>
      <c r="D212" t="inlineStr">
        <is>
          <t>SKÅNE LÄN</t>
        </is>
      </c>
      <c r="E212" t="inlineStr">
        <is>
          <t>HÄSSLEHOLM</t>
        </is>
      </c>
      <c r="G212" t="n">
        <v>5</v>
      </c>
      <c r="H212" t="n">
        <v>0</v>
      </c>
      <c r="I212" t="n">
        <v>0</v>
      </c>
      <c r="J212" t="n">
        <v>0</v>
      </c>
      <c r="K212" t="n">
        <v>0</v>
      </c>
      <c r="L212" t="n">
        <v>0</v>
      </c>
      <c r="M212" t="n">
        <v>0</v>
      </c>
      <c r="N212" t="n">
        <v>0</v>
      </c>
      <c r="O212" t="n">
        <v>0</v>
      </c>
      <c r="P212" t="n">
        <v>0</v>
      </c>
      <c r="Q212" t="n">
        <v>0</v>
      </c>
      <c r="R212" s="2" t="inlineStr"/>
    </row>
    <row r="213" ht="15" customHeight="1">
      <c r="A213" t="inlineStr">
        <is>
          <t>A 20666-2023</t>
        </is>
      </c>
      <c r="B213" s="1" t="n">
        <v>45058.35664351852</v>
      </c>
      <c r="C213" s="1" t="n">
        <v>46072</v>
      </c>
      <c r="D213" t="inlineStr">
        <is>
          <t>SKÅNE LÄN</t>
        </is>
      </c>
      <c r="E213" t="inlineStr">
        <is>
          <t>HÄSSLEHOLM</t>
        </is>
      </c>
      <c r="F213" t="inlineStr">
        <is>
          <t>Kyrkan</t>
        </is>
      </c>
      <c r="G213" t="n">
        <v>1.3</v>
      </c>
      <c r="H213" t="n">
        <v>0</v>
      </c>
      <c r="I213" t="n">
        <v>0</v>
      </c>
      <c r="J213" t="n">
        <v>0</v>
      </c>
      <c r="K213" t="n">
        <v>0</v>
      </c>
      <c r="L213" t="n">
        <v>0</v>
      </c>
      <c r="M213" t="n">
        <v>0</v>
      </c>
      <c r="N213" t="n">
        <v>0</v>
      </c>
      <c r="O213" t="n">
        <v>0</v>
      </c>
      <c r="P213" t="n">
        <v>0</v>
      </c>
      <c r="Q213" t="n">
        <v>0</v>
      </c>
      <c r="R213" s="2" t="inlineStr"/>
    </row>
    <row r="214" ht="15" customHeight="1">
      <c r="A214" t="inlineStr">
        <is>
          <t>A 20566-2023</t>
        </is>
      </c>
      <c r="B214" s="1" t="n">
        <v>45057</v>
      </c>
      <c r="C214" s="1" t="n">
        <v>46072</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59028-2023</t>
        </is>
      </c>
      <c r="B215" s="1" t="n">
        <v>45252.67900462963</v>
      </c>
      <c r="C215" s="1" t="n">
        <v>46072</v>
      </c>
      <c r="D215" t="inlineStr">
        <is>
          <t>SKÅNE LÄN</t>
        </is>
      </c>
      <c r="E215" t="inlineStr">
        <is>
          <t>HÄSSLEHOLM</t>
        </is>
      </c>
      <c r="G215" t="n">
        <v>2.5</v>
      </c>
      <c r="H215" t="n">
        <v>0</v>
      </c>
      <c r="I215" t="n">
        <v>0</v>
      </c>
      <c r="J215" t="n">
        <v>0</v>
      </c>
      <c r="K215" t="n">
        <v>0</v>
      </c>
      <c r="L215" t="n">
        <v>0</v>
      </c>
      <c r="M215" t="n">
        <v>0</v>
      </c>
      <c r="N215" t="n">
        <v>0</v>
      </c>
      <c r="O215" t="n">
        <v>0</v>
      </c>
      <c r="P215" t="n">
        <v>0</v>
      </c>
      <c r="Q215" t="n">
        <v>0</v>
      </c>
      <c r="R215" s="2" t="inlineStr"/>
    </row>
    <row r="216" ht="15" customHeight="1">
      <c r="A216" t="inlineStr">
        <is>
          <t>A 48747-2022</t>
        </is>
      </c>
      <c r="B216" s="1" t="n">
        <v>44859</v>
      </c>
      <c r="C216" s="1" t="n">
        <v>46072</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34886-2023</t>
        </is>
      </c>
      <c r="B217" s="1" t="n">
        <v>45142.38450231482</v>
      </c>
      <c r="C217" s="1" t="n">
        <v>46072</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2596-2024</t>
        </is>
      </c>
      <c r="B218" s="1" t="n">
        <v>45313.69969907407</v>
      </c>
      <c r="C218" s="1" t="n">
        <v>46072</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54435-2024</t>
        </is>
      </c>
      <c r="B219" s="1" t="n">
        <v>45617.49494212963</v>
      </c>
      <c r="C219" s="1" t="n">
        <v>46072</v>
      </c>
      <c r="D219" t="inlineStr">
        <is>
          <t>SKÅNE LÄN</t>
        </is>
      </c>
      <c r="E219" t="inlineStr">
        <is>
          <t>HÄSSLEHOLM</t>
        </is>
      </c>
      <c r="G219" t="n">
        <v>2.3</v>
      </c>
      <c r="H219" t="n">
        <v>0</v>
      </c>
      <c r="I219" t="n">
        <v>0</v>
      </c>
      <c r="J219" t="n">
        <v>0</v>
      </c>
      <c r="K219" t="n">
        <v>0</v>
      </c>
      <c r="L219" t="n">
        <v>0</v>
      </c>
      <c r="M219" t="n">
        <v>0</v>
      </c>
      <c r="N219" t="n">
        <v>0</v>
      </c>
      <c r="O219" t="n">
        <v>0</v>
      </c>
      <c r="P219" t="n">
        <v>0</v>
      </c>
      <c r="Q219" t="n">
        <v>0</v>
      </c>
      <c r="R219" s="2" t="inlineStr"/>
    </row>
    <row r="220" ht="15" customHeight="1">
      <c r="A220" t="inlineStr">
        <is>
          <t>A 8250-2023</t>
        </is>
      </c>
      <c r="B220" s="1" t="n">
        <v>44974</v>
      </c>
      <c r="C220" s="1" t="n">
        <v>46072</v>
      </c>
      <c r="D220" t="inlineStr">
        <is>
          <t>SKÅNE LÄN</t>
        </is>
      </c>
      <c r="E220" t="inlineStr">
        <is>
          <t>HÄSSLEHOLM</t>
        </is>
      </c>
      <c r="G220" t="n">
        <v>3</v>
      </c>
      <c r="H220" t="n">
        <v>0</v>
      </c>
      <c r="I220" t="n">
        <v>0</v>
      </c>
      <c r="J220" t="n">
        <v>0</v>
      </c>
      <c r="K220" t="n">
        <v>0</v>
      </c>
      <c r="L220" t="n">
        <v>0</v>
      </c>
      <c r="M220" t="n">
        <v>0</v>
      </c>
      <c r="N220" t="n">
        <v>0</v>
      </c>
      <c r="O220" t="n">
        <v>0</v>
      </c>
      <c r="P220" t="n">
        <v>0</v>
      </c>
      <c r="Q220" t="n">
        <v>0</v>
      </c>
      <c r="R220" s="2" t="inlineStr"/>
    </row>
    <row r="221" ht="15" customHeight="1">
      <c r="A221" t="inlineStr">
        <is>
          <t>A 58886-2024</t>
        </is>
      </c>
      <c r="B221" s="1" t="n">
        <v>45636.45380787037</v>
      </c>
      <c r="C221" s="1" t="n">
        <v>46072</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13087-2023</t>
        </is>
      </c>
      <c r="B222" s="1" t="n">
        <v>45001</v>
      </c>
      <c r="C222" s="1" t="n">
        <v>46072</v>
      </c>
      <c r="D222" t="inlineStr">
        <is>
          <t>SKÅNE LÄN</t>
        </is>
      </c>
      <c r="E222" t="inlineStr">
        <is>
          <t>HÄSSLEHOLM</t>
        </is>
      </c>
      <c r="G222" t="n">
        <v>3.8</v>
      </c>
      <c r="H222" t="n">
        <v>0</v>
      </c>
      <c r="I222" t="n">
        <v>0</v>
      </c>
      <c r="J222" t="n">
        <v>0</v>
      </c>
      <c r="K222" t="n">
        <v>0</v>
      </c>
      <c r="L222" t="n">
        <v>0</v>
      </c>
      <c r="M222" t="n">
        <v>0</v>
      </c>
      <c r="N222" t="n">
        <v>0</v>
      </c>
      <c r="O222" t="n">
        <v>0</v>
      </c>
      <c r="P222" t="n">
        <v>0</v>
      </c>
      <c r="Q222" t="n">
        <v>0</v>
      </c>
      <c r="R222" s="2" t="inlineStr"/>
    </row>
    <row r="223" ht="15" customHeight="1">
      <c r="A223" t="inlineStr">
        <is>
          <t>A 6842-2023</t>
        </is>
      </c>
      <c r="B223" s="1" t="n">
        <v>44967</v>
      </c>
      <c r="C223" s="1" t="n">
        <v>46072</v>
      </c>
      <c r="D223" t="inlineStr">
        <is>
          <t>SKÅNE LÄN</t>
        </is>
      </c>
      <c r="E223" t="inlineStr">
        <is>
          <t>HÄSSLEHOLM</t>
        </is>
      </c>
      <c r="G223" t="n">
        <v>1.9</v>
      </c>
      <c r="H223" t="n">
        <v>0</v>
      </c>
      <c r="I223" t="n">
        <v>0</v>
      </c>
      <c r="J223" t="n">
        <v>0</v>
      </c>
      <c r="K223" t="n">
        <v>0</v>
      </c>
      <c r="L223" t="n">
        <v>0</v>
      </c>
      <c r="M223" t="n">
        <v>0</v>
      </c>
      <c r="N223" t="n">
        <v>0</v>
      </c>
      <c r="O223" t="n">
        <v>0</v>
      </c>
      <c r="P223" t="n">
        <v>0</v>
      </c>
      <c r="Q223" t="n">
        <v>0</v>
      </c>
      <c r="R223" s="2" t="inlineStr"/>
    </row>
    <row r="224" ht="15" customHeight="1">
      <c r="A224" t="inlineStr">
        <is>
          <t>A 57079-2022</t>
        </is>
      </c>
      <c r="B224" s="1" t="n">
        <v>44895</v>
      </c>
      <c r="C224" s="1" t="n">
        <v>46072</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15698-2023</t>
        </is>
      </c>
      <c r="B225" s="1" t="n">
        <v>45021</v>
      </c>
      <c r="C225" s="1" t="n">
        <v>46072</v>
      </c>
      <c r="D225" t="inlineStr">
        <is>
          <t>SKÅNE LÄN</t>
        </is>
      </c>
      <c r="E225" t="inlineStr">
        <is>
          <t>HÄSSLEHOLM</t>
        </is>
      </c>
      <c r="F225" t="inlineStr">
        <is>
          <t>Kommuner</t>
        </is>
      </c>
      <c r="G225" t="n">
        <v>5.5</v>
      </c>
      <c r="H225" t="n">
        <v>0</v>
      </c>
      <c r="I225" t="n">
        <v>0</v>
      </c>
      <c r="J225" t="n">
        <v>0</v>
      </c>
      <c r="K225" t="n">
        <v>0</v>
      </c>
      <c r="L225" t="n">
        <v>0</v>
      </c>
      <c r="M225" t="n">
        <v>0</v>
      </c>
      <c r="N225" t="n">
        <v>0</v>
      </c>
      <c r="O225" t="n">
        <v>0</v>
      </c>
      <c r="P225" t="n">
        <v>0</v>
      </c>
      <c r="Q225" t="n">
        <v>0</v>
      </c>
      <c r="R225" s="2" t="inlineStr"/>
    </row>
    <row r="226" ht="15" customHeight="1">
      <c r="A226" t="inlineStr">
        <is>
          <t>A 13198-2025</t>
        </is>
      </c>
      <c r="B226" s="1" t="n">
        <v>45735</v>
      </c>
      <c r="C226" s="1" t="n">
        <v>46072</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50899-2024</t>
        </is>
      </c>
      <c r="B227" s="1" t="n">
        <v>45602.68584490741</v>
      </c>
      <c r="C227" s="1" t="n">
        <v>46072</v>
      </c>
      <c r="D227" t="inlineStr">
        <is>
          <t>SKÅNE LÄN</t>
        </is>
      </c>
      <c r="E227" t="inlineStr">
        <is>
          <t>HÄSSLEHOLM</t>
        </is>
      </c>
      <c r="G227" t="n">
        <v>1.7</v>
      </c>
      <c r="H227" t="n">
        <v>0</v>
      </c>
      <c r="I227" t="n">
        <v>0</v>
      </c>
      <c r="J227" t="n">
        <v>0</v>
      </c>
      <c r="K227" t="n">
        <v>0</v>
      </c>
      <c r="L227" t="n">
        <v>0</v>
      </c>
      <c r="M227" t="n">
        <v>0</v>
      </c>
      <c r="N227" t="n">
        <v>0</v>
      </c>
      <c r="O227" t="n">
        <v>0</v>
      </c>
      <c r="P227" t="n">
        <v>0</v>
      </c>
      <c r="Q227" t="n">
        <v>0</v>
      </c>
      <c r="R227" s="2" t="inlineStr"/>
    </row>
    <row r="228" ht="15" customHeight="1">
      <c r="A228" t="inlineStr">
        <is>
          <t>A 49107-2023</t>
        </is>
      </c>
      <c r="B228" s="1" t="n">
        <v>45210.44337962963</v>
      </c>
      <c r="C228" s="1" t="n">
        <v>46072</v>
      </c>
      <c r="D228" t="inlineStr">
        <is>
          <t>SKÅNE LÄN</t>
        </is>
      </c>
      <c r="E228" t="inlineStr">
        <is>
          <t>HÄSSLEHOLM</t>
        </is>
      </c>
      <c r="G228" t="n">
        <v>0.3</v>
      </c>
      <c r="H228" t="n">
        <v>0</v>
      </c>
      <c r="I228" t="n">
        <v>0</v>
      </c>
      <c r="J228" t="n">
        <v>0</v>
      </c>
      <c r="K228" t="n">
        <v>0</v>
      </c>
      <c r="L228" t="n">
        <v>0</v>
      </c>
      <c r="M228" t="n">
        <v>0</v>
      </c>
      <c r="N228" t="n">
        <v>0</v>
      </c>
      <c r="O228" t="n">
        <v>0</v>
      </c>
      <c r="P228" t="n">
        <v>0</v>
      </c>
      <c r="Q228" t="n">
        <v>0</v>
      </c>
      <c r="R228" s="2" t="inlineStr"/>
    </row>
    <row r="229" ht="15" customHeight="1">
      <c r="A229" t="inlineStr">
        <is>
          <t>A 53466-2024</t>
        </is>
      </c>
      <c r="B229" s="1" t="n">
        <v>45614.55304398148</v>
      </c>
      <c r="C229" s="1" t="n">
        <v>46072</v>
      </c>
      <c r="D229" t="inlineStr">
        <is>
          <t>SKÅNE LÄN</t>
        </is>
      </c>
      <c r="E229" t="inlineStr">
        <is>
          <t>HÄSSLEHOLM</t>
        </is>
      </c>
      <c r="G229" t="n">
        <v>1.3</v>
      </c>
      <c r="H229" t="n">
        <v>0</v>
      </c>
      <c r="I229" t="n">
        <v>0</v>
      </c>
      <c r="J229" t="n">
        <v>0</v>
      </c>
      <c r="K229" t="n">
        <v>0</v>
      </c>
      <c r="L229" t="n">
        <v>0</v>
      </c>
      <c r="M229" t="n">
        <v>0</v>
      </c>
      <c r="N229" t="n">
        <v>0</v>
      </c>
      <c r="O229" t="n">
        <v>0</v>
      </c>
      <c r="P229" t="n">
        <v>0</v>
      </c>
      <c r="Q229" t="n">
        <v>0</v>
      </c>
      <c r="R229" s="2" t="inlineStr"/>
    </row>
    <row r="230" ht="15" customHeight="1">
      <c r="A230" t="inlineStr">
        <is>
          <t>A 65235-2021</t>
        </is>
      </c>
      <c r="B230" s="1" t="n">
        <v>44515</v>
      </c>
      <c r="C230" s="1" t="n">
        <v>46072</v>
      </c>
      <c r="D230" t="inlineStr">
        <is>
          <t>SKÅNE LÄN</t>
        </is>
      </c>
      <c r="E230" t="inlineStr">
        <is>
          <t>HÄSSLEHOLM</t>
        </is>
      </c>
      <c r="G230" t="n">
        <v>2.5</v>
      </c>
      <c r="H230" t="n">
        <v>0</v>
      </c>
      <c r="I230" t="n">
        <v>0</v>
      </c>
      <c r="J230" t="n">
        <v>0</v>
      </c>
      <c r="K230" t="n">
        <v>0</v>
      </c>
      <c r="L230" t="n">
        <v>0</v>
      </c>
      <c r="M230" t="n">
        <v>0</v>
      </c>
      <c r="N230" t="n">
        <v>0</v>
      </c>
      <c r="O230" t="n">
        <v>0</v>
      </c>
      <c r="P230" t="n">
        <v>0</v>
      </c>
      <c r="Q230" t="n">
        <v>0</v>
      </c>
      <c r="R230" s="2" t="inlineStr"/>
    </row>
    <row r="231" ht="15" customHeight="1">
      <c r="A231" t="inlineStr">
        <is>
          <t>A 61533-2024</t>
        </is>
      </c>
      <c r="B231" s="1" t="n">
        <v>45646</v>
      </c>
      <c r="C231" s="1" t="n">
        <v>46072</v>
      </c>
      <c r="D231" t="inlineStr">
        <is>
          <t>SKÅNE LÄN</t>
        </is>
      </c>
      <c r="E231" t="inlineStr">
        <is>
          <t>HÄSSLEHOLM</t>
        </is>
      </c>
      <c r="G231" t="n">
        <v>4.5</v>
      </c>
      <c r="H231" t="n">
        <v>0</v>
      </c>
      <c r="I231" t="n">
        <v>0</v>
      </c>
      <c r="J231" t="n">
        <v>0</v>
      </c>
      <c r="K231" t="n">
        <v>0</v>
      </c>
      <c r="L231" t="n">
        <v>0</v>
      </c>
      <c r="M231" t="n">
        <v>0</v>
      </c>
      <c r="N231" t="n">
        <v>0</v>
      </c>
      <c r="O231" t="n">
        <v>0</v>
      </c>
      <c r="P231" t="n">
        <v>0</v>
      </c>
      <c r="Q231" t="n">
        <v>0</v>
      </c>
      <c r="R231" s="2" t="inlineStr"/>
    </row>
    <row r="232" ht="15" customHeight="1">
      <c r="A232" t="inlineStr">
        <is>
          <t>A 13549-2025</t>
        </is>
      </c>
      <c r="B232" s="1" t="n">
        <v>45736</v>
      </c>
      <c r="C232" s="1" t="n">
        <v>46072</v>
      </c>
      <c r="D232" t="inlineStr">
        <is>
          <t>SKÅNE LÄN</t>
        </is>
      </c>
      <c r="E232" t="inlineStr">
        <is>
          <t>HÄSSLEHOLM</t>
        </is>
      </c>
      <c r="G232" t="n">
        <v>0.9</v>
      </c>
      <c r="H232" t="n">
        <v>0</v>
      </c>
      <c r="I232" t="n">
        <v>0</v>
      </c>
      <c r="J232" t="n">
        <v>0</v>
      </c>
      <c r="K232" t="n">
        <v>0</v>
      </c>
      <c r="L232" t="n">
        <v>0</v>
      </c>
      <c r="M232" t="n">
        <v>0</v>
      </c>
      <c r="N232" t="n">
        <v>0</v>
      </c>
      <c r="O232" t="n">
        <v>0</v>
      </c>
      <c r="P232" t="n">
        <v>0</v>
      </c>
      <c r="Q232" t="n">
        <v>0</v>
      </c>
      <c r="R232" s="2" t="inlineStr"/>
    </row>
    <row r="233" ht="15" customHeight="1">
      <c r="A233" t="inlineStr">
        <is>
          <t>A 19735-2023</t>
        </is>
      </c>
      <c r="B233" s="1" t="n">
        <v>45051.52199074074</v>
      </c>
      <c r="C233" s="1" t="n">
        <v>46072</v>
      </c>
      <c r="D233" t="inlineStr">
        <is>
          <t>SKÅNE LÄN</t>
        </is>
      </c>
      <c r="E233" t="inlineStr">
        <is>
          <t>HÄSSLEHOLM</t>
        </is>
      </c>
      <c r="G233" t="n">
        <v>4</v>
      </c>
      <c r="H233" t="n">
        <v>0</v>
      </c>
      <c r="I233" t="n">
        <v>0</v>
      </c>
      <c r="J233" t="n">
        <v>0</v>
      </c>
      <c r="K233" t="n">
        <v>0</v>
      </c>
      <c r="L233" t="n">
        <v>0</v>
      </c>
      <c r="M233" t="n">
        <v>0</v>
      </c>
      <c r="N233" t="n">
        <v>0</v>
      </c>
      <c r="O233" t="n">
        <v>0</v>
      </c>
      <c r="P233" t="n">
        <v>0</v>
      </c>
      <c r="Q233" t="n">
        <v>0</v>
      </c>
      <c r="R233" s="2" t="inlineStr"/>
    </row>
    <row r="234" ht="15" customHeight="1">
      <c r="A234" t="inlineStr">
        <is>
          <t>A 51245-2023</t>
        </is>
      </c>
      <c r="B234" s="1" t="n">
        <v>45212</v>
      </c>
      <c r="C234" s="1" t="n">
        <v>46072</v>
      </c>
      <c r="D234" t="inlineStr">
        <is>
          <t>SKÅNE LÄN</t>
        </is>
      </c>
      <c r="E234" t="inlineStr">
        <is>
          <t>HÄSSLEHOLM</t>
        </is>
      </c>
      <c r="G234" t="n">
        <v>2.1</v>
      </c>
      <c r="H234" t="n">
        <v>0</v>
      </c>
      <c r="I234" t="n">
        <v>0</v>
      </c>
      <c r="J234" t="n">
        <v>0</v>
      </c>
      <c r="K234" t="n">
        <v>0</v>
      </c>
      <c r="L234" t="n">
        <v>0</v>
      </c>
      <c r="M234" t="n">
        <v>0</v>
      </c>
      <c r="N234" t="n">
        <v>0</v>
      </c>
      <c r="O234" t="n">
        <v>0</v>
      </c>
      <c r="P234" t="n">
        <v>0</v>
      </c>
      <c r="Q234" t="n">
        <v>0</v>
      </c>
      <c r="R234" s="2" t="inlineStr"/>
    </row>
    <row r="235" ht="15" customHeight="1">
      <c r="A235" t="inlineStr">
        <is>
          <t>A 2490-2024</t>
        </is>
      </c>
      <c r="B235" s="1" t="n">
        <v>45313.43649305555</v>
      </c>
      <c r="C235" s="1" t="n">
        <v>46072</v>
      </c>
      <c r="D235" t="inlineStr">
        <is>
          <t>SKÅNE LÄN</t>
        </is>
      </c>
      <c r="E235" t="inlineStr">
        <is>
          <t>HÄSSLEHOLM</t>
        </is>
      </c>
      <c r="G235" t="n">
        <v>4</v>
      </c>
      <c r="H235" t="n">
        <v>0</v>
      </c>
      <c r="I235" t="n">
        <v>0</v>
      </c>
      <c r="J235" t="n">
        <v>0</v>
      </c>
      <c r="K235" t="n">
        <v>0</v>
      </c>
      <c r="L235" t="n">
        <v>0</v>
      </c>
      <c r="M235" t="n">
        <v>0</v>
      </c>
      <c r="N235" t="n">
        <v>0</v>
      </c>
      <c r="O235" t="n">
        <v>0</v>
      </c>
      <c r="P235" t="n">
        <v>0</v>
      </c>
      <c r="Q235" t="n">
        <v>0</v>
      </c>
      <c r="R235" s="2" t="inlineStr"/>
    </row>
    <row r="236" ht="15" customHeight="1">
      <c r="A236" t="inlineStr">
        <is>
          <t>A 9239-2025</t>
        </is>
      </c>
      <c r="B236" s="1" t="n">
        <v>45714</v>
      </c>
      <c r="C236" s="1" t="n">
        <v>46072</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31934-2024</t>
        </is>
      </c>
      <c r="B237" s="1" t="n">
        <v>45510.41177083334</v>
      </c>
      <c r="C237" s="1" t="n">
        <v>46072</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61537-2024</t>
        </is>
      </c>
      <c r="B238" s="1" t="n">
        <v>45646</v>
      </c>
      <c r="C238" s="1" t="n">
        <v>46072</v>
      </c>
      <c r="D238" t="inlineStr">
        <is>
          <t>SKÅNE LÄN</t>
        </is>
      </c>
      <c r="E238" t="inlineStr">
        <is>
          <t>HÄSSLEHOLM</t>
        </is>
      </c>
      <c r="G238" t="n">
        <v>3.7</v>
      </c>
      <c r="H238" t="n">
        <v>0</v>
      </c>
      <c r="I238" t="n">
        <v>0</v>
      </c>
      <c r="J238" t="n">
        <v>0</v>
      </c>
      <c r="K238" t="n">
        <v>0</v>
      </c>
      <c r="L238" t="n">
        <v>0</v>
      </c>
      <c r="M238" t="n">
        <v>0</v>
      </c>
      <c r="N238" t="n">
        <v>0</v>
      </c>
      <c r="O238" t="n">
        <v>0</v>
      </c>
      <c r="P238" t="n">
        <v>0</v>
      </c>
      <c r="Q238" t="n">
        <v>0</v>
      </c>
      <c r="R238" s="2" t="inlineStr"/>
    </row>
    <row r="239" ht="15" customHeight="1">
      <c r="A239" t="inlineStr">
        <is>
          <t>A 50616-2023</t>
        </is>
      </c>
      <c r="B239" s="1" t="n">
        <v>45210</v>
      </c>
      <c r="C239" s="1" t="n">
        <v>46072</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45361-2023</t>
        </is>
      </c>
      <c r="B240" s="1" t="n">
        <v>45192.49068287037</v>
      </c>
      <c r="C240" s="1" t="n">
        <v>46072</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34890-2023</t>
        </is>
      </c>
      <c r="B241" s="1" t="n">
        <v>45142.39475694444</v>
      </c>
      <c r="C241" s="1" t="n">
        <v>46072</v>
      </c>
      <c r="D241" t="inlineStr">
        <is>
          <t>SKÅNE LÄN</t>
        </is>
      </c>
      <c r="E241" t="inlineStr">
        <is>
          <t>HÄSSLEHOLM</t>
        </is>
      </c>
      <c r="G241" t="n">
        <v>4</v>
      </c>
      <c r="H241" t="n">
        <v>0</v>
      </c>
      <c r="I241" t="n">
        <v>0</v>
      </c>
      <c r="J241" t="n">
        <v>0</v>
      </c>
      <c r="K241" t="n">
        <v>0</v>
      </c>
      <c r="L241" t="n">
        <v>0</v>
      </c>
      <c r="M241" t="n">
        <v>0</v>
      </c>
      <c r="N241" t="n">
        <v>0</v>
      </c>
      <c r="O241" t="n">
        <v>0</v>
      </c>
      <c r="P241" t="n">
        <v>0</v>
      </c>
      <c r="Q241" t="n">
        <v>0</v>
      </c>
      <c r="R241" s="2" t="inlineStr"/>
    </row>
    <row r="242" ht="15" customHeight="1">
      <c r="A242" t="inlineStr">
        <is>
          <t>A 22024-2025</t>
        </is>
      </c>
      <c r="B242" s="1" t="n">
        <v>45784.85322916666</v>
      </c>
      <c r="C242" s="1" t="n">
        <v>46072</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20006-2025</t>
        </is>
      </c>
      <c r="B243" s="1" t="n">
        <v>45772.05032407407</v>
      </c>
      <c r="C243" s="1" t="n">
        <v>46072</v>
      </c>
      <c r="D243" t="inlineStr">
        <is>
          <t>SKÅNE LÄN</t>
        </is>
      </c>
      <c r="E243" t="inlineStr">
        <is>
          <t>HÄSSLEHOLM</t>
        </is>
      </c>
      <c r="G243" t="n">
        <v>3.9</v>
      </c>
      <c r="H243" t="n">
        <v>0</v>
      </c>
      <c r="I243" t="n">
        <v>0</v>
      </c>
      <c r="J243" t="n">
        <v>0</v>
      </c>
      <c r="K243" t="n">
        <v>0</v>
      </c>
      <c r="L243" t="n">
        <v>0</v>
      </c>
      <c r="M243" t="n">
        <v>0</v>
      </c>
      <c r="N243" t="n">
        <v>0</v>
      </c>
      <c r="O243" t="n">
        <v>0</v>
      </c>
      <c r="P243" t="n">
        <v>0</v>
      </c>
      <c r="Q243" t="n">
        <v>0</v>
      </c>
      <c r="R243" s="2" t="inlineStr"/>
    </row>
    <row r="244" ht="15" customHeight="1">
      <c r="A244" t="inlineStr">
        <is>
          <t>A 56735-2024</t>
        </is>
      </c>
      <c r="B244" s="1" t="n">
        <v>45628.36234953703</v>
      </c>
      <c r="C244" s="1" t="n">
        <v>46072</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29844-2024</t>
        </is>
      </c>
      <c r="B245" s="1" t="n">
        <v>45485</v>
      </c>
      <c r="C245" s="1" t="n">
        <v>46072</v>
      </c>
      <c r="D245" t="inlineStr">
        <is>
          <t>SKÅNE LÄN</t>
        </is>
      </c>
      <c r="E245" t="inlineStr">
        <is>
          <t>HÄSSLEHOLM</t>
        </is>
      </c>
      <c r="G245" t="n">
        <v>1.9</v>
      </c>
      <c r="H245" t="n">
        <v>0</v>
      </c>
      <c r="I245" t="n">
        <v>0</v>
      </c>
      <c r="J245" t="n">
        <v>0</v>
      </c>
      <c r="K245" t="n">
        <v>0</v>
      </c>
      <c r="L245" t="n">
        <v>0</v>
      </c>
      <c r="M245" t="n">
        <v>0</v>
      </c>
      <c r="N245" t="n">
        <v>0</v>
      </c>
      <c r="O245" t="n">
        <v>0</v>
      </c>
      <c r="P245" t="n">
        <v>0</v>
      </c>
      <c r="Q245" t="n">
        <v>0</v>
      </c>
      <c r="R245" s="2" t="inlineStr"/>
    </row>
    <row r="246" ht="15" customHeight="1">
      <c r="A246" t="inlineStr">
        <is>
          <t>A 59429-2023</t>
        </is>
      </c>
      <c r="B246" s="1" t="n">
        <v>45254.2875</v>
      </c>
      <c r="C246" s="1" t="n">
        <v>46072</v>
      </c>
      <c r="D246" t="inlineStr">
        <is>
          <t>SKÅNE LÄN</t>
        </is>
      </c>
      <c r="E246" t="inlineStr">
        <is>
          <t>HÄSSLEHOLM</t>
        </is>
      </c>
      <c r="G246" t="n">
        <v>0</v>
      </c>
      <c r="H246" t="n">
        <v>0</v>
      </c>
      <c r="I246" t="n">
        <v>0</v>
      </c>
      <c r="J246" t="n">
        <v>0</v>
      </c>
      <c r="K246" t="n">
        <v>0</v>
      </c>
      <c r="L246" t="n">
        <v>0</v>
      </c>
      <c r="M246" t="n">
        <v>0</v>
      </c>
      <c r="N246" t="n">
        <v>0</v>
      </c>
      <c r="O246" t="n">
        <v>0</v>
      </c>
      <c r="P246" t="n">
        <v>0</v>
      </c>
      <c r="Q246" t="n">
        <v>0</v>
      </c>
      <c r="R246" s="2" t="inlineStr"/>
    </row>
    <row r="247" ht="15" customHeight="1">
      <c r="A247" t="inlineStr">
        <is>
          <t>A 60959-2022</t>
        </is>
      </c>
      <c r="B247" s="1" t="n">
        <v>44914.64777777778</v>
      </c>
      <c r="C247" s="1" t="n">
        <v>46072</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55662-2022</t>
        </is>
      </c>
      <c r="B248" s="1" t="n">
        <v>44883</v>
      </c>
      <c r="C248" s="1" t="n">
        <v>46072</v>
      </c>
      <c r="D248" t="inlineStr">
        <is>
          <t>SKÅNE LÄN</t>
        </is>
      </c>
      <c r="E248" t="inlineStr">
        <is>
          <t>HÄSSLEHOLM</t>
        </is>
      </c>
      <c r="F248" t="inlineStr">
        <is>
          <t>Övriga Aktiebolag</t>
        </is>
      </c>
      <c r="G248" t="n">
        <v>2.6</v>
      </c>
      <c r="H248" t="n">
        <v>0</v>
      </c>
      <c r="I248" t="n">
        <v>0</v>
      </c>
      <c r="J248" t="n">
        <v>0</v>
      </c>
      <c r="K248" t="n">
        <v>0</v>
      </c>
      <c r="L248" t="n">
        <v>0</v>
      </c>
      <c r="M248" t="n">
        <v>0</v>
      </c>
      <c r="N248" t="n">
        <v>0</v>
      </c>
      <c r="O248" t="n">
        <v>0</v>
      </c>
      <c r="P248" t="n">
        <v>0</v>
      </c>
      <c r="Q248" t="n">
        <v>0</v>
      </c>
      <c r="R248" s="2" t="inlineStr"/>
    </row>
    <row r="249" ht="15" customHeight="1">
      <c r="A249" t="inlineStr">
        <is>
          <t>A 3886-2024</t>
        </is>
      </c>
      <c r="B249" s="1" t="n">
        <v>45322.44539351852</v>
      </c>
      <c r="C249" s="1" t="n">
        <v>46072</v>
      </c>
      <c r="D249" t="inlineStr">
        <is>
          <t>SKÅNE LÄN</t>
        </is>
      </c>
      <c r="E249" t="inlineStr">
        <is>
          <t>HÄSSLEHOLM</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9924-2025</t>
        </is>
      </c>
      <c r="B250" s="1" t="n">
        <v>45717.72505787037</v>
      </c>
      <c r="C250" s="1" t="n">
        <v>46072</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22587-2025</t>
        </is>
      </c>
      <c r="B251" s="1" t="n">
        <v>45789.39974537037</v>
      </c>
      <c r="C251" s="1" t="n">
        <v>46072</v>
      </c>
      <c r="D251" t="inlineStr">
        <is>
          <t>SKÅNE LÄN</t>
        </is>
      </c>
      <c r="E251" t="inlineStr">
        <is>
          <t>HÄSSLEHOLM</t>
        </is>
      </c>
      <c r="G251" t="n">
        <v>5.7</v>
      </c>
      <c r="H251" t="n">
        <v>0</v>
      </c>
      <c r="I251" t="n">
        <v>0</v>
      </c>
      <c r="J251" t="n">
        <v>0</v>
      </c>
      <c r="K251" t="n">
        <v>0</v>
      </c>
      <c r="L251" t="n">
        <v>0</v>
      </c>
      <c r="M251" t="n">
        <v>0</v>
      </c>
      <c r="N251" t="n">
        <v>0</v>
      </c>
      <c r="O251" t="n">
        <v>0</v>
      </c>
      <c r="P251" t="n">
        <v>0</v>
      </c>
      <c r="Q251" t="n">
        <v>0</v>
      </c>
      <c r="R251" s="2" t="inlineStr"/>
    </row>
    <row r="252" ht="15" customHeight="1">
      <c r="A252" t="inlineStr">
        <is>
          <t>A 26403-2024</t>
        </is>
      </c>
      <c r="B252" s="1" t="n">
        <v>45469.44505787037</v>
      </c>
      <c r="C252" s="1" t="n">
        <v>46072</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26403-2024</t>
        </is>
      </c>
      <c r="B253" s="1" t="n">
        <v>45469.44505787037</v>
      </c>
      <c r="C253" s="1" t="n">
        <v>46072</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9556-2025</t>
        </is>
      </c>
      <c r="B254" s="1" t="n">
        <v>45714</v>
      </c>
      <c r="C254" s="1" t="n">
        <v>46072</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60920-2024</t>
        </is>
      </c>
      <c r="B255" s="1" t="n">
        <v>45645.34442129629</v>
      </c>
      <c r="C255" s="1" t="n">
        <v>46072</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40536-2024</t>
        </is>
      </c>
      <c r="B256" s="1" t="n">
        <v>45555.61314814815</v>
      </c>
      <c r="C256" s="1" t="n">
        <v>46072</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42906-2022</t>
        </is>
      </c>
      <c r="B257" s="1" t="n">
        <v>44833</v>
      </c>
      <c r="C257" s="1" t="n">
        <v>46072</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56386-2023</t>
        </is>
      </c>
      <c r="B258" s="1" t="n">
        <v>45243</v>
      </c>
      <c r="C258" s="1" t="n">
        <v>46072</v>
      </c>
      <c r="D258" t="inlineStr">
        <is>
          <t>SKÅNE LÄN</t>
        </is>
      </c>
      <c r="E258" t="inlineStr">
        <is>
          <t>HÄSSLEHOLM</t>
        </is>
      </c>
      <c r="G258" t="n">
        <v>2</v>
      </c>
      <c r="H258" t="n">
        <v>0</v>
      </c>
      <c r="I258" t="n">
        <v>0</v>
      </c>
      <c r="J258" t="n">
        <v>0</v>
      </c>
      <c r="K258" t="n">
        <v>0</v>
      </c>
      <c r="L258" t="n">
        <v>0</v>
      </c>
      <c r="M258" t="n">
        <v>0</v>
      </c>
      <c r="N258" t="n">
        <v>0</v>
      </c>
      <c r="O258" t="n">
        <v>0</v>
      </c>
      <c r="P258" t="n">
        <v>0</v>
      </c>
      <c r="Q258" t="n">
        <v>0</v>
      </c>
      <c r="R258" s="2" t="inlineStr"/>
    </row>
    <row r="259" ht="15" customHeight="1">
      <c r="A259" t="inlineStr">
        <is>
          <t>A 31931-2024</t>
        </is>
      </c>
      <c r="B259" s="1" t="n">
        <v>45510.40878472223</v>
      </c>
      <c r="C259" s="1" t="n">
        <v>46072</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29274-2023</t>
        </is>
      </c>
      <c r="B260" s="1" t="n">
        <v>45105</v>
      </c>
      <c r="C260" s="1" t="n">
        <v>46072</v>
      </c>
      <c r="D260" t="inlineStr">
        <is>
          <t>SKÅNE LÄN</t>
        </is>
      </c>
      <c r="E260" t="inlineStr">
        <is>
          <t>HÄSSLEHOLM</t>
        </is>
      </c>
      <c r="G260" t="n">
        <v>3.4</v>
      </c>
      <c r="H260" t="n">
        <v>0</v>
      </c>
      <c r="I260" t="n">
        <v>0</v>
      </c>
      <c r="J260" t="n">
        <v>0</v>
      </c>
      <c r="K260" t="n">
        <v>0</v>
      </c>
      <c r="L260" t="n">
        <v>0</v>
      </c>
      <c r="M260" t="n">
        <v>0</v>
      </c>
      <c r="N260" t="n">
        <v>0</v>
      </c>
      <c r="O260" t="n">
        <v>0</v>
      </c>
      <c r="P260" t="n">
        <v>0</v>
      </c>
      <c r="Q260" t="n">
        <v>0</v>
      </c>
      <c r="R260" s="2" t="inlineStr"/>
    </row>
    <row r="261" ht="15" customHeight="1">
      <c r="A261" t="inlineStr">
        <is>
          <t>A 61932-2023</t>
        </is>
      </c>
      <c r="B261" s="1" t="n">
        <v>45266.53761574074</v>
      </c>
      <c r="C261" s="1" t="n">
        <v>46072</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27606-2024</t>
        </is>
      </c>
      <c r="B262" s="1" t="n">
        <v>45474</v>
      </c>
      <c r="C262" s="1" t="n">
        <v>46072</v>
      </c>
      <c r="D262" t="inlineStr">
        <is>
          <t>SKÅNE LÄN</t>
        </is>
      </c>
      <c r="E262" t="inlineStr">
        <is>
          <t>HÄSSLEHOLM</t>
        </is>
      </c>
      <c r="G262" t="n">
        <v>3.6</v>
      </c>
      <c r="H262" t="n">
        <v>0</v>
      </c>
      <c r="I262" t="n">
        <v>0</v>
      </c>
      <c r="J262" t="n">
        <v>0</v>
      </c>
      <c r="K262" t="n">
        <v>0</v>
      </c>
      <c r="L262" t="n">
        <v>0</v>
      </c>
      <c r="M262" t="n">
        <v>0</v>
      </c>
      <c r="N262" t="n">
        <v>0</v>
      </c>
      <c r="O262" t="n">
        <v>0</v>
      </c>
      <c r="P262" t="n">
        <v>0</v>
      </c>
      <c r="Q262" t="n">
        <v>0</v>
      </c>
      <c r="R262" s="2" t="inlineStr"/>
    </row>
    <row r="263" ht="15" customHeight="1">
      <c r="A263" t="inlineStr">
        <is>
          <t>A 50244-2024</t>
        </is>
      </c>
      <c r="B263" s="1" t="n">
        <v>45600.56502314815</v>
      </c>
      <c r="C263" s="1" t="n">
        <v>46072</v>
      </c>
      <c r="D263" t="inlineStr">
        <is>
          <t>SKÅNE LÄN</t>
        </is>
      </c>
      <c r="E263" t="inlineStr">
        <is>
          <t>HÄSSLEHOLM</t>
        </is>
      </c>
      <c r="G263" t="n">
        <v>1.9</v>
      </c>
      <c r="H263" t="n">
        <v>0</v>
      </c>
      <c r="I263" t="n">
        <v>0</v>
      </c>
      <c r="J263" t="n">
        <v>0</v>
      </c>
      <c r="K263" t="n">
        <v>0</v>
      </c>
      <c r="L263" t="n">
        <v>0</v>
      </c>
      <c r="M263" t="n">
        <v>0</v>
      </c>
      <c r="N263" t="n">
        <v>0</v>
      </c>
      <c r="O263" t="n">
        <v>0</v>
      </c>
      <c r="P263" t="n">
        <v>0</v>
      </c>
      <c r="Q263" t="n">
        <v>0</v>
      </c>
      <c r="R263" s="2" t="inlineStr"/>
    </row>
    <row r="264" ht="15" customHeight="1">
      <c r="A264" t="inlineStr">
        <is>
          <t>A 7221-2025</t>
        </is>
      </c>
      <c r="B264" s="1" t="n">
        <v>45701</v>
      </c>
      <c r="C264" s="1" t="n">
        <v>46072</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15133-2023</t>
        </is>
      </c>
      <c r="B265" s="1" t="n">
        <v>45016</v>
      </c>
      <c r="C265" s="1" t="n">
        <v>46072</v>
      </c>
      <c r="D265" t="inlineStr">
        <is>
          <t>SKÅNE LÄN</t>
        </is>
      </c>
      <c r="E265" t="inlineStr">
        <is>
          <t>HÄSSLEHOLM</t>
        </is>
      </c>
      <c r="G265" t="n">
        <v>7.8</v>
      </c>
      <c r="H265" t="n">
        <v>0</v>
      </c>
      <c r="I265" t="n">
        <v>0</v>
      </c>
      <c r="J265" t="n">
        <v>0</v>
      </c>
      <c r="K265" t="n">
        <v>0</v>
      </c>
      <c r="L265" t="n">
        <v>0</v>
      </c>
      <c r="M265" t="n">
        <v>0</v>
      </c>
      <c r="N265" t="n">
        <v>0</v>
      </c>
      <c r="O265" t="n">
        <v>0</v>
      </c>
      <c r="P265" t="n">
        <v>0</v>
      </c>
      <c r="Q265" t="n">
        <v>0</v>
      </c>
      <c r="R265" s="2" t="inlineStr"/>
    </row>
    <row r="266" ht="15" customHeight="1">
      <c r="A266" t="inlineStr">
        <is>
          <t>A 5532-2025</t>
        </is>
      </c>
      <c r="B266" s="1" t="n">
        <v>45693</v>
      </c>
      <c r="C266" s="1" t="n">
        <v>46072</v>
      </c>
      <c r="D266" t="inlineStr">
        <is>
          <t>SKÅNE LÄN</t>
        </is>
      </c>
      <c r="E266" t="inlineStr">
        <is>
          <t>HÄSSLEHOLM</t>
        </is>
      </c>
      <c r="G266" t="n">
        <v>2.4</v>
      </c>
      <c r="H266" t="n">
        <v>0</v>
      </c>
      <c r="I266" t="n">
        <v>0</v>
      </c>
      <c r="J266" t="n">
        <v>0</v>
      </c>
      <c r="K266" t="n">
        <v>0</v>
      </c>
      <c r="L266" t="n">
        <v>0</v>
      </c>
      <c r="M266" t="n">
        <v>0</v>
      </c>
      <c r="N266" t="n">
        <v>0</v>
      </c>
      <c r="O266" t="n">
        <v>0</v>
      </c>
      <c r="P266" t="n">
        <v>0</v>
      </c>
      <c r="Q266" t="n">
        <v>0</v>
      </c>
      <c r="R266" s="2" t="inlineStr"/>
    </row>
    <row r="267" ht="15" customHeight="1">
      <c r="A267" t="inlineStr">
        <is>
          <t>A 55458-2025</t>
        </is>
      </c>
      <c r="B267" s="1" t="n">
        <v>45971</v>
      </c>
      <c r="C267" s="1" t="n">
        <v>46072</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34883-2023</t>
        </is>
      </c>
      <c r="B268" s="1" t="n">
        <v>45142.37902777778</v>
      </c>
      <c r="C268" s="1" t="n">
        <v>46072</v>
      </c>
      <c r="D268" t="inlineStr">
        <is>
          <t>SKÅNE LÄN</t>
        </is>
      </c>
      <c r="E268" t="inlineStr">
        <is>
          <t>HÄSSLEHOLM</t>
        </is>
      </c>
      <c r="G268" t="n">
        <v>2.5</v>
      </c>
      <c r="H268" t="n">
        <v>0</v>
      </c>
      <c r="I268" t="n">
        <v>0</v>
      </c>
      <c r="J268" t="n">
        <v>0</v>
      </c>
      <c r="K268" t="n">
        <v>0</v>
      </c>
      <c r="L268" t="n">
        <v>0</v>
      </c>
      <c r="M268" t="n">
        <v>0</v>
      </c>
      <c r="N268" t="n">
        <v>0</v>
      </c>
      <c r="O268" t="n">
        <v>0</v>
      </c>
      <c r="P268" t="n">
        <v>0</v>
      </c>
      <c r="Q268" t="n">
        <v>0</v>
      </c>
      <c r="R268" s="2" t="inlineStr"/>
    </row>
    <row r="269" ht="15" customHeight="1">
      <c r="A269" t="inlineStr">
        <is>
          <t>A 16860-2025</t>
        </is>
      </c>
      <c r="B269" s="1" t="n">
        <v>45751</v>
      </c>
      <c r="C269" s="1" t="n">
        <v>46072</v>
      </c>
      <c r="D269" t="inlineStr">
        <is>
          <t>SKÅNE LÄN</t>
        </is>
      </c>
      <c r="E269" t="inlineStr">
        <is>
          <t>HÄSSLEHOLM</t>
        </is>
      </c>
      <c r="G269" t="n">
        <v>1.3</v>
      </c>
      <c r="H269" t="n">
        <v>0</v>
      </c>
      <c r="I269" t="n">
        <v>0</v>
      </c>
      <c r="J269" t="n">
        <v>0</v>
      </c>
      <c r="K269" t="n">
        <v>0</v>
      </c>
      <c r="L269" t="n">
        <v>0</v>
      </c>
      <c r="M269" t="n">
        <v>0</v>
      </c>
      <c r="N269" t="n">
        <v>0</v>
      </c>
      <c r="O269" t="n">
        <v>0</v>
      </c>
      <c r="P269" t="n">
        <v>0</v>
      </c>
      <c r="Q269" t="n">
        <v>0</v>
      </c>
      <c r="R269" s="2" t="inlineStr"/>
    </row>
    <row r="270" ht="15" customHeight="1">
      <c r="A270" t="inlineStr">
        <is>
          <t>A 10230-2025</t>
        </is>
      </c>
      <c r="B270" s="1" t="n">
        <v>45720</v>
      </c>
      <c r="C270" s="1" t="n">
        <v>46072</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33266-2024</t>
        </is>
      </c>
      <c r="B271" s="1" t="n">
        <v>45518</v>
      </c>
      <c r="C271" s="1" t="n">
        <v>46072</v>
      </c>
      <c r="D271" t="inlineStr">
        <is>
          <t>SKÅNE LÄN</t>
        </is>
      </c>
      <c r="E271" t="inlineStr">
        <is>
          <t>HÄSSLEHOLM</t>
        </is>
      </c>
      <c r="G271" t="n">
        <v>3.2</v>
      </c>
      <c r="H271" t="n">
        <v>0</v>
      </c>
      <c r="I271" t="n">
        <v>0</v>
      </c>
      <c r="J271" t="n">
        <v>0</v>
      </c>
      <c r="K271" t="n">
        <v>0</v>
      </c>
      <c r="L271" t="n">
        <v>0</v>
      </c>
      <c r="M271" t="n">
        <v>0</v>
      </c>
      <c r="N271" t="n">
        <v>0</v>
      </c>
      <c r="O271" t="n">
        <v>0</v>
      </c>
      <c r="P271" t="n">
        <v>0</v>
      </c>
      <c r="Q271" t="n">
        <v>0</v>
      </c>
      <c r="R271" s="2" t="inlineStr"/>
    </row>
    <row r="272" ht="15" customHeight="1">
      <c r="A272" t="inlineStr">
        <is>
          <t>A 20187-2023</t>
        </is>
      </c>
      <c r="B272" s="1" t="n">
        <v>45055.57027777778</v>
      </c>
      <c r="C272" s="1" t="n">
        <v>46072</v>
      </c>
      <c r="D272" t="inlineStr">
        <is>
          <t>SKÅNE LÄN</t>
        </is>
      </c>
      <c r="E272" t="inlineStr">
        <is>
          <t>HÄSSLEHOLM</t>
        </is>
      </c>
      <c r="G272" t="n">
        <v>1.8</v>
      </c>
      <c r="H272" t="n">
        <v>0</v>
      </c>
      <c r="I272" t="n">
        <v>0</v>
      </c>
      <c r="J272" t="n">
        <v>0</v>
      </c>
      <c r="K272" t="n">
        <v>0</v>
      </c>
      <c r="L272" t="n">
        <v>0</v>
      </c>
      <c r="M272" t="n">
        <v>0</v>
      </c>
      <c r="N272" t="n">
        <v>0</v>
      </c>
      <c r="O272" t="n">
        <v>0</v>
      </c>
      <c r="P272" t="n">
        <v>0</v>
      </c>
      <c r="Q272" t="n">
        <v>0</v>
      </c>
      <c r="R272" s="2" t="inlineStr"/>
    </row>
    <row r="273" ht="15" customHeight="1">
      <c r="A273" t="inlineStr">
        <is>
          <t>A 48797-2023</t>
        </is>
      </c>
      <c r="B273" s="1" t="n">
        <v>45209.24986111111</v>
      </c>
      <c r="C273" s="1" t="n">
        <v>46072</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22592-2025</t>
        </is>
      </c>
      <c r="B274" s="1" t="n">
        <v>45789.40502314815</v>
      </c>
      <c r="C274" s="1" t="n">
        <v>46072</v>
      </c>
      <c r="D274" t="inlineStr">
        <is>
          <t>SKÅNE LÄN</t>
        </is>
      </c>
      <c r="E274" t="inlineStr">
        <is>
          <t>HÄSSLEHOLM</t>
        </is>
      </c>
      <c r="G274" t="n">
        <v>7.1</v>
      </c>
      <c r="H274" t="n">
        <v>0</v>
      </c>
      <c r="I274" t="n">
        <v>0</v>
      </c>
      <c r="J274" t="n">
        <v>0</v>
      </c>
      <c r="K274" t="n">
        <v>0</v>
      </c>
      <c r="L274" t="n">
        <v>0</v>
      </c>
      <c r="M274" t="n">
        <v>0</v>
      </c>
      <c r="N274" t="n">
        <v>0</v>
      </c>
      <c r="O274" t="n">
        <v>0</v>
      </c>
      <c r="P274" t="n">
        <v>0</v>
      </c>
      <c r="Q274" t="n">
        <v>0</v>
      </c>
      <c r="R274" s="2" t="inlineStr"/>
    </row>
    <row r="275" ht="15" customHeight="1">
      <c r="A275" t="inlineStr">
        <is>
          <t>A 58618-2024</t>
        </is>
      </c>
      <c r="B275" s="1" t="n">
        <v>45635.56150462963</v>
      </c>
      <c r="C275" s="1" t="n">
        <v>46072</v>
      </c>
      <c r="D275" t="inlineStr">
        <is>
          <t>SKÅNE LÄN</t>
        </is>
      </c>
      <c r="E275" t="inlineStr">
        <is>
          <t>HÄSSLEHOLM</t>
        </is>
      </c>
      <c r="G275" t="n">
        <v>2.3</v>
      </c>
      <c r="H275" t="n">
        <v>0</v>
      </c>
      <c r="I275" t="n">
        <v>0</v>
      </c>
      <c r="J275" t="n">
        <v>0</v>
      </c>
      <c r="K275" t="n">
        <v>0</v>
      </c>
      <c r="L275" t="n">
        <v>0</v>
      </c>
      <c r="M275" t="n">
        <v>0</v>
      </c>
      <c r="N275" t="n">
        <v>0</v>
      </c>
      <c r="O275" t="n">
        <v>0</v>
      </c>
      <c r="P275" t="n">
        <v>0</v>
      </c>
      <c r="Q275" t="n">
        <v>0</v>
      </c>
      <c r="R275" s="2" t="inlineStr"/>
    </row>
    <row r="276" ht="15" customHeight="1">
      <c r="A276" t="inlineStr">
        <is>
          <t>A 11266-2025</t>
        </is>
      </c>
      <c r="B276" s="1" t="n">
        <v>45726</v>
      </c>
      <c r="C276" s="1" t="n">
        <v>46072</v>
      </c>
      <c r="D276" t="inlineStr">
        <is>
          <t>SKÅNE LÄN</t>
        </is>
      </c>
      <c r="E276" t="inlineStr">
        <is>
          <t>HÄSSLEHOLM</t>
        </is>
      </c>
      <c r="G276" t="n">
        <v>0.3</v>
      </c>
      <c r="H276" t="n">
        <v>0</v>
      </c>
      <c r="I276" t="n">
        <v>0</v>
      </c>
      <c r="J276" t="n">
        <v>0</v>
      </c>
      <c r="K276" t="n">
        <v>0</v>
      </c>
      <c r="L276" t="n">
        <v>0</v>
      </c>
      <c r="M276" t="n">
        <v>0</v>
      </c>
      <c r="N276" t="n">
        <v>0</v>
      </c>
      <c r="O276" t="n">
        <v>0</v>
      </c>
      <c r="P276" t="n">
        <v>0</v>
      </c>
      <c r="Q276" t="n">
        <v>0</v>
      </c>
      <c r="R276" s="2" t="inlineStr"/>
    </row>
    <row r="277" ht="15" customHeight="1">
      <c r="A277" t="inlineStr">
        <is>
          <t>A 23007-2025</t>
        </is>
      </c>
      <c r="B277" s="1" t="n">
        <v>45790</v>
      </c>
      <c r="C277" s="1" t="n">
        <v>46072</v>
      </c>
      <c r="D277" t="inlineStr">
        <is>
          <t>SKÅNE LÄN</t>
        </is>
      </c>
      <c r="E277" t="inlineStr">
        <is>
          <t>HÄSSLEHOLM</t>
        </is>
      </c>
      <c r="G277" t="n">
        <v>0.4</v>
      </c>
      <c r="H277" t="n">
        <v>0</v>
      </c>
      <c r="I277" t="n">
        <v>0</v>
      </c>
      <c r="J277" t="n">
        <v>0</v>
      </c>
      <c r="K277" t="n">
        <v>0</v>
      </c>
      <c r="L277" t="n">
        <v>0</v>
      </c>
      <c r="M277" t="n">
        <v>0</v>
      </c>
      <c r="N277" t="n">
        <v>0</v>
      </c>
      <c r="O277" t="n">
        <v>0</v>
      </c>
      <c r="P277" t="n">
        <v>0</v>
      </c>
      <c r="Q277" t="n">
        <v>0</v>
      </c>
      <c r="R277" s="2" t="inlineStr"/>
    </row>
    <row r="278" ht="15" customHeight="1">
      <c r="A278" t="inlineStr">
        <is>
          <t>A 17171-2025</t>
        </is>
      </c>
      <c r="B278" s="1" t="n">
        <v>45755</v>
      </c>
      <c r="C278" s="1" t="n">
        <v>46072</v>
      </c>
      <c r="D278" t="inlineStr">
        <is>
          <t>SKÅNE LÄN</t>
        </is>
      </c>
      <c r="E278" t="inlineStr">
        <is>
          <t>HÄSSLEHOLM</t>
        </is>
      </c>
      <c r="G278" t="n">
        <v>1.5</v>
      </c>
      <c r="H278" t="n">
        <v>0</v>
      </c>
      <c r="I278" t="n">
        <v>0</v>
      </c>
      <c r="J278" t="n">
        <v>0</v>
      </c>
      <c r="K278" t="n">
        <v>0</v>
      </c>
      <c r="L278" t="n">
        <v>0</v>
      </c>
      <c r="M278" t="n">
        <v>0</v>
      </c>
      <c r="N278" t="n">
        <v>0</v>
      </c>
      <c r="O278" t="n">
        <v>0</v>
      </c>
      <c r="P278" t="n">
        <v>0</v>
      </c>
      <c r="Q278" t="n">
        <v>0</v>
      </c>
      <c r="R278" s="2" t="inlineStr"/>
    </row>
    <row r="279" ht="15" customHeight="1">
      <c r="A279" t="inlineStr">
        <is>
          <t>A 16930-2024</t>
        </is>
      </c>
      <c r="B279" s="1" t="n">
        <v>45411</v>
      </c>
      <c r="C279" s="1" t="n">
        <v>46072</v>
      </c>
      <c r="D279" t="inlineStr">
        <is>
          <t>SKÅNE LÄN</t>
        </is>
      </c>
      <c r="E279" t="inlineStr">
        <is>
          <t>HÄSSLEHOLM</t>
        </is>
      </c>
      <c r="G279" t="n">
        <v>1</v>
      </c>
      <c r="H279" t="n">
        <v>0</v>
      </c>
      <c r="I279" t="n">
        <v>0</v>
      </c>
      <c r="J279" t="n">
        <v>0</v>
      </c>
      <c r="K279" t="n">
        <v>0</v>
      </c>
      <c r="L279" t="n">
        <v>0</v>
      </c>
      <c r="M279" t="n">
        <v>0</v>
      </c>
      <c r="N279" t="n">
        <v>0</v>
      </c>
      <c r="O279" t="n">
        <v>0</v>
      </c>
      <c r="P279" t="n">
        <v>0</v>
      </c>
      <c r="Q279" t="n">
        <v>0</v>
      </c>
      <c r="R279" s="2" t="inlineStr"/>
    </row>
    <row r="280" ht="15" customHeight="1">
      <c r="A280" t="inlineStr">
        <is>
          <t>A 27825-2024</t>
        </is>
      </c>
      <c r="B280" s="1" t="n">
        <v>45475</v>
      </c>
      <c r="C280" s="1" t="n">
        <v>46072</v>
      </c>
      <c r="D280" t="inlineStr">
        <is>
          <t>SKÅNE LÄN</t>
        </is>
      </c>
      <c r="E280" t="inlineStr">
        <is>
          <t>HÄSSLEHOLM</t>
        </is>
      </c>
      <c r="F280" t="inlineStr">
        <is>
          <t>Kommuner</t>
        </is>
      </c>
      <c r="G280" t="n">
        <v>1.1</v>
      </c>
      <c r="H280" t="n">
        <v>0</v>
      </c>
      <c r="I280" t="n">
        <v>0</v>
      </c>
      <c r="J280" t="n">
        <v>0</v>
      </c>
      <c r="K280" t="n">
        <v>0</v>
      </c>
      <c r="L280" t="n">
        <v>0</v>
      </c>
      <c r="M280" t="n">
        <v>0</v>
      </c>
      <c r="N280" t="n">
        <v>0</v>
      </c>
      <c r="O280" t="n">
        <v>0</v>
      </c>
      <c r="P280" t="n">
        <v>0</v>
      </c>
      <c r="Q280" t="n">
        <v>0</v>
      </c>
      <c r="R280" s="2" t="inlineStr"/>
    </row>
    <row r="281" ht="15" customHeight="1">
      <c r="A281" t="inlineStr">
        <is>
          <t>A 31254-2024</t>
        </is>
      </c>
      <c r="B281" s="1" t="n">
        <v>45503</v>
      </c>
      <c r="C281" s="1" t="n">
        <v>46072</v>
      </c>
      <c r="D281" t="inlineStr">
        <is>
          <t>SKÅNE LÄN</t>
        </is>
      </c>
      <c r="E281" t="inlineStr">
        <is>
          <t>HÄSSLEHOLM</t>
        </is>
      </c>
      <c r="G281" t="n">
        <v>2.2</v>
      </c>
      <c r="H281" t="n">
        <v>0</v>
      </c>
      <c r="I281" t="n">
        <v>0</v>
      </c>
      <c r="J281" t="n">
        <v>0</v>
      </c>
      <c r="K281" t="n">
        <v>0</v>
      </c>
      <c r="L281" t="n">
        <v>0</v>
      </c>
      <c r="M281" t="n">
        <v>0</v>
      </c>
      <c r="N281" t="n">
        <v>0</v>
      </c>
      <c r="O281" t="n">
        <v>0</v>
      </c>
      <c r="P281" t="n">
        <v>0</v>
      </c>
      <c r="Q281" t="n">
        <v>0</v>
      </c>
      <c r="R281" s="2" t="inlineStr"/>
    </row>
    <row r="282" ht="15" customHeight="1">
      <c r="A282" t="inlineStr">
        <is>
          <t>A 37486-2024</t>
        </is>
      </c>
      <c r="B282" s="1" t="n">
        <v>45541</v>
      </c>
      <c r="C282" s="1" t="n">
        <v>46072</v>
      </c>
      <c r="D282" t="inlineStr">
        <is>
          <t>SKÅNE LÄN</t>
        </is>
      </c>
      <c r="E282" t="inlineStr">
        <is>
          <t>HÄSSLEHOLM</t>
        </is>
      </c>
      <c r="G282" t="n">
        <v>8.5</v>
      </c>
      <c r="H282" t="n">
        <v>0</v>
      </c>
      <c r="I282" t="n">
        <v>0</v>
      </c>
      <c r="J282" t="n">
        <v>0</v>
      </c>
      <c r="K282" t="n">
        <v>0</v>
      </c>
      <c r="L282" t="n">
        <v>0</v>
      </c>
      <c r="M282" t="n">
        <v>0</v>
      </c>
      <c r="N282" t="n">
        <v>0</v>
      </c>
      <c r="O282" t="n">
        <v>0</v>
      </c>
      <c r="P282" t="n">
        <v>0</v>
      </c>
      <c r="Q282" t="n">
        <v>0</v>
      </c>
      <c r="R282" s="2" t="inlineStr"/>
    </row>
    <row r="283" ht="15" customHeight="1">
      <c r="A283" t="inlineStr">
        <is>
          <t>A 44838-2023</t>
        </is>
      </c>
      <c r="B283" s="1" t="n">
        <v>45190</v>
      </c>
      <c r="C283" s="1" t="n">
        <v>46072</v>
      </c>
      <c r="D283" t="inlineStr">
        <is>
          <t>SKÅNE LÄN</t>
        </is>
      </c>
      <c r="E283" t="inlineStr">
        <is>
          <t>HÄSSLEHOLM</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32794-2021</t>
        </is>
      </c>
      <c r="B284" s="1" t="n">
        <v>44375</v>
      </c>
      <c r="C284" s="1" t="n">
        <v>46072</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13954-2023</t>
        </is>
      </c>
      <c r="B285" s="1" t="n">
        <v>45008</v>
      </c>
      <c r="C285" s="1" t="n">
        <v>46072</v>
      </c>
      <c r="D285" t="inlineStr">
        <is>
          <t>SKÅNE LÄN</t>
        </is>
      </c>
      <c r="E285" t="inlineStr">
        <is>
          <t>HÄSSLEHOLM</t>
        </is>
      </c>
      <c r="G285" t="n">
        <v>1.9</v>
      </c>
      <c r="H285" t="n">
        <v>0</v>
      </c>
      <c r="I285" t="n">
        <v>0</v>
      </c>
      <c r="J285" t="n">
        <v>0</v>
      </c>
      <c r="K285" t="n">
        <v>0</v>
      </c>
      <c r="L285" t="n">
        <v>0</v>
      </c>
      <c r="M285" t="n">
        <v>0</v>
      </c>
      <c r="N285" t="n">
        <v>0</v>
      </c>
      <c r="O285" t="n">
        <v>0</v>
      </c>
      <c r="P285" t="n">
        <v>0</v>
      </c>
      <c r="Q285" t="n">
        <v>0</v>
      </c>
      <c r="R285" s="2" t="inlineStr"/>
    </row>
    <row r="286" ht="15" customHeight="1">
      <c r="A286" t="inlineStr">
        <is>
          <t>A 55455-2025</t>
        </is>
      </c>
      <c r="B286" s="1" t="n">
        <v>45971</v>
      </c>
      <c r="C286" s="1" t="n">
        <v>46072</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12843-2023</t>
        </is>
      </c>
      <c r="B287" s="1" t="n">
        <v>45001.48423611111</v>
      </c>
      <c r="C287" s="1" t="n">
        <v>46072</v>
      </c>
      <c r="D287" t="inlineStr">
        <is>
          <t>SKÅNE LÄN</t>
        </is>
      </c>
      <c r="E287" t="inlineStr">
        <is>
          <t>HÄSSLEHOLM</t>
        </is>
      </c>
      <c r="G287" t="n">
        <v>3.9</v>
      </c>
      <c r="H287" t="n">
        <v>0</v>
      </c>
      <c r="I287" t="n">
        <v>0</v>
      </c>
      <c r="J287" t="n">
        <v>0</v>
      </c>
      <c r="K287" t="n">
        <v>0</v>
      </c>
      <c r="L287" t="n">
        <v>0</v>
      </c>
      <c r="M287" t="n">
        <v>0</v>
      </c>
      <c r="N287" t="n">
        <v>0</v>
      </c>
      <c r="O287" t="n">
        <v>0</v>
      </c>
      <c r="P287" t="n">
        <v>0</v>
      </c>
      <c r="Q287" t="n">
        <v>0</v>
      </c>
      <c r="R287" s="2" t="inlineStr"/>
    </row>
    <row r="288" ht="15" customHeight="1">
      <c r="A288" t="inlineStr">
        <is>
          <t>A 47647-2024</t>
        </is>
      </c>
      <c r="B288" s="1" t="n">
        <v>45588</v>
      </c>
      <c r="C288" s="1" t="n">
        <v>46072</v>
      </c>
      <c r="D288" t="inlineStr">
        <is>
          <t>SKÅNE LÄN</t>
        </is>
      </c>
      <c r="E288" t="inlineStr">
        <is>
          <t>HÄSSLEHOLM</t>
        </is>
      </c>
      <c r="G288" t="n">
        <v>6.5</v>
      </c>
      <c r="H288" t="n">
        <v>0</v>
      </c>
      <c r="I288" t="n">
        <v>0</v>
      </c>
      <c r="J288" t="n">
        <v>0</v>
      </c>
      <c r="K288" t="n">
        <v>0</v>
      </c>
      <c r="L288" t="n">
        <v>0</v>
      </c>
      <c r="M288" t="n">
        <v>0</v>
      </c>
      <c r="N288" t="n">
        <v>0</v>
      </c>
      <c r="O288" t="n">
        <v>0</v>
      </c>
      <c r="P288" t="n">
        <v>0</v>
      </c>
      <c r="Q288" t="n">
        <v>0</v>
      </c>
      <c r="R288" s="2" t="inlineStr"/>
    </row>
    <row r="289" ht="15" customHeight="1">
      <c r="A289" t="inlineStr">
        <is>
          <t>A 13007-2024</t>
        </is>
      </c>
      <c r="B289" s="1" t="n">
        <v>45385.57092592592</v>
      </c>
      <c r="C289" s="1" t="n">
        <v>46072</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40152-2024</t>
        </is>
      </c>
      <c r="B290" s="1" t="n">
        <v>45554</v>
      </c>
      <c r="C290" s="1" t="n">
        <v>46072</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74030-2021</t>
        </is>
      </c>
      <c r="B291" s="1" t="n">
        <v>44553</v>
      </c>
      <c r="C291" s="1" t="n">
        <v>46072</v>
      </c>
      <c r="D291" t="inlineStr">
        <is>
          <t>SKÅNE LÄN</t>
        </is>
      </c>
      <c r="E291" t="inlineStr">
        <is>
          <t>HÄSSLEHOLM</t>
        </is>
      </c>
      <c r="G291" t="n">
        <v>1.5</v>
      </c>
      <c r="H291" t="n">
        <v>0</v>
      </c>
      <c r="I291" t="n">
        <v>0</v>
      </c>
      <c r="J291" t="n">
        <v>0</v>
      </c>
      <c r="K291" t="n">
        <v>0</v>
      </c>
      <c r="L291" t="n">
        <v>0</v>
      </c>
      <c r="M291" t="n">
        <v>0</v>
      </c>
      <c r="N291" t="n">
        <v>0</v>
      </c>
      <c r="O291" t="n">
        <v>0</v>
      </c>
      <c r="P291" t="n">
        <v>0</v>
      </c>
      <c r="Q291" t="n">
        <v>0</v>
      </c>
      <c r="R291" s="2" t="inlineStr"/>
    </row>
    <row r="292" ht="15" customHeight="1">
      <c r="A292" t="inlineStr">
        <is>
          <t>A 15072-2024</t>
        </is>
      </c>
      <c r="B292" s="1" t="n">
        <v>45399.5996875</v>
      </c>
      <c r="C292" s="1" t="n">
        <v>46072</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11262-2025</t>
        </is>
      </c>
      <c r="B293" s="1" t="n">
        <v>45726</v>
      </c>
      <c r="C293" s="1" t="n">
        <v>46072</v>
      </c>
      <c r="D293" t="inlineStr">
        <is>
          <t>SKÅNE LÄN</t>
        </is>
      </c>
      <c r="E293" t="inlineStr">
        <is>
          <t>HÄSSLEHOLM</t>
        </is>
      </c>
      <c r="G293" t="n">
        <v>1.9</v>
      </c>
      <c r="H293" t="n">
        <v>0</v>
      </c>
      <c r="I293" t="n">
        <v>0</v>
      </c>
      <c r="J293" t="n">
        <v>0</v>
      </c>
      <c r="K293" t="n">
        <v>0</v>
      </c>
      <c r="L293" t="n">
        <v>0</v>
      </c>
      <c r="M293" t="n">
        <v>0</v>
      </c>
      <c r="N293" t="n">
        <v>0</v>
      </c>
      <c r="O293" t="n">
        <v>0</v>
      </c>
      <c r="P293" t="n">
        <v>0</v>
      </c>
      <c r="Q293" t="n">
        <v>0</v>
      </c>
      <c r="R293" s="2" t="inlineStr"/>
    </row>
    <row r="294" ht="15" customHeight="1">
      <c r="A294" t="inlineStr">
        <is>
          <t>A 5395-2024</t>
        </is>
      </c>
      <c r="B294" s="1" t="n">
        <v>45331</v>
      </c>
      <c r="C294" s="1" t="n">
        <v>46072</v>
      </c>
      <c r="D294" t="inlineStr">
        <is>
          <t>SKÅNE LÄN</t>
        </is>
      </c>
      <c r="E294" t="inlineStr">
        <is>
          <t>HÄSSLEHOLM</t>
        </is>
      </c>
      <c r="G294" t="n">
        <v>2.6</v>
      </c>
      <c r="H294" t="n">
        <v>0</v>
      </c>
      <c r="I294" t="n">
        <v>0</v>
      </c>
      <c r="J294" t="n">
        <v>0</v>
      </c>
      <c r="K294" t="n">
        <v>0</v>
      </c>
      <c r="L294" t="n">
        <v>0</v>
      </c>
      <c r="M294" t="n">
        <v>0</v>
      </c>
      <c r="N294" t="n">
        <v>0</v>
      </c>
      <c r="O294" t="n">
        <v>0</v>
      </c>
      <c r="P294" t="n">
        <v>0</v>
      </c>
      <c r="Q294" t="n">
        <v>0</v>
      </c>
      <c r="R294" s="2" t="inlineStr"/>
    </row>
    <row r="295" ht="15" customHeight="1">
      <c r="A295" t="inlineStr">
        <is>
          <t>A 2479-2024</t>
        </is>
      </c>
      <c r="B295" s="1" t="n">
        <v>45313.40148148148</v>
      </c>
      <c r="C295" s="1" t="n">
        <v>46072</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2621-2025</t>
        </is>
      </c>
      <c r="B296" s="1" t="n">
        <v>45675.60765046296</v>
      </c>
      <c r="C296" s="1" t="n">
        <v>46072</v>
      </c>
      <c r="D296" t="inlineStr">
        <is>
          <t>SKÅNE LÄN</t>
        </is>
      </c>
      <c r="E296" t="inlineStr">
        <is>
          <t>HÄSSLEHOLM</t>
        </is>
      </c>
      <c r="F296" t="inlineStr">
        <is>
          <t>Kommuner</t>
        </is>
      </c>
      <c r="G296" t="n">
        <v>3</v>
      </c>
      <c r="H296" t="n">
        <v>0</v>
      </c>
      <c r="I296" t="n">
        <v>0</v>
      </c>
      <c r="J296" t="n">
        <v>0</v>
      </c>
      <c r="K296" t="n">
        <v>0</v>
      </c>
      <c r="L296" t="n">
        <v>0</v>
      </c>
      <c r="M296" t="n">
        <v>0</v>
      </c>
      <c r="N296" t="n">
        <v>0</v>
      </c>
      <c r="O296" t="n">
        <v>0</v>
      </c>
      <c r="P296" t="n">
        <v>0</v>
      </c>
      <c r="Q296" t="n">
        <v>0</v>
      </c>
      <c r="R296" s="2" t="inlineStr"/>
    </row>
    <row r="297" ht="15" customHeight="1">
      <c r="A297" t="inlineStr">
        <is>
          <t>A 8737-2025</t>
        </is>
      </c>
      <c r="B297" s="1" t="n">
        <v>45712.54578703704</v>
      </c>
      <c r="C297" s="1" t="n">
        <v>46072</v>
      </c>
      <c r="D297" t="inlineStr">
        <is>
          <t>SKÅNE LÄN</t>
        </is>
      </c>
      <c r="E297" t="inlineStr">
        <is>
          <t>HÄSSLEHOLM</t>
        </is>
      </c>
      <c r="G297" t="n">
        <v>2.7</v>
      </c>
      <c r="H297" t="n">
        <v>0</v>
      </c>
      <c r="I297" t="n">
        <v>0</v>
      </c>
      <c r="J297" t="n">
        <v>0</v>
      </c>
      <c r="K297" t="n">
        <v>0</v>
      </c>
      <c r="L297" t="n">
        <v>0</v>
      </c>
      <c r="M297" t="n">
        <v>0</v>
      </c>
      <c r="N297" t="n">
        <v>0</v>
      </c>
      <c r="O297" t="n">
        <v>0</v>
      </c>
      <c r="P297" t="n">
        <v>0</v>
      </c>
      <c r="Q297" t="n">
        <v>0</v>
      </c>
      <c r="R297" s="2" t="inlineStr"/>
    </row>
    <row r="298" ht="15" customHeight="1">
      <c r="A298" t="inlineStr">
        <is>
          <t>A 37764-2022</t>
        </is>
      </c>
      <c r="B298" s="1" t="n">
        <v>44810</v>
      </c>
      <c r="C298" s="1" t="n">
        <v>46072</v>
      </c>
      <c r="D298" t="inlineStr">
        <is>
          <t>SKÅNE LÄN</t>
        </is>
      </c>
      <c r="E298" t="inlineStr">
        <is>
          <t>HÄSSLEHOLM</t>
        </is>
      </c>
      <c r="F298" t="inlineStr">
        <is>
          <t>Kyrkan</t>
        </is>
      </c>
      <c r="G298" t="n">
        <v>9.4</v>
      </c>
      <c r="H298" t="n">
        <v>0</v>
      </c>
      <c r="I298" t="n">
        <v>0</v>
      </c>
      <c r="J298" t="n">
        <v>0</v>
      </c>
      <c r="K298" t="n">
        <v>0</v>
      </c>
      <c r="L298" t="n">
        <v>0</v>
      </c>
      <c r="M298" t="n">
        <v>0</v>
      </c>
      <c r="N298" t="n">
        <v>0</v>
      </c>
      <c r="O298" t="n">
        <v>0</v>
      </c>
      <c r="P298" t="n">
        <v>0</v>
      </c>
      <c r="Q298" t="n">
        <v>0</v>
      </c>
      <c r="R298" s="2" t="inlineStr"/>
    </row>
    <row r="299" ht="15" customHeight="1">
      <c r="A299" t="inlineStr">
        <is>
          <t>A 26397-2023</t>
        </is>
      </c>
      <c r="B299" s="1" t="n">
        <v>45087</v>
      </c>
      <c r="C299" s="1" t="n">
        <v>46072</v>
      </c>
      <c r="D299" t="inlineStr">
        <is>
          <t>SKÅNE LÄN</t>
        </is>
      </c>
      <c r="E299" t="inlineStr">
        <is>
          <t>HÄSSLEHOLM</t>
        </is>
      </c>
      <c r="G299" t="n">
        <v>1.7</v>
      </c>
      <c r="H299" t="n">
        <v>0</v>
      </c>
      <c r="I299" t="n">
        <v>0</v>
      </c>
      <c r="J299" t="n">
        <v>0</v>
      </c>
      <c r="K299" t="n">
        <v>0</v>
      </c>
      <c r="L299" t="n">
        <v>0</v>
      </c>
      <c r="M299" t="n">
        <v>0</v>
      </c>
      <c r="N299" t="n">
        <v>0</v>
      </c>
      <c r="O299" t="n">
        <v>0</v>
      </c>
      <c r="P299" t="n">
        <v>0</v>
      </c>
      <c r="Q299" t="n">
        <v>0</v>
      </c>
      <c r="R299" s="2" t="inlineStr"/>
    </row>
    <row r="300" ht="15" customHeight="1">
      <c r="A300" t="inlineStr">
        <is>
          <t>A 51018-2023</t>
        </is>
      </c>
      <c r="B300" s="1" t="n">
        <v>45218</v>
      </c>
      <c r="C300" s="1" t="n">
        <v>46072</v>
      </c>
      <c r="D300" t="inlineStr">
        <is>
          <t>SKÅNE LÄN</t>
        </is>
      </c>
      <c r="E300" t="inlineStr">
        <is>
          <t>HÄSSLEHOLM</t>
        </is>
      </c>
      <c r="G300" t="n">
        <v>3.1</v>
      </c>
      <c r="H300" t="n">
        <v>0</v>
      </c>
      <c r="I300" t="n">
        <v>0</v>
      </c>
      <c r="J300" t="n">
        <v>0</v>
      </c>
      <c r="K300" t="n">
        <v>0</v>
      </c>
      <c r="L300" t="n">
        <v>0</v>
      </c>
      <c r="M300" t="n">
        <v>0</v>
      </c>
      <c r="N300" t="n">
        <v>0</v>
      </c>
      <c r="O300" t="n">
        <v>0</v>
      </c>
      <c r="P300" t="n">
        <v>0</v>
      </c>
      <c r="Q300" t="n">
        <v>0</v>
      </c>
      <c r="R300" s="2" t="inlineStr"/>
    </row>
    <row r="301" ht="15" customHeight="1">
      <c r="A301" t="inlineStr">
        <is>
          <t>A 23005-2025</t>
        </is>
      </c>
      <c r="B301" s="1" t="n">
        <v>45790</v>
      </c>
      <c r="C301" s="1" t="n">
        <v>46072</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1119-2024</t>
        </is>
      </c>
      <c r="B302" s="1" t="n">
        <v>45302</v>
      </c>
      <c r="C302" s="1" t="n">
        <v>46072</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60797-2024</t>
        </is>
      </c>
      <c r="B303" s="1" t="n">
        <v>45644</v>
      </c>
      <c r="C303" s="1" t="n">
        <v>46072</v>
      </c>
      <c r="D303" t="inlineStr">
        <is>
          <t>SKÅNE LÄN</t>
        </is>
      </c>
      <c r="E303" t="inlineStr">
        <is>
          <t>HÄSSLEHOLM</t>
        </is>
      </c>
      <c r="G303" t="n">
        <v>3.4</v>
      </c>
      <c r="H303" t="n">
        <v>0</v>
      </c>
      <c r="I303" t="n">
        <v>0</v>
      </c>
      <c r="J303" t="n">
        <v>0</v>
      </c>
      <c r="K303" t="n">
        <v>0</v>
      </c>
      <c r="L303" t="n">
        <v>0</v>
      </c>
      <c r="M303" t="n">
        <v>0</v>
      </c>
      <c r="N303" t="n">
        <v>0</v>
      </c>
      <c r="O303" t="n">
        <v>0</v>
      </c>
      <c r="P303" t="n">
        <v>0</v>
      </c>
      <c r="Q303" t="n">
        <v>0</v>
      </c>
      <c r="R303" s="2" t="inlineStr"/>
    </row>
    <row r="304" ht="15" customHeight="1">
      <c r="A304" t="inlineStr">
        <is>
          <t>A 58888-2024</t>
        </is>
      </c>
      <c r="B304" s="1" t="n">
        <v>45636.45962962963</v>
      </c>
      <c r="C304" s="1" t="n">
        <v>46072</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56069-2024</t>
        </is>
      </c>
      <c r="B305" s="1" t="n">
        <v>45624.38006944444</v>
      </c>
      <c r="C305" s="1" t="n">
        <v>46072</v>
      </c>
      <c r="D305" t="inlineStr">
        <is>
          <t>SKÅNE LÄN</t>
        </is>
      </c>
      <c r="E305" t="inlineStr">
        <is>
          <t>HÄSSLEHOLM</t>
        </is>
      </c>
      <c r="F305" t="inlineStr">
        <is>
          <t>Övriga Aktiebolag</t>
        </is>
      </c>
      <c r="G305" t="n">
        <v>2.3</v>
      </c>
      <c r="H305" t="n">
        <v>0</v>
      </c>
      <c r="I305" t="n">
        <v>0</v>
      </c>
      <c r="J305" t="n">
        <v>0</v>
      </c>
      <c r="K305" t="n">
        <v>0</v>
      </c>
      <c r="L305" t="n">
        <v>0</v>
      </c>
      <c r="M305" t="n">
        <v>0</v>
      </c>
      <c r="N305" t="n">
        <v>0</v>
      </c>
      <c r="O305" t="n">
        <v>0</v>
      </c>
      <c r="P305" t="n">
        <v>0</v>
      </c>
      <c r="Q305" t="n">
        <v>0</v>
      </c>
      <c r="R305" s="2" t="inlineStr"/>
    </row>
    <row r="306" ht="15" customHeight="1">
      <c r="A306" t="inlineStr">
        <is>
          <t>A 16334-2024</t>
        </is>
      </c>
      <c r="B306" s="1" t="n">
        <v>45407.54856481482</v>
      </c>
      <c r="C306" s="1" t="n">
        <v>46072</v>
      </c>
      <c r="D306" t="inlineStr">
        <is>
          <t>SKÅNE LÄN</t>
        </is>
      </c>
      <c r="E306" t="inlineStr">
        <is>
          <t>HÄSSLEHOLM</t>
        </is>
      </c>
      <c r="G306" t="n">
        <v>0.6</v>
      </c>
      <c r="H306" t="n">
        <v>0</v>
      </c>
      <c r="I306" t="n">
        <v>0</v>
      </c>
      <c r="J306" t="n">
        <v>0</v>
      </c>
      <c r="K306" t="n">
        <v>0</v>
      </c>
      <c r="L306" t="n">
        <v>0</v>
      </c>
      <c r="M306" t="n">
        <v>0</v>
      </c>
      <c r="N306" t="n">
        <v>0</v>
      </c>
      <c r="O306" t="n">
        <v>0</v>
      </c>
      <c r="P306" t="n">
        <v>0</v>
      </c>
      <c r="Q306" t="n">
        <v>0</v>
      </c>
      <c r="R306" s="2" t="inlineStr"/>
    </row>
    <row r="307" ht="15" customHeight="1">
      <c r="A307" t="inlineStr">
        <is>
          <t>A 3663-2024</t>
        </is>
      </c>
      <c r="B307" s="1" t="n">
        <v>45321.34775462963</v>
      </c>
      <c r="C307" s="1" t="n">
        <v>46072</v>
      </c>
      <c r="D307" t="inlineStr">
        <is>
          <t>SKÅNE LÄN</t>
        </is>
      </c>
      <c r="E307" t="inlineStr">
        <is>
          <t>HÄSSLEHOLM</t>
        </is>
      </c>
      <c r="G307" t="n">
        <v>0.4</v>
      </c>
      <c r="H307" t="n">
        <v>0</v>
      </c>
      <c r="I307" t="n">
        <v>0</v>
      </c>
      <c r="J307" t="n">
        <v>0</v>
      </c>
      <c r="K307" t="n">
        <v>0</v>
      </c>
      <c r="L307" t="n">
        <v>0</v>
      </c>
      <c r="M307" t="n">
        <v>0</v>
      </c>
      <c r="N307" t="n">
        <v>0</v>
      </c>
      <c r="O307" t="n">
        <v>0</v>
      </c>
      <c r="P307" t="n">
        <v>0</v>
      </c>
      <c r="Q307" t="n">
        <v>0</v>
      </c>
      <c r="R307" s="2" t="inlineStr"/>
    </row>
    <row r="308" ht="15" customHeight="1">
      <c r="A308" t="inlineStr">
        <is>
          <t>A 1560-2023</t>
        </is>
      </c>
      <c r="B308" s="1" t="n">
        <v>44937</v>
      </c>
      <c r="C308" s="1" t="n">
        <v>46072</v>
      </c>
      <c r="D308" t="inlineStr">
        <is>
          <t>SKÅNE LÄN</t>
        </is>
      </c>
      <c r="E308" t="inlineStr">
        <is>
          <t>HÄSSLEHOLM</t>
        </is>
      </c>
      <c r="G308" t="n">
        <v>6.8</v>
      </c>
      <c r="H308" t="n">
        <v>0</v>
      </c>
      <c r="I308" t="n">
        <v>0</v>
      </c>
      <c r="J308" t="n">
        <v>0</v>
      </c>
      <c r="K308" t="n">
        <v>0</v>
      </c>
      <c r="L308" t="n">
        <v>0</v>
      </c>
      <c r="M308" t="n">
        <v>0</v>
      </c>
      <c r="N308" t="n">
        <v>0</v>
      </c>
      <c r="O308" t="n">
        <v>0</v>
      </c>
      <c r="P308" t="n">
        <v>0</v>
      </c>
      <c r="Q308" t="n">
        <v>0</v>
      </c>
      <c r="R308" s="2" t="inlineStr"/>
    </row>
    <row r="309" ht="15" customHeight="1">
      <c r="A309" t="inlineStr">
        <is>
          <t>A 28599-2024</t>
        </is>
      </c>
      <c r="B309" s="1" t="n">
        <v>45478.4247800926</v>
      </c>
      <c r="C309" s="1" t="n">
        <v>46072</v>
      </c>
      <c r="D309" t="inlineStr">
        <is>
          <t>SKÅNE LÄN</t>
        </is>
      </c>
      <c r="E309" t="inlineStr">
        <is>
          <t>HÄSSLEHOLM</t>
        </is>
      </c>
      <c r="G309" t="n">
        <v>8.6</v>
      </c>
      <c r="H309" t="n">
        <v>0</v>
      </c>
      <c r="I309" t="n">
        <v>0</v>
      </c>
      <c r="J309" t="n">
        <v>0</v>
      </c>
      <c r="K309" t="n">
        <v>0</v>
      </c>
      <c r="L309" t="n">
        <v>0</v>
      </c>
      <c r="M309" t="n">
        <v>0</v>
      </c>
      <c r="N309" t="n">
        <v>0</v>
      </c>
      <c r="O309" t="n">
        <v>0</v>
      </c>
      <c r="P309" t="n">
        <v>0</v>
      </c>
      <c r="Q309" t="n">
        <v>0</v>
      </c>
      <c r="R309" s="2" t="inlineStr"/>
    </row>
    <row r="310" ht="15" customHeight="1">
      <c r="A310" t="inlineStr">
        <is>
          <t>A 39366-2025</t>
        </is>
      </c>
      <c r="B310" s="1" t="n">
        <v>45889</v>
      </c>
      <c r="C310" s="1" t="n">
        <v>46072</v>
      </c>
      <c r="D310" t="inlineStr">
        <is>
          <t>SKÅNE LÄN</t>
        </is>
      </c>
      <c r="E310" t="inlineStr">
        <is>
          <t>HÄSSLEHOLM</t>
        </is>
      </c>
      <c r="G310" t="n">
        <v>1</v>
      </c>
      <c r="H310" t="n">
        <v>0</v>
      </c>
      <c r="I310" t="n">
        <v>0</v>
      </c>
      <c r="J310" t="n">
        <v>0</v>
      </c>
      <c r="K310" t="n">
        <v>0</v>
      </c>
      <c r="L310" t="n">
        <v>0</v>
      </c>
      <c r="M310" t="n">
        <v>0</v>
      </c>
      <c r="N310" t="n">
        <v>0</v>
      </c>
      <c r="O310" t="n">
        <v>0</v>
      </c>
      <c r="P310" t="n">
        <v>0</v>
      </c>
      <c r="Q310" t="n">
        <v>0</v>
      </c>
      <c r="R310" s="2" t="inlineStr"/>
    </row>
    <row r="311" ht="15" customHeight="1">
      <c r="A311" t="inlineStr">
        <is>
          <t>A 16121-2025</t>
        </is>
      </c>
      <c r="B311" s="1" t="n">
        <v>45750.40384259259</v>
      </c>
      <c r="C311" s="1" t="n">
        <v>46072</v>
      </c>
      <c r="D311" t="inlineStr">
        <is>
          <t>SKÅNE LÄN</t>
        </is>
      </c>
      <c r="E311" t="inlineStr">
        <is>
          <t>HÄSSLEHOLM</t>
        </is>
      </c>
      <c r="G311" t="n">
        <v>1.6</v>
      </c>
      <c r="H311" t="n">
        <v>0</v>
      </c>
      <c r="I311" t="n">
        <v>0</v>
      </c>
      <c r="J311" t="n">
        <v>0</v>
      </c>
      <c r="K311" t="n">
        <v>0</v>
      </c>
      <c r="L311" t="n">
        <v>0</v>
      </c>
      <c r="M311" t="n">
        <v>0</v>
      </c>
      <c r="N311" t="n">
        <v>0</v>
      </c>
      <c r="O311" t="n">
        <v>0</v>
      </c>
      <c r="P311" t="n">
        <v>0</v>
      </c>
      <c r="Q311" t="n">
        <v>0</v>
      </c>
      <c r="R311" s="2" t="inlineStr"/>
    </row>
    <row r="312" ht="15" customHeight="1">
      <c r="A312" t="inlineStr">
        <is>
          <t>A 11446-2025</t>
        </is>
      </c>
      <c r="B312" s="1" t="n">
        <v>45726</v>
      </c>
      <c r="C312" s="1" t="n">
        <v>46072</v>
      </c>
      <c r="D312" t="inlineStr">
        <is>
          <t>SKÅNE LÄN</t>
        </is>
      </c>
      <c r="E312" t="inlineStr">
        <is>
          <t>HÄSSLEHOLM</t>
        </is>
      </c>
      <c r="G312" t="n">
        <v>1.9</v>
      </c>
      <c r="H312" t="n">
        <v>0</v>
      </c>
      <c r="I312" t="n">
        <v>0</v>
      </c>
      <c r="J312" t="n">
        <v>0</v>
      </c>
      <c r="K312" t="n">
        <v>0</v>
      </c>
      <c r="L312" t="n">
        <v>0</v>
      </c>
      <c r="M312" t="n">
        <v>0</v>
      </c>
      <c r="N312" t="n">
        <v>0</v>
      </c>
      <c r="O312" t="n">
        <v>0</v>
      </c>
      <c r="P312" t="n">
        <v>0</v>
      </c>
      <c r="Q312" t="n">
        <v>0</v>
      </c>
      <c r="R312" s="2" t="inlineStr"/>
    </row>
    <row r="313" ht="15" customHeight="1">
      <c r="A313" t="inlineStr">
        <is>
          <t>A 9393-2025</t>
        </is>
      </c>
      <c r="B313" s="1" t="n">
        <v>45715.36230324074</v>
      </c>
      <c r="C313" s="1" t="n">
        <v>46072</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15897-2025</t>
        </is>
      </c>
      <c r="B314" s="1" t="n">
        <v>45749.41598379629</v>
      </c>
      <c r="C314" s="1" t="n">
        <v>46072</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7681-2025</t>
        </is>
      </c>
      <c r="B315" s="1" t="n">
        <v>45706.36758101852</v>
      </c>
      <c r="C315" s="1" t="n">
        <v>46072</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54982-2024</t>
        </is>
      </c>
      <c r="B316" s="1" t="n">
        <v>45620.7580787037</v>
      </c>
      <c r="C316" s="1" t="n">
        <v>46072</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61182-2024</t>
        </is>
      </c>
      <c r="B317" s="1" t="n">
        <v>45645</v>
      </c>
      <c r="C317" s="1" t="n">
        <v>46072</v>
      </c>
      <c r="D317" t="inlineStr">
        <is>
          <t>SKÅNE LÄN</t>
        </is>
      </c>
      <c r="E317" t="inlineStr">
        <is>
          <t>HÄSSLEHOLM</t>
        </is>
      </c>
      <c r="G317" t="n">
        <v>3.2</v>
      </c>
      <c r="H317" t="n">
        <v>0</v>
      </c>
      <c r="I317" t="n">
        <v>0</v>
      </c>
      <c r="J317" t="n">
        <v>0</v>
      </c>
      <c r="K317" t="n">
        <v>0</v>
      </c>
      <c r="L317" t="n">
        <v>0</v>
      </c>
      <c r="M317" t="n">
        <v>0</v>
      </c>
      <c r="N317" t="n">
        <v>0</v>
      </c>
      <c r="O317" t="n">
        <v>0</v>
      </c>
      <c r="P317" t="n">
        <v>0</v>
      </c>
      <c r="Q317" t="n">
        <v>0</v>
      </c>
      <c r="R317" s="2" t="inlineStr"/>
    </row>
    <row r="318" ht="15" customHeight="1">
      <c r="A318" t="inlineStr">
        <is>
          <t>A 4734-2025</t>
        </is>
      </c>
      <c r="B318" s="1" t="n">
        <v>45688.44030092593</v>
      </c>
      <c r="C318" s="1" t="n">
        <v>46072</v>
      </c>
      <c r="D318" t="inlineStr">
        <is>
          <t>SKÅNE LÄN</t>
        </is>
      </c>
      <c r="E318" t="inlineStr">
        <is>
          <t>HÄSSLEHOLM</t>
        </is>
      </c>
      <c r="G318" t="n">
        <v>19.6</v>
      </c>
      <c r="H318" t="n">
        <v>0</v>
      </c>
      <c r="I318" t="n">
        <v>0</v>
      </c>
      <c r="J318" t="n">
        <v>0</v>
      </c>
      <c r="K318" t="n">
        <v>0</v>
      </c>
      <c r="L318" t="n">
        <v>0</v>
      </c>
      <c r="M318" t="n">
        <v>0</v>
      </c>
      <c r="N318" t="n">
        <v>0</v>
      </c>
      <c r="O318" t="n">
        <v>0</v>
      </c>
      <c r="P318" t="n">
        <v>0</v>
      </c>
      <c r="Q318" t="n">
        <v>0</v>
      </c>
      <c r="R318" s="2" t="inlineStr"/>
    </row>
    <row r="319" ht="15" customHeight="1">
      <c r="A319" t="inlineStr">
        <is>
          <t>A 24032-2025</t>
        </is>
      </c>
      <c r="B319" s="1" t="n">
        <v>45796.478125</v>
      </c>
      <c r="C319" s="1" t="n">
        <v>46072</v>
      </c>
      <c r="D319" t="inlineStr">
        <is>
          <t>SKÅNE LÄN</t>
        </is>
      </c>
      <c r="E319" t="inlineStr">
        <is>
          <t>HÄSSLEHOLM</t>
        </is>
      </c>
      <c r="G319" t="n">
        <v>2.2</v>
      </c>
      <c r="H319" t="n">
        <v>0</v>
      </c>
      <c r="I319" t="n">
        <v>0</v>
      </c>
      <c r="J319" t="n">
        <v>0</v>
      </c>
      <c r="K319" t="n">
        <v>0</v>
      </c>
      <c r="L319" t="n">
        <v>0</v>
      </c>
      <c r="M319" t="n">
        <v>0</v>
      </c>
      <c r="N319" t="n">
        <v>0</v>
      </c>
      <c r="O319" t="n">
        <v>0</v>
      </c>
      <c r="P319" t="n">
        <v>0</v>
      </c>
      <c r="Q319" t="n">
        <v>0</v>
      </c>
      <c r="R319" s="2" t="inlineStr"/>
    </row>
    <row r="320" ht="15" customHeight="1">
      <c r="A320" t="inlineStr">
        <is>
          <t>A 60789-2024</t>
        </is>
      </c>
      <c r="B320" s="1" t="n">
        <v>45644</v>
      </c>
      <c r="C320" s="1" t="n">
        <v>46072</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24776-2025</t>
        </is>
      </c>
      <c r="B321" s="1" t="n">
        <v>45799.40640046296</v>
      </c>
      <c r="C321" s="1" t="n">
        <v>46072</v>
      </c>
      <c r="D321" t="inlineStr">
        <is>
          <t>SKÅNE LÄN</t>
        </is>
      </c>
      <c r="E321" t="inlineStr">
        <is>
          <t>HÄSSLEHOLM</t>
        </is>
      </c>
      <c r="G321" t="n">
        <v>5.4</v>
      </c>
      <c r="H321" t="n">
        <v>0</v>
      </c>
      <c r="I321" t="n">
        <v>0</v>
      </c>
      <c r="J321" t="n">
        <v>0</v>
      </c>
      <c r="K321" t="n">
        <v>0</v>
      </c>
      <c r="L321" t="n">
        <v>0</v>
      </c>
      <c r="M321" t="n">
        <v>0</v>
      </c>
      <c r="N321" t="n">
        <v>0</v>
      </c>
      <c r="O321" t="n">
        <v>0</v>
      </c>
      <c r="P321" t="n">
        <v>0</v>
      </c>
      <c r="Q321" t="n">
        <v>0</v>
      </c>
      <c r="R321" s="2" t="inlineStr"/>
    </row>
    <row r="322" ht="15" customHeight="1">
      <c r="A322" t="inlineStr">
        <is>
          <t>A 39453-2025</t>
        </is>
      </c>
      <c r="B322" s="1" t="n">
        <v>45889</v>
      </c>
      <c r="C322" s="1" t="n">
        <v>46072</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14255-2024</t>
        </is>
      </c>
      <c r="B323" s="1" t="n">
        <v>45393</v>
      </c>
      <c r="C323" s="1" t="n">
        <v>46072</v>
      </c>
      <c r="D323" t="inlineStr">
        <is>
          <t>SKÅNE LÄN</t>
        </is>
      </c>
      <c r="E323" t="inlineStr">
        <is>
          <t>HÄSSLEHOLM</t>
        </is>
      </c>
      <c r="G323" t="n">
        <v>11.9</v>
      </c>
      <c r="H323" t="n">
        <v>0</v>
      </c>
      <c r="I323" t="n">
        <v>0</v>
      </c>
      <c r="J323" t="n">
        <v>0</v>
      </c>
      <c r="K323" t="n">
        <v>0</v>
      </c>
      <c r="L323" t="n">
        <v>0</v>
      </c>
      <c r="M323" t="n">
        <v>0</v>
      </c>
      <c r="N323" t="n">
        <v>0</v>
      </c>
      <c r="O323" t="n">
        <v>0</v>
      </c>
      <c r="P323" t="n">
        <v>0</v>
      </c>
      <c r="Q323" t="n">
        <v>0</v>
      </c>
      <c r="R323" s="2" t="inlineStr"/>
    </row>
    <row r="324" ht="15" customHeight="1">
      <c r="A324" t="inlineStr">
        <is>
          <t>A 5252-2025</t>
        </is>
      </c>
      <c r="B324" s="1" t="n">
        <v>45692.3449537037</v>
      </c>
      <c r="C324" s="1" t="n">
        <v>46072</v>
      </c>
      <c r="D324" t="inlineStr">
        <is>
          <t>SKÅNE LÄN</t>
        </is>
      </c>
      <c r="E324" t="inlineStr">
        <is>
          <t>HÄSSLEHOLM</t>
        </is>
      </c>
      <c r="G324" t="n">
        <v>2.1</v>
      </c>
      <c r="H324" t="n">
        <v>0</v>
      </c>
      <c r="I324" t="n">
        <v>0</v>
      </c>
      <c r="J324" t="n">
        <v>0</v>
      </c>
      <c r="K324" t="n">
        <v>0</v>
      </c>
      <c r="L324" t="n">
        <v>0</v>
      </c>
      <c r="M324" t="n">
        <v>0</v>
      </c>
      <c r="N324" t="n">
        <v>0</v>
      </c>
      <c r="O324" t="n">
        <v>0</v>
      </c>
      <c r="P324" t="n">
        <v>0</v>
      </c>
      <c r="Q324" t="n">
        <v>0</v>
      </c>
      <c r="R324" s="2" t="inlineStr"/>
    </row>
    <row r="325" ht="15" customHeight="1">
      <c r="A325" t="inlineStr">
        <is>
          <t>A 39934-2025</t>
        </is>
      </c>
      <c r="B325" s="1" t="n">
        <v>45891.71465277778</v>
      </c>
      <c r="C325" s="1" t="n">
        <v>46072</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5242-2025</t>
        </is>
      </c>
      <c r="B326" s="1" t="n">
        <v>45692.32883101852</v>
      </c>
      <c r="C326" s="1" t="n">
        <v>46072</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24034-2025</t>
        </is>
      </c>
      <c r="B327" s="1" t="n">
        <v>45796.48251157408</v>
      </c>
      <c r="C327" s="1" t="n">
        <v>46072</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39457-2025</t>
        </is>
      </c>
      <c r="B328" s="1" t="n">
        <v>45889.76887731482</v>
      </c>
      <c r="C328" s="1" t="n">
        <v>46072</v>
      </c>
      <c r="D328" t="inlineStr">
        <is>
          <t>SKÅNE LÄN</t>
        </is>
      </c>
      <c r="E328" t="inlineStr">
        <is>
          <t>HÄSSLEHOLM</t>
        </is>
      </c>
      <c r="G328" t="n">
        <v>6.6</v>
      </c>
      <c r="H328" t="n">
        <v>0</v>
      </c>
      <c r="I328" t="n">
        <v>0</v>
      </c>
      <c r="J328" t="n">
        <v>0</v>
      </c>
      <c r="K328" t="n">
        <v>0</v>
      </c>
      <c r="L328" t="n">
        <v>0</v>
      </c>
      <c r="M328" t="n">
        <v>0</v>
      </c>
      <c r="N328" t="n">
        <v>0</v>
      </c>
      <c r="O328" t="n">
        <v>0</v>
      </c>
      <c r="P328" t="n">
        <v>0</v>
      </c>
      <c r="Q328" t="n">
        <v>0</v>
      </c>
      <c r="R328" s="2" t="inlineStr"/>
    </row>
    <row r="329" ht="15" customHeight="1">
      <c r="A329" t="inlineStr">
        <is>
          <t>A 39937-2025</t>
        </is>
      </c>
      <c r="B329" s="1" t="n">
        <v>45891.73162037037</v>
      </c>
      <c r="C329" s="1" t="n">
        <v>46072</v>
      </c>
      <c r="D329" t="inlineStr">
        <is>
          <t>SKÅNE LÄN</t>
        </is>
      </c>
      <c r="E329" t="inlineStr">
        <is>
          <t>HÄSSLEHOLM</t>
        </is>
      </c>
      <c r="G329" t="n">
        <v>4.5</v>
      </c>
      <c r="H329" t="n">
        <v>0</v>
      </c>
      <c r="I329" t="n">
        <v>0</v>
      </c>
      <c r="J329" t="n">
        <v>0</v>
      </c>
      <c r="K329" t="n">
        <v>0</v>
      </c>
      <c r="L329" t="n">
        <v>0</v>
      </c>
      <c r="M329" t="n">
        <v>0</v>
      </c>
      <c r="N329" t="n">
        <v>0</v>
      </c>
      <c r="O329" t="n">
        <v>0</v>
      </c>
      <c r="P329" t="n">
        <v>0</v>
      </c>
      <c r="Q329" t="n">
        <v>0</v>
      </c>
      <c r="R329" s="2" t="inlineStr"/>
    </row>
    <row r="330" ht="15" customHeight="1">
      <c r="A330" t="inlineStr">
        <is>
          <t>A 24250-2025</t>
        </is>
      </c>
      <c r="B330" s="1" t="n">
        <v>45797.40260416667</v>
      </c>
      <c r="C330" s="1" t="n">
        <v>46072</v>
      </c>
      <c r="D330" t="inlineStr">
        <is>
          <t>SKÅNE LÄN</t>
        </is>
      </c>
      <c r="E330" t="inlineStr">
        <is>
          <t>HÄSSLEHOLM</t>
        </is>
      </c>
      <c r="G330" t="n">
        <v>2.3</v>
      </c>
      <c r="H330" t="n">
        <v>0</v>
      </c>
      <c r="I330" t="n">
        <v>0</v>
      </c>
      <c r="J330" t="n">
        <v>0</v>
      </c>
      <c r="K330" t="n">
        <v>0</v>
      </c>
      <c r="L330" t="n">
        <v>0</v>
      </c>
      <c r="M330" t="n">
        <v>0</v>
      </c>
      <c r="N330" t="n">
        <v>0</v>
      </c>
      <c r="O330" t="n">
        <v>0</v>
      </c>
      <c r="P330" t="n">
        <v>0</v>
      </c>
      <c r="Q330" t="n">
        <v>0</v>
      </c>
      <c r="R330" s="2" t="inlineStr"/>
    </row>
    <row r="331" ht="15" customHeight="1">
      <c r="A331" t="inlineStr">
        <is>
          <t>A 12338-2024</t>
        </is>
      </c>
      <c r="B331" s="1" t="n">
        <v>45378.72869212963</v>
      </c>
      <c r="C331" s="1" t="n">
        <v>46072</v>
      </c>
      <c r="D331" t="inlineStr">
        <is>
          <t>SKÅNE LÄN</t>
        </is>
      </c>
      <c r="E331" t="inlineStr">
        <is>
          <t>HÄSSLEHOLM</t>
        </is>
      </c>
      <c r="G331" t="n">
        <v>1.8</v>
      </c>
      <c r="H331" t="n">
        <v>0</v>
      </c>
      <c r="I331" t="n">
        <v>0</v>
      </c>
      <c r="J331" t="n">
        <v>0</v>
      </c>
      <c r="K331" t="n">
        <v>0</v>
      </c>
      <c r="L331" t="n">
        <v>0</v>
      </c>
      <c r="M331" t="n">
        <v>0</v>
      </c>
      <c r="N331" t="n">
        <v>0</v>
      </c>
      <c r="O331" t="n">
        <v>0</v>
      </c>
      <c r="P331" t="n">
        <v>0</v>
      </c>
      <c r="Q331" t="n">
        <v>0</v>
      </c>
      <c r="R331" s="2" t="inlineStr"/>
    </row>
    <row r="332" ht="15" customHeight="1">
      <c r="A332" t="inlineStr">
        <is>
          <t>A 24029-2025</t>
        </is>
      </c>
      <c r="B332" s="1" t="n">
        <v>45796.47552083333</v>
      </c>
      <c r="C332" s="1" t="n">
        <v>46072</v>
      </c>
      <c r="D332" t="inlineStr">
        <is>
          <t>SKÅNE LÄN</t>
        </is>
      </c>
      <c r="E332" t="inlineStr">
        <is>
          <t>HÄSSLEHOLM</t>
        </is>
      </c>
      <c r="G332" t="n">
        <v>0.9</v>
      </c>
      <c r="H332" t="n">
        <v>0</v>
      </c>
      <c r="I332" t="n">
        <v>0</v>
      </c>
      <c r="J332" t="n">
        <v>0</v>
      </c>
      <c r="K332" t="n">
        <v>0</v>
      </c>
      <c r="L332" t="n">
        <v>0</v>
      </c>
      <c r="M332" t="n">
        <v>0</v>
      </c>
      <c r="N332" t="n">
        <v>0</v>
      </c>
      <c r="O332" t="n">
        <v>0</v>
      </c>
      <c r="P332" t="n">
        <v>0</v>
      </c>
      <c r="Q332" t="n">
        <v>0</v>
      </c>
      <c r="R332" s="2" t="inlineStr"/>
    </row>
    <row r="333" ht="15" customHeight="1">
      <c r="A333" t="inlineStr">
        <is>
          <t>A 24039-2025</t>
        </is>
      </c>
      <c r="B333" s="1" t="n">
        <v>45796.48675925926</v>
      </c>
      <c r="C333" s="1" t="n">
        <v>46072</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56667-2025</t>
        </is>
      </c>
      <c r="B334" s="1" t="n">
        <v>45975.68508101852</v>
      </c>
      <c r="C334" s="1" t="n">
        <v>46072</v>
      </c>
      <c r="D334" t="inlineStr">
        <is>
          <t>SKÅNE LÄN</t>
        </is>
      </c>
      <c r="E334" t="inlineStr">
        <is>
          <t>HÄSSLEHOLM</t>
        </is>
      </c>
      <c r="G334" t="n">
        <v>4.4</v>
      </c>
      <c r="H334" t="n">
        <v>0</v>
      </c>
      <c r="I334" t="n">
        <v>0</v>
      </c>
      <c r="J334" t="n">
        <v>0</v>
      </c>
      <c r="K334" t="n">
        <v>0</v>
      </c>
      <c r="L334" t="n">
        <v>0</v>
      </c>
      <c r="M334" t="n">
        <v>0</v>
      </c>
      <c r="N334" t="n">
        <v>0</v>
      </c>
      <c r="O334" t="n">
        <v>0</v>
      </c>
      <c r="P334" t="n">
        <v>0</v>
      </c>
      <c r="Q334" t="n">
        <v>0</v>
      </c>
      <c r="R334" s="2" t="inlineStr"/>
    </row>
    <row r="335" ht="15" customHeight="1">
      <c r="A335" t="inlineStr">
        <is>
          <t>A 24047-2025</t>
        </is>
      </c>
      <c r="B335" s="1" t="n">
        <v>45796.49528935185</v>
      </c>
      <c r="C335" s="1" t="n">
        <v>46072</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24675-2025</t>
        </is>
      </c>
      <c r="B336" s="1" t="n">
        <v>45798.653125</v>
      </c>
      <c r="C336" s="1" t="n">
        <v>46072</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42735-2024</t>
        </is>
      </c>
      <c r="B337" s="1" t="n">
        <v>45566.47274305556</v>
      </c>
      <c r="C337" s="1" t="n">
        <v>46072</v>
      </c>
      <c r="D337" t="inlineStr">
        <is>
          <t>SKÅNE LÄN</t>
        </is>
      </c>
      <c r="E337" t="inlineStr">
        <is>
          <t>HÄSSLEHOLM</t>
        </is>
      </c>
      <c r="G337" t="n">
        <v>3.7</v>
      </c>
      <c r="H337" t="n">
        <v>0</v>
      </c>
      <c r="I337" t="n">
        <v>0</v>
      </c>
      <c r="J337" t="n">
        <v>0</v>
      </c>
      <c r="K337" t="n">
        <v>0</v>
      </c>
      <c r="L337" t="n">
        <v>0</v>
      </c>
      <c r="M337" t="n">
        <v>0</v>
      </c>
      <c r="N337" t="n">
        <v>0</v>
      </c>
      <c r="O337" t="n">
        <v>0</v>
      </c>
      <c r="P337" t="n">
        <v>0</v>
      </c>
      <c r="Q337" t="n">
        <v>0</v>
      </c>
      <c r="R337" s="2" t="inlineStr"/>
    </row>
    <row r="338" ht="15" customHeight="1">
      <c r="A338" t="inlineStr">
        <is>
          <t>A 55522-2024</t>
        </is>
      </c>
      <c r="B338" s="1" t="n">
        <v>45622</v>
      </c>
      <c r="C338" s="1" t="n">
        <v>46072</v>
      </c>
      <c r="D338" t="inlineStr">
        <is>
          <t>SKÅNE LÄN</t>
        </is>
      </c>
      <c r="E338" t="inlineStr">
        <is>
          <t>HÄSSLEHOLM</t>
        </is>
      </c>
      <c r="G338" t="n">
        <v>5.6</v>
      </c>
      <c r="H338" t="n">
        <v>0</v>
      </c>
      <c r="I338" t="n">
        <v>0</v>
      </c>
      <c r="J338" t="n">
        <v>0</v>
      </c>
      <c r="K338" t="n">
        <v>0</v>
      </c>
      <c r="L338" t="n">
        <v>0</v>
      </c>
      <c r="M338" t="n">
        <v>0</v>
      </c>
      <c r="N338" t="n">
        <v>0</v>
      </c>
      <c r="O338" t="n">
        <v>0</v>
      </c>
      <c r="P338" t="n">
        <v>0</v>
      </c>
      <c r="Q338" t="n">
        <v>0</v>
      </c>
      <c r="R338" s="2" t="inlineStr"/>
    </row>
    <row r="339" ht="15" customHeight="1">
      <c r="A339" t="inlineStr">
        <is>
          <t>A 32826-2024</t>
        </is>
      </c>
      <c r="B339" s="1" t="n">
        <v>45516.59056712963</v>
      </c>
      <c r="C339" s="1" t="n">
        <v>46072</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15055-2023</t>
        </is>
      </c>
      <c r="B340" s="1" t="n">
        <v>45015</v>
      </c>
      <c r="C340" s="1" t="n">
        <v>46072</v>
      </c>
      <c r="D340" t="inlineStr">
        <is>
          <t>SKÅNE LÄN</t>
        </is>
      </c>
      <c r="E340" t="inlineStr">
        <is>
          <t>HÄSSLEHOLM</t>
        </is>
      </c>
      <c r="G340" t="n">
        <v>1.9</v>
      </c>
      <c r="H340" t="n">
        <v>0</v>
      </c>
      <c r="I340" t="n">
        <v>0</v>
      </c>
      <c r="J340" t="n">
        <v>0</v>
      </c>
      <c r="K340" t="n">
        <v>0</v>
      </c>
      <c r="L340" t="n">
        <v>0</v>
      </c>
      <c r="M340" t="n">
        <v>0</v>
      </c>
      <c r="N340" t="n">
        <v>0</v>
      </c>
      <c r="O340" t="n">
        <v>0</v>
      </c>
      <c r="P340" t="n">
        <v>0</v>
      </c>
      <c r="Q340" t="n">
        <v>0</v>
      </c>
      <c r="R340" s="2" t="inlineStr"/>
    </row>
    <row r="341" ht="15" customHeight="1">
      <c r="A341" t="inlineStr">
        <is>
          <t>A 9555-2025</t>
        </is>
      </c>
      <c r="B341" s="1" t="n">
        <v>45714</v>
      </c>
      <c r="C341" s="1" t="n">
        <v>46072</v>
      </c>
      <c r="D341" t="inlineStr">
        <is>
          <t>SKÅNE LÄN</t>
        </is>
      </c>
      <c r="E341" t="inlineStr">
        <is>
          <t>HÄSSLEHOLM</t>
        </is>
      </c>
      <c r="G341" t="n">
        <v>5.4</v>
      </c>
      <c r="H341" t="n">
        <v>0</v>
      </c>
      <c r="I341" t="n">
        <v>0</v>
      </c>
      <c r="J341" t="n">
        <v>0</v>
      </c>
      <c r="K341" t="n">
        <v>0</v>
      </c>
      <c r="L341" t="n">
        <v>0</v>
      </c>
      <c r="M341" t="n">
        <v>0</v>
      </c>
      <c r="N341" t="n">
        <v>0</v>
      </c>
      <c r="O341" t="n">
        <v>0</v>
      </c>
      <c r="P341" t="n">
        <v>0</v>
      </c>
      <c r="Q341" t="n">
        <v>0</v>
      </c>
      <c r="R341" s="2" t="inlineStr"/>
    </row>
    <row r="342" ht="15" customHeight="1">
      <c r="A342" t="inlineStr">
        <is>
          <t>A 40241-2025</t>
        </is>
      </c>
      <c r="B342" s="1" t="n">
        <v>45894.87251157407</v>
      </c>
      <c r="C342" s="1" t="n">
        <v>46072</v>
      </c>
      <c r="D342" t="inlineStr">
        <is>
          <t>SKÅNE LÄN</t>
        </is>
      </c>
      <c r="E342" t="inlineStr">
        <is>
          <t>HÄSSLEHOLM</t>
        </is>
      </c>
      <c r="G342" t="n">
        <v>3.8</v>
      </c>
      <c r="H342" t="n">
        <v>0</v>
      </c>
      <c r="I342" t="n">
        <v>0</v>
      </c>
      <c r="J342" t="n">
        <v>0</v>
      </c>
      <c r="K342" t="n">
        <v>0</v>
      </c>
      <c r="L342" t="n">
        <v>0</v>
      </c>
      <c r="M342" t="n">
        <v>0</v>
      </c>
      <c r="N342" t="n">
        <v>0</v>
      </c>
      <c r="O342" t="n">
        <v>0</v>
      </c>
      <c r="P342" t="n">
        <v>0</v>
      </c>
      <c r="Q342" t="n">
        <v>0</v>
      </c>
      <c r="R342" s="2" t="inlineStr"/>
    </row>
    <row r="343" ht="15" customHeight="1">
      <c r="A343" t="inlineStr">
        <is>
          <t>A 34187-2023</t>
        </is>
      </c>
      <c r="B343" s="1" t="n">
        <v>45138</v>
      </c>
      <c r="C343" s="1" t="n">
        <v>46072</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32512-2024</t>
        </is>
      </c>
      <c r="B344" s="1" t="n">
        <v>45513.45613425926</v>
      </c>
      <c r="C344" s="1" t="n">
        <v>46072</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56797-2025</t>
        </is>
      </c>
      <c r="B345" s="1" t="n">
        <v>45978.43273148148</v>
      </c>
      <c r="C345" s="1" t="n">
        <v>46072</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24985-2025</t>
        </is>
      </c>
      <c r="B346" s="1" t="n">
        <v>45799.60256944445</v>
      </c>
      <c r="C346" s="1" t="n">
        <v>46072</v>
      </c>
      <c r="D346" t="inlineStr">
        <is>
          <t>SKÅNE LÄN</t>
        </is>
      </c>
      <c r="E346" t="inlineStr">
        <is>
          <t>HÄSSLEHOLM</t>
        </is>
      </c>
      <c r="G346" t="n">
        <v>2.3</v>
      </c>
      <c r="H346" t="n">
        <v>0</v>
      </c>
      <c r="I346" t="n">
        <v>0</v>
      </c>
      <c r="J346" t="n">
        <v>0</v>
      </c>
      <c r="K346" t="n">
        <v>0</v>
      </c>
      <c r="L346" t="n">
        <v>0</v>
      </c>
      <c r="M346" t="n">
        <v>0</v>
      </c>
      <c r="N346" t="n">
        <v>0</v>
      </c>
      <c r="O346" t="n">
        <v>0</v>
      </c>
      <c r="P346" t="n">
        <v>0</v>
      </c>
      <c r="Q346" t="n">
        <v>0</v>
      </c>
      <c r="R346" s="2" t="inlineStr"/>
    </row>
    <row r="347" ht="15" customHeight="1">
      <c r="A347" t="inlineStr">
        <is>
          <t>A 10562-2025</t>
        </is>
      </c>
      <c r="B347" s="1" t="n">
        <v>45721.52913194444</v>
      </c>
      <c r="C347" s="1" t="n">
        <v>46072</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31255-2024</t>
        </is>
      </c>
      <c r="B348" s="1" t="n">
        <v>45503.69114583333</v>
      </c>
      <c r="C348" s="1" t="n">
        <v>46072</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56798-2025</t>
        </is>
      </c>
      <c r="B349" s="1" t="n">
        <v>45978.43378472222</v>
      </c>
      <c r="C349" s="1" t="n">
        <v>46072</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44697-2021</t>
        </is>
      </c>
      <c r="B350" s="1" t="n">
        <v>44438</v>
      </c>
      <c r="C350" s="1" t="n">
        <v>46072</v>
      </c>
      <c r="D350" t="inlineStr">
        <is>
          <t>SKÅNE LÄN</t>
        </is>
      </c>
      <c r="E350" t="inlineStr">
        <is>
          <t>HÄSSLEHOLM</t>
        </is>
      </c>
      <c r="G350" t="n">
        <v>4.8</v>
      </c>
      <c r="H350" t="n">
        <v>0</v>
      </c>
      <c r="I350" t="n">
        <v>0</v>
      </c>
      <c r="J350" t="n">
        <v>0</v>
      </c>
      <c r="K350" t="n">
        <v>0</v>
      </c>
      <c r="L350" t="n">
        <v>0</v>
      </c>
      <c r="M350" t="n">
        <v>0</v>
      </c>
      <c r="N350" t="n">
        <v>0</v>
      </c>
      <c r="O350" t="n">
        <v>0</v>
      </c>
      <c r="P350" t="n">
        <v>0</v>
      </c>
      <c r="Q350" t="n">
        <v>0</v>
      </c>
      <c r="R350" s="2" t="inlineStr"/>
    </row>
    <row r="351" ht="15" customHeight="1">
      <c r="A351" t="inlineStr">
        <is>
          <t>A 8433-2024</t>
        </is>
      </c>
      <c r="B351" s="1" t="n">
        <v>45353.48434027778</v>
      </c>
      <c r="C351" s="1" t="n">
        <v>46072</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48807-2021</t>
        </is>
      </c>
      <c r="B352" s="1" t="n">
        <v>44452</v>
      </c>
      <c r="C352" s="1" t="n">
        <v>46072</v>
      </c>
      <c r="D352" t="inlineStr">
        <is>
          <t>SKÅNE LÄN</t>
        </is>
      </c>
      <c r="E352" t="inlineStr">
        <is>
          <t>HÄSSLEHOLM</t>
        </is>
      </c>
      <c r="G352" t="n">
        <v>1.1</v>
      </c>
      <c r="H352" t="n">
        <v>0</v>
      </c>
      <c r="I352" t="n">
        <v>0</v>
      </c>
      <c r="J352" t="n">
        <v>0</v>
      </c>
      <c r="K352" t="n">
        <v>0</v>
      </c>
      <c r="L352" t="n">
        <v>0</v>
      </c>
      <c r="M352" t="n">
        <v>0</v>
      </c>
      <c r="N352" t="n">
        <v>0</v>
      </c>
      <c r="O352" t="n">
        <v>0</v>
      </c>
      <c r="P352" t="n">
        <v>0</v>
      </c>
      <c r="Q352" t="n">
        <v>0</v>
      </c>
      <c r="R352" s="2" t="inlineStr"/>
    </row>
    <row r="353" ht="15" customHeight="1">
      <c r="A353" t="inlineStr">
        <is>
          <t>A 28457-2024</t>
        </is>
      </c>
      <c r="B353" s="1" t="n">
        <v>45477.68884259259</v>
      </c>
      <c r="C353" s="1" t="n">
        <v>46072</v>
      </c>
      <c r="D353" t="inlineStr">
        <is>
          <t>SKÅNE LÄN</t>
        </is>
      </c>
      <c r="E353" t="inlineStr">
        <is>
          <t>HÄSSLEHOLM</t>
        </is>
      </c>
      <c r="G353" t="n">
        <v>0.7</v>
      </c>
      <c r="H353" t="n">
        <v>0</v>
      </c>
      <c r="I353" t="n">
        <v>0</v>
      </c>
      <c r="J353" t="n">
        <v>0</v>
      </c>
      <c r="K353" t="n">
        <v>0</v>
      </c>
      <c r="L353" t="n">
        <v>0</v>
      </c>
      <c r="M353" t="n">
        <v>0</v>
      </c>
      <c r="N353" t="n">
        <v>0</v>
      </c>
      <c r="O353" t="n">
        <v>0</v>
      </c>
      <c r="P353" t="n">
        <v>0</v>
      </c>
      <c r="Q353" t="n">
        <v>0</v>
      </c>
      <c r="R353" s="2" t="inlineStr"/>
    </row>
    <row r="354" ht="15" customHeight="1">
      <c r="A354" t="inlineStr">
        <is>
          <t>A 24658-2025</t>
        </is>
      </c>
      <c r="B354" s="1" t="n">
        <v>45798.64134259259</v>
      </c>
      <c r="C354" s="1" t="n">
        <v>46072</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25372-2025</t>
        </is>
      </c>
      <c r="B355" s="1" t="n">
        <v>45799</v>
      </c>
      <c r="C355" s="1" t="n">
        <v>46072</v>
      </c>
      <c r="D355" t="inlineStr">
        <is>
          <t>SKÅNE LÄN</t>
        </is>
      </c>
      <c r="E355" t="inlineStr">
        <is>
          <t>HÄSSLEHOLM</t>
        </is>
      </c>
      <c r="G355" t="n">
        <v>3.1</v>
      </c>
      <c r="H355" t="n">
        <v>0</v>
      </c>
      <c r="I355" t="n">
        <v>0</v>
      </c>
      <c r="J355" t="n">
        <v>0</v>
      </c>
      <c r="K355" t="n">
        <v>0</v>
      </c>
      <c r="L355" t="n">
        <v>0</v>
      </c>
      <c r="M355" t="n">
        <v>0</v>
      </c>
      <c r="N355" t="n">
        <v>0</v>
      </c>
      <c r="O355" t="n">
        <v>0</v>
      </c>
      <c r="P355" t="n">
        <v>0</v>
      </c>
      <c r="Q355" t="n">
        <v>0</v>
      </c>
      <c r="R355" s="2" t="inlineStr"/>
    </row>
    <row r="356" ht="15" customHeight="1">
      <c r="A356" t="inlineStr">
        <is>
          <t>A 9399-2025</t>
        </is>
      </c>
      <c r="B356" s="1" t="n">
        <v>45715.37861111111</v>
      </c>
      <c r="C356" s="1" t="n">
        <v>46072</v>
      </c>
      <c r="D356" t="inlineStr">
        <is>
          <t>SKÅNE LÄN</t>
        </is>
      </c>
      <c r="E356" t="inlineStr">
        <is>
          <t>HÄSSLEHOLM</t>
        </is>
      </c>
      <c r="G356" t="n">
        <v>5.2</v>
      </c>
      <c r="H356" t="n">
        <v>0</v>
      </c>
      <c r="I356" t="n">
        <v>0</v>
      </c>
      <c r="J356" t="n">
        <v>0</v>
      </c>
      <c r="K356" t="n">
        <v>0</v>
      </c>
      <c r="L356" t="n">
        <v>0</v>
      </c>
      <c r="M356" t="n">
        <v>0</v>
      </c>
      <c r="N356" t="n">
        <v>0</v>
      </c>
      <c r="O356" t="n">
        <v>0</v>
      </c>
      <c r="P356" t="n">
        <v>0</v>
      </c>
      <c r="Q356" t="n">
        <v>0</v>
      </c>
      <c r="R356" s="2" t="inlineStr"/>
    </row>
    <row r="357" ht="15" customHeight="1">
      <c r="A357" t="inlineStr">
        <is>
          <t>A 13309-2025</t>
        </is>
      </c>
      <c r="B357" s="1" t="n">
        <v>45735.58512731481</v>
      </c>
      <c r="C357" s="1" t="n">
        <v>46072</v>
      </c>
      <c r="D357" t="inlineStr">
        <is>
          <t>SKÅNE LÄN</t>
        </is>
      </c>
      <c r="E357" t="inlineStr">
        <is>
          <t>HÄSSLEHOLM</t>
        </is>
      </c>
      <c r="G357" t="n">
        <v>1.2</v>
      </c>
      <c r="H357" t="n">
        <v>0</v>
      </c>
      <c r="I357" t="n">
        <v>0</v>
      </c>
      <c r="J357" t="n">
        <v>0</v>
      </c>
      <c r="K357" t="n">
        <v>0</v>
      </c>
      <c r="L357" t="n">
        <v>0</v>
      </c>
      <c r="M357" t="n">
        <v>0</v>
      </c>
      <c r="N357" t="n">
        <v>0</v>
      </c>
      <c r="O357" t="n">
        <v>0</v>
      </c>
      <c r="P357" t="n">
        <v>0</v>
      </c>
      <c r="Q357" t="n">
        <v>0</v>
      </c>
      <c r="R357" s="2" t="inlineStr"/>
    </row>
    <row r="358" ht="15" customHeight="1">
      <c r="A358" t="inlineStr">
        <is>
          <t>A 51752-2023</t>
        </is>
      </c>
      <c r="B358" s="1" t="n">
        <v>45222</v>
      </c>
      <c r="C358" s="1" t="n">
        <v>46072</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259-2024</t>
        </is>
      </c>
      <c r="B359" s="1" t="n">
        <v>45294</v>
      </c>
      <c r="C359" s="1" t="n">
        <v>46072</v>
      </c>
      <c r="D359" t="inlineStr">
        <is>
          <t>SKÅNE LÄN</t>
        </is>
      </c>
      <c r="E359" t="inlineStr">
        <is>
          <t>HÄSSLEHOLM</t>
        </is>
      </c>
      <c r="G359" t="n">
        <v>8</v>
      </c>
      <c r="H359" t="n">
        <v>0</v>
      </c>
      <c r="I359" t="n">
        <v>0</v>
      </c>
      <c r="J359" t="n">
        <v>0</v>
      </c>
      <c r="K359" t="n">
        <v>0</v>
      </c>
      <c r="L359" t="n">
        <v>0</v>
      </c>
      <c r="M359" t="n">
        <v>0</v>
      </c>
      <c r="N359" t="n">
        <v>0</v>
      </c>
      <c r="O359" t="n">
        <v>0</v>
      </c>
      <c r="P359" t="n">
        <v>0</v>
      </c>
      <c r="Q359" t="n">
        <v>0</v>
      </c>
      <c r="R359" s="2" t="inlineStr"/>
    </row>
    <row r="360" ht="15" customHeight="1">
      <c r="A360" t="inlineStr">
        <is>
          <t>A 29659-2024</t>
        </is>
      </c>
      <c r="B360" s="1" t="n">
        <v>45484.92587962963</v>
      </c>
      <c r="C360" s="1" t="n">
        <v>46072</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27837-2024</t>
        </is>
      </c>
      <c r="B361" s="1" t="n">
        <v>45475</v>
      </c>
      <c r="C361" s="1" t="n">
        <v>46072</v>
      </c>
      <c r="D361" t="inlineStr">
        <is>
          <t>SKÅNE LÄN</t>
        </is>
      </c>
      <c r="E361" t="inlineStr">
        <is>
          <t>HÄSSLEHOLM</t>
        </is>
      </c>
      <c r="F361" t="inlineStr">
        <is>
          <t>Kommuner</t>
        </is>
      </c>
      <c r="G361" t="n">
        <v>2.3</v>
      </c>
      <c r="H361" t="n">
        <v>0</v>
      </c>
      <c r="I361" t="n">
        <v>0</v>
      </c>
      <c r="J361" t="n">
        <v>0</v>
      </c>
      <c r="K361" t="n">
        <v>0</v>
      </c>
      <c r="L361" t="n">
        <v>0</v>
      </c>
      <c r="M361" t="n">
        <v>0</v>
      </c>
      <c r="N361" t="n">
        <v>0</v>
      </c>
      <c r="O361" t="n">
        <v>0</v>
      </c>
      <c r="P361" t="n">
        <v>0</v>
      </c>
      <c r="Q361" t="n">
        <v>0</v>
      </c>
      <c r="R361" s="2" t="inlineStr"/>
    </row>
    <row r="362" ht="15" customHeight="1">
      <c r="A362" t="inlineStr">
        <is>
          <t>A 1679-2022</t>
        </is>
      </c>
      <c r="B362" s="1" t="n">
        <v>44573</v>
      </c>
      <c r="C362" s="1" t="n">
        <v>46072</v>
      </c>
      <c r="D362" t="inlineStr">
        <is>
          <t>SKÅNE LÄN</t>
        </is>
      </c>
      <c r="E362" t="inlineStr">
        <is>
          <t>HÄSSLEHOLM</t>
        </is>
      </c>
      <c r="F362" t="inlineStr">
        <is>
          <t>Kyrkan</t>
        </is>
      </c>
      <c r="G362" t="n">
        <v>4.3</v>
      </c>
      <c r="H362" t="n">
        <v>0</v>
      </c>
      <c r="I362" t="n">
        <v>0</v>
      </c>
      <c r="J362" t="n">
        <v>0</v>
      </c>
      <c r="K362" t="n">
        <v>0</v>
      </c>
      <c r="L362" t="n">
        <v>0</v>
      </c>
      <c r="M362" t="n">
        <v>0</v>
      </c>
      <c r="N362" t="n">
        <v>0</v>
      </c>
      <c r="O362" t="n">
        <v>0</v>
      </c>
      <c r="P362" t="n">
        <v>0</v>
      </c>
      <c r="Q362" t="n">
        <v>0</v>
      </c>
      <c r="R362" s="2" t="inlineStr"/>
    </row>
    <row r="363" ht="15" customHeight="1">
      <c r="A363" t="inlineStr">
        <is>
          <t>A 56767-2025</t>
        </is>
      </c>
      <c r="B363" s="1" t="n">
        <v>45978.38178240741</v>
      </c>
      <c r="C363" s="1" t="n">
        <v>46072</v>
      </c>
      <c r="D363" t="inlineStr">
        <is>
          <t>SKÅNE LÄN</t>
        </is>
      </c>
      <c r="E363" t="inlineStr">
        <is>
          <t>HÄSSLEHOLM</t>
        </is>
      </c>
      <c r="G363" t="n">
        <v>1.7</v>
      </c>
      <c r="H363" t="n">
        <v>0</v>
      </c>
      <c r="I363" t="n">
        <v>0</v>
      </c>
      <c r="J363" t="n">
        <v>0</v>
      </c>
      <c r="K363" t="n">
        <v>0</v>
      </c>
      <c r="L363" t="n">
        <v>0</v>
      </c>
      <c r="M363" t="n">
        <v>0</v>
      </c>
      <c r="N363" t="n">
        <v>0</v>
      </c>
      <c r="O363" t="n">
        <v>0</v>
      </c>
      <c r="P363" t="n">
        <v>0</v>
      </c>
      <c r="Q363" t="n">
        <v>0</v>
      </c>
      <c r="R363" s="2" t="inlineStr"/>
    </row>
    <row r="364" ht="15" customHeight="1">
      <c r="A364" t="inlineStr">
        <is>
          <t>A 56769-2025</t>
        </is>
      </c>
      <c r="B364" s="1" t="n">
        <v>45978.38429398148</v>
      </c>
      <c r="C364" s="1" t="n">
        <v>46072</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56794-2025</t>
        </is>
      </c>
      <c r="B365" s="1" t="n">
        <v>45978.43039351852</v>
      </c>
      <c r="C365" s="1" t="n">
        <v>46072</v>
      </c>
      <c r="D365" t="inlineStr">
        <is>
          <t>SKÅNE LÄN</t>
        </is>
      </c>
      <c r="E365" t="inlineStr">
        <is>
          <t>HÄSSLEHOLM</t>
        </is>
      </c>
      <c r="G365" t="n">
        <v>2.3</v>
      </c>
      <c r="H365" t="n">
        <v>0</v>
      </c>
      <c r="I365" t="n">
        <v>0</v>
      </c>
      <c r="J365" t="n">
        <v>0</v>
      </c>
      <c r="K365" t="n">
        <v>0</v>
      </c>
      <c r="L365" t="n">
        <v>0</v>
      </c>
      <c r="M365" t="n">
        <v>0</v>
      </c>
      <c r="N365" t="n">
        <v>0</v>
      </c>
      <c r="O365" t="n">
        <v>0</v>
      </c>
      <c r="P365" t="n">
        <v>0</v>
      </c>
      <c r="Q365" t="n">
        <v>0</v>
      </c>
      <c r="R365" s="2" t="inlineStr"/>
    </row>
    <row r="366" ht="15" customHeight="1">
      <c r="A366" t="inlineStr">
        <is>
          <t>A 32834-2024</t>
        </is>
      </c>
      <c r="B366" s="1" t="n">
        <v>45516.6025</v>
      </c>
      <c r="C366" s="1" t="n">
        <v>46072</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9397-2025</t>
        </is>
      </c>
      <c r="B367" s="1" t="n">
        <v>45715.37361111111</v>
      </c>
      <c r="C367" s="1" t="n">
        <v>46072</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51565-2023</t>
        </is>
      </c>
      <c r="B368" s="1" t="n">
        <v>45222</v>
      </c>
      <c r="C368" s="1" t="n">
        <v>46072</v>
      </c>
      <c r="D368" t="inlineStr">
        <is>
          <t>SKÅNE LÄN</t>
        </is>
      </c>
      <c r="E368" t="inlineStr">
        <is>
          <t>HÄSSLEHOLM</t>
        </is>
      </c>
      <c r="G368" t="n">
        <v>2.1</v>
      </c>
      <c r="H368" t="n">
        <v>0</v>
      </c>
      <c r="I368" t="n">
        <v>0</v>
      </c>
      <c r="J368" t="n">
        <v>0</v>
      </c>
      <c r="K368" t="n">
        <v>0</v>
      </c>
      <c r="L368" t="n">
        <v>0</v>
      </c>
      <c r="M368" t="n">
        <v>0</v>
      </c>
      <c r="N368" t="n">
        <v>0</v>
      </c>
      <c r="O368" t="n">
        <v>0</v>
      </c>
      <c r="P368" t="n">
        <v>0</v>
      </c>
      <c r="Q368" t="n">
        <v>0</v>
      </c>
      <c r="R368" s="2" t="inlineStr"/>
    </row>
    <row r="369" ht="15" customHeight="1">
      <c r="A369" t="inlineStr">
        <is>
          <t>A 59109-2023</t>
        </is>
      </c>
      <c r="B369" s="1" t="n">
        <v>45253.30819444444</v>
      </c>
      <c r="C369" s="1" t="n">
        <v>46072</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49384-2021</t>
        </is>
      </c>
      <c r="B370" s="1" t="n">
        <v>44454</v>
      </c>
      <c r="C370" s="1" t="n">
        <v>46072</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54462-2022</t>
        </is>
      </c>
      <c r="B371" s="1" t="n">
        <v>44882</v>
      </c>
      <c r="C371" s="1" t="n">
        <v>46072</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25611-2024</t>
        </is>
      </c>
      <c r="B372" s="1" t="n">
        <v>45463</v>
      </c>
      <c r="C372" s="1" t="n">
        <v>46072</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25615-2025</t>
        </is>
      </c>
      <c r="B373" s="1" t="n">
        <v>45803</v>
      </c>
      <c r="C373" s="1" t="n">
        <v>46072</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7094-2023</t>
        </is>
      </c>
      <c r="B374" s="1" t="n">
        <v>44970.36958333333</v>
      </c>
      <c r="C374" s="1" t="n">
        <v>46072</v>
      </c>
      <c r="D374" t="inlineStr">
        <is>
          <t>SKÅNE LÄN</t>
        </is>
      </c>
      <c r="E374" t="inlineStr">
        <is>
          <t>HÄSSLEHOLM</t>
        </is>
      </c>
      <c r="G374" t="n">
        <v>3.6</v>
      </c>
      <c r="H374" t="n">
        <v>0</v>
      </c>
      <c r="I374" t="n">
        <v>0</v>
      </c>
      <c r="J374" t="n">
        <v>0</v>
      </c>
      <c r="K374" t="n">
        <v>0</v>
      </c>
      <c r="L374" t="n">
        <v>0</v>
      </c>
      <c r="M374" t="n">
        <v>0</v>
      </c>
      <c r="N374" t="n">
        <v>0</v>
      </c>
      <c r="O374" t="n">
        <v>0</v>
      </c>
      <c r="P374" t="n">
        <v>0</v>
      </c>
      <c r="Q374" t="n">
        <v>0</v>
      </c>
      <c r="R374" s="2" t="inlineStr"/>
    </row>
    <row r="375" ht="15" customHeight="1">
      <c r="A375" t="inlineStr">
        <is>
          <t>A 32100-2024</t>
        </is>
      </c>
      <c r="B375" s="1" t="n">
        <v>45511.41451388889</v>
      </c>
      <c r="C375" s="1" t="n">
        <v>46072</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11412-2025</t>
        </is>
      </c>
      <c r="B376" s="1" t="n">
        <v>45726</v>
      </c>
      <c r="C376" s="1" t="n">
        <v>46072</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10220-2023</t>
        </is>
      </c>
      <c r="B377" s="1" t="n">
        <v>44986.60916666667</v>
      </c>
      <c r="C377" s="1" t="n">
        <v>46072</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25430-2025</t>
        </is>
      </c>
      <c r="B378" s="1" t="n">
        <v>45800.78212962963</v>
      </c>
      <c r="C378" s="1" t="n">
        <v>46072</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35810-2023</t>
        </is>
      </c>
      <c r="B379" s="1" t="n">
        <v>45148.44046296296</v>
      </c>
      <c r="C379" s="1" t="n">
        <v>46072</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11260-2021</t>
        </is>
      </c>
      <c r="B380" s="1" t="n">
        <v>44263</v>
      </c>
      <c r="C380" s="1" t="n">
        <v>46072</v>
      </c>
      <c r="D380" t="inlineStr">
        <is>
          <t>SKÅNE LÄN</t>
        </is>
      </c>
      <c r="E380" t="inlineStr">
        <is>
          <t>HÄSSLEHOLM</t>
        </is>
      </c>
      <c r="G380" t="n">
        <v>5.4</v>
      </c>
      <c r="H380" t="n">
        <v>0</v>
      </c>
      <c r="I380" t="n">
        <v>0</v>
      </c>
      <c r="J380" t="n">
        <v>0</v>
      </c>
      <c r="K380" t="n">
        <v>0</v>
      </c>
      <c r="L380" t="n">
        <v>0</v>
      </c>
      <c r="M380" t="n">
        <v>0</v>
      </c>
      <c r="N380" t="n">
        <v>0</v>
      </c>
      <c r="O380" t="n">
        <v>0</v>
      </c>
      <c r="P380" t="n">
        <v>0</v>
      </c>
      <c r="Q380" t="n">
        <v>0</v>
      </c>
      <c r="R380" s="2" t="inlineStr"/>
    </row>
    <row r="381" ht="15" customHeight="1">
      <c r="A381" t="inlineStr">
        <is>
          <t>A 35833-2023</t>
        </is>
      </c>
      <c r="B381" s="1" t="n">
        <v>45148</v>
      </c>
      <c r="C381" s="1" t="n">
        <v>46072</v>
      </c>
      <c r="D381" t="inlineStr">
        <is>
          <t>SKÅNE LÄN</t>
        </is>
      </c>
      <c r="E381" t="inlineStr">
        <is>
          <t>HÄSSLEHOLM</t>
        </is>
      </c>
      <c r="F381" t="inlineStr">
        <is>
          <t>Kommuner</t>
        </is>
      </c>
      <c r="G381" t="n">
        <v>2</v>
      </c>
      <c r="H381" t="n">
        <v>0</v>
      </c>
      <c r="I381" t="n">
        <v>0</v>
      </c>
      <c r="J381" t="n">
        <v>0</v>
      </c>
      <c r="K381" t="n">
        <v>0</v>
      </c>
      <c r="L381" t="n">
        <v>0</v>
      </c>
      <c r="M381" t="n">
        <v>0</v>
      </c>
      <c r="N381" t="n">
        <v>0</v>
      </c>
      <c r="O381" t="n">
        <v>0</v>
      </c>
      <c r="P381" t="n">
        <v>0</v>
      </c>
      <c r="Q381" t="n">
        <v>0</v>
      </c>
      <c r="R381" s="2" t="inlineStr"/>
    </row>
    <row r="382" ht="15" customHeight="1">
      <c r="A382" t="inlineStr">
        <is>
          <t>A 11466-2025</t>
        </is>
      </c>
      <c r="B382" s="1" t="n">
        <v>45726</v>
      </c>
      <c r="C382" s="1" t="n">
        <v>46072</v>
      </c>
      <c r="D382" t="inlineStr">
        <is>
          <t>SKÅNE LÄN</t>
        </is>
      </c>
      <c r="E382" t="inlineStr">
        <is>
          <t>HÄSSLEHOLM</t>
        </is>
      </c>
      <c r="G382" t="n">
        <v>3.2</v>
      </c>
      <c r="H382" t="n">
        <v>0</v>
      </c>
      <c r="I382" t="n">
        <v>0</v>
      </c>
      <c r="J382" t="n">
        <v>0</v>
      </c>
      <c r="K382" t="n">
        <v>0</v>
      </c>
      <c r="L382" t="n">
        <v>0</v>
      </c>
      <c r="M382" t="n">
        <v>0</v>
      </c>
      <c r="N382" t="n">
        <v>0</v>
      </c>
      <c r="O382" t="n">
        <v>0</v>
      </c>
      <c r="P382" t="n">
        <v>0</v>
      </c>
      <c r="Q382" t="n">
        <v>0</v>
      </c>
      <c r="R382" s="2" t="inlineStr"/>
    </row>
    <row r="383" ht="15" customHeight="1">
      <c r="A383" t="inlineStr">
        <is>
          <t>A 59556-2023</t>
        </is>
      </c>
      <c r="B383" s="1" t="n">
        <v>45254.56313657408</v>
      </c>
      <c r="C383" s="1" t="n">
        <v>46072</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53077-2022</t>
        </is>
      </c>
      <c r="B384" s="1" t="n">
        <v>44873</v>
      </c>
      <c r="C384" s="1" t="n">
        <v>46072</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25431-2025</t>
        </is>
      </c>
      <c r="B385" s="1" t="n">
        <v>45800.78340277778</v>
      </c>
      <c r="C385" s="1" t="n">
        <v>46072</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25432-2025</t>
        </is>
      </c>
      <c r="B386" s="1" t="n">
        <v>45800.7847800926</v>
      </c>
      <c r="C386" s="1" t="n">
        <v>46072</v>
      </c>
      <c r="D386" t="inlineStr">
        <is>
          <t>SKÅNE LÄN</t>
        </is>
      </c>
      <c r="E386" t="inlineStr">
        <is>
          <t>HÄSSLEHOLM</t>
        </is>
      </c>
      <c r="G386" t="n">
        <v>1.8</v>
      </c>
      <c r="H386" t="n">
        <v>0</v>
      </c>
      <c r="I386" t="n">
        <v>0</v>
      </c>
      <c r="J386" t="n">
        <v>0</v>
      </c>
      <c r="K386" t="n">
        <v>0</v>
      </c>
      <c r="L386" t="n">
        <v>0</v>
      </c>
      <c r="M386" t="n">
        <v>0</v>
      </c>
      <c r="N386" t="n">
        <v>0</v>
      </c>
      <c r="O386" t="n">
        <v>0</v>
      </c>
      <c r="P386" t="n">
        <v>0</v>
      </c>
      <c r="Q386" t="n">
        <v>0</v>
      </c>
      <c r="R386" s="2" t="inlineStr"/>
    </row>
    <row r="387" ht="15" customHeight="1">
      <c r="A387" t="inlineStr">
        <is>
          <t>A 11470-2025</t>
        </is>
      </c>
      <c r="B387" s="1" t="n">
        <v>45726</v>
      </c>
      <c r="C387" s="1" t="n">
        <v>46072</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41400-2025</t>
        </is>
      </c>
      <c r="B388" s="1" t="n">
        <v>45901</v>
      </c>
      <c r="C388" s="1" t="n">
        <v>46072</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41401-2025</t>
        </is>
      </c>
      <c r="B389" s="1" t="n">
        <v>45901</v>
      </c>
      <c r="C389" s="1" t="n">
        <v>46072</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55569-2025</t>
        </is>
      </c>
      <c r="B390" s="1" t="n">
        <v>45971</v>
      </c>
      <c r="C390" s="1" t="n">
        <v>46072</v>
      </c>
      <c r="D390" t="inlineStr">
        <is>
          <t>SKÅNE LÄN</t>
        </is>
      </c>
      <c r="E390" t="inlineStr">
        <is>
          <t>HÄSSLEHOLM</t>
        </is>
      </c>
      <c r="G390" t="n">
        <v>4.2</v>
      </c>
      <c r="H390" t="n">
        <v>0</v>
      </c>
      <c r="I390" t="n">
        <v>0</v>
      </c>
      <c r="J390" t="n">
        <v>0</v>
      </c>
      <c r="K390" t="n">
        <v>0</v>
      </c>
      <c r="L390" t="n">
        <v>0</v>
      </c>
      <c r="M390" t="n">
        <v>0</v>
      </c>
      <c r="N390" t="n">
        <v>0</v>
      </c>
      <c r="O390" t="n">
        <v>0</v>
      </c>
      <c r="P390" t="n">
        <v>0</v>
      </c>
      <c r="Q390" t="n">
        <v>0</v>
      </c>
      <c r="R390" s="2" t="inlineStr"/>
    </row>
    <row r="391" ht="15" customHeight="1">
      <c r="A391" t="inlineStr">
        <is>
          <t>A 19744-2023</t>
        </is>
      </c>
      <c r="B391" s="1" t="n">
        <v>45051</v>
      </c>
      <c r="C391" s="1" t="n">
        <v>46072</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14655-2025</t>
        </is>
      </c>
      <c r="B392" s="1" t="n">
        <v>45742.5072337963</v>
      </c>
      <c r="C392" s="1" t="n">
        <v>46072</v>
      </c>
      <c r="D392" t="inlineStr">
        <is>
          <t>SKÅNE LÄN</t>
        </is>
      </c>
      <c r="E392" t="inlineStr">
        <is>
          <t>HÄSSLEHOLM</t>
        </is>
      </c>
      <c r="G392" t="n">
        <v>4.5</v>
      </c>
      <c r="H392" t="n">
        <v>0</v>
      </c>
      <c r="I392" t="n">
        <v>0</v>
      </c>
      <c r="J392" t="n">
        <v>0</v>
      </c>
      <c r="K392" t="n">
        <v>0</v>
      </c>
      <c r="L392" t="n">
        <v>0</v>
      </c>
      <c r="M392" t="n">
        <v>0</v>
      </c>
      <c r="N392" t="n">
        <v>0</v>
      </c>
      <c r="O392" t="n">
        <v>0</v>
      </c>
      <c r="P392" t="n">
        <v>0</v>
      </c>
      <c r="Q392" t="n">
        <v>0</v>
      </c>
      <c r="R392" s="2" t="inlineStr"/>
    </row>
    <row r="393" ht="15" customHeight="1">
      <c r="A393" t="inlineStr">
        <is>
          <t>A 14926-2024</t>
        </is>
      </c>
      <c r="B393" s="1" t="n">
        <v>45398</v>
      </c>
      <c r="C393" s="1" t="n">
        <v>46072</v>
      </c>
      <c r="D393" t="inlineStr">
        <is>
          <t>SKÅNE LÄN</t>
        </is>
      </c>
      <c r="E393" t="inlineStr">
        <is>
          <t>HÄSSLEHOLM</t>
        </is>
      </c>
      <c r="G393" t="n">
        <v>3.4</v>
      </c>
      <c r="H393" t="n">
        <v>0</v>
      </c>
      <c r="I393" t="n">
        <v>0</v>
      </c>
      <c r="J393" t="n">
        <v>0</v>
      </c>
      <c r="K393" t="n">
        <v>0</v>
      </c>
      <c r="L393" t="n">
        <v>0</v>
      </c>
      <c r="M393" t="n">
        <v>0</v>
      </c>
      <c r="N393" t="n">
        <v>0</v>
      </c>
      <c r="O393" t="n">
        <v>0</v>
      </c>
      <c r="P393" t="n">
        <v>0</v>
      </c>
      <c r="Q393" t="n">
        <v>0</v>
      </c>
      <c r="R393" s="2" t="inlineStr"/>
    </row>
    <row r="394" ht="15" customHeight="1">
      <c r="A394" t="inlineStr">
        <is>
          <t>A 60843-2022</t>
        </is>
      </c>
      <c r="B394" s="1" t="n">
        <v>44914</v>
      </c>
      <c r="C394" s="1" t="n">
        <v>46072</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26232-2025</t>
        </is>
      </c>
      <c r="B395" s="1" t="n">
        <v>45805.56642361111</v>
      </c>
      <c r="C395" s="1" t="n">
        <v>46072</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57817-2025</t>
        </is>
      </c>
      <c r="B396" s="1" t="n">
        <v>45981.59475694445</v>
      </c>
      <c r="C396" s="1" t="n">
        <v>46072</v>
      </c>
      <c r="D396" t="inlineStr">
        <is>
          <t>SKÅNE LÄN</t>
        </is>
      </c>
      <c r="E396" t="inlineStr">
        <is>
          <t>HÄSSLEHOLM</t>
        </is>
      </c>
      <c r="G396" t="n">
        <v>3.8</v>
      </c>
      <c r="H396" t="n">
        <v>0</v>
      </c>
      <c r="I396" t="n">
        <v>0</v>
      </c>
      <c r="J396" t="n">
        <v>0</v>
      </c>
      <c r="K396" t="n">
        <v>0</v>
      </c>
      <c r="L396" t="n">
        <v>0</v>
      </c>
      <c r="M396" t="n">
        <v>0</v>
      </c>
      <c r="N396" t="n">
        <v>0</v>
      </c>
      <c r="O396" t="n">
        <v>0</v>
      </c>
      <c r="P396" t="n">
        <v>0</v>
      </c>
      <c r="Q396" t="n">
        <v>0</v>
      </c>
      <c r="R396" s="2" t="inlineStr"/>
    </row>
    <row r="397" ht="15" customHeight="1">
      <c r="A397" t="inlineStr">
        <is>
          <t>A 61504-2022</t>
        </is>
      </c>
      <c r="B397" s="1" t="n">
        <v>44910</v>
      </c>
      <c r="C397" s="1" t="n">
        <v>46072</v>
      </c>
      <c r="D397" t="inlineStr">
        <is>
          <t>SKÅNE LÄN</t>
        </is>
      </c>
      <c r="E397" t="inlineStr">
        <is>
          <t>HÄSSLEHOLM</t>
        </is>
      </c>
      <c r="F397" t="inlineStr">
        <is>
          <t>Kyrkan</t>
        </is>
      </c>
      <c r="G397" t="n">
        <v>2.9</v>
      </c>
      <c r="H397" t="n">
        <v>0</v>
      </c>
      <c r="I397" t="n">
        <v>0</v>
      </c>
      <c r="J397" t="n">
        <v>0</v>
      </c>
      <c r="K397" t="n">
        <v>0</v>
      </c>
      <c r="L397" t="n">
        <v>0</v>
      </c>
      <c r="M397" t="n">
        <v>0</v>
      </c>
      <c r="N397" t="n">
        <v>0</v>
      </c>
      <c r="O397" t="n">
        <v>0</v>
      </c>
      <c r="P397" t="n">
        <v>0</v>
      </c>
      <c r="Q397" t="n">
        <v>0</v>
      </c>
      <c r="R397" s="2" t="inlineStr"/>
    </row>
    <row r="398" ht="15" customHeight="1">
      <c r="A398" t="inlineStr">
        <is>
          <t>A 26244-2025</t>
        </is>
      </c>
      <c r="B398" s="1" t="n">
        <v>45805.57364583333</v>
      </c>
      <c r="C398" s="1" t="n">
        <v>46072</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19739-2023</t>
        </is>
      </c>
      <c r="B399" s="1" t="n">
        <v>45051</v>
      </c>
      <c r="C399" s="1" t="n">
        <v>46072</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52968-2022</t>
        </is>
      </c>
      <c r="B400" s="1" t="n">
        <v>44875</v>
      </c>
      <c r="C400" s="1" t="n">
        <v>46072</v>
      </c>
      <c r="D400" t="inlineStr">
        <is>
          <t>SKÅNE LÄN</t>
        </is>
      </c>
      <c r="E400" t="inlineStr">
        <is>
          <t>HÄSSLEHOLM</t>
        </is>
      </c>
      <c r="G400" t="n">
        <v>2.6</v>
      </c>
      <c r="H400" t="n">
        <v>0</v>
      </c>
      <c r="I400" t="n">
        <v>0</v>
      </c>
      <c r="J400" t="n">
        <v>0</v>
      </c>
      <c r="K400" t="n">
        <v>0</v>
      </c>
      <c r="L400" t="n">
        <v>0</v>
      </c>
      <c r="M400" t="n">
        <v>0</v>
      </c>
      <c r="N400" t="n">
        <v>0</v>
      </c>
      <c r="O400" t="n">
        <v>0</v>
      </c>
      <c r="P400" t="n">
        <v>0</v>
      </c>
      <c r="Q400" t="n">
        <v>0</v>
      </c>
      <c r="R400" s="2" t="inlineStr"/>
    </row>
    <row r="401" ht="15" customHeight="1">
      <c r="A401" t="inlineStr">
        <is>
          <t>A 30092-2025</t>
        </is>
      </c>
      <c r="B401" s="1" t="n">
        <v>45826</v>
      </c>
      <c r="C401" s="1" t="n">
        <v>46072</v>
      </c>
      <c r="D401" t="inlineStr">
        <is>
          <t>SKÅNE LÄN</t>
        </is>
      </c>
      <c r="E401" t="inlineStr">
        <is>
          <t>HÄSSLEHOLM</t>
        </is>
      </c>
      <c r="G401" t="n">
        <v>1.4</v>
      </c>
      <c r="H401" t="n">
        <v>0</v>
      </c>
      <c r="I401" t="n">
        <v>0</v>
      </c>
      <c r="J401" t="n">
        <v>0</v>
      </c>
      <c r="K401" t="n">
        <v>0</v>
      </c>
      <c r="L401" t="n">
        <v>0</v>
      </c>
      <c r="M401" t="n">
        <v>0</v>
      </c>
      <c r="N401" t="n">
        <v>0</v>
      </c>
      <c r="O401" t="n">
        <v>0</v>
      </c>
      <c r="P401" t="n">
        <v>0</v>
      </c>
      <c r="Q401" t="n">
        <v>0</v>
      </c>
      <c r="R401" s="2" t="inlineStr"/>
    </row>
    <row r="402" ht="15" customHeight="1">
      <c r="A402" t="inlineStr">
        <is>
          <t>A 59763-2022</t>
        </is>
      </c>
      <c r="B402" s="1" t="n">
        <v>44900</v>
      </c>
      <c r="C402" s="1" t="n">
        <v>46072</v>
      </c>
      <c r="D402" t="inlineStr">
        <is>
          <t>SKÅNE LÄN</t>
        </is>
      </c>
      <c r="E402" t="inlineStr">
        <is>
          <t>HÄSSLEHOLM</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3364-2023</t>
        </is>
      </c>
      <c r="B403" s="1" t="n">
        <v>44949</v>
      </c>
      <c r="C403" s="1" t="n">
        <v>46072</v>
      </c>
      <c r="D403" t="inlineStr">
        <is>
          <t>SKÅNE LÄN</t>
        </is>
      </c>
      <c r="E403" t="inlineStr">
        <is>
          <t>HÄSSLEHOLM</t>
        </is>
      </c>
      <c r="G403" t="n">
        <v>5.1</v>
      </c>
      <c r="H403" t="n">
        <v>0</v>
      </c>
      <c r="I403" t="n">
        <v>0</v>
      </c>
      <c r="J403" t="n">
        <v>0</v>
      </c>
      <c r="K403" t="n">
        <v>0</v>
      </c>
      <c r="L403" t="n">
        <v>0</v>
      </c>
      <c r="M403" t="n">
        <v>0</v>
      </c>
      <c r="N403" t="n">
        <v>0</v>
      </c>
      <c r="O403" t="n">
        <v>0</v>
      </c>
      <c r="P403" t="n">
        <v>0</v>
      </c>
      <c r="Q403" t="n">
        <v>0</v>
      </c>
      <c r="R403" s="2" t="inlineStr"/>
    </row>
    <row r="404" ht="15" customHeight="1">
      <c r="A404" t="inlineStr">
        <is>
          <t>A 52642-2021</t>
        </is>
      </c>
      <c r="B404" s="1" t="n">
        <v>44466.64298611111</v>
      </c>
      <c r="C404" s="1" t="n">
        <v>46072</v>
      </c>
      <c r="D404" t="inlineStr">
        <is>
          <t>SKÅNE LÄN</t>
        </is>
      </c>
      <c r="E404" t="inlineStr">
        <is>
          <t>HÄSSLEHOLM</t>
        </is>
      </c>
      <c r="G404" t="n">
        <v>3.7</v>
      </c>
      <c r="H404" t="n">
        <v>0</v>
      </c>
      <c r="I404" t="n">
        <v>0</v>
      </c>
      <c r="J404" t="n">
        <v>0</v>
      </c>
      <c r="K404" t="n">
        <v>0</v>
      </c>
      <c r="L404" t="n">
        <v>0</v>
      </c>
      <c r="M404" t="n">
        <v>0</v>
      </c>
      <c r="N404" t="n">
        <v>0</v>
      </c>
      <c r="O404" t="n">
        <v>0</v>
      </c>
      <c r="P404" t="n">
        <v>0</v>
      </c>
      <c r="Q404" t="n">
        <v>0</v>
      </c>
      <c r="R404" s="2" t="inlineStr"/>
    </row>
    <row r="405" ht="15" customHeight="1">
      <c r="A405" t="inlineStr">
        <is>
          <t>A 42520-2025</t>
        </is>
      </c>
      <c r="B405" s="1" t="n">
        <v>45905.54846064815</v>
      </c>
      <c r="C405" s="1" t="n">
        <v>46072</v>
      </c>
      <c r="D405" t="inlineStr">
        <is>
          <t>SKÅNE LÄN</t>
        </is>
      </c>
      <c r="E405" t="inlineStr">
        <is>
          <t>HÄSSLEHOLM</t>
        </is>
      </c>
      <c r="G405" t="n">
        <v>2.5</v>
      </c>
      <c r="H405" t="n">
        <v>0</v>
      </c>
      <c r="I405" t="n">
        <v>0</v>
      </c>
      <c r="J405" t="n">
        <v>0</v>
      </c>
      <c r="K405" t="n">
        <v>0</v>
      </c>
      <c r="L405" t="n">
        <v>0</v>
      </c>
      <c r="M405" t="n">
        <v>0</v>
      </c>
      <c r="N405" t="n">
        <v>0</v>
      </c>
      <c r="O405" t="n">
        <v>0</v>
      </c>
      <c r="P405" t="n">
        <v>0</v>
      </c>
      <c r="Q405" t="n">
        <v>0</v>
      </c>
      <c r="R405" s="2" t="inlineStr"/>
    </row>
    <row r="406" ht="15" customHeight="1">
      <c r="A406" t="inlineStr">
        <is>
          <t>A 15562-2024</t>
        </is>
      </c>
      <c r="B406" s="1" t="n">
        <v>45401.64975694445</v>
      </c>
      <c r="C406" s="1" t="n">
        <v>46072</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30109-2025</t>
        </is>
      </c>
      <c r="B407" s="1" t="n">
        <v>45826</v>
      </c>
      <c r="C407" s="1" t="n">
        <v>46072</v>
      </c>
      <c r="D407" t="inlineStr">
        <is>
          <t>SKÅNE LÄN</t>
        </is>
      </c>
      <c r="E407" t="inlineStr">
        <is>
          <t>HÄSSLEHOLM</t>
        </is>
      </c>
      <c r="G407" t="n">
        <v>2.4</v>
      </c>
      <c r="H407" t="n">
        <v>0</v>
      </c>
      <c r="I407" t="n">
        <v>0</v>
      </c>
      <c r="J407" t="n">
        <v>0</v>
      </c>
      <c r="K407" t="n">
        <v>0</v>
      </c>
      <c r="L407" t="n">
        <v>0</v>
      </c>
      <c r="M407" t="n">
        <v>0</v>
      </c>
      <c r="N407" t="n">
        <v>0</v>
      </c>
      <c r="O407" t="n">
        <v>0</v>
      </c>
      <c r="P407" t="n">
        <v>0</v>
      </c>
      <c r="Q407" t="n">
        <v>0</v>
      </c>
      <c r="R407" s="2" t="inlineStr"/>
    </row>
    <row r="408" ht="15" customHeight="1">
      <c r="A408" t="inlineStr">
        <is>
          <t>A 28071-2023</t>
        </is>
      </c>
      <c r="B408" s="1" t="n">
        <v>45099.37755787037</v>
      </c>
      <c r="C408" s="1" t="n">
        <v>46072</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18648-2021</t>
        </is>
      </c>
      <c r="B409" s="1" t="n">
        <v>44306.70583333333</v>
      </c>
      <c r="C409" s="1" t="n">
        <v>46072</v>
      </c>
      <c r="D409" t="inlineStr">
        <is>
          <t>SKÅNE LÄN</t>
        </is>
      </c>
      <c r="E409" t="inlineStr">
        <is>
          <t>HÄSSLEHOLM</t>
        </is>
      </c>
      <c r="G409" t="n">
        <v>2.5</v>
      </c>
      <c r="H409" t="n">
        <v>0</v>
      </c>
      <c r="I409" t="n">
        <v>0</v>
      </c>
      <c r="J409" t="n">
        <v>0</v>
      </c>
      <c r="K409" t="n">
        <v>0</v>
      </c>
      <c r="L409" t="n">
        <v>0</v>
      </c>
      <c r="M409" t="n">
        <v>0</v>
      </c>
      <c r="N409" t="n">
        <v>0</v>
      </c>
      <c r="O409" t="n">
        <v>0</v>
      </c>
      <c r="P409" t="n">
        <v>0</v>
      </c>
      <c r="Q409" t="n">
        <v>0</v>
      </c>
      <c r="R409" s="2" t="inlineStr"/>
    </row>
    <row r="410" ht="15" customHeight="1">
      <c r="A410" t="inlineStr">
        <is>
          <t>A 38358-2024</t>
        </is>
      </c>
      <c r="B410" s="1" t="n">
        <v>45545.79068287037</v>
      </c>
      <c r="C410" s="1" t="n">
        <v>46072</v>
      </c>
      <c r="D410" t="inlineStr">
        <is>
          <t>SKÅNE LÄN</t>
        </is>
      </c>
      <c r="E410" t="inlineStr">
        <is>
          <t>HÄSSLEHOLM</t>
        </is>
      </c>
      <c r="G410" t="n">
        <v>9</v>
      </c>
      <c r="H410" t="n">
        <v>0</v>
      </c>
      <c r="I410" t="n">
        <v>0</v>
      </c>
      <c r="J410" t="n">
        <v>0</v>
      </c>
      <c r="K410" t="n">
        <v>0</v>
      </c>
      <c r="L410" t="n">
        <v>0</v>
      </c>
      <c r="M410" t="n">
        <v>0</v>
      </c>
      <c r="N410" t="n">
        <v>0</v>
      </c>
      <c r="O410" t="n">
        <v>0</v>
      </c>
      <c r="P410" t="n">
        <v>0</v>
      </c>
      <c r="Q410" t="n">
        <v>0</v>
      </c>
      <c r="R410" s="2" t="inlineStr"/>
    </row>
    <row r="411" ht="15" customHeight="1">
      <c r="A411" t="inlineStr">
        <is>
          <t>A 23946-2023</t>
        </is>
      </c>
      <c r="B411" s="1" t="n">
        <v>45078.61601851852</v>
      </c>
      <c r="C411" s="1" t="n">
        <v>46072</v>
      </c>
      <c r="D411" t="inlineStr">
        <is>
          <t>SKÅNE LÄN</t>
        </is>
      </c>
      <c r="E411" t="inlineStr">
        <is>
          <t>HÄSSLEHOLM</t>
        </is>
      </c>
      <c r="G411" t="n">
        <v>0.2</v>
      </c>
      <c r="H411" t="n">
        <v>0</v>
      </c>
      <c r="I411" t="n">
        <v>0</v>
      </c>
      <c r="J411" t="n">
        <v>0</v>
      </c>
      <c r="K411" t="n">
        <v>0</v>
      </c>
      <c r="L411" t="n">
        <v>0</v>
      </c>
      <c r="M411" t="n">
        <v>0</v>
      </c>
      <c r="N411" t="n">
        <v>0</v>
      </c>
      <c r="O411" t="n">
        <v>0</v>
      </c>
      <c r="P411" t="n">
        <v>0</v>
      </c>
      <c r="Q411" t="n">
        <v>0</v>
      </c>
      <c r="R411" s="2" t="inlineStr"/>
    </row>
    <row r="412" ht="15" customHeight="1">
      <c r="A412" t="inlineStr">
        <is>
          <t>A 41459-2022</t>
        </is>
      </c>
      <c r="B412" s="1" t="n">
        <v>44826.93372685185</v>
      </c>
      <c r="C412" s="1" t="n">
        <v>46072</v>
      </c>
      <c r="D412" t="inlineStr">
        <is>
          <t>SKÅNE LÄN</t>
        </is>
      </c>
      <c r="E412" t="inlineStr">
        <is>
          <t>HÄSSLEHOLM</t>
        </is>
      </c>
      <c r="G412" t="n">
        <v>2.3</v>
      </c>
      <c r="H412" t="n">
        <v>0</v>
      </c>
      <c r="I412" t="n">
        <v>0</v>
      </c>
      <c r="J412" t="n">
        <v>0</v>
      </c>
      <c r="K412" t="n">
        <v>0</v>
      </c>
      <c r="L412" t="n">
        <v>0</v>
      </c>
      <c r="M412" t="n">
        <v>0</v>
      </c>
      <c r="N412" t="n">
        <v>0</v>
      </c>
      <c r="O412" t="n">
        <v>0</v>
      </c>
      <c r="P412" t="n">
        <v>0</v>
      </c>
      <c r="Q412" t="n">
        <v>0</v>
      </c>
      <c r="R412" s="2" t="inlineStr"/>
    </row>
    <row r="413" ht="15" customHeight="1">
      <c r="A413" t="inlineStr">
        <is>
          <t>A 27393-2025</t>
        </is>
      </c>
      <c r="B413" s="1" t="n">
        <v>45812.68295138889</v>
      </c>
      <c r="C413" s="1" t="n">
        <v>46072</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16368-2025</t>
        </is>
      </c>
      <c r="B414" s="1" t="n">
        <v>45751</v>
      </c>
      <c r="C414" s="1" t="n">
        <v>46072</v>
      </c>
      <c r="D414" t="inlineStr">
        <is>
          <t>SKÅNE LÄN</t>
        </is>
      </c>
      <c r="E414" t="inlineStr">
        <is>
          <t>HÄSSLEHOLM</t>
        </is>
      </c>
      <c r="G414" t="n">
        <v>5</v>
      </c>
      <c r="H414" t="n">
        <v>0</v>
      </c>
      <c r="I414" t="n">
        <v>0</v>
      </c>
      <c r="J414" t="n">
        <v>0</v>
      </c>
      <c r="K414" t="n">
        <v>0</v>
      </c>
      <c r="L414" t="n">
        <v>0</v>
      </c>
      <c r="M414" t="n">
        <v>0</v>
      </c>
      <c r="N414" t="n">
        <v>0</v>
      </c>
      <c r="O414" t="n">
        <v>0</v>
      </c>
      <c r="P414" t="n">
        <v>0</v>
      </c>
      <c r="Q414" t="n">
        <v>0</v>
      </c>
      <c r="R414" s="2" t="inlineStr"/>
    </row>
    <row r="415" ht="15" customHeight="1">
      <c r="A415" t="inlineStr">
        <is>
          <t>A 43516-2025</t>
        </is>
      </c>
      <c r="B415" s="1" t="n">
        <v>45911</v>
      </c>
      <c r="C415" s="1" t="n">
        <v>46072</v>
      </c>
      <c r="D415" t="inlineStr">
        <is>
          <t>SKÅNE LÄN</t>
        </is>
      </c>
      <c r="E415" t="inlineStr">
        <is>
          <t>HÄSSLEHOLM</t>
        </is>
      </c>
      <c r="G415" t="n">
        <v>2.4</v>
      </c>
      <c r="H415" t="n">
        <v>0</v>
      </c>
      <c r="I415" t="n">
        <v>0</v>
      </c>
      <c r="J415" t="n">
        <v>0</v>
      </c>
      <c r="K415" t="n">
        <v>0</v>
      </c>
      <c r="L415" t="n">
        <v>0</v>
      </c>
      <c r="M415" t="n">
        <v>0</v>
      </c>
      <c r="N415" t="n">
        <v>0</v>
      </c>
      <c r="O415" t="n">
        <v>0</v>
      </c>
      <c r="P415" t="n">
        <v>0</v>
      </c>
      <c r="Q415" t="n">
        <v>0</v>
      </c>
      <c r="R415" s="2" t="inlineStr"/>
    </row>
    <row r="416" ht="15" customHeight="1">
      <c r="A416" t="inlineStr">
        <is>
          <t>A 43332-2025</t>
        </is>
      </c>
      <c r="B416" s="1" t="n">
        <v>45910.70217592592</v>
      </c>
      <c r="C416" s="1" t="n">
        <v>46072</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29847-2024</t>
        </is>
      </c>
      <c r="B417" s="1" t="n">
        <v>45485.6278587963</v>
      </c>
      <c r="C417" s="1" t="n">
        <v>46072</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28240-2025</t>
        </is>
      </c>
      <c r="B418" s="1" t="n">
        <v>45817</v>
      </c>
      <c r="C418" s="1" t="n">
        <v>46072</v>
      </c>
      <c r="D418" t="inlineStr">
        <is>
          <t>SKÅNE LÄN</t>
        </is>
      </c>
      <c r="E418" t="inlineStr">
        <is>
          <t>HÄSSLEHOLM</t>
        </is>
      </c>
      <c r="G418" t="n">
        <v>7.7</v>
      </c>
      <c r="H418" t="n">
        <v>0</v>
      </c>
      <c r="I418" t="n">
        <v>0</v>
      </c>
      <c r="J418" t="n">
        <v>0</v>
      </c>
      <c r="K418" t="n">
        <v>0</v>
      </c>
      <c r="L418" t="n">
        <v>0</v>
      </c>
      <c r="M418" t="n">
        <v>0</v>
      </c>
      <c r="N418" t="n">
        <v>0</v>
      </c>
      <c r="O418" t="n">
        <v>0</v>
      </c>
      <c r="P418" t="n">
        <v>0</v>
      </c>
      <c r="Q418" t="n">
        <v>0</v>
      </c>
      <c r="R418" s="2" t="inlineStr"/>
    </row>
    <row r="419" ht="15" customHeight="1">
      <c r="A419" t="inlineStr">
        <is>
          <t>A 43333-2025</t>
        </is>
      </c>
      <c r="B419" s="1" t="n">
        <v>45910</v>
      </c>
      <c r="C419" s="1" t="n">
        <v>46072</v>
      </c>
      <c r="D419" t="inlineStr">
        <is>
          <t>SKÅNE LÄN</t>
        </is>
      </c>
      <c r="E419" t="inlineStr">
        <is>
          <t>HÄSSLEHOLM</t>
        </is>
      </c>
      <c r="G419" t="n">
        <v>10.1</v>
      </c>
      <c r="H419" t="n">
        <v>0</v>
      </c>
      <c r="I419" t="n">
        <v>0</v>
      </c>
      <c r="J419" t="n">
        <v>0</v>
      </c>
      <c r="K419" t="n">
        <v>0</v>
      </c>
      <c r="L419" t="n">
        <v>0</v>
      </c>
      <c r="M419" t="n">
        <v>0</v>
      </c>
      <c r="N419" t="n">
        <v>0</v>
      </c>
      <c r="O419" t="n">
        <v>0</v>
      </c>
      <c r="P419" t="n">
        <v>0</v>
      </c>
      <c r="Q419" t="n">
        <v>0</v>
      </c>
      <c r="R419" s="2" t="inlineStr"/>
    </row>
    <row r="420" ht="15" customHeight="1">
      <c r="A420" t="inlineStr">
        <is>
          <t>A 27940-2025</t>
        </is>
      </c>
      <c r="B420" s="1" t="n">
        <v>45817.50439814815</v>
      </c>
      <c r="C420" s="1" t="n">
        <v>46072</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27934-2025</t>
        </is>
      </c>
      <c r="B421" s="1" t="n">
        <v>45817.49761574074</v>
      </c>
      <c r="C421" s="1" t="n">
        <v>46072</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22384-2024</t>
        </is>
      </c>
      <c r="B422" s="1" t="n">
        <v>45446.65592592592</v>
      </c>
      <c r="C422" s="1" t="n">
        <v>46072</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28251-2025</t>
        </is>
      </c>
      <c r="B423" s="1" t="n">
        <v>45817</v>
      </c>
      <c r="C423" s="1" t="n">
        <v>46072</v>
      </c>
      <c r="D423" t="inlineStr">
        <is>
          <t>SKÅNE LÄN</t>
        </is>
      </c>
      <c r="E423" t="inlineStr">
        <is>
          <t>HÄSSLEHOLM</t>
        </is>
      </c>
      <c r="G423" t="n">
        <v>7.2</v>
      </c>
      <c r="H423" t="n">
        <v>0</v>
      </c>
      <c r="I423" t="n">
        <v>0</v>
      </c>
      <c r="J423" t="n">
        <v>0</v>
      </c>
      <c r="K423" t="n">
        <v>0</v>
      </c>
      <c r="L423" t="n">
        <v>0</v>
      </c>
      <c r="M423" t="n">
        <v>0</v>
      </c>
      <c r="N423" t="n">
        <v>0</v>
      </c>
      <c r="O423" t="n">
        <v>0</v>
      </c>
      <c r="P423" t="n">
        <v>0</v>
      </c>
      <c r="Q423" t="n">
        <v>0</v>
      </c>
      <c r="R423" s="2" t="inlineStr"/>
    </row>
    <row r="424" ht="15" customHeight="1">
      <c r="A424" t="inlineStr">
        <is>
          <t>A 28122-2025</t>
        </is>
      </c>
      <c r="B424" s="1" t="n">
        <v>45817</v>
      </c>
      <c r="C424" s="1" t="n">
        <v>46072</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43869-2025</t>
        </is>
      </c>
      <c r="B425" s="1" t="n">
        <v>45912.66452546296</v>
      </c>
      <c r="C425" s="1" t="n">
        <v>46072</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27887-2025</t>
        </is>
      </c>
      <c r="B426" s="1" t="n">
        <v>45817.45994212963</v>
      </c>
      <c r="C426" s="1" t="n">
        <v>46072</v>
      </c>
      <c r="D426" t="inlineStr">
        <is>
          <t>SKÅNE LÄN</t>
        </is>
      </c>
      <c r="E426" t="inlineStr">
        <is>
          <t>HÄSSLEHOLM</t>
        </is>
      </c>
      <c r="G426" t="n">
        <v>4.8</v>
      </c>
      <c r="H426" t="n">
        <v>0</v>
      </c>
      <c r="I426" t="n">
        <v>0</v>
      </c>
      <c r="J426" t="n">
        <v>0</v>
      </c>
      <c r="K426" t="n">
        <v>0</v>
      </c>
      <c r="L426" t="n">
        <v>0</v>
      </c>
      <c r="M426" t="n">
        <v>0</v>
      </c>
      <c r="N426" t="n">
        <v>0</v>
      </c>
      <c r="O426" t="n">
        <v>0</v>
      </c>
      <c r="P426" t="n">
        <v>0</v>
      </c>
      <c r="Q426" t="n">
        <v>0</v>
      </c>
      <c r="R426" s="2" t="inlineStr"/>
    </row>
    <row r="427" ht="15" customHeight="1">
      <c r="A427" t="inlineStr">
        <is>
          <t>A 43741-2025</t>
        </is>
      </c>
      <c r="B427" s="1" t="n">
        <v>45912.45541666666</v>
      </c>
      <c r="C427" s="1" t="n">
        <v>46072</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58241-2025</t>
        </is>
      </c>
      <c r="B428" s="1" t="n">
        <v>45985.38797453704</v>
      </c>
      <c r="C428" s="1" t="n">
        <v>46072</v>
      </c>
      <c r="D428" t="inlineStr">
        <is>
          <t>SKÅNE LÄN</t>
        </is>
      </c>
      <c r="E428" t="inlineStr">
        <is>
          <t>HÄSSLEHOLM</t>
        </is>
      </c>
      <c r="G428" t="n">
        <v>3.6</v>
      </c>
      <c r="H428" t="n">
        <v>0</v>
      </c>
      <c r="I428" t="n">
        <v>0</v>
      </c>
      <c r="J428" t="n">
        <v>0</v>
      </c>
      <c r="K428" t="n">
        <v>0</v>
      </c>
      <c r="L428" t="n">
        <v>0</v>
      </c>
      <c r="M428" t="n">
        <v>0</v>
      </c>
      <c r="N428" t="n">
        <v>0</v>
      </c>
      <c r="O428" t="n">
        <v>0</v>
      </c>
      <c r="P428" t="n">
        <v>0</v>
      </c>
      <c r="Q428" t="n">
        <v>0</v>
      </c>
      <c r="R428" s="2" t="inlineStr"/>
    </row>
    <row r="429" ht="15" customHeight="1">
      <c r="A429" t="inlineStr">
        <is>
          <t>A 28095-2025</t>
        </is>
      </c>
      <c r="B429" s="1" t="n">
        <v>45817</v>
      </c>
      <c r="C429" s="1" t="n">
        <v>46072</v>
      </c>
      <c r="D429" t="inlineStr">
        <is>
          <t>SKÅNE LÄN</t>
        </is>
      </c>
      <c r="E429" t="inlineStr">
        <is>
          <t>HÄSSLEHOLM</t>
        </is>
      </c>
      <c r="G429" t="n">
        <v>2.5</v>
      </c>
      <c r="H429" t="n">
        <v>0</v>
      </c>
      <c r="I429" t="n">
        <v>0</v>
      </c>
      <c r="J429" t="n">
        <v>0</v>
      </c>
      <c r="K429" t="n">
        <v>0</v>
      </c>
      <c r="L429" t="n">
        <v>0</v>
      </c>
      <c r="M429" t="n">
        <v>0</v>
      </c>
      <c r="N429" t="n">
        <v>0</v>
      </c>
      <c r="O429" t="n">
        <v>0</v>
      </c>
      <c r="P429" t="n">
        <v>0</v>
      </c>
      <c r="Q429" t="n">
        <v>0</v>
      </c>
      <c r="R429" s="2" t="inlineStr"/>
    </row>
    <row r="430" ht="15" customHeight="1">
      <c r="A430" t="inlineStr">
        <is>
          <t>A 43738-2025</t>
        </is>
      </c>
      <c r="B430" s="1" t="n">
        <v>45912.45037037037</v>
      </c>
      <c r="C430" s="1" t="n">
        <v>46072</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51571-2023</t>
        </is>
      </c>
      <c r="B431" s="1" t="n">
        <v>45222</v>
      </c>
      <c r="C431" s="1" t="n">
        <v>46072</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49827-2022</t>
        </is>
      </c>
      <c r="B432" s="1" t="n">
        <v>44859</v>
      </c>
      <c r="C432" s="1" t="n">
        <v>46072</v>
      </c>
      <c r="D432" t="inlineStr">
        <is>
          <t>SKÅNE LÄN</t>
        </is>
      </c>
      <c r="E432" t="inlineStr">
        <is>
          <t>HÄSSLEHOLM</t>
        </is>
      </c>
      <c r="G432" t="n">
        <v>6.1</v>
      </c>
      <c r="H432" t="n">
        <v>0</v>
      </c>
      <c r="I432" t="n">
        <v>0</v>
      </c>
      <c r="J432" t="n">
        <v>0</v>
      </c>
      <c r="K432" t="n">
        <v>0</v>
      </c>
      <c r="L432" t="n">
        <v>0</v>
      </c>
      <c r="M432" t="n">
        <v>0</v>
      </c>
      <c r="N432" t="n">
        <v>0</v>
      </c>
      <c r="O432" t="n">
        <v>0</v>
      </c>
      <c r="P432" t="n">
        <v>0</v>
      </c>
      <c r="Q432" t="n">
        <v>0</v>
      </c>
      <c r="R432" s="2" t="inlineStr"/>
    </row>
    <row r="433" ht="15" customHeight="1">
      <c r="A433" t="inlineStr">
        <is>
          <t>A 49181-2024</t>
        </is>
      </c>
      <c r="B433" s="1" t="n">
        <v>45595</v>
      </c>
      <c r="C433" s="1" t="n">
        <v>46072</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44624-2025</t>
        </is>
      </c>
      <c r="B434" s="1" t="n">
        <v>45917.47152777778</v>
      </c>
      <c r="C434" s="1" t="n">
        <v>46072</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32794-2023</t>
        </is>
      </c>
      <c r="B435" s="1" t="n">
        <v>45124.40446759259</v>
      </c>
      <c r="C435" s="1" t="n">
        <v>46072</v>
      </c>
      <c r="D435" t="inlineStr">
        <is>
          <t>SKÅNE LÄN</t>
        </is>
      </c>
      <c r="E435" t="inlineStr">
        <is>
          <t>HÄSSLEHOLM</t>
        </is>
      </c>
      <c r="G435" t="n">
        <v>1.8</v>
      </c>
      <c r="H435" t="n">
        <v>0</v>
      </c>
      <c r="I435" t="n">
        <v>0</v>
      </c>
      <c r="J435" t="n">
        <v>0</v>
      </c>
      <c r="K435" t="n">
        <v>0</v>
      </c>
      <c r="L435" t="n">
        <v>0</v>
      </c>
      <c r="M435" t="n">
        <v>0</v>
      </c>
      <c r="N435" t="n">
        <v>0</v>
      </c>
      <c r="O435" t="n">
        <v>0</v>
      </c>
      <c r="P435" t="n">
        <v>0</v>
      </c>
      <c r="Q435" t="n">
        <v>0</v>
      </c>
      <c r="R435" s="2" t="inlineStr"/>
    </row>
    <row r="436" ht="15" customHeight="1">
      <c r="A436" t="inlineStr">
        <is>
          <t>A 61436-2024</t>
        </is>
      </c>
      <c r="B436" s="1" t="n">
        <v>45646.46329861111</v>
      </c>
      <c r="C436" s="1" t="n">
        <v>46072</v>
      </c>
      <c r="D436" t="inlineStr">
        <is>
          <t>SKÅNE LÄN</t>
        </is>
      </c>
      <c r="E436" t="inlineStr">
        <is>
          <t>HÄSSLEHOLM</t>
        </is>
      </c>
      <c r="G436" t="n">
        <v>0.7</v>
      </c>
      <c r="H436" t="n">
        <v>0</v>
      </c>
      <c r="I436" t="n">
        <v>0</v>
      </c>
      <c r="J436" t="n">
        <v>0</v>
      </c>
      <c r="K436" t="n">
        <v>0</v>
      </c>
      <c r="L436" t="n">
        <v>0</v>
      </c>
      <c r="M436" t="n">
        <v>0</v>
      </c>
      <c r="N436" t="n">
        <v>0</v>
      </c>
      <c r="O436" t="n">
        <v>0</v>
      </c>
      <c r="P436" t="n">
        <v>0</v>
      </c>
      <c r="Q436" t="n">
        <v>0</v>
      </c>
      <c r="R436" s="2" t="inlineStr"/>
    </row>
    <row r="437" ht="15" customHeight="1">
      <c r="A437" t="inlineStr">
        <is>
          <t>A 37300-2023</t>
        </is>
      </c>
      <c r="B437" s="1" t="n">
        <v>45156</v>
      </c>
      <c r="C437" s="1" t="n">
        <v>46072</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44611-2025</t>
        </is>
      </c>
      <c r="B438" s="1" t="n">
        <v>45917.45109953704</v>
      </c>
      <c r="C438" s="1" t="n">
        <v>46072</v>
      </c>
      <c r="D438" t="inlineStr">
        <is>
          <t>SKÅNE LÄN</t>
        </is>
      </c>
      <c r="E438" t="inlineStr">
        <is>
          <t>HÄSSLEHOLM</t>
        </is>
      </c>
      <c r="G438" t="n">
        <v>1.3</v>
      </c>
      <c r="H438" t="n">
        <v>0</v>
      </c>
      <c r="I438" t="n">
        <v>0</v>
      </c>
      <c r="J438" t="n">
        <v>0</v>
      </c>
      <c r="K438" t="n">
        <v>0</v>
      </c>
      <c r="L438" t="n">
        <v>0</v>
      </c>
      <c r="M438" t="n">
        <v>0</v>
      </c>
      <c r="N438" t="n">
        <v>0</v>
      </c>
      <c r="O438" t="n">
        <v>0</v>
      </c>
      <c r="P438" t="n">
        <v>0</v>
      </c>
      <c r="Q438" t="n">
        <v>0</v>
      </c>
      <c r="R438" s="2" t="inlineStr"/>
    </row>
    <row r="439" ht="15" customHeight="1">
      <c r="A439" t="inlineStr">
        <is>
          <t>A 44330-2025</t>
        </is>
      </c>
      <c r="B439" s="1" t="n">
        <v>45916.42120370371</v>
      </c>
      <c r="C439" s="1" t="n">
        <v>46072</v>
      </c>
      <c r="D439" t="inlineStr">
        <is>
          <t>SKÅNE LÄN</t>
        </is>
      </c>
      <c r="E439" t="inlineStr">
        <is>
          <t>HÄSSLEHOLM</t>
        </is>
      </c>
      <c r="G439" t="n">
        <v>2.7</v>
      </c>
      <c r="H439" t="n">
        <v>0</v>
      </c>
      <c r="I439" t="n">
        <v>0</v>
      </c>
      <c r="J439" t="n">
        <v>0</v>
      </c>
      <c r="K439" t="n">
        <v>0</v>
      </c>
      <c r="L439" t="n">
        <v>0</v>
      </c>
      <c r="M439" t="n">
        <v>0</v>
      </c>
      <c r="N439" t="n">
        <v>0</v>
      </c>
      <c r="O439" t="n">
        <v>0</v>
      </c>
      <c r="P439" t="n">
        <v>0</v>
      </c>
      <c r="Q439" t="n">
        <v>0</v>
      </c>
      <c r="R439" s="2" t="inlineStr"/>
    </row>
    <row r="440" ht="15" customHeight="1">
      <c r="A440" t="inlineStr">
        <is>
          <t>A 44523-2025</t>
        </is>
      </c>
      <c r="B440" s="1" t="n">
        <v>45916</v>
      </c>
      <c r="C440" s="1" t="n">
        <v>46072</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35644-2023</t>
        </is>
      </c>
      <c r="B441" s="1" t="n">
        <v>45147</v>
      </c>
      <c r="C441" s="1" t="n">
        <v>46072</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44515-2025</t>
        </is>
      </c>
      <c r="B442" s="1" t="n">
        <v>45916.7062037037</v>
      </c>
      <c r="C442" s="1" t="n">
        <v>46072</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29170-2025</t>
        </is>
      </c>
      <c r="B443" s="1" t="n">
        <v>45821.69766203704</v>
      </c>
      <c r="C443" s="1" t="n">
        <v>46072</v>
      </c>
      <c r="D443" t="inlineStr">
        <is>
          <t>SKÅNE LÄN</t>
        </is>
      </c>
      <c r="E443" t="inlineStr">
        <is>
          <t>HÄSSLEHOLM</t>
        </is>
      </c>
      <c r="G443" t="n">
        <v>3.1</v>
      </c>
      <c r="H443" t="n">
        <v>0</v>
      </c>
      <c r="I443" t="n">
        <v>0</v>
      </c>
      <c r="J443" t="n">
        <v>0</v>
      </c>
      <c r="K443" t="n">
        <v>0</v>
      </c>
      <c r="L443" t="n">
        <v>0</v>
      </c>
      <c r="M443" t="n">
        <v>0</v>
      </c>
      <c r="N443" t="n">
        <v>0</v>
      </c>
      <c r="O443" t="n">
        <v>0</v>
      </c>
      <c r="P443" t="n">
        <v>0</v>
      </c>
      <c r="Q443" t="n">
        <v>0</v>
      </c>
      <c r="R443" s="2" t="inlineStr"/>
    </row>
    <row r="444" ht="15" customHeight="1">
      <c r="A444" t="inlineStr">
        <is>
          <t>A 44616-2025</t>
        </is>
      </c>
      <c r="B444" s="1" t="n">
        <v>45917.45572916666</v>
      </c>
      <c r="C444" s="1" t="n">
        <v>46072</v>
      </c>
      <c r="D444" t="inlineStr">
        <is>
          <t>SKÅNE LÄN</t>
        </is>
      </c>
      <c r="E444" t="inlineStr">
        <is>
          <t>HÄSSLEHOLM</t>
        </is>
      </c>
      <c r="G444" t="n">
        <v>0.9</v>
      </c>
      <c r="H444" t="n">
        <v>0</v>
      </c>
      <c r="I444" t="n">
        <v>0</v>
      </c>
      <c r="J444" t="n">
        <v>0</v>
      </c>
      <c r="K444" t="n">
        <v>0</v>
      </c>
      <c r="L444" t="n">
        <v>0</v>
      </c>
      <c r="M444" t="n">
        <v>0</v>
      </c>
      <c r="N444" t="n">
        <v>0</v>
      </c>
      <c r="O444" t="n">
        <v>0</v>
      </c>
      <c r="P444" t="n">
        <v>0</v>
      </c>
      <c r="Q444" t="n">
        <v>0</v>
      </c>
      <c r="R444" s="2" t="inlineStr"/>
    </row>
    <row r="445" ht="15" customHeight="1">
      <c r="A445" t="inlineStr">
        <is>
          <t>A 3123-2023</t>
        </is>
      </c>
      <c r="B445" s="1" t="n">
        <v>44946.4925</v>
      </c>
      <c r="C445" s="1" t="n">
        <v>46072</v>
      </c>
      <c r="D445" t="inlineStr">
        <is>
          <t>SKÅNE LÄN</t>
        </is>
      </c>
      <c r="E445" t="inlineStr">
        <is>
          <t>HÄSSLEHOLM</t>
        </is>
      </c>
      <c r="G445" t="n">
        <v>3.5</v>
      </c>
      <c r="H445" t="n">
        <v>0</v>
      </c>
      <c r="I445" t="n">
        <v>0</v>
      </c>
      <c r="J445" t="n">
        <v>0</v>
      </c>
      <c r="K445" t="n">
        <v>0</v>
      </c>
      <c r="L445" t="n">
        <v>0</v>
      </c>
      <c r="M445" t="n">
        <v>0</v>
      </c>
      <c r="N445" t="n">
        <v>0</v>
      </c>
      <c r="O445" t="n">
        <v>0</v>
      </c>
      <c r="P445" t="n">
        <v>0</v>
      </c>
      <c r="Q445" t="n">
        <v>0</v>
      </c>
      <c r="R445" s="2" t="inlineStr"/>
    </row>
    <row r="446" ht="15" customHeight="1">
      <c r="A446" t="inlineStr">
        <is>
          <t>A 3126-2023</t>
        </is>
      </c>
      <c r="B446" s="1" t="n">
        <v>44946.49570601852</v>
      </c>
      <c r="C446" s="1" t="n">
        <v>46072</v>
      </c>
      <c r="D446" t="inlineStr">
        <is>
          <t>SKÅNE LÄN</t>
        </is>
      </c>
      <c r="E446" t="inlineStr">
        <is>
          <t>HÄSSLEHOLM</t>
        </is>
      </c>
      <c r="G446" t="n">
        <v>2.2</v>
      </c>
      <c r="H446" t="n">
        <v>0</v>
      </c>
      <c r="I446" t="n">
        <v>0</v>
      </c>
      <c r="J446" t="n">
        <v>0</v>
      </c>
      <c r="K446" t="n">
        <v>0</v>
      </c>
      <c r="L446" t="n">
        <v>0</v>
      </c>
      <c r="M446" t="n">
        <v>0</v>
      </c>
      <c r="N446" t="n">
        <v>0</v>
      </c>
      <c r="O446" t="n">
        <v>0</v>
      </c>
      <c r="P446" t="n">
        <v>0</v>
      </c>
      <c r="Q446" t="n">
        <v>0</v>
      </c>
      <c r="R446" s="2" t="inlineStr"/>
    </row>
    <row r="447" ht="15" customHeight="1">
      <c r="A447" t="inlineStr">
        <is>
          <t>A 44614-2025</t>
        </is>
      </c>
      <c r="B447" s="1" t="n">
        <v>45917.45422453704</v>
      </c>
      <c r="C447" s="1" t="n">
        <v>46072</v>
      </c>
      <c r="D447" t="inlineStr">
        <is>
          <t>SKÅNE LÄN</t>
        </is>
      </c>
      <c r="E447" t="inlineStr">
        <is>
          <t>HÄSSLEHOLM</t>
        </is>
      </c>
      <c r="G447" t="n">
        <v>5.4</v>
      </c>
      <c r="H447" t="n">
        <v>0</v>
      </c>
      <c r="I447" t="n">
        <v>0</v>
      </c>
      <c r="J447" t="n">
        <v>0</v>
      </c>
      <c r="K447" t="n">
        <v>0</v>
      </c>
      <c r="L447" t="n">
        <v>0</v>
      </c>
      <c r="M447" t="n">
        <v>0</v>
      </c>
      <c r="N447" t="n">
        <v>0</v>
      </c>
      <c r="O447" t="n">
        <v>0</v>
      </c>
      <c r="P447" t="n">
        <v>0</v>
      </c>
      <c r="Q447" t="n">
        <v>0</v>
      </c>
      <c r="R447" s="2" t="inlineStr"/>
    </row>
    <row r="448" ht="15" customHeight="1">
      <c r="A448" t="inlineStr">
        <is>
          <t>A 45176-2025</t>
        </is>
      </c>
      <c r="B448" s="1" t="n">
        <v>45919.52307870371</v>
      </c>
      <c r="C448" s="1" t="n">
        <v>46072</v>
      </c>
      <c r="D448" t="inlineStr">
        <is>
          <t>SKÅNE LÄN</t>
        </is>
      </c>
      <c r="E448" t="inlineStr">
        <is>
          <t>HÄSSLEHOLM</t>
        </is>
      </c>
      <c r="G448" t="n">
        <v>2.6</v>
      </c>
      <c r="H448" t="n">
        <v>0</v>
      </c>
      <c r="I448" t="n">
        <v>0</v>
      </c>
      <c r="J448" t="n">
        <v>0</v>
      </c>
      <c r="K448" t="n">
        <v>0</v>
      </c>
      <c r="L448" t="n">
        <v>0</v>
      </c>
      <c r="M448" t="n">
        <v>0</v>
      </c>
      <c r="N448" t="n">
        <v>0</v>
      </c>
      <c r="O448" t="n">
        <v>0</v>
      </c>
      <c r="P448" t="n">
        <v>0</v>
      </c>
      <c r="Q448" t="n">
        <v>0</v>
      </c>
      <c r="R448" s="2" t="inlineStr"/>
    </row>
    <row r="449" ht="15" customHeight="1">
      <c r="A449" t="inlineStr">
        <is>
          <t>A 45221-2025</t>
        </is>
      </c>
      <c r="B449" s="1" t="n">
        <v>45919.57760416667</v>
      </c>
      <c r="C449" s="1" t="n">
        <v>46072</v>
      </c>
      <c r="D449" t="inlineStr">
        <is>
          <t>SKÅNE LÄN</t>
        </is>
      </c>
      <c r="E449" t="inlineStr">
        <is>
          <t>HÄSSLEHOLM</t>
        </is>
      </c>
      <c r="G449" t="n">
        <v>1.7</v>
      </c>
      <c r="H449" t="n">
        <v>0</v>
      </c>
      <c r="I449" t="n">
        <v>0</v>
      </c>
      <c r="J449" t="n">
        <v>0</v>
      </c>
      <c r="K449" t="n">
        <v>0</v>
      </c>
      <c r="L449" t="n">
        <v>0</v>
      </c>
      <c r="M449" t="n">
        <v>0</v>
      </c>
      <c r="N449" t="n">
        <v>0</v>
      </c>
      <c r="O449" t="n">
        <v>0</v>
      </c>
      <c r="P449" t="n">
        <v>0</v>
      </c>
      <c r="Q449" t="n">
        <v>0</v>
      </c>
      <c r="R449" s="2" t="inlineStr"/>
    </row>
    <row r="450" ht="15" customHeight="1">
      <c r="A450" t="inlineStr">
        <is>
          <t>A 29171-2025</t>
        </is>
      </c>
      <c r="B450" s="1" t="n">
        <v>45821.69863425926</v>
      </c>
      <c r="C450" s="1" t="n">
        <v>46072</v>
      </c>
      <c r="D450" t="inlineStr">
        <is>
          <t>SKÅNE LÄN</t>
        </is>
      </c>
      <c r="E450" t="inlineStr">
        <is>
          <t>HÄSSLEHOLM</t>
        </is>
      </c>
      <c r="G450" t="n">
        <v>2.6</v>
      </c>
      <c r="H450" t="n">
        <v>0</v>
      </c>
      <c r="I450" t="n">
        <v>0</v>
      </c>
      <c r="J450" t="n">
        <v>0</v>
      </c>
      <c r="K450" t="n">
        <v>0</v>
      </c>
      <c r="L450" t="n">
        <v>0</v>
      </c>
      <c r="M450" t="n">
        <v>0</v>
      </c>
      <c r="N450" t="n">
        <v>0</v>
      </c>
      <c r="O450" t="n">
        <v>0</v>
      </c>
      <c r="P450" t="n">
        <v>0</v>
      </c>
      <c r="Q450" t="n">
        <v>0</v>
      </c>
      <c r="R450" s="2" t="inlineStr"/>
    </row>
    <row r="451" ht="15" customHeight="1">
      <c r="A451" t="inlineStr">
        <is>
          <t>A 37318-2024</t>
        </is>
      </c>
      <c r="B451" s="1" t="n">
        <v>45540</v>
      </c>
      <c r="C451" s="1" t="n">
        <v>46072</v>
      </c>
      <c r="D451" t="inlineStr">
        <is>
          <t>SKÅNE LÄN</t>
        </is>
      </c>
      <c r="E451" t="inlineStr">
        <is>
          <t>HÄSSLEHOLM</t>
        </is>
      </c>
      <c r="G451" t="n">
        <v>3.9</v>
      </c>
      <c r="H451" t="n">
        <v>0</v>
      </c>
      <c r="I451" t="n">
        <v>0</v>
      </c>
      <c r="J451" t="n">
        <v>0</v>
      </c>
      <c r="K451" t="n">
        <v>0</v>
      </c>
      <c r="L451" t="n">
        <v>0</v>
      </c>
      <c r="M451" t="n">
        <v>0</v>
      </c>
      <c r="N451" t="n">
        <v>0</v>
      </c>
      <c r="O451" t="n">
        <v>0</v>
      </c>
      <c r="P451" t="n">
        <v>0</v>
      </c>
      <c r="Q451" t="n">
        <v>0</v>
      </c>
      <c r="R451" s="2" t="inlineStr"/>
    </row>
    <row r="452" ht="15" customHeight="1">
      <c r="A452" t="inlineStr">
        <is>
          <t>A 37324-2024</t>
        </is>
      </c>
      <c r="B452" s="1" t="n">
        <v>45540.50104166667</v>
      </c>
      <c r="C452" s="1" t="n">
        <v>46072</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29168-2025</t>
        </is>
      </c>
      <c r="B453" s="1" t="n">
        <v>45821.69547453704</v>
      </c>
      <c r="C453" s="1" t="n">
        <v>46072</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45273-2025</t>
        </is>
      </c>
      <c r="B454" s="1" t="n">
        <v>45919.70486111111</v>
      </c>
      <c r="C454" s="1" t="n">
        <v>46072</v>
      </c>
      <c r="D454" t="inlineStr">
        <is>
          <t>SKÅNE LÄN</t>
        </is>
      </c>
      <c r="E454" t="inlineStr">
        <is>
          <t>HÄSSLEHOLM</t>
        </is>
      </c>
      <c r="G454" t="n">
        <v>4.4</v>
      </c>
      <c r="H454" t="n">
        <v>0</v>
      </c>
      <c r="I454" t="n">
        <v>0</v>
      </c>
      <c r="J454" t="n">
        <v>0</v>
      </c>
      <c r="K454" t="n">
        <v>0</v>
      </c>
      <c r="L454" t="n">
        <v>0</v>
      </c>
      <c r="M454" t="n">
        <v>0</v>
      </c>
      <c r="N454" t="n">
        <v>0</v>
      </c>
      <c r="O454" t="n">
        <v>0</v>
      </c>
      <c r="P454" t="n">
        <v>0</v>
      </c>
      <c r="Q454" t="n">
        <v>0</v>
      </c>
      <c r="R454" s="2" t="inlineStr"/>
    </row>
    <row r="455" ht="15" customHeight="1">
      <c r="A455" t="inlineStr">
        <is>
          <t>A 57656-2022</t>
        </is>
      </c>
      <c r="B455" s="1" t="n">
        <v>44897.4325925926</v>
      </c>
      <c r="C455" s="1" t="n">
        <v>46072</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32881-2024</t>
        </is>
      </c>
      <c r="B456" s="1" t="n">
        <v>45516</v>
      </c>
      <c r="C456" s="1" t="n">
        <v>46072</v>
      </c>
      <c r="D456" t="inlineStr">
        <is>
          <t>SKÅNE LÄN</t>
        </is>
      </c>
      <c r="E456" t="inlineStr">
        <is>
          <t>HÄSSLEHOLM</t>
        </is>
      </c>
      <c r="G456" t="n">
        <v>6.3</v>
      </c>
      <c r="H456" t="n">
        <v>0</v>
      </c>
      <c r="I456" t="n">
        <v>0</v>
      </c>
      <c r="J456" t="n">
        <v>0</v>
      </c>
      <c r="K456" t="n">
        <v>0</v>
      </c>
      <c r="L456" t="n">
        <v>0</v>
      </c>
      <c r="M456" t="n">
        <v>0</v>
      </c>
      <c r="N456" t="n">
        <v>0</v>
      </c>
      <c r="O456" t="n">
        <v>0</v>
      </c>
      <c r="P456" t="n">
        <v>0</v>
      </c>
      <c r="Q456" t="n">
        <v>0</v>
      </c>
      <c r="R456" s="2" t="inlineStr"/>
    </row>
    <row r="457" ht="15" customHeight="1">
      <c r="A457" t="inlineStr">
        <is>
          <t>A 45084-2025</t>
        </is>
      </c>
      <c r="B457" s="1" t="n">
        <v>45918</v>
      </c>
      <c r="C457" s="1" t="n">
        <v>46072</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23860-2024</t>
        </is>
      </c>
      <c r="B458" s="1" t="n">
        <v>45455</v>
      </c>
      <c r="C458" s="1" t="n">
        <v>46072</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23864-2024</t>
        </is>
      </c>
      <c r="B459" s="1" t="n">
        <v>45455</v>
      </c>
      <c r="C459" s="1" t="n">
        <v>46072</v>
      </c>
      <c r="D459" t="inlineStr">
        <is>
          <t>SKÅNE LÄN</t>
        </is>
      </c>
      <c r="E459" t="inlineStr">
        <is>
          <t>HÄSSLEHOLM</t>
        </is>
      </c>
      <c r="G459" t="n">
        <v>6.2</v>
      </c>
      <c r="H459" t="n">
        <v>0</v>
      </c>
      <c r="I459" t="n">
        <v>0</v>
      </c>
      <c r="J459" t="n">
        <v>0</v>
      </c>
      <c r="K459" t="n">
        <v>0</v>
      </c>
      <c r="L459" t="n">
        <v>0</v>
      </c>
      <c r="M459" t="n">
        <v>0</v>
      </c>
      <c r="N459" t="n">
        <v>0</v>
      </c>
      <c r="O459" t="n">
        <v>0</v>
      </c>
      <c r="P459" t="n">
        <v>0</v>
      </c>
      <c r="Q459" t="n">
        <v>0</v>
      </c>
      <c r="R459" s="2" t="inlineStr"/>
    </row>
    <row r="460" ht="15" customHeight="1">
      <c r="A460" t="inlineStr">
        <is>
          <t>A 7192-2025</t>
        </is>
      </c>
      <c r="B460" s="1" t="n">
        <v>45702.44746527778</v>
      </c>
      <c r="C460" s="1" t="n">
        <v>46072</v>
      </c>
      <c r="D460" t="inlineStr">
        <is>
          <t>SKÅNE LÄN</t>
        </is>
      </c>
      <c r="E460" t="inlineStr">
        <is>
          <t>HÄSSLEHOLM</t>
        </is>
      </c>
      <c r="G460" t="n">
        <v>1.2</v>
      </c>
      <c r="H460" t="n">
        <v>0</v>
      </c>
      <c r="I460" t="n">
        <v>0</v>
      </c>
      <c r="J460" t="n">
        <v>0</v>
      </c>
      <c r="K460" t="n">
        <v>0</v>
      </c>
      <c r="L460" t="n">
        <v>0</v>
      </c>
      <c r="M460" t="n">
        <v>0</v>
      </c>
      <c r="N460" t="n">
        <v>0</v>
      </c>
      <c r="O460" t="n">
        <v>0</v>
      </c>
      <c r="P460" t="n">
        <v>0</v>
      </c>
      <c r="Q460" t="n">
        <v>0</v>
      </c>
      <c r="R460" s="2" t="inlineStr"/>
    </row>
    <row r="461" ht="15" customHeight="1">
      <c r="A461" t="inlineStr">
        <is>
          <t>A 45496-2025</t>
        </is>
      </c>
      <c r="B461" s="1" t="n">
        <v>45922</v>
      </c>
      <c r="C461" s="1" t="n">
        <v>46072</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45495-2025</t>
        </is>
      </c>
      <c r="B462" s="1" t="n">
        <v>45922.56369212963</v>
      </c>
      <c r="C462" s="1" t="n">
        <v>46072</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45314-2025</t>
        </is>
      </c>
      <c r="B463" s="1" t="n">
        <v>45921.81738425926</v>
      </c>
      <c r="C463" s="1" t="n">
        <v>46072</v>
      </c>
      <c r="D463" t="inlineStr">
        <is>
          <t>SKÅNE LÄN</t>
        </is>
      </c>
      <c r="E463" t="inlineStr">
        <is>
          <t>HÄSSLEHOLM</t>
        </is>
      </c>
      <c r="G463" t="n">
        <v>2.4</v>
      </c>
      <c r="H463" t="n">
        <v>0</v>
      </c>
      <c r="I463" t="n">
        <v>0</v>
      </c>
      <c r="J463" t="n">
        <v>0</v>
      </c>
      <c r="K463" t="n">
        <v>0</v>
      </c>
      <c r="L463" t="n">
        <v>0</v>
      </c>
      <c r="M463" t="n">
        <v>0</v>
      </c>
      <c r="N463" t="n">
        <v>0</v>
      </c>
      <c r="O463" t="n">
        <v>0</v>
      </c>
      <c r="P463" t="n">
        <v>0</v>
      </c>
      <c r="Q463" t="n">
        <v>0</v>
      </c>
      <c r="R463" s="2" t="inlineStr"/>
    </row>
    <row r="464" ht="15" customHeight="1">
      <c r="A464" t="inlineStr">
        <is>
          <t>A 45763-2025</t>
        </is>
      </c>
      <c r="B464" s="1" t="n">
        <v>45923.51778935185</v>
      </c>
      <c r="C464" s="1" t="n">
        <v>46072</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45764-2025</t>
        </is>
      </c>
      <c r="B465" s="1" t="n">
        <v>45923.52037037037</v>
      </c>
      <c r="C465" s="1" t="n">
        <v>46072</v>
      </c>
      <c r="D465" t="inlineStr">
        <is>
          <t>SKÅNE LÄN</t>
        </is>
      </c>
      <c r="E465" t="inlineStr">
        <is>
          <t>HÄSSLEHOLM</t>
        </is>
      </c>
      <c r="G465" t="n">
        <v>6.3</v>
      </c>
      <c r="H465" t="n">
        <v>0</v>
      </c>
      <c r="I465" t="n">
        <v>0</v>
      </c>
      <c r="J465" t="n">
        <v>0</v>
      </c>
      <c r="K465" t="n">
        <v>0</v>
      </c>
      <c r="L465" t="n">
        <v>0</v>
      </c>
      <c r="M465" t="n">
        <v>0</v>
      </c>
      <c r="N465" t="n">
        <v>0</v>
      </c>
      <c r="O465" t="n">
        <v>0</v>
      </c>
      <c r="P465" t="n">
        <v>0</v>
      </c>
      <c r="Q465" t="n">
        <v>0</v>
      </c>
      <c r="R465" s="2" t="inlineStr"/>
    </row>
    <row r="466" ht="15" customHeight="1">
      <c r="A466" t="inlineStr">
        <is>
          <t>A 11798-2022</t>
        </is>
      </c>
      <c r="B466" s="1" t="n">
        <v>44634.64900462963</v>
      </c>
      <c r="C466" s="1" t="n">
        <v>46072</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56881-2021</t>
        </is>
      </c>
      <c r="B467" s="1" t="n">
        <v>44481</v>
      </c>
      <c r="C467" s="1" t="n">
        <v>46072</v>
      </c>
      <c r="D467" t="inlineStr">
        <is>
          <t>SKÅNE LÄN</t>
        </is>
      </c>
      <c r="E467" t="inlineStr">
        <is>
          <t>HÄSSLEHOLM</t>
        </is>
      </c>
      <c r="G467" t="n">
        <v>0.4</v>
      </c>
      <c r="H467" t="n">
        <v>0</v>
      </c>
      <c r="I467" t="n">
        <v>0</v>
      </c>
      <c r="J467" t="n">
        <v>0</v>
      </c>
      <c r="K467" t="n">
        <v>0</v>
      </c>
      <c r="L467" t="n">
        <v>0</v>
      </c>
      <c r="M467" t="n">
        <v>0</v>
      </c>
      <c r="N467" t="n">
        <v>0</v>
      </c>
      <c r="O467" t="n">
        <v>0</v>
      </c>
      <c r="P467" t="n">
        <v>0</v>
      </c>
      <c r="Q467" t="n">
        <v>0</v>
      </c>
      <c r="R467" s="2" t="inlineStr"/>
    </row>
    <row r="468" ht="15" customHeight="1">
      <c r="A468" t="inlineStr">
        <is>
          <t>A 45443-2025</t>
        </is>
      </c>
      <c r="B468" s="1" t="n">
        <v>45920</v>
      </c>
      <c r="C468" s="1" t="n">
        <v>46072</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45458-2025</t>
        </is>
      </c>
      <c r="B469" s="1" t="n">
        <v>45920</v>
      </c>
      <c r="C469" s="1" t="n">
        <v>46072</v>
      </c>
      <c r="D469" t="inlineStr">
        <is>
          <t>SKÅNE LÄN</t>
        </is>
      </c>
      <c r="E469" t="inlineStr">
        <is>
          <t>HÄSSLEHOLM</t>
        </is>
      </c>
      <c r="G469" t="n">
        <v>1</v>
      </c>
      <c r="H469" t="n">
        <v>0</v>
      </c>
      <c r="I469" t="n">
        <v>0</v>
      </c>
      <c r="J469" t="n">
        <v>0</v>
      </c>
      <c r="K469" t="n">
        <v>0</v>
      </c>
      <c r="L469" t="n">
        <v>0</v>
      </c>
      <c r="M469" t="n">
        <v>0</v>
      </c>
      <c r="N469" t="n">
        <v>0</v>
      </c>
      <c r="O469" t="n">
        <v>0</v>
      </c>
      <c r="P469" t="n">
        <v>0</v>
      </c>
      <c r="Q469" t="n">
        <v>0</v>
      </c>
      <c r="R469" s="2" t="inlineStr"/>
    </row>
    <row r="470" ht="15" customHeight="1">
      <c r="A470" t="inlineStr">
        <is>
          <t>A 45465-2025</t>
        </is>
      </c>
      <c r="B470" s="1" t="n">
        <v>45920</v>
      </c>
      <c r="C470" s="1" t="n">
        <v>46072</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13673-2023</t>
        </is>
      </c>
      <c r="B471" s="1" t="n">
        <v>45006.87957175926</v>
      </c>
      <c r="C471" s="1" t="n">
        <v>46072</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45414-2025</t>
        </is>
      </c>
      <c r="B472" s="1" t="n">
        <v>45920</v>
      </c>
      <c r="C472" s="1" t="n">
        <v>46072</v>
      </c>
      <c r="D472" t="inlineStr">
        <is>
          <t>SKÅNE LÄN</t>
        </is>
      </c>
      <c r="E472" t="inlineStr">
        <is>
          <t>HÄSSLEHOLM</t>
        </is>
      </c>
      <c r="G472" t="n">
        <v>14.7</v>
      </c>
      <c r="H472" t="n">
        <v>0</v>
      </c>
      <c r="I472" t="n">
        <v>0</v>
      </c>
      <c r="J472" t="n">
        <v>0</v>
      </c>
      <c r="K472" t="n">
        <v>0</v>
      </c>
      <c r="L472" t="n">
        <v>0</v>
      </c>
      <c r="M472" t="n">
        <v>0</v>
      </c>
      <c r="N472" t="n">
        <v>0</v>
      </c>
      <c r="O472" t="n">
        <v>0</v>
      </c>
      <c r="P472" t="n">
        <v>0</v>
      </c>
      <c r="Q472" t="n">
        <v>0</v>
      </c>
      <c r="R472" s="2" t="inlineStr"/>
    </row>
    <row r="473" ht="15" customHeight="1">
      <c r="A473" t="inlineStr">
        <is>
          <t>A 45683-2025</t>
        </is>
      </c>
      <c r="B473" s="1" t="n">
        <v>45923.37590277778</v>
      </c>
      <c r="C473" s="1" t="n">
        <v>46072</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45516-2025</t>
        </is>
      </c>
      <c r="B474" s="1" t="n">
        <v>45922</v>
      </c>
      <c r="C474" s="1" t="n">
        <v>46072</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45514-2025</t>
        </is>
      </c>
      <c r="B475" s="1" t="n">
        <v>45922</v>
      </c>
      <c r="C475" s="1" t="n">
        <v>46072</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38306-2022</t>
        </is>
      </c>
      <c r="B476" s="1" t="n">
        <v>44812.57515046297</v>
      </c>
      <c r="C476" s="1" t="n">
        <v>46072</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11121-2023</t>
        </is>
      </c>
      <c r="B477" s="1" t="n">
        <v>44986</v>
      </c>
      <c r="C477" s="1" t="n">
        <v>46072</v>
      </c>
      <c r="D477" t="inlineStr">
        <is>
          <t>SKÅNE LÄN</t>
        </is>
      </c>
      <c r="E477" t="inlineStr">
        <is>
          <t>HÄSSLEHOLM</t>
        </is>
      </c>
      <c r="F477" t="inlineStr">
        <is>
          <t>Kommuner</t>
        </is>
      </c>
      <c r="G477" t="n">
        <v>5.8</v>
      </c>
      <c r="H477" t="n">
        <v>0</v>
      </c>
      <c r="I477" t="n">
        <v>0</v>
      </c>
      <c r="J477" t="n">
        <v>0</v>
      </c>
      <c r="K477" t="n">
        <v>0</v>
      </c>
      <c r="L477" t="n">
        <v>0</v>
      </c>
      <c r="M477" t="n">
        <v>0</v>
      </c>
      <c r="N477" t="n">
        <v>0</v>
      </c>
      <c r="O477" t="n">
        <v>0</v>
      </c>
      <c r="P477" t="n">
        <v>0</v>
      </c>
      <c r="Q477" t="n">
        <v>0</v>
      </c>
      <c r="R477" s="2" t="inlineStr"/>
    </row>
    <row r="478" ht="15" customHeight="1">
      <c r="A478" t="inlineStr">
        <is>
          <t>A 11116-2023</t>
        </is>
      </c>
      <c r="B478" s="1" t="n">
        <v>44986</v>
      </c>
      <c r="C478" s="1" t="n">
        <v>46072</v>
      </c>
      <c r="D478" t="inlineStr">
        <is>
          <t>SKÅNE LÄN</t>
        </is>
      </c>
      <c r="E478" t="inlineStr">
        <is>
          <t>HÄSSLEHOLM</t>
        </is>
      </c>
      <c r="F478" t="inlineStr">
        <is>
          <t>Kommuner</t>
        </is>
      </c>
      <c r="G478" t="n">
        <v>15.1</v>
      </c>
      <c r="H478" t="n">
        <v>0</v>
      </c>
      <c r="I478" t="n">
        <v>0</v>
      </c>
      <c r="J478" t="n">
        <v>0</v>
      </c>
      <c r="K478" t="n">
        <v>0</v>
      </c>
      <c r="L478" t="n">
        <v>0</v>
      </c>
      <c r="M478" t="n">
        <v>0</v>
      </c>
      <c r="N478" t="n">
        <v>0</v>
      </c>
      <c r="O478" t="n">
        <v>0</v>
      </c>
      <c r="P478" t="n">
        <v>0</v>
      </c>
      <c r="Q478" t="n">
        <v>0</v>
      </c>
      <c r="R478" s="2" t="inlineStr"/>
    </row>
    <row r="479" ht="15" customHeight="1">
      <c r="A479" t="inlineStr">
        <is>
          <t>A 45762-2025</t>
        </is>
      </c>
      <c r="B479" s="1" t="n">
        <v>45923.51548611111</v>
      </c>
      <c r="C479" s="1" t="n">
        <v>46072</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38712-2024</t>
        </is>
      </c>
      <c r="B480" s="1" t="n">
        <v>45547</v>
      </c>
      <c r="C480" s="1" t="n">
        <v>46072</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13310-2025</t>
        </is>
      </c>
      <c r="B481" s="1" t="n">
        <v>45735.58814814815</v>
      </c>
      <c r="C481" s="1" t="n">
        <v>46072</v>
      </c>
      <c r="D481" t="inlineStr">
        <is>
          <t>SKÅNE LÄN</t>
        </is>
      </c>
      <c r="E481" t="inlineStr">
        <is>
          <t>HÄSSLEHOLM</t>
        </is>
      </c>
      <c r="G481" t="n">
        <v>2</v>
      </c>
      <c r="H481" t="n">
        <v>0</v>
      </c>
      <c r="I481" t="n">
        <v>0</v>
      </c>
      <c r="J481" t="n">
        <v>0</v>
      </c>
      <c r="K481" t="n">
        <v>0</v>
      </c>
      <c r="L481" t="n">
        <v>0</v>
      </c>
      <c r="M481" t="n">
        <v>0</v>
      </c>
      <c r="N481" t="n">
        <v>0</v>
      </c>
      <c r="O481" t="n">
        <v>0</v>
      </c>
      <c r="P481" t="n">
        <v>0</v>
      </c>
      <c r="Q481" t="n">
        <v>0</v>
      </c>
      <c r="R481" s="2" t="inlineStr"/>
    </row>
    <row r="482" ht="15" customHeight="1">
      <c r="A482" t="inlineStr">
        <is>
          <t>A 3746-2024</t>
        </is>
      </c>
      <c r="B482" s="1" t="n">
        <v>45321.50745370371</v>
      </c>
      <c r="C482" s="1" t="n">
        <v>46072</v>
      </c>
      <c r="D482" t="inlineStr">
        <is>
          <t>SKÅNE LÄN</t>
        </is>
      </c>
      <c r="E482" t="inlineStr">
        <is>
          <t>HÄSSLEHOLM</t>
        </is>
      </c>
      <c r="G482" t="n">
        <v>3.4</v>
      </c>
      <c r="H482" t="n">
        <v>0</v>
      </c>
      <c r="I482" t="n">
        <v>0</v>
      </c>
      <c r="J482" t="n">
        <v>0</v>
      </c>
      <c r="K482" t="n">
        <v>0</v>
      </c>
      <c r="L482" t="n">
        <v>0</v>
      </c>
      <c r="M482" t="n">
        <v>0</v>
      </c>
      <c r="N482" t="n">
        <v>0</v>
      </c>
      <c r="O482" t="n">
        <v>0</v>
      </c>
      <c r="P482" t="n">
        <v>0</v>
      </c>
      <c r="Q482" t="n">
        <v>0</v>
      </c>
      <c r="R482" s="2" t="inlineStr"/>
    </row>
    <row r="483" ht="15" customHeight="1">
      <c r="A483" t="inlineStr">
        <is>
          <t>A 30010-2025</t>
        </is>
      </c>
      <c r="B483" s="1" t="n">
        <v>45826</v>
      </c>
      <c r="C483" s="1" t="n">
        <v>46072</v>
      </c>
      <c r="D483" t="inlineStr">
        <is>
          <t>SKÅNE LÄN</t>
        </is>
      </c>
      <c r="E483" t="inlineStr">
        <is>
          <t>HÄSSLEHOLM</t>
        </is>
      </c>
      <c r="G483" t="n">
        <v>4.5</v>
      </c>
      <c r="H483" t="n">
        <v>0</v>
      </c>
      <c r="I483" t="n">
        <v>0</v>
      </c>
      <c r="J483" t="n">
        <v>0</v>
      </c>
      <c r="K483" t="n">
        <v>0</v>
      </c>
      <c r="L483" t="n">
        <v>0</v>
      </c>
      <c r="M483" t="n">
        <v>0</v>
      </c>
      <c r="N483" t="n">
        <v>0</v>
      </c>
      <c r="O483" t="n">
        <v>0</v>
      </c>
      <c r="P483" t="n">
        <v>0</v>
      </c>
      <c r="Q483" t="n">
        <v>0</v>
      </c>
      <c r="R483" s="2" t="inlineStr"/>
    </row>
    <row r="484" ht="15" customHeight="1">
      <c r="A484" t="inlineStr">
        <is>
          <t>A 57649-2022</t>
        </is>
      </c>
      <c r="B484" s="1" t="n">
        <v>44897.42755787037</v>
      </c>
      <c r="C484" s="1" t="n">
        <v>46072</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9668-2025</t>
        </is>
      </c>
      <c r="B485" s="1" t="n">
        <v>45716</v>
      </c>
      <c r="C485" s="1" t="n">
        <v>46072</v>
      </c>
      <c r="D485" t="inlineStr">
        <is>
          <t>SKÅNE LÄN</t>
        </is>
      </c>
      <c r="E485" t="inlineStr">
        <is>
          <t>HÄSSLEHOLM</t>
        </is>
      </c>
      <c r="G485" t="n">
        <v>1.2</v>
      </c>
      <c r="H485" t="n">
        <v>0</v>
      </c>
      <c r="I485" t="n">
        <v>0</v>
      </c>
      <c r="J485" t="n">
        <v>0</v>
      </c>
      <c r="K485" t="n">
        <v>0</v>
      </c>
      <c r="L485" t="n">
        <v>0</v>
      </c>
      <c r="M485" t="n">
        <v>0</v>
      </c>
      <c r="N485" t="n">
        <v>0</v>
      </c>
      <c r="O485" t="n">
        <v>0</v>
      </c>
      <c r="P485" t="n">
        <v>0</v>
      </c>
      <c r="Q485" t="n">
        <v>0</v>
      </c>
      <c r="R485" s="2" t="inlineStr"/>
    </row>
    <row r="486" ht="15" customHeight="1">
      <c r="A486" t="inlineStr">
        <is>
          <t>A 57665-2022</t>
        </is>
      </c>
      <c r="B486" s="1" t="n">
        <v>44897.4494212963</v>
      </c>
      <c r="C486" s="1" t="n">
        <v>46072</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57676-2022</t>
        </is>
      </c>
      <c r="B487" s="1" t="n">
        <v>44897</v>
      </c>
      <c r="C487" s="1" t="n">
        <v>46072</v>
      </c>
      <c r="D487" t="inlineStr">
        <is>
          <t>SKÅNE LÄN</t>
        </is>
      </c>
      <c r="E487" t="inlineStr">
        <is>
          <t>HÄSSLEHOLM</t>
        </is>
      </c>
      <c r="G487" t="n">
        <v>1</v>
      </c>
      <c r="H487" t="n">
        <v>0</v>
      </c>
      <c r="I487" t="n">
        <v>0</v>
      </c>
      <c r="J487" t="n">
        <v>0</v>
      </c>
      <c r="K487" t="n">
        <v>0</v>
      </c>
      <c r="L487" t="n">
        <v>0</v>
      </c>
      <c r="M487" t="n">
        <v>0</v>
      </c>
      <c r="N487" t="n">
        <v>0</v>
      </c>
      <c r="O487" t="n">
        <v>0</v>
      </c>
      <c r="P487" t="n">
        <v>0</v>
      </c>
      <c r="Q487" t="n">
        <v>0</v>
      </c>
      <c r="R487" s="2" t="inlineStr"/>
    </row>
    <row r="488" ht="15" customHeight="1">
      <c r="A488" t="inlineStr">
        <is>
          <t>A 14145-2023</t>
        </is>
      </c>
      <c r="B488" s="1" t="n">
        <v>45009</v>
      </c>
      <c r="C488" s="1" t="n">
        <v>46072</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8244-2023</t>
        </is>
      </c>
      <c r="B489" s="1" t="n">
        <v>44974</v>
      </c>
      <c r="C489" s="1" t="n">
        <v>46072</v>
      </c>
      <c r="D489" t="inlineStr">
        <is>
          <t>SKÅNE LÄN</t>
        </is>
      </c>
      <c r="E489" t="inlineStr">
        <is>
          <t>HÄSSLEHOLM</t>
        </is>
      </c>
      <c r="G489" t="n">
        <v>1.2</v>
      </c>
      <c r="H489" t="n">
        <v>0</v>
      </c>
      <c r="I489" t="n">
        <v>0</v>
      </c>
      <c r="J489" t="n">
        <v>0</v>
      </c>
      <c r="K489" t="n">
        <v>0</v>
      </c>
      <c r="L489" t="n">
        <v>0</v>
      </c>
      <c r="M489" t="n">
        <v>0</v>
      </c>
      <c r="N489" t="n">
        <v>0</v>
      </c>
      <c r="O489" t="n">
        <v>0</v>
      </c>
      <c r="P489" t="n">
        <v>0</v>
      </c>
      <c r="Q489" t="n">
        <v>0</v>
      </c>
      <c r="R489" s="2" t="inlineStr"/>
    </row>
    <row r="490" ht="15" customHeight="1">
      <c r="A490" t="inlineStr">
        <is>
          <t>A 8246-2023</t>
        </is>
      </c>
      <c r="B490" s="1" t="n">
        <v>44974</v>
      </c>
      <c r="C490" s="1" t="n">
        <v>46072</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12584-2025</t>
        </is>
      </c>
      <c r="B491" s="1" t="n">
        <v>45732</v>
      </c>
      <c r="C491" s="1" t="n">
        <v>46072</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25606-2024</t>
        </is>
      </c>
      <c r="B492" s="1" t="n">
        <v>45463.63179398148</v>
      </c>
      <c r="C492" s="1" t="n">
        <v>46072</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9678-2025</t>
        </is>
      </c>
      <c r="B493" s="1" t="n">
        <v>45716</v>
      </c>
      <c r="C493" s="1" t="n">
        <v>46072</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14939-2023</t>
        </is>
      </c>
      <c r="B494" s="1" t="n">
        <v>45014</v>
      </c>
      <c r="C494" s="1" t="n">
        <v>46072</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13345-2025</t>
        </is>
      </c>
      <c r="B495" s="1" t="n">
        <v>45735.63017361111</v>
      </c>
      <c r="C495" s="1" t="n">
        <v>46072</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46786-2025</t>
        </is>
      </c>
      <c r="B496" s="1" t="n">
        <v>45926.64484953704</v>
      </c>
      <c r="C496" s="1" t="n">
        <v>46072</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4945-2022</t>
        </is>
      </c>
      <c r="B497" s="1" t="n">
        <v>44593</v>
      </c>
      <c r="C497" s="1" t="n">
        <v>46072</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47126-2025</t>
        </is>
      </c>
      <c r="B498" s="1" t="n">
        <v>45929.685625</v>
      </c>
      <c r="C498" s="1" t="n">
        <v>46072</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47127-2025</t>
        </is>
      </c>
      <c r="B499" s="1" t="n">
        <v>45929.6893287037</v>
      </c>
      <c r="C499" s="1" t="n">
        <v>46072</v>
      </c>
      <c r="D499" t="inlineStr">
        <is>
          <t>SKÅNE LÄN</t>
        </is>
      </c>
      <c r="E499" t="inlineStr">
        <is>
          <t>HÄSSLEHOLM</t>
        </is>
      </c>
      <c r="G499" t="n">
        <v>1.7</v>
      </c>
      <c r="H499" t="n">
        <v>0</v>
      </c>
      <c r="I499" t="n">
        <v>0</v>
      </c>
      <c r="J499" t="n">
        <v>0</v>
      </c>
      <c r="K499" t="n">
        <v>0</v>
      </c>
      <c r="L499" t="n">
        <v>0</v>
      </c>
      <c r="M499" t="n">
        <v>0</v>
      </c>
      <c r="N499" t="n">
        <v>0</v>
      </c>
      <c r="O499" t="n">
        <v>0</v>
      </c>
      <c r="P499" t="n">
        <v>0</v>
      </c>
      <c r="Q499" t="n">
        <v>0</v>
      </c>
      <c r="R499" s="2" t="inlineStr"/>
    </row>
    <row r="500" ht="15" customHeight="1">
      <c r="A500" t="inlineStr">
        <is>
          <t>A 31159-2025</t>
        </is>
      </c>
      <c r="B500" s="1" t="n">
        <v>45832.65322916667</v>
      </c>
      <c r="C500" s="1" t="n">
        <v>46072</v>
      </c>
      <c r="D500" t="inlineStr">
        <is>
          <t>SKÅNE LÄN</t>
        </is>
      </c>
      <c r="E500" t="inlineStr">
        <is>
          <t>HÄSSLEHOLM</t>
        </is>
      </c>
      <c r="G500" t="n">
        <v>1</v>
      </c>
      <c r="H500" t="n">
        <v>0</v>
      </c>
      <c r="I500" t="n">
        <v>0</v>
      </c>
      <c r="J500" t="n">
        <v>0</v>
      </c>
      <c r="K500" t="n">
        <v>0</v>
      </c>
      <c r="L500" t="n">
        <v>0</v>
      </c>
      <c r="M500" t="n">
        <v>0</v>
      </c>
      <c r="N500" t="n">
        <v>0</v>
      </c>
      <c r="O500" t="n">
        <v>0</v>
      </c>
      <c r="P500" t="n">
        <v>0</v>
      </c>
      <c r="Q500" t="n">
        <v>0</v>
      </c>
      <c r="R500" s="2" t="inlineStr"/>
    </row>
    <row r="501" ht="15" customHeight="1">
      <c r="A501" t="inlineStr">
        <is>
          <t>A 46761-2025</t>
        </is>
      </c>
      <c r="B501" s="1" t="n">
        <v>45926.62289351852</v>
      </c>
      <c r="C501" s="1" t="n">
        <v>46072</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12558-2023</t>
        </is>
      </c>
      <c r="B502" s="1" t="n">
        <v>45000.36103009259</v>
      </c>
      <c r="C502" s="1" t="n">
        <v>46072</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46855-2025</t>
        </is>
      </c>
      <c r="B503" s="1" t="n">
        <v>45928.88497685185</v>
      </c>
      <c r="C503" s="1" t="n">
        <v>46072</v>
      </c>
      <c r="D503" t="inlineStr">
        <is>
          <t>SKÅNE LÄN</t>
        </is>
      </c>
      <c r="E503" t="inlineStr">
        <is>
          <t>HÄSSLEHOLM</t>
        </is>
      </c>
      <c r="G503" t="n">
        <v>0.9</v>
      </c>
      <c r="H503" t="n">
        <v>0</v>
      </c>
      <c r="I503" t="n">
        <v>0</v>
      </c>
      <c r="J503" t="n">
        <v>0</v>
      </c>
      <c r="K503" t="n">
        <v>0</v>
      </c>
      <c r="L503" t="n">
        <v>0</v>
      </c>
      <c r="M503" t="n">
        <v>0</v>
      </c>
      <c r="N503" t="n">
        <v>0</v>
      </c>
      <c r="O503" t="n">
        <v>0</v>
      </c>
      <c r="P503" t="n">
        <v>0</v>
      </c>
      <c r="Q503" t="n">
        <v>0</v>
      </c>
      <c r="R503" s="2" t="inlineStr"/>
    </row>
    <row r="504" ht="15" customHeight="1">
      <c r="A504" t="inlineStr">
        <is>
          <t>A 46605-2025</t>
        </is>
      </c>
      <c r="B504" s="1" t="n">
        <v>45926.41214120371</v>
      </c>
      <c r="C504" s="1" t="n">
        <v>46072</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4119-2024</t>
        </is>
      </c>
      <c r="B505" s="1" t="n">
        <v>45323.67920138889</v>
      </c>
      <c r="C505" s="1" t="n">
        <v>46072</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6835-2023</t>
        </is>
      </c>
      <c r="B506" s="1" t="n">
        <v>44967</v>
      </c>
      <c r="C506" s="1" t="n">
        <v>46072</v>
      </c>
      <c r="D506" t="inlineStr">
        <is>
          <t>SKÅNE LÄN</t>
        </is>
      </c>
      <c r="E506" t="inlineStr">
        <is>
          <t>HÄSSLEHOLM</t>
        </is>
      </c>
      <c r="G506" t="n">
        <v>4.8</v>
      </c>
      <c r="H506" t="n">
        <v>0</v>
      </c>
      <c r="I506" t="n">
        <v>0</v>
      </c>
      <c r="J506" t="n">
        <v>0</v>
      </c>
      <c r="K506" t="n">
        <v>0</v>
      </c>
      <c r="L506" t="n">
        <v>0</v>
      </c>
      <c r="M506" t="n">
        <v>0</v>
      </c>
      <c r="N506" t="n">
        <v>0</v>
      </c>
      <c r="O506" t="n">
        <v>0</v>
      </c>
      <c r="P506" t="n">
        <v>0</v>
      </c>
      <c r="Q506" t="n">
        <v>0</v>
      </c>
      <c r="R506" s="2" t="inlineStr"/>
    </row>
    <row r="507" ht="15" customHeight="1">
      <c r="A507" t="inlineStr">
        <is>
          <t>A 47757-2024</t>
        </is>
      </c>
      <c r="B507" s="1" t="n">
        <v>45588.55075231481</v>
      </c>
      <c r="C507" s="1" t="n">
        <v>46072</v>
      </c>
      <c r="D507" t="inlineStr">
        <is>
          <t>SKÅNE LÄN</t>
        </is>
      </c>
      <c r="E507" t="inlineStr">
        <is>
          <t>HÄSSLEHOLM</t>
        </is>
      </c>
      <c r="G507" t="n">
        <v>5.5</v>
      </c>
      <c r="H507" t="n">
        <v>0</v>
      </c>
      <c r="I507" t="n">
        <v>0</v>
      </c>
      <c r="J507" t="n">
        <v>0</v>
      </c>
      <c r="K507" t="n">
        <v>0</v>
      </c>
      <c r="L507" t="n">
        <v>0</v>
      </c>
      <c r="M507" t="n">
        <v>0</v>
      </c>
      <c r="N507" t="n">
        <v>0</v>
      </c>
      <c r="O507" t="n">
        <v>0</v>
      </c>
      <c r="P507" t="n">
        <v>0</v>
      </c>
      <c r="Q507" t="n">
        <v>0</v>
      </c>
      <c r="R507" s="2" t="inlineStr"/>
    </row>
    <row r="508" ht="15" customHeight="1">
      <c r="A508" t="inlineStr">
        <is>
          <t>A 16550-2025</t>
        </is>
      </c>
      <c r="B508" s="1" t="n">
        <v>45751.69412037037</v>
      </c>
      <c r="C508" s="1" t="n">
        <v>46072</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26536-2022</t>
        </is>
      </c>
      <c r="B509" s="1" t="n">
        <v>44739.45496527778</v>
      </c>
      <c r="C509" s="1" t="n">
        <v>46072</v>
      </c>
      <c r="D509" t="inlineStr">
        <is>
          <t>SKÅNE LÄN</t>
        </is>
      </c>
      <c r="E509" t="inlineStr">
        <is>
          <t>HÄSSLEHOLM</t>
        </is>
      </c>
      <c r="G509" t="n">
        <v>3.1</v>
      </c>
      <c r="H509" t="n">
        <v>0</v>
      </c>
      <c r="I509" t="n">
        <v>0</v>
      </c>
      <c r="J509" t="n">
        <v>0</v>
      </c>
      <c r="K509" t="n">
        <v>0</v>
      </c>
      <c r="L509" t="n">
        <v>0</v>
      </c>
      <c r="M509" t="n">
        <v>0</v>
      </c>
      <c r="N509" t="n">
        <v>0</v>
      </c>
      <c r="O509" t="n">
        <v>0</v>
      </c>
      <c r="P509" t="n">
        <v>0</v>
      </c>
      <c r="Q509" t="n">
        <v>0</v>
      </c>
      <c r="R509" s="2" t="inlineStr"/>
    </row>
    <row r="510" ht="15" customHeight="1">
      <c r="A510" t="inlineStr">
        <is>
          <t>A 25726-2025</t>
        </is>
      </c>
      <c r="B510" s="1" t="n">
        <v>45803</v>
      </c>
      <c r="C510" s="1" t="n">
        <v>46072</v>
      </c>
      <c r="D510" t="inlineStr">
        <is>
          <t>SKÅNE LÄN</t>
        </is>
      </c>
      <c r="E510" t="inlineStr">
        <is>
          <t>HÄSSLEHOLM</t>
        </is>
      </c>
      <c r="G510" t="n">
        <v>5.5</v>
      </c>
      <c r="H510" t="n">
        <v>0</v>
      </c>
      <c r="I510" t="n">
        <v>0</v>
      </c>
      <c r="J510" t="n">
        <v>0</v>
      </c>
      <c r="K510" t="n">
        <v>0</v>
      </c>
      <c r="L510" t="n">
        <v>0</v>
      </c>
      <c r="M510" t="n">
        <v>0</v>
      </c>
      <c r="N510" t="n">
        <v>0</v>
      </c>
      <c r="O510" t="n">
        <v>0</v>
      </c>
      <c r="P510" t="n">
        <v>0</v>
      </c>
      <c r="Q510" t="n">
        <v>0</v>
      </c>
      <c r="R510" s="2" t="inlineStr"/>
    </row>
    <row r="511" ht="15" customHeight="1">
      <c r="A511" t="inlineStr">
        <is>
          <t>A 25057-2024</t>
        </is>
      </c>
      <c r="B511" s="1" t="n">
        <v>45462</v>
      </c>
      <c r="C511" s="1" t="n">
        <v>46072</v>
      </c>
      <c r="D511" t="inlineStr">
        <is>
          <t>SKÅNE LÄN</t>
        </is>
      </c>
      <c r="E511" t="inlineStr">
        <is>
          <t>HÄSSLEHOLM</t>
        </is>
      </c>
      <c r="G511" t="n">
        <v>4.3</v>
      </c>
      <c r="H511" t="n">
        <v>0</v>
      </c>
      <c r="I511" t="n">
        <v>0</v>
      </c>
      <c r="J511" t="n">
        <v>0</v>
      </c>
      <c r="K511" t="n">
        <v>0</v>
      </c>
      <c r="L511" t="n">
        <v>0</v>
      </c>
      <c r="M511" t="n">
        <v>0</v>
      </c>
      <c r="N511" t="n">
        <v>0</v>
      </c>
      <c r="O511" t="n">
        <v>0</v>
      </c>
      <c r="P511" t="n">
        <v>0</v>
      </c>
      <c r="Q511" t="n">
        <v>0</v>
      </c>
      <c r="R511" s="2" t="inlineStr"/>
    </row>
    <row r="512" ht="15" customHeight="1">
      <c r="A512" t="inlineStr">
        <is>
          <t>A 47259-2025</t>
        </is>
      </c>
      <c r="B512" s="1" t="n">
        <v>45930</v>
      </c>
      <c r="C512" s="1" t="n">
        <v>46072</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47473-2025</t>
        </is>
      </c>
      <c r="B513" s="1" t="n">
        <v>45930.67763888889</v>
      </c>
      <c r="C513" s="1" t="n">
        <v>46072</v>
      </c>
      <c r="D513" t="inlineStr">
        <is>
          <t>SKÅNE LÄN</t>
        </is>
      </c>
      <c r="E513" t="inlineStr">
        <is>
          <t>HÄSSLEHOLM</t>
        </is>
      </c>
      <c r="G513" t="n">
        <v>4.7</v>
      </c>
      <c r="H513" t="n">
        <v>0</v>
      </c>
      <c r="I513" t="n">
        <v>0</v>
      </c>
      <c r="J513" t="n">
        <v>0</v>
      </c>
      <c r="K513" t="n">
        <v>0</v>
      </c>
      <c r="L513" t="n">
        <v>0</v>
      </c>
      <c r="M513" t="n">
        <v>0</v>
      </c>
      <c r="N513" t="n">
        <v>0</v>
      </c>
      <c r="O513" t="n">
        <v>0</v>
      </c>
      <c r="P513" t="n">
        <v>0</v>
      </c>
      <c r="Q513" t="n">
        <v>0</v>
      </c>
      <c r="R513" s="2" t="inlineStr"/>
    </row>
    <row r="514" ht="15" customHeight="1">
      <c r="A514" t="inlineStr">
        <is>
          <t>A 47466-2025</t>
        </is>
      </c>
      <c r="B514" s="1" t="n">
        <v>45930.66677083333</v>
      </c>
      <c r="C514" s="1" t="n">
        <v>46072</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7494-2023</t>
        </is>
      </c>
      <c r="B515" s="1" t="n">
        <v>44971.70835648148</v>
      </c>
      <c r="C515" s="1" t="n">
        <v>46072</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10115-2024</t>
        </is>
      </c>
      <c r="B516" s="1" t="n">
        <v>45364.55339120371</v>
      </c>
      <c r="C516" s="1" t="n">
        <v>46072</v>
      </c>
      <c r="D516" t="inlineStr">
        <is>
          <t>SKÅNE LÄN</t>
        </is>
      </c>
      <c r="E516" t="inlineStr">
        <is>
          <t>HÄSSLEHOLM</t>
        </is>
      </c>
      <c r="G516" t="n">
        <v>7</v>
      </c>
      <c r="H516" t="n">
        <v>0</v>
      </c>
      <c r="I516" t="n">
        <v>0</v>
      </c>
      <c r="J516" t="n">
        <v>0</v>
      </c>
      <c r="K516" t="n">
        <v>0</v>
      </c>
      <c r="L516" t="n">
        <v>0</v>
      </c>
      <c r="M516" t="n">
        <v>0</v>
      </c>
      <c r="N516" t="n">
        <v>0</v>
      </c>
      <c r="O516" t="n">
        <v>0</v>
      </c>
      <c r="P516" t="n">
        <v>0</v>
      </c>
      <c r="Q516" t="n">
        <v>0</v>
      </c>
      <c r="R516" s="2" t="inlineStr"/>
    </row>
    <row r="517" ht="15" customHeight="1">
      <c r="A517" t="inlineStr">
        <is>
          <t>A 48184-2025</t>
        </is>
      </c>
      <c r="B517" s="1" t="n">
        <v>45933.46131944445</v>
      </c>
      <c r="C517" s="1" t="n">
        <v>46072</v>
      </c>
      <c r="D517" t="inlineStr">
        <is>
          <t>SKÅNE LÄN</t>
        </is>
      </c>
      <c r="E517" t="inlineStr">
        <is>
          <t>HÄSSLEHOLM</t>
        </is>
      </c>
      <c r="G517" t="n">
        <v>3</v>
      </c>
      <c r="H517" t="n">
        <v>0</v>
      </c>
      <c r="I517" t="n">
        <v>0</v>
      </c>
      <c r="J517" t="n">
        <v>0</v>
      </c>
      <c r="K517" t="n">
        <v>0</v>
      </c>
      <c r="L517" t="n">
        <v>0</v>
      </c>
      <c r="M517" t="n">
        <v>0</v>
      </c>
      <c r="N517" t="n">
        <v>0</v>
      </c>
      <c r="O517" t="n">
        <v>0</v>
      </c>
      <c r="P517" t="n">
        <v>0</v>
      </c>
      <c r="Q517" t="n">
        <v>0</v>
      </c>
      <c r="R517" s="2" t="inlineStr"/>
    </row>
    <row r="518" ht="15" customHeight="1">
      <c r="A518" t="inlineStr">
        <is>
          <t>A 48185-2025</t>
        </is>
      </c>
      <c r="B518" s="1" t="n">
        <v>45933.46434027778</v>
      </c>
      <c r="C518" s="1" t="n">
        <v>46072</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11753-2025</t>
        </is>
      </c>
      <c r="B519" s="1" t="n">
        <v>45727</v>
      </c>
      <c r="C519" s="1" t="n">
        <v>46072</v>
      </c>
      <c r="D519" t="inlineStr">
        <is>
          <t>SKÅNE LÄN</t>
        </is>
      </c>
      <c r="E519" t="inlineStr">
        <is>
          <t>HÄSSLEHOLM</t>
        </is>
      </c>
      <c r="G519" t="n">
        <v>2.7</v>
      </c>
      <c r="H519" t="n">
        <v>0</v>
      </c>
      <c r="I519" t="n">
        <v>0</v>
      </c>
      <c r="J519" t="n">
        <v>0</v>
      </c>
      <c r="K519" t="n">
        <v>0</v>
      </c>
      <c r="L519" t="n">
        <v>0</v>
      </c>
      <c r="M519" t="n">
        <v>0</v>
      </c>
      <c r="N519" t="n">
        <v>0</v>
      </c>
      <c r="O519" t="n">
        <v>0</v>
      </c>
      <c r="P519" t="n">
        <v>0</v>
      </c>
      <c r="Q519" t="n">
        <v>0</v>
      </c>
      <c r="R519" s="2" t="inlineStr"/>
    </row>
    <row r="520" ht="15" customHeight="1">
      <c r="A520" t="inlineStr">
        <is>
          <t>A 58933-2025</t>
        </is>
      </c>
      <c r="B520" s="1" t="n">
        <v>45987.56107638889</v>
      </c>
      <c r="C520" s="1" t="n">
        <v>46072</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21328-2023</t>
        </is>
      </c>
      <c r="B521" s="1" t="n">
        <v>45062</v>
      </c>
      <c r="C521" s="1" t="n">
        <v>46072</v>
      </c>
      <c r="D521" t="inlineStr">
        <is>
          <t>SKÅNE LÄN</t>
        </is>
      </c>
      <c r="E521" t="inlineStr">
        <is>
          <t>HÄSSLEHOLM</t>
        </is>
      </c>
      <c r="G521" t="n">
        <v>2.1</v>
      </c>
      <c r="H521" t="n">
        <v>0</v>
      </c>
      <c r="I521" t="n">
        <v>0</v>
      </c>
      <c r="J521" t="n">
        <v>0</v>
      </c>
      <c r="K521" t="n">
        <v>0</v>
      </c>
      <c r="L521" t="n">
        <v>0</v>
      </c>
      <c r="M521" t="n">
        <v>0</v>
      </c>
      <c r="N521" t="n">
        <v>0</v>
      </c>
      <c r="O521" t="n">
        <v>0</v>
      </c>
      <c r="P521" t="n">
        <v>0</v>
      </c>
      <c r="Q521" t="n">
        <v>0</v>
      </c>
      <c r="R521" s="2" t="inlineStr"/>
    </row>
    <row r="522" ht="15" customHeight="1">
      <c r="A522" t="inlineStr">
        <is>
          <t>A 12570-2023</t>
        </is>
      </c>
      <c r="B522" s="1" t="n">
        <v>44999</v>
      </c>
      <c r="C522" s="1" t="n">
        <v>46072</v>
      </c>
      <c r="D522" t="inlineStr">
        <is>
          <t>SKÅNE LÄN</t>
        </is>
      </c>
      <c r="E522" t="inlineStr">
        <is>
          <t>HÄSSLEHOLM</t>
        </is>
      </c>
      <c r="G522" t="n">
        <v>3.4</v>
      </c>
      <c r="H522" t="n">
        <v>0</v>
      </c>
      <c r="I522" t="n">
        <v>0</v>
      </c>
      <c r="J522" t="n">
        <v>0</v>
      </c>
      <c r="K522" t="n">
        <v>0</v>
      </c>
      <c r="L522" t="n">
        <v>0</v>
      </c>
      <c r="M522" t="n">
        <v>0</v>
      </c>
      <c r="N522" t="n">
        <v>0</v>
      </c>
      <c r="O522" t="n">
        <v>0</v>
      </c>
      <c r="P522" t="n">
        <v>0</v>
      </c>
      <c r="Q522" t="n">
        <v>0</v>
      </c>
      <c r="R522" s="2" t="inlineStr"/>
    </row>
    <row r="523" ht="15" customHeight="1">
      <c r="A523" t="inlineStr">
        <is>
          <t>A 29649-2025</t>
        </is>
      </c>
      <c r="B523" s="1" t="n">
        <v>45825.47446759259</v>
      </c>
      <c r="C523" s="1" t="n">
        <v>46072</v>
      </c>
      <c r="D523" t="inlineStr">
        <is>
          <t>SKÅNE LÄN</t>
        </is>
      </c>
      <c r="E523" t="inlineStr">
        <is>
          <t>HÄSSLEHOLM</t>
        </is>
      </c>
      <c r="G523" t="n">
        <v>2.6</v>
      </c>
      <c r="H523" t="n">
        <v>0</v>
      </c>
      <c r="I523" t="n">
        <v>0</v>
      </c>
      <c r="J523" t="n">
        <v>0</v>
      </c>
      <c r="K523" t="n">
        <v>0</v>
      </c>
      <c r="L523" t="n">
        <v>0</v>
      </c>
      <c r="M523" t="n">
        <v>0</v>
      </c>
      <c r="N523" t="n">
        <v>0</v>
      </c>
      <c r="O523" t="n">
        <v>0</v>
      </c>
      <c r="P523" t="n">
        <v>0</v>
      </c>
      <c r="Q523" t="n">
        <v>0</v>
      </c>
      <c r="R523" s="2" t="inlineStr"/>
    </row>
    <row r="524" ht="15" customHeight="1">
      <c r="A524" t="inlineStr">
        <is>
          <t>A 20435-2021</t>
        </is>
      </c>
      <c r="B524" s="1" t="n">
        <v>44315.5793287037</v>
      </c>
      <c r="C524" s="1" t="n">
        <v>46072</v>
      </c>
      <c r="D524" t="inlineStr">
        <is>
          <t>SKÅNE LÄN</t>
        </is>
      </c>
      <c r="E524" t="inlineStr">
        <is>
          <t>HÄSSLEHOLM</t>
        </is>
      </c>
      <c r="G524" t="n">
        <v>4.8</v>
      </c>
      <c r="H524" t="n">
        <v>0</v>
      </c>
      <c r="I524" t="n">
        <v>0</v>
      </c>
      <c r="J524" t="n">
        <v>0</v>
      </c>
      <c r="K524" t="n">
        <v>0</v>
      </c>
      <c r="L524" t="n">
        <v>0</v>
      </c>
      <c r="M524" t="n">
        <v>0</v>
      </c>
      <c r="N524" t="n">
        <v>0</v>
      </c>
      <c r="O524" t="n">
        <v>0</v>
      </c>
      <c r="P524" t="n">
        <v>0</v>
      </c>
      <c r="Q524" t="n">
        <v>0</v>
      </c>
      <c r="R524" s="2" t="inlineStr"/>
    </row>
    <row r="525" ht="15" customHeight="1">
      <c r="A525" t="inlineStr">
        <is>
          <t>A 25219-2023</t>
        </is>
      </c>
      <c r="B525" s="1" t="n">
        <v>45086.60541666667</v>
      </c>
      <c r="C525" s="1" t="n">
        <v>46072</v>
      </c>
      <c r="D525" t="inlineStr">
        <is>
          <t>SKÅNE LÄN</t>
        </is>
      </c>
      <c r="E525" t="inlineStr">
        <is>
          <t>HÄSSLEHOLM</t>
        </is>
      </c>
      <c r="G525" t="n">
        <v>6.9</v>
      </c>
      <c r="H525" t="n">
        <v>0</v>
      </c>
      <c r="I525" t="n">
        <v>0</v>
      </c>
      <c r="J525" t="n">
        <v>0</v>
      </c>
      <c r="K525" t="n">
        <v>0</v>
      </c>
      <c r="L525" t="n">
        <v>0</v>
      </c>
      <c r="M525" t="n">
        <v>0</v>
      </c>
      <c r="N525" t="n">
        <v>0</v>
      </c>
      <c r="O525" t="n">
        <v>0</v>
      </c>
      <c r="P525" t="n">
        <v>0</v>
      </c>
      <c r="Q525" t="n">
        <v>0</v>
      </c>
      <c r="R525" s="2" t="inlineStr"/>
    </row>
    <row r="526" ht="15" customHeight="1">
      <c r="A526" t="inlineStr">
        <is>
          <t>A 7306-2025</t>
        </is>
      </c>
      <c r="B526" s="1" t="n">
        <v>45702</v>
      </c>
      <c r="C526" s="1" t="n">
        <v>46072</v>
      </c>
      <c r="D526" t="inlineStr">
        <is>
          <t>SKÅNE LÄN</t>
        </is>
      </c>
      <c r="E526" t="inlineStr">
        <is>
          <t>HÄSSLEHOLM</t>
        </is>
      </c>
      <c r="F526" t="inlineStr">
        <is>
          <t>Övriga Aktiebolag</t>
        </is>
      </c>
      <c r="G526" t="n">
        <v>3.3</v>
      </c>
      <c r="H526" t="n">
        <v>0</v>
      </c>
      <c r="I526" t="n">
        <v>0</v>
      </c>
      <c r="J526" t="n">
        <v>0</v>
      </c>
      <c r="K526" t="n">
        <v>0</v>
      </c>
      <c r="L526" t="n">
        <v>0</v>
      </c>
      <c r="M526" t="n">
        <v>0</v>
      </c>
      <c r="N526" t="n">
        <v>0</v>
      </c>
      <c r="O526" t="n">
        <v>0</v>
      </c>
      <c r="P526" t="n">
        <v>0</v>
      </c>
      <c r="Q526" t="n">
        <v>0</v>
      </c>
      <c r="R526" s="2" t="inlineStr"/>
    </row>
    <row r="527" ht="15" customHeight="1">
      <c r="A527" t="inlineStr">
        <is>
          <t>A 7308-2025</t>
        </is>
      </c>
      <c r="B527" s="1" t="n">
        <v>45702</v>
      </c>
      <c r="C527" s="1" t="n">
        <v>46072</v>
      </c>
      <c r="D527" t="inlineStr">
        <is>
          <t>SKÅNE LÄN</t>
        </is>
      </c>
      <c r="E527" t="inlineStr">
        <is>
          <t>HÄSSLEHOLM</t>
        </is>
      </c>
      <c r="F527" t="inlineStr">
        <is>
          <t>Övriga Aktiebolag</t>
        </is>
      </c>
      <c r="G527" t="n">
        <v>4.8</v>
      </c>
      <c r="H527" t="n">
        <v>0</v>
      </c>
      <c r="I527" t="n">
        <v>0</v>
      </c>
      <c r="J527" t="n">
        <v>0</v>
      </c>
      <c r="K527" t="n">
        <v>0</v>
      </c>
      <c r="L527" t="n">
        <v>0</v>
      </c>
      <c r="M527" t="n">
        <v>0</v>
      </c>
      <c r="N527" t="n">
        <v>0</v>
      </c>
      <c r="O527" t="n">
        <v>0</v>
      </c>
      <c r="P527" t="n">
        <v>0</v>
      </c>
      <c r="Q527" t="n">
        <v>0</v>
      </c>
      <c r="R527" s="2" t="inlineStr"/>
    </row>
    <row r="528" ht="15" customHeight="1">
      <c r="A528" t="inlineStr">
        <is>
          <t>A 58250-2024</t>
        </is>
      </c>
      <c r="B528" s="1" t="n">
        <v>45632.55643518519</v>
      </c>
      <c r="C528" s="1" t="n">
        <v>46072</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48722-2025</t>
        </is>
      </c>
      <c r="B529" s="1" t="n">
        <v>45935</v>
      </c>
      <c r="C529" s="1" t="n">
        <v>46072</v>
      </c>
      <c r="D529" t="inlineStr">
        <is>
          <t>SKÅNE LÄN</t>
        </is>
      </c>
      <c r="E529" t="inlineStr">
        <is>
          <t>HÄSSLEHOLM</t>
        </is>
      </c>
      <c r="G529" t="n">
        <v>4.3</v>
      </c>
      <c r="H529" t="n">
        <v>0</v>
      </c>
      <c r="I529" t="n">
        <v>0</v>
      </c>
      <c r="J529" t="n">
        <v>0</v>
      </c>
      <c r="K529" t="n">
        <v>0</v>
      </c>
      <c r="L529" t="n">
        <v>0</v>
      </c>
      <c r="M529" t="n">
        <v>0</v>
      </c>
      <c r="N529" t="n">
        <v>0</v>
      </c>
      <c r="O529" t="n">
        <v>0</v>
      </c>
      <c r="P529" t="n">
        <v>0</v>
      </c>
      <c r="Q529" t="n">
        <v>0</v>
      </c>
      <c r="R529" s="2" t="inlineStr"/>
    </row>
    <row r="530" ht="15" customHeight="1">
      <c r="A530" t="inlineStr">
        <is>
          <t>A 54671-2022</t>
        </is>
      </c>
      <c r="B530" s="1" t="n">
        <v>44883</v>
      </c>
      <c r="C530" s="1" t="n">
        <v>46072</v>
      </c>
      <c r="D530" t="inlineStr">
        <is>
          <t>SKÅNE LÄN</t>
        </is>
      </c>
      <c r="E530" t="inlineStr">
        <is>
          <t>HÄSSLEHOLM</t>
        </is>
      </c>
      <c r="G530" t="n">
        <v>1.4</v>
      </c>
      <c r="H530" t="n">
        <v>0</v>
      </c>
      <c r="I530" t="n">
        <v>0</v>
      </c>
      <c r="J530" t="n">
        <v>0</v>
      </c>
      <c r="K530" t="n">
        <v>0</v>
      </c>
      <c r="L530" t="n">
        <v>0</v>
      </c>
      <c r="M530" t="n">
        <v>0</v>
      </c>
      <c r="N530" t="n">
        <v>0</v>
      </c>
      <c r="O530" t="n">
        <v>0</v>
      </c>
      <c r="P530" t="n">
        <v>0</v>
      </c>
      <c r="Q530" t="n">
        <v>0</v>
      </c>
      <c r="R530" s="2" t="inlineStr"/>
    </row>
    <row r="531" ht="15" customHeight="1">
      <c r="A531" t="inlineStr">
        <is>
          <t>A 40739-2024</t>
        </is>
      </c>
      <c r="B531" s="1" t="n">
        <v>45558</v>
      </c>
      <c r="C531" s="1" t="n">
        <v>46072</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32585-2025</t>
        </is>
      </c>
      <c r="B532" s="1" t="n">
        <v>45838.60021990741</v>
      </c>
      <c r="C532" s="1" t="n">
        <v>46072</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32592-2025</t>
        </is>
      </c>
      <c r="B533" s="1" t="n">
        <v>45838.61020833333</v>
      </c>
      <c r="C533" s="1" t="n">
        <v>46072</v>
      </c>
      <c r="D533" t="inlineStr">
        <is>
          <t>SKÅNE LÄN</t>
        </is>
      </c>
      <c r="E533" t="inlineStr">
        <is>
          <t>HÄSSLEHOLM</t>
        </is>
      </c>
      <c r="G533" t="n">
        <v>2.1</v>
      </c>
      <c r="H533" t="n">
        <v>0</v>
      </c>
      <c r="I533" t="n">
        <v>0</v>
      </c>
      <c r="J533" t="n">
        <v>0</v>
      </c>
      <c r="K533" t="n">
        <v>0</v>
      </c>
      <c r="L533" t="n">
        <v>0</v>
      </c>
      <c r="M533" t="n">
        <v>0</v>
      </c>
      <c r="N533" t="n">
        <v>0</v>
      </c>
      <c r="O533" t="n">
        <v>0</v>
      </c>
      <c r="P533" t="n">
        <v>0</v>
      </c>
      <c r="Q533" t="n">
        <v>0</v>
      </c>
      <c r="R533" s="2" t="inlineStr"/>
    </row>
    <row r="534" ht="15" customHeight="1">
      <c r="A534" t="inlineStr">
        <is>
          <t>A 13932-2023</t>
        </is>
      </c>
      <c r="B534" s="1" t="n">
        <v>45008.43935185186</v>
      </c>
      <c r="C534" s="1" t="n">
        <v>46072</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35889-2023</t>
        </is>
      </c>
      <c r="B535" s="1" t="n">
        <v>45148</v>
      </c>
      <c r="C535" s="1" t="n">
        <v>46072</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35894-2023</t>
        </is>
      </c>
      <c r="B536" s="1" t="n">
        <v>45148</v>
      </c>
      <c r="C536" s="1" t="n">
        <v>46072</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45299-2024</t>
        </is>
      </c>
      <c r="B537" s="1" t="n">
        <v>45576.40599537037</v>
      </c>
      <c r="C537" s="1" t="n">
        <v>46072</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25176-2024</t>
        </is>
      </c>
      <c r="B538" s="1" t="n">
        <v>45462.54582175926</v>
      </c>
      <c r="C538" s="1" t="n">
        <v>46072</v>
      </c>
      <c r="D538" t="inlineStr">
        <is>
          <t>SKÅNE LÄN</t>
        </is>
      </c>
      <c r="E538" t="inlineStr">
        <is>
          <t>HÄSSLEHOLM</t>
        </is>
      </c>
      <c r="G538" t="n">
        <v>3.8</v>
      </c>
      <c r="H538" t="n">
        <v>0</v>
      </c>
      <c r="I538" t="n">
        <v>0</v>
      </c>
      <c r="J538" t="n">
        <v>0</v>
      </c>
      <c r="K538" t="n">
        <v>0</v>
      </c>
      <c r="L538" t="n">
        <v>0</v>
      </c>
      <c r="M538" t="n">
        <v>0</v>
      </c>
      <c r="N538" t="n">
        <v>0</v>
      </c>
      <c r="O538" t="n">
        <v>0</v>
      </c>
      <c r="P538" t="n">
        <v>0</v>
      </c>
      <c r="Q538" t="n">
        <v>0</v>
      </c>
      <c r="R538" s="2" t="inlineStr"/>
    </row>
    <row r="539" ht="15" customHeight="1">
      <c r="A539" t="inlineStr">
        <is>
          <t>A 49135-2025</t>
        </is>
      </c>
      <c r="B539" s="1" t="n">
        <v>45938.00990740741</v>
      </c>
      <c r="C539" s="1" t="n">
        <v>46072</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49136-2025</t>
        </is>
      </c>
      <c r="B540" s="1" t="n">
        <v>45938.01277777777</v>
      </c>
      <c r="C540" s="1" t="n">
        <v>46072</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49137-2025</t>
        </is>
      </c>
      <c r="B541" s="1" t="n">
        <v>45938.05672453704</v>
      </c>
      <c r="C541" s="1" t="n">
        <v>46072</v>
      </c>
      <c r="D541" t="inlineStr">
        <is>
          <t>SKÅNE LÄN</t>
        </is>
      </c>
      <c r="E541" t="inlineStr">
        <is>
          <t>HÄSSLEHOLM</t>
        </is>
      </c>
      <c r="G541" t="n">
        <v>1.8</v>
      </c>
      <c r="H541" t="n">
        <v>0</v>
      </c>
      <c r="I541" t="n">
        <v>0</v>
      </c>
      <c r="J541" t="n">
        <v>0</v>
      </c>
      <c r="K541" t="n">
        <v>0</v>
      </c>
      <c r="L541" t="n">
        <v>0</v>
      </c>
      <c r="M541" t="n">
        <v>0</v>
      </c>
      <c r="N541" t="n">
        <v>0</v>
      </c>
      <c r="O541" t="n">
        <v>0</v>
      </c>
      <c r="P541" t="n">
        <v>0</v>
      </c>
      <c r="Q541" t="n">
        <v>0</v>
      </c>
      <c r="R541" s="2" t="inlineStr"/>
    </row>
    <row r="542" ht="15" customHeight="1">
      <c r="A542" t="inlineStr">
        <is>
          <t>A 44741-2023</t>
        </is>
      </c>
      <c r="B542" s="1" t="n">
        <v>45190.38804398148</v>
      </c>
      <c r="C542" s="1" t="n">
        <v>46072</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7476-2025</t>
        </is>
      </c>
      <c r="B543" s="1" t="n">
        <v>45702</v>
      </c>
      <c r="C543" s="1" t="n">
        <v>46072</v>
      </c>
      <c r="D543" t="inlineStr">
        <is>
          <t>SKÅNE LÄN</t>
        </is>
      </c>
      <c r="E543" t="inlineStr">
        <is>
          <t>HÄSSLEHOLM</t>
        </is>
      </c>
      <c r="F543" t="inlineStr">
        <is>
          <t>Övriga Aktiebolag</t>
        </is>
      </c>
      <c r="G543" t="n">
        <v>2.1</v>
      </c>
      <c r="H543" t="n">
        <v>0</v>
      </c>
      <c r="I543" t="n">
        <v>0</v>
      </c>
      <c r="J543" t="n">
        <v>0</v>
      </c>
      <c r="K543" t="n">
        <v>0</v>
      </c>
      <c r="L543" t="n">
        <v>0</v>
      </c>
      <c r="M543" t="n">
        <v>0</v>
      </c>
      <c r="N543" t="n">
        <v>0</v>
      </c>
      <c r="O543" t="n">
        <v>0</v>
      </c>
      <c r="P543" t="n">
        <v>0</v>
      </c>
      <c r="Q543" t="n">
        <v>0</v>
      </c>
      <c r="R543" s="2" t="inlineStr"/>
    </row>
    <row r="544" ht="15" customHeight="1">
      <c r="A544" t="inlineStr">
        <is>
          <t>A 7513-2025</t>
        </is>
      </c>
      <c r="B544" s="1" t="n">
        <v>45702</v>
      </c>
      <c r="C544" s="1" t="n">
        <v>46072</v>
      </c>
      <c r="D544" t="inlineStr">
        <is>
          <t>SKÅNE LÄN</t>
        </is>
      </c>
      <c r="E544" t="inlineStr">
        <is>
          <t>HÄSSLEHOLM</t>
        </is>
      </c>
      <c r="F544" t="inlineStr">
        <is>
          <t>Övriga Aktiebolag</t>
        </is>
      </c>
      <c r="G544" t="n">
        <v>2.4</v>
      </c>
      <c r="H544" t="n">
        <v>0</v>
      </c>
      <c r="I544" t="n">
        <v>0</v>
      </c>
      <c r="J544" t="n">
        <v>0</v>
      </c>
      <c r="K544" t="n">
        <v>0</v>
      </c>
      <c r="L544" t="n">
        <v>0</v>
      </c>
      <c r="M544" t="n">
        <v>0</v>
      </c>
      <c r="N544" t="n">
        <v>0</v>
      </c>
      <c r="O544" t="n">
        <v>0</v>
      </c>
      <c r="P544" t="n">
        <v>0</v>
      </c>
      <c r="Q544" t="n">
        <v>0</v>
      </c>
      <c r="R544" s="2" t="inlineStr"/>
    </row>
    <row r="545" ht="15" customHeight="1">
      <c r="A545" t="inlineStr">
        <is>
          <t>A 31161-2024</t>
        </is>
      </c>
      <c r="B545" s="1" t="n">
        <v>45503</v>
      </c>
      <c r="C545" s="1" t="n">
        <v>46072</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33562-2025</t>
        </is>
      </c>
      <c r="B546" s="1" t="n">
        <v>45841.57803240741</v>
      </c>
      <c r="C546" s="1" t="n">
        <v>46072</v>
      </c>
      <c r="D546" t="inlineStr">
        <is>
          <t>SKÅNE LÄN</t>
        </is>
      </c>
      <c r="E546" t="inlineStr">
        <is>
          <t>HÄSSLEHOLM</t>
        </is>
      </c>
      <c r="G546" t="n">
        <v>2.8</v>
      </c>
      <c r="H546" t="n">
        <v>0</v>
      </c>
      <c r="I546" t="n">
        <v>0</v>
      </c>
      <c r="J546" t="n">
        <v>0</v>
      </c>
      <c r="K546" t="n">
        <v>0</v>
      </c>
      <c r="L546" t="n">
        <v>0</v>
      </c>
      <c r="M546" t="n">
        <v>0</v>
      </c>
      <c r="N546" t="n">
        <v>0</v>
      </c>
      <c r="O546" t="n">
        <v>0</v>
      </c>
      <c r="P546" t="n">
        <v>0</v>
      </c>
      <c r="Q546" t="n">
        <v>0</v>
      </c>
      <c r="R546" s="2" t="inlineStr"/>
    </row>
    <row r="547" ht="15" customHeight="1">
      <c r="A547" t="inlineStr">
        <is>
          <t>A 22157-2024</t>
        </is>
      </c>
      <c r="B547" s="1" t="n">
        <v>45445.85290509259</v>
      </c>
      <c r="C547" s="1" t="n">
        <v>46072</v>
      </c>
      <c r="D547" t="inlineStr">
        <is>
          <t>SKÅNE LÄN</t>
        </is>
      </c>
      <c r="E547" t="inlineStr">
        <is>
          <t>HÄSSLEHOLM</t>
        </is>
      </c>
      <c r="G547" t="n">
        <v>1</v>
      </c>
      <c r="H547" t="n">
        <v>0</v>
      </c>
      <c r="I547" t="n">
        <v>0</v>
      </c>
      <c r="J547" t="n">
        <v>0</v>
      </c>
      <c r="K547" t="n">
        <v>0</v>
      </c>
      <c r="L547" t="n">
        <v>0</v>
      </c>
      <c r="M547" t="n">
        <v>0</v>
      </c>
      <c r="N547" t="n">
        <v>0</v>
      </c>
      <c r="O547" t="n">
        <v>0</v>
      </c>
      <c r="P547" t="n">
        <v>0</v>
      </c>
      <c r="Q547" t="n">
        <v>0</v>
      </c>
      <c r="R547" s="2" t="inlineStr"/>
    </row>
    <row r="548" ht="15" customHeight="1">
      <c r="A548" t="inlineStr">
        <is>
          <t>A 13316-2023</t>
        </is>
      </c>
      <c r="B548" s="1" t="n">
        <v>45005.39013888889</v>
      </c>
      <c r="C548" s="1" t="n">
        <v>46072</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13358-2023</t>
        </is>
      </c>
      <c r="B549" s="1" t="n">
        <v>45005</v>
      </c>
      <c r="C549" s="1" t="n">
        <v>46072</v>
      </c>
      <c r="D549" t="inlineStr">
        <is>
          <t>SKÅNE LÄN</t>
        </is>
      </c>
      <c r="E549" t="inlineStr">
        <is>
          <t>HÄSSLEHOLM</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3245-2022</t>
        </is>
      </c>
      <c r="B550" s="1" t="n">
        <v>44583.39136574074</v>
      </c>
      <c r="C550" s="1" t="n">
        <v>46072</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38228-2021</t>
        </is>
      </c>
      <c r="B551" s="1" t="n">
        <v>44405</v>
      </c>
      <c r="C551" s="1" t="n">
        <v>46072</v>
      </c>
      <c r="D551" t="inlineStr">
        <is>
          <t>SKÅNE LÄN</t>
        </is>
      </c>
      <c r="E551" t="inlineStr">
        <is>
          <t>HÄSSLEHOLM</t>
        </is>
      </c>
      <c r="G551" t="n">
        <v>2.8</v>
      </c>
      <c r="H551" t="n">
        <v>0</v>
      </c>
      <c r="I551" t="n">
        <v>0</v>
      </c>
      <c r="J551" t="n">
        <v>0</v>
      </c>
      <c r="K551" t="n">
        <v>0</v>
      </c>
      <c r="L551" t="n">
        <v>0</v>
      </c>
      <c r="M551" t="n">
        <v>0</v>
      </c>
      <c r="N551" t="n">
        <v>0</v>
      </c>
      <c r="O551" t="n">
        <v>0</v>
      </c>
      <c r="P551" t="n">
        <v>0</v>
      </c>
      <c r="Q551" t="n">
        <v>0</v>
      </c>
      <c r="R551" s="2" t="inlineStr"/>
    </row>
    <row r="552" ht="15" customHeight="1">
      <c r="A552" t="inlineStr">
        <is>
          <t>A 33875-2025</t>
        </is>
      </c>
      <c r="B552" s="1" t="n">
        <v>45842.55300925926</v>
      </c>
      <c r="C552" s="1" t="n">
        <v>46072</v>
      </c>
      <c r="D552" t="inlineStr">
        <is>
          <t>SKÅNE LÄN</t>
        </is>
      </c>
      <c r="E552" t="inlineStr">
        <is>
          <t>HÄSSLEHOLM</t>
        </is>
      </c>
      <c r="G552" t="n">
        <v>1.9</v>
      </c>
      <c r="H552" t="n">
        <v>0</v>
      </c>
      <c r="I552" t="n">
        <v>0</v>
      </c>
      <c r="J552" t="n">
        <v>0</v>
      </c>
      <c r="K552" t="n">
        <v>0</v>
      </c>
      <c r="L552" t="n">
        <v>0</v>
      </c>
      <c r="M552" t="n">
        <v>0</v>
      </c>
      <c r="N552" t="n">
        <v>0</v>
      </c>
      <c r="O552" t="n">
        <v>0</v>
      </c>
      <c r="P552" t="n">
        <v>0</v>
      </c>
      <c r="Q552" t="n">
        <v>0</v>
      </c>
      <c r="R552" s="2" t="inlineStr"/>
    </row>
    <row r="553" ht="15" customHeight="1">
      <c r="A553" t="inlineStr">
        <is>
          <t>A 3248-2022</t>
        </is>
      </c>
      <c r="B553" s="1" t="n">
        <v>44583</v>
      </c>
      <c r="C553" s="1" t="n">
        <v>46072</v>
      </c>
      <c r="D553" t="inlineStr">
        <is>
          <t>SKÅNE LÄN</t>
        </is>
      </c>
      <c r="E553" t="inlineStr">
        <is>
          <t>HÄSSLEHOLM</t>
        </is>
      </c>
      <c r="G553" t="n">
        <v>3</v>
      </c>
      <c r="H553" t="n">
        <v>0</v>
      </c>
      <c r="I553" t="n">
        <v>0</v>
      </c>
      <c r="J553" t="n">
        <v>0</v>
      </c>
      <c r="K553" t="n">
        <v>0</v>
      </c>
      <c r="L553" t="n">
        <v>0</v>
      </c>
      <c r="M553" t="n">
        <v>0</v>
      </c>
      <c r="N553" t="n">
        <v>0</v>
      </c>
      <c r="O553" t="n">
        <v>0</v>
      </c>
      <c r="P553" t="n">
        <v>0</v>
      </c>
      <c r="Q553" t="n">
        <v>0</v>
      </c>
      <c r="R553" s="2" t="inlineStr"/>
    </row>
    <row r="554" ht="15" customHeight="1">
      <c r="A554" t="inlineStr">
        <is>
          <t>A 33877-2025</t>
        </is>
      </c>
      <c r="B554" s="1" t="n">
        <v>45842.55564814815</v>
      </c>
      <c r="C554" s="1" t="n">
        <v>46072</v>
      </c>
      <c r="D554" t="inlineStr">
        <is>
          <t>SKÅNE LÄN</t>
        </is>
      </c>
      <c r="E554" t="inlineStr">
        <is>
          <t>HÄSSLEHOLM</t>
        </is>
      </c>
      <c r="G554" t="n">
        <v>3.9</v>
      </c>
      <c r="H554" t="n">
        <v>0</v>
      </c>
      <c r="I554" t="n">
        <v>0</v>
      </c>
      <c r="J554" t="n">
        <v>0</v>
      </c>
      <c r="K554" t="n">
        <v>0</v>
      </c>
      <c r="L554" t="n">
        <v>0</v>
      </c>
      <c r="M554" t="n">
        <v>0</v>
      </c>
      <c r="N554" t="n">
        <v>0</v>
      </c>
      <c r="O554" t="n">
        <v>0</v>
      </c>
      <c r="P554" t="n">
        <v>0</v>
      </c>
      <c r="Q554" t="n">
        <v>0</v>
      </c>
      <c r="R554" s="2" t="inlineStr"/>
    </row>
    <row r="555" ht="15" customHeight="1">
      <c r="A555" t="inlineStr">
        <is>
          <t>A 33879-2025</t>
        </is>
      </c>
      <c r="B555" s="1" t="n">
        <v>45842.55766203703</v>
      </c>
      <c r="C555" s="1" t="n">
        <v>46072</v>
      </c>
      <c r="D555" t="inlineStr">
        <is>
          <t>SKÅNE LÄN</t>
        </is>
      </c>
      <c r="E555" t="inlineStr">
        <is>
          <t>HÄSSLEHOLM</t>
        </is>
      </c>
      <c r="G555" t="n">
        <v>6.1</v>
      </c>
      <c r="H555" t="n">
        <v>0</v>
      </c>
      <c r="I555" t="n">
        <v>0</v>
      </c>
      <c r="J555" t="n">
        <v>0</v>
      </c>
      <c r="K555" t="n">
        <v>0</v>
      </c>
      <c r="L555" t="n">
        <v>0</v>
      </c>
      <c r="M555" t="n">
        <v>0</v>
      </c>
      <c r="N555" t="n">
        <v>0</v>
      </c>
      <c r="O555" t="n">
        <v>0</v>
      </c>
      <c r="P555" t="n">
        <v>0</v>
      </c>
      <c r="Q555" t="n">
        <v>0</v>
      </c>
      <c r="R555" s="2" t="inlineStr"/>
    </row>
    <row r="556" ht="15" customHeight="1">
      <c r="A556" t="inlineStr">
        <is>
          <t>A 25538-2024</t>
        </is>
      </c>
      <c r="B556" s="1" t="n">
        <v>45463</v>
      </c>
      <c r="C556" s="1" t="n">
        <v>46072</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33948-2025</t>
        </is>
      </c>
      <c r="B557" s="1" t="n">
        <v>45842.65945601852</v>
      </c>
      <c r="C557" s="1" t="n">
        <v>46072</v>
      </c>
      <c r="D557" t="inlineStr">
        <is>
          <t>SKÅNE LÄN</t>
        </is>
      </c>
      <c r="E557" t="inlineStr">
        <is>
          <t>HÄSSLEHOLM</t>
        </is>
      </c>
      <c r="G557" t="n">
        <v>8.5</v>
      </c>
      <c r="H557" t="n">
        <v>0</v>
      </c>
      <c r="I557" t="n">
        <v>0</v>
      </c>
      <c r="J557" t="n">
        <v>0</v>
      </c>
      <c r="K557" t="n">
        <v>0</v>
      </c>
      <c r="L557" t="n">
        <v>0</v>
      </c>
      <c r="M557" t="n">
        <v>0</v>
      </c>
      <c r="N557" t="n">
        <v>0</v>
      </c>
      <c r="O557" t="n">
        <v>0</v>
      </c>
      <c r="P557" t="n">
        <v>0</v>
      </c>
      <c r="Q557" t="n">
        <v>0</v>
      </c>
      <c r="R557" s="2" t="inlineStr"/>
    </row>
    <row r="558" ht="15" customHeight="1">
      <c r="A558" t="inlineStr">
        <is>
          <t>A 22678-2025</t>
        </is>
      </c>
      <c r="B558" s="1" t="n">
        <v>45789.49725694444</v>
      </c>
      <c r="C558" s="1" t="n">
        <v>46072</v>
      </c>
      <c r="D558" t="inlineStr">
        <is>
          <t>SKÅNE LÄN</t>
        </is>
      </c>
      <c r="E558" t="inlineStr">
        <is>
          <t>HÄSSLEHOLM</t>
        </is>
      </c>
      <c r="G558" t="n">
        <v>2.2</v>
      </c>
      <c r="H558" t="n">
        <v>0</v>
      </c>
      <c r="I558" t="n">
        <v>0</v>
      </c>
      <c r="J558" t="n">
        <v>0</v>
      </c>
      <c r="K558" t="n">
        <v>0</v>
      </c>
      <c r="L558" t="n">
        <v>0</v>
      </c>
      <c r="M558" t="n">
        <v>0</v>
      </c>
      <c r="N558" t="n">
        <v>0</v>
      </c>
      <c r="O558" t="n">
        <v>0</v>
      </c>
      <c r="P558" t="n">
        <v>0</v>
      </c>
      <c r="Q558" t="n">
        <v>0</v>
      </c>
      <c r="R558" s="2" t="inlineStr"/>
    </row>
    <row r="559" ht="15" customHeight="1">
      <c r="A559" t="inlineStr">
        <is>
          <t>A 36733-2023</t>
        </is>
      </c>
      <c r="B559" s="1" t="n">
        <v>45153.69989583334</v>
      </c>
      <c r="C559" s="1" t="n">
        <v>46072</v>
      </c>
      <c r="D559" t="inlineStr">
        <is>
          <t>SKÅNE LÄN</t>
        </is>
      </c>
      <c r="E559" t="inlineStr">
        <is>
          <t>HÄSSLEHOLM</t>
        </is>
      </c>
      <c r="G559" t="n">
        <v>4.8</v>
      </c>
      <c r="H559" t="n">
        <v>0</v>
      </c>
      <c r="I559" t="n">
        <v>0</v>
      </c>
      <c r="J559" t="n">
        <v>0</v>
      </c>
      <c r="K559" t="n">
        <v>0</v>
      </c>
      <c r="L559" t="n">
        <v>0</v>
      </c>
      <c r="M559" t="n">
        <v>0</v>
      </c>
      <c r="N559" t="n">
        <v>0</v>
      </c>
      <c r="O559" t="n">
        <v>0</v>
      </c>
      <c r="P559" t="n">
        <v>0</v>
      </c>
      <c r="Q559" t="n">
        <v>0</v>
      </c>
      <c r="R559" s="2" t="inlineStr"/>
    </row>
    <row r="560" ht="15" customHeight="1">
      <c r="A560" t="inlineStr">
        <is>
          <t>A 32958-2023</t>
        </is>
      </c>
      <c r="B560" s="1" t="n">
        <v>45125.52142361111</v>
      </c>
      <c r="C560" s="1" t="n">
        <v>46072</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60509-2023</t>
        </is>
      </c>
      <c r="B561" s="1" t="n">
        <v>45259</v>
      </c>
      <c r="C561" s="1" t="n">
        <v>46072</v>
      </c>
      <c r="D561" t="inlineStr">
        <is>
          <t>SKÅNE LÄN</t>
        </is>
      </c>
      <c r="E561" t="inlineStr">
        <is>
          <t>HÄSSLEHOLM</t>
        </is>
      </c>
      <c r="F561" t="inlineStr">
        <is>
          <t>Övriga Aktiebolag</t>
        </is>
      </c>
      <c r="G561" t="n">
        <v>0.5</v>
      </c>
      <c r="H561" t="n">
        <v>0</v>
      </c>
      <c r="I561" t="n">
        <v>0</v>
      </c>
      <c r="J561" t="n">
        <v>0</v>
      </c>
      <c r="K561" t="n">
        <v>0</v>
      </c>
      <c r="L561" t="n">
        <v>0</v>
      </c>
      <c r="M561" t="n">
        <v>0</v>
      </c>
      <c r="N561" t="n">
        <v>0</v>
      </c>
      <c r="O561" t="n">
        <v>0</v>
      </c>
      <c r="P561" t="n">
        <v>0</v>
      </c>
      <c r="Q561" t="n">
        <v>0</v>
      </c>
      <c r="R561" s="2" t="inlineStr"/>
    </row>
    <row r="562" ht="15" customHeight="1">
      <c r="A562" t="inlineStr">
        <is>
          <t>A 49845-2025</t>
        </is>
      </c>
      <c r="B562" s="1" t="n">
        <v>45940.48015046296</v>
      </c>
      <c r="C562" s="1" t="n">
        <v>46072</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34174-2025</t>
        </is>
      </c>
      <c r="B563" s="1" t="n">
        <v>45844</v>
      </c>
      <c r="C563" s="1" t="n">
        <v>46072</v>
      </c>
      <c r="D563" t="inlineStr">
        <is>
          <t>SKÅNE LÄN</t>
        </is>
      </c>
      <c r="E563" t="inlineStr">
        <is>
          <t>HÄSSLEHOLM</t>
        </is>
      </c>
      <c r="G563" t="n">
        <v>4.7</v>
      </c>
      <c r="H563" t="n">
        <v>0</v>
      </c>
      <c r="I563" t="n">
        <v>0</v>
      </c>
      <c r="J563" t="n">
        <v>0</v>
      </c>
      <c r="K563" t="n">
        <v>0</v>
      </c>
      <c r="L563" t="n">
        <v>0</v>
      </c>
      <c r="M563" t="n">
        <v>0</v>
      </c>
      <c r="N563" t="n">
        <v>0</v>
      </c>
      <c r="O563" t="n">
        <v>0</v>
      </c>
      <c r="P563" t="n">
        <v>0</v>
      </c>
      <c r="Q563" t="n">
        <v>0</v>
      </c>
      <c r="R563" s="2" t="inlineStr"/>
    </row>
    <row r="564" ht="15" customHeight="1">
      <c r="A564" t="inlineStr">
        <is>
          <t>A 34177-2025</t>
        </is>
      </c>
      <c r="B564" s="1" t="n">
        <v>45844</v>
      </c>
      <c r="C564" s="1" t="n">
        <v>46072</v>
      </c>
      <c r="D564" t="inlineStr">
        <is>
          <t>SKÅNE LÄN</t>
        </is>
      </c>
      <c r="E564" t="inlineStr">
        <is>
          <t>HÄSSLEHOLM</t>
        </is>
      </c>
      <c r="G564" t="n">
        <v>3</v>
      </c>
      <c r="H564" t="n">
        <v>0</v>
      </c>
      <c r="I564" t="n">
        <v>0</v>
      </c>
      <c r="J564" t="n">
        <v>0</v>
      </c>
      <c r="K564" t="n">
        <v>0</v>
      </c>
      <c r="L564" t="n">
        <v>0</v>
      </c>
      <c r="M564" t="n">
        <v>0</v>
      </c>
      <c r="N564" t="n">
        <v>0</v>
      </c>
      <c r="O564" t="n">
        <v>0</v>
      </c>
      <c r="P564" t="n">
        <v>0</v>
      </c>
      <c r="Q564" t="n">
        <v>0</v>
      </c>
      <c r="R564" s="2" t="inlineStr"/>
    </row>
    <row r="565" ht="15" customHeight="1">
      <c r="A565" t="inlineStr">
        <is>
          <t>A 33950-2025</t>
        </is>
      </c>
      <c r="B565" s="1" t="n">
        <v>45842</v>
      </c>
      <c r="C565" s="1" t="n">
        <v>46072</v>
      </c>
      <c r="D565" t="inlineStr">
        <is>
          <t>SKÅNE LÄN</t>
        </is>
      </c>
      <c r="E565" t="inlineStr">
        <is>
          <t>HÄSSLEHOLM</t>
        </is>
      </c>
      <c r="G565" t="n">
        <v>5.7</v>
      </c>
      <c r="H565" t="n">
        <v>0</v>
      </c>
      <c r="I565" t="n">
        <v>0</v>
      </c>
      <c r="J565" t="n">
        <v>0</v>
      </c>
      <c r="K565" t="n">
        <v>0</v>
      </c>
      <c r="L565" t="n">
        <v>0</v>
      </c>
      <c r="M565" t="n">
        <v>0</v>
      </c>
      <c r="N565" t="n">
        <v>0</v>
      </c>
      <c r="O565" t="n">
        <v>0</v>
      </c>
      <c r="P565" t="n">
        <v>0</v>
      </c>
      <c r="Q565" t="n">
        <v>0</v>
      </c>
      <c r="R565" s="2" t="inlineStr"/>
    </row>
    <row r="566" ht="15" customHeight="1">
      <c r="A566" t="inlineStr">
        <is>
          <t>A 1562-2023</t>
        </is>
      </c>
      <c r="B566" s="1" t="n">
        <v>44937.60450231482</v>
      </c>
      <c r="C566" s="1" t="n">
        <v>46072</v>
      </c>
      <c r="D566" t="inlineStr">
        <is>
          <t>SKÅNE LÄN</t>
        </is>
      </c>
      <c r="E566" t="inlineStr">
        <is>
          <t>HÄSSLEHOLM</t>
        </is>
      </c>
      <c r="G566" t="n">
        <v>2.7</v>
      </c>
      <c r="H566" t="n">
        <v>0</v>
      </c>
      <c r="I566" t="n">
        <v>0</v>
      </c>
      <c r="J566" t="n">
        <v>0</v>
      </c>
      <c r="K566" t="n">
        <v>0</v>
      </c>
      <c r="L566" t="n">
        <v>0</v>
      </c>
      <c r="M566" t="n">
        <v>0</v>
      </c>
      <c r="N566" t="n">
        <v>0</v>
      </c>
      <c r="O566" t="n">
        <v>0</v>
      </c>
      <c r="P566" t="n">
        <v>0</v>
      </c>
      <c r="Q566" t="n">
        <v>0</v>
      </c>
      <c r="R566" s="2" t="inlineStr"/>
    </row>
    <row r="567" ht="15" customHeight="1">
      <c r="A567" t="inlineStr">
        <is>
          <t>A 45220-2023</t>
        </is>
      </c>
      <c r="B567" s="1" t="n">
        <v>45191</v>
      </c>
      <c r="C567" s="1" t="n">
        <v>46072</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32967-2023</t>
        </is>
      </c>
      <c r="B568" s="1" t="n">
        <v>45125</v>
      </c>
      <c r="C568" s="1" t="n">
        <v>46072</v>
      </c>
      <c r="D568" t="inlineStr">
        <is>
          <t>SKÅNE LÄN</t>
        </is>
      </c>
      <c r="E568" t="inlineStr">
        <is>
          <t>HÄSSLEHOLM</t>
        </is>
      </c>
      <c r="G568" t="n">
        <v>1.4</v>
      </c>
      <c r="H568" t="n">
        <v>0</v>
      </c>
      <c r="I568" t="n">
        <v>0</v>
      </c>
      <c r="J568" t="n">
        <v>0</v>
      </c>
      <c r="K568" t="n">
        <v>0</v>
      </c>
      <c r="L568" t="n">
        <v>0</v>
      </c>
      <c r="M568" t="n">
        <v>0</v>
      </c>
      <c r="N568" t="n">
        <v>0</v>
      </c>
      <c r="O568" t="n">
        <v>0</v>
      </c>
      <c r="P568" t="n">
        <v>0</v>
      </c>
      <c r="Q568" t="n">
        <v>0</v>
      </c>
      <c r="R568" s="2" t="inlineStr"/>
    </row>
    <row r="569" ht="15" customHeight="1">
      <c r="A569" t="inlineStr">
        <is>
          <t>A 32968-2023</t>
        </is>
      </c>
      <c r="B569" s="1" t="n">
        <v>45125</v>
      </c>
      <c r="C569" s="1" t="n">
        <v>46072</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10277-2023</t>
        </is>
      </c>
      <c r="B570" s="1" t="n">
        <v>44986</v>
      </c>
      <c r="C570" s="1" t="n">
        <v>46072</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10290-2023</t>
        </is>
      </c>
      <c r="B571" s="1" t="n">
        <v>44986</v>
      </c>
      <c r="C571" s="1" t="n">
        <v>46072</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1886-2025</t>
        </is>
      </c>
      <c r="B572" s="1" t="n">
        <v>45671</v>
      </c>
      <c r="C572" s="1" t="n">
        <v>46072</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15536-2025</t>
        </is>
      </c>
      <c r="B573" s="1" t="n">
        <v>45747</v>
      </c>
      <c r="C573" s="1" t="n">
        <v>46072</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24904-2025</t>
        </is>
      </c>
      <c r="B574" s="1" t="n">
        <v>45799</v>
      </c>
      <c r="C574" s="1" t="n">
        <v>46072</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49824-2024</t>
        </is>
      </c>
      <c r="B575" s="1" t="n">
        <v>45597</v>
      </c>
      <c r="C575" s="1" t="n">
        <v>46072</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35237-2023</t>
        </is>
      </c>
      <c r="B576" s="1" t="n">
        <v>45145.74532407407</v>
      </c>
      <c r="C576" s="1" t="n">
        <v>46072</v>
      </c>
      <c r="D576" t="inlineStr">
        <is>
          <t>SKÅNE LÄN</t>
        </is>
      </c>
      <c r="E576" t="inlineStr">
        <is>
          <t>HÄSSLEHOLM</t>
        </is>
      </c>
      <c r="G576" t="n">
        <v>1.3</v>
      </c>
      <c r="H576" t="n">
        <v>0</v>
      </c>
      <c r="I576" t="n">
        <v>0</v>
      </c>
      <c r="J576" t="n">
        <v>0</v>
      </c>
      <c r="K576" t="n">
        <v>0</v>
      </c>
      <c r="L576" t="n">
        <v>0</v>
      </c>
      <c r="M576" t="n">
        <v>0</v>
      </c>
      <c r="N576" t="n">
        <v>0</v>
      </c>
      <c r="O576" t="n">
        <v>0</v>
      </c>
      <c r="P576" t="n">
        <v>0</v>
      </c>
      <c r="Q576" t="n">
        <v>0</v>
      </c>
      <c r="R576" s="2" t="inlineStr"/>
    </row>
    <row r="577" ht="15" customHeight="1">
      <c r="A577" t="inlineStr">
        <is>
          <t>A 50676-2025</t>
        </is>
      </c>
      <c r="B577" s="1" t="n">
        <v>45945</v>
      </c>
      <c r="C577" s="1" t="n">
        <v>46072</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50678-2025</t>
        </is>
      </c>
      <c r="B578" s="1" t="n">
        <v>45945</v>
      </c>
      <c r="C578" s="1" t="n">
        <v>46072</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34869-2025</t>
        </is>
      </c>
      <c r="B579" s="1" t="n">
        <v>45849</v>
      </c>
      <c r="C579" s="1" t="n">
        <v>46072</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50677-2025</t>
        </is>
      </c>
      <c r="B580" s="1" t="n">
        <v>45945</v>
      </c>
      <c r="C580" s="1" t="n">
        <v>46072</v>
      </c>
      <c r="D580" t="inlineStr">
        <is>
          <t>SKÅNE LÄN</t>
        </is>
      </c>
      <c r="E580" t="inlineStr">
        <is>
          <t>HÄSSLEHOLM</t>
        </is>
      </c>
      <c r="G580" t="n">
        <v>2.3</v>
      </c>
      <c r="H580" t="n">
        <v>0</v>
      </c>
      <c r="I580" t="n">
        <v>0</v>
      </c>
      <c r="J580" t="n">
        <v>0</v>
      </c>
      <c r="K580" t="n">
        <v>0</v>
      </c>
      <c r="L580" t="n">
        <v>0</v>
      </c>
      <c r="M580" t="n">
        <v>0</v>
      </c>
      <c r="N580" t="n">
        <v>0</v>
      </c>
      <c r="O580" t="n">
        <v>0</v>
      </c>
      <c r="P580" t="n">
        <v>0</v>
      </c>
      <c r="Q580" t="n">
        <v>0</v>
      </c>
      <c r="R580" s="2" t="inlineStr"/>
    </row>
    <row r="581" ht="15" customHeight="1">
      <c r="A581" t="inlineStr">
        <is>
          <t>A 50834-2025</t>
        </is>
      </c>
      <c r="B581" s="1" t="n">
        <v>45946.55746527778</v>
      </c>
      <c r="C581" s="1" t="n">
        <v>46072</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51024-2025</t>
        </is>
      </c>
      <c r="B582" s="1" t="n">
        <v>45947.395</v>
      </c>
      <c r="C582" s="1" t="n">
        <v>46072</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50839-2025</t>
        </is>
      </c>
      <c r="B583" s="1" t="n">
        <v>45946</v>
      </c>
      <c r="C583" s="1" t="n">
        <v>46072</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57967-2023</t>
        </is>
      </c>
      <c r="B584" s="1" t="n">
        <v>45247.57984953704</v>
      </c>
      <c r="C584" s="1" t="n">
        <v>46072</v>
      </c>
      <c r="D584" t="inlineStr">
        <is>
          <t>SKÅNE LÄN</t>
        </is>
      </c>
      <c r="E584" t="inlineStr">
        <is>
          <t>HÄSSLEHOLM</t>
        </is>
      </c>
      <c r="G584" t="n">
        <v>8.6</v>
      </c>
      <c r="H584" t="n">
        <v>0</v>
      </c>
      <c r="I584" t="n">
        <v>0</v>
      </c>
      <c r="J584" t="n">
        <v>0</v>
      </c>
      <c r="K584" t="n">
        <v>0</v>
      </c>
      <c r="L584" t="n">
        <v>0</v>
      </c>
      <c r="M584" t="n">
        <v>0</v>
      </c>
      <c r="N584" t="n">
        <v>0</v>
      </c>
      <c r="O584" t="n">
        <v>0</v>
      </c>
      <c r="P584" t="n">
        <v>0</v>
      </c>
      <c r="Q584" t="n">
        <v>0</v>
      </c>
      <c r="R584" s="2" t="inlineStr"/>
    </row>
    <row r="585" ht="15" customHeight="1">
      <c r="A585" t="inlineStr">
        <is>
          <t>A 50829-2025</t>
        </is>
      </c>
      <c r="B585" s="1" t="n">
        <v>45946.55309027778</v>
      </c>
      <c r="C585" s="1" t="n">
        <v>46072</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62041-2022</t>
        </is>
      </c>
      <c r="B586" s="1" t="n">
        <v>44918.55743055556</v>
      </c>
      <c r="C586" s="1" t="n">
        <v>46072</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12468-2024</t>
        </is>
      </c>
      <c r="B587" s="1" t="n">
        <v>45379</v>
      </c>
      <c r="C587" s="1" t="n">
        <v>46072</v>
      </c>
      <c r="D587" t="inlineStr">
        <is>
          <t>SKÅNE LÄN</t>
        </is>
      </c>
      <c r="E587" t="inlineStr">
        <is>
          <t>HÄSSLEHOLM</t>
        </is>
      </c>
      <c r="G587" t="n">
        <v>15.5</v>
      </c>
      <c r="H587" t="n">
        <v>0</v>
      </c>
      <c r="I587" t="n">
        <v>0</v>
      </c>
      <c r="J587" t="n">
        <v>0</v>
      </c>
      <c r="K587" t="n">
        <v>0</v>
      </c>
      <c r="L587" t="n">
        <v>0</v>
      </c>
      <c r="M587" t="n">
        <v>0</v>
      </c>
      <c r="N587" t="n">
        <v>0</v>
      </c>
      <c r="O587" t="n">
        <v>0</v>
      </c>
      <c r="P587" t="n">
        <v>0</v>
      </c>
      <c r="Q587" t="n">
        <v>0</v>
      </c>
      <c r="R587" s="2" t="inlineStr"/>
    </row>
    <row r="588" ht="15" customHeight="1">
      <c r="A588" t="inlineStr">
        <is>
          <t>A 20970-2025</t>
        </is>
      </c>
      <c r="B588" s="1" t="n">
        <v>45777.45417824074</v>
      </c>
      <c r="C588" s="1" t="n">
        <v>46072</v>
      </c>
      <c r="D588" t="inlineStr">
        <is>
          <t>SKÅNE LÄN</t>
        </is>
      </c>
      <c r="E588" t="inlineStr">
        <is>
          <t>HÄSSLEHOLM</t>
        </is>
      </c>
      <c r="G588" t="n">
        <v>2.2</v>
      </c>
      <c r="H588" t="n">
        <v>0</v>
      </c>
      <c r="I588" t="n">
        <v>0</v>
      </c>
      <c r="J588" t="n">
        <v>0</v>
      </c>
      <c r="K588" t="n">
        <v>0</v>
      </c>
      <c r="L588" t="n">
        <v>0</v>
      </c>
      <c r="M588" t="n">
        <v>0</v>
      </c>
      <c r="N588" t="n">
        <v>0</v>
      </c>
      <c r="O588" t="n">
        <v>0</v>
      </c>
      <c r="P588" t="n">
        <v>0</v>
      </c>
      <c r="Q588" t="n">
        <v>0</v>
      </c>
      <c r="R588" s="2" t="inlineStr"/>
    </row>
    <row r="589" ht="15" customHeight="1">
      <c r="A589" t="inlineStr">
        <is>
          <t>A 51097-2025</t>
        </is>
      </c>
      <c r="B589" s="1" t="n">
        <v>45947.48018518519</v>
      </c>
      <c r="C589" s="1" t="n">
        <v>46072</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35259-2025</t>
        </is>
      </c>
      <c r="B590" s="1" t="n">
        <v>45853.76912037037</v>
      </c>
      <c r="C590" s="1" t="n">
        <v>46072</v>
      </c>
      <c r="D590" t="inlineStr">
        <is>
          <t>SKÅNE LÄN</t>
        </is>
      </c>
      <c r="E590" t="inlineStr">
        <is>
          <t>HÄSSLEHOLM</t>
        </is>
      </c>
      <c r="G590" t="n">
        <v>1.9</v>
      </c>
      <c r="H590" t="n">
        <v>0</v>
      </c>
      <c r="I590" t="n">
        <v>0</v>
      </c>
      <c r="J590" t="n">
        <v>0</v>
      </c>
      <c r="K590" t="n">
        <v>0</v>
      </c>
      <c r="L590" t="n">
        <v>0</v>
      </c>
      <c r="M590" t="n">
        <v>0</v>
      </c>
      <c r="N590" t="n">
        <v>0</v>
      </c>
      <c r="O590" t="n">
        <v>0</v>
      </c>
      <c r="P590" t="n">
        <v>0</v>
      </c>
      <c r="Q590" t="n">
        <v>0</v>
      </c>
      <c r="R590" s="2" t="inlineStr"/>
    </row>
    <row r="591" ht="15" customHeight="1">
      <c r="A591" t="inlineStr">
        <is>
          <t>A 1553-2023</t>
        </is>
      </c>
      <c r="B591" s="1" t="n">
        <v>44937</v>
      </c>
      <c r="C591" s="1" t="n">
        <v>46072</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22690-2022</t>
        </is>
      </c>
      <c r="B592" s="1" t="n">
        <v>44714.5421875</v>
      </c>
      <c r="C592" s="1" t="n">
        <v>46072</v>
      </c>
      <c r="D592" t="inlineStr">
        <is>
          <t>SKÅNE LÄN</t>
        </is>
      </c>
      <c r="E592" t="inlineStr">
        <is>
          <t>HÄSSLEHOLM</t>
        </is>
      </c>
      <c r="G592" t="n">
        <v>1.7</v>
      </c>
      <c r="H592" t="n">
        <v>0</v>
      </c>
      <c r="I592" t="n">
        <v>0</v>
      </c>
      <c r="J592" t="n">
        <v>0</v>
      </c>
      <c r="K592" t="n">
        <v>0</v>
      </c>
      <c r="L592" t="n">
        <v>0</v>
      </c>
      <c r="M592" t="n">
        <v>0</v>
      </c>
      <c r="N592" t="n">
        <v>0</v>
      </c>
      <c r="O592" t="n">
        <v>0</v>
      </c>
      <c r="P592" t="n">
        <v>0</v>
      </c>
      <c r="Q592" t="n">
        <v>0</v>
      </c>
      <c r="R592" s="2" t="inlineStr"/>
    </row>
    <row r="593" ht="15" customHeight="1">
      <c r="A593" t="inlineStr">
        <is>
          <t>A 17413-2025</t>
        </is>
      </c>
      <c r="B593" s="1" t="n">
        <v>45757.37480324074</v>
      </c>
      <c r="C593" s="1" t="n">
        <v>46072</v>
      </c>
      <c r="D593" t="inlineStr">
        <is>
          <t>SKÅNE LÄN</t>
        </is>
      </c>
      <c r="E593" t="inlineStr">
        <is>
          <t>HÄSSLEHOLM</t>
        </is>
      </c>
      <c r="G593" t="n">
        <v>0.8</v>
      </c>
      <c r="H593" t="n">
        <v>0</v>
      </c>
      <c r="I593" t="n">
        <v>0</v>
      </c>
      <c r="J593" t="n">
        <v>0</v>
      </c>
      <c r="K593" t="n">
        <v>0</v>
      </c>
      <c r="L593" t="n">
        <v>0</v>
      </c>
      <c r="M593" t="n">
        <v>0</v>
      </c>
      <c r="N593" t="n">
        <v>0</v>
      </c>
      <c r="O593" t="n">
        <v>0</v>
      </c>
      <c r="P593" t="n">
        <v>0</v>
      </c>
      <c r="Q593" t="n">
        <v>0</v>
      </c>
      <c r="R593" s="2" t="inlineStr"/>
    </row>
    <row r="594" ht="15" customHeight="1">
      <c r="A594" t="inlineStr">
        <is>
          <t>A 51597-2025</t>
        </is>
      </c>
      <c r="B594" s="1" t="n">
        <v>45951.37163194444</v>
      </c>
      <c r="C594" s="1" t="n">
        <v>46072</v>
      </c>
      <c r="D594" t="inlineStr">
        <is>
          <t>SKÅNE LÄN</t>
        </is>
      </c>
      <c r="E594" t="inlineStr">
        <is>
          <t>HÄSSLEHOLM</t>
        </is>
      </c>
      <c r="G594" t="n">
        <v>3.5</v>
      </c>
      <c r="H594" t="n">
        <v>0</v>
      </c>
      <c r="I594" t="n">
        <v>0</v>
      </c>
      <c r="J594" t="n">
        <v>0</v>
      </c>
      <c r="K594" t="n">
        <v>0</v>
      </c>
      <c r="L594" t="n">
        <v>0</v>
      </c>
      <c r="M594" t="n">
        <v>0</v>
      </c>
      <c r="N594" t="n">
        <v>0</v>
      </c>
      <c r="O594" t="n">
        <v>0</v>
      </c>
      <c r="P594" t="n">
        <v>0</v>
      </c>
      <c r="Q594" t="n">
        <v>0</v>
      </c>
      <c r="R594" s="2" t="inlineStr"/>
    </row>
    <row r="595" ht="15" customHeight="1">
      <c r="A595" t="inlineStr">
        <is>
          <t>A 53897-2023</t>
        </is>
      </c>
      <c r="B595" s="1" t="n">
        <v>45231.53934027778</v>
      </c>
      <c r="C595" s="1" t="n">
        <v>46072</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1170-2025</t>
        </is>
      </c>
      <c r="B596" s="1" t="n">
        <v>45667.29226851852</v>
      </c>
      <c r="C596" s="1" t="n">
        <v>46072</v>
      </c>
      <c r="D596" t="inlineStr">
        <is>
          <t>SKÅNE LÄN</t>
        </is>
      </c>
      <c r="E596" t="inlineStr">
        <is>
          <t>HÄSSLEHOLM</t>
        </is>
      </c>
      <c r="G596" t="n">
        <v>4.3</v>
      </c>
      <c r="H596" t="n">
        <v>0</v>
      </c>
      <c r="I596" t="n">
        <v>0</v>
      </c>
      <c r="J596" t="n">
        <v>0</v>
      </c>
      <c r="K596" t="n">
        <v>0</v>
      </c>
      <c r="L596" t="n">
        <v>0</v>
      </c>
      <c r="M596" t="n">
        <v>0</v>
      </c>
      <c r="N596" t="n">
        <v>0</v>
      </c>
      <c r="O596" t="n">
        <v>0</v>
      </c>
      <c r="P596" t="n">
        <v>0</v>
      </c>
      <c r="Q596" t="n">
        <v>0</v>
      </c>
      <c r="R596" s="2" t="inlineStr"/>
    </row>
    <row r="597" ht="15" customHeight="1">
      <c r="A597" t="inlineStr">
        <is>
          <t>A 51795-2025</t>
        </is>
      </c>
      <c r="B597" s="1" t="n">
        <v>45951</v>
      </c>
      <c r="C597" s="1" t="n">
        <v>46072</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51796-2025</t>
        </is>
      </c>
      <c r="B598" s="1" t="n">
        <v>45951.74546296296</v>
      </c>
      <c r="C598" s="1" t="n">
        <v>46072</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51640-2025</t>
        </is>
      </c>
      <c r="B599" s="1" t="n">
        <v>45951.44361111111</v>
      </c>
      <c r="C599" s="1" t="n">
        <v>46072</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22132-2024</t>
        </is>
      </c>
      <c r="B600" s="1" t="n">
        <v>45444.37234953704</v>
      </c>
      <c r="C600" s="1" t="n">
        <v>46072</v>
      </c>
      <c r="D600" t="inlineStr">
        <is>
          <t>SKÅNE LÄN</t>
        </is>
      </c>
      <c r="E600" t="inlineStr">
        <is>
          <t>HÄSSLEHOLM</t>
        </is>
      </c>
      <c r="G600" t="n">
        <v>3.1</v>
      </c>
      <c r="H600" t="n">
        <v>0</v>
      </c>
      <c r="I600" t="n">
        <v>0</v>
      </c>
      <c r="J600" t="n">
        <v>0</v>
      </c>
      <c r="K600" t="n">
        <v>0</v>
      </c>
      <c r="L600" t="n">
        <v>0</v>
      </c>
      <c r="M600" t="n">
        <v>0</v>
      </c>
      <c r="N600" t="n">
        <v>0</v>
      </c>
      <c r="O600" t="n">
        <v>0</v>
      </c>
      <c r="P600" t="n">
        <v>0</v>
      </c>
      <c r="Q600" t="n">
        <v>0</v>
      </c>
      <c r="R600" s="2" t="inlineStr"/>
    </row>
    <row r="601" ht="15" customHeight="1">
      <c r="A601" t="inlineStr">
        <is>
          <t>A 32210-2024</t>
        </is>
      </c>
      <c r="B601" s="1" t="n">
        <v>45511.67777777778</v>
      </c>
      <c r="C601" s="1" t="n">
        <v>46072</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2743-2023</t>
        </is>
      </c>
      <c r="B602" s="1" t="n">
        <v>44944</v>
      </c>
      <c r="C602" s="1" t="n">
        <v>46072</v>
      </c>
      <c r="D602" t="inlineStr">
        <is>
          <t>SKÅNE LÄN</t>
        </is>
      </c>
      <c r="E602" t="inlineStr">
        <is>
          <t>HÄSSLEHOLM</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8749-2024</t>
        </is>
      </c>
      <c r="B603" s="1" t="n">
        <v>45356.50387731481</v>
      </c>
      <c r="C603" s="1" t="n">
        <v>46072</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8752-2024</t>
        </is>
      </c>
      <c r="B604" s="1" t="n">
        <v>45356</v>
      </c>
      <c r="C604" s="1" t="n">
        <v>46072</v>
      </c>
      <c r="D604" t="inlineStr">
        <is>
          <t>SKÅNE LÄN</t>
        </is>
      </c>
      <c r="E604" t="inlineStr">
        <is>
          <t>HÄSSLEHOLM</t>
        </is>
      </c>
      <c r="G604" t="n">
        <v>3.4</v>
      </c>
      <c r="H604" t="n">
        <v>0</v>
      </c>
      <c r="I604" t="n">
        <v>0</v>
      </c>
      <c r="J604" t="n">
        <v>0</v>
      </c>
      <c r="K604" t="n">
        <v>0</v>
      </c>
      <c r="L604" t="n">
        <v>0</v>
      </c>
      <c r="M604" t="n">
        <v>0</v>
      </c>
      <c r="N604" t="n">
        <v>0</v>
      </c>
      <c r="O604" t="n">
        <v>0</v>
      </c>
      <c r="P604" t="n">
        <v>0</v>
      </c>
      <c r="Q604" t="n">
        <v>0</v>
      </c>
      <c r="R604" s="2" t="inlineStr"/>
    </row>
    <row r="605" ht="15" customHeight="1">
      <c r="A605" t="inlineStr">
        <is>
          <t>A 8759-2024</t>
        </is>
      </c>
      <c r="B605" s="1" t="n">
        <v>45356.52271990741</v>
      </c>
      <c r="C605" s="1" t="n">
        <v>46072</v>
      </c>
      <c r="D605" t="inlineStr">
        <is>
          <t>SKÅNE LÄN</t>
        </is>
      </c>
      <c r="E605" t="inlineStr">
        <is>
          <t>HÄSSLEHOLM</t>
        </is>
      </c>
      <c r="G605" t="n">
        <v>5.7</v>
      </c>
      <c r="H605" t="n">
        <v>0</v>
      </c>
      <c r="I605" t="n">
        <v>0</v>
      </c>
      <c r="J605" t="n">
        <v>0</v>
      </c>
      <c r="K605" t="n">
        <v>0</v>
      </c>
      <c r="L605" t="n">
        <v>0</v>
      </c>
      <c r="M605" t="n">
        <v>0</v>
      </c>
      <c r="N605" t="n">
        <v>0</v>
      </c>
      <c r="O605" t="n">
        <v>0</v>
      </c>
      <c r="P605" t="n">
        <v>0</v>
      </c>
      <c r="Q605" t="n">
        <v>0</v>
      </c>
      <c r="R605" s="2" t="inlineStr"/>
    </row>
    <row r="606" ht="15" customHeight="1">
      <c r="A606" t="inlineStr">
        <is>
          <t>A 48624-2021</t>
        </is>
      </c>
      <c r="B606" s="1" t="n">
        <v>44452</v>
      </c>
      <c r="C606" s="1" t="n">
        <v>46072</v>
      </c>
      <c r="D606" t="inlineStr">
        <is>
          <t>SKÅNE LÄN</t>
        </is>
      </c>
      <c r="E606" t="inlineStr">
        <is>
          <t>HÄSSLEHOLM</t>
        </is>
      </c>
      <c r="G606" t="n">
        <v>2.2</v>
      </c>
      <c r="H606" t="n">
        <v>0</v>
      </c>
      <c r="I606" t="n">
        <v>0</v>
      </c>
      <c r="J606" t="n">
        <v>0</v>
      </c>
      <c r="K606" t="n">
        <v>0</v>
      </c>
      <c r="L606" t="n">
        <v>0</v>
      </c>
      <c r="M606" t="n">
        <v>0</v>
      </c>
      <c r="N606" t="n">
        <v>0</v>
      </c>
      <c r="O606" t="n">
        <v>0</v>
      </c>
      <c r="P606" t="n">
        <v>0</v>
      </c>
      <c r="Q606" t="n">
        <v>0</v>
      </c>
      <c r="R606" s="2" t="inlineStr"/>
    </row>
    <row r="607" ht="15" customHeight="1">
      <c r="A607" t="inlineStr">
        <is>
          <t>A 52126-2025</t>
        </is>
      </c>
      <c r="B607" s="1" t="n">
        <v>45952.72109953704</v>
      </c>
      <c r="C607" s="1" t="n">
        <v>46072</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59434-2023</t>
        </is>
      </c>
      <c r="B608" s="1" t="n">
        <v>45254.30440972222</v>
      </c>
      <c r="C608" s="1" t="n">
        <v>46072</v>
      </c>
      <c r="D608" t="inlineStr">
        <is>
          <t>SKÅNE LÄN</t>
        </is>
      </c>
      <c r="E608" t="inlineStr">
        <is>
          <t>HÄSSLEHOLM</t>
        </is>
      </c>
      <c r="G608" t="n">
        <v>3.6</v>
      </c>
      <c r="H608" t="n">
        <v>0</v>
      </c>
      <c r="I608" t="n">
        <v>0</v>
      </c>
      <c r="J608" t="n">
        <v>0</v>
      </c>
      <c r="K608" t="n">
        <v>0</v>
      </c>
      <c r="L608" t="n">
        <v>0</v>
      </c>
      <c r="M608" t="n">
        <v>0</v>
      </c>
      <c r="N608" t="n">
        <v>0</v>
      </c>
      <c r="O608" t="n">
        <v>0</v>
      </c>
      <c r="P608" t="n">
        <v>0</v>
      </c>
      <c r="Q608" t="n">
        <v>0</v>
      </c>
      <c r="R608" s="2" t="inlineStr"/>
    </row>
    <row r="609" ht="15" customHeight="1">
      <c r="A609" t="inlineStr">
        <is>
          <t>A 36259-2025</t>
        </is>
      </c>
      <c r="B609" s="1" t="n">
        <v>45867.59799768519</v>
      </c>
      <c r="C609" s="1" t="n">
        <v>46072</v>
      </c>
      <c r="D609" t="inlineStr">
        <is>
          <t>SKÅNE LÄN</t>
        </is>
      </c>
      <c r="E609" t="inlineStr">
        <is>
          <t>HÄSSLEHOLM</t>
        </is>
      </c>
      <c r="G609" t="n">
        <v>1</v>
      </c>
      <c r="H609" t="n">
        <v>0</v>
      </c>
      <c r="I609" t="n">
        <v>0</v>
      </c>
      <c r="J609" t="n">
        <v>0</v>
      </c>
      <c r="K609" t="n">
        <v>0</v>
      </c>
      <c r="L609" t="n">
        <v>0</v>
      </c>
      <c r="M609" t="n">
        <v>0</v>
      </c>
      <c r="N609" t="n">
        <v>0</v>
      </c>
      <c r="O609" t="n">
        <v>0</v>
      </c>
      <c r="P609" t="n">
        <v>0</v>
      </c>
      <c r="Q609" t="n">
        <v>0</v>
      </c>
      <c r="R609" s="2" t="inlineStr"/>
    </row>
    <row r="610" ht="15" customHeight="1">
      <c r="A610" t="inlineStr">
        <is>
          <t>A 2290-2024</t>
        </is>
      </c>
      <c r="B610" s="1" t="n">
        <v>45310</v>
      </c>
      <c r="C610" s="1" t="n">
        <v>46072</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36130-2025</t>
        </is>
      </c>
      <c r="B611" s="1" t="n">
        <v>45866.62273148148</v>
      </c>
      <c r="C611" s="1" t="n">
        <v>46072</v>
      </c>
      <c r="D611" t="inlineStr">
        <is>
          <t>SKÅNE LÄN</t>
        </is>
      </c>
      <c r="E611" t="inlineStr">
        <is>
          <t>HÄSSLEHOLM</t>
        </is>
      </c>
      <c r="G611" t="n">
        <v>4.7</v>
      </c>
      <c r="H611" t="n">
        <v>0</v>
      </c>
      <c r="I611" t="n">
        <v>0</v>
      </c>
      <c r="J611" t="n">
        <v>0</v>
      </c>
      <c r="K611" t="n">
        <v>0</v>
      </c>
      <c r="L611" t="n">
        <v>0</v>
      </c>
      <c r="M611" t="n">
        <v>0</v>
      </c>
      <c r="N611" t="n">
        <v>0</v>
      </c>
      <c r="O611" t="n">
        <v>0</v>
      </c>
      <c r="P611" t="n">
        <v>0</v>
      </c>
      <c r="Q611" t="n">
        <v>0</v>
      </c>
      <c r="R611" s="2" t="inlineStr"/>
    </row>
    <row r="612" ht="15" customHeight="1">
      <c r="A612" t="inlineStr">
        <is>
          <t>A 33067-2024</t>
        </is>
      </c>
      <c r="B612" s="1" t="n">
        <v>45517.6520949074</v>
      </c>
      <c r="C612" s="1" t="n">
        <v>46072</v>
      </c>
      <c r="D612" t="inlineStr">
        <is>
          <t>SKÅNE LÄN</t>
        </is>
      </c>
      <c r="E612" t="inlineStr">
        <is>
          <t>HÄSSLEHOLM</t>
        </is>
      </c>
      <c r="G612" t="n">
        <v>0.4</v>
      </c>
      <c r="H612" t="n">
        <v>0</v>
      </c>
      <c r="I612" t="n">
        <v>0</v>
      </c>
      <c r="J612" t="n">
        <v>0</v>
      </c>
      <c r="K612" t="n">
        <v>0</v>
      </c>
      <c r="L612" t="n">
        <v>0</v>
      </c>
      <c r="M612" t="n">
        <v>0</v>
      </c>
      <c r="N612" t="n">
        <v>0</v>
      </c>
      <c r="O612" t="n">
        <v>0</v>
      </c>
      <c r="P612" t="n">
        <v>0</v>
      </c>
      <c r="Q612" t="n">
        <v>0</v>
      </c>
      <c r="R612" s="2" t="inlineStr"/>
    </row>
    <row r="613" ht="15" customHeight="1">
      <c r="A613" t="inlineStr">
        <is>
          <t>A 19666-2025</t>
        </is>
      </c>
      <c r="B613" s="1" t="n">
        <v>45770.69326388889</v>
      </c>
      <c r="C613" s="1" t="n">
        <v>46072</v>
      </c>
      <c r="D613" t="inlineStr">
        <is>
          <t>SKÅNE LÄN</t>
        </is>
      </c>
      <c r="E613" t="inlineStr">
        <is>
          <t>HÄSSLEHOLM</t>
        </is>
      </c>
      <c r="G613" t="n">
        <v>2.4</v>
      </c>
      <c r="H613" t="n">
        <v>0</v>
      </c>
      <c r="I613" t="n">
        <v>0</v>
      </c>
      <c r="J613" t="n">
        <v>0</v>
      </c>
      <c r="K613" t="n">
        <v>0</v>
      </c>
      <c r="L613" t="n">
        <v>0</v>
      </c>
      <c r="M613" t="n">
        <v>0</v>
      </c>
      <c r="N613" t="n">
        <v>0</v>
      </c>
      <c r="O613" t="n">
        <v>0</v>
      </c>
      <c r="P613" t="n">
        <v>0</v>
      </c>
      <c r="Q613" t="n">
        <v>0</v>
      </c>
      <c r="R613" s="2" t="inlineStr"/>
    </row>
    <row r="614" ht="15" customHeight="1">
      <c r="A614" t="inlineStr">
        <is>
          <t>A 28236-2022</t>
        </is>
      </c>
      <c r="B614" s="1" t="n">
        <v>44746</v>
      </c>
      <c r="C614" s="1" t="n">
        <v>46072</v>
      </c>
      <c r="D614" t="inlineStr">
        <is>
          <t>SKÅNE LÄN</t>
        </is>
      </c>
      <c r="E614" t="inlineStr">
        <is>
          <t>HÄSSLEHOLM</t>
        </is>
      </c>
      <c r="G614" t="n">
        <v>3.5</v>
      </c>
      <c r="H614" t="n">
        <v>0</v>
      </c>
      <c r="I614" t="n">
        <v>0</v>
      </c>
      <c r="J614" t="n">
        <v>0</v>
      </c>
      <c r="K614" t="n">
        <v>0</v>
      </c>
      <c r="L614" t="n">
        <v>0</v>
      </c>
      <c r="M614" t="n">
        <v>0</v>
      </c>
      <c r="N614" t="n">
        <v>0</v>
      </c>
      <c r="O614" t="n">
        <v>0</v>
      </c>
      <c r="P614" t="n">
        <v>0</v>
      </c>
      <c r="Q614" t="n">
        <v>0</v>
      </c>
      <c r="R614" s="2" t="inlineStr"/>
    </row>
    <row r="615" ht="15" customHeight="1">
      <c r="A615" t="inlineStr">
        <is>
          <t>A 36359-2025</t>
        </is>
      </c>
      <c r="B615" s="1" t="n">
        <v>45867</v>
      </c>
      <c r="C615" s="1" t="n">
        <v>46072</v>
      </c>
      <c r="D615" t="inlineStr">
        <is>
          <t>SKÅNE LÄN</t>
        </is>
      </c>
      <c r="E615" t="inlineStr">
        <is>
          <t>HÄSSLEHOLM</t>
        </is>
      </c>
      <c r="G615" t="n">
        <v>2.2</v>
      </c>
      <c r="H615" t="n">
        <v>0</v>
      </c>
      <c r="I615" t="n">
        <v>0</v>
      </c>
      <c r="J615" t="n">
        <v>0</v>
      </c>
      <c r="K615" t="n">
        <v>0</v>
      </c>
      <c r="L615" t="n">
        <v>0</v>
      </c>
      <c r="M615" t="n">
        <v>0</v>
      </c>
      <c r="N615" t="n">
        <v>0</v>
      </c>
      <c r="O615" t="n">
        <v>0</v>
      </c>
      <c r="P615" t="n">
        <v>0</v>
      </c>
      <c r="Q615" t="n">
        <v>0</v>
      </c>
      <c r="R615" s="2" t="inlineStr"/>
    </row>
    <row r="616" ht="15" customHeight="1">
      <c r="A616" t="inlineStr">
        <is>
          <t>A 36361-2025</t>
        </is>
      </c>
      <c r="B616" s="1" t="n">
        <v>45867</v>
      </c>
      <c r="C616" s="1" t="n">
        <v>46072</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36085-2025</t>
        </is>
      </c>
      <c r="B617" s="1" t="n">
        <v>45866.46190972222</v>
      </c>
      <c r="C617" s="1" t="n">
        <v>46072</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61625-2022</t>
        </is>
      </c>
      <c r="B618" s="1" t="n">
        <v>44916</v>
      </c>
      <c r="C618" s="1" t="n">
        <v>46072</v>
      </c>
      <c r="D618" t="inlineStr">
        <is>
          <t>SKÅNE LÄN</t>
        </is>
      </c>
      <c r="E618" t="inlineStr">
        <is>
          <t>HÄSSLEHOLM</t>
        </is>
      </c>
      <c r="G618" t="n">
        <v>2.4</v>
      </c>
      <c r="H618" t="n">
        <v>0</v>
      </c>
      <c r="I618" t="n">
        <v>0</v>
      </c>
      <c r="J618" t="n">
        <v>0</v>
      </c>
      <c r="K618" t="n">
        <v>0</v>
      </c>
      <c r="L618" t="n">
        <v>0</v>
      </c>
      <c r="M618" t="n">
        <v>0</v>
      </c>
      <c r="N618" t="n">
        <v>0</v>
      </c>
      <c r="O618" t="n">
        <v>0</v>
      </c>
      <c r="P618" t="n">
        <v>0</v>
      </c>
      <c r="Q618" t="n">
        <v>0</v>
      </c>
      <c r="R618" s="2" t="inlineStr"/>
    </row>
    <row r="619" ht="15" customHeight="1">
      <c r="A619" t="inlineStr">
        <is>
          <t>A 38829-2024</t>
        </is>
      </c>
      <c r="B619" s="1" t="n">
        <v>45547.57247685185</v>
      </c>
      <c r="C619" s="1" t="n">
        <v>46072</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36358-2025</t>
        </is>
      </c>
      <c r="B620" s="1" t="n">
        <v>45867</v>
      </c>
      <c r="C620" s="1" t="n">
        <v>46072</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13890-2024</t>
        </is>
      </c>
      <c r="B621" s="1" t="n">
        <v>45391</v>
      </c>
      <c r="C621" s="1" t="n">
        <v>46072</v>
      </c>
      <c r="D621" t="inlineStr">
        <is>
          <t>SKÅNE LÄN</t>
        </is>
      </c>
      <c r="E621" t="inlineStr">
        <is>
          <t>HÄSSLEHOLM</t>
        </is>
      </c>
      <c r="F621" t="inlineStr">
        <is>
          <t>Kommuner</t>
        </is>
      </c>
      <c r="G621" t="n">
        <v>1.4</v>
      </c>
      <c r="H621" t="n">
        <v>0</v>
      </c>
      <c r="I621" t="n">
        <v>0</v>
      </c>
      <c r="J621" t="n">
        <v>0</v>
      </c>
      <c r="K621" t="n">
        <v>0</v>
      </c>
      <c r="L621" t="n">
        <v>0</v>
      </c>
      <c r="M621" t="n">
        <v>0</v>
      </c>
      <c r="N621" t="n">
        <v>0</v>
      </c>
      <c r="O621" t="n">
        <v>0</v>
      </c>
      <c r="P621" t="n">
        <v>0</v>
      </c>
      <c r="Q621" t="n">
        <v>0</v>
      </c>
      <c r="R621" s="2" t="inlineStr"/>
    </row>
    <row r="622" ht="15" customHeight="1">
      <c r="A622" t="inlineStr">
        <is>
          <t>A 55218-2023</t>
        </is>
      </c>
      <c r="B622" s="1" t="n">
        <v>45237</v>
      </c>
      <c r="C622" s="1" t="n">
        <v>46072</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46288-2023</t>
        </is>
      </c>
      <c r="B623" s="1" t="n">
        <v>45197.30221064815</v>
      </c>
      <c r="C623" s="1" t="n">
        <v>46072</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49106-2023</t>
        </is>
      </c>
      <c r="B624" s="1" t="n">
        <v>45210</v>
      </c>
      <c r="C624" s="1" t="n">
        <v>46072</v>
      </c>
      <c r="D624" t="inlineStr">
        <is>
          <t>SKÅNE LÄN</t>
        </is>
      </c>
      <c r="E624" t="inlineStr">
        <is>
          <t>HÄSSLEHOLM</t>
        </is>
      </c>
      <c r="G624" t="n">
        <v>0.3</v>
      </c>
      <c r="H624" t="n">
        <v>0</v>
      </c>
      <c r="I624" t="n">
        <v>0</v>
      </c>
      <c r="J624" t="n">
        <v>0</v>
      </c>
      <c r="K624" t="n">
        <v>0</v>
      </c>
      <c r="L624" t="n">
        <v>0</v>
      </c>
      <c r="M624" t="n">
        <v>0</v>
      </c>
      <c r="N624" t="n">
        <v>0</v>
      </c>
      <c r="O624" t="n">
        <v>0</v>
      </c>
      <c r="P624" t="n">
        <v>0</v>
      </c>
      <c r="Q624" t="n">
        <v>0</v>
      </c>
      <c r="R624" s="2" t="inlineStr"/>
    </row>
    <row r="625" ht="15" customHeight="1">
      <c r="A625" t="inlineStr">
        <is>
          <t>A 10409-2024</t>
        </is>
      </c>
      <c r="B625" s="1" t="n">
        <v>45365.6978125</v>
      </c>
      <c r="C625" s="1" t="n">
        <v>46072</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47248-2023</t>
        </is>
      </c>
      <c r="B626" s="1" t="n">
        <v>45202</v>
      </c>
      <c r="C626" s="1" t="n">
        <v>46072</v>
      </c>
      <c r="D626" t="inlineStr">
        <is>
          <t>SKÅNE LÄN</t>
        </is>
      </c>
      <c r="E626" t="inlineStr">
        <is>
          <t>HÄSSLEHOLM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20990-2023</t>
        </is>
      </c>
      <c r="B627" s="1" t="n">
        <v>45061.46186342592</v>
      </c>
      <c r="C627" s="1" t="n">
        <v>46072</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53020-2025</t>
        </is>
      </c>
      <c r="B628" s="1" t="n">
        <v>45957.90707175926</v>
      </c>
      <c r="C628" s="1" t="n">
        <v>46072</v>
      </c>
      <c r="D628" t="inlineStr">
        <is>
          <t>SKÅNE LÄN</t>
        </is>
      </c>
      <c r="E628" t="inlineStr">
        <is>
          <t>HÄSSLEHOLM</t>
        </is>
      </c>
      <c r="G628" t="n">
        <v>1.1</v>
      </c>
      <c r="H628" t="n">
        <v>0</v>
      </c>
      <c r="I628" t="n">
        <v>0</v>
      </c>
      <c r="J628" t="n">
        <v>0</v>
      </c>
      <c r="K628" t="n">
        <v>0</v>
      </c>
      <c r="L628" t="n">
        <v>0</v>
      </c>
      <c r="M628" t="n">
        <v>0</v>
      </c>
      <c r="N628" t="n">
        <v>0</v>
      </c>
      <c r="O628" t="n">
        <v>0</v>
      </c>
      <c r="P628" t="n">
        <v>0</v>
      </c>
      <c r="Q628" t="n">
        <v>0</v>
      </c>
      <c r="R628" s="2" t="inlineStr"/>
    </row>
    <row r="629" ht="15" customHeight="1">
      <c r="A629" t="inlineStr">
        <is>
          <t>A 53424-2025</t>
        </is>
      </c>
      <c r="B629" s="1" t="n">
        <v>45959</v>
      </c>
      <c r="C629" s="1" t="n">
        <v>46072</v>
      </c>
      <c r="D629" t="inlineStr">
        <is>
          <t>SKÅNE LÄN</t>
        </is>
      </c>
      <c r="E629" t="inlineStr">
        <is>
          <t>HÄSSLEHOLM</t>
        </is>
      </c>
      <c r="G629" t="n">
        <v>3.4</v>
      </c>
      <c r="H629" t="n">
        <v>0</v>
      </c>
      <c r="I629" t="n">
        <v>0</v>
      </c>
      <c r="J629" t="n">
        <v>0</v>
      </c>
      <c r="K629" t="n">
        <v>0</v>
      </c>
      <c r="L629" t="n">
        <v>0</v>
      </c>
      <c r="M629" t="n">
        <v>0</v>
      </c>
      <c r="N629" t="n">
        <v>0</v>
      </c>
      <c r="O629" t="n">
        <v>0</v>
      </c>
      <c r="P629" t="n">
        <v>0</v>
      </c>
      <c r="Q629" t="n">
        <v>0</v>
      </c>
      <c r="R629" s="2" t="inlineStr"/>
    </row>
    <row r="630" ht="15" customHeight="1">
      <c r="A630" t="inlineStr">
        <is>
          <t>A 53018-2025</t>
        </is>
      </c>
      <c r="B630" s="1" t="n">
        <v>45957.90064814815</v>
      </c>
      <c r="C630" s="1" t="n">
        <v>46072</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54171-2022</t>
        </is>
      </c>
      <c r="B631" s="1" t="n">
        <v>44881</v>
      </c>
      <c r="C631" s="1" t="n">
        <v>46072</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53056-2025</t>
        </is>
      </c>
      <c r="B632" s="1" t="n">
        <v>45958.36518518518</v>
      </c>
      <c r="C632" s="1" t="n">
        <v>46072</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57277-2023</t>
        </is>
      </c>
      <c r="B633" s="1" t="n">
        <v>45245.59104166667</v>
      </c>
      <c r="C633" s="1" t="n">
        <v>46072</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8209-2025</t>
        </is>
      </c>
      <c r="B634" s="1" t="n">
        <v>45708.44244212963</v>
      </c>
      <c r="C634" s="1" t="n">
        <v>46072</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36938-2025</t>
        </is>
      </c>
      <c r="B635" s="1" t="n">
        <v>45874.58476851852</v>
      </c>
      <c r="C635" s="1" t="n">
        <v>46072</v>
      </c>
      <c r="D635" t="inlineStr">
        <is>
          <t>SKÅNE LÄN</t>
        </is>
      </c>
      <c r="E635" t="inlineStr">
        <is>
          <t>HÄSSLEHOLM</t>
        </is>
      </c>
      <c r="G635" t="n">
        <v>3.7</v>
      </c>
      <c r="H635" t="n">
        <v>0</v>
      </c>
      <c r="I635" t="n">
        <v>0</v>
      </c>
      <c r="J635" t="n">
        <v>0</v>
      </c>
      <c r="K635" t="n">
        <v>0</v>
      </c>
      <c r="L635" t="n">
        <v>0</v>
      </c>
      <c r="M635" t="n">
        <v>0</v>
      </c>
      <c r="N635" t="n">
        <v>0</v>
      </c>
      <c r="O635" t="n">
        <v>0</v>
      </c>
      <c r="P635" t="n">
        <v>0</v>
      </c>
      <c r="Q635" t="n">
        <v>0</v>
      </c>
      <c r="R635" s="2" t="inlineStr"/>
    </row>
    <row r="636" ht="15" customHeight="1">
      <c r="A636" t="inlineStr">
        <is>
          <t>A 35150-2023</t>
        </is>
      </c>
      <c r="B636" s="1" t="n">
        <v>45145</v>
      </c>
      <c r="C636" s="1" t="n">
        <v>46072</v>
      </c>
      <c r="D636" t="inlineStr">
        <is>
          <t>SKÅNE LÄN</t>
        </is>
      </c>
      <c r="E636" t="inlineStr">
        <is>
          <t>HÄSSLEHOLM</t>
        </is>
      </c>
      <c r="G636" t="n">
        <v>4.9</v>
      </c>
      <c r="H636" t="n">
        <v>0</v>
      </c>
      <c r="I636" t="n">
        <v>0</v>
      </c>
      <c r="J636" t="n">
        <v>0</v>
      </c>
      <c r="K636" t="n">
        <v>0</v>
      </c>
      <c r="L636" t="n">
        <v>0</v>
      </c>
      <c r="M636" t="n">
        <v>0</v>
      </c>
      <c r="N636" t="n">
        <v>0</v>
      </c>
      <c r="O636" t="n">
        <v>0</v>
      </c>
      <c r="P636" t="n">
        <v>0</v>
      </c>
      <c r="Q636" t="n">
        <v>0</v>
      </c>
      <c r="R636" s="2" t="inlineStr"/>
    </row>
    <row r="637" ht="15" customHeight="1">
      <c r="A637" t="inlineStr">
        <is>
          <t>A 47161-2025</t>
        </is>
      </c>
      <c r="B637" s="1" t="n">
        <v>45929</v>
      </c>
      <c r="C637" s="1" t="n">
        <v>46072</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18041-2023</t>
        </is>
      </c>
      <c r="B638" s="1" t="n">
        <v>45040</v>
      </c>
      <c r="C638" s="1" t="n">
        <v>46072</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49250-2022</t>
        </is>
      </c>
      <c r="B639" s="1" t="n">
        <v>44858</v>
      </c>
      <c r="C639" s="1" t="n">
        <v>46072</v>
      </c>
      <c r="D639" t="inlineStr">
        <is>
          <t>SKÅNE LÄN</t>
        </is>
      </c>
      <c r="E639" t="inlineStr">
        <is>
          <t>HÄSSLEHOLM</t>
        </is>
      </c>
      <c r="F639" t="inlineStr">
        <is>
          <t>Kyrkan</t>
        </is>
      </c>
      <c r="G639" t="n">
        <v>1.5</v>
      </c>
      <c r="H639" t="n">
        <v>0</v>
      </c>
      <c r="I639" t="n">
        <v>0</v>
      </c>
      <c r="J639" t="n">
        <v>0</v>
      </c>
      <c r="K639" t="n">
        <v>0</v>
      </c>
      <c r="L639" t="n">
        <v>0</v>
      </c>
      <c r="M639" t="n">
        <v>0</v>
      </c>
      <c r="N639" t="n">
        <v>0</v>
      </c>
      <c r="O639" t="n">
        <v>0</v>
      </c>
      <c r="P639" t="n">
        <v>0</v>
      </c>
      <c r="Q639" t="n">
        <v>0</v>
      </c>
      <c r="R639" s="2" t="inlineStr"/>
    </row>
    <row r="640" ht="15" customHeight="1">
      <c r="A640" t="inlineStr">
        <is>
          <t>A 931-2026</t>
        </is>
      </c>
      <c r="B640" s="1" t="n">
        <v>46030.51495370371</v>
      </c>
      <c r="C640" s="1" t="n">
        <v>46072</v>
      </c>
      <c r="D640" t="inlineStr">
        <is>
          <t>SKÅNE LÄN</t>
        </is>
      </c>
      <c r="E640" t="inlineStr">
        <is>
          <t>HÄSSLEHOLM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37286-2025</t>
        </is>
      </c>
      <c r="B641" s="1" t="n">
        <v>45876.50116898148</v>
      </c>
      <c r="C641" s="1" t="n">
        <v>46072</v>
      </c>
      <c r="D641" t="inlineStr">
        <is>
          <t>SKÅNE LÄN</t>
        </is>
      </c>
      <c r="E641" t="inlineStr">
        <is>
          <t>HÄSSLEHOLM</t>
        </is>
      </c>
      <c r="G641" t="n">
        <v>2.9</v>
      </c>
      <c r="H641" t="n">
        <v>0</v>
      </c>
      <c r="I641" t="n">
        <v>0</v>
      </c>
      <c r="J641" t="n">
        <v>0</v>
      </c>
      <c r="K641" t="n">
        <v>0</v>
      </c>
      <c r="L641" t="n">
        <v>0</v>
      </c>
      <c r="M641" t="n">
        <v>0</v>
      </c>
      <c r="N641" t="n">
        <v>0</v>
      </c>
      <c r="O641" t="n">
        <v>0</v>
      </c>
      <c r="P641" t="n">
        <v>0</v>
      </c>
      <c r="Q641" t="n">
        <v>0</v>
      </c>
      <c r="R641" s="2" t="inlineStr"/>
    </row>
    <row r="642" ht="15" customHeight="1">
      <c r="A642" t="inlineStr">
        <is>
          <t>A 27197-2021</t>
        </is>
      </c>
      <c r="B642" s="1" t="n">
        <v>44350</v>
      </c>
      <c r="C642" s="1" t="n">
        <v>46072</v>
      </c>
      <c r="D642" t="inlineStr">
        <is>
          <t>SKÅNE LÄN</t>
        </is>
      </c>
      <c r="E642" t="inlineStr">
        <is>
          <t>HÄSSLEHOLM</t>
        </is>
      </c>
      <c r="G642" t="n">
        <v>1.8</v>
      </c>
      <c r="H642" t="n">
        <v>0</v>
      </c>
      <c r="I642" t="n">
        <v>0</v>
      </c>
      <c r="J642" t="n">
        <v>0</v>
      </c>
      <c r="K642" t="n">
        <v>0</v>
      </c>
      <c r="L642" t="n">
        <v>0</v>
      </c>
      <c r="M642" t="n">
        <v>0</v>
      </c>
      <c r="N642" t="n">
        <v>0</v>
      </c>
      <c r="O642" t="n">
        <v>0</v>
      </c>
      <c r="P642" t="n">
        <v>0</v>
      </c>
      <c r="Q642" t="n">
        <v>0</v>
      </c>
      <c r="R642" s="2" t="inlineStr"/>
    </row>
    <row r="643" ht="15" customHeight="1">
      <c r="A643" t="inlineStr">
        <is>
          <t>A 45222-2023</t>
        </is>
      </c>
      <c r="B643" s="1" t="n">
        <v>45191</v>
      </c>
      <c r="C643" s="1" t="n">
        <v>46072</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35890-2023</t>
        </is>
      </c>
      <c r="B644" s="1" t="n">
        <v>45148</v>
      </c>
      <c r="C644" s="1" t="n">
        <v>46072</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35895-2023</t>
        </is>
      </c>
      <c r="B645" s="1" t="n">
        <v>45148</v>
      </c>
      <c r="C645" s="1" t="n">
        <v>46072</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61569-2023</t>
        </is>
      </c>
      <c r="B646" s="1" t="n">
        <v>45265</v>
      </c>
      <c r="C646" s="1" t="n">
        <v>46072</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37271-2025</t>
        </is>
      </c>
      <c r="B647" s="1" t="n">
        <v>45876.47828703704</v>
      </c>
      <c r="C647" s="1" t="n">
        <v>46072</v>
      </c>
      <c r="D647" t="inlineStr">
        <is>
          <t>SKÅNE LÄN</t>
        </is>
      </c>
      <c r="E647" t="inlineStr">
        <is>
          <t>HÄSSLEHOLM</t>
        </is>
      </c>
      <c r="G647" t="n">
        <v>4.1</v>
      </c>
      <c r="H647" t="n">
        <v>0</v>
      </c>
      <c r="I647" t="n">
        <v>0</v>
      </c>
      <c r="J647" t="n">
        <v>0</v>
      </c>
      <c r="K647" t="n">
        <v>0</v>
      </c>
      <c r="L647" t="n">
        <v>0</v>
      </c>
      <c r="M647" t="n">
        <v>0</v>
      </c>
      <c r="N647" t="n">
        <v>0</v>
      </c>
      <c r="O647" t="n">
        <v>0</v>
      </c>
      <c r="P647" t="n">
        <v>0</v>
      </c>
      <c r="Q647" t="n">
        <v>0</v>
      </c>
      <c r="R647" s="2" t="inlineStr"/>
    </row>
    <row r="648" ht="15" customHeight="1">
      <c r="A648" t="inlineStr">
        <is>
          <t>A 52235-2021</t>
        </is>
      </c>
      <c r="B648" s="1" t="n">
        <v>44463.60085648148</v>
      </c>
      <c r="C648" s="1" t="n">
        <v>46072</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54771-2025</t>
        </is>
      </c>
      <c r="B649" s="1" t="n">
        <v>45966.60829861111</v>
      </c>
      <c r="C649" s="1" t="n">
        <v>46072</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54664-2025</t>
        </is>
      </c>
      <c r="B650" s="1" t="n">
        <v>45966.40738425926</v>
      </c>
      <c r="C650" s="1" t="n">
        <v>46072</v>
      </c>
      <c r="D650" t="inlineStr">
        <is>
          <t>SKÅNE LÄN</t>
        </is>
      </c>
      <c r="E650" t="inlineStr">
        <is>
          <t>HÄSSLEHOLM</t>
        </is>
      </c>
      <c r="G650" t="n">
        <v>1</v>
      </c>
      <c r="H650" t="n">
        <v>0</v>
      </c>
      <c r="I650" t="n">
        <v>0</v>
      </c>
      <c r="J650" t="n">
        <v>0</v>
      </c>
      <c r="K650" t="n">
        <v>0</v>
      </c>
      <c r="L650" t="n">
        <v>0</v>
      </c>
      <c r="M650" t="n">
        <v>0</v>
      </c>
      <c r="N650" t="n">
        <v>0</v>
      </c>
      <c r="O650" t="n">
        <v>0</v>
      </c>
      <c r="P650" t="n">
        <v>0</v>
      </c>
      <c r="Q650" t="n">
        <v>0</v>
      </c>
      <c r="R650" s="2" t="inlineStr"/>
    </row>
    <row r="651" ht="15" customHeight="1">
      <c r="A651" t="inlineStr">
        <is>
          <t>A 32981-2025</t>
        </is>
      </c>
      <c r="B651" s="1" t="n">
        <v>45839.86820601852</v>
      </c>
      <c r="C651" s="1" t="n">
        <v>46072</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54763-2025</t>
        </is>
      </c>
      <c r="B652" s="1" t="n">
        <v>45966.60167824074</v>
      </c>
      <c r="C652" s="1" t="n">
        <v>46072</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16862-2025</t>
        </is>
      </c>
      <c r="B653" s="1" t="n">
        <v>45751</v>
      </c>
      <c r="C653" s="1" t="n">
        <v>46072</v>
      </c>
      <c r="D653" t="inlineStr">
        <is>
          <t>SKÅNE LÄN</t>
        </is>
      </c>
      <c r="E653" t="inlineStr">
        <is>
          <t>HÄSSLEHOLM</t>
        </is>
      </c>
      <c r="G653" t="n">
        <v>2.3</v>
      </c>
      <c r="H653" t="n">
        <v>0</v>
      </c>
      <c r="I653" t="n">
        <v>0</v>
      </c>
      <c r="J653" t="n">
        <v>0</v>
      </c>
      <c r="K653" t="n">
        <v>0</v>
      </c>
      <c r="L653" t="n">
        <v>0</v>
      </c>
      <c r="M653" t="n">
        <v>0</v>
      </c>
      <c r="N653" t="n">
        <v>0</v>
      </c>
      <c r="O653" t="n">
        <v>0</v>
      </c>
      <c r="P653" t="n">
        <v>0</v>
      </c>
      <c r="Q653" t="n">
        <v>0</v>
      </c>
      <c r="R653" s="2" t="inlineStr"/>
    </row>
    <row r="654" ht="15" customHeight="1">
      <c r="A654" t="inlineStr">
        <is>
          <t>A 18109-2025</t>
        </is>
      </c>
      <c r="B654" s="1" t="n">
        <v>45761</v>
      </c>
      <c r="C654" s="1" t="n">
        <v>46072</v>
      </c>
      <c r="D654" t="inlineStr">
        <is>
          <t>SKÅNE LÄN</t>
        </is>
      </c>
      <c r="E654" t="inlineStr">
        <is>
          <t>HÄSSLEHOLM</t>
        </is>
      </c>
      <c r="G654" t="n">
        <v>1.4</v>
      </c>
      <c r="H654" t="n">
        <v>0</v>
      </c>
      <c r="I654" t="n">
        <v>0</v>
      </c>
      <c r="J654" t="n">
        <v>0</v>
      </c>
      <c r="K654" t="n">
        <v>0</v>
      </c>
      <c r="L654" t="n">
        <v>0</v>
      </c>
      <c r="M654" t="n">
        <v>0</v>
      </c>
      <c r="N654" t="n">
        <v>0</v>
      </c>
      <c r="O654" t="n">
        <v>0</v>
      </c>
      <c r="P654" t="n">
        <v>0</v>
      </c>
      <c r="Q654" t="n">
        <v>0</v>
      </c>
      <c r="R654" s="2" t="inlineStr"/>
    </row>
    <row r="655" ht="15" customHeight="1">
      <c r="A655" t="inlineStr">
        <is>
          <t>A 27297-2023</t>
        </is>
      </c>
      <c r="B655" s="1" t="n">
        <v>45096</v>
      </c>
      <c r="C655" s="1" t="n">
        <v>46072</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54471-2023</t>
        </is>
      </c>
      <c r="B656" s="1" t="n">
        <v>45233.4640162037</v>
      </c>
      <c r="C656" s="1" t="n">
        <v>46072</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54668-2025</t>
        </is>
      </c>
      <c r="B657" s="1" t="n">
        <v>45966.40803240741</v>
      </c>
      <c r="C657" s="1" t="n">
        <v>46072</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9747-2024</t>
        </is>
      </c>
      <c r="B658" s="1" t="n">
        <v>45362</v>
      </c>
      <c r="C658" s="1" t="n">
        <v>46072</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50607-2023</t>
        </is>
      </c>
      <c r="B659" s="1" t="n">
        <v>45210</v>
      </c>
      <c r="C659" s="1" t="n">
        <v>46072</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55268-2025</t>
        </is>
      </c>
      <c r="B660" s="1" t="n">
        <v>45968.6715625</v>
      </c>
      <c r="C660" s="1" t="n">
        <v>46072</v>
      </c>
      <c r="D660" t="inlineStr">
        <is>
          <t>SKÅNE LÄN</t>
        </is>
      </c>
      <c r="E660" t="inlineStr">
        <is>
          <t>HÄSSLEHOLM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38148-2022</t>
        </is>
      </c>
      <c r="B661" s="1" t="n">
        <v>44811</v>
      </c>
      <c r="C661" s="1" t="n">
        <v>46072</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31944-2023</t>
        </is>
      </c>
      <c r="B662" s="1" t="n">
        <v>45119.34895833334</v>
      </c>
      <c r="C662" s="1" t="n">
        <v>46072</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1706-2025</t>
        </is>
      </c>
      <c r="B663" s="1" t="n">
        <v>45670</v>
      </c>
      <c r="C663" s="1" t="n">
        <v>46072</v>
      </c>
      <c r="D663" t="inlineStr">
        <is>
          <t>SKÅNE LÄN</t>
        </is>
      </c>
      <c r="E663" t="inlineStr">
        <is>
          <t>HÄSSLEHOLM</t>
        </is>
      </c>
      <c r="G663" t="n">
        <v>5</v>
      </c>
      <c r="H663" t="n">
        <v>0</v>
      </c>
      <c r="I663" t="n">
        <v>0</v>
      </c>
      <c r="J663" t="n">
        <v>0</v>
      </c>
      <c r="K663" t="n">
        <v>0</v>
      </c>
      <c r="L663" t="n">
        <v>0</v>
      </c>
      <c r="M663" t="n">
        <v>0</v>
      </c>
      <c r="N663" t="n">
        <v>0</v>
      </c>
      <c r="O663" t="n">
        <v>0</v>
      </c>
      <c r="P663" t="n">
        <v>0</v>
      </c>
      <c r="Q663" t="n">
        <v>0</v>
      </c>
      <c r="R663" s="2" t="inlineStr"/>
    </row>
    <row r="664" ht="15" customHeight="1">
      <c r="A664" t="inlineStr">
        <is>
          <t>A 55549-2025</t>
        </is>
      </c>
      <c r="B664" s="1" t="n">
        <v>45971.63805555556</v>
      </c>
      <c r="C664" s="1" t="n">
        <v>46072</v>
      </c>
      <c r="D664" t="inlineStr">
        <is>
          <t>SKÅNE LÄN</t>
        </is>
      </c>
      <c r="E664" t="inlineStr">
        <is>
          <t>HÄSSLEHOLM</t>
        </is>
      </c>
      <c r="G664" t="n">
        <v>2.6</v>
      </c>
      <c r="H664" t="n">
        <v>0</v>
      </c>
      <c r="I664" t="n">
        <v>0</v>
      </c>
      <c r="J664" t="n">
        <v>0</v>
      </c>
      <c r="K664" t="n">
        <v>0</v>
      </c>
      <c r="L664" t="n">
        <v>0</v>
      </c>
      <c r="M664" t="n">
        <v>0</v>
      </c>
      <c r="N664" t="n">
        <v>0</v>
      </c>
      <c r="O664" t="n">
        <v>0</v>
      </c>
      <c r="P664" t="n">
        <v>0</v>
      </c>
      <c r="Q664" t="n">
        <v>0</v>
      </c>
      <c r="R664" s="2" t="inlineStr"/>
    </row>
    <row r="665" ht="15" customHeight="1">
      <c r="A665" t="inlineStr">
        <is>
          <t>A 55056-2021</t>
        </is>
      </c>
      <c r="B665" s="1" t="n">
        <v>44474.62072916667</v>
      </c>
      <c r="C665" s="1" t="n">
        <v>46072</v>
      </c>
      <c r="D665" t="inlineStr">
        <is>
          <t>SKÅNE LÄN</t>
        </is>
      </c>
      <c r="E665" t="inlineStr">
        <is>
          <t>HÄSSLEHOLM</t>
        </is>
      </c>
      <c r="G665" t="n">
        <v>2.5</v>
      </c>
      <c r="H665" t="n">
        <v>0</v>
      </c>
      <c r="I665" t="n">
        <v>0</v>
      </c>
      <c r="J665" t="n">
        <v>0</v>
      </c>
      <c r="K665" t="n">
        <v>0</v>
      </c>
      <c r="L665" t="n">
        <v>0</v>
      </c>
      <c r="M665" t="n">
        <v>0</v>
      </c>
      <c r="N665" t="n">
        <v>0</v>
      </c>
      <c r="O665" t="n">
        <v>0</v>
      </c>
      <c r="P665" t="n">
        <v>0</v>
      </c>
      <c r="Q665" t="n">
        <v>0</v>
      </c>
      <c r="R665" s="2" t="inlineStr"/>
    </row>
    <row r="666" ht="15" customHeight="1">
      <c r="A666" t="inlineStr">
        <is>
          <t>A 13544-2025</t>
        </is>
      </c>
      <c r="B666" s="1" t="n">
        <v>45736</v>
      </c>
      <c r="C666" s="1" t="n">
        <v>46072</v>
      </c>
      <c r="D666" t="inlineStr">
        <is>
          <t>SKÅNE LÄN</t>
        </is>
      </c>
      <c r="E666" t="inlineStr">
        <is>
          <t>HÄSSLEHOLM</t>
        </is>
      </c>
      <c r="G666" t="n">
        <v>2.5</v>
      </c>
      <c r="H666" t="n">
        <v>0</v>
      </c>
      <c r="I666" t="n">
        <v>0</v>
      </c>
      <c r="J666" t="n">
        <v>0</v>
      </c>
      <c r="K666" t="n">
        <v>0</v>
      </c>
      <c r="L666" t="n">
        <v>0</v>
      </c>
      <c r="M666" t="n">
        <v>0</v>
      </c>
      <c r="N666" t="n">
        <v>0</v>
      </c>
      <c r="O666" t="n">
        <v>0</v>
      </c>
      <c r="P666" t="n">
        <v>0</v>
      </c>
      <c r="Q666" t="n">
        <v>0</v>
      </c>
      <c r="R666" s="2" t="inlineStr"/>
    </row>
    <row r="667" ht="15" customHeight="1">
      <c r="A667" t="inlineStr">
        <is>
          <t>A 8755-2024</t>
        </is>
      </c>
      <c r="B667" s="1" t="n">
        <v>45356</v>
      </c>
      <c r="C667" s="1" t="n">
        <v>46072</v>
      </c>
      <c r="D667" t="inlineStr">
        <is>
          <t>SKÅNE LÄN</t>
        </is>
      </c>
      <c r="E667" t="inlineStr">
        <is>
          <t>HÄSSLEHOLM</t>
        </is>
      </c>
      <c r="G667" t="n">
        <v>1.4</v>
      </c>
      <c r="H667" t="n">
        <v>0</v>
      </c>
      <c r="I667" t="n">
        <v>0</v>
      </c>
      <c r="J667" t="n">
        <v>0</v>
      </c>
      <c r="K667" t="n">
        <v>0</v>
      </c>
      <c r="L667" t="n">
        <v>0</v>
      </c>
      <c r="M667" t="n">
        <v>0</v>
      </c>
      <c r="N667" t="n">
        <v>0</v>
      </c>
      <c r="O667" t="n">
        <v>0</v>
      </c>
      <c r="P667" t="n">
        <v>0</v>
      </c>
      <c r="Q667" t="n">
        <v>0</v>
      </c>
      <c r="R667" s="2" t="inlineStr"/>
    </row>
    <row r="668" ht="15" customHeight="1">
      <c r="A668" t="inlineStr">
        <is>
          <t>A 8760-2024</t>
        </is>
      </c>
      <c r="B668" s="1" t="n">
        <v>45356.53420138889</v>
      </c>
      <c r="C668" s="1" t="n">
        <v>46072</v>
      </c>
      <c r="D668" t="inlineStr">
        <is>
          <t>SKÅNE LÄN</t>
        </is>
      </c>
      <c r="E668" t="inlineStr">
        <is>
          <t>HÄSSLEHOLM</t>
        </is>
      </c>
      <c r="G668" t="n">
        <v>6.1</v>
      </c>
      <c r="H668" t="n">
        <v>0</v>
      </c>
      <c r="I668" t="n">
        <v>0</v>
      </c>
      <c r="J668" t="n">
        <v>0</v>
      </c>
      <c r="K668" t="n">
        <v>0</v>
      </c>
      <c r="L668" t="n">
        <v>0</v>
      </c>
      <c r="M668" t="n">
        <v>0</v>
      </c>
      <c r="N668" t="n">
        <v>0</v>
      </c>
      <c r="O668" t="n">
        <v>0</v>
      </c>
      <c r="P668" t="n">
        <v>0</v>
      </c>
      <c r="Q668" t="n">
        <v>0</v>
      </c>
      <c r="R668" s="2" t="inlineStr"/>
    </row>
    <row r="669" ht="15" customHeight="1">
      <c r="A669" t="inlineStr">
        <is>
          <t>A 59722-2025</t>
        </is>
      </c>
      <c r="B669" s="1" t="n">
        <v>45992.5474537037</v>
      </c>
      <c r="C669" s="1" t="n">
        <v>46072</v>
      </c>
      <c r="D669" t="inlineStr">
        <is>
          <t>SKÅNE LÄN</t>
        </is>
      </c>
      <c r="E669" t="inlineStr">
        <is>
          <t>HÄSSLEHOLM</t>
        </is>
      </c>
      <c r="G669" t="n">
        <v>1.6</v>
      </c>
      <c r="H669" t="n">
        <v>0</v>
      </c>
      <c r="I669" t="n">
        <v>0</v>
      </c>
      <c r="J669" t="n">
        <v>0</v>
      </c>
      <c r="K669" t="n">
        <v>0</v>
      </c>
      <c r="L669" t="n">
        <v>0</v>
      </c>
      <c r="M669" t="n">
        <v>0</v>
      </c>
      <c r="N669" t="n">
        <v>0</v>
      </c>
      <c r="O669" t="n">
        <v>0</v>
      </c>
      <c r="P669" t="n">
        <v>0</v>
      </c>
      <c r="Q669" t="n">
        <v>0</v>
      </c>
      <c r="R669" s="2" t="inlineStr"/>
    </row>
    <row r="670" ht="15" customHeight="1">
      <c r="A670" t="inlineStr">
        <is>
          <t>A 1616-2025</t>
        </is>
      </c>
      <c r="B670" s="1" t="n">
        <v>45670</v>
      </c>
      <c r="C670" s="1" t="n">
        <v>46072</v>
      </c>
      <c r="D670" t="inlineStr">
        <is>
          <t>SKÅNE LÄN</t>
        </is>
      </c>
      <c r="E670" t="inlineStr">
        <is>
          <t>HÄSSLEHOLM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33257-2024</t>
        </is>
      </c>
      <c r="B671" s="1" t="n">
        <v>45518</v>
      </c>
      <c r="C671" s="1" t="n">
        <v>46072</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53055-2021</t>
        </is>
      </c>
      <c r="B672" s="1" t="n">
        <v>44467</v>
      </c>
      <c r="C672" s="1" t="n">
        <v>46072</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1640-2026</t>
        </is>
      </c>
      <c r="B673" s="1" t="n">
        <v>46034.4961574074</v>
      </c>
      <c r="C673" s="1" t="n">
        <v>46072</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32154-2024</t>
        </is>
      </c>
      <c r="B674" s="1" t="n">
        <v>45511</v>
      </c>
      <c r="C674" s="1" t="n">
        <v>46072</v>
      </c>
      <c r="D674" t="inlineStr">
        <is>
          <t>SKÅNE LÄN</t>
        </is>
      </c>
      <c r="E674" t="inlineStr">
        <is>
          <t>HÄSSLEHOLM</t>
        </is>
      </c>
      <c r="G674" t="n">
        <v>6.4</v>
      </c>
      <c r="H674" t="n">
        <v>0</v>
      </c>
      <c r="I674" t="n">
        <v>0</v>
      </c>
      <c r="J674" t="n">
        <v>0</v>
      </c>
      <c r="K674" t="n">
        <v>0</v>
      </c>
      <c r="L674" t="n">
        <v>0</v>
      </c>
      <c r="M674" t="n">
        <v>0</v>
      </c>
      <c r="N674" t="n">
        <v>0</v>
      </c>
      <c r="O674" t="n">
        <v>0</v>
      </c>
      <c r="P674" t="n">
        <v>0</v>
      </c>
      <c r="Q674" t="n">
        <v>0</v>
      </c>
      <c r="R674" s="2" t="inlineStr"/>
    </row>
    <row r="675" ht="15" customHeight="1">
      <c r="A675" t="inlineStr">
        <is>
          <t>A 1645-2026</t>
        </is>
      </c>
      <c r="B675" s="1" t="n">
        <v>46034.5069212963</v>
      </c>
      <c r="C675" s="1" t="n">
        <v>46072</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24865-2024</t>
        </is>
      </c>
      <c r="B676" s="1" t="n">
        <v>45461.48974537037</v>
      </c>
      <c r="C676" s="1" t="n">
        <v>46072</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1656-2026</t>
        </is>
      </c>
      <c r="B677" s="1" t="n">
        <v>46034.54035879629</v>
      </c>
      <c r="C677" s="1" t="n">
        <v>46072</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1659-2026</t>
        </is>
      </c>
      <c r="B678" s="1" t="n">
        <v>46034.55335648148</v>
      </c>
      <c r="C678" s="1" t="n">
        <v>46072</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58272-2024</t>
        </is>
      </c>
      <c r="B679" s="1" t="n">
        <v>45632.57025462963</v>
      </c>
      <c r="C679" s="1" t="n">
        <v>46072</v>
      </c>
      <c r="D679" t="inlineStr">
        <is>
          <t>SKÅNE LÄN</t>
        </is>
      </c>
      <c r="E679" t="inlineStr">
        <is>
          <t>HÄSSLEHOLM</t>
        </is>
      </c>
      <c r="G679" t="n">
        <v>2.3</v>
      </c>
      <c r="H679" t="n">
        <v>0</v>
      </c>
      <c r="I679" t="n">
        <v>0</v>
      </c>
      <c r="J679" t="n">
        <v>0</v>
      </c>
      <c r="K679" t="n">
        <v>0</v>
      </c>
      <c r="L679" t="n">
        <v>0</v>
      </c>
      <c r="M679" t="n">
        <v>0</v>
      </c>
      <c r="N679" t="n">
        <v>0</v>
      </c>
      <c r="O679" t="n">
        <v>0</v>
      </c>
      <c r="P679" t="n">
        <v>0</v>
      </c>
      <c r="Q679" t="n">
        <v>0</v>
      </c>
      <c r="R679" s="2" t="inlineStr"/>
    </row>
    <row r="680" ht="15" customHeight="1">
      <c r="A680" t="inlineStr">
        <is>
          <t>A 18580-2023</t>
        </is>
      </c>
      <c r="B680" s="1" t="n">
        <v>45043.37037037037</v>
      </c>
      <c r="C680" s="1" t="n">
        <v>46072</v>
      </c>
      <c r="D680" t="inlineStr">
        <is>
          <t>SKÅNE LÄN</t>
        </is>
      </c>
      <c r="E680" t="inlineStr">
        <is>
          <t>HÄSSLEHOLM</t>
        </is>
      </c>
      <c r="G680" t="n">
        <v>1.5</v>
      </c>
      <c r="H680" t="n">
        <v>0</v>
      </c>
      <c r="I680" t="n">
        <v>0</v>
      </c>
      <c r="J680" t="n">
        <v>0</v>
      </c>
      <c r="K680" t="n">
        <v>0</v>
      </c>
      <c r="L680" t="n">
        <v>0</v>
      </c>
      <c r="M680" t="n">
        <v>0</v>
      </c>
      <c r="N680" t="n">
        <v>0</v>
      </c>
      <c r="O680" t="n">
        <v>0</v>
      </c>
      <c r="P680" t="n">
        <v>0</v>
      </c>
      <c r="Q680" t="n">
        <v>0</v>
      </c>
      <c r="R680" s="2" t="inlineStr"/>
    </row>
    <row r="681" ht="15" customHeight="1">
      <c r="A681" t="inlineStr">
        <is>
          <t>A 1658-2026</t>
        </is>
      </c>
      <c r="B681" s="1" t="n">
        <v>46034.55091435185</v>
      </c>
      <c r="C681" s="1" t="n">
        <v>46072</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9611-2025</t>
        </is>
      </c>
      <c r="B682" s="1" t="n">
        <v>45715</v>
      </c>
      <c r="C682" s="1" t="n">
        <v>46072</v>
      </c>
      <c r="D682" t="inlineStr">
        <is>
          <t>SKÅNE LÄN</t>
        </is>
      </c>
      <c r="E682" t="inlineStr">
        <is>
          <t>HÄSSLEHOLM</t>
        </is>
      </c>
      <c r="G682" t="n">
        <v>2.1</v>
      </c>
      <c r="H682" t="n">
        <v>0</v>
      </c>
      <c r="I682" t="n">
        <v>0</v>
      </c>
      <c r="J682" t="n">
        <v>0</v>
      </c>
      <c r="K682" t="n">
        <v>0</v>
      </c>
      <c r="L682" t="n">
        <v>0</v>
      </c>
      <c r="M682" t="n">
        <v>0</v>
      </c>
      <c r="N682" t="n">
        <v>0</v>
      </c>
      <c r="O682" t="n">
        <v>0</v>
      </c>
      <c r="P682" t="n">
        <v>0</v>
      </c>
      <c r="Q682" t="n">
        <v>0</v>
      </c>
      <c r="R682" s="2" t="inlineStr"/>
    </row>
    <row r="683" ht="15" customHeight="1">
      <c r="A683" t="inlineStr">
        <is>
          <t>A 24906-2022</t>
        </is>
      </c>
      <c r="B683" s="1" t="n">
        <v>44728</v>
      </c>
      <c r="C683" s="1" t="n">
        <v>46072</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3890-2024</t>
        </is>
      </c>
      <c r="B684" s="1" t="n">
        <v>45322.45366898148</v>
      </c>
      <c r="C684" s="1" t="n">
        <v>46072</v>
      </c>
      <c r="D684" t="inlineStr">
        <is>
          <t>SKÅNE LÄN</t>
        </is>
      </c>
      <c r="E684" t="inlineStr">
        <is>
          <t>HÄSSLEHOLM</t>
        </is>
      </c>
      <c r="G684" t="n">
        <v>3</v>
      </c>
      <c r="H684" t="n">
        <v>0</v>
      </c>
      <c r="I684" t="n">
        <v>0</v>
      </c>
      <c r="J684" t="n">
        <v>0</v>
      </c>
      <c r="K684" t="n">
        <v>0</v>
      </c>
      <c r="L684" t="n">
        <v>0</v>
      </c>
      <c r="M684" t="n">
        <v>0</v>
      </c>
      <c r="N684" t="n">
        <v>0</v>
      </c>
      <c r="O684" t="n">
        <v>0</v>
      </c>
      <c r="P684" t="n">
        <v>0</v>
      </c>
      <c r="Q684" t="n">
        <v>0</v>
      </c>
      <c r="R684" s="2" t="inlineStr"/>
    </row>
    <row r="685" ht="15" customHeight="1">
      <c r="A685" t="inlineStr">
        <is>
          <t>A 15800-2025</t>
        </is>
      </c>
      <c r="B685" s="1" t="n">
        <v>45748.64831018518</v>
      </c>
      <c r="C685" s="1" t="n">
        <v>46072</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2618-2026</t>
        </is>
      </c>
      <c r="B686" s="1" t="n">
        <v>46035</v>
      </c>
      <c r="C686" s="1" t="n">
        <v>46072</v>
      </c>
      <c r="D686" t="inlineStr">
        <is>
          <t>SKÅNE LÄN</t>
        </is>
      </c>
      <c r="E686" t="inlineStr">
        <is>
          <t>HÄSSLEHOLM</t>
        </is>
      </c>
      <c r="F686" t="inlineStr">
        <is>
          <t>Kyrkan</t>
        </is>
      </c>
      <c r="G686" t="n">
        <v>4.8</v>
      </c>
      <c r="H686" t="n">
        <v>0</v>
      </c>
      <c r="I686" t="n">
        <v>0</v>
      </c>
      <c r="J686" t="n">
        <v>0</v>
      </c>
      <c r="K686" t="n">
        <v>0</v>
      </c>
      <c r="L686" t="n">
        <v>0</v>
      </c>
      <c r="M686" t="n">
        <v>0</v>
      </c>
      <c r="N686" t="n">
        <v>0</v>
      </c>
      <c r="O686" t="n">
        <v>0</v>
      </c>
      <c r="P686" t="n">
        <v>0</v>
      </c>
      <c r="Q686" t="n">
        <v>0</v>
      </c>
      <c r="R686" s="2" t="inlineStr"/>
    </row>
    <row r="687" ht="15" customHeight="1">
      <c r="A687" t="inlineStr">
        <is>
          <t>A 2306-2026</t>
        </is>
      </c>
      <c r="B687" s="1" t="n">
        <v>46034</v>
      </c>
      <c r="C687" s="1" t="n">
        <v>46072</v>
      </c>
      <c r="D687" t="inlineStr">
        <is>
          <t>SKÅNE LÄN</t>
        </is>
      </c>
      <c r="E687" t="inlineStr">
        <is>
          <t>HÄSSLEHOLM</t>
        </is>
      </c>
      <c r="G687" t="n">
        <v>3.4</v>
      </c>
      <c r="H687" t="n">
        <v>0</v>
      </c>
      <c r="I687" t="n">
        <v>0</v>
      </c>
      <c r="J687" t="n">
        <v>0</v>
      </c>
      <c r="K687" t="n">
        <v>0</v>
      </c>
      <c r="L687" t="n">
        <v>0</v>
      </c>
      <c r="M687" t="n">
        <v>0</v>
      </c>
      <c r="N687" t="n">
        <v>0</v>
      </c>
      <c r="O687" t="n">
        <v>0</v>
      </c>
      <c r="P687" t="n">
        <v>0</v>
      </c>
      <c r="Q687" t="n">
        <v>0</v>
      </c>
      <c r="R687" s="2" t="inlineStr"/>
    </row>
    <row r="688" ht="15" customHeight="1">
      <c r="A688" t="inlineStr">
        <is>
          <t>A 13897-2024</t>
        </is>
      </c>
      <c r="B688" s="1" t="n">
        <v>45391</v>
      </c>
      <c r="C688" s="1" t="n">
        <v>46072</v>
      </c>
      <c r="D688" t="inlineStr">
        <is>
          <t>SKÅNE LÄN</t>
        </is>
      </c>
      <c r="E688" t="inlineStr">
        <is>
          <t>HÄSSLEHOLM</t>
        </is>
      </c>
      <c r="F688" t="inlineStr">
        <is>
          <t>Kommuner</t>
        </is>
      </c>
      <c r="G688" t="n">
        <v>4</v>
      </c>
      <c r="H688" t="n">
        <v>0</v>
      </c>
      <c r="I688" t="n">
        <v>0</v>
      </c>
      <c r="J688" t="n">
        <v>0</v>
      </c>
      <c r="K688" t="n">
        <v>0</v>
      </c>
      <c r="L688" t="n">
        <v>0</v>
      </c>
      <c r="M688" t="n">
        <v>0</v>
      </c>
      <c r="N688" t="n">
        <v>0</v>
      </c>
      <c r="O688" t="n">
        <v>0</v>
      </c>
      <c r="P688" t="n">
        <v>0</v>
      </c>
      <c r="Q688" t="n">
        <v>0</v>
      </c>
      <c r="R688" s="2" t="inlineStr"/>
    </row>
    <row r="689" ht="15" customHeight="1">
      <c r="A689" t="inlineStr">
        <is>
          <t>A 56355-2023</t>
        </is>
      </c>
      <c r="B689" s="1" t="n">
        <v>45243.3702662037</v>
      </c>
      <c r="C689" s="1" t="n">
        <v>46072</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59246-2024</t>
        </is>
      </c>
      <c r="B690" s="1" t="n">
        <v>45636</v>
      </c>
      <c r="C690" s="1" t="n">
        <v>46072</v>
      </c>
      <c r="D690" t="inlineStr">
        <is>
          <t>SKÅNE LÄN</t>
        </is>
      </c>
      <c r="E690" t="inlineStr">
        <is>
          <t>HÄSSLEHOLM</t>
        </is>
      </c>
      <c r="G690" t="n">
        <v>2.6</v>
      </c>
      <c r="H690" t="n">
        <v>0</v>
      </c>
      <c r="I690" t="n">
        <v>0</v>
      </c>
      <c r="J690" t="n">
        <v>0</v>
      </c>
      <c r="K690" t="n">
        <v>0</v>
      </c>
      <c r="L690" t="n">
        <v>0</v>
      </c>
      <c r="M690" t="n">
        <v>0</v>
      </c>
      <c r="N690" t="n">
        <v>0</v>
      </c>
      <c r="O690" t="n">
        <v>0</v>
      </c>
      <c r="P690" t="n">
        <v>0</v>
      </c>
      <c r="Q690" t="n">
        <v>0</v>
      </c>
      <c r="R690" s="2" t="inlineStr"/>
    </row>
    <row r="691" ht="15" customHeight="1">
      <c r="A691" t="inlineStr">
        <is>
          <t>A 20800-2023</t>
        </is>
      </c>
      <c r="B691" s="1" t="n">
        <v>45058.61640046296</v>
      </c>
      <c r="C691" s="1" t="n">
        <v>46072</v>
      </c>
      <c r="D691" t="inlineStr">
        <is>
          <t>SKÅNE LÄN</t>
        </is>
      </c>
      <c r="E691" t="inlineStr">
        <is>
          <t>HÄSSLEHOLM</t>
        </is>
      </c>
      <c r="G691" t="n">
        <v>0.4</v>
      </c>
      <c r="H691" t="n">
        <v>0</v>
      </c>
      <c r="I691" t="n">
        <v>0</v>
      </c>
      <c r="J691" t="n">
        <v>0</v>
      </c>
      <c r="K691" t="n">
        <v>0</v>
      </c>
      <c r="L691" t="n">
        <v>0</v>
      </c>
      <c r="M691" t="n">
        <v>0</v>
      </c>
      <c r="N691" t="n">
        <v>0</v>
      </c>
      <c r="O691" t="n">
        <v>0</v>
      </c>
      <c r="P691" t="n">
        <v>0</v>
      </c>
      <c r="Q691" t="n">
        <v>0</v>
      </c>
      <c r="R691" s="2" t="inlineStr"/>
    </row>
    <row r="692" ht="15" customHeight="1">
      <c r="A692" t="inlineStr">
        <is>
          <t>A 11019-2025</t>
        </is>
      </c>
      <c r="B692" s="1" t="n">
        <v>45723</v>
      </c>
      <c r="C692" s="1" t="n">
        <v>46072</v>
      </c>
      <c r="D692" t="inlineStr">
        <is>
          <t>SKÅNE LÄN</t>
        </is>
      </c>
      <c r="E692" t="inlineStr">
        <is>
          <t>HÄSSLEHOLM</t>
        </is>
      </c>
      <c r="G692" t="n">
        <v>3.2</v>
      </c>
      <c r="H692" t="n">
        <v>0</v>
      </c>
      <c r="I692" t="n">
        <v>0</v>
      </c>
      <c r="J692" t="n">
        <v>0</v>
      </c>
      <c r="K692" t="n">
        <v>0</v>
      </c>
      <c r="L692" t="n">
        <v>0</v>
      </c>
      <c r="M692" t="n">
        <v>0</v>
      </c>
      <c r="N692" t="n">
        <v>0</v>
      </c>
      <c r="O692" t="n">
        <v>0</v>
      </c>
      <c r="P692" t="n">
        <v>0</v>
      </c>
      <c r="Q692" t="n">
        <v>0</v>
      </c>
      <c r="R692" s="2" t="inlineStr"/>
    </row>
    <row r="693" ht="15" customHeight="1">
      <c r="A693" t="inlineStr">
        <is>
          <t>A 34342-2021</t>
        </is>
      </c>
      <c r="B693" s="1" t="n">
        <v>44379</v>
      </c>
      <c r="C693" s="1" t="n">
        <v>46072</v>
      </c>
      <c r="D693" t="inlineStr">
        <is>
          <t>SKÅNE LÄN</t>
        </is>
      </c>
      <c r="E693" t="inlineStr">
        <is>
          <t>HÄSSLEHOLM</t>
        </is>
      </c>
      <c r="G693" t="n">
        <v>7</v>
      </c>
      <c r="H693" t="n">
        <v>0</v>
      </c>
      <c r="I693" t="n">
        <v>0</v>
      </c>
      <c r="J693" t="n">
        <v>0</v>
      </c>
      <c r="K693" t="n">
        <v>0</v>
      </c>
      <c r="L693" t="n">
        <v>0</v>
      </c>
      <c r="M693" t="n">
        <v>0</v>
      </c>
      <c r="N693" t="n">
        <v>0</v>
      </c>
      <c r="O693" t="n">
        <v>0</v>
      </c>
      <c r="P693" t="n">
        <v>0</v>
      </c>
      <c r="Q693" t="n">
        <v>0</v>
      </c>
      <c r="R693" s="2" t="inlineStr"/>
    </row>
    <row r="694" ht="15" customHeight="1">
      <c r="A694" t="inlineStr">
        <is>
          <t>A 11681-2023</t>
        </is>
      </c>
      <c r="B694" s="1" t="n">
        <v>44992</v>
      </c>
      <c r="C694" s="1" t="n">
        <v>46072</v>
      </c>
      <c r="D694" t="inlineStr">
        <is>
          <t>SKÅNE LÄN</t>
        </is>
      </c>
      <c r="E694" t="inlineStr">
        <is>
          <t>HÄSSLEHOLM</t>
        </is>
      </c>
      <c r="F694" t="inlineStr">
        <is>
          <t>Övriga Aktiebolag</t>
        </is>
      </c>
      <c r="G694" t="n">
        <v>1.6</v>
      </c>
      <c r="H694" t="n">
        <v>0</v>
      </c>
      <c r="I694" t="n">
        <v>0</v>
      </c>
      <c r="J694" t="n">
        <v>0</v>
      </c>
      <c r="K694" t="n">
        <v>0</v>
      </c>
      <c r="L694" t="n">
        <v>0</v>
      </c>
      <c r="M694" t="n">
        <v>0</v>
      </c>
      <c r="N694" t="n">
        <v>0</v>
      </c>
      <c r="O694" t="n">
        <v>0</v>
      </c>
      <c r="P694" t="n">
        <v>0</v>
      </c>
      <c r="Q694" t="n">
        <v>0</v>
      </c>
      <c r="R694" s="2" t="inlineStr"/>
    </row>
    <row r="695" ht="15" customHeight="1">
      <c r="A695" t="inlineStr">
        <is>
          <t>A 33927-2021</t>
        </is>
      </c>
      <c r="B695" s="1" t="n">
        <v>44378</v>
      </c>
      <c r="C695" s="1" t="n">
        <v>46072</v>
      </c>
      <c r="D695" t="inlineStr">
        <is>
          <t>SKÅNE LÄN</t>
        </is>
      </c>
      <c r="E695" t="inlineStr">
        <is>
          <t>HÄSSLEHOLM</t>
        </is>
      </c>
      <c r="G695" t="n">
        <v>16.7</v>
      </c>
      <c r="H695" t="n">
        <v>0</v>
      </c>
      <c r="I695" t="n">
        <v>0</v>
      </c>
      <c r="J695" t="n">
        <v>0</v>
      </c>
      <c r="K695" t="n">
        <v>0</v>
      </c>
      <c r="L695" t="n">
        <v>0</v>
      </c>
      <c r="M695" t="n">
        <v>0</v>
      </c>
      <c r="N695" t="n">
        <v>0</v>
      </c>
      <c r="O695" t="n">
        <v>0</v>
      </c>
      <c r="P695" t="n">
        <v>0</v>
      </c>
      <c r="Q695" t="n">
        <v>0</v>
      </c>
      <c r="R695" s="2" t="inlineStr"/>
    </row>
    <row r="696" ht="15" customHeight="1">
      <c r="A696" t="inlineStr">
        <is>
          <t>A 1557-2023</t>
        </is>
      </c>
      <c r="B696" s="1" t="n">
        <v>44937</v>
      </c>
      <c r="C696" s="1" t="n">
        <v>46072</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7305-2025</t>
        </is>
      </c>
      <c r="B697" s="1" t="n">
        <v>45702</v>
      </c>
      <c r="C697" s="1" t="n">
        <v>46072</v>
      </c>
      <c r="D697" t="inlineStr">
        <is>
          <t>SKÅNE LÄN</t>
        </is>
      </c>
      <c r="E697" t="inlineStr">
        <is>
          <t>HÄSSLEHOLM</t>
        </is>
      </c>
      <c r="F697" t="inlineStr">
        <is>
          <t>Övriga Aktiebolag</t>
        </is>
      </c>
      <c r="G697" t="n">
        <v>2.2</v>
      </c>
      <c r="H697" t="n">
        <v>0</v>
      </c>
      <c r="I697" t="n">
        <v>0</v>
      </c>
      <c r="J697" t="n">
        <v>0</v>
      </c>
      <c r="K697" t="n">
        <v>0</v>
      </c>
      <c r="L697" t="n">
        <v>0</v>
      </c>
      <c r="M697" t="n">
        <v>0</v>
      </c>
      <c r="N697" t="n">
        <v>0</v>
      </c>
      <c r="O697" t="n">
        <v>0</v>
      </c>
      <c r="P697" t="n">
        <v>0</v>
      </c>
      <c r="Q697" t="n">
        <v>0</v>
      </c>
      <c r="R697" s="2" t="inlineStr"/>
    </row>
    <row r="698" ht="15" customHeight="1">
      <c r="A698" t="inlineStr">
        <is>
          <t>A 5116-2023</t>
        </is>
      </c>
      <c r="B698" s="1" t="n">
        <v>44958.67546296296</v>
      </c>
      <c r="C698" s="1" t="n">
        <v>46072</v>
      </c>
      <c r="D698" t="inlineStr">
        <is>
          <t>SKÅNE LÄN</t>
        </is>
      </c>
      <c r="E698" t="inlineStr">
        <is>
          <t>HÄSSLEHOLM</t>
        </is>
      </c>
      <c r="G698" t="n">
        <v>1.7</v>
      </c>
      <c r="H698" t="n">
        <v>0</v>
      </c>
      <c r="I698" t="n">
        <v>0</v>
      </c>
      <c r="J698" t="n">
        <v>0</v>
      </c>
      <c r="K698" t="n">
        <v>0</v>
      </c>
      <c r="L698" t="n">
        <v>0</v>
      </c>
      <c r="M698" t="n">
        <v>0</v>
      </c>
      <c r="N698" t="n">
        <v>0</v>
      </c>
      <c r="O698" t="n">
        <v>0</v>
      </c>
      <c r="P698" t="n">
        <v>0</v>
      </c>
      <c r="Q698" t="n">
        <v>0</v>
      </c>
      <c r="R698" s="2" t="inlineStr"/>
    </row>
    <row r="699" ht="15" customHeight="1">
      <c r="A699" t="inlineStr">
        <is>
          <t>A 2617-2026</t>
        </is>
      </c>
      <c r="B699" s="1" t="n">
        <v>46035</v>
      </c>
      <c r="C699" s="1" t="n">
        <v>46072</v>
      </c>
      <c r="D699" t="inlineStr">
        <is>
          <t>SKÅNE LÄN</t>
        </is>
      </c>
      <c r="E699" t="inlineStr">
        <is>
          <t>HÄSSLEHOLM</t>
        </is>
      </c>
      <c r="F699" t="inlineStr">
        <is>
          <t>Kyrkan</t>
        </is>
      </c>
      <c r="G699" t="n">
        <v>5.5</v>
      </c>
      <c r="H699" t="n">
        <v>0</v>
      </c>
      <c r="I699" t="n">
        <v>0</v>
      </c>
      <c r="J699" t="n">
        <v>0</v>
      </c>
      <c r="K699" t="n">
        <v>0</v>
      </c>
      <c r="L699" t="n">
        <v>0</v>
      </c>
      <c r="M699" t="n">
        <v>0</v>
      </c>
      <c r="N699" t="n">
        <v>0</v>
      </c>
      <c r="O699" t="n">
        <v>0</v>
      </c>
      <c r="P699" t="n">
        <v>0</v>
      </c>
      <c r="Q699" t="n">
        <v>0</v>
      </c>
      <c r="R699" s="2" t="inlineStr"/>
    </row>
    <row r="700" ht="15" customHeight="1">
      <c r="A700" t="inlineStr">
        <is>
          <t>A 42364-2023</t>
        </is>
      </c>
      <c r="B700" s="1" t="n">
        <v>45180.54754629629</v>
      </c>
      <c r="C700" s="1" t="n">
        <v>46072</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54408-2024</t>
        </is>
      </c>
      <c r="B701" s="1" t="n">
        <v>45617.47263888889</v>
      </c>
      <c r="C701" s="1" t="n">
        <v>46072</v>
      </c>
      <c r="D701" t="inlineStr">
        <is>
          <t>SKÅNE LÄN</t>
        </is>
      </c>
      <c r="E701" t="inlineStr">
        <is>
          <t>HÄSSLEHOLM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5780-2024</t>
        </is>
      </c>
      <c r="B702" s="1" t="n">
        <v>45335.41983796296</v>
      </c>
      <c r="C702" s="1" t="n">
        <v>46072</v>
      </c>
      <c r="D702" t="inlineStr">
        <is>
          <t>SKÅNE LÄN</t>
        </is>
      </c>
      <c r="E702" t="inlineStr">
        <is>
          <t>HÄSSLEHOLM</t>
        </is>
      </c>
      <c r="G702" t="n">
        <v>2.5</v>
      </c>
      <c r="H702" t="n">
        <v>0</v>
      </c>
      <c r="I702" t="n">
        <v>0</v>
      </c>
      <c r="J702" t="n">
        <v>0</v>
      </c>
      <c r="K702" t="n">
        <v>0</v>
      </c>
      <c r="L702" t="n">
        <v>0</v>
      </c>
      <c r="M702" t="n">
        <v>0</v>
      </c>
      <c r="N702" t="n">
        <v>0</v>
      </c>
      <c r="O702" t="n">
        <v>0</v>
      </c>
      <c r="P702" t="n">
        <v>0</v>
      </c>
      <c r="Q702" t="n">
        <v>0</v>
      </c>
      <c r="R702" s="2" t="inlineStr"/>
    </row>
    <row r="703" ht="15" customHeight="1">
      <c r="A703" t="inlineStr">
        <is>
          <t>A 7481-2023</t>
        </is>
      </c>
      <c r="B703" s="1" t="n">
        <v>44971</v>
      </c>
      <c r="C703" s="1" t="n">
        <v>46072</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59728-2022</t>
        </is>
      </c>
      <c r="B704" s="1" t="n">
        <v>44900</v>
      </c>
      <c r="C704" s="1" t="n">
        <v>46072</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3298-2026</t>
        </is>
      </c>
      <c r="B705" s="1" t="n">
        <v>46041</v>
      </c>
      <c r="C705" s="1" t="n">
        <v>46072</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23683-2023</t>
        </is>
      </c>
      <c r="B706" s="1" t="n">
        <v>45077</v>
      </c>
      <c r="C706" s="1" t="n">
        <v>46072</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2663-2023</t>
        </is>
      </c>
      <c r="B707" s="1" t="n">
        <v>44942</v>
      </c>
      <c r="C707" s="1" t="n">
        <v>46072</v>
      </c>
      <c r="D707" t="inlineStr">
        <is>
          <t>SKÅNE LÄN</t>
        </is>
      </c>
      <c r="E707" t="inlineStr">
        <is>
          <t>HÄSSLEHOLM</t>
        </is>
      </c>
      <c r="F707" t="inlineStr">
        <is>
          <t>Kyrkan</t>
        </is>
      </c>
      <c r="G707" t="n">
        <v>0.8</v>
      </c>
      <c r="H707" t="n">
        <v>0</v>
      </c>
      <c r="I707" t="n">
        <v>0</v>
      </c>
      <c r="J707" t="n">
        <v>0</v>
      </c>
      <c r="K707" t="n">
        <v>0</v>
      </c>
      <c r="L707" t="n">
        <v>0</v>
      </c>
      <c r="M707" t="n">
        <v>0</v>
      </c>
      <c r="N707" t="n">
        <v>0</v>
      </c>
      <c r="O707" t="n">
        <v>0</v>
      </c>
      <c r="P707" t="n">
        <v>0</v>
      </c>
      <c r="Q707" t="n">
        <v>0</v>
      </c>
      <c r="R707" s="2" t="inlineStr"/>
    </row>
    <row r="708" ht="15" customHeight="1">
      <c r="A708" t="inlineStr">
        <is>
          <t>A 23172-2022</t>
        </is>
      </c>
      <c r="B708" s="1" t="n">
        <v>44719</v>
      </c>
      <c r="C708" s="1" t="n">
        <v>46072</v>
      </c>
      <c r="D708" t="inlineStr">
        <is>
          <t>SKÅNE LÄN</t>
        </is>
      </c>
      <c r="E708" t="inlineStr">
        <is>
          <t>HÄSSLEHOLM</t>
        </is>
      </c>
      <c r="F708" t="inlineStr">
        <is>
          <t>Övriga Aktiebolag</t>
        </is>
      </c>
      <c r="G708" t="n">
        <v>0.9</v>
      </c>
      <c r="H708" t="n">
        <v>0</v>
      </c>
      <c r="I708" t="n">
        <v>0</v>
      </c>
      <c r="J708" t="n">
        <v>0</v>
      </c>
      <c r="K708" t="n">
        <v>0</v>
      </c>
      <c r="L708" t="n">
        <v>0</v>
      </c>
      <c r="M708" t="n">
        <v>0</v>
      </c>
      <c r="N708" t="n">
        <v>0</v>
      </c>
      <c r="O708" t="n">
        <v>0</v>
      </c>
      <c r="P708" t="n">
        <v>0</v>
      </c>
      <c r="Q708" t="n">
        <v>0</v>
      </c>
      <c r="R708" s="2" t="inlineStr"/>
    </row>
    <row r="709" ht="15" customHeight="1">
      <c r="A709" t="inlineStr">
        <is>
          <t>A 23173-2022</t>
        </is>
      </c>
      <c r="B709" s="1" t="n">
        <v>44719.72155092593</v>
      </c>
      <c r="C709" s="1" t="n">
        <v>46072</v>
      </c>
      <c r="D709" t="inlineStr">
        <is>
          <t>SKÅNE LÄN</t>
        </is>
      </c>
      <c r="E709" t="inlineStr">
        <is>
          <t>HÄSSLEHOLM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17492-2025</t>
        </is>
      </c>
      <c r="B710" s="1" t="n">
        <v>45747</v>
      </c>
      <c r="C710" s="1" t="n">
        <v>46072</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3715-2026</t>
        </is>
      </c>
      <c r="B711" s="1" t="n">
        <v>46043.48746527778</v>
      </c>
      <c r="C711" s="1" t="n">
        <v>46072</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61322-2025</t>
        </is>
      </c>
      <c r="B712" s="1" t="n">
        <v>46000</v>
      </c>
      <c r="C712" s="1" t="n">
        <v>46072</v>
      </c>
      <c r="D712" t="inlineStr">
        <is>
          <t>SKÅNE LÄN</t>
        </is>
      </c>
      <c r="E712" t="inlineStr">
        <is>
          <t>HÄSSLEHOLM</t>
        </is>
      </c>
      <c r="G712" t="n">
        <v>2.2</v>
      </c>
      <c r="H712" t="n">
        <v>0</v>
      </c>
      <c r="I712" t="n">
        <v>0</v>
      </c>
      <c r="J712" t="n">
        <v>0</v>
      </c>
      <c r="K712" t="n">
        <v>0</v>
      </c>
      <c r="L712" t="n">
        <v>0</v>
      </c>
      <c r="M712" t="n">
        <v>0</v>
      </c>
      <c r="N712" t="n">
        <v>0</v>
      </c>
      <c r="O712" t="n">
        <v>0</v>
      </c>
      <c r="P712" t="n">
        <v>0</v>
      </c>
      <c r="Q712" t="n">
        <v>0</v>
      </c>
      <c r="R712" s="2" t="inlineStr"/>
    </row>
    <row r="713" ht="15" customHeight="1">
      <c r="A713" t="inlineStr">
        <is>
          <t>A 3862-2026</t>
        </is>
      </c>
      <c r="B713" s="1" t="n">
        <v>46043.62646990741</v>
      </c>
      <c r="C713" s="1" t="n">
        <v>46072</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50664-2023</t>
        </is>
      </c>
      <c r="B714" s="1" t="n">
        <v>45217</v>
      </c>
      <c r="C714" s="1" t="n">
        <v>46072</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42428-2022</t>
        </is>
      </c>
      <c r="B715" s="1" t="n">
        <v>44831</v>
      </c>
      <c r="C715" s="1" t="n">
        <v>46072</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62171-2022</t>
        </is>
      </c>
      <c r="B716" s="1" t="n">
        <v>44915</v>
      </c>
      <c r="C716" s="1" t="n">
        <v>46072</v>
      </c>
      <c r="D716" t="inlineStr">
        <is>
          <t>SKÅNE LÄN</t>
        </is>
      </c>
      <c r="E716" t="inlineStr">
        <is>
          <t>HÄSSLEHOLM</t>
        </is>
      </c>
      <c r="F716" t="inlineStr">
        <is>
          <t>Kyrkan</t>
        </is>
      </c>
      <c r="G716" t="n">
        <v>9</v>
      </c>
      <c r="H716" t="n">
        <v>0</v>
      </c>
      <c r="I716" t="n">
        <v>0</v>
      </c>
      <c r="J716" t="n">
        <v>0</v>
      </c>
      <c r="K716" t="n">
        <v>0</v>
      </c>
      <c r="L716" t="n">
        <v>0</v>
      </c>
      <c r="M716" t="n">
        <v>0</v>
      </c>
      <c r="N716" t="n">
        <v>0</v>
      </c>
      <c r="O716" t="n">
        <v>0</v>
      </c>
      <c r="P716" t="n">
        <v>0</v>
      </c>
      <c r="Q716" t="n">
        <v>0</v>
      </c>
      <c r="R716" s="2" t="inlineStr"/>
    </row>
    <row r="717" ht="15" customHeight="1">
      <c r="A717" t="inlineStr">
        <is>
          <t>A 3904-2026</t>
        </is>
      </c>
      <c r="B717" s="1" t="n">
        <v>46043.69711805556</v>
      </c>
      <c r="C717" s="1" t="n">
        <v>46072</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56956-2024</t>
        </is>
      </c>
      <c r="B718" s="1" t="n">
        <v>45626</v>
      </c>
      <c r="C718" s="1" t="n">
        <v>46072</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61474-2025</t>
        </is>
      </c>
      <c r="B719" s="1" t="n">
        <v>46001.61886574074</v>
      </c>
      <c r="C719" s="1" t="n">
        <v>46072</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9885-2021</t>
        </is>
      </c>
      <c r="B720" s="1" t="n">
        <v>44253</v>
      </c>
      <c r="C720" s="1" t="n">
        <v>46072</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35711-2024</t>
        </is>
      </c>
      <c r="B721" s="1" t="n">
        <v>45532</v>
      </c>
      <c r="C721" s="1" t="n">
        <v>46072</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56490-2021</t>
        </is>
      </c>
      <c r="B722" s="1" t="n">
        <v>44480</v>
      </c>
      <c r="C722" s="1" t="n">
        <v>46072</v>
      </c>
      <c r="D722" t="inlineStr">
        <is>
          <t>SKÅNE LÄN</t>
        </is>
      </c>
      <c r="E722" t="inlineStr">
        <is>
          <t>HÄSSLEHOLM</t>
        </is>
      </c>
      <c r="F722" t="inlineStr">
        <is>
          <t>Kyrkan</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61680-2022</t>
        </is>
      </c>
      <c r="B723" s="1" t="n">
        <v>44917.36372685185</v>
      </c>
      <c r="C723" s="1" t="n">
        <v>46072</v>
      </c>
      <c r="D723" t="inlineStr">
        <is>
          <t>SKÅNE LÄN</t>
        </is>
      </c>
      <c r="E723" t="inlineStr">
        <is>
          <t>HÄSSLEHOLM</t>
        </is>
      </c>
      <c r="G723" t="n">
        <v>2.4</v>
      </c>
      <c r="H723" t="n">
        <v>0</v>
      </c>
      <c r="I723" t="n">
        <v>0</v>
      </c>
      <c r="J723" t="n">
        <v>0</v>
      </c>
      <c r="K723" t="n">
        <v>0</v>
      </c>
      <c r="L723" t="n">
        <v>0</v>
      </c>
      <c r="M723" t="n">
        <v>0</v>
      </c>
      <c r="N723" t="n">
        <v>0</v>
      </c>
      <c r="O723" t="n">
        <v>0</v>
      </c>
      <c r="P723" t="n">
        <v>0</v>
      </c>
      <c r="Q723" t="n">
        <v>0</v>
      </c>
      <c r="R723" s="2" t="inlineStr"/>
    </row>
    <row r="724" ht="15" customHeight="1">
      <c r="A724" t="inlineStr">
        <is>
          <t>A 61489-2024</t>
        </is>
      </c>
      <c r="B724" s="1" t="n">
        <v>45646.54875</v>
      </c>
      <c r="C724" s="1" t="n">
        <v>46072</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17699-2024</t>
        </is>
      </c>
      <c r="B725" s="1" t="n">
        <v>45418.46094907408</v>
      </c>
      <c r="C725" s="1" t="n">
        <v>46072</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17702-2024</t>
        </is>
      </c>
      <c r="B726" s="1" t="n">
        <v>45418.46534722222</v>
      </c>
      <c r="C726" s="1" t="n">
        <v>46072</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6101-2022</t>
        </is>
      </c>
      <c r="B727" s="1" t="n">
        <v>44599.63016203704</v>
      </c>
      <c r="C727" s="1" t="n">
        <v>46072</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16951-2025</t>
        </is>
      </c>
      <c r="B728" s="1" t="n">
        <v>45755</v>
      </c>
      <c r="C728" s="1" t="n">
        <v>46072</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16614-2025</t>
        </is>
      </c>
      <c r="B729" s="1" t="n">
        <v>45754.283125</v>
      </c>
      <c r="C729" s="1" t="n">
        <v>46072</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3888-2024</t>
        </is>
      </c>
      <c r="B730" s="1" t="n">
        <v>45322.45089120371</v>
      </c>
      <c r="C730" s="1" t="n">
        <v>46072</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3889-2024</t>
        </is>
      </c>
      <c r="B731" s="1" t="n">
        <v>45322.45234953704</v>
      </c>
      <c r="C731" s="1" t="n">
        <v>46072</v>
      </c>
      <c r="D731" t="inlineStr">
        <is>
          <t>SKÅNE LÄN</t>
        </is>
      </c>
      <c r="E731" t="inlineStr">
        <is>
          <t>HÄSSLEHOLM</t>
        </is>
      </c>
      <c r="G731" t="n">
        <v>1.4</v>
      </c>
      <c r="H731" t="n">
        <v>0</v>
      </c>
      <c r="I731" t="n">
        <v>0</v>
      </c>
      <c r="J731" t="n">
        <v>0</v>
      </c>
      <c r="K731" t="n">
        <v>0</v>
      </c>
      <c r="L731" t="n">
        <v>0</v>
      </c>
      <c r="M731" t="n">
        <v>0</v>
      </c>
      <c r="N731" t="n">
        <v>0</v>
      </c>
      <c r="O731" t="n">
        <v>0</v>
      </c>
      <c r="P731" t="n">
        <v>0</v>
      </c>
      <c r="Q731" t="n">
        <v>0</v>
      </c>
      <c r="R731" s="2" t="inlineStr"/>
    </row>
    <row r="732" ht="15" customHeight="1">
      <c r="A732" t="inlineStr">
        <is>
          <t>A 3294-2025</t>
        </is>
      </c>
      <c r="B732" s="1" t="n">
        <v>45679.64125</v>
      </c>
      <c r="C732" s="1" t="n">
        <v>46072</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9669-2025</t>
        </is>
      </c>
      <c r="B733" s="1" t="n">
        <v>45716.32921296296</v>
      </c>
      <c r="C733" s="1" t="n">
        <v>46072</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31995-2023</t>
        </is>
      </c>
      <c r="B734" s="1" t="n">
        <v>45107</v>
      </c>
      <c r="C734" s="1" t="n">
        <v>46072</v>
      </c>
      <c r="D734" t="inlineStr">
        <is>
          <t>SKÅNE LÄN</t>
        </is>
      </c>
      <c r="E734" t="inlineStr">
        <is>
          <t>HÄSSLEHOLM</t>
        </is>
      </c>
      <c r="G734" t="n">
        <v>7.3</v>
      </c>
      <c r="H734" t="n">
        <v>0</v>
      </c>
      <c r="I734" t="n">
        <v>0</v>
      </c>
      <c r="J734" t="n">
        <v>0</v>
      </c>
      <c r="K734" t="n">
        <v>0</v>
      </c>
      <c r="L734" t="n">
        <v>0</v>
      </c>
      <c r="M734" t="n">
        <v>0</v>
      </c>
      <c r="N734" t="n">
        <v>0</v>
      </c>
      <c r="O734" t="n">
        <v>0</v>
      </c>
      <c r="P734" t="n">
        <v>0</v>
      </c>
      <c r="Q734" t="n">
        <v>0</v>
      </c>
      <c r="R734" s="2" t="inlineStr"/>
    </row>
    <row r="735" ht="15" customHeight="1">
      <c r="A735" t="inlineStr">
        <is>
          <t>A 31998-2023</t>
        </is>
      </c>
      <c r="B735" s="1" t="n">
        <v>45119</v>
      </c>
      <c r="C735" s="1" t="n">
        <v>46072</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7150-2025</t>
        </is>
      </c>
      <c r="B736" s="1" t="n">
        <v>45702.38239583333</v>
      </c>
      <c r="C736" s="1" t="n">
        <v>46072</v>
      </c>
      <c r="D736" t="inlineStr">
        <is>
          <t>SKÅNE LÄN</t>
        </is>
      </c>
      <c r="E736" t="inlineStr">
        <is>
          <t>HÄSSLEHOLM</t>
        </is>
      </c>
      <c r="G736" t="n">
        <v>2.3</v>
      </c>
      <c r="H736" t="n">
        <v>0</v>
      </c>
      <c r="I736" t="n">
        <v>0</v>
      </c>
      <c r="J736" t="n">
        <v>0</v>
      </c>
      <c r="K736" t="n">
        <v>0</v>
      </c>
      <c r="L736" t="n">
        <v>0</v>
      </c>
      <c r="M736" t="n">
        <v>0</v>
      </c>
      <c r="N736" t="n">
        <v>0</v>
      </c>
      <c r="O736" t="n">
        <v>0</v>
      </c>
      <c r="P736" t="n">
        <v>0</v>
      </c>
      <c r="Q736" t="n">
        <v>0</v>
      </c>
      <c r="R736" s="2" t="inlineStr"/>
    </row>
    <row r="737" ht="15" customHeight="1">
      <c r="A737" t="inlineStr">
        <is>
          <t>A 4981-2026</t>
        </is>
      </c>
      <c r="B737" s="1" t="n">
        <v>46049.37100694444</v>
      </c>
      <c r="C737" s="1" t="n">
        <v>46072</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20185-2023</t>
        </is>
      </c>
      <c r="B738" s="1" t="n">
        <v>45055.56795138889</v>
      </c>
      <c r="C738" s="1" t="n">
        <v>46072</v>
      </c>
      <c r="D738" t="inlineStr">
        <is>
          <t>SKÅNE LÄN</t>
        </is>
      </c>
      <c r="E738" t="inlineStr">
        <is>
          <t>HÄSSLEHOLM</t>
        </is>
      </c>
      <c r="G738" t="n">
        <v>3.5</v>
      </c>
      <c r="H738" t="n">
        <v>0</v>
      </c>
      <c r="I738" t="n">
        <v>0</v>
      </c>
      <c r="J738" t="n">
        <v>0</v>
      </c>
      <c r="K738" t="n">
        <v>0</v>
      </c>
      <c r="L738" t="n">
        <v>0</v>
      </c>
      <c r="M738" t="n">
        <v>0</v>
      </c>
      <c r="N738" t="n">
        <v>0</v>
      </c>
      <c r="O738" t="n">
        <v>0</v>
      </c>
      <c r="P738" t="n">
        <v>0</v>
      </c>
      <c r="Q738" t="n">
        <v>0</v>
      </c>
      <c r="R738" s="2" t="inlineStr"/>
    </row>
    <row r="739" ht="15" customHeight="1">
      <c r="A739" t="inlineStr">
        <is>
          <t>A 62376-2025</t>
        </is>
      </c>
      <c r="B739" s="1" t="n">
        <v>46006</v>
      </c>
      <c r="C739" s="1" t="n">
        <v>46072</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62271-2025</t>
        </is>
      </c>
      <c r="B740" s="1" t="n">
        <v>46006.62256944444</v>
      </c>
      <c r="C740" s="1" t="n">
        <v>46072</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61170-2022</t>
        </is>
      </c>
      <c r="B741" s="1" t="n">
        <v>44915.48543981482</v>
      </c>
      <c r="C741" s="1" t="n">
        <v>46072</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62264-2025</t>
        </is>
      </c>
      <c r="B742" s="1" t="n">
        <v>46006.61644675926</v>
      </c>
      <c r="C742" s="1" t="n">
        <v>46072</v>
      </c>
      <c r="D742" t="inlineStr">
        <is>
          <t>SKÅNE LÄN</t>
        </is>
      </c>
      <c r="E742" t="inlineStr">
        <is>
          <t>HÄSSLEHOLM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43629-2023</t>
        </is>
      </c>
      <c r="B743" s="1" t="n">
        <v>45184</v>
      </c>
      <c r="C743" s="1" t="n">
        <v>46072</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13990-2022</t>
        </is>
      </c>
      <c r="B744" s="1" t="n">
        <v>44650</v>
      </c>
      <c r="C744" s="1" t="n">
        <v>46072</v>
      </c>
      <c r="D744" t="inlineStr">
        <is>
          <t>SKÅNE LÄN</t>
        </is>
      </c>
      <c r="E744" t="inlineStr">
        <is>
          <t>HÄSSLEHOLM</t>
        </is>
      </c>
      <c r="G744" t="n">
        <v>3.6</v>
      </c>
      <c r="H744" t="n">
        <v>0</v>
      </c>
      <c r="I744" t="n">
        <v>0</v>
      </c>
      <c r="J744" t="n">
        <v>0</v>
      </c>
      <c r="K744" t="n">
        <v>0</v>
      </c>
      <c r="L744" t="n">
        <v>0</v>
      </c>
      <c r="M744" t="n">
        <v>0</v>
      </c>
      <c r="N744" t="n">
        <v>0</v>
      </c>
      <c r="O744" t="n">
        <v>0</v>
      </c>
      <c r="P744" t="n">
        <v>0</v>
      </c>
      <c r="Q744" t="n">
        <v>0</v>
      </c>
      <c r="R744" s="2" t="inlineStr"/>
    </row>
    <row r="745" ht="15" customHeight="1">
      <c r="A745" t="inlineStr">
        <is>
          <t>A 46813-2024</t>
        </is>
      </c>
      <c r="B745" s="1" t="n">
        <v>45583</v>
      </c>
      <c r="C745" s="1" t="n">
        <v>46072</v>
      </c>
      <c r="D745" t="inlineStr">
        <is>
          <t>SKÅNE LÄN</t>
        </is>
      </c>
      <c r="E745" t="inlineStr">
        <is>
          <t>HÄSSLEHOLM</t>
        </is>
      </c>
      <c r="G745" t="n">
        <v>14.9</v>
      </c>
      <c r="H745" t="n">
        <v>0</v>
      </c>
      <c r="I745" t="n">
        <v>0</v>
      </c>
      <c r="J745" t="n">
        <v>0</v>
      </c>
      <c r="K745" t="n">
        <v>0</v>
      </c>
      <c r="L745" t="n">
        <v>0</v>
      </c>
      <c r="M745" t="n">
        <v>0</v>
      </c>
      <c r="N745" t="n">
        <v>0</v>
      </c>
      <c r="O745" t="n">
        <v>0</v>
      </c>
      <c r="P745" t="n">
        <v>0</v>
      </c>
      <c r="Q745" t="n">
        <v>0</v>
      </c>
      <c r="R745" s="2" t="inlineStr"/>
    </row>
    <row r="746" ht="15" customHeight="1">
      <c r="A746" t="inlineStr">
        <is>
          <t>A 50564-2023</t>
        </is>
      </c>
      <c r="B746" s="1" t="n">
        <v>45217.37957175926</v>
      </c>
      <c r="C746" s="1" t="n">
        <v>46072</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43061-2024</t>
        </is>
      </c>
      <c r="B747" s="1" t="n">
        <v>45567</v>
      </c>
      <c r="C747" s="1" t="n">
        <v>46072</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5759-2026</t>
        </is>
      </c>
      <c r="B748" s="1" t="n">
        <v>46051.61814814815</v>
      </c>
      <c r="C748" s="1" t="n">
        <v>46072</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54171-2021</t>
        </is>
      </c>
      <c r="B749" s="1" t="n">
        <v>44470</v>
      </c>
      <c r="C749" s="1" t="n">
        <v>46072</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24640-2023</t>
        </is>
      </c>
      <c r="B750" s="1" t="n">
        <v>45084.43181712963</v>
      </c>
      <c r="C750" s="1" t="n">
        <v>46072</v>
      </c>
      <c r="D750" t="inlineStr">
        <is>
          <t>SKÅNE LÄN</t>
        </is>
      </c>
      <c r="E750" t="inlineStr">
        <is>
          <t>HÄSSLEHOLM</t>
        </is>
      </c>
      <c r="G750" t="n">
        <v>1.5</v>
      </c>
      <c r="H750" t="n">
        <v>0</v>
      </c>
      <c r="I750" t="n">
        <v>0</v>
      </c>
      <c r="J750" t="n">
        <v>0</v>
      </c>
      <c r="K750" t="n">
        <v>0</v>
      </c>
      <c r="L750" t="n">
        <v>0</v>
      </c>
      <c r="M750" t="n">
        <v>0</v>
      </c>
      <c r="N750" t="n">
        <v>0</v>
      </c>
      <c r="O750" t="n">
        <v>0</v>
      </c>
      <c r="P750" t="n">
        <v>0</v>
      </c>
      <c r="Q750" t="n">
        <v>0</v>
      </c>
      <c r="R750" s="2" t="inlineStr"/>
    </row>
    <row r="751" ht="15" customHeight="1">
      <c r="A751" t="inlineStr">
        <is>
          <t>A 5497-2026</t>
        </is>
      </c>
      <c r="B751" s="1" t="n">
        <v>46050.61875</v>
      </c>
      <c r="C751" s="1" t="n">
        <v>46072</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51618-2024</t>
        </is>
      </c>
      <c r="B752" s="1" t="n">
        <v>45604.82615740741</v>
      </c>
      <c r="C752" s="1" t="n">
        <v>46072</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54798-2025</t>
        </is>
      </c>
      <c r="B753" s="1" t="n">
        <v>45966</v>
      </c>
      <c r="C753" s="1" t="n">
        <v>46072</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4994-2026</t>
        </is>
      </c>
      <c r="B754" s="1" t="n">
        <v>46049</v>
      </c>
      <c r="C754" s="1" t="n">
        <v>46072</v>
      </c>
      <c r="D754" t="inlineStr">
        <is>
          <t>SKÅNE LÄN</t>
        </is>
      </c>
      <c r="E754" t="inlineStr">
        <is>
          <t>HÄSSLEHOLM</t>
        </is>
      </c>
      <c r="G754" t="n">
        <v>2.4</v>
      </c>
      <c r="H754" t="n">
        <v>0</v>
      </c>
      <c r="I754" t="n">
        <v>0</v>
      </c>
      <c r="J754" t="n">
        <v>0</v>
      </c>
      <c r="K754" t="n">
        <v>0</v>
      </c>
      <c r="L754" t="n">
        <v>0</v>
      </c>
      <c r="M754" t="n">
        <v>0</v>
      </c>
      <c r="N754" t="n">
        <v>0</v>
      </c>
      <c r="O754" t="n">
        <v>0</v>
      </c>
      <c r="P754" t="n">
        <v>0</v>
      </c>
      <c r="Q754" t="n">
        <v>0</v>
      </c>
      <c r="R754" s="2" t="inlineStr"/>
    </row>
    <row r="755" ht="15" customHeight="1">
      <c r="A755" t="inlineStr">
        <is>
          <t>A 5757-2026</t>
        </is>
      </c>
      <c r="B755" s="1" t="n">
        <v>46051.61309027778</v>
      </c>
      <c r="C755" s="1" t="n">
        <v>46072</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5103-2026</t>
        </is>
      </c>
      <c r="B756" s="1" t="n">
        <v>46049.56725694444</v>
      </c>
      <c r="C756" s="1" t="n">
        <v>46072</v>
      </c>
      <c r="D756" t="inlineStr">
        <is>
          <t>SKÅNE LÄN</t>
        </is>
      </c>
      <c r="E756" t="inlineStr">
        <is>
          <t>HÄSSLEHOLM</t>
        </is>
      </c>
      <c r="G756" t="n">
        <v>5.4</v>
      </c>
      <c r="H756" t="n">
        <v>0</v>
      </c>
      <c r="I756" t="n">
        <v>0</v>
      </c>
      <c r="J756" t="n">
        <v>0</v>
      </c>
      <c r="K756" t="n">
        <v>0</v>
      </c>
      <c r="L756" t="n">
        <v>0</v>
      </c>
      <c r="M756" t="n">
        <v>0</v>
      </c>
      <c r="N756" t="n">
        <v>0</v>
      </c>
      <c r="O756" t="n">
        <v>0</v>
      </c>
      <c r="P756" t="n">
        <v>0</v>
      </c>
      <c r="Q756" t="n">
        <v>0</v>
      </c>
      <c r="R756" s="2" t="inlineStr"/>
    </row>
    <row r="757" ht="15" customHeight="1">
      <c r="A757" t="inlineStr">
        <is>
          <t>A 8249-2023</t>
        </is>
      </c>
      <c r="B757" s="1" t="n">
        <v>44974</v>
      </c>
      <c r="C757" s="1" t="n">
        <v>46072</v>
      </c>
      <c r="D757" t="inlineStr">
        <is>
          <t>SKÅNE LÄN</t>
        </is>
      </c>
      <c r="E757" t="inlineStr">
        <is>
          <t>HÄSSLEHOLM</t>
        </is>
      </c>
      <c r="G757" t="n">
        <v>5.8</v>
      </c>
      <c r="H757" t="n">
        <v>0</v>
      </c>
      <c r="I757" t="n">
        <v>0</v>
      </c>
      <c r="J757" t="n">
        <v>0</v>
      </c>
      <c r="K757" t="n">
        <v>0</v>
      </c>
      <c r="L757" t="n">
        <v>0</v>
      </c>
      <c r="M757" t="n">
        <v>0</v>
      </c>
      <c r="N757" t="n">
        <v>0</v>
      </c>
      <c r="O757" t="n">
        <v>0</v>
      </c>
      <c r="P757" t="n">
        <v>0</v>
      </c>
      <c r="Q757" t="n">
        <v>0</v>
      </c>
      <c r="R757" s="2" t="inlineStr"/>
    </row>
    <row r="758" ht="15" customHeight="1">
      <c r="A758" t="inlineStr">
        <is>
          <t>A 5503-2026</t>
        </is>
      </c>
      <c r="B758" s="1" t="n">
        <v>46050.62509259259</v>
      </c>
      <c r="C758" s="1" t="n">
        <v>46072</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5516-2026</t>
        </is>
      </c>
      <c r="B759" s="1" t="n">
        <v>46050.64197916666</v>
      </c>
      <c r="C759" s="1" t="n">
        <v>46072</v>
      </c>
      <c r="D759" t="inlineStr">
        <is>
          <t>SKÅNE LÄN</t>
        </is>
      </c>
      <c r="E759" t="inlineStr">
        <is>
          <t>HÄSSLEHOLM</t>
        </is>
      </c>
      <c r="G759" t="n">
        <v>1.9</v>
      </c>
      <c r="H759" t="n">
        <v>0</v>
      </c>
      <c r="I759" t="n">
        <v>0</v>
      </c>
      <c r="J759" t="n">
        <v>0</v>
      </c>
      <c r="K759" t="n">
        <v>0</v>
      </c>
      <c r="L759" t="n">
        <v>0</v>
      </c>
      <c r="M759" t="n">
        <v>0</v>
      </c>
      <c r="N759" t="n">
        <v>0</v>
      </c>
      <c r="O759" t="n">
        <v>0</v>
      </c>
      <c r="P759" t="n">
        <v>0</v>
      </c>
      <c r="Q759" t="n">
        <v>0</v>
      </c>
      <c r="R759" s="2" t="inlineStr"/>
    </row>
    <row r="760" ht="15" customHeight="1">
      <c r="A760" t="inlineStr">
        <is>
          <t>A 62417-2025</t>
        </is>
      </c>
      <c r="B760" s="1" t="n">
        <v>46007</v>
      </c>
      <c r="C760" s="1" t="n">
        <v>46072</v>
      </c>
      <c r="D760" t="inlineStr">
        <is>
          <t>SKÅNE LÄN</t>
        </is>
      </c>
      <c r="E760" t="inlineStr">
        <is>
          <t>HÄSSLEHOLM</t>
        </is>
      </c>
      <c r="G760" t="n">
        <v>2</v>
      </c>
      <c r="H760" t="n">
        <v>0</v>
      </c>
      <c r="I760" t="n">
        <v>0</v>
      </c>
      <c r="J760" t="n">
        <v>0</v>
      </c>
      <c r="K760" t="n">
        <v>0</v>
      </c>
      <c r="L760" t="n">
        <v>0</v>
      </c>
      <c r="M760" t="n">
        <v>0</v>
      </c>
      <c r="N760" t="n">
        <v>0</v>
      </c>
      <c r="O760" t="n">
        <v>0</v>
      </c>
      <c r="P760" t="n">
        <v>0</v>
      </c>
      <c r="Q760" t="n">
        <v>0</v>
      </c>
      <c r="R760" s="2" t="inlineStr"/>
    </row>
    <row r="761" ht="15" customHeight="1">
      <c r="A761" t="inlineStr">
        <is>
          <t>A 47840-2023</t>
        </is>
      </c>
      <c r="B761" s="1" t="n">
        <v>45204</v>
      </c>
      <c r="C761" s="1" t="n">
        <v>46072</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62277-2023</t>
        </is>
      </c>
      <c r="B762" s="1" t="n">
        <v>45266</v>
      </c>
      <c r="C762" s="1" t="n">
        <v>46072</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34369-2023</t>
        </is>
      </c>
      <c r="B763" s="1" t="n">
        <v>45139.47817129629</v>
      </c>
      <c r="C763" s="1" t="n">
        <v>46072</v>
      </c>
      <c r="D763" t="inlineStr">
        <is>
          <t>SKÅNE LÄN</t>
        </is>
      </c>
      <c r="E763" t="inlineStr">
        <is>
          <t>HÄSSLEHOLM</t>
        </is>
      </c>
      <c r="G763" t="n">
        <v>2</v>
      </c>
      <c r="H763" t="n">
        <v>0</v>
      </c>
      <c r="I763" t="n">
        <v>0</v>
      </c>
      <c r="J763" t="n">
        <v>0</v>
      </c>
      <c r="K763" t="n">
        <v>0</v>
      </c>
      <c r="L763" t="n">
        <v>0</v>
      </c>
      <c r="M763" t="n">
        <v>0</v>
      </c>
      <c r="N763" t="n">
        <v>0</v>
      </c>
      <c r="O763" t="n">
        <v>0</v>
      </c>
      <c r="P763" t="n">
        <v>0</v>
      </c>
      <c r="Q763" t="n">
        <v>0</v>
      </c>
      <c r="R763" s="2" t="inlineStr"/>
    </row>
    <row r="764" ht="15" customHeight="1">
      <c r="A764" t="inlineStr">
        <is>
          <t>A 34834-2023</t>
        </is>
      </c>
      <c r="B764" s="1" t="n">
        <v>45141.7199537037</v>
      </c>
      <c r="C764" s="1" t="n">
        <v>46072</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6299-2026</t>
        </is>
      </c>
      <c r="B765" s="1" t="n">
        <v>46055.56623842593</v>
      </c>
      <c r="C765" s="1" t="n">
        <v>46072</v>
      </c>
      <c r="D765" t="inlineStr">
        <is>
          <t>SKÅNE LÄN</t>
        </is>
      </c>
      <c r="E765" t="inlineStr">
        <is>
          <t>HÄSSLEHOLM</t>
        </is>
      </c>
      <c r="G765" t="n">
        <v>5.2</v>
      </c>
      <c r="H765" t="n">
        <v>0</v>
      </c>
      <c r="I765" t="n">
        <v>0</v>
      </c>
      <c r="J765" t="n">
        <v>0</v>
      </c>
      <c r="K765" t="n">
        <v>0</v>
      </c>
      <c r="L765" t="n">
        <v>0</v>
      </c>
      <c r="M765" t="n">
        <v>0</v>
      </c>
      <c r="N765" t="n">
        <v>0</v>
      </c>
      <c r="O765" t="n">
        <v>0</v>
      </c>
      <c r="P765" t="n">
        <v>0</v>
      </c>
      <c r="Q765" t="n">
        <v>0</v>
      </c>
      <c r="R765" s="2" t="inlineStr"/>
    </row>
    <row r="766" ht="15" customHeight="1">
      <c r="A766" t="inlineStr">
        <is>
          <t>A 48627-2023</t>
        </is>
      </c>
      <c r="B766" s="1" t="n">
        <v>45208.57371527778</v>
      </c>
      <c r="C766" s="1" t="n">
        <v>46072</v>
      </c>
      <c r="D766" t="inlineStr">
        <is>
          <t>SKÅNE LÄN</t>
        </is>
      </c>
      <c r="E766" t="inlineStr">
        <is>
          <t>HÄSSLEHOLM</t>
        </is>
      </c>
      <c r="G766" t="n">
        <v>1.9</v>
      </c>
      <c r="H766" t="n">
        <v>0</v>
      </c>
      <c r="I766" t="n">
        <v>0</v>
      </c>
      <c r="J766" t="n">
        <v>0</v>
      </c>
      <c r="K766" t="n">
        <v>0</v>
      </c>
      <c r="L766" t="n">
        <v>0</v>
      </c>
      <c r="M766" t="n">
        <v>0</v>
      </c>
      <c r="N766" t="n">
        <v>0</v>
      </c>
      <c r="O766" t="n">
        <v>0</v>
      </c>
      <c r="P766" t="n">
        <v>0</v>
      </c>
      <c r="Q766" t="n">
        <v>0</v>
      </c>
      <c r="R766" s="2" t="inlineStr"/>
    </row>
    <row r="767" ht="15" customHeight="1">
      <c r="A767" t="inlineStr">
        <is>
          <t>A 11607-2025</t>
        </is>
      </c>
      <c r="B767" s="1" t="n">
        <v>45727</v>
      </c>
      <c r="C767" s="1" t="n">
        <v>46072</v>
      </c>
      <c r="D767" t="inlineStr">
        <is>
          <t>SKÅNE LÄN</t>
        </is>
      </c>
      <c r="E767" t="inlineStr">
        <is>
          <t>HÄSSLEHOLM</t>
        </is>
      </c>
      <c r="G767" t="n">
        <v>4.1</v>
      </c>
      <c r="H767" t="n">
        <v>0</v>
      </c>
      <c r="I767" t="n">
        <v>0</v>
      </c>
      <c r="J767" t="n">
        <v>0</v>
      </c>
      <c r="K767" t="n">
        <v>0</v>
      </c>
      <c r="L767" t="n">
        <v>0</v>
      </c>
      <c r="M767" t="n">
        <v>0</v>
      </c>
      <c r="N767" t="n">
        <v>0</v>
      </c>
      <c r="O767" t="n">
        <v>0</v>
      </c>
      <c r="P767" t="n">
        <v>0</v>
      </c>
      <c r="Q767" t="n">
        <v>0</v>
      </c>
      <c r="R767" s="2" t="inlineStr"/>
    </row>
    <row r="768" ht="15" customHeight="1">
      <c r="A768" t="inlineStr">
        <is>
          <t>A 720-2025</t>
        </is>
      </c>
      <c r="B768" s="1" t="n">
        <v>45665.3744212963</v>
      </c>
      <c r="C768" s="1" t="n">
        <v>46072</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12182-2025</t>
        </is>
      </c>
      <c r="B769" s="1" t="n">
        <v>45729</v>
      </c>
      <c r="C769" s="1" t="n">
        <v>46072</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27349-2025</t>
        </is>
      </c>
      <c r="B770" s="1" t="n">
        <v>45812</v>
      </c>
      <c r="C770" s="1" t="n">
        <v>46072</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63415-2025</t>
        </is>
      </c>
      <c r="B771" s="1" t="n">
        <v>46013.32163194445</v>
      </c>
      <c r="C771" s="1" t="n">
        <v>46072</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63416-2025</t>
        </is>
      </c>
      <c r="B772" s="1" t="n">
        <v>46013.3232175926</v>
      </c>
      <c r="C772" s="1" t="n">
        <v>46072</v>
      </c>
      <c r="D772" t="inlineStr">
        <is>
          <t>SKÅNE LÄN</t>
        </is>
      </c>
      <c r="E772" t="inlineStr">
        <is>
          <t>HÄSSLEHOLM</t>
        </is>
      </c>
      <c r="G772" t="n">
        <v>1.9</v>
      </c>
      <c r="H772" t="n">
        <v>0</v>
      </c>
      <c r="I772" t="n">
        <v>0</v>
      </c>
      <c r="J772" t="n">
        <v>0</v>
      </c>
      <c r="K772" t="n">
        <v>0</v>
      </c>
      <c r="L772" t="n">
        <v>0</v>
      </c>
      <c r="M772" t="n">
        <v>0</v>
      </c>
      <c r="N772" t="n">
        <v>0</v>
      </c>
      <c r="O772" t="n">
        <v>0</v>
      </c>
      <c r="P772" t="n">
        <v>0</v>
      </c>
      <c r="Q772" t="n">
        <v>0</v>
      </c>
      <c r="R772" s="2" t="inlineStr"/>
    </row>
    <row r="773" ht="15" customHeight="1">
      <c r="A773" t="inlineStr">
        <is>
          <t>A 63510-2025</t>
        </is>
      </c>
      <c r="B773" s="1" t="n">
        <v>46013.49172453704</v>
      </c>
      <c r="C773" s="1" t="n">
        <v>46072</v>
      </c>
      <c r="D773" t="inlineStr">
        <is>
          <t>SKÅNE LÄN</t>
        </is>
      </c>
      <c r="E773" t="inlineStr">
        <is>
          <t>HÄSSLEHOLM</t>
        </is>
      </c>
      <c r="F773" t="inlineStr">
        <is>
          <t>Kommuner</t>
        </is>
      </c>
      <c r="G773" t="n">
        <v>2</v>
      </c>
      <c r="H773" t="n">
        <v>0</v>
      </c>
      <c r="I773" t="n">
        <v>0</v>
      </c>
      <c r="J773" t="n">
        <v>0</v>
      </c>
      <c r="K773" t="n">
        <v>0</v>
      </c>
      <c r="L773" t="n">
        <v>0</v>
      </c>
      <c r="M773" t="n">
        <v>0</v>
      </c>
      <c r="N773" t="n">
        <v>0</v>
      </c>
      <c r="O773" t="n">
        <v>0</v>
      </c>
      <c r="P773" t="n">
        <v>0</v>
      </c>
      <c r="Q773" t="n">
        <v>0</v>
      </c>
      <c r="R773" s="2" t="inlineStr"/>
    </row>
    <row r="774" ht="15" customHeight="1">
      <c r="A774" t="inlineStr">
        <is>
          <t>A 6295-2026</t>
        </is>
      </c>
      <c r="B774" s="1" t="n">
        <v>46055.56115740741</v>
      </c>
      <c r="C774" s="1" t="n">
        <v>46072</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6309-2026</t>
        </is>
      </c>
      <c r="B775" s="1" t="n">
        <v>46055.57369212963</v>
      </c>
      <c r="C775" s="1" t="n">
        <v>46072</v>
      </c>
      <c r="D775" t="inlineStr">
        <is>
          <t>SKÅNE LÄN</t>
        </is>
      </c>
      <c r="E775" t="inlineStr">
        <is>
          <t>HÄSSLEHOLM</t>
        </is>
      </c>
      <c r="G775" t="n">
        <v>3.5</v>
      </c>
      <c r="H775" t="n">
        <v>0</v>
      </c>
      <c r="I775" t="n">
        <v>0</v>
      </c>
      <c r="J775" t="n">
        <v>0</v>
      </c>
      <c r="K775" t="n">
        <v>0</v>
      </c>
      <c r="L775" t="n">
        <v>0</v>
      </c>
      <c r="M775" t="n">
        <v>0</v>
      </c>
      <c r="N775" t="n">
        <v>0</v>
      </c>
      <c r="O775" t="n">
        <v>0</v>
      </c>
      <c r="P775" t="n">
        <v>0</v>
      </c>
      <c r="Q775" t="n">
        <v>0</v>
      </c>
      <c r="R775" s="2" t="inlineStr"/>
    </row>
    <row r="776" ht="15" customHeight="1">
      <c r="A776" t="inlineStr">
        <is>
          <t>A 6363-2026</t>
        </is>
      </c>
      <c r="B776" s="1" t="n">
        <v>46055.62319444444</v>
      </c>
      <c r="C776" s="1" t="n">
        <v>46072</v>
      </c>
      <c r="D776" t="inlineStr">
        <is>
          <t>SKÅNE LÄN</t>
        </is>
      </c>
      <c r="E776" t="inlineStr">
        <is>
          <t>HÄSSLEHOLM</t>
        </is>
      </c>
      <c r="G776" t="n">
        <v>4.4</v>
      </c>
      <c r="H776" t="n">
        <v>0</v>
      </c>
      <c r="I776" t="n">
        <v>0</v>
      </c>
      <c r="J776" t="n">
        <v>0</v>
      </c>
      <c r="K776" t="n">
        <v>0</v>
      </c>
      <c r="L776" t="n">
        <v>0</v>
      </c>
      <c r="M776" t="n">
        <v>0</v>
      </c>
      <c r="N776" t="n">
        <v>0</v>
      </c>
      <c r="O776" t="n">
        <v>0</v>
      </c>
      <c r="P776" t="n">
        <v>0</v>
      </c>
      <c r="Q776" t="n">
        <v>0</v>
      </c>
      <c r="R776" s="2" t="inlineStr"/>
    </row>
    <row r="777" ht="15" customHeight="1">
      <c r="A777" t="inlineStr">
        <is>
          <t>A 60848-2022</t>
        </is>
      </c>
      <c r="B777" s="1" t="n">
        <v>44914</v>
      </c>
      <c r="C777" s="1" t="n">
        <v>46072</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6164-2023</t>
        </is>
      </c>
      <c r="B778" s="1" t="n">
        <v>44964.66871527778</v>
      </c>
      <c r="C778" s="1" t="n">
        <v>46072</v>
      </c>
      <c r="D778" t="inlineStr">
        <is>
          <t>SKÅNE LÄN</t>
        </is>
      </c>
      <c r="E778" t="inlineStr">
        <is>
          <t>HÄSSLEHOLM</t>
        </is>
      </c>
      <c r="G778" t="n">
        <v>0.7</v>
      </c>
      <c r="H778" t="n">
        <v>0</v>
      </c>
      <c r="I778" t="n">
        <v>0</v>
      </c>
      <c r="J778" t="n">
        <v>0</v>
      </c>
      <c r="K778" t="n">
        <v>0</v>
      </c>
      <c r="L778" t="n">
        <v>0</v>
      </c>
      <c r="M778" t="n">
        <v>0</v>
      </c>
      <c r="N778" t="n">
        <v>0</v>
      </c>
      <c r="O778" t="n">
        <v>0</v>
      </c>
      <c r="P778" t="n">
        <v>0</v>
      </c>
      <c r="Q778" t="n">
        <v>0</v>
      </c>
      <c r="R778" s="2" t="inlineStr"/>
    </row>
    <row r="779" ht="15" customHeight="1">
      <c r="A779" t="inlineStr">
        <is>
          <t>A 63354-2025</t>
        </is>
      </c>
      <c r="B779" s="1" t="n">
        <v>46010.66957175926</v>
      </c>
      <c r="C779" s="1" t="n">
        <v>46072</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63473-2025</t>
        </is>
      </c>
      <c r="B780" s="1" t="n">
        <v>46013.44364583334</v>
      </c>
      <c r="C780" s="1" t="n">
        <v>46072</v>
      </c>
      <c r="D780" t="inlineStr">
        <is>
          <t>SKÅNE LÄN</t>
        </is>
      </c>
      <c r="E780" t="inlineStr">
        <is>
          <t>HÄSSLEHOLM</t>
        </is>
      </c>
      <c r="F780" t="inlineStr">
        <is>
          <t>Kommuner</t>
        </is>
      </c>
      <c r="G780" t="n">
        <v>5.9</v>
      </c>
      <c r="H780" t="n">
        <v>0</v>
      </c>
      <c r="I780" t="n">
        <v>0</v>
      </c>
      <c r="J780" t="n">
        <v>0</v>
      </c>
      <c r="K780" t="n">
        <v>0</v>
      </c>
      <c r="L780" t="n">
        <v>0</v>
      </c>
      <c r="M780" t="n">
        <v>0</v>
      </c>
      <c r="N780" t="n">
        <v>0</v>
      </c>
      <c r="O780" t="n">
        <v>0</v>
      </c>
      <c r="P780" t="n">
        <v>0</v>
      </c>
      <c r="Q780" t="n">
        <v>0</v>
      </c>
      <c r="R780" s="2" t="inlineStr"/>
    </row>
    <row r="781" ht="15" customHeight="1">
      <c r="A781" t="inlineStr">
        <is>
          <t>A 63487-2025</t>
        </is>
      </c>
      <c r="B781" s="1" t="n">
        <v>46013.46878472222</v>
      </c>
      <c r="C781" s="1" t="n">
        <v>46072</v>
      </c>
      <c r="D781" t="inlineStr">
        <is>
          <t>SKÅNE LÄN</t>
        </is>
      </c>
      <c r="E781" t="inlineStr">
        <is>
          <t>HÄSSLEHOLM</t>
        </is>
      </c>
      <c r="F781" t="inlineStr">
        <is>
          <t>Kommuner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45392-2024</t>
        </is>
      </c>
      <c r="B782" s="1" t="n">
        <v>45576.55008101852</v>
      </c>
      <c r="C782" s="1" t="n">
        <v>46072</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16454-2023</t>
        </is>
      </c>
      <c r="B783" s="1" t="n">
        <v>45029.48425925926</v>
      </c>
      <c r="C783" s="1" t="n">
        <v>46072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63414-2025</t>
        </is>
      </c>
      <c r="B784" s="1" t="n">
        <v>46013.32008101852</v>
      </c>
      <c r="C784" s="1" t="n">
        <v>46072</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63476-2025</t>
        </is>
      </c>
      <c r="B785" s="1" t="n">
        <v>46013.44621527778</v>
      </c>
      <c r="C785" s="1" t="n">
        <v>46072</v>
      </c>
      <c r="D785" t="inlineStr">
        <is>
          <t>SKÅNE LÄN</t>
        </is>
      </c>
      <c r="E785" t="inlineStr">
        <is>
          <t>HÄSSLEHOLM</t>
        </is>
      </c>
      <c r="F785" t="inlineStr">
        <is>
          <t>Kommuner</t>
        </is>
      </c>
      <c r="G785" t="n">
        <v>0.6</v>
      </c>
      <c r="H785" t="n">
        <v>0</v>
      </c>
      <c r="I785" t="n">
        <v>0</v>
      </c>
      <c r="J785" t="n">
        <v>0</v>
      </c>
      <c r="K785" t="n">
        <v>0</v>
      </c>
      <c r="L785" t="n">
        <v>0</v>
      </c>
      <c r="M785" t="n">
        <v>0</v>
      </c>
      <c r="N785" t="n">
        <v>0</v>
      </c>
      <c r="O785" t="n">
        <v>0</v>
      </c>
      <c r="P785" t="n">
        <v>0</v>
      </c>
      <c r="Q785" t="n">
        <v>0</v>
      </c>
      <c r="R785" s="2" t="inlineStr"/>
    </row>
    <row r="786" ht="15" customHeight="1">
      <c r="A786" t="inlineStr">
        <is>
          <t>A 17335-2024</t>
        </is>
      </c>
      <c r="B786" s="1" t="n">
        <v>45414.5687962963</v>
      </c>
      <c r="C786" s="1" t="n">
        <v>46072</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63284-2025</t>
        </is>
      </c>
      <c r="B787" s="1" t="n">
        <v>46010</v>
      </c>
      <c r="C787" s="1" t="n">
        <v>46072</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24246-2023</t>
        </is>
      </c>
      <c r="B788" s="1" t="n">
        <v>45079</v>
      </c>
      <c r="C788" s="1" t="n">
        <v>46072</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24249-2023</t>
        </is>
      </c>
      <c r="B789" s="1" t="n">
        <v>45079.62466435185</v>
      </c>
      <c r="C789" s="1" t="n">
        <v>46072</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31989-2024</t>
        </is>
      </c>
      <c r="B790" s="1" t="n">
        <v>45510.58085648148</v>
      </c>
      <c r="C790" s="1" t="n">
        <v>46072</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1120-2024</t>
        </is>
      </c>
      <c r="B791" s="1" t="n">
        <v>45302.4452662037</v>
      </c>
      <c r="C791" s="1" t="n">
        <v>46072</v>
      </c>
      <c r="D791" t="inlineStr">
        <is>
          <t>SKÅNE LÄN</t>
        </is>
      </c>
      <c r="E791" t="inlineStr">
        <is>
          <t>HÄSSLEHOLM</t>
        </is>
      </c>
      <c r="G791" t="n">
        <v>2.7</v>
      </c>
      <c r="H791" t="n">
        <v>0</v>
      </c>
      <c r="I791" t="n">
        <v>0</v>
      </c>
      <c r="J791" t="n">
        <v>0</v>
      </c>
      <c r="K791" t="n">
        <v>0</v>
      </c>
      <c r="L791" t="n">
        <v>0</v>
      </c>
      <c r="M791" t="n">
        <v>0</v>
      </c>
      <c r="N791" t="n">
        <v>0</v>
      </c>
      <c r="O791" t="n">
        <v>0</v>
      </c>
      <c r="P791" t="n">
        <v>0</v>
      </c>
      <c r="Q791" t="n">
        <v>0</v>
      </c>
      <c r="R791" s="2" t="inlineStr"/>
    </row>
    <row r="792" ht="15" customHeight="1">
      <c r="A792" t="inlineStr">
        <is>
          <t>A 6449-2026</t>
        </is>
      </c>
      <c r="B792" s="1" t="n">
        <v>46055.87239583334</v>
      </c>
      <c r="C792" s="1" t="n">
        <v>46072</v>
      </c>
      <c r="D792" t="inlineStr">
        <is>
          <t>SKÅNE LÄN</t>
        </is>
      </c>
      <c r="E792" t="inlineStr">
        <is>
          <t>HÄSSLEHOLM</t>
        </is>
      </c>
      <c r="G792" t="n">
        <v>1.8</v>
      </c>
      <c r="H792" t="n">
        <v>0</v>
      </c>
      <c r="I792" t="n">
        <v>0</v>
      </c>
      <c r="J792" t="n">
        <v>0</v>
      </c>
      <c r="K792" t="n">
        <v>0</v>
      </c>
      <c r="L792" t="n">
        <v>0</v>
      </c>
      <c r="M792" t="n">
        <v>0</v>
      </c>
      <c r="N792" t="n">
        <v>0</v>
      </c>
      <c r="O792" t="n">
        <v>0</v>
      </c>
      <c r="P792" t="n">
        <v>0</v>
      </c>
      <c r="Q792" t="n">
        <v>0</v>
      </c>
      <c r="R792" s="2" t="inlineStr"/>
    </row>
    <row r="793" ht="15" customHeight="1">
      <c r="A793" t="inlineStr">
        <is>
          <t>A 60973-2024</t>
        </is>
      </c>
      <c r="B793" s="1" t="n">
        <v>45644</v>
      </c>
      <c r="C793" s="1" t="n">
        <v>46072</v>
      </c>
      <c r="D793" t="inlineStr">
        <is>
          <t>SKÅNE LÄN</t>
        </is>
      </c>
      <c r="E793" t="inlineStr">
        <is>
          <t>HÄSSLEHOLM</t>
        </is>
      </c>
      <c r="G793" t="n">
        <v>3.6</v>
      </c>
      <c r="H793" t="n">
        <v>0</v>
      </c>
      <c r="I793" t="n">
        <v>0</v>
      </c>
      <c r="J793" t="n">
        <v>0</v>
      </c>
      <c r="K793" t="n">
        <v>0</v>
      </c>
      <c r="L793" t="n">
        <v>0</v>
      </c>
      <c r="M793" t="n">
        <v>0</v>
      </c>
      <c r="N793" t="n">
        <v>0</v>
      </c>
      <c r="O793" t="n">
        <v>0</v>
      </c>
      <c r="P793" t="n">
        <v>0</v>
      </c>
      <c r="Q793" t="n">
        <v>0</v>
      </c>
      <c r="R793" s="2" t="inlineStr"/>
    </row>
    <row r="794" ht="15" customHeight="1">
      <c r="A794" t="inlineStr">
        <is>
          <t>A 47422-2025</t>
        </is>
      </c>
      <c r="B794" s="1" t="n">
        <v>45930</v>
      </c>
      <c r="C794" s="1" t="n">
        <v>46072</v>
      </c>
      <c r="D794" t="inlineStr">
        <is>
          <t>SKÅNE LÄN</t>
        </is>
      </c>
      <c r="E794" t="inlineStr">
        <is>
          <t>HÄSSLEHOLM</t>
        </is>
      </c>
      <c r="G794" t="n">
        <v>3.5</v>
      </c>
      <c r="H794" t="n">
        <v>0</v>
      </c>
      <c r="I794" t="n">
        <v>0</v>
      </c>
      <c r="J794" t="n">
        <v>0</v>
      </c>
      <c r="K794" t="n">
        <v>0</v>
      </c>
      <c r="L794" t="n">
        <v>0</v>
      </c>
      <c r="M794" t="n">
        <v>0</v>
      </c>
      <c r="N794" t="n">
        <v>0</v>
      </c>
      <c r="O794" t="n">
        <v>0</v>
      </c>
      <c r="P794" t="n">
        <v>0</v>
      </c>
      <c r="Q794" t="n">
        <v>0</v>
      </c>
      <c r="R794" s="2" t="inlineStr"/>
    </row>
    <row r="795" ht="15" customHeight="1">
      <c r="A795" t="inlineStr">
        <is>
          <t>A 47432-2025</t>
        </is>
      </c>
      <c r="B795" s="1" t="n">
        <v>45930</v>
      </c>
      <c r="C795" s="1" t="n">
        <v>46072</v>
      </c>
      <c r="D795" t="inlineStr">
        <is>
          <t>SKÅNE LÄN</t>
        </is>
      </c>
      <c r="E795" t="inlineStr">
        <is>
          <t>HÄSSLEHOLM</t>
        </is>
      </c>
      <c r="G795" t="n">
        <v>3.1</v>
      </c>
      <c r="H795" t="n">
        <v>0</v>
      </c>
      <c r="I795" t="n">
        <v>0</v>
      </c>
      <c r="J795" t="n">
        <v>0</v>
      </c>
      <c r="K795" t="n">
        <v>0</v>
      </c>
      <c r="L795" t="n">
        <v>0</v>
      </c>
      <c r="M795" t="n">
        <v>0</v>
      </c>
      <c r="N795" t="n">
        <v>0</v>
      </c>
      <c r="O795" t="n">
        <v>0</v>
      </c>
      <c r="P795" t="n">
        <v>0</v>
      </c>
      <c r="Q795" t="n">
        <v>0</v>
      </c>
      <c r="R795" s="2" t="inlineStr"/>
    </row>
    <row r="796" ht="15" customHeight="1">
      <c r="A796" t="inlineStr">
        <is>
          <t>A 47450-2025</t>
        </is>
      </c>
      <c r="B796" s="1" t="n">
        <v>45930</v>
      </c>
      <c r="C796" s="1" t="n">
        <v>46072</v>
      </c>
      <c r="D796" t="inlineStr">
        <is>
          <t>SKÅNE LÄN</t>
        </is>
      </c>
      <c r="E796" t="inlineStr">
        <is>
          <t>HÄSSLEHOLM</t>
        </is>
      </c>
      <c r="G796" t="n">
        <v>3.2</v>
      </c>
      <c r="H796" t="n">
        <v>0</v>
      </c>
      <c r="I796" t="n">
        <v>0</v>
      </c>
      <c r="J796" t="n">
        <v>0</v>
      </c>
      <c r="K796" t="n">
        <v>0</v>
      </c>
      <c r="L796" t="n">
        <v>0</v>
      </c>
      <c r="M796" t="n">
        <v>0</v>
      </c>
      <c r="N796" t="n">
        <v>0</v>
      </c>
      <c r="O796" t="n">
        <v>0</v>
      </c>
      <c r="P796" t="n">
        <v>0</v>
      </c>
      <c r="Q796" t="n">
        <v>0</v>
      </c>
      <c r="R796" s="2" t="inlineStr"/>
    </row>
    <row r="797" ht="15" customHeight="1">
      <c r="A797" t="inlineStr">
        <is>
          <t>A 6877-2026</t>
        </is>
      </c>
      <c r="B797" s="1" t="n">
        <v>46057.45768518518</v>
      </c>
      <c r="C797" s="1" t="n">
        <v>46072</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63710-2025</t>
        </is>
      </c>
      <c r="B798" s="1" t="n">
        <v>46014.62143518519</v>
      </c>
      <c r="C798" s="1" t="n">
        <v>46072</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63712-2025</t>
        </is>
      </c>
      <c r="B799" s="1" t="n">
        <v>46014.63092592593</v>
      </c>
      <c r="C799" s="1" t="n">
        <v>46072</v>
      </c>
      <c r="D799" t="inlineStr">
        <is>
          <t>SKÅNE LÄN</t>
        </is>
      </c>
      <c r="E799" t="inlineStr">
        <is>
          <t>HÄSSLEHOLM</t>
        </is>
      </c>
      <c r="G799" t="n">
        <v>3.9</v>
      </c>
      <c r="H799" t="n">
        <v>0</v>
      </c>
      <c r="I799" t="n">
        <v>0</v>
      </c>
      <c r="J799" t="n">
        <v>0</v>
      </c>
      <c r="K799" t="n">
        <v>0</v>
      </c>
      <c r="L799" t="n">
        <v>0</v>
      </c>
      <c r="M799" t="n">
        <v>0</v>
      </c>
      <c r="N799" t="n">
        <v>0</v>
      </c>
      <c r="O799" t="n">
        <v>0</v>
      </c>
      <c r="P799" t="n">
        <v>0</v>
      </c>
      <c r="Q799" t="n">
        <v>0</v>
      </c>
      <c r="R799" s="2" t="inlineStr"/>
    </row>
    <row r="800" ht="15" customHeight="1">
      <c r="A800" t="inlineStr">
        <is>
          <t>A 63709-2025</t>
        </is>
      </c>
      <c r="B800" s="1" t="n">
        <v>46014.61700231482</v>
      </c>
      <c r="C800" s="1" t="n">
        <v>46072</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8160-2024</t>
        </is>
      </c>
      <c r="B801" s="1" t="n">
        <v>45351</v>
      </c>
      <c r="C801" s="1" t="n">
        <v>46072</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41680-2024</t>
        </is>
      </c>
      <c r="B802" s="1" t="n">
        <v>45560</v>
      </c>
      <c r="C802" s="1" t="n">
        <v>46072</v>
      </c>
      <c r="D802" t="inlineStr">
        <is>
          <t>SKÅNE LÄN</t>
        </is>
      </c>
      <c r="E802" t="inlineStr">
        <is>
          <t>HÄSSLEHOLM</t>
        </is>
      </c>
      <c r="G802" t="n">
        <v>0.2</v>
      </c>
      <c r="H802" t="n">
        <v>0</v>
      </c>
      <c r="I802" t="n">
        <v>0</v>
      </c>
      <c r="J802" t="n">
        <v>0</v>
      </c>
      <c r="K802" t="n">
        <v>0</v>
      </c>
      <c r="L802" t="n">
        <v>0</v>
      </c>
      <c r="M802" t="n">
        <v>0</v>
      </c>
      <c r="N802" t="n">
        <v>0</v>
      </c>
      <c r="O802" t="n">
        <v>0</v>
      </c>
      <c r="P802" t="n">
        <v>0</v>
      </c>
      <c r="Q802" t="n">
        <v>0</v>
      </c>
      <c r="R802" s="2" t="inlineStr"/>
    </row>
    <row r="803" ht="15" customHeight="1">
      <c r="A803" t="inlineStr">
        <is>
          <t>A 7244-2026</t>
        </is>
      </c>
      <c r="B803" s="1" t="n">
        <v>46058.58646990741</v>
      </c>
      <c r="C803" s="1" t="n">
        <v>46072</v>
      </c>
      <c r="D803" t="inlineStr">
        <is>
          <t>SKÅNE LÄN</t>
        </is>
      </c>
      <c r="E803" t="inlineStr">
        <is>
          <t>HÄSSLEHOLM</t>
        </is>
      </c>
      <c r="G803" t="n">
        <v>7</v>
      </c>
      <c r="H803" t="n">
        <v>0</v>
      </c>
      <c r="I803" t="n">
        <v>0</v>
      </c>
      <c r="J803" t="n">
        <v>0</v>
      </c>
      <c r="K803" t="n">
        <v>0</v>
      </c>
      <c r="L803" t="n">
        <v>0</v>
      </c>
      <c r="M803" t="n">
        <v>0</v>
      </c>
      <c r="N803" t="n">
        <v>0</v>
      </c>
      <c r="O803" t="n">
        <v>0</v>
      </c>
      <c r="P803" t="n">
        <v>0</v>
      </c>
      <c r="Q803" t="n">
        <v>0</v>
      </c>
      <c r="R803" s="2" t="inlineStr"/>
    </row>
    <row r="804" ht="15" customHeight="1">
      <c r="A804" t="inlineStr">
        <is>
          <t>A 27478-2023</t>
        </is>
      </c>
      <c r="B804" s="1" t="n">
        <v>45092</v>
      </c>
      <c r="C804" s="1" t="n">
        <v>46072</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37898-2021</t>
        </is>
      </c>
      <c r="B805" s="1" t="n">
        <v>44403</v>
      </c>
      <c r="C805" s="1" t="n">
        <v>46072</v>
      </c>
      <c r="D805" t="inlineStr">
        <is>
          <t>SKÅNE LÄN</t>
        </is>
      </c>
      <c r="E805" t="inlineStr">
        <is>
          <t>HÄSSLEHOLM</t>
        </is>
      </c>
      <c r="F805" t="inlineStr">
        <is>
          <t>Kommuner</t>
        </is>
      </c>
      <c r="G805" t="n">
        <v>8.4</v>
      </c>
      <c r="H805" t="n">
        <v>0</v>
      </c>
      <c r="I805" t="n">
        <v>0</v>
      </c>
      <c r="J805" t="n">
        <v>0</v>
      </c>
      <c r="K805" t="n">
        <v>0</v>
      </c>
      <c r="L805" t="n">
        <v>0</v>
      </c>
      <c r="M805" t="n">
        <v>0</v>
      </c>
      <c r="N805" t="n">
        <v>0</v>
      </c>
      <c r="O805" t="n">
        <v>0</v>
      </c>
      <c r="P805" t="n">
        <v>0</v>
      </c>
      <c r="Q805" t="n">
        <v>0</v>
      </c>
      <c r="R805" s="2" t="inlineStr"/>
    </row>
    <row r="806" ht="15" customHeight="1">
      <c r="A806" t="inlineStr">
        <is>
          <t>A 26641-2023</t>
        </is>
      </c>
      <c r="B806" s="1" t="n">
        <v>45092.89619212963</v>
      </c>
      <c r="C806" s="1" t="n">
        <v>46072</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16397-2022</t>
        </is>
      </c>
      <c r="B807" s="1" t="n">
        <v>44671</v>
      </c>
      <c r="C807" s="1" t="n">
        <v>46072</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16398-2022</t>
        </is>
      </c>
      <c r="B808" s="1" t="n">
        <v>44671</v>
      </c>
      <c r="C808" s="1" t="n">
        <v>46072</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6316-2026</t>
        </is>
      </c>
      <c r="B809" s="1" t="n">
        <v>46055</v>
      </c>
      <c r="C809" s="1" t="n">
        <v>46072</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6328-2026</t>
        </is>
      </c>
      <c r="B810" s="1" t="n">
        <v>46055</v>
      </c>
      <c r="C810" s="1" t="n">
        <v>46072</v>
      </c>
      <c r="D810" t="inlineStr">
        <is>
          <t>SKÅNE LÄN</t>
        </is>
      </c>
      <c r="E810" t="inlineStr">
        <is>
          <t>HÄSSLEHOLM</t>
        </is>
      </c>
      <c r="G810" t="n">
        <v>1.9</v>
      </c>
      <c r="H810" t="n">
        <v>0</v>
      </c>
      <c r="I810" t="n">
        <v>0</v>
      </c>
      <c r="J810" t="n">
        <v>0</v>
      </c>
      <c r="K810" t="n">
        <v>0</v>
      </c>
      <c r="L810" t="n">
        <v>0</v>
      </c>
      <c r="M810" t="n">
        <v>0</v>
      </c>
      <c r="N810" t="n">
        <v>0</v>
      </c>
      <c r="O810" t="n">
        <v>0</v>
      </c>
      <c r="P810" t="n">
        <v>0</v>
      </c>
      <c r="Q810" t="n">
        <v>0</v>
      </c>
      <c r="R810" s="2" t="inlineStr"/>
    </row>
    <row r="811" ht="15" customHeight="1">
      <c r="A811" t="inlineStr">
        <is>
          <t>A 4512-2024</t>
        </is>
      </c>
      <c r="B811" s="1" t="n">
        <v>45327.6312962963</v>
      </c>
      <c r="C811" s="1" t="n">
        <v>46072</v>
      </c>
      <c r="D811" t="inlineStr">
        <is>
          <t>SKÅNE LÄN</t>
        </is>
      </c>
      <c r="E811" t="inlineStr">
        <is>
          <t>HÄSSLEHOLM</t>
        </is>
      </c>
      <c r="G811" t="n">
        <v>2</v>
      </c>
      <c r="H811" t="n">
        <v>0</v>
      </c>
      <c r="I811" t="n">
        <v>0</v>
      </c>
      <c r="J811" t="n">
        <v>0</v>
      </c>
      <c r="K811" t="n">
        <v>0</v>
      </c>
      <c r="L811" t="n">
        <v>0</v>
      </c>
      <c r="M811" t="n">
        <v>0</v>
      </c>
      <c r="N811" t="n">
        <v>0</v>
      </c>
      <c r="O811" t="n">
        <v>0</v>
      </c>
      <c r="P811" t="n">
        <v>0</v>
      </c>
      <c r="Q811" t="n">
        <v>0</v>
      </c>
      <c r="R811" s="2" t="inlineStr"/>
    </row>
    <row r="812" ht="15" customHeight="1">
      <c r="A812" t="inlineStr">
        <is>
          <t>A 15512-2025</t>
        </is>
      </c>
      <c r="B812" s="1" t="n">
        <v>45747</v>
      </c>
      <c r="C812" s="1" t="n">
        <v>46072</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39044-2024</t>
        </is>
      </c>
      <c r="B813" s="1" t="n">
        <v>45548.47707175926</v>
      </c>
      <c r="C813" s="1" t="n">
        <v>46072</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19020-2024</t>
        </is>
      </c>
      <c r="B814" s="1" t="n">
        <v>45427.66167824074</v>
      </c>
      <c r="C814" s="1" t="n">
        <v>46072</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40734-2024</t>
        </is>
      </c>
      <c r="B815" s="1" t="n">
        <v>45558</v>
      </c>
      <c r="C815" s="1" t="n">
        <v>46072</v>
      </c>
      <c r="D815" t="inlineStr">
        <is>
          <t>SKÅNE LÄN</t>
        </is>
      </c>
      <c r="E815" t="inlineStr">
        <is>
          <t>HÄSSLEHOLM</t>
        </is>
      </c>
      <c r="G815" t="n">
        <v>1.4</v>
      </c>
      <c r="H815" t="n">
        <v>0</v>
      </c>
      <c r="I815" t="n">
        <v>0</v>
      </c>
      <c r="J815" t="n">
        <v>0</v>
      </c>
      <c r="K815" t="n">
        <v>0</v>
      </c>
      <c r="L815" t="n">
        <v>0</v>
      </c>
      <c r="M815" t="n">
        <v>0</v>
      </c>
      <c r="N815" t="n">
        <v>0</v>
      </c>
      <c r="O815" t="n">
        <v>0</v>
      </c>
      <c r="P815" t="n">
        <v>0</v>
      </c>
      <c r="Q815" t="n">
        <v>0</v>
      </c>
      <c r="R815" s="2" t="inlineStr"/>
    </row>
    <row r="816" ht="15" customHeight="1">
      <c r="A816" t="inlineStr">
        <is>
          <t>A 40738-2024</t>
        </is>
      </c>
      <c r="B816" s="1" t="n">
        <v>45558</v>
      </c>
      <c r="C816" s="1" t="n">
        <v>46072</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7721-2026</t>
        </is>
      </c>
      <c r="B817" s="1" t="n">
        <v>46059</v>
      </c>
      <c r="C817" s="1" t="n">
        <v>46072</v>
      </c>
      <c r="D817" t="inlineStr">
        <is>
          <t>SKÅNE LÄN</t>
        </is>
      </c>
      <c r="E817" t="inlineStr">
        <is>
          <t>HÄSSLEHOLM</t>
        </is>
      </c>
      <c r="G817" t="n">
        <v>3.3</v>
      </c>
      <c r="H817" t="n">
        <v>0</v>
      </c>
      <c r="I817" t="n">
        <v>0</v>
      </c>
      <c r="J817" t="n">
        <v>0</v>
      </c>
      <c r="K817" t="n">
        <v>0</v>
      </c>
      <c r="L817" t="n">
        <v>0</v>
      </c>
      <c r="M817" t="n">
        <v>0</v>
      </c>
      <c r="N817" t="n">
        <v>0</v>
      </c>
      <c r="O817" t="n">
        <v>0</v>
      </c>
      <c r="P817" t="n">
        <v>0</v>
      </c>
      <c r="Q817" t="n">
        <v>0</v>
      </c>
      <c r="R817" s="2" t="inlineStr"/>
    </row>
    <row r="818" ht="15" customHeight="1">
      <c r="A818" t="inlineStr">
        <is>
          <t>A 49199-2024</t>
        </is>
      </c>
      <c r="B818" s="1" t="n">
        <v>45595</v>
      </c>
      <c r="C818" s="1" t="n">
        <v>46072</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2712-2024</t>
        </is>
      </c>
      <c r="B819" s="1" t="n">
        <v>45314</v>
      </c>
      <c r="C819" s="1" t="n">
        <v>46072</v>
      </c>
      <c r="D819" t="inlineStr">
        <is>
          <t>SKÅNE LÄN</t>
        </is>
      </c>
      <c r="E819" t="inlineStr">
        <is>
          <t>HÄSSLEHOLM</t>
        </is>
      </c>
      <c r="G819" t="n">
        <v>11.3</v>
      </c>
      <c r="H819" t="n">
        <v>0</v>
      </c>
      <c r="I819" t="n">
        <v>0</v>
      </c>
      <c r="J819" t="n">
        <v>0</v>
      </c>
      <c r="K819" t="n">
        <v>0</v>
      </c>
      <c r="L819" t="n">
        <v>0</v>
      </c>
      <c r="M819" t="n">
        <v>0</v>
      </c>
      <c r="N819" t="n">
        <v>0</v>
      </c>
      <c r="O819" t="n">
        <v>0</v>
      </c>
      <c r="P819" t="n">
        <v>0</v>
      </c>
      <c r="Q819" t="n">
        <v>0</v>
      </c>
      <c r="R819" s="2" t="inlineStr"/>
    </row>
    <row r="820" ht="15" customHeight="1">
      <c r="A820" t="inlineStr">
        <is>
          <t>A 56986-2024</t>
        </is>
      </c>
      <c r="B820" s="1" t="n">
        <v>45626</v>
      </c>
      <c r="C820" s="1" t="n">
        <v>46072</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46222-2022</t>
        </is>
      </c>
      <c r="B821" s="1" t="n">
        <v>44847.58725694445</v>
      </c>
      <c r="C821" s="1" t="n">
        <v>46072</v>
      </c>
      <c r="D821" t="inlineStr">
        <is>
          <t>SKÅNE LÄN</t>
        </is>
      </c>
      <c r="E821" t="inlineStr">
        <is>
          <t>HÄSSLEHOLM</t>
        </is>
      </c>
      <c r="G821" t="n">
        <v>6.3</v>
      </c>
      <c r="H821" t="n">
        <v>0</v>
      </c>
      <c r="I821" t="n">
        <v>0</v>
      </c>
      <c r="J821" t="n">
        <v>0</v>
      </c>
      <c r="K821" t="n">
        <v>0</v>
      </c>
      <c r="L821" t="n">
        <v>0</v>
      </c>
      <c r="M821" t="n">
        <v>0</v>
      </c>
      <c r="N821" t="n">
        <v>0</v>
      </c>
      <c r="O821" t="n">
        <v>0</v>
      </c>
      <c r="P821" t="n">
        <v>0</v>
      </c>
      <c r="Q821" t="n">
        <v>0</v>
      </c>
      <c r="R821" s="2" t="inlineStr"/>
    </row>
    <row r="822" ht="15" customHeight="1">
      <c r="A822" t="inlineStr">
        <is>
          <t>A 2567-2024</t>
        </is>
      </c>
      <c r="B822" s="1" t="n">
        <v>45313.62460648148</v>
      </c>
      <c r="C822" s="1" t="n">
        <v>46072</v>
      </c>
      <c r="D822" t="inlineStr">
        <is>
          <t>SKÅNE LÄN</t>
        </is>
      </c>
      <c r="E822" t="inlineStr">
        <is>
          <t>HÄSSLEHOLM</t>
        </is>
      </c>
      <c r="G822" t="n">
        <v>1.1</v>
      </c>
      <c r="H822" t="n">
        <v>0</v>
      </c>
      <c r="I822" t="n">
        <v>0</v>
      </c>
      <c r="J822" t="n">
        <v>0</v>
      </c>
      <c r="K822" t="n">
        <v>0</v>
      </c>
      <c r="L822" t="n">
        <v>0</v>
      </c>
      <c r="M822" t="n">
        <v>0</v>
      </c>
      <c r="N822" t="n">
        <v>0</v>
      </c>
      <c r="O822" t="n">
        <v>0</v>
      </c>
      <c r="P822" t="n">
        <v>0</v>
      </c>
      <c r="Q822" t="n">
        <v>0</v>
      </c>
      <c r="R822" s="2" t="inlineStr"/>
    </row>
    <row r="823" ht="15" customHeight="1">
      <c r="A823" t="inlineStr">
        <is>
          <t>A 28632-2024</t>
        </is>
      </c>
      <c r="B823" s="1" t="n">
        <v>45478</v>
      </c>
      <c r="C823" s="1" t="n">
        <v>46072</v>
      </c>
      <c r="D823" t="inlineStr">
        <is>
          <t>SKÅNE LÄN</t>
        </is>
      </c>
      <c r="E823" t="inlineStr">
        <is>
          <t>HÄSSLEHOLM</t>
        </is>
      </c>
      <c r="G823" t="n">
        <v>4</v>
      </c>
      <c r="H823" t="n">
        <v>0</v>
      </c>
      <c r="I823" t="n">
        <v>0</v>
      </c>
      <c r="J823" t="n">
        <v>0</v>
      </c>
      <c r="K823" t="n">
        <v>0</v>
      </c>
      <c r="L823" t="n">
        <v>0</v>
      </c>
      <c r="M823" t="n">
        <v>0</v>
      </c>
      <c r="N823" t="n">
        <v>0</v>
      </c>
      <c r="O823" t="n">
        <v>0</v>
      </c>
      <c r="P823" t="n">
        <v>0</v>
      </c>
      <c r="Q823" t="n">
        <v>0</v>
      </c>
      <c r="R823" s="2" t="inlineStr"/>
    </row>
    <row r="824" ht="15" customHeight="1">
      <c r="A824" t="inlineStr">
        <is>
          <t>A 11708-2025</t>
        </is>
      </c>
      <c r="B824" s="1" t="n">
        <v>45727.58626157408</v>
      </c>
      <c r="C824" s="1" t="n">
        <v>46072</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21028-2021</t>
        </is>
      </c>
      <c r="B825" s="1" t="n">
        <v>44319</v>
      </c>
      <c r="C825" s="1" t="n">
        <v>46072</v>
      </c>
      <c r="D825" t="inlineStr">
        <is>
          <t>SKÅNE LÄN</t>
        </is>
      </c>
      <c r="E825" t="inlineStr">
        <is>
          <t>HÄSSLEHOLM</t>
        </is>
      </c>
      <c r="G825" t="n">
        <v>3.1</v>
      </c>
      <c r="H825" t="n">
        <v>0</v>
      </c>
      <c r="I825" t="n">
        <v>0</v>
      </c>
      <c r="J825" t="n">
        <v>0</v>
      </c>
      <c r="K825" t="n">
        <v>0</v>
      </c>
      <c r="L825" t="n">
        <v>0</v>
      </c>
      <c r="M825" t="n">
        <v>0</v>
      </c>
      <c r="N825" t="n">
        <v>0</v>
      </c>
      <c r="O825" t="n">
        <v>0</v>
      </c>
      <c r="P825" t="n">
        <v>0</v>
      </c>
      <c r="Q825" t="n">
        <v>0</v>
      </c>
      <c r="R825" s="2" t="inlineStr"/>
    </row>
    <row r="826" ht="15" customHeight="1">
      <c r="A826" t="inlineStr">
        <is>
          <t>A 69357-2021</t>
        </is>
      </c>
      <c r="B826" s="1" t="n">
        <v>44531</v>
      </c>
      <c r="C826" s="1" t="n">
        <v>46072</v>
      </c>
      <c r="D826" t="inlineStr">
        <is>
          <t>SKÅNE LÄN</t>
        </is>
      </c>
      <c r="E826" t="inlineStr">
        <is>
          <t>HÄSSLEHOLM</t>
        </is>
      </c>
      <c r="G826" t="n">
        <v>1.6</v>
      </c>
      <c r="H826" t="n">
        <v>0</v>
      </c>
      <c r="I826" t="n">
        <v>0</v>
      </c>
      <c r="J826" t="n">
        <v>0</v>
      </c>
      <c r="K826" t="n">
        <v>0</v>
      </c>
      <c r="L826" t="n">
        <v>0</v>
      </c>
      <c r="M826" t="n">
        <v>0</v>
      </c>
      <c r="N826" t="n">
        <v>0</v>
      </c>
      <c r="O826" t="n">
        <v>0</v>
      </c>
      <c r="P826" t="n">
        <v>0</v>
      </c>
      <c r="Q826" t="n">
        <v>0</v>
      </c>
      <c r="R826" s="2" t="inlineStr"/>
    </row>
    <row r="827" ht="15" customHeight="1">
      <c r="A827" t="inlineStr">
        <is>
          <t>A 3855-2023</t>
        </is>
      </c>
      <c r="B827" s="1" t="n">
        <v>44951.69708333333</v>
      </c>
      <c r="C827" s="1" t="n">
        <v>46072</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33481-2024</t>
        </is>
      </c>
      <c r="B828" s="1" t="n">
        <v>45519</v>
      </c>
      <c r="C828" s="1" t="n">
        <v>46072</v>
      </c>
      <c r="D828" t="inlineStr">
        <is>
          <t>SKÅNE LÄN</t>
        </is>
      </c>
      <c r="E828" t="inlineStr">
        <is>
          <t>HÄSSLEHOLM</t>
        </is>
      </c>
      <c r="G828" t="n">
        <v>3</v>
      </c>
      <c r="H828" t="n">
        <v>0</v>
      </c>
      <c r="I828" t="n">
        <v>0</v>
      </c>
      <c r="J828" t="n">
        <v>0</v>
      </c>
      <c r="K828" t="n">
        <v>0</v>
      </c>
      <c r="L828" t="n">
        <v>0</v>
      </c>
      <c r="M828" t="n">
        <v>0</v>
      </c>
      <c r="N828" t="n">
        <v>0</v>
      </c>
      <c r="O828" t="n">
        <v>0</v>
      </c>
      <c r="P828" t="n">
        <v>0</v>
      </c>
      <c r="Q828" t="n">
        <v>0</v>
      </c>
      <c r="R828" s="2" t="inlineStr"/>
    </row>
    <row r="829" ht="15" customHeight="1">
      <c r="A829" t="inlineStr">
        <is>
          <t>A 1289-2024</t>
        </is>
      </c>
      <c r="B829" s="1" t="n">
        <v>45303.32234953704</v>
      </c>
      <c r="C829" s="1" t="n">
        <v>46072</v>
      </c>
      <c r="D829" t="inlineStr">
        <is>
          <t>SKÅNE LÄN</t>
        </is>
      </c>
      <c r="E829" t="inlineStr">
        <is>
          <t>HÄSSLEHOLM</t>
        </is>
      </c>
      <c r="G829" t="n">
        <v>4.6</v>
      </c>
      <c r="H829" t="n">
        <v>0</v>
      </c>
      <c r="I829" t="n">
        <v>0</v>
      </c>
      <c r="J829" t="n">
        <v>0</v>
      </c>
      <c r="K829" t="n">
        <v>0</v>
      </c>
      <c r="L829" t="n">
        <v>0</v>
      </c>
      <c r="M829" t="n">
        <v>0</v>
      </c>
      <c r="N829" t="n">
        <v>0</v>
      </c>
      <c r="O829" t="n">
        <v>0</v>
      </c>
      <c r="P829" t="n">
        <v>0</v>
      </c>
      <c r="Q829" t="n">
        <v>0</v>
      </c>
      <c r="R829" s="2" t="inlineStr"/>
    </row>
    <row r="830" ht="15" customHeight="1">
      <c r="A830" t="inlineStr">
        <is>
          <t>A 54176-2022</t>
        </is>
      </c>
      <c r="B830" s="1" t="n">
        <v>44881</v>
      </c>
      <c r="C830" s="1" t="n">
        <v>46072</v>
      </c>
      <c r="D830" t="inlineStr">
        <is>
          <t>SKÅNE LÄN</t>
        </is>
      </c>
      <c r="E830" t="inlineStr">
        <is>
          <t>HÄSSLEHOLM</t>
        </is>
      </c>
      <c r="G830" t="n">
        <v>1.1</v>
      </c>
      <c r="H830" t="n">
        <v>0</v>
      </c>
      <c r="I830" t="n">
        <v>0</v>
      </c>
      <c r="J830" t="n">
        <v>0</v>
      </c>
      <c r="K830" t="n">
        <v>0</v>
      </c>
      <c r="L830" t="n">
        <v>0</v>
      </c>
      <c r="M830" t="n">
        <v>0</v>
      </c>
      <c r="N830" t="n">
        <v>0</v>
      </c>
      <c r="O830" t="n">
        <v>0</v>
      </c>
      <c r="P830" t="n">
        <v>0</v>
      </c>
      <c r="Q830" t="n">
        <v>0</v>
      </c>
      <c r="R830" s="2" t="inlineStr"/>
    </row>
    <row r="831" ht="15" customHeight="1">
      <c r="A831" t="inlineStr">
        <is>
          <t>A 7152-2025</t>
        </is>
      </c>
      <c r="B831" s="1" t="n">
        <v>45702.3837037037</v>
      </c>
      <c r="C831" s="1" t="n">
        <v>46072</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7160-2025</t>
        </is>
      </c>
      <c r="B832" s="1" t="n">
        <v>45702.3875462963</v>
      </c>
      <c r="C832" s="1" t="n">
        <v>46072</v>
      </c>
      <c r="D832" t="inlineStr">
        <is>
          <t>SKÅNE LÄN</t>
        </is>
      </c>
      <c r="E832" t="inlineStr">
        <is>
          <t>HÄSSLEHOLM</t>
        </is>
      </c>
      <c r="G832" t="n">
        <v>2.5</v>
      </c>
      <c r="H832" t="n">
        <v>0</v>
      </c>
      <c r="I832" t="n">
        <v>0</v>
      </c>
      <c r="J832" t="n">
        <v>0</v>
      </c>
      <c r="K832" t="n">
        <v>0</v>
      </c>
      <c r="L832" t="n">
        <v>0</v>
      </c>
      <c r="M832" t="n">
        <v>0</v>
      </c>
      <c r="N832" t="n">
        <v>0</v>
      </c>
      <c r="O832" t="n">
        <v>0</v>
      </c>
      <c r="P832" t="n">
        <v>0</v>
      </c>
      <c r="Q832" t="n">
        <v>0</v>
      </c>
      <c r="R832" s="2" t="inlineStr"/>
    </row>
    <row r="833" ht="15" customHeight="1">
      <c r="A833" t="inlineStr">
        <is>
          <t>A 7785-2026</t>
        </is>
      </c>
      <c r="B833" s="1" t="n">
        <v>46062.58422453704</v>
      </c>
      <c r="C833" s="1" t="n">
        <v>46072</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27291-2023</t>
        </is>
      </c>
      <c r="B834" s="1" t="n">
        <v>45096</v>
      </c>
      <c r="C834" s="1" t="n">
        <v>46072</v>
      </c>
      <c r="D834" t="inlineStr">
        <is>
          <t>SKÅNE LÄN</t>
        </is>
      </c>
      <c r="E834" t="inlineStr">
        <is>
          <t>HÄSSLEHOLM</t>
        </is>
      </c>
      <c r="G834" t="n">
        <v>3.5</v>
      </c>
      <c r="H834" t="n">
        <v>0</v>
      </c>
      <c r="I834" t="n">
        <v>0</v>
      </c>
      <c r="J834" t="n">
        <v>0</v>
      </c>
      <c r="K834" t="n">
        <v>0</v>
      </c>
      <c r="L834" t="n">
        <v>0</v>
      </c>
      <c r="M834" t="n">
        <v>0</v>
      </c>
      <c r="N834" t="n">
        <v>0</v>
      </c>
      <c r="O834" t="n">
        <v>0</v>
      </c>
      <c r="P834" t="n">
        <v>0</v>
      </c>
      <c r="Q834" t="n">
        <v>0</v>
      </c>
      <c r="R834" s="2" t="inlineStr"/>
    </row>
    <row r="835" ht="15" customHeight="1">
      <c r="A835" t="inlineStr">
        <is>
          <t>A 441-2022</t>
        </is>
      </c>
      <c r="B835" s="1" t="n">
        <v>44565.97125</v>
      </c>
      <c r="C835" s="1" t="n">
        <v>46072</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8538-2026</t>
        </is>
      </c>
      <c r="B836" s="1" t="n">
        <v>46064</v>
      </c>
      <c r="C836" s="1" t="n">
        <v>46072</v>
      </c>
      <c r="D836" t="inlineStr">
        <is>
          <t>SKÅNE LÄN</t>
        </is>
      </c>
      <c r="E836" t="inlineStr">
        <is>
          <t>HÄSSLEHOLM</t>
        </is>
      </c>
      <c r="G836" t="n">
        <v>1.3</v>
      </c>
      <c r="H836" t="n">
        <v>0</v>
      </c>
      <c r="I836" t="n">
        <v>0</v>
      </c>
      <c r="J836" t="n">
        <v>0</v>
      </c>
      <c r="K836" t="n">
        <v>0</v>
      </c>
      <c r="L836" t="n">
        <v>0</v>
      </c>
      <c r="M836" t="n">
        <v>0</v>
      </c>
      <c r="N836" t="n">
        <v>0</v>
      </c>
      <c r="O836" t="n">
        <v>0</v>
      </c>
      <c r="P836" t="n">
        <v>0</v>
      </c>
      <c r="Q836" t="n">
        <v>0</v>
      </c>
      <c r="R836" s="2" t="inlineStr"/>
    </row>
    <row r="837" ht="15" customHeight="1">
      <c r="A837" t="inlineStr">
        <is>
          <t>A 5887-2025</t>
        </is>
      </c>
      <c r="B837" s="1" t="n">
        <v>45695.37925925926</v>
      </c>
      <c r="C837" s="1" t="n">
        <v>46072</v>
      </c>
      <c r="D837" t="inlineStr">
        <is>
          <t>SKÅNE LÄN</t>
        </is>
      </c>
      <c r="E837" t="inlineStr">
        <is>
          <t>HÄSSLEHOLM</t>
        </is>
      </c>
      <c r="G837" t="n">
        <v>4.8</v>
      </c>
      <c r="H837" t="n">
        <v>0</v>
      </c>
      <c r="I837" t="n">
        <v>0</v>
      </c>
      <c r="J837" t="n">
        <v>0</v>
      </c>
      <c r="K837" t="n">
        <v>0</v>
      </c>
      <c r="L837" t="n">
        <v>0</v>
      </c>
      <c r="M837" t="n">
        <v>0</v>
      </c>
      <c r="N837" t="n">
        <v>0</v>
      </c>
      <c r="O837" t="n">
        <v>0</v>
      </c>
      <c r="P837" t="n">
        <v>0</v>
      </c>
      <c r="Q837" t="n">
        <v>0</v>
      </c>
      <c r="R837" s="2" t="inlineStr"/>
    </row>
    <row r="838" ht="15" customHeight="1">
      <c r="A838" t="inlineStr">
        <is>
          <t>A 58689-2025</t>
        </is>
      </c>
      <c r="B838" s="1" t="n">
        <v>45986</v>
      </c>
      <c r="C838" s="1" t="n">
        <v>46072</v>
      </c>
      <c r="D838" t="inlineStr">
        <is>
          <t>SKÅNE LÄN</t>
        </is>
      </c>
      <c r="E838" t="inlineStr">
        <is>
          <t>HÄSSLEHOLM</t>
        </is>
      </c>
      <c r="G838" t="n">
        <v>3.9</v>
      </c>
      <c r="H838" t="n">
        <v>0</v>
      </c>
      <c r="I838" t="n">
        <v>0</v>
      </c>
      <c r="J838" t="n">
        <v>0</v>
      </c>
      <c r="K838" t="n">
        <v>0</v>
      </c>
      <c r="L838" t="n">
        <v>0</v>
      </c>
      <c r="M838" t="n">
        <v>0</v>
      </c>
      <c r="N838" t="n">
        <v>0</v>
      </c>
      <c r="O838" t="n">
        <v>0</v>
      </c>
      <c r="P838" t="n">
        <v>0</v>
      </c>
      <c r="Q838" t="n">
        <v>0</v>
      </c>
      <c r="R838" s="2" t="inlineStr"/>
    </row>
    <row r="839" ht="15" customHeight="1">
      <c r="A839" t="inlineStr">
        <is>
          <t>A 14157-2021</t>
        </is>
      </c>
      <c r="B839" s="1" t="n">
        <v>44278.43246527778</v>
      </c>
      <c r="C839" s="1" t="n">
        <v>46072</v>
      </c>
      <c r="D839" t="inlineStr">
        <is>
          <t>SKÅNE LÄN</t>
        </is>
      </c>
      <c r="E839" t="inlineStr">
        <is>
          <t>HÄSSLEHOLM</t>
        </is>
      </c>
      <c r="G839" t="n">
        <v>10.5</v>
      </c>
      <c r="H839" t="n">
        <v>0</v>
      </c>
      <c r="I839" t="n">
        <v>0</v>
      </c>
      <c r="J839" t="n">
        <v>0</v>
      </c>
      <c r="K839" t="n">
        <v>0</v>
      </c>
      <c r="L839" t="n">
        <v>0</v>
      </c>
      <c r="M839" t="n">
        <v>0</v>
      </c>
      <c r="N839" t="n">
        <v>0</v>
      </c>
      <c r="O839" t="n">
        <v>0</v>
      </c>
      <c r="P839" t="n">
        <v>0</v>
      </c>
      <c r="Q839" t="n">
        <v>0</v>
      </c>
      <c r="R839" s="2" t="inlineStr"/>
    </row>
    <row r="840" ht="15" customHeight="1">
      <c r="A840" t="inlineStr">
        <is>
          <t>A 54874-2022</t>
        </is>
      </c>
      <c r="B840" s="1" t="n">
        <v>44881</v>
      </c>
      <c r="C840" s="1" t="n">
        <v>46072</v>
      </c>
      <c r="D840" t="inlineStr">
        <is>
          <t>SKÅNE LÄN</t>
        </is>
      </c>
      <c r="E840" t="inlineStr">
        <is>
          <t>HÄSSLEHOLM</t>
        </is>
      </c>
      <c r="G840" t="n">
        <v>8.1</v>
      </c>
      <c r="H840" t="n">
        <v>0</v>
      </c>
      <c r="I840" t="n">
        <v>0</v>
      </c>
      <c r="J840" t="n">
        <v>0</v>
      </c>
      <c r="K840" t="n">
        <v>0</v>
      </c>
      <c r="L840" t="n">
        <v>0</v>
      </c>
      <c r="M840" t="n">
        <v>0</v>
      </c>
      <c r="N840" t="n">
        <v>0</v>
      </c>
      <c r="O840" t="n">
        <v>0</v>
      </c>
      <c r="P840" t="n">
        <v>0</v>
      </c>
      <c r="Q840" t="n">
        <v>0</v>
      </c>
      <c r="R840" s="2" t="inlineStr"/>
    </row>
    <row r="841" ht="15" customHeight="1">
      <c r="A841" t="inlineStr">
        <is>
          <t>A 8539-2026</t>
        </is>
      </c>
      <c r="B841" s="1" t="n">
        <v>46064</v>
      </c>
      <c r="C841" s="1" t="n">
        <v>46072</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47394-2025</t>
        </is>
      </c>
      <c r="B842" s="1" t="n">
        <v>45930</v>
      </c>
      <c r="C842" s="1" t="n">
        <v>46072</v>
      </c>
      <c r="D842" t="inlineStr">
        <is>
          <t>SKÅNE LÄN</t>
        </is>
      </c>
      <c r="E842" t="inlineStr">
        <is>
          <t>HÄSSLEHOLM</t>
        </is>
      </c>
      <c r="G842" t="n">
        <v>2.4</v>
      </c>
      <c r="H842" t="n">
        <v>0</v>
      </c>
      <c r="I842" t="n">
        <v>0</v>
      </c>
      <c r="J842" t="n">
        <v>0</v>
      </c>
      <c r="K842" t="n">
        <v>0</v>
      </c>
      <c r="L842" t="n">
        <v>0</v>
      </c>
      <c r="M842" t="n">
        <v>0</v>
      </c>
      <c r="N842" t="n">
        <v>0</v>
      </c>
      <c r="O842" t="n">
        <v>0</v>
      </c>
      <c r="P842" t="n">
        <v>0</v>
      </c>
      <c r="Q842" t="n">
        <v>0</v>
      </c>
      <c r="R842" s="2" t="inlineStr"/>
    </row>
    <row r="843" ht="15" customHeight="1">
      <c r="A843" t="inlineStr">
        <is>
          <t>A 17152-2025</t>
        </is>
      </c>
      <c r="B843" s="1" t="n">
        <v>45756.33318287037</v>
      </c>
      <c r="C843" s="1" t="n">
        <v>46072</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34301-2024</t>
        </is>
      </c>
      <c r="B844" s="1" t="n">
        <v>45524</v>
      </c>
      <c r="C844" s="1" t="n">
        <v>46072</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27242-2022</t>
        </is>
      </c>
      <c r="B845" s="1" t="n">
        <v>44741</v>
      </c>
      <c r="C845" s="1" t="n">
        <v>46072</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61158-2022</t>
        </is>
      </c>
      <c r="B846" s="1" t="n">
        <v>44915.47112268519</v>
      </c>
      <c r="C846" s="1" t="n">
        <v>46072</v>
      </c>
      <c r="D846" t="inlineStr">
        <is>
          <t>SKÅNE LÄN</t>
        </is>
      </c>
      <c r="E846" t="inlineStr">
        <is>
          <t>HÄSSLEHOLM</t>
        </is>
      </c>
      <c r="G846" t="n">
        <v>8.4</v>
      </c>
      <c r="H846" t="n">
        <v>0</v>
      </c>
      <c r="I846" t="n">
        <v>0</v>
      </c>
      <c r="J846" t="n">
        <v>0</v>
      </c>
      <c r="K846" t="n">
        <v>0</v>
      </c>
      <c r="L846" t="n">
        <v>0</v>
      </c>
      <c r="M846" t="n">
        <v>0</v>
      </c>
      <c r="N846" t="n">
        <v>0</v>
      </c>
      <c r="O846" t="n">
        <v>0</v>
      </c>
      <c r="P846" t="n">
        <v>0</v>
      </c>
      <c r="Q846" t="n">
        <v>0</v>
      </c>
      <c r="R846" s="2" t="inlineStr"/>
    </row>
    <row r="847" ht="15" customHeight="1">
      <c r="A847" t="inlineStr">
        <is>
          <t>A 61186-2022</t>
        </is>
      </c>
      <c r="B847" s="1" t="n">
        <v>44915.50745370371</v>
      </c>
      <c r="C847" s="1" t="n">
        <v>46072</v>
      </c>
      <c r="D847" t="inlineStr">
        <is>
          <t>SKÅNE LÄN</t>
        </is>
      </c>
      <c r="E847" t="inlineStr">
        <is>
          <t>HÄSSLEHOLM</t>
        </is>
      </c>
      <c r="G847" t="n">
        <v>2.9</v>
      </c>
      <c r="H847" t="n">
        <v>0</v>
      </c>
      <c r="I847" t="n">
        <v>0</v>
      </c>
      <c r="J847" t="n">
        <v>0</v>
      </c>
      <c r="K847" t="n">
        <v>0</v>
      </c>
      <c r="L847" t="n">
        <v>0</v>
      </c>
      <c r="M847" t="n">
        <v>0</v>
      </c>
      <c r="N847" t="n">
        <v>0</v>
      </c>
      <c r="O847" t="n">
        <v>0</v>
      </c>
      <c r="P847" t="n">
        <v>0</v>
      </c>
      <c r="Q847" t="n">
        <v>0</v>
      </c>
      <c r="R847" s="2" t="inlineStr"/>
    </row>
    <row r="848" ht="15" customHeight="1">
      <c r="A848" t="inlineStr">
        <is>
          <t>A 62055-2023</t>
        </is>
      </c>
      <c r="B848" s="1" t="n">
        <v>45266.70287037037</v>
      </c>
      <c r="C848" s="1" t="n">
        <v>46072</v>
      </c>
      <c r="D848" t="inlineStr">
        <is>
          <t>SKÅNE LÄN</t>
        </is>
      </c>
      <c r="E848" t="inlineStr">
        <is>
          <t>HÄSSLEHOLM</t>
        </is>
      </c>
      <c r="G848" t="n">
        <v>5.2</v>
      </c>
      <c r="H848" t="n">
        <v>0</v>
      </c>
      <c r="I848" t="n">
        <v>0</v>
      </c>
      <c r="J848" t="n">
        <v>0</v>
      </c>
      <c r="K848" t="n">
        <v>0</v>
      </c>
      <c r="L848" t="n">
        <v>0</v>
      </c>
      <c r="M848" t="n">
        <v>0</v>
      </c>
      <c r="N848" t="n">
        <v>0</v>
      </c>
      <c r="O848" t="n">
        <v>0</v>
      </c>
      <c r="P848" t="n">
        <v>0</v>
      </c>
      <c r="Q848" t="n">
        <v>0</v>
      </c>
      <c r="R848" s="2" t="inlineStr"/>
    </row>
    <row r="849" ht="15" customHeight="1">
      <c r="A849" t="inlineStr">
        <is>
          <t>A 8674-2026</t>
        </is>
      </c>
      <c r="B849" s="1" t="n">
        <v>46066.4059837963</v>
      </c>
      <c r="C849" s="1" t="n">
        <v>46072</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8367-2026</t>
        </is>
      </c>
      <c r="B850" s="1" t="n">
        <v>46064</v>
      </c>
      <c r="C850" s="1" t="n">
        <v>46072</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33465-2024</t>
        </is>
      </c>
      <c r="B851" s="1" t="n">
        <v>45519.59619212963</v>
      </c>
      <c r="C851" s="1" t="n">
        <v>46072</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54807-2025</t>
        </is>
      </c>
      <c r="B852" s="1" t="n">
        <v>45966</v>
      </c>
      <c r="C852" s="1" t="n">
        <v>46072</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58632-2025</t>
        </is>
      </c>
      <c r="B853" s="1" t="n">
        <v>45986</v>
      </c>
      <c r="C853" s="1" t="n">
        <v>46072</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26642-2023</t>
        </is>
      </c>
      <c r="B854" s="1" t="n">
        <v>45092.8975</v>
      </c>
      <c r="C854" s="1" t="n">
        <v>46072</v>
      </c>
      <c r="D854" t="inlineStr">
        <is>
          <t>SKÅNE LÄN</t>
        </is>
      </c>
      <c r="E854" t="inlineStr">
        <is>
          <t>HÄSSLEHOLM</t>
        </is>
      </c>
      <c r="G854" t="n">
        <v>0.5</v>
      </c>
      <c r="H854" t="n">
        <v>0</v>
      </c>
      <c r="I854" t="n">
        <v>0</v>
      </c>
      <c r="J854" t="n">
        <v>0</v>
      </c>
      <c r="K854" t="n">
        <v>0</v>
      </c>
      <c r="L854" t="n">
        <v>0</v>
      </c>
      <c r="M854" t="n">
        <v>0</v>
      </c>
      <c r="N854" t="n">
        <v>0</v>
      </c>
      <c r="O854" t="n">
        <v>0</v>
      </c>
      <c r="P854" t="n">
        <v>0</v>
      </c>
      <c r="Q854" t="n">
        <v>0</v>
      </c>
      <c r="R854" s="2" t="inlineStr"/>
    </row>
    <row r="855" ht="15" customHeight="1">
      <c r="A855" t="inlineStr">
        <is>
          <t>A 20510-2021</t>
        </is>
      </c>
      <c r="B855" s="1" t="n">
        <v>44315</v>
      </c>
      <c r="C855" s="1" t="n">
        <v>46072</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66321-2021</t>
        </is>
      </c>
      <c r="B856" s="1" t="n">
        <v>44518</v>
      </c>
      <c r="C856" s="1" t="n">
        <v>46072</v>
      </c>
      <c r="D856" t="inlineStr">
        <is>
          <t>SKÅNE LÄN</t>
        </is>
      </c>
      <c r="E856" t="inlineStr">
        <is>
          <t>HÄSSLEHOLM</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16668-2025</t>
        </is>
      </c>
      <c r="B857" s="1" t="n">
        <v>45754.43009259259</v>
      </c>
      <c r="C857" s="1" t="n">
        <v>46072</v>
      </c>
      <c r="D857" t="inlineStr">
        <is>
          <t>SKÅNE LÄN</t>
        </is>
      </c>
      <c r="E857" t="inlineStr">
        <is>
          <t>HÄSSLEHOLM</t>
        </is>
      </c>
      <c r="G857" t="n">
        <v>4</v>
      </c>
      <c r="H857" t="n">
        <v>0</v>
      </c>
      <c r="I857" t="n">
        <v>0</v>
      </c>
      <c r="J857" t="n">
        <v>0</v>
      </c>
      <c r="K857" t="n">
        <v>0</v>
      </c>
      <c r="L857" t="n">
        <v>0</v>
      </c>
      <c r="M857" t="n">
        <v>0</v>
      </c>
      <c r="N857" t="n">
        <v>0</v>
      </c>
      <c r="O857" t="n">
        <v>0</v>
      </c>
      <c r="P857" t="n">
        <v>0</v>
      </c>
      <c r="Q857" t="n">
        <v>0</v>
      </c>
      <c r="R857" s="2" t="inlineStr"/>
    </row>
    <row r="858" ht="15" customHeight="1">
      <c r="A858" t="inlineStr">
        <is>
          <t>A 23857-2024</t>
        </is>
      </c>
      <c r="B858" s="1" t="n">
        <v>45455</v>
      </c>
      <c r="C858" s="1" t="n">
        <v>46072</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31268-2024</t>
        </is>
      </c>
      <c r="B859" s="1" t="n">
        <v>45504</v>
      </c>
      <c r="C859" s="1" t="n">
        <v>46072</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51287-2022</t>
        </is>
      </c>
      <c r="B860" s="1" t="n">
        <v>44868.83146990741</v>
      </c>
      <c r="C860" s="1" t="n">
        <v>46072</v>
      </c>
      <c r="D860" t="inlineStr">
        <is>
          <t>SKÅNE LÄN</t>
        </is>
      </c>
      <c r="E860" t="inlineStr">
        <is>
          <t>HÄSSLEHOLM</t>
        </is>
      </c>
      <c r="G860" t="n">
        <v>2.2</v>
      </c>
      <c r="H860" t="n">
        <v>0</v>
      </c>
      <c r="I860" t="n">
        <v>0</v>
      </c>
      <c r="J860" t="n">
        <v>0</v>
      </c>
      <c r="K860" t="n">
        <v>0</v>
      </c>
      <c r="L860" t="n">
        <v>0</v>
      </c>
      <c r="M860" t="n">
        <v>0</v>
      </c>
      <c r="N860" t="n">
        <v>0</v>
      </c>
      <c r="O860" t="n">
        <v>0</v>
      </c>
      <c r="P860" t="n">
        <v>0</v>
      </c>
      <c r="Q860" t="n">
        <v>0</v>
      </c>
      <c r="R860" s="2" t="inlineStr"/>
    </row>
    <row r="861" ht="15" customHeight="1">
      <c r="A861" t="inlineStr">
        <is>
          <t>A 54426-2025</t>
        </is>
      </c>
      <c r="B861" s="1" t="n">
        <v>45965</v>
      </c>
      <c r="C861" s="1" t="n">
        <v>46072</v>
      </c>
      <c r="D861" t="inlineStr">
        <is>
          <t>SKÅNE LÄN</t>
        </is>
      </c>
      <c r="E861" t="inlineStr">
        <is>
          <t>HÄSSLEHOLM</t>
        </is>
      </c>
      <c r="G861" t="n">
        <v>3.7</v>
      </c>
      <c r="H861" t="n">
        <v>0</v>
      </c>
      <c r="I861" t="n">
        <v>0</v>
      </c>
      <c r="J861" t="n">
        <v>0</v>
      </c>
      <c r="K861" t="n">
        <v>0</v>
      </c>
      <c r="L861" t="n">
        <v>0</v>
      </c>
      <c r="M861" t="n">
        <v>0</v>
      </c>
      <c r="N861" t="n">
        <v>0</v>
      </c>
      <c r="O861" t="n">
        <v>0</v>
      </c>
      <c r="P861" t="n">
        <v>0</v>
      </c>
      <c r="Q861" t="n">
        <v>0</v>
      </c>
      <c r="R861" s="2" t="inlineStr"/>
    </row>
    <row r="862" ht="15" customHeight="1">
      <c r="A862" t="inlineStr">
        <is>
          <t>A 20494-2024</t>
        </is>
      </c>
      <c r="B862" s="1" t="n">
        <v>45435</v>
      </c>
      <c r="C862" s="1" t="n">
        <v>46072</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55454-2021</t>
        </is>
      </c>
      <c r="B863" s="1" t="n">
        <v>44475</v>
      </c>
      <c r="C863" s="1" t="n">
        <v>46072</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8852-2026</t>
        </is>
      </c>
      <c r="B864" s="1" t="n">
        <v>46066.66105324074</v>
      </c>
      <c r="C864" s="1" t="n">
        <v>46072</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31572-2022</t>
        </is>
      </c>
      <c r="B865" s="1" t="n">
        <v>44775</v>
      </c>
      <c r="C865" s="1" t="n">
        <v>46072</v>
      </c>
      <c r="D865" t="inlineStr">
        <is>
          <t>SKÅNE LÄN</t>
        </is>
      </c>
      <c r="E865" t="inlineStr">
        <is>
          <t>HÄSSLEHOLM</t>
        </is>
      </c>
      <c r="F865" t="inlineStr">
        <is>
          <t>Kommuner</t>
        </is>
      </c>
      <c r="G865" t="n">
        <v>1.2</v>
      </c>
      <c r="H865" t="n">
        <v>0</v>
      </c>
      <c r="I865" t="n">
        <v>0</v>
      </c>
      <c r="J865" t="n">
        <v>0</v>
      </c>
      <c r="K865" t="n">
        <v>0</v>
      </c>
      <c r="L865" t="n">
        <v>0</v>
      </c>
      <c r="M865" t="n">
        <v>0</v>
      </c>
      <c r="N865" t="n">
        <v>0</v>
      </c>
      <c r="O865" t="n">
        <v>0</v>
      </c>
      <c r="P865" t="n">
        <v>0</v>
      </c>
      <c r="Q865" t="n">
        <v>0</v>
      </c>
      <c r="R865" s="2" t="inlineStr"/>
    </row>
    <row r="866" ht="15" customHeight="1">
      <c r="A866" t="inlineStr">
        <is>
          <t>A 4356-2024</t>
        </is>
      </c>
      <c r="B866" s="1" t="n">
        <v>45325.36195601852</v>
      </c>
      <c r="C866" s="1" t="n">
        <v>46072</v>
      </c>
      <c r="D866" t="inlineStr">
        <is>
          <t>SKÅNE LÄN</t>
        </is>
      </c>
      <c r="E866" t="inlineStr">
        <is>
          <t>HÄSSLEHOLM</t>
        </is>
      </c>
      <c r="G866" t="n">
        <v>3.2</v>
      </c>
      <c r="H866" t="n">
        <v>0</v>
      </c>
      <c r="I866" t="n">
        <v>0</v>
      </c>
      <c r="J866" t="n">
        <v>0</v>
      </c>
      <c r="K866" t="n">
        <v>0</v>
      </c>
      <c r="L866" t="n">
        <v>0</v>
      </c>
      <c r="M866" t="n">
        <v>0</v>
      </c>
      <c r="N866" t="n">
        <v>0</v>
      </c>
      <c r="O866" t="n">
        <v>0</v>
      </c>
      <c r="P866" t="n">
        <v>0</v>
      </c>
      <c r="Q866" t="n">
        <v>0</v>
      </c>
      <c r="R866" s="2" t="inlineStr"/>
    </row>
    <row r="867" ht="15" customHeight="1">
      <c r="A867" t="inlineStr">
        <is>
          <t>A 3480-2024</t>
        </is>
      </c>
      <c r="B867" s="1" t="n">
        <v>45320.43998842593</v>
      </c>
      <c r="C867" s="1" t="n">
        <v>46072</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5980-2024</t>
        </is>
      </c>
      <c r="B868" s="1" t="n">
        <v>45335</v>
      </c>
      <c r="C868" s="1" t="n">
        <v>46072</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10802-2024</t>
        </is>
      </c>
      <c r="B869" s="1" t="n">
        <v>45369</v>
      </c>
      <c r="C869" s="1" t="n">
        <v>46072</v>
      </c>
      <c r="D869" t="inlineStr">
        <is>
          <t>SKÅNE LÄN</t>
        </is>
      </c>
      <c r="E869" t="inlineStr">
        <is>
          <t>HÄSSLEHOLM</t>
        </is>
      </c>
      <c r="G869" t="n">
        <v>3.4</v>
      </c>
      <c r="H869" t="n">
        <v>0</v>
      </c>
      <c r="I869" t="n">
        <v>0</v>
      </c>
      <c r="J869" t="n">
        <v>0</v>
      </c>
      <c r="K869" t="n">
        <v>0</v>
      </c>
      <c r="L869" t="n">
        <v>0</v>
      </c>
      <c r="M869" t="n">
        <v>0</v>
      </c>
      <c r="N869" t="n">
        <v>0</v>
      </c>
      <c r="O869" t="n">
        <v>0</v>
      </c>
      <c r="P869" t="n">
        <v>0</v>
      </c>
      <c r="Q869" t="n">
        <v>0</v>
      </c>
      <c r="R869" s="2" t="inlineStr"/>
    </row>
    <row r="870" ht="15" customHeight="1">
      <c r="A870" t="inlineStr">
        <is>
          <t>A 45653-2024</t>
        </is>
      </c>
      <c r="B870" s="1" t="n">
        <v>45579.48872685185</v>
      </c>
      <c r="C870" s="1" t="n">
        <v>46072</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706-2026</t>
        </is>
      </c>
      <c r="B871" s="1" t="n">
        <v>46029.61739583333</v>
      </c>
      <c r="C871" s="1" t="n">
        <v>46072</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9322-2025</t>
        </is>
      </c>
      <c r="B872" s="1" t="n">
        <v>45714.72241898148</v>
      </c>
      <c r="C872" s="1" t="n">
        <v>46072</v>
      </c>
      <c r="D872" t="inlineStr">
        <is>
          <t>SKÅNE LÄN</t>
        </is>
      </c>
      <c r="E872" t="inlineStr">
        <is>
          <t>HÄSSLEHOLM</t>
        </is>
      </c>
      <c r="G872" t="n">
        <v>2.6</v>
      </c>
      <c r="H872" t="n">
        <v>0</v>
      </c>
      <c r="I872" t="n">
        <v>0</v>
      </c>
      <c r="J872" t="n">
        <v>0</v>
      </c>
      <c r="K872" t="n">
        <v>0</v>
      </c>
      <c r="L872" t="n">
        <v>0</v>
      </c>
      <c r="M872" t="n">
        <v>0</v>
      </c>
      <c r="N872" t="n">
        <v>0</v>
      </c>
      <c r="O872" t="n">
        <v>0</v>
      </c>
      <c r="P872" t="n">
        <v>0</v>
      </c>
      <c r="Q872" t="n">
        <v>0</v>
      </c>
      <c r="R872" s="2" t="inlineStr"/>
    </row>
    <row r="873" ht="15" customHeight="1">
      <c r="A873" t="inlineStr">
        <is>
          <t>A 47352-2025</t>
        </is>
      </c>
      <c r="B873" s="1" t="n">
        <v>45930</v>
      </c>
      <c r="C873" s="1" t="n">
        <v>46072</v>
      </c>
      <c r="D873" t="inlineStr">
        <is>
          <t>SKÅNE LÄN</t>
        </is>
      </c>
      <c r="E873" t="inlineStr">
        <is>
          <t>HÄSSLEHOLM</t>
        </is>
      </c>
      <c r="G873" t="n">
        <v>16.6</v>
      </c>
      <c r="H873" t="n">
        <v>0</v>
      </c>
      <c r="I873" t="n">
        <v>0</v>
      </c>
      <c r="J873" t="n">
        <v>0</v>
      </c>
      <c r="K873" t="n">
        <v>0</v>
      </c>
      <c r="L873" t="n">
        <v>0</v>
      </c>
      <c r="M873" t="n">
        <v>0</v>
      </c>
      <c r="N873" t="n">
        <v>0</v>
      </c>
      <c r="O873" t="n">
        <v>0</v>
      </c>
      <c r="P873" t="n">
        <v>0</v>
      </c>
      <c r="Q873" t="n">
        <v>0</v>
      </c>
      <c r="R873" s="2" t="inlineStr"/>
    </row>
    <row r="874" ht="15" customHeight="1">
      <c r="A874" t="inlineStr">
        <is>
          <t>A 32008-2024</t>
        </is>
      </c>
      <c r="B874" s="1" t="n">
        <v>45510</v>
      </c>
      <c r="C874" s="1" t="n">
        <v>46072</v>
      </c>
      <c r="D874" t="inlineStr">
        <is>
          <t>SKÅNE LÄN</t>
        </is>
      </c>
      <c r="E874" t="inlineStr">
        <is>
          <t>HÄSSLEHOLM</t>
        </is>
      </c>
      <c r="G874" t="n">
        <v>5.1</v>
      </c>
      <c r="H874" t="n">
        <v>0</v>
      </c>
      <c r="I874" t="n">
        <v>0</v>
      </c>
      <c r="J874" t="n">
        <v>0</v>
      </c>
      <c r="K874" t="n">
        <v>0</v>
      </c>
      <c r="L874" t="n">
        <v>0</v>
      </c>
      <c r="M874" t="n">
        <v>0</v>
      </c>
      <c r="N874" t="n">
        <v>0</v>
      </c>
      <c r="O874" t="n">
        <v>0</v>
      </c>
      <c r="P874" t="n">
        <v>0</v>
      </c>
      <c r="Q874" t="n">
        <v>0</v>
      </c>
      <c r="R874" s="2" t="inlineStr"/>
    </row>
    <row r="875" ht="15" customHeight="1">
      <c r="A875" t="inlineStr">
        <is>
          <t>A 260-2024</t>
        </is>
      </c>
      <c r="B875" s="1" t="n">
        <v>45294</v>
      </c>
      <c r="C875" s="1" t="n">
        <v>46072</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40780-2022</t>
        </is>
      </c>
      <c r="B876" s="1" t="n">
        <v>44820</v>
      </c>
      <c r="C876" s="1" t="n">
        <v>46072</v>
      </c>
      <c r="D876" t="inlineStr">
        <is>
          <t>SKÅNE LÄN</t>
        </is>
      </c>
      <c r="E876" t="inlineStr">
        <is>
          <t>HÄSSLEHOLM</t>
        </is>
      </c>
      <c r="G876" t="n">
        <v>7.4</v>
      </c>
      <c r="H876" t="n">
        <v>0</v>
      </c>
      <c r="I876" t="n">
        <v>0</v>
      </c>
      <c r="J876" t="n">
        <v>0</v>
      </c>
      <c r="K876" t="n">
        <v>0</v>
      </c>
      <c r="L876" t="n">
        <v>0</v>
      </c>
      <c r="M876" t="n">
        <v>0</v>
      </c>
      <c r="N876" t="n">
        <v>0</v>
      </c>
      <c r="O876" t="n">
        <v>0</v>
      </c>
      <c r="P876" t="n">
        <v>0</v>
      </c>
      <c r="Q876" t="n">
        <v>0</v>
      </c>
      <c r="R876" s="2" t="inlineStr"/>
    </row>
    <row r="877" ht="15" customHeight="1">
      <c r="A877" t="inlineStr">
        <is>
          <t>A 5316-2023</t>
        </is>
      </c>
      <c r="B877" s="1" t="n">
        <v>44959</v>
      </c>
      <c r="C877" s="1" t="n">
        <v>46072</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56065-2025</t>
        </is>
      </c>
      <c r="B878" s="1" t="n">
        <v>45973</v>
      </c>
      <c r="C878" s="1" t="n">
        <v>46072</v>
      </c>
      <c r="D878" t="inlineStr">
        <is>
          <t>SKÅNE LÄN</t>
        </is>
      </c>
      <c r="E878" t="inlineStr">
        <is>
          <t>HÄSSLEHOLM</t>
        </is>
      </c>
      <c r="G878" t="n">
        <v>2</v>
      </c>
      <c r="H878" t="n">
        <v>0</v>
      </c>
      <c r="I878" t="n">
        <v>0</v>
      </c>
      <c r="J878" t="n">
        <v>0</v>
      </c>
      <c r="K878" t="n">
        <v>0</v>
      </c>
      <c r="L878" t="n">
        <v>0</v>
      </c>
      <c r="M878" t="n">
        <v>0</v>
      </c>
      <c r="N878" t="n">
        <v>0</v>
      </c>
      <c r="O878" t="n">
        <v>0</v>
      </c>
      <c r="P878" t="n">
        <v>0</v>
      </c>
      <c r="Q878" t="n">
        <v>0</v>
      </c>
      <c r="R878" s="2" t="inlineStr"/>
    </row>
    <row r="879" ht="15" customHeight="1">
      <c r="A879" t="inlineStr">
        <is>
          <t>A 64884-2023</t>
        </is>
      </c>
      <c r="B879" s="1" t="n">
        <v>45282.57809027778</v>
      </c>
      <c r="C879" s="1" t="n">
        <v>46072</v>
      </c>
      <c r="D879" t="inlineStr">
        <is>
          <t>SKÅNE LÄN</t>
        </is>
      </c>
      <c r="E879" t="inlineStr">
        <is>
          <t>HÄSSLEHOLM</t>
        </is>
      </c>
      <c r="G879" t="n">
        <v>4.6</v>
      </c>
      <c r="H879" t="n">
        <v>0</v>
      </c>
      <c r="I879" t="n">
        <v>0</v>
      </c>
      <c r="J879" t="n">
        <v>0</v>
      </c>
      <c r="K879" t="n">
        <v>0</v>
      </c>
      <c r="L879" t="n">
        <v>0</v>
      </c>
      <c r="M879" t="n">
        <v>0</v>
      </c>
      <c r="N879" t="n">
        <v>0</v>
      </c>
      <c r="O879" t="n">
        <v>0</v>
      </c>
      <c r="P879" t="n">
        <v>0</v>
      </c>
      <c r="Q879" t="n">
        <v>0</v>
      </c>
      <c r="R879" s="2" t="inlineStr"/>
    </row>
    <row r="880" ht="15" customHeight="1">
      <c r="A880" t="inlineStr">
        <is>
          <t>A 48112-2024</t>
        </is>
      </c>
      <c r="B880" s="1" t="n">
        <v>45589.6295949074</v>
      </c>
      <c r="C880" s="1" t="n">
        <v>46072</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6310-2025</t>
        </is>
      </c>
      <c r="B881" s="1" t="n">
        <v>45698</v>
      </c>
      <c r="C881" s="1" t="n">
        <v>46072</v>
      </c>
      <c r="D881" t="inlineStr">
        <is>
          <t>SKÅNE LÄN</t>
        </is>
      </c>
      <c r="E881" t="inlineStr">
        <is>
          <t>HÄSSLEHOLM</t>
        </is>
      </c>
      <c r="G881" t="n">
        <v>2.7</v>
      </c>
      <c r="H881" t="n">
        <v>0</v>
      </c>
      <c r="I881" t="n">
        <v>0</v>
      </c>
      <c r="J881" t="n">
        <v>0</v>
      </c>
      <c r="K881" t="n">
        <v>0</v>
      </c>
      <c r="L881" t="n">
        <v>0</v>
      </c>
      <c r="M881" t="n">
        <v>0</v>
      </c>
      <c r="N881" t="n">
        <v>0</v>
      </c>
      <c r="O881" t="n">
        <v>0</v>
      </c>
      <c r="P881" t="n">
        <v>0</v>
      </c>
      <c r="Q881" t="n">
        <v>0</v>
      </c>
      <c r="R881" s="2" t="inlineStr"/>
    </row>
    <row r="882" ht="15" customHeight="1">
      <c r="A882" t="inlineStr">
        <is>
          <t>A 16474-2025</t>
        </is>
      </c>
      <c r="B882" s="1" t="n">
        <v>45751.56834490741</v>
      </c>
      <c r="C882" s="1" t="n">
        <v>46072</v>
      </c>
      <c r="D882" t="inlineStr">
        <is>
          <t>SKÅNE LÄN</t>
        </is>
      </c>
      <c r="E882" t="inlineStr">
        <is>
          <t>HÄSSLEHOLM</t>
        </is>
      </c>
      <c r="G882" t="n">
        <v>5.9</v>
      </c>
      <c r="H882" t="n">
        <v>0</v>
      </c>
      <c r="I882" t="n">
        <v>0</v>
      </c>
      <c r="J882" t="n">
        <v>0</v>
      </c>
      <c r="K882" t="n">
        <v>0</v>
      </c>
      <c r="L882" t="n">
        <v>0</v>
      </c>
      <c r="M882" t="n">
        <v>0</v>
      </c>
      <c r="N882" t="n">
        <v>0</v>
      </c>
      <c r="O882" t="n">
        <v>0</v>
      </c>
      <c r="P882" t="n">
        <v>0</v>
      </c>
      <c r="Q882" t="n">
        <v>0</v>
      </c>
      <c r="R882" s="2" t="inlineStr"/>
    </row>
    <row r="883" ht="15" customHeight="1">
      <c r="A883" t="inlineStr">
        <is>
          <t>A 48097-2024</t>
        </is>
      </c>
      <c r="B883" s="1" t="n">
        <v>45589.61413194444</v>
      </c>
      <c r="C883" s="1" t="n">
        <v>46072</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60846-2022</t>
        </is>
      </c>
      <c r="B884" s="1" t="n">
        <v>44914</v>
      </c>
      <c r="C884" s="1" t="n">
        <v>46072</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42776-2021</t>
        </is>
      </c>
      <c r="B885" s="1" t="n">
        <v>44428</v>
      </c>
      <c r="C885" s="1" t="n">
        <v>46072</v>
      </c>
      <c r="D885" t="inlineStr">
        <is>
          <t>SKÅNE LÄN</t>
        </is>
      </c>
      <c r="E885" t="inlineStr">
        <is>
          <t>HÄSSLEHOLM</t>
        </is>
      </c>
      <c r="G885" t="n">
        <v>3.2</v>
      </c>
      <c r="H885" t="n">
        <v>0</v>
      </c>
      <c r="I885" t="n">
        <v>0</v>
      </c>
      <c r="J885" t="n">
        <v>0</v>
      </c>
      <c r="K885" t="n">
        <v>0</v>
      </c>
      <c r="L885" t="n">
        <v>0</v>
      </c>
      <c r="M885" t="n">
        <v>0</v>
      </c>
      <c r="N885" t="n">
        <v>0</v>
      </c>
      <c r="O885" t="n">
        <v>0</v>
      </c>
      <c r="P885" t="n">
        <v>0</v>
      </c>
      <c r="Q885" t="n">
        <v>0</v>
      </c>
      <c r="R885" s="2" t="inlineStr"/>
    </row>
    <row r="886" ht="15" customHeight="1">
      <c r="A886" t="inlineStr">
        <is>
          <t>A 14700-2023</t>
        </is>
      </c>
      <c r="B886" s="1" t="n">
        <v>45014.38376157408</v>
      </c>
      <c r="C886" s="1" t="n">
        <v>46072</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39915-2023</t>
        </is>
      </c>
      <c r="B887" s="1" t="n">
        <v>45168.4684375</v>
      </c>
      <c r="C887" s="1" t="n">
        <v>46072</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20058-2023</t>
        </is>
      </c>
      <c r="B888" s="1" t="n">
        <v>45054.68476851852</v>
      </c>
      <c r="C888" s="1" t="n">
        <v>46072</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8619-2023</t>
        </is>
      </c>
      <c r="B889" s="1" t="n">
        <v>44977.81979166667</v>
      </c>
      <c r="C889" s="1" t="n">
        <v>46072</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9543-2025</t>
        </is>
      </c>
      <c r="B890" s="1" t="n">
        <v>45715</v>
      </c>
      <c r="C890" s="1" t="n">
        <v>46072</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53067-2022</t>
        </is>
      </c>
      <c r="B891" s="1" t="n">
        <v>44873</v>
      </c>
      <c r="C891" s="1" t="n">
        <v>46072</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3349-2023</t>
        </is>
      </c>
      <c r="B892" s="1" t="n">
        <v>44949</v>
      </c>
      <c r="C892" s="1" t="n">
        <v>46072</v>
      </c>
      <c r="D892" t="inlineStr">
        <is>
          <t>SKÅNE LÄN</t>
        </is>
      </c>
      <c r="E892" t="inlineStr">
        <is>
          <t>HÄSSLEHOLM</t>
        </is>
      </c>
      <c r="G892" t="n">
        <v>2.3</v>
      </c>
      <c r="H892" t="n">
        <v>0</v>
      </c>
      <c r="I892" t="n">
        <v>0</v>
      </c>
      <c r="J892" t="n">
        <v>0</v>
      </c>
      <c r="K892" t="n">
        <v>0</v>
      </c>
      <c r="L892" t="n">
        <v>0</v>
      </c>
      <c r="M892" t="n">
        <v>0</v>
      </c>
      <c r="N892" t="n">
        <v>0</v>
      </c>
      <c r="O892" t="n">
        <v>0</v>
      </c>
      <c r="P892" t="n">
        <v>0</v>
      </c>
      <c r="Q892" t="n">
        <v>0</v>
      </c>
      <c r="R892" s="2" t="inlineStr"/>
    </row>
    <row r="893" ht="15" customHeight="1">
      <c r="A893" t="inlineStr">
        <is>
          <t>A 46185-2022</t>
        </is>
      </c>
      <c r="B893" s="1" t="n">
        <v>44847</v>
      </c>
      <c r="C893" s="1" t="n">
        <v>46072</v>
      </c>
      <c r="D893" t="inlineStr">
        <is>
          <t>SKÅNE LÄN</t>
        </is>
      </c>
      <c r="E893" t="inlineStr">
        <is>
          <t>HÄSSLEHOLM</t>
        </is>
      </c>
      <c r="G893" t="n">
        <v>16.8</v>
      </c>
      <c r="H893" t="n">
        <v>0</v>
      </c>
      <c r="I893" t="n">
        <v>0</v>
      </c>
      <c r="J893" t="n">
        <v>0</v>
      </c>
      <c r="K893" t="n">
        <v>0</v>
      </c>
      <c r="L893" t="n">
        <v>0</v>
      </c>
      <c r="M893" t="n">
        <v>0</v>
      </c>
      <c r="N893" t="n">
        <v>0</v>
      </c>
      <c r="O893" t="n">
        <v>0</v>
      </c>
      <c r="P893" t="n">
        <v>0</v>
      </c>
      <c r="Q893" t="n">
        <v>0</v>
      </c>
      <c r="R893" s="2" t="inlineStr"/>
    </row>
    <row r="894" ht="15" customHeight="1">
      <c r="A894" t="inlineStr">
        <is>
          <t>A 18623-2023</t>
        </is>
      </c>
      <c r="B894" s="1" t="n">
        <v>45043</v>
      </c>
      <c r="C894" s="1" t="n">
        <v>46072</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33873-2021</t>
        </is>
      </c>
      <c r="B895" s="1" t="n">
        <v>44378</v>
      </c>
      <c r="C895" s="1" t="n">
        <v>46072</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15053-2023</t>
        </is>
      </c>
      <c r="B896" s="1" t="n">
        <v>45015</v>
      </c>
      <c r="C896" s="1" t="n">
        <v>46072</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9302-2025</t>
        </is>
      </c>
      <c r="B897" s="1" t="n">
        <v>45714.67233796296</v>
      </c>
      <c r="C897" s="1" t="n">
        <v>46072</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47907-2021</t>
        </is>
      </c>
      <c r="B898" s="1" t="n">
        <v>44448</v>
      </c>
      <c r="C898" s="1" t="n">
        <v>46072</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1197-2024</t>
        </is>
      </c>
      <c r="B899" s="1" t="n">
        <v>45302</v>
      </c>
      <c r="C899" s="1" t="n">
        <v>46072</v>
      </c>
      <c r="D899" t="inlineStr">
        <is>
          <t>SKÅNE LÄN</t>
        </is>
      </c>
      <c r="E899" t="inlineStr">
        <is>
          <t>HÄSSLEHOLM</t>
        </is>
      </c>
      <c r="G899" t="n">
        <v>1.7</v>
      </c>
      <c r="H899" t="n">
        <v>0</v>
      </c>
      <c r="I899" t="n">
        <v>0</v>
      </c>
      <c r="J899" t="n">
        <v>0</v>
      </c>
      <c r="K899" t="n">
        <v>0</v>
      </c>
      <c r="L899" t="n">
        <v>0</v>
      </c>
      <c r="M899" t="n">
        <v>0</v>
      </c>
      <c r="N899" t="n">
        <v>0</v>
      </c>
      <c r="O899" t="n">
        <v>0</v>
      </c>
      <c r="P899" t="n">
        <v>0</v>
      </c>
      <c r="Q899" t="n">
        <v>0</v>
      </c>
      <c r="R899" s="2" t="inlineStr"/>
    </row>
    <row r="900" ht="15" customHeight="1">
      <c r="A900" t="inlineStr">
        <is>
          <t>A 13712-2025</t>
        </is>
      </c>
      <c r="B900" s="1" t="n">
        <v>45737</v>
      </c>
      <c r="C900" s="1" t="n">
        <v>46072</v>
      </c>
      <c r="D900" t="inlineStr">
        <is>
          <t>SKÅNE LÄN</t>
        </is>
      </c>
      <c r="E900" t="inlineStr">
        <is>
          <t>HÄSSLEHOLM</t>
        </is>
      </c>
      <c r="G900" t="n">
        <v>0.7</v>
      </c>
      <c r="H900" t="n">
        <v>0</v>
      </c>
      <c r="I900" t="n">
        <v>0</v>
      </c>
      <c r="J900" t="n">
        <v>0</v>
      </c>
      <c r="K900" t="n">
        <v>0</v>
      </c>
      <c r="L900" t="n">
        <v>0</v>
      </c>
      <c r="M900" t="n">
        <v>0</v>
      </c>
      <c r="N900" t="n">
        <v>0</v>
      </c>
      <c r="O900" t="n">
        <v>0</v>
      </c>
      <c r="P900" t="n">
        <v>0</v>
      </c>
      <c r="Q900" t="n">
        <v>0</v>
      </c>
      <c r="R900" s="2" t="inlineStr"/>
    </row>
    <row r="901" ht="15" customHeight="1">
      <c r="A901" t="inlineStr">
        <is>
          <t>A 49950-2023</t>
        </is>
      </c>
      <c r="B901" s="1" t="n">
        <v>45215</v>
      </c>
      <c r="C901" s="1" t="n">
        <v>46072</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41694-2024</t>
        </is>
      </c>
      <c r="B902" s="1" t="n">
        <v>45560.68341435185</v>
      </c>
      <c r="C902" s="1" t="n">
        <v>46072</v>
      </c>
      <c r="D902" t="inlineStr">
        <is>
          <t>SKÅNE LÄN</t>
        </is>
      </c>
      <c r="E902" t="inlineStr">
        <is>
          <t>HÄSSLEHOLM</t>
        </is>
      </c>
      <c r="G902" t="n">
        <v>0.4</v>
      </c>
      <c r="H902" t="n">
        <v>0</v>
      </c>
      <c r="I902" t="n">
        <v>0</v>
      </c>
      <c r="J902" t="n">
        <v>0</v>
      </c>
      <c r="K902" t="n">
        <v>0</v>
      </c>
      <c r="L902" t="n">
        <v>0</v>
      </c>
      <c r="M902" t="n">
        <v>0</v>
      </c>
      <c r="N902" t="n">
        <v>0</v>
      </c>
      <c r="O902" t="n">
        <v>0</v>
      </c>
      <c r="P902" t="n">
        <v>0</v>
      </c>
      <c r="Q902" t="n">
        <v>0</v>
      </c>
      <c r="R902" s="2" t="inlineStr"/>
    </row>
    <row r="903" ht="15" customHeight="1">
      <c r="A903" t="inlineStr">
        <is>
          <t>A 36795-2023</t>
        </is>
      </c>
      <c r="B903" s="1" t="n">
        <v>45154.38245370371</v>
      </c>
      <c r="C903" s="1" t="n">
        <v>46072</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46942-2024</t>
        </is>
      </c>
      <c r="B904" s="1" t="n">
        <v>45585.6684375</v>
      </c>
      <c r="C904" s="1" t="n">
        <v>46072</v>
      </c>
      <c r="D904" t="inlineStr">
        <is>
          <t>SKÅNE LÄN</t>
        </is>
      </c>
      <c r="E904" t="inlineStr">
        <is>
          <t>HÄSSLEHOLM</t>
        </is>
      </c>
      <c r="G904" t="n">
        <v>1.8</v>
      </c>
      <c r="H904" t="n">
        <v>0</v>
      </c>
      <c r="I904" t="n">
        <v>0</v>
      </c>
      <c r="J904" t="n">
        <v>0</v>
      </c>
      <c r="K904" t="n">
        <v>0</v>
      </c>
      <c r="L904" t="n">
        <v>0</v>
      </c>
      <c r="M904" t="n">
        <v>0</v>
      </c>
      <c r="N904" t="n">
        <v>0</v>
      </c>
      <c r="O904" t="n">
        <v>0</v>
      </c>
      <c r="P904" t="n">
        <v>0</v>
      </c>
      <c r="Q904" t="n">
        <v>0</v>
      </c>
      <c r="R904" s="2" t="inlineStr"/>
    </row>
    <row r="905" ht="15" customHeight="1">
      <c r="A905" t="inlineStr">
        <is>
          <t>A 43696-2024</t>
        </is>
      </c>
      <c r="B905" s="1" t="n">
        <v>45569.58855324074</v>
      </c>
      <c r="C905" s="1" t="n">
        <v>46072</v>
      </c>
      <c r="D905" t="inlineStr">
        <is>
          <t>SKÅNE LÄN</t>
        </is>
      </c>
      <c r="E905" t="inlineStr">
        <is>
          <t>HÄSSLEHOLM</t>
        </is>
      </c>
      <c r="G905" t="n">
        <v>2.9</v>
      </c>
      <c r="H905" t="n">
        <v>0</v>
      </c>
      <c r="I905" t="n">
        <v>0</v>
      </c>
      <c r="J905" t="n">
        <v>0</v>
      </c>
      <c r="K905" t="n">
        <v>0</v>
      </c>
      <c r="L905" t="n">
        <v>0</v>
      </c>
      <c r="M905" t="n">
        <v>0</v>
      </c>
      <c r="N905" t="n">
        <v>0</v>
      </c>
      <c r="O905" t="n">
        <v>0</v>
      </c>
      <c r="P905" t="n">
        <v>0</v>
      </c>
      <c r="Q905" t="n">
        <v>0</v>
      </c>
      <c r="R905" s="2" t="inlineStr"/>
    </row>
    <row r="906" ht="15" customHeight="1">
      <c r="A906" t="inlineStr">
        <is>
          <t>A 36706-2022</t>
        </is>
      </c>
      <c r="B906" s="1" t="n">
        <v>44805.32891203704</v>
      </c>
      <c r="C906" s="1" t="n">
        <v>46072</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22594-2024</t>
        </is>
      </c>
      <c r="B907" s="1" t="n">
        <v>45447.60892361111</v>
      </c>
      <c r="C907" s="1" t="n">
        <v>46072</v>
      </c>
      <c r="D907" t="inlineStr">
        <is>
          <t>SKÅNE LÄN</t>
        </is>
      </c>
      <c r="E907" t="inlineStr">
        <is>
          <t>HÄSSLEHOLM</t>
        </is>
      </c>
      <c r="G907" t="n">
        <v>1.1</v>
      </c>
      <c r="H907" t="n">
        <v>0</v>
      </c>
      <c r="I907" t="n">
        <v>0</v>
      </c>
      <c r="J907" t="n">
        <v>0</v>
      </c>
      <c r="K907" t="n">
        <v>0</v>
      </c>
      <c r="L907" t="n">
        <v>0</v>
      </c>
      <c r="M907" t="n">
        <v>0</v>
      </c>
      <c r="N907" t="n">
        <v>0</v>
      </c>
      <c r="O907" t="n">
        <v>0</v>
      </c>
      <c r="P907" t="n">
        <v>0</v>
      </c>
      <c r="Q907" t="n">
        <v>0</v>
      </c>
      <c r="R907" s="2" t="inlineStr"/>
    </row>
    <row r="908" ht="15" customHeight="1">
      <c r="A908" t="inlineStr">
        <is>
          <t>A 25213-2023</t>
        </is>
      </c>
      <c r="B908" s="1" t="n">
        <v>45086.60010416667</v>
      </c>
      <c r="C908" s="1" t="n">
        <v>46072</v>
      </c>
      <c r="D908" t="inlineStr">
        <is>
          <t>SKÅNE LÄN</t>
        </is>
      </c>
      <c r="E908" t="inlineStr">
        <is>
          <t>HÄSSLEHOLM</t>
        </is>
      </c>
      <c r="G908" t="n">
        <v>7.2</v>
      </c>
      <c r="H908" t="n">
        <v>0</v>
      </c>
      <c r="I908" t="n">
        <v>0</v>
      </c>
      <c r="J908" t="n">
        <v>0</v>
      </c>
      <c r="K908" t="n">
        <v>0</v>
      </c>
      <c r="L908" t="n">
        <v>0</v>
      </c>
      <c r="M908" t="n">
        <v>0</v>
      </c>
      <c r="N908" t="n">
        <v>0</v>
      </c>
      <c r="O908" t="n">
        <v>0</v>
      </c>
      <c r="P908" t="n">
        <v>0</v>
      </c>
      <c r="Q908" t="n">
        <v>0</v>
      </c>
      <c r="R908" s="2" t="inlineStr"/>
    </row>
    <row r="909" ht="15" customHeight="1">
      <c r="A909" t="inlineStr">
        <is>
          <t>A 18063-2023</t>
        </is>
      </c>
      <c r="B909" s="1" t="n">
        <v>45040.62850694444</v>
      </c>
      <c r="C909" s="1" t="n">
        <v>46072</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61524-2022</t>
        </is>
      </c>
      <c r="B910" s="1" t="n">
        <v>44910</v>
      </c>
      <c r="C910" s="1" t="n">
        <v>46072</v>
      </c>
      <c r="D910" t="inlineStr">
        <is>
          <t>SKÅNE LÄN</t>
        </is>
      </c>
      <c r="E910" t="inlineStr">
        <is>
          <t>HÄSSLEHOLM</t>
        </is>
      </c>
      <c r="F910" t="inlineStr">
        <is>
          <t>Kyrkan</t>
        </is>
      </c>
      <c r="G910" t="n">
        <v>2.1</v>
      </c>
      <c r="H910" t="n">
        <v>0</v>
      </c>
      <c r="I910" t="n">
        <v>0</v>
      </c>
      <c r="J910" t="n">
        <v>0</v>
      </c>
      <c r="K910" t="n">
        <v>0</v>
      </c>
      <c r="L910" t="n">
        <v>0</v>
      </c>
      <c r="M910" t="n">
        <v>0</v>
      </c>
      <c r="N910" t="n">
        <v>0</v>
      </c>
      <c r="O910" t="n">
        <v>0</v>
      </c>
      <c r="P910" t="n">
        <v>0</v>
      </c>
      <c r="Q910" t="n">
        <v>0</v>
      </c>
      <c r="R910" s="2" t="inlineStr"/>
    </row>
    <row r="911" ht="15" customHeight="1">
      <c r="A911" t="inlineStr">
        <is>
          <t>A 61578-2023</t>
        </is>
      </c>
      <c r="B911" s="1" t="n">
        <v>45265.47399305556</v>
      </c>
      <c r="C911" s="1" t="n">
        <v>46072</v>
      </c>
      <c r="D911" t="inlineStr">
        <is>
          <t>SKÅNE LÄN</t>
        </is>
      </c>
      <c r="E911" t="inlineStr">
        <is>
          <t>HÄSSLEHOLM</t>
        </is>
      </c>
      <c r="G911" t="n">
        <v>1.2</v>
      </c>
      <c r="H911" t="n">
        <v>0</v>
      </c>
      <c r="I911" t="n">
        <v>0</v>
      </c>
      <c r="J911" t="n">
        <v>0</v>
      </c>
      <c r="K911" t="n">
        <v>0</v>
      </c>
      <c r="L911" t="n">
        <v>0</v>
      </c>
      <c r="M911" t="n">
        <v>0</v>
      </c>
      <c r="N911" t="n">
        <v>0</v>
      </c>
      <c r="O911" t="n">
        <v>0</v>
      </c>
      <c r="P911" t="n">
        <v>0</v>
      </c>
      <c r="Q911" t="n">
        <v>0</v>
      </c>
      <c r="R911" s="2" t="inlineStr"/>
    </row>
    <row r="912" ht="15" customHeight="1">
      <c r="A912" t="inlineStr">
        <is>
          <t>A 25542-2024</t>
        </is>
      </c>
      <c r="B912" s="1" t="n">
        <v>45463</v>
      </c>
      <c r="C912" s="1" t="n">
        <v>46072</v>
      </c>
      <c r="D912" t="inlineStr">
        <is>
          <t>SKÅNE LÄN</t>
        </is>
      </c>
      <c r="E912" t="inlineStr">
        <is>
          <t>HÄSSLEHOLM</t>
        </is>
      </c>
      <c r="G912" t="n">
        <v>6.9</v>
      </c>
      <c r="H912" t="n">
        <v>0</v>
      </c>
      <c r="I912" t="n">
        <v>0</v>
      </c>
      <c r="J912" t="n">
        <v>0</v>
      </c>
      <c r="K912" t="n">
        <v>0</v>
      </c>
      <c r="L912" t="n">
        <v>0</v>
      </c>
      <c r="M912" t="n">
        <v>0</v>
      </c>
      <c r="N912" t="n">
        <v>0</v>
      </c>
      <c r="O912" t="n">
        <v>0</v>
      </c>
      <c r="P912" t="n">
        <v>0</v>
      </c>
      <c r="Q912" t="n">
        <v>0</v>
      </c>
      <c r="R912" s="2" t="inlineStr"/>
    </row>
    <row r="913" ht="15" customHeight="1">
      <c r="A913" t="inlineStr">
        <is>
          <t>A 42370-2023</t>
        </is>
      </c>
      <c r="B913" s="1" t="n">
        <v>45180</v>
      </c>
      <c r="C913" s="1" t="n">
        <v>46072</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11422-2025</t>
        </is>
      </c>
      <c r="B914" s="1" t="n">
        <v>45726</v>
      </c>
      <c r="C914" s="1" t="n">
        <v>46072</v>
      </c>
      <c r="D914" t="inlineStr">
        <is>
          <t>SKÅNE LÄN</t>
        </is>
      </c>
      <c r="E914" t="inlineStr">
        <is>
          <t>HÄSSLEHOLM</t>
        </is>
      </c>
      <c r="G914" t="n">
        <v>14.9</v>
      </c>
      <c r="H914" t="n">
        <v>0</v>
      </c>
      <c r="I914" t="n">
        <v>0</v>
      </c>
      <c r="J914" t="n">
        <v>0</v>
      </c>
      <c r="K914" t="n">
        <v>0</v>
      </c>
      <c r="L914" t="n">
        <v>0</v>
      </c>
      <c r="M914" t="n">
        <v>0</v>
      </c>
      <c r="N914" t="n">
        <v>0</v>
      </c>
      <c r="O914" t="n">
        <v>0</v>
      </c>
      <c r="P914" t="n">
        <v>0</v>
      </c>
      <c r="Q914" t="n">
        <v>0</v>
      </c>
      <c r="R914" s="2" t="inlineStr"/>
    </row>
    <row r="915" ht="15" customHeight="1">
      <c r="A915" t="inlineStr">
        <is>
          <t>A 7604-2024</t>
        </is>
      </c>
      <c r="B915" s="1" t="n">
        <v>45348</v>
      </c>
      <c r="C915" s="1" t="n">
        <v>46072</v>
      </c>
      <c r="D915" t="inlineStr">
        <is>
          <t>SKÅNE LÄN</t>
        </is>
      </c>
      <c r="E915" t="inlineStr">
        <is>
          <t>HÄSSLEHOLM</t>
        </is>
      </c>
      <c r="G915" t="n">
        <v>11.1</v>
      </c>
      <c r="H915" t="n">
        <v>0</v>
      </c>
      <c r="I915" t="n">
        <v>0</v>
      </c>
      <c r="J915" t="n">
        <v>0</v>
      </c>
      <c r="K915" t="n">
        <v>0</v>
      </c>
      <c r="L915" t="n">
        <v>0</v>
      </c>
      <c r="M915" t="n">
        <v>0</v>
      </c>
      <c r="N915" t="n">
        <v>0</v>
      </c>
      <c r="O915" t="n">
        <v>0</v>
      </c>
      <c r="P915" t="n">
        <v>0</v>
      </c>
      <c r="Q915" t="n">
        <v>0</v>
      </c>
      <c r="R915" s="2" t="inlineStr"/>
    </row>
    <row r="916" ht="15" customHeight="1">
      <c r="A916" t="inlineStr">
        <is>
          <t>A 29853-2024</t>
        </is>
      </c>
      <c r="B916" s="1" t="n">
        <v>45485.65844907407</v>
      </c>
      <c r="C916" s="1" t="n">
        <v>46072</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29287-2023</t>
        </is>
      </c>
      <c r="B917" s="1" t="n">
        <v>45098</v>
      </c>
      <c r="C917" s="1" t="n">
        <v>46072</v>
      </c>
      <c r="D917" t="inlineStr">
        <is>
          <t>SKÅNE LÄN</t>
        </is>
      </c>
      <c r="E917" t="inlineStr">
        <is>
          <t>HÄSSLEHOLM</t>
        </is>
      </c>
      <c r="G917" t="n">
        <v>5.7</v>
      </c>
      <c r="H917" t="n">
        <v>0</v>
      </c>
      <c r="I917" t="n">
        <v>0</v>
      </c>
      <c r="J917" t="n">
        <v>0</v>
      </c>
      <c r="K917" t="n">
        <v>0</v>
      </c>
      <c r="L917" t="n">
        <v>0</v>
      </c>
      <c r="M917" t="n">
        <v>0</v>
      </c>
      <c r="N917" t="n">
        <v>0</v>
      </c>
      <c r="O917" t="n">
        <v>0</v>
      </c>
      <c r="P917" t="n">
        <v>0</v>
      </c>
      <c r="Q917" t="n">
        <v>0</v>
      </c>
      <c r="R917" s="2" t="inlineStr"/>
    </row>
    <row r="918" ht="15" customHeight="1">
      <c r="A918" t="inlineStr">
        <is>
          <t>A 5992-2022</t>
        </is>
      </c>
      <c r="B918" s="1" t="n">
        <v>44599</v>
      </c>
      <c r="C918" s="1" t="n">
        <v>46072</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25324-2024</t>
        </is>
      </c>
      <c r="B919" s="1" t="n">
        <v>45462.804375</v>
      </c>
      <c r="C919" s="1" t="n">
        <v>46072</v>
      </c>
      <c r="D919" t="inlineStr">
        <is>
          <t>SKÅNE LÄN</t>
        </is>
      </c>
      <c r="E919" t="inlineStr">
        <is>
          <t>HÄSSLEHOLM</t>
        </is>
      </c>
      <c r="G919" t="n">
        <v>0.2</v>
      </c>
      <c r="H919" t="n">
        <v>0</v>
      </c>
      <c r="I919" t="n">
        <v>0</v>
      </c>
      <c r="J919" t="n">
        <v>0</v>
      </c>
      <c r="K919" t="n">
        <v>0</v>
      </c>
      <c r="L919" t="n">
        <v>0</v>
      </c>
      <c r="M919" t="n">
        <v>0</v>
      </c>
      <c r="N919" t="n">
        <v>0</v>
      </c>
      <c r="O919" t="n">
        <v>0</v>
      </c>
      <c r="P919" t="n">
        <v>0</v>
      </c>
      <c r="Q919" t="n">
        <v>0</v>
      </c>
      <c r="R919" s="2" t="inlineStr"/>
    </row>
    <row r="920" ht="15" customHeight="1">
      <c r="A920" t="inlineStr">
        <is>
          <t>A 8803-2023</t>
        </is>
      </c>
      <c r="B920" s="1" t="n">
        <v>44978.61712962963</v>
      </c>
      <c r="C920" s="1" t="n">
        <v>46072</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4809-2025</t>
        </is>
      </c>
      <c r="B921" s="1" t="n">
        <v>45688.60148148148</v>
      </c>
      <c r="C921" s="1" t="n">
        <v>46072</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12780-2024</t>
        </is>
      </c>
      <c r="B922" s="1" t="n">
        <v>45384.59726851852</v>
      </c>
      <c r="C922" s="1" t="n">
        <v>46072</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9375-2023</t>
        </is>
      </c>
      <c r="B923" s="1" t="n">
        <v>44981</v>
      </c>
      <c r="C923" s="1" t="n">
        <v>46072</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26857-2025</t>
        </is>
      </c>
      <c r="B924" s="1" t="n">
        <v>45810</v>
      </c>
      <c r="C924" s="1" t="n">
        <v>46072</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30006-2023</t>
        </is>
      </c>
      <c r="B925" s="1" t="n">
        <v>45109.79962962963</v>
      </c>
      <c r="C925" s="1" t="n">
        <v>46072</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49167-2022</t>
        </is>
      </c>
      <c r="B926" s="1" t="n">
        <v>44860</v>
      </c>
      <c r="C926" s="1" t="n">
        <v>46072</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57963-2023</t>
        </is>
      </c>
      <c r="B927" s="1" t="n">
        <v>45247.57732638889</v>
      </c>
      <c r="C927" s="1" t="n">
        <v>46072</v>
      </c>
      <c r="D927" t="inlineStr">
        <is>
          <t>SKÅNE LÄN</t>
        </is>
      </c>
      <c r="E927" t="inlineStr">
        <is>
          <t>HÄSSLEHOLM</t>
        </is>
      </c>
      <c r="G927" t="n">
        <v>4.6</v>
      </c>
      <c r="H927" t="n">
        <v>0</v>
      </c>
      <c r="I927" t="n">
        <v>0</v>
      </c>
      <c r="J927" t="n">
        <v>0</v>
      </c>
      <c r="K927" t="n">
        <v>0</v>
      </c>
      <c r="L927" t="n">
        <v>0</v>
      </c>
      <c r="M927" t="n">
        <v>0</v>
      </c>
      <c r="N927" t="n">
        <v>0</v>
      </c>
      <c r="O927" t="n">
        <v>0</v>
      </c>
      <c r="P927" t="n">
        <v>0</v>
      </c>
      <c r="Q927" t="n">
        <v>0</v>
      </c>
      <c r="R927" s="2" t="inlineStr"/>
    </row>
    <row r="928" ht="15" customHeight="1">
      <c r="A928" t="inlineStr">
        <is>
          <t>A 57033-2022</t>
        </is>
      </c>
      <c r="B928" s="1" t="n">
        <v>44895.31270833333</v>
      </c>
      <c r="C928" s="1" t="n">
        <v>46072</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35845-2022</t>
        </is>
      </c>
      <c r="B929" s="1" t="n">
        <v>44802</v>
      </c>
      <c r="C929" s="1" t="n">
        <v>46072</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22140-2023</t>
        </is>
      </c>
      <c r="B930" s="1" t="n">
        <v>45065</v>
      </c>
      <c r="C930" s="1" t="n">
        <v>46072</v>
      </c>
      <c r="D930" t="inlineStr">
        <is>
          <t>SKÅNE LÄN</t>
        </is>
      </c>
      <c r="E930" t="inlineStr">
        <is>
          <t>HÄSSLEHOLM</t>
        </is>
      </c>
      <c r="G930" t="n">
        <v>6.7</v>
      </c>
      <c r="H930" t="n">
        <v>0</v>
      </c>
      <c r="I930" t="n">
        <v>0</v>
      </c>
      <c r="J930" t="n">
        <v>0</v>
      </c>
      <c r="K930" t="n">
        <v>0</v>
      </c>
      <c r="L930" t="n">
        <v>0</v>
      </c>
      <c r="M930" t="n">
        <v>0</v>
      </c>
      <c r="N930" t="n">
        <v>0</v>
      </c>
      <c r="O930" t="n">
        <v>0</v>
      </c>
      <c r="P930" t="n">
        <v>0</v>
      </c>
      <c r="Q930" t="n">
        <v>0</v>
      </c>
      <c r="R930" s="2" t="inlineStr"/>
    </row>
    <row r="931" ht="15" customHeight="1">
      <c r="A931" t="inlineStr">
        <is>
          <t>A 7653-2024</t>
        </is>
      </c>
      <c r="B931" s="1" t="n">
        <v>45348.69043981482</v>
      </c>
      <c r="C931" s="1" t="n">
        <v>46072</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24679-2023</t>
        </is>
      </c>
      <c r="B932" s="1" t="n">
        <v>45084</v>
      </c>
      <c r="C932" s="1" t="n">
        <v>46072</v>
      </c>
      <c r="D932" t="inlineStr">
        <is>
          <t>SKÅNE LÄN</t>
        </is>
      </c>
      <c r="E932" t="inlineStr">
        <is>
          <t>HÄSSLEHOLM</t>
        </is>
      </c>
      <c r="G932" t="n">
        <v>7.1</v>
      </c>
      <c r="H932" t="n">
        <v>0</v>
      </c>
      <c r="I932" t="n">
        <v>0</v>
      </c>
      <c r="J932" t="n">
        <v>0</v>
      </c>
      <c r="K932" t="n">
        <v>0</v>
      </c>
      <c r="L932" t="n">
        <v>0</v>
      </c>
      <c r="M932" t="n">
        <v>0</v>
      </c>
      <c r="N932" t="n">
        <v>0</v>
      </c>
      <c r="O932" t="n">
        <v>0</v>
      </c>
      <c r="P932" t="n">
        <v>0</v>
      </c>
      <c r="Q932" t="n">
        <v>0</v>
      </c>
      <c r="R932" s="2" t="inlineStr"/>
    </row>
    <row r="933" ht="15" customHeight="1">
      <c r="A933" t="inlineStr">
        <is>
          <t>A 49219-2021</t>
        </is>
      </c>
      <c r="B933" s="1" t="n">
        <v>44454</v>
      </c>
      <c r="C933" s="1" t="n">
        <v>46072</v>
      </c>
      <c r="D933" t="inlineStr">
        <is>
          <t>SKÅNE LÄN</t>
        </is>
      </c>
      <c r="E933" t="inlineStr">
        <is>
          <t>HÄSSLEHOLM</t>
        </is>
      </c>
      <c r="G933" t="n">
        <v>7.8</v>
      </c>
      <c r="H933" t="n">
        <v>0</v>
      </c>
      <c r="I933" t="n">
        <v>0</v>
      </c>
      <c r="J933" t="n">
        <v>0</v>
      </c>
      <c r="K933" t="n">
        <v>0</v>
      </c>
      <c r="L933" t="n">
        <v>0</v>
      </c>
      <c r="M933" t="n">
        <v>0</v>
      </c>
      <c r="N933" t="n">
        <v>0</v>
      </c>
      <c r="O933" t="n">
        <v>0</v>
      </c>
      <c r="P933" t="n">
        <v>0</v>
      </c>
      <c r="Q933" t="n">
        <v>0</v>
      </c>
      <c r="R933" s="2" t="inlineStr"/>
    </row>
    <row r="934" ht="15" customHeight="1">
      <c r="A934" t="inlineStr">
        <is>
          <t>A 5890-2023</t>
        </is>
      </c>
      <c r="B934" s="1" t="n">
        <v>44963.64527777778</v>
      </c>
      <c r="C934" s="1" t="n">
        <v>46072</v>
      </c>
      <c r="D934" t="inlineStr">
        <is>
          <t>SKÅNE LÄN</t>
        </is>
      </c>
      <c r="E934" t="inlineStr">
        <is>
          <t>HÄSSLEHOLM</t>
        </is>
      </c>
      <c r="G934" t="n">
        <v>1.6</v>
      </c>
      <c r="H934" t="n">
        <v>0</v>
      </c>
      <c r="I934" t="n">
        <v>0</v>
      </c>
      <c r="J934" t="n">
        <v>0</v>
      </c>
      <c r="K934" t="n">
        <v>0</v>
      </c>
      <c r="L934" t="n">
        <v>0</v>
      </c>
      <c r="M934" t="n">
        <v>0</v>
      </c>
      <c r="N934" t="n">
        <v>0</v>
      </c>
      <c r="O934" t="n">
        <v>0</v>
      </c>
      <c r="P934" t="n">
        <v>0</v>
      </c>
      <c r="Q934" t="n">
        <v>0</v>
      </c>
      <c r="R934" s="2" t="inlineStr"/>
    </row>
    <row r="935" ht="15" customHeight="1">
      <c r="A935" t="inlineStr">
        <is>
          <t>A 12936-2025</t>
        </is>
      </c>
      <c r="B935" s="1" t="n">
        <v>45734</v>
      </c>
      <c r="C935" s="1" t="n">
        <v>46072</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56062-2024</t>
        </is>
      </c>
      <c r="B936" s="1" t="n">
        <v>45624.37105324074</v>
      </c>
      <c r="C936" s="1" t="n">
        <v>46072</v>
      </c>
      <c r="D936" t="inlineStr">
        <is>
          <t>SKÅNE LÄN</t>
        </is>
      </c>
      <c r="E936" t="inlineStr">
        <is>
          <t>HÄSSLEHOLM</t>
        </is>
      </c>
      <c r="F936" t="inlineStr">
        <is>
          <t>Övriga Aktiebolag</t>
        </is>
      </c>
      <c r="G936" t="n">
        <v>0.6</v>
      </c>
      <c r="H936" t="n">
        <v>0</v>
      </c>
      <c r="I936" t="n">
        <v>0</v>
      </c>
      <c r="J936" t="n">
        <v>0</v>
      </c>
      <c r="K936" t="n">
        <v>0</v>
      </c>
      <c r="L936" t="n">
        <v>0</v>
      </c>
      <c r="M936" t="n">
        <v>0</v>
      </c>
      <c r="N936" t="n">
        <v>0</v>
      </c>
      <c r="O936" t="n">
        <v>0</v>
      </c>
      <c r="P936" t="n">
        <v>0</v>
      </c>
      <c r="Q936" t="n">
        <v>0</v>
      </c>
      <c r="R936" s="2" t="inlineStr"/>
    </row>
    <row r="937" ht="15" customHeight="1">
      <c r="A937" t="inlineStr">
        <is>
          <t>A 41209-2023</t>
        </is>
      </c>
      <c r="B937" s="1" t="n">
        <v>45174.43481481481</v>
      </c>
      <c r="C937" s="1" t="n">
        <v>46072</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57275-2023</t>
        </is>
      </c>
      <c r="B938" s="1" t="n">
        <v>45245.58886574074</v>
      </c>
      <c r="C938" s="1" t="n">
        <v>46072</v>
      </c>
      <c r="D938" t="inlineStr">
        <is>
          <t>SKÅNE LÄN</t>
        </is>
      </c>
      <c r="E938" t="inlineStr">
        <is>
          <t>HÄSSLEHOLM</t>
        </is>
      </c>
      <c r="G938" t="n">
        <v>1.7</v>
      </c>
      <c r="H938" t="n">
        <v>0</v>
      </c>
      <c r="I938" t="n">
        <v>0</v>
      </c>
      <c r="J938" t="n">
        <v>0</v>
      </c>
      <c r="K938" t="n">
        <v>0</v>
      </c>
      <c r="L938" t="n">
        <v>0</v>
      </c>
      <c r="M938" t="n">
        <v>0</v>
      </c>
      <c r="N938" t="n">
        <v>0</v>
      </c>
      <c r="O938" t="n">
        <v>0</v>
      </c>
      <c r="P938" t="n">
        <v>0</v>
      </c>
      <c r="Q938" t="n">
        <v>0</v>
      </c>
      <c r="R938" s="2" t="inlineStr"/>
    </row>
    <row r="939" ht="15" customHeight="1">
      <c r="A939" t="inlineStr">
        <is>
          <t>A 53302-2022</t>
        </is>
      </c>
      <c r="B939" s="1" t="n">
        <v>44877</v>
      </c>
      <c r="C939" s="1" t="n">
        <v>46072</v>
      </c>
      <c r="D939" t="inlineStr">
        <is>
          <t>SKÅNE LÄN</t>
        </is>
      </c>
      <c r="E939" t="inlineStr">
        <is>
          <t>HÄSSLEHOLM</t>
        </is>
      </c>
      <c r="G939" t="n">
        <v>0.1</v>
      </c>
      <c r="H939" t="n">
        <v>0</v>
      </c>
      <c r="I939" t="n">
        <v>0</v>
      </c>
      <c r="J939" t="n">
        <v>0</v>
      </c>
      <c r="K939" t="n">
        <v>0</v>
      </c>
      <c r="L939" t="n">
        <v>0</v>
      </c>
      <c r="M939" t="n">
        <v>0</v>
      </c>
      <c r="N939" t="n">
        <v>0</v>
      </c>
      <c r="O939" t="n">
        <v>0</v>
      </c>
      <c r="P939" t="n">
        <v>0</v>
      </c>
      <c r="Q939" t="n">
        <v>0</v>
      </c>
      <c r="R939" s="2" t="inlineStr"/>
    </row>
    <row r="940" ht="15" customHeight="1">
      <c r="A940" t="inlineStr">
        <is>
          <t>A 27991-2024</t>
        </is>
      </c>
      <c r="B940" s="1" t="n">
        <v>45476</v>
      </c>
      <c r="C940" s="1" t="n">
        <v>46072</v>
      </c>
      <c r="D940" t="inlineStr">
        <is>
          <t>SKÅNE LÄN</t>
        </is>
      </c>
      <c r="E940" t="inlineStr">
        <is>
          <t>HÄSSLEHOLM</t>
        </is>
      </c>
      <c r="G940" t="n">
        <v>5.8</v>
      </c>
      <c r="H940" t="n">
        <v>0</v>
      </c>
      <c r="I940" t="n">
        <v>0</v>
      </c>
      <c r="J940" t="n">
        <v>0</v>
      </c>
      <c r="K940" t="n">
        <v>0</v>
      </c>
      <c r="L940" t="n">
        <v>0</v>
      </c>
      <c r="M940" t="n">
        <v>0</v>
      </c>
      <c r="N940" t="n">
        <v>0</v>
      </c>
      <c r="O940" t="n">
        <v>0</v>
      </c>
      <c r="P940" t="n">
        <v>0</v>
      </c>
      <c r="Q940" t="n">
        <v>0</v>
      </c>
      <c r="R940" s="2" t="inlineStr"/>
    </row>
    <row r="941" ht="15" customHeight="1">
      <c r="A941" t="inlineStr">
        <is>
          <t>A 31946-2023</t>
        </is>
      </c>
      <c r="B941" s="1" t="n">
        <v>45119.35158564815</v>
      </c>
      <c r="C941" s="1" t="n">
        <v>46072</v>
      </c>
      <c r="D941" t="inlineStr">
        <is>
          <t>SKÅNE LÄN</t>
        </is>
      </c>
      <c r="E941" t="inlineStr">
        <is>
          <t>HÄSSLEHOLM</t>
        </is>
      </c>
      <c r="G941" t="n">
        <v>0.3</v>
      </c>
      <c r="H941" t="n">
        <v>0</v>
      </c>
      <c r="I941" t="n">
        <v>0</v>
      </c>
      <c r="J941" t="n">
        <v>0</v>
      </c>
      <c r="K941" t="n">
        <v>0</v>
      </c>
      <c r="L941" t="n">
        <v>0</v>
      </c>
      <c r="M941" t="n">
        <v>0</v>
      </c>
      <c r="N941" t="n">
        <v>0</v>
      </c>
      <c r="O941" t="n">
        <v>0</v>
      </c>
      <c r="P941" t="n">
        <v>0</v>
      </c>
      <c r="Q941" t="n">
        <v>0</v>
      </c>
      <c r="R941" s="2" t="inlineStr"/>
    </row>
    <row r="942" ht="15" customHeight="1">
      <c r="A942" t="inlineStr">
        <is>
          <t>A 48798-2023</t>
        </is>
      </c>
      <c r="B942" s="1" t="n">
        <v>45209.25318287037</v>
      </c>
      <c r="C942" s="1" t="n">
        <v>46072</v>
      </c>
      <c r="D942" t="inlineStr">
        <is>
          <t>SKÅNE LÄN</t>
        </is>
      </c>
      <c r="E942" t="inlineStr">
        <is>
          <t>HÄSSLEHOLM</t>
        </is>
      </c>
      <c r="G942" t="n">
        <v>2.1</v>
      </c>
      <c r="H942" t="n">
        <v>0</v>
      </c>
      <c r="I942" t="n">
        <v>0</v>
      </c>
      <c r="J942" t="n">
        <v>0</v>
      </c>
      <c r="K942" t="n">
        <v>0</v>
      </c>
      <c r="L942" t="n">
        <v>0</v>
      </c>
      <c r="M942" t="n">
        <v>0</v>
      </c>
      <c r="N942" t="n">
        <v>0</v>
      </c>
      <c r="O942" t="n">
        <v>0</v>
      </c>
      <c r="P942" t="n">
        <v>0</v>
      </c>
      <c r="Q942" t="n">
        <v>0</v>
      </c>
      <c r="R942" s="2" t="inlineStr"/>
    </row>
    <row r="943" ht="15" customHeight="1">
      <c r="A943" t="inlineStr">
        <is>
          <t>A 48844-2023</t>
        </is>
      </c>
      <c r="B943" s="1" t="n">
        <v>45209</v>
      </c>
      <c r="C943" s="1" t="n">
        <v>46072</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48877-2024</t>
        </is>
      </c>
      <c r="B944" s="1" t="n">
        <v>45594.31729166667</v>
      </c>
      <c r="C944" s="1" t="n">
        <v>46072</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45984-2021</t>
        </is>
      </c>
      <c r="B945" s="1" t="n">
        <v>44441</v>
      </c>
      <c r="C945" s="1" t="n">
        <v>46072</v>
      </c>
      <c r="D945" t="inlineStr">
        <is>
          <t>SKÅNE LÄN</t>
        </is>
      </c>
      <c r="E945" t="inlineStr">
        <is>
          <t>HÄSSLEHOLM</t>
        </is>
      </c>
      <c r="G945" t="n">
        <v>2.1</v>
      </c>
      <c r="H945" t="n">
        <v>0</v>
      </c>
      <c r="I945" t="n">
        <v>0</v>
      </c>
      <c r="J945" t="n">
        <v>0</v>
      </c>
      <c r="K945" t="n">
        <v>0</v>
      </c>
      <c r="L945" t="n">
        <v>0</v>
      </c>
      <c r="M945" t="n">
        <v>0</v>
      </c>
      <c r="N945" t="n">
        <v>0</v>
      </c>
      <c r="O945" t="n">
        <v>0</v>
      </c>
      <c r="P945" t="n">
        <v>0</v>
      </c>
      <c r="Q945" t="n">
        <v>0</v>
      </c>
      <c r="R945" s="2" t="inlineStr"/>
    </row>
    <row r="946" ht="15" customHeight="1">
      <c r="A946" t="inlineStr">
        <is>
          <t>A 8378-2023</t>
        </is>
      </c>
      <c r="B946" s="1" t="n">
        <v>44971</v>
      </c>
      <c r="C946" s="1" t="n">
        <v>46072</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45398-2024</t>
        </is>
      </c>
      <c r="B947" s="1" t="n">
        <v>45576.56260416667</v>
      </c>
      <c r="C947" s="1" t="n">
        <v>46072</v>
      </c>
      <c r="D947" t="inlineStr">
        <is>
          <t>SKÅNE LÄN</t>
        </is>
      </c>
      <c r="E947" t="inlineStr">
        <is>
          <t>HÄSSLEHOLM</t>
        </is>
      </c>
      <c r="G947" t="n">
        <v>4.2</v>
      </c>
      <c r="H947" t="n">
        <v>0</v>
      </c>
      <c r="I947" t="n">
        <v>0</v>
      </c>
      <c r="J947" t="n">
        <v>0</v>
      </c>
      <c r="K947" t="n">
        <v>0</v>
      </c>
      <c r="L947" t="n">
        <v>0</v>
      </c>
      <c r="M947" t="n">
        <v>0</v>
      </c>
      <c r="N947" t="n">
        <v>0</v>
      </c>
      <c r="O947" t="n">
        <v>0</v>
      </c>
      <c r="P947" t="n">
        <v>0</v>
      </c>
      <c r="Q947" t="n">
        <v>0</v>
      </c>
      <c r="R947" s="2" t="inlineStr"/>
    </row>
    <row r="948" ht="15" customHeight="1">
      <c r="A948" t="inlineStr">
        <is>
          <t>A 4140-2023</t>
        </is>
      </c>
      <c r="B948" s="1" t="n">
        <v>44953</v>
      </c>
      <c r="C948" s="1" t="n">
        <v>46072</v>
      </c>
      <c r="D948" t="inlineStr">
        <is>
          <t>SKÅNE LÄN</t>
        </is>
      </c>
      <c r="E948" t="inlineStr">
        <is>
          <t>HÄSSLEHOLM</t>
        </is>
      </c>
      <c r="G948" t="n">
        <v>10.6</v>
      </c>
      <c r="H948" t="n">
        <v>0</v>
      </c>
      <c r="I948" t="n">
        <v>0</v>
      </c>
      <c r="J948" t="n">
        <v>0</v>
      </c>
      <c r="K948" t="n">
        <v>0</v>
      </c>
      <c r="L948" t="n">
        <v>0</v>
      </c>
      <c r="M948" t="n">
        <v>0</v>
      </c>
      <c r="N948" t="n">
        <v>0</v>
      </c>
      <c r="O948" t="n">
        <v>0</v>
      </c>
      <c r="P948" t="n">
        <v>0</v>
      </c>
      <c r="Q948" t="n">
        <v>0</v>
      </c>
      <c r="R948" s="2" t="inlineStr"/>
    </row>
    <row r="949" ht="15" customHeight="1">
      <c r="A949" t="inlineStr">
        <is>
          <t>A 50000-2023</t>
        </is>
      </c>
      <c r="B949" s="1" t="n">
        <v>45215.4434837963</v>
      </c>
      <c r="C949" s="1" t="n">
        <v>46072</v>
      </c>
      <c r="D949" t="inlineStr">
        <is>
          <t>SKÅNE LÄN</t>
        </is>
      </c>
      <c r="E949" t="inlineStr">
        <is>
          <t>HÄSSLEHOLM</t>
        </is>
      </c>
      <c r="G949" t="n">
        <v>1.6</v>
      </c>
      <c r="H949" t="n">
        <v>0</v>
      </c>
      <c r="I949" t="n">
        <v>0</v>
      </c>
      <c r="J949" t="n">
        <v>0</v>
      </c>
      <c r="K949" t="n">
        <v>0</v>
      </c>
      <c r="L949" t="n">
        <v>0</v>
      </c>
      <c r="M949" t="n">
        <v>0</v>
      </c>
      <c r="N949" t="n">
        <v>0</v>
      </c>
      <c r="O949" t="n">
        <v>0</v>
      </c>
      <c r="P949" t="n">
        <v>0</v>
      </c>
      <c r="Q949" t="n">
        <v>0</v>
      </c>
      <c r="R949" s="2" t="inlineStr"/>
    </row>
    <row r="950" ht="15" customHeight="1">
      <c r="A950" t="inlineStr">
        <is>
          <t>A 417-2022</t>
        </is>
      </c>
      <c r="B950" s="1" t="n">
        <v>44565.84615740741</v>
      </c>
      <c r="C950" s="1" t="n">
        <v>46072</v>
      </c>
      <c r="D950" t="inlineStr">
        <is>
          <t>SKÅNE LÄN</t>
        </is>
      </c>
      <c r="E950" t="inlineStr">
        <is>
          <t>HÄSSLEHOLM</t>
        </is>
      </c>
      <c r="G950" t="n">
        <v>0</v>
      </c>
      <c r="H950" t="n">
        <v>0</v>
      </c>
      <c r="I950" t="n">
        <v>0</v>
      </c>
      <c r="J950" t="n">
        <v>0</v>
      </c>
      <c r="K950" t="n">
        <v>0</v>
      </c>
      <c r="L950" t="n">
        <v>0</v>
      </c>
      <c r="M950" t="n">
        <v>0</v>
      </c>
      <c r="N950" t="n">
        <v>0</v>
      </c>
      <c r="O950" t="n">
        <v>0</v>
      </c>
      <c r="P950" t="n">
        <v>0</v>
      </c>
      <c r="Q950" t="n">
        <v>0</v>
      </c>
      <c r="R950" s="2" t="inlineStr"/>
    </row>
    <row r="951" ht="15" customHeight="1">
      <c r="A951" t="inlineStr">
        <is>
          <t>A 51040-2024</t>
        </is>
      </c>
      <c r="B951" s="1" t="n">
        <v>45603.43222222223</v>
      </c>
      <c r="C951" s="1" t="n">
        <v>46072</v>
      </c>
      <c r="D951" t="inlineStr">
        <is>
          <t>SKÅNE LÄN</t>
        </is>
      </c>
      <c r="E951" t="inlineStr">
        <is>
          <t>HÄSSLEHOLM</t>
        </is>
      </c>
      <c r="G951" t="n">
        <v>2.7</v>
      </c>
      <c r="H951" t="n">
        <v>0</v>
      </c>
      <c r="I951" t="n">
        <v>0</v>
      </c>
      <c r="J951" t="n">
        <v>0</v>
      </c>
      <c r="K951" t="n">
        <v>0</v>
      </c>
      <c r="L951" t="n">
        <v>0</v>
      </c>
      <c r="M951" t="n">
        <v>0</v>
      </c>
      <c r="N951" t="n">
        <v>0</v>
      </c>
      <c r="O951" t="n">
        <v>0</v>
      </c>
      <c r="P951" t="n">
        <v>0</v>
      </c>
      <c r="Q951" t="n">
        <v>0</v>
      </c>
      <c r="R951" s="2" t="inlineStr"/>
    </row>
    <row r="952" ht="15" customHeight="1">
      <c r="A952" t="inlineStr">
        <is>
          <t>A 50249-2024</t>
        </is>
      </c>
      <c r="B952" s="1" t="n">
        <v>45600.56866898148</v>
      </c>
      <c r="C952" s="1" t="n">
        <v>46072</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54326-2022</t>
        </is>
      </c>
      <c r="B953" s="1" t="n">
        <v>44882.42965277778</v>
      </c>
      <c r="C953" s="1" t="n">
        <v>46072</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54174-2022</t>
        </is>
      </c>
      <c r="B954" s="1" t="n">
        <v>44881</v>
      </c>
      <c r="C954" s="1" t="n">
        <v>46072</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38376-2022</t>
        </is>
      </c>
      <c r="B955" s="1" t="n">
        <v>44812</v>
      </c>
      <c r="C955" s="1" t="n">
        <v>46072</v>
      </c>
      <c r="D955" t="inlineStr">
        <is>
          <t>SKÅNE LÄN</t>
        </is>
      </c>
      <c r="E955" t="inlineStr">
        <is>
          <t>HÄSSLEHOLM</t>
        </is>
      </c>
      <c r="G955" t="n">
        <v>1.9</v>
      </c>
      <c r="H955" t="n">
        <v>0</v>
      </c>
      <c r="I955" t="n">
        <v>0</v>
      </c>
      <c r="J955" t="n">
        <v>0</v>
      </c>
      <c r="K955" t="n">
        <v>0</v>
      </c>
      <c r="L955" t="n">
        <v>0</v>
      </c>
      <c r="M955" t="n">
        <v>0</v>
      </c>
      <c r="N955" t="n">
        <v>0</v>
      </c>
      <c r="O955" t="n">
        <v>0</v>
      </c>
      <c r="P955" t="n">
        <v>0</v>
      </c>
      <c r="Q955" t="n">
        <v>0</v>
      </c>
      <c r="R955" s="2" t="inlineStr"/>
    </row>
    <row r="956" ht="15" customHeight="1">
      <c r="A956" t="inlineStr">
        <is>
          <t>A 54659-2023</t>
        </is>
      </c>
      <c r="B956" s="1" t="n">
        <v>45235</v>
      </c>
      <c r="C956" s="1" t="n">
        <v>46072</v>
      </c>
      <c r="D956" t="inlineStr">
        <is>
          <t>SKÅNE LÄN</t>
        </is>
      </c>
      <c r="E956" t="inlineStr">
        <is>
          <t>HÄSSLEHOLM</t>
        </is>
      </c>
      <c r="G956" t="n">
        <v>5</v>
      </c>
      <c r="H956" t="n">
        <v>0</v>
      </c>
      <c r="I956" t="n">
        <v>0</v>
      </c>
      <c r="J956" t="n">
        <v>0</v>
      </c>
      <c r="K956" t="n">
        <v>0</v>
      </c>
      <c r="L956" t="n">
        <v>0</v>
      </c>
      <c r="M956" t="n">
        <v>0</v>
      </c>
      <c r="N956" t="n">
        <v>0</v>
      </c>
      <c r="O956" t="n">
        <v>0</v>
      </c>
      <c r="P956" t="n">
        <v>0</v>
      </c>
      <c r="Q956" t="n">
        <v>0</v>
      </c>
      <c r="R956" s="2" t="inlineStr"/>
    </row>
    <row r="957" ht="15" customHeight="1">
      <c r="A957" t="inlineStr">
        <is>
          <t>A 15036-2024</t>
        </is>
      </c>
      <c r="B957" s="1" t="n">
        <v>45399.48100694444</v>
      </c>
      <c r="C957" s="1" t="n">
        <v>46072</v>
      </c>
      <c r="D957" t="inlineStr">
        <is>
          <t>SKÅNE LÄN</t>
        </is>
      </c>
      <c r="E957" t="inlineStr">
        <is>
          <t>HÄSSLEHOLM</t>
        </is>
      </c>
      <c r="G957" t="n">
        <v>1.6</v>
      </c>
      <c r="H957" t="n">
        <v>0</v>
      </c>
      <c r="I957" t="n">
        <v>0</v>
      </c>
      <c r="J957" t="n">
        <v>0</v>
      </c>
      <c r="K957" t="n">
        <v>0</v>
      </c>
      <c r="L957" t="n">
        <v>0</v>
      </c>
      <c r="M957" t="n">
        <v>0</v>
      </c>
      <c r="N957" t="n">
        <v>0</v>
      </c>
      <c r="O957" t="n">
        <v>0</v>
      </c>
      <c r="P957" t="n">
        <v>0</v>
      </c>
      <c r="Q957" t="n">
        <v>0</v>
      </c>
      <c r="R957" s="2" t="inlineStr"/>
    </row>
    <row r="958" ht="15" customHeight="1">
      <c r="A958" t="inlineStr">
        <is>
          <t>A 9709-2023</t>
        </is>
      </c>
      <c r="B958" s="1" t="n">
        <v>44984.48376157408</v>
      </c>
      <c r="C958" s="1" t="n">
        <v>46072</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9615-2025</t>
        </is>
      </c>
      <c r="B959" s="1" t="n">
        <v>45715</v>
      </c>
      <c r="C959" s="1" t="n">
        <v>46072</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8524-2024</t>
        </is>
      </c>
      <c r="B960" s="1" t="n">
        <v>45355.48570601852</v>
      </c>
      <c r="C960" s="1" t="n">
        <v>46072</v>
      </c>
      <c r="D960" t="inlineStr">
        <is>
          <t>SKÅNE LÄN</t>
        </is>
      </c>
      <c r="E960" t="inlineStr">
        <is>
          <t>HÄSSLEHOLM</t>
        </is>
      </c>
      <c r="G960" t="n">
        <v>4</v>
      </c>
      <c r="H960" t="n">
        <v>0</v>
      </c>
      <c r="I960" t="n">
        <v>0</v>
      </c>
      <c r="J960" t="n">
        <v>0</v>
      </c>
      <c r="K960" t="n">
        <v>0</v>
      </c>
      <c r="L960" t="n">
        <v>0</v>
      </c>
      <c r="M960" t="n">
        <v>0</v>
      </c>
      <c r="N960" t="n">
        <v>0</v>
      </c>
      <c r="O960" t="n">
        <v>0</v>
      </c>
      <c r="P960" t="n">
        <v>0</v>
      </c>
      <c r="Q960" t="n">
        <v>0</v>
      </c>
      <c r="R960" s="2" t="inlineStr"/>
    </row>
    <row r="961" ht="15" customHeight="1">
      <c r="A961" t="inlineStr">
        <is>
          <t>A 23987-2024</t>
        </is>
      </c>
      <c r="B961" s="1" t="n">
        <v>45456</v>
      </c>
      <c r="C961" s="1" t="n">
        <v>46072</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4042-2023</t>
        </is>
      </c>
      <c r="B962" s="1" t="n">
        <v>44952.59950231481</v>
      </c>
      <c r="C962" s="1" t="n">
        <v>46072</v>
      </c>
      <c r="D962" t="inlineStr">
        <is>
          <t>SKÅNE LÄN</t>
        </is>
      </c>
      <c r="E962" t="inlineStr">
        <is>
          <t>HÄSSLEHOLM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31160-2024</t>
        </is>
      </c>
      <c r="B963" s="1" t="n">
        <v>45503</v>
      </c>
      <c r="C963" s="1" t="n">
        <v>46072</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5054-2022</t>
        </is>
      </c>
      <c r="B964" s="1" t="n">
        <v>44593.69065972222</v>
      </c>
      <c r="C964" s="1" t="n">
        <v>46072</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31391-2023</t>
        </is>
      </c>
      <c r="B965" s="1" t="n">
        <v>45114.56143518518</v>
      </c>
      <c r="C965" s="1" t="n">
        <v>46072</v>
      </c>
      <c r="D965" t="inlineStr">
        <is>
          <t>SKÅNE LÄN</t>
        </is>
      </c>
      <c r="E965" t="inlineStr">
        <is>
          <t>HÄSSLEHOLM</t>
        </is>
      </c>
      <c r="G965" t="n">
        <v>3.1</v>
      </c>
      <c r="H965" t="n">
        <v>0</v>
      </c>
      <c r="I965" t="n">
        <v>0</v>
      </c>
      <c r="J965" t="n">
        <v>0</v>
      </c>
      <c r="K965" t="n">
        <v>0</v>
      </c>
      <c r="L965" t="n">
        <v>0</v>
      </c>
      <c r="M965" t="n">
        <v>0</v>
      </c>
      <c r="N965" t="n">
        <v>0</v>
      </c>
      <c r="O965" t="n">
        <v>0</v>
      </c>
      <c r="P965" t="n">
        <v>0</v>
      </c>
      <c r="Q965" t="n">
        <v>0</v>
      </c>
      <c r="R965" s="2" t="inlineStr"/>
    </row>
    <row r="966" ht="15" customHeight="1">
      <c r="A966" t="inlineStr">
        <is>
          <t>A 23723-2023</t>
        </is>
      </c>
      <c r="B966" s="1" t="n">
        <v>45077</v>
      </c>
      <c r="C966" s="1" t="n">
        <v>46072</v>
      </c>
      <c r="D966" t="inlineStr">
        <is>
          <t>SKÅNE LÄN</t>
        </is>
      </c>
      <c r="E966" t="inlineStr">
        <is>
          <t>HÄSSLEHOLM</t>
        </is>
      </c>
      <c r="G966" t="n">
        <v>3.9</v>
      </c>
      <c r="H966" t="n">
        <v>0</v>
      </c>
      <c r="I966" t="n">
        <v>0</v>
      </c>
      <c r="J966" t="n">
        <v>0</v>
      </c>
      <c r="K966" t="n">
        <v>0</v>
      </c>
      <c r="L966" t="n">
        <v>0</v>
      </c>
      <c r="M966" t="n">
        <v>0</v>
      </c>
      <c r="N966" t="n">
        <v>0</v>
      </c>
      <c r="O966" t="n">
        <v>0</v>
      </c>
      <c r="P966" t="n">
        <v>0</v>
      </c>
      <c r="Q966" t="n">
        <v>0</v>
      </c>
      <c r="R966" s="2" t="inlineStr"/>
    </row>
    <row r="967" ht="15" customHeight="1">
      <c r="A967" t="inlineStr">
        <is>
          <t>A 31933-2024</t>
        </is>
      </c>
      <c r="B967" s="1" t="n">
        <v>45510.41123842593</v>
      </c>
      <c r="C967" s="1" t="n">
        <v>46072</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31581-2023</t>
        </is>
      </c>
      <c r="B968" s="1" t="n">
        <v>45117.45165509259</v>
      </c>
      <c r="C968" s="1" t="n">
        <v>46072</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55303-2024</t>
        </is>
      </c>
      <c r="B969" s="1" t="n">
        <v>45621.6434837963</v>
      </c>
      <c r="C969" s="1" t="n">
        <v>46072</v>
      </c>
      <c r="D969" t="inlineStr">
        <is>
          <t>SKÅNE LÄN</t>
        </is>
      </c>
      <c r="E969" t="inlineStr">
        <is>
          <t>HÄSSLEHOLM</t>
        </is>
      </c>
      <c r="G969" t="n">
        <v>3.3</v>
      </c>
      <c r="H969" t="n">
        <v>0</v>
      </c>
      <c r="I969" t="n">
        <v>0</v>
      </c>
      <c r="J969" t="n">
        <v>0</v>
      </c>
      <c r="K969" t="n">
        <v>0</v>
      </c>
      <c r="L969" t="n">
        <v>0</v>
      </c>
      <c r="M969" t="n">
        <v>0</v>
      </c>
      <c r="N969" t="n">
        <v>0</v>
      </c>
      <c r="O969" t="n">
        <v>0</v>
      </c>
      <c r="P969" t="n">
        <v>0</v>
      </c>
      <c r="Q969" t="n">
        <v>0</v>
      </c>
      <c r="R969" s="2" t="inlineStr"/>
    </row>
    <row r="970" ht="15" customHeight="1">
      <c r="A970" t="inlineStr">
        <is>
          <t>A 40202-2022</t>
        </is>
      </c>
      <c r="B970" s="1" t="n">
        <v>44820.60614583334</v>
      </c>
      <c r="C970" s="1" t="n">
        <v>46072</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4382-2023</t>
        </is>
      </c>
      <c r="B971" s="1" t="n">
        <v>44955.61152777778</v>
      </c>
      <c r="C971" s="1" t="n">
        <v>46072</v>
      </c>
      <c r="D971" t="inlineStr">
        <is>
          <t>SKÅNE LÄN</t>
        </is>
      </c>
      <c r="E971" t="inlineStr">
        <is>
          <t>HÄSSLEHOLM</t>
        </is>
      </c>
      <c r="G971" t="n">
        <v>0.3</v>
      </c>
      <c r="H971" t="n">
        <v>0</v>
      </c>
      <c r="I971" t="n">
        <v>0</v>
      </c>
      <c r="J971" t="n">
        <v>0</v>
      </c>
      <c r="K971" t="n">
        <v>0</v>
      </c>
      <c r="L971" t="n">
        <v>0</v>
      </c>
      <c r="M971" t="n">
        <v>0</v>
      </c>
      <c r="N971" t="n">
        <v>0</v>
      </c>
      <c r="O971" t="n">
        <v>0</v>
      </c>
      <c r="P971" t="n">
        <v>0</v>
      </c>
      <c r="Q971" t="n">
        <v>0</v>
      </c>
      <c r="R971" s="2" t="inlineStr"/>
    </row>
    <row r="972" ht="15" customHeight="1">
      <c r="A972" t="inlineStr">
        <is>
          <t>A 52608-2023</t>
        </is>
      </c>
      <c r="B972" s="1" t="n">
        <v>45219</v>
      </c>
      <c r="C972" s="1" t="n">
        <v>46072</v>
      </c>
      <c r="D972" t="inlineStr">
        <is>
          <t>SKÅNE LÄN</t>
        </is>
      </c>
      <c r="E972" t="inlineStr">
        <is>
          <t>HÄSSLEHOLM</t>
        </is>
      </c>
      <c r="F972" t="inlineStr">
        <is>
          <t>Övriga Aktiebolag</t>
        </is>
      </c>
      <c r="G972" t="n">
        <v>2.1</v>
      </c>
      <c r="H972" t="n">
        <v>0</v>
      </c>
      <c r="I972" t="n">
        <v>0</v>
      </c>
      <c r="J972" t="n">
        <v>0</v>
      </c>
      <c r="K972" t="n">
        <v>0</v>
      </c>
      <c r="L972" t="n">
        <v>0</v>
      </c>
      <c r="M972" t="n">
        <v>0</v>
      </c>
      <c r="N972" t="n">
        <v>0</v>
      </c>
      <c r="O972" t="n">
        <v>0</v>
      </c>
      <c r="P972" t="n">
        <v>0</v>
      </c>
      <c r="Q972" t="n">
        <v>0</v>
      </c>
      <c r="R972" s="2" t="inlineStr"/>
    </row>
    <row r="973" ht="15" customHeight="1">
      <c r="A973" t="inlineStr">
        <is>
          <t>A 27954-2022</t>
        </is>
      </c>
      <c r="B973" s="1" t="n">
        <v>44743</v>
      </c>
      <c r="C973" s="1" t="n">
        <v>46072</v>
      </c>
      <c r="D973" t="inlineStr">
        <is>
          <t>SKÅNE LÄN</t>
        </is>
      </c>
      <c r="E973" t="inlineStr">
        <is>
          <t>HÄSSLEHOLM</t>
        </is>
      </c>
      <c r="G973" t="n">
        <v>9.4</v>
      </c>
      <c r="H973" t="n">
        <v>0</v>
      </c>
      <c r="I973" t="n">
        <v>0</v>
      </c>
      <c r="J973" t="n">
        <v>0</v>
      </c>
      <c r="K973" t="n">
        <v>0</v>
      </c>
      <c r="L973" t="n">
        <v>0</v>
      </c>
      <c r="M973" t="n">
        <v>0</v>
      </c>
      <c r="N973" t="n">
        <v>0</v>
      </c>
      <c r="O973" t="n">
        <v>0</v>
      </c>
      <c r="P973" t="n">
        <v>0</v>
      </c>
      <c r="Q973" t="n">
        <v>0</v>
      </c>
      <c r="R973" s="2" t="inlineStr"/>
    </row>
    <row r="974" ht="15" customHeight="1">
      <c r="A974" t="inlineStr">
        <is>
          <t>A 20493-2024</t>
        </is>
      </c>
      <c r="B974" s="1" t="n">
        <v>45435</v>
      </c>
      <c r="C974" s="1" t="n">
        <v>46072</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41873-2023</t>
        </is>
      </c>
      <c r="B975" s="1" t="n">
        <v>45176</v>
      </c>
      <c r="C975" s="1" t="n">
        <v>46072</v>
      </c>
      <c r="D975" t="inlineStr">
        <is>
          <t>SKÅNE LÄN</t>
        </is>
      </c>
      <c r="E975" t="inlineStr">
        <is>
          <t>HÄSSLEHOLM</t>
        </is>
      </c>
      <c r="G975" t="n">
        <v>2.8</v>
      </c>
      <c r="H975" t="n">
        <v>0</v>
      </c>
      <c r="I975" t="n">
        <v>0</v>
      </c>
      <c r="J975" t="n">
        <v>0</v>
      </c>
      <c r="K975" t="n">
        <v>0</v>
      </c>
      <c r="L975" t="n">
        <v>0</v>
      </c>
      <c r="M975" t="n">
        <v>0</v>
      </c>
      <c r="N975" t="n">
        <v>0</v>
      </c>
      <c r="O975" t="n">
        <v>0</v>
      </c>
      <c r="P975" t="n">
        <v>0</v>
      </c>
      <c r="Q975" t="n">
        <v>0</v>
      </c>
      <c r="R975" s="2" t="inlineStr"/>
    </row>
    <row r="976" ht="15" customHeight="1">
      <c r="A976" t="inlineStr">
        <is>
          <t>A 41998-2021</t>
        </is>
      </c>
      <c r="B976" s="1" t="n">
        <v>44425</v>
      </c>
      <c r="C976" s="1" t="n">
        <v>46072</v>
      </c>
      <c r="D976" t="inlineStr">
        <is>
          <t>SKÅNE LÄN</t>
        </is>
      </c>
      <c r="E976" t="inlineStr">
        <is>
          <t>HÄSSLEHOLM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35712-2024</t>
        </is>
      </c>
      <c r="B977" s="1" t="n">
        <v>45532</v>
      </c>
      <c r="C977" s="1" t="n">
        <v>46072</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61691-2021</t>
        </is>
      </c>
      <c r="B978" s="1" t="n">
        <v>44501</v>
      </c>
      <c r="C978" s="1" t="n">
        <v>46072</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57647-2024</t>
        </is>
      </c>
      <c r="B979" s="1" t="n">
        <v>45630</v>
      </c>
      <c r="C979" s="1" t="n">
        <v>46072</v>
      </c>
      <c r="D979" t="inlineStr">
        <is>
          <t>SKÅNE LÄN</t>
        </is>
      </c>
      <c r="E979" t="inlineStr">
        <is>
          <t>HÄSSLEHOLM</t>
        </is>
      </c>
      <c r="G979" t="n">
        <v>2.9</v>
      </c>
      <c r="H979" t="n">
        <v>0</v>
      </c>
      <c r="I979" t="n">
        <v>0</v>
      </c>
      <c r="J979" t="n">
        <v>0</v>
      </c>
      <c r="K979" t="n">
        <v>0</v>
      </c>
      <c r="L979" t="n">
        <v>0</v>
      </c>
      <c r="M979" t="n">
        <v>0</v>
      </c>
      <c r="N979" t="n">
        <v>0</v>
      </c>
      <c r="O979" t="n">
        <v>0</v>
      </c>
      <c r="P979" t="n">
        <v>0</v>
      </c>
      <c r="Q979" t="n">
        <v>0</v>
      </c>
      <c r="R979" s="2" t="inlineStr"/>
    </row>
    <row r="980" ht="15" customHeight="1">
      <c r="A980" t="inlineStr">
        <is>
          <t>A 20564-2023</t>
        </is>
      </c>
      <c r="B980" s="1" t="n">
        <v>45057</v>
      </c>
      <c r="C980" s="1" t="n">
        <v>46072</v>
      </c>
      <c r="D980" t="inlineStr">
        <is>
          <t>SKÅNE LÄN</t>
        </is>
      </c>
      <c r="E980" t="inlineStr">
        <is>
          <t>HÄSSLEHOLM</t>
        </is>
      </c>
      <c r="G980" t="n">
        <v>2.6</v>
      </c>
      <c r="H980" t="n">
        <v>0</v>
      </c>
      <c r="I980" t="n">
        <v>0</v>
      </c>
      <c r="J980" t="n">
        <v>0</v>
      </c>
      <c r="K980" t="n">
        <v>0</v>
      </c>
      <c r="L980" t="n">
        <v>0</v>
      </c>
      <c r="M980" t="n">
        <v>0</v>
      </c>
      <c r="N980" t="n">
        <v>0</v>
      </c>
      <c r="O980" t="n">
        <v>0</v>
      </c>
      <c r="P980" t="n">
        <v>0</v>
      </c>
      <c r="Q980" t="n">
        <v>0</v>
      </c>
      <c r="R980" s="2" t="inlineStr"/>
    </row>
    <row r="981" ht="15" customHeight="1">
      <c r="A981" t="inlineStr">
        <is>
          <t>A 46641-2023</t>
        </is>
      </c>
      <c r="B981" s="1" t="n">
        <v>45198.44523148148</v>
      </c>
      <c r="C981" s="1" t="n">
        <v>46072</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8239-2025</t>
        </is>
      </c>
      <c r="B982" s="1" t="n">
        <v>45708.47984953703</v>
      </c>
      <c r="C982" s="1" t="n">
        <v>46072</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46645-2023</t>
        </is>
      </c>
      <c r="B983" s="1" t="n">
        <v>45198.44686342592</v>
      </c>
      <c r="C983" s="1" t="n">
        <v>46072</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31986-2023</t>
        </is>
      </c>
      <c r="B984" s="1" t="n">
        <v>45119</v>
      </c>
      <c r="C984" s="1" t="n">
        <v>46072</v>
      </c>
      <c r="D984" t="inlineStr">
        <is>
          <t>SKÅNE LÄN</t>
        </is>
      </c>
      <c r="E984" t="inlineStr">
        <is>
          <t>HÄSSLEHOLM</t>
        </is>
      </c>
      <c r="G984" t="n">
        <v>1.7</v>
      </c>
      <c r="H984" t="n">
        <v>0</v>
      </c>
      <c r="I984" t="n">
        <v>0</v>
      </c>
      <c r="J984" t="n">
        <v>0</v>
      </c>
      <c r="K984" t="n">
        <v>0</v>
      </c>
      <c r="L984" t="n">
        <v>0</v>
      </c>
      <c r="M984" t="n">
        <v>0</v>
      </c>
      <c r="N984" t="n">
        <v>0</v>
      </c>
      <c r="O984" t="n">
        <v>0</v>
      </c>
      <c r="P984" t="n">
        <v>0</v>
      </c>
      <c r="Q984" t="n">
        <v>0</v>
      </c>
      <c r="R984" s="2" t="inlineStr"/>
    </row>
    <row r="985" ht="15" customHeight="1">
      <c r="A985" t="inlineStr">
        <is>
          <t>A 62044-2022</t>
        </is>
      </c>
      <c r="B985" s="1" t="n">
        <v>44918.55976851852</v>
      </c>
      <c r="C985" s="1" t="n">
        <v>46072</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6619-2024</t>
        </is>
      </c>
      <c r="B986" s="1" t="n">
        <v>45341.6021412037</v>
      </c>
      <c r="C986" s="1" t="n">
        <v>46072</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52341-2023</t>
        </is>
      </c>
      <c r="B987" s="1" t="n">
        <v>45224.67006944444</v>
      </c>
      <c r="C987" s="1" t="n">
        <v>46072</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27464-2022</t>
        </is>
      </c>
      <c r="B988" s="1" t="n">
        <v>44742.58704861111</v>
      </c>
      <c r="C988" s="1" t="n">
        <v>46072</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6798-2025</t>
        </is>
      </c>
      <c r="B989" s="1" t="n">
        <v>45700.668125</v>
      </c>
      <c r="C989" s="1" t="n">
        <v>46072</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10752-2025</t>
        </is>
      </c>
      <c r="B990" s="1" t="n">
        <v>45722</v>
      </c>
      <c r="C990" s="1" t="n">
        <v>46072</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14008-2023</t>
        </is>
      </c>
      <c r="B991" s="1" t="n">
        <v>45008.56725694444</v>
      </c>
      <c r="C991" s="1" t="n">
        <v>46072</v>
      </c>
      <c r="D991" t="inlineStr">
        <is>
          <t>SKÅNE LÄN</t>
        </is>
      </c>
      <c r="E991" t="inlineStr">
        <is>
          <t>HÄSSLEHOLM</t>
        </is>
      </c>
      <c r="G991" t="n">
        <v>3.3</v>
      </c>
      <c r="H991" t="n">
        <v>0</v>
      </c>
      <c r="I991" t="n">
        <v>0</v>
      </c>
      <c r="J991" t="n">
        <v>0</v>
      </c>
      <c r="K991" t="n">
        <v>0</v>
      </c>
      <c r="L991" t="n">
        <v>0</v>
      </c>
      <c r="M991" t="n">
        <v>0</v>
      </c>
      <c r="N991" t="n">
        <v>0</v>
      </c>
      <c r="O991" t="n">
        <v>0</v>
      </c>
      <c r="P991" t="n">
        <v>0</v>
      </c>
      <c r="Q991" t="n">
        <v>0</v>
      </c>
      <c r="R991" s="2" t="inlineStr"/>
    </row>
    <row r="992" ht="15" customHeight="1">
      <c r="A992" t="inlineStr">
        <is>
          <t>A 315-2022</t>
        </is>
      </c>
      <c r="B992" s="1" t="n">
        <v>44565.55630787037</v>
      </c>
      <c r="C992" s="1" t="n">
        <v>46072</v>
      </c>
      <c r="D992" t="inlineStr">
        <is>
          <t>SKÅNE LÄN</t>
        </is>
      </c>
      <c r="E992" t="inlineStr">
        <is>
          <t>HÄSSLEHOLM</t>
        </is>
      </c>
      <c r="G992" t="n">
        <v>0.4</v>
      </c>
      <c r="H992" t="n">
        <v>0</v>
      </c>
      <c r="I992" t="n">
        <v>0</v>
      </c>
      <c r="J992" t="n">
        <v>0</v>
      </c>
      <c r="K992" t="n">
        <v>0</v>
      </c>
      <c r="L992" t="n">
        <v>0</v>
      </c>
      <c r="M992" t="n">
        <v>0</v>
      </c>
      <c r="N992" t="n">
        <v>0</v>
      </c>
      <c r="O992" t="n">
        <v>0</v>
      </c>
      <c r="P992" t="n">
        <v>0</v>
      </c>
      <c r="Q992" t="n">
        <v>0</v>
      </c>
      <c r="R992" s="2" t="inlineStr"/>
    </row>
    <row r="993" ht="15" customHeight="1">
      <c r="A993" t="inlineStr">
        <is>
          <t>A 42372-2024</t>
        </is>
      </c>
      <c r="B993" s="1" t="n">
        <v>45564.5127199074</v>
      </c>
      <c r="C993" s="1" t="n">
        <v>46072</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17138-2025</t>
        </is>
      </c>
      <c r="B994" s="1" t="n">
        <v>45755.80378472222</v>
      </c>
      <c r="C994" s="1" t="n">
        <v>46072</v>
      </c>
      <c r="D994" t="inlineStr">
        <is>
          <t>SKÅNE LÄN</t>
        </is>
      </c>
      <c r="E994" t="inlineStr">
        <is>
          <t>HÄSSLEHOLM</t>
        </is>
      </c>
      <c r="G994" t="n">
        <v>1.1</v>
      </c>
      <c r="H994" t="n">
        <v>0</v>
      </c>
      <c r="I994" t="n">
        <v>0</v>
      </c>
      <c r="J994" t="n">
        <v>0</v>
      </c>
      <c r="K994" t="n">
        <v>0</v>
      </c>
      <c r="L994" t="n">
        <v>0</v>
      </c>
      <c r="M994" t="n">
        <v>0</v>
      </c>
      <c r="N994" t="n">
        <v>0</v>
      </c>
      <c r="O994" t="n">
        <v>0</v>
      </c>
      <c r="P994" t="n">
        <v>0</v>
      </c>
      <c r="Q994" t="n">
        <v>0</v>
      </c>
      <c r="R994" s="2" t="inlineStr"/>
    </row>
    <row r="995" ht="15" customHeight="1">
      <c r="A995" t="inlineStr">
        <is>
          <t>A 57695-2023</t>
        </is>
      </c>
      <c r="B995" s="1" t="n">
        <v>45246</v>
      </c>
      <c r="C995" s="1" t="n">
        <v>46072</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12162-2023</t>
        </is>
      </c>
      <c r="B996" s="1" t="n">
        <v>44998.49619212963</v>
      </c>
      <c r="C996" s="1" t="n">
        <v>46072</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13347-2025</t>
        </is>
      </c>
      <c r="B997" s="1" t="n">
        <v>45735.63175925926</v>
      </c>
      <c r="C997" s="1" t="n">
        <v>46072</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4916-2024</t>
        </is>
      </c>
      <c r="B998" s="1" t="n">
        <v>45329</v>
      </c>
      <c r="C998" s="1" t="n">
        <v>46072</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27175-2024</t>
        </is>
      </c>
      <c r="B999" s="1" t="n">
        <v>45471.57111111111</v>
      </c>
      <c r="C999" s="1" t="n">
        <v>46072</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54658-2023</t>
        </is>
      </c>
      <c r="B1000" s="1" t="n">
        <v>45235</v>
      </c>
      <c r="C1000" s="1" t="n">
        <v>46072</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23666-2023</t>
        </is>
      </c>
      <c r="B1001" s="1" t="n">
        <v>45077</v>
      </c>
      <c r="C1001" s="1" t="n">
        <v>46072</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3726-2024</t>
        </is>
      </c>
      <c r="B1002" s="1" t="n">
        <v>45321</v>
      </c>
      <c r="C1002" s="1" t="n">
        <v>46072</v>
      </c>
      <c r="D1002" t="inlineStr">
        <is>
          <t>SKÅNE LÄN</t>
        </is>
      </c>
      <c r="E1002" t="inlineStr">
        <is>
          <t>HÄSSLEHOLM</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53085-2022</t>
        </is>
      </c>
      <c r="B1003" s="1" t="n">
        <v>44873</v>
      </c>
      <c r="C1003" s="1" t="n">
        <v>46072</v>
      </c>
      <c r="D1003" t="inlineStr">
        <is>
          <t>SKÅNE LÄN</t>
        </is>
      </c>
      <c r="E1003" t="inlineStr">
        <is>
          <t>HÄSSLEHOLM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28211-2022</t>
        </is>
      </c>
      <c r="B1004" s="1" t="n">
        <v>44746</v>
      </c>
      <c r="C1004" s="1" t="n">
        <v>46072</v>
      </c>
      <c r="D1004" t="inlineStr">
        <is>
          <t>SKÅNE LÄN</t>
        </is>
      </c>
      <c r="E1004" t="inlineStr">
        <is>
          <t>HÄSSLEHOLM</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15990-2023</t>
        </is>
      </c>
      <c r="B1005" s="1" t="n">
        <v>45023.39584490741</v>
      </c>
      <c r="C1005" s="1" t="n">
        <v>46072</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26207-2021</t>
        </is>
      </c>
      <c r="B1006" s="1" t="n">
        <v>44347</v>
      </c>
      <c r="C1006" s="1" t="n">
        <v>46072</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62199-2022</t>
        </is>
      </c>
      <c r="B1007" s="1" t="n">
        <v>44915</v>
      </c>
      <c r="C1007" s="1" t="n">
        <v>46072</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9098-2022</t>
        </is>
      </c>
      <c r="B1008" s="1" t="n">
        <v>44615</v>
      </c>
      <c r="C1008" s="1" t="n">
        <v>46072</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19151-2023</t>
        </is>
      </c>
      <c r="B1009" s="1" t="n">
        <v>45044</v>
      </c>
      <c r="C1009" s="1" t="n">
        <v>46072</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2688-2024</t>
        </is>
      </c>
      <c r="B1010" s="1" t="n">
        <v>45314</v>
      </c>
      <c r="C1010" s="1" t="n">
        <v>46072</v>
      </c>
      <c r="D1010" t="inlineStr">
        <is>
          <t>SKÅNE LÄN</t>
        </is>
      </c>
      <c r="E1010" t="inlineStr">
        <is>
          <t>HÄSSLEHOLM</t>
        </is>
      </c>
      <c r="F1010" t="inlineStr">
        <is>
          <t>Övriga Aktiebolag</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29850-2024</t>
        </is>
      </c>
      <c r="B1011" s="1" t="n">
        <v>45485.64620370371</v>
      </c>
      <c r="C1011" s="1" t="n">
        <v>46072</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45109.80349537037</v>
      </c>
      <c r="C1012" s="1" t="n">
        <v>46072</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4187-2023</t>
        </is>
      </c>
      <c r="B1013" s="1" t="n">
        <v>44953</v>
      </c>
      <c r="C1013" s="1" t="n">
        <v>46072</v>
      </c>
      <c r="D1013" t="inlineStr">
        <is>
          <t>SKÅNE LÄN</t>
        </is>
      </c>
      <c r="E1013" t="inlineStr">
        <is>
          <t>HÄSSLEHOLM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42231-2022</t>
        </is>
      </c>
      <c r="B1014" s="1" t="n">
        <v>44830.77003472222</v>
      </c>
      <c r="C1014" s="1" t="n">
        <v>46072</v>
      </c>
      <c r="D1014" t="inlineStr">
        <is>
          <t>SKÅNE LÄN</t>
        </is>
      </c>
      <c r="E1014" t="inlineStr">
        <is>
          <t>HÄSSLEHOLM</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59390-2021</t>
        </is>
      </c>
      <c r="B1015" s="1" t="n">
        <v>44490</v>
      </c>
      <c r="C1015" s="1" t="n">
        <v>46072</v>
      </c>
      <c r="D1015" t="inlineStr">
        <is>
          <t>SKÅNE LÄN</t>
        </is>
      </c>
      <c r="E1015" t="inlineStr">
        <is>
          <t>HÄSSLEHOLM</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3452-2023</t>
        </is>
      </c>
      <c r="B1016" s="1" t="n">
        <v>44949</v>
      </c>
      <c r="C1016" s="1" t="n">
        <v>46072</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50525-2024</t>
        </is>
      </c>
      <c r="B1017" s="1" t="n">
        <v>45601</v>
      </c>
      <c r="C1017" s="1" t="n">
        <v>46072</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260-2024</t>
        </is>
      </c>
      <c r="B1018" s="1" t="n">
        <v>45294</v>
      </c>
      <c r="C1018" s="1" t="n">
        <v>46072</v>
      </c>
      <c r="D1018" t="inlineStr">
        <is>
          <t>SKÅNE LÄN</t>
        </is>
      </c>
      <c r="E1018" t="inlineStr">
        <is>
          <t>HÄSSLEHOLM</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5016-2024</t>
        </is>
      </c>
      <c r="B1019" s="1" t="n">
        <v>45329</v>
      </c>
      <c r="C1019" s="1" t="n">
        <v>46072</v>
      </c>
      <c r="D1019" t="inlineStr">
        <is>
          <t>SKÅNE LÄN</t>
        </is>
      </c>
      <c r="E1019" t="inlineStr">
        <is>
          <t>HÄSSLEHOLM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11603-2025</t>
        </is>
      </c>
      <c r="B1020" s="1" t="n">
        <v>45727</v>
      </c>
      <c r="C1020" s="1" t="n">
        <v>46072</v>
      </c>
      <c r="D1020" t="inlineStr">
        <is>
          <t>SKÅNE LÄN</t>
        </is>
      </c>
      <c r="E1020" t="inlineStr">
        <is>
          <t>HÄSSLEHOLM</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25206-2023</t>
        </is>
      </c>
      <c r="B1021" s="1" t="n">
        <v>45086.59318287037</v>
      </c>
      <c r="C1021" s="1" t="n">
        <v>46072</v>
      </c>
      <c r="D1021" t="inlineStr">
        <is>
          <t>SKÅNE LÄN</t>
        </is>
      </c>
      <c r="E1021" t="inlineStr">
        <is>
          <t>HÄSSLEHOLM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25221-2023</t>
        </is>
      </c>
      <c r="B1022" s="1" t="n">
        <v>45086.60842592592</v>
      </c>
      <c r="C1022" s="1" t="n">
        <v>46072</v>
      </c>
      <c r="D1022" t="inlineStr">
        <is>
          <t>SKÅNE LÄN</t>
        </is>
      </c>
      <c r="E1022" t="inlineStr">
        <is>
          <t>HÄSSLEHOLM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57272-2023</t>
        </is>
      </c>
      <c r="B1023" s="1" t="n">
        <v>45245</v>
      </c>
      <c r="C1023" s="1" t="n">
        <v>46072</v>
      </c>
      <c r="D1023" t="inlineStr">
        <is>
          <t>SKÅNE LÄN</t>
        </is>
      </c>
      <c r="E1023" t="inlineStr">
        <is>
          <t>HÄSSLEHOLM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13856-2025</t>
        </is>
      </c>
      <c r="B1024" s="1" t="n">
        <v>45737.57289351852</v>
      </c>
      <c r="C1024" s="1" t="n">
        <v>46072</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48889-2024</t>
        </is>
      </c>
      <c r="B1025" s="1" t="n">
        <v>45594.33754629629</v>
      </c>
      <c r="C1025" s="1" t="n">
        <v>46072</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8263-2025</t>
        </is>
      </c>
      <c r="B1026" s="1" t="n">
        <v>45708.50398148148</v>
      </c>
      <c r="C1026" s="1" t="n">
        <v>46072</v>
      </c>
      <c r="D1026" t="inlineStr">
        <is>
          <t>SKÅNE LÄN</t>
        </is>
      </c>
      <c r="E1026" t="inlineStr">
        <is>
          <t>HÄSSLEHOLM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29275-2023</t>
        </is>
      </c>
      <c r="B1027" s="1" t="n">
        <v>45105</v>
      </c>
      <c r="C1027" s="1" t="n">
        <v>46072</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13018-2024</t>
        </is>
      </c>
      <c r="B1028" s="1" t="n">
        <v>45385.58274305556</v>
      </c>
      <c r="C1028" s="1" t="n">
        <v>46072</v>
      </c>
      <c r="D1028" t="inlineStr">
        <is>
          <t>SKÅNE LÄN</t>
        </is>
      </c>
      <c r="E1028" t="inlineStr">
        <is>
          <t>HÄSSLEHOLM</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22595-2024</t>
        </is>
      </c>
      <c r="B1029" s="1" t="n">
        <v>45447.61053240741</v>
      </c>
      <c r="C1029" s="1" t="n">
        <v>46072</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60704-2023</t>
        </is>
      </c>
      <c r="B1030" s="1" t="n">
        <v>45260.51340277777</v>
      </c>
      <c r="C1030" s="1" t="n">
        <v>46072</v>
      </c>
      <c r="D1030" t="inlineStr">
        <is>
          <t>SKÅNE LÄN</t>
        </is>
      </c>
      <c r="E1030" t="inlineStr">
        <is>
          <t>HÄSSLEHOLM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20279-2025</t>
        </is>
      </c>
      <c r="B1031" s="1" t="n">
        <v>45774.38643518519</v>
      </c>
      <c r="C1031" s="1" t="n">
        <v>46072</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59431-2023</t>
        </is>
      </c>
      <c r="B1032" s="1" t="n">
        <v>45254.29207175926</v>
      </c>
      <c r="C1032" s="1" t="n">
        <v>46072</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59433-2023</t>
        </is>
      </c>
      <c r="B1033" s="1" t="n">
        <v>45254.29768518519</v>
      </c>
      <c r="C1033" s="1" t="n">
        <v>46072</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55416-2021</t>
        </is>
      </c>
      <c r="B1034" s="1" t="n">
        <v>44475</v>
      </c>
      <c r="C1034" s="1" t="n">
        <v>46072</v>
      </c>
      <c r="D1034" t="inlineStr">
        <is>
          <t>SKÅNE LÄN</t>
        </is>
      </c>
      <c r="E1034" t="inlineStr">
        <is>
          <t>HÄSSLEHOLM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4579-2025</t>
        </is>
      </c>
      <c r="B1035" s="1" t="n">
        <v>45687.5009375</v>
      </c>
      <c r="C1035" s="1" t="n">
        <v>46072</v>
      </c>
      <c r="D1035" t="inlineStr">
        <is>
          <t>SKÅNE LÄN</t>
        </is>
      </c>
      <c r="E1035" t="inlineStr">
        <is>
          <t>HÄSSLEHOLM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21141-2024</t>
        </is>
      </c>
      <c r="B1036" s="1" t="n">
        <v>45440.39012731481</v>
      </c>
      <c r="C1036" s="1" t="n">
        <v>46072</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49379-2021</t>
        </is>
      </c>
      <c r="B1037" s="1" t="n">
        <v>44454</v>
      </c>
      <c r="C1037" s="1" t="n">
        <v>46072</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36240-2023</t>
        </is>
      </c>
      <c r="B1038" s="1" t="n">
        <v>45150.89295138889</v>
      </c>
      <c r="C1038" s="1" t="n">
        <v>46072</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13851-2025</t>
        </is>
      </c>
      <c r="B1039" s="1" t="n">
        <v>45737.56777777777</v>
      </c>
      <c r="C1039" s="1" t="n">
        <v>46072</v>
      </c>
      <c r="D1039" t="inlineStr">
        <is>
          <t>SKÅNE LÄN</t>
        </is>
      </c>
      <c r="E1039" t="inlineStr">
        <is>
          <t>HÄSSLEHOLM</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12469-2023</t>
        </is>
      </c>
      <c r="B1040" s="1" t="n">
        <v>44999.62109953703</v>
      </c>
      <c r="C1040" s="1" t="n">
        <v>46072</v>
      </c>
      <c r="D1040" t="inlineStr">
        <is>
          <t>SKÅNE LÄN</t>
        </is>
      </c>
      <c r="E1040" t="inlineStr">
        <is>
          <t>HÄSSLEHOLM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45400-2022</t>
        </is>
      </c>
      <c r="B1041" s="1" t="n">
        <v>44844.713125</v>
      </c>
      <c r="C1041" s="1" t="n">
        <v>46072</v>
      </c>
      <c r="D1041" t="inlineStr">
        <is>
          <t>SKÅNE LÄN</t>
        </is>
      </c>
      <c r="E1041" t="inlineStr">
        <is>
          <t>HÄSSLEHOLM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13961-2023</t>
        </is>
      </c>
      <c r="B1042" s="1" t="n">
        <v>45008</v>
      </c>
      <c r="C1042" s="1" t="n">
        <v>46072</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7581-2023</t>
        </is>
      </c>
      <c r="B1043" s="1" t="n">
        <v>44972.39556712963</v>
      </c>
      <c r="C1043" s="1" t="n">
        <v>46072</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48191-2021</t>
        </is>
      </c>
      <c r="B1044" s="1" t="n">
        <v>44449</v>
      </c>
      <c r="C1044" s="1" t="n">
        <v>46072</v>
      </c>
      <c r="D1044" t="inlineStr">
        <is>
          <t>SKÅNE LÄN</t>
        </is>
      </c>
      <c r="E1044" t="inlineStr">
        <is>
          <t>HÄSSLEHOLM</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5282-2023</t>
        </is>
      </c>
      <c r="B1045" s="1" t="n">
        <v>44959.50471064815</v>
      </c>
      <c r="C1045" s="1" t="n">
        <v>46072</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52548-2023</t>
        </is>
      </c>
      <c r="B1046" s="1" t="n">
        <v>45218</v>
      </c>
      <c r="C1046" s="1" t="n">
        <v>46072</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12503-2022</t>
        </is>
      </c>
      <c r="B1047" s="1" t="n">
        <v>44638</v>
      </c>
      <c r="C1047" s="1" t="n">
        <v>46072</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9485-2023</t>
        </is>
      </c>
      <c r="B1048" s="1" t="n">
        <v>44981.60901620371</v>
      </c>
      <c r="C1048" s="1" t="n">
        <v>46072</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54777-2022</t>
        </is>
      </c>
      <c r="B1049" s="1" t="n">
        <v>44883</v>
      </c>
      <c r="C1049" s="1" t="n">
        <v>46072</v>
      </c>
      <c r="D1049" t="inlineStr">
        <is>
          <t>SKÅNE LÄN</t>
        </is>
      </c>
      <c r="E1049" t="inlineStr">
        <is>
          <t>HÄSSLEHOLM</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61929-2023</t>
        </is>
      </c>
      <c r="B1050" s="1" t="n">
        <v>45266</v>
      </c>
      <c r="C1050" s="1" t="n">
        <v>46072</v>
      </c>
      <c r="D1050" t="inlineStr">
        <is>
          <t>SKÅNE LÄN</t>
        </is>
      </c>
      <c r="E1050" t="inlineStr">
        <is>
          <t>HÄSSLEHOLM</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13555-2025</t>
        </is>
      </c>
      <c r="B1051" s="1" t="n">
        <v>45736</v>
      </c>
      <c r="C1051" s="1" t="n">
        <v>46072</v>
      </c>
      <c r="D1051" t="inlineStr">
        <is>
          <t>SKÅNE LÄN</t>
        </is>
      </c>
      <c r="E1051" t="inlineStr">
        <is>
          <t>HÄSSLEHOLM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44940-2023</t>
        </is>
      </c>
      <c r="B1052" s="1" t="n">
        <v>45190.68653935185</v>
      </c>
      <c r="C1052" s="1" t="n">
        <v>46072</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25533-2024</t>
        </is>
      </c>
      <c r="B1053" s="1" t="n">
        <v>45463</v>
      </c>
      <c r="C1053" s="1" t="n">
        <v>46072</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61498-2022</t>
        </is>
      </c>
      <c r="B1054" s="1" t="n">
        <v>44910</v>
      </c>
      <c r="C1054" s="1" t="n">
        <v>46072</v>
      </c>
      <c r="D1054" t="inlineStr">
        <is>
          <t>SKÅNE LÄN</t>
        </is>
      </c>
      <c r="E1054" t="inlineStr">
        <is>
          <t>HÄSSLEHOLM</t>
        </is>
      </c>
      <c r="F1054" t="inlineStr">
        <is>
          <t>Kyrkan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22696-2023</t>
        </is>
      </c>
      <c r="B1055" s="1" t="n">
        <v>45071.69464120371</v>
      </c>
      <c r="C1055" s="1" t="n">
        <v>46072</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52337-2023</t>
        </is>
      </c>
      <c r="B1056" s="1" t="n">
        <v>45224.66359953704</v>
      </c>
      <c r="C1056" s="1" t="n">
        <v>46072</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23955-2023</t>
        </is>
      </c>
      <c r="B1057" s="1" t="n">
        <v>45078.62217592593</v>
      </c>
      <c r="C1057" s="1" t="n">
        <v>46072</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10897-2023</t>
        </is>
      </c>
      <c r="B1058" s="1" t="n">
        <v>44985</v>
      </c>
      <c r="C1058" s="1" t="n">
        <v>46072</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50571-2023</t>
        </is>
      </c>
      <c r="B1059" s="1" t="n">
        <v>45217.38359953704</v>
      </c>
      <c r="C1059" s="1" t="n">
        <v>46072</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18908-2023</t>
        </is>
      </c>
      <c r="B1060" s="1" t="n">
        <v>45044</v>
      </c>
      <c r="C1060" s="1" t="n">
        <v>46072</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10028-2024</t>
        </is>
      </c>
      <c r="B1061" s="1" t="n">
        <v>45363.97292824074</v>
      </c>
      <c r="C1061" s="1" t="n">
        <v>46072</v>
      </c>
      <c r="D1061" t="inlineStr">
        <is>
          <t>SKÅNE LÄN</t>
        </is>
      </c>
      <c r="E1061" t="inlineStr">
        <is>
          <t>HÄSSLEHOLM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13084-2025</t>
        </is>
      </c>
      <c r="B1062" s="1" t="n">
        <v>45734</v>
      </c>
      <c r="C1062" s="1" t="n">
        <v>46072</v>
      </c>
      <c r="D1062" t="inlineStr">
        <is>
          <t>SKÅNE LÄN</t>
        </is>
      </c>
      <c r="E1062" t="inlineStr">
        <is>
          <t>HÄSSLEHOLM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16285-2025</t>
        </is>
      </c>
      <c r="B1063" s="1" t="n">
        <v>45751.30045138889</v>
      </c>
      <c r="C1063" s="1" t="n">
        <v>46072</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46000-2021</t>
        </is>
      </c>
      <c r="B1064" s="1" t="n">
        <v>44441</v>
      </c>
      <c r="C1064" s="1" t="n">
        <v>46072</v>
      </c>
      <c r="D1064" t="inlineStr">
        <is>
          <t>SKÅNE LÄN</t>
        </is>
      </c>
      <c r="E1064" t="inlineStr">
        <is>
          <t>HÄSSLEHOLM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4009-2024</t>
        </is>
      </c>
      <c r="B1065" s="1" t="n">
        <v>45323</v>
      </c>
      <c r="C1065" s="1" t="n">
        <v>46072</v>
      </c>
      <c r="D1065" t="inlineStr">
        <is>
          <t>SKÅNE LÄN</t>
        </is>
      </c>
      <c r="E1065" t="inlineStr">
        <is>
          <t>HÄSSLEHOLM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10928-2024</t>
        </is>
      </c>
      <c r="B1066" s="1" t="n">
        <v>45370</v>
      </c>
      <c r="C1066" s="1" t="n">
        <v>46072</v>
      </c>
      <c r="D1066" t="inlineStr">
        <is>
          <t>SKÅNE LÄN</t>
        </is>
      </c>
      <c r="E1066" t="inlineStr">
        <is>
          <t>HÄSSLEHOLM</t>
        </is>
      </c>
      <c r="F1066" t="inlineStr">
        <is>
          <t>Övriga Aktiebolag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10944-2024</t>
        </is>
      </c>
      <c r="B1067" s="1" t="n">
        <v>45370</v>
      </c>
      <c r="C1067" s="1" t="n">
        <v>46072</v>
      </c>
      <c r="D1067" t="inlineStr">
        <is>
          <t>SKÅNE LÄN</t>
        </is>
      </c>
      <c r="E1067" t="inlineStr">
        <is>
          <t>HÄSSLEHOLM</t>
        </is>
      </c>
      <c r="F1067" t="inlineStr">
        <is>
          <t>Övriga Aktiebolag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6087-2025</t>
        </is>
      </c>
      <c r="B1068" s="1" t="n">
        <v>45697.69782407407</v>
      </c>
      <c r="C1068" s="1" t="n">
        <v>46072</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33466-2024</t>
        </is>
      </c>
      <c r="B1069" s="1" t="n">
        <v>45519</v>
      </c>
      <c r="C1069" s="1" t="n">
        <v>46072</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6612-2024</t>
        </is>
      </c>
      <c r="B1070" s="1" t="n">
        <v>45341.58859953703</v>
      </c>
      <c r="C1070" s="1" t="n">
        <v>46072</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26879-2024</t>
        </is>
      </c>
      <c r="B1071" s="1" t="n">
        <v>45470</v>
      </c>
      <c r="C1071" s="1" t="n">
        <v>46072</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54473-2023</t>
        </is>
      </c>
      <c r="B1072" s="1" t="n">
        <v>45233</v>
      </c>
      <c r="C1072" s="1" t="n">
        <v>46072</v>
      </c>
      <c r="D1072" t="inlineStr">
        <is>
          <t>SKÅNE LÄN</t>
        </is>
      </c>
      <c r="E1072" t="inlineStr">
        <is>
          <t>HÄSSLEHOLM</t>
        </is>
      </c>
      <c r="G1072" t="n">
        <v>24.5</v>
      </c>
      <c r="H1072" t="n">
        <v>0</v>
      </c>
      <c r="I1072" t="n">
        <v>0</v>
      </c>
      <c r="J1072" t="n">
        <v>0</v>
      </c>
      <c r="K1072" t="n">
        <v>0</v>
      </c>
      <c r="L1072" t="n">
        <v>0</v>
      </c>
      <c r="M1072" t="n">
        <v>0</v>
      </c>
      <c r="N1072" t="n">
        <v>0</v>
      </c>
      <c r="O1072" t="n">
        <v>0</v>
      </c>
      <c r="P1072" t="n">
        <v>0</v>
      </c>
      <c r="Q1072" t="n">
        <v>0</v>
      </c>
      <c r="R1072" s="2" t="inlineStr"/>
    </row>
    <row r="1073" ht="15" customHeight="1">
      <c r="A1073" t="inlineStr">
        <is>
          <t>A 11240-2023</t>
        </is>
      </c>
      <c r="B1073" s="1" t="n">
        <v>44992</v>
      </c>
      <c r="C1073" s="1" t="n">
        <v>46072</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16108-2025</t>
        </is>
      </c>
      <c r="B1074" s="1" t="n">
        <v>45750.34667824074</v>
      </c>
      <c r="C1074" s="1" t="n">
        <v>46072</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48326-2023</t>
        </is>
      </c>
      <c r="B1075" s="1" t="n">
        <v>45205</v>
      </c>
      <c r="C1075" s="1" t="n">
        <v>46072</v>
      </c>
      <c r="D1075" t="inlineStr">
        <is>
          <t>SKÅNE LÄN</t>
        </is>
      </c>
      <c r="E1075" t="inlineStr">
        <is>
          <t>HÄSSLEHOLM</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54518-2022</t>
        </is>
      </c>
      <c r="B1076" s="1" t="n">
        <v>44882</v>
      </c>
      <c r="C1076" s="1" t="n">
        <v>46072</v>
      </c>
      <c r="D1076" t="inlineStr">
        <is>
          <t>SKÅNE LÄN</t>
        </is>
      </c>
      <c r="E1076" t="inlineStr">
        <is>
          <t>HÄSSLEHOLM</t>
        </is>
      </c>
      <c r="F1076" t="inlineStr">
        <is>
          <t>Övriga Aktiebolag</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57491-2024</t>
        </is>
      </c>
      <c r="B1077" s="1" t="n">
        <v>45629</v>
      </c>
      <c r="C1077" s="1" t="n">
        <v>46072</v>
      </c>
      <c r="D1077" t="inlineStr">
        <is>
          <t>SKÅNE LÄN</t>
        </is>
      </c>
      <c r="E1077" t="inlineStr">
        <is>
          <t>HÄSSLEHOLM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52912-2022</t>
        </is>
      </c>
      <c r="B1078" s="1" t="n">
        <v>44872</v>
      </c>
      <c r="C1078" s="1" t="n">
        <v>46072</v>
      </c>
      <c r="D1078" t="inlineStr">
        <is>
          <t>SKÅNE LÄN</t>
        </is>
      </c>
      <c r="E1078" t="inlineStr">
        <is>
          <t>HÄSSLEHOLM</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16950-2025</t>
        </is>
      </c>
      <c r="B1079" s="1" t="n">
        <v>45755</v>
      </c>
      <c r="C1079" s="1" t="n">
        <v>46072</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27502-2023</t>
        </is>
      </c>
      <c r="B1080" s="1" t="n">
        <v>45092</v>
      </c>
      <c r="C1080" s="1" t="n">
        <v>46072</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6836-2023</t>
        </is>
      </c>
      <c r="B1081" s="1" t="n">
        <v>44967</v>
      </c>
      <c r="C1081" s="1" t="n">
        <v>46072</v>
      </c>
      <c r="D1081" t="inlineStr">
        <is>
          <t>SKÅNE LÄN</t>
        </is>
      </c>
      <c r="E1081" t="inlineStr">
        <is>
          <t>HÄSSLEHOLM</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6845-2023</t>
        </is>
      </c>
      <c r="B1082" s="1" t="n">
        <v>44967</v>
      </c>
      <c r="C1082" s="1" t="n">
        <v>46072</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53887-2023</t>
        </is>
      </c>
      <c r="B1083" s="1" t="n">
        <v>45231.52675925926</v>
      </c>
      <c r="C1083" s="1" t="n">
        <v>46072</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21329-2023</t>
        </is>
      </c>
      <c r="B1084" s="1" t="n">
        <v>45062</v>
      </c>
      <c r="C1084" s="1" t="n">
        <v>46072</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1543-2024</t>
        </is>
      </c>
      <c r="B1085" s="1" t="n">
        <v>45306</v>
      </c>
      <c r="C1085" s="1" t="n">
        <v>46072</v>
      </c>
      <c r="D1085" t="inlineStr">
        <is>
          <t>SKÅNE LÄN</t>
        </is>
      </c>
      <c r="E1085" t="inlineStr">
        <is>
          <t>HÄSSLEHOLM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18800-2023</t>
        </is>
      </c>
      <c r="B1086" s="1" t="n">
        <v>45044</v>
      </c>
      <c r="C1086" s="1" t="n">
        <v>46072</v>
      </c>
      <c r="D1086" t="inlineStr">
        <is>
          <t>SKÅNE LÄN</t>
        </is>
      </c>
      <c r="E1086" t="inlineStr">
        <is>
          <t>HÄSSLEHOLM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25077-2024</t>
        </is>
      </c>
      <c r="B1087" s="1" t="n">
        <v>45462</v>
      </c>
      <c r="C1087" s="1" t="n">
        <v>46072</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22535-2024</t>
        </is>
      </c>
      <c r="B1088" s="1" t="n">
        <v>45447</v>
      </c>
      <c r="C1088" s="1" t="n">
        <v>46072</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15060-2023</t>
        </is>
      </c>
      <c r="B1089" s="1" t="n">
        <v>45015.69832175926</v>
      </c>
      <c r="C1089" s="1" t="n">
        <v>46072</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4787-2023</t>
        </is>
      </c>
      <c r="B1090" s="1" t="n">
        <v>44957.60079861111</v>
      </c>
      <c r="C1090" s="1" t="n">
        <v>46072</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4788-2023</t>
        </is>
      </c>
      <c r="B1091" s="1" t="n">
        <v>44957.60130787037</v>
      </c>
      <c r="C1091" s="1" t="n">
        <v>46072</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34348-2022</t>
        </is>
      </c>
      <c r="B1092" s="1" t="n">
        <v>44792</v>
      </c>
      <c r="C1092" s="1" t="n">
        <v>46072</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45399-2022</t>
        </is>
      </c>
      <c r="B1093" s="1" t="n">
        <v>44844.70513888889</v>
      </c>
      <c r="C1093" s="1" t="n">
        <v>46072</v>
      </c>
      <c r="D1093" t="inlineStr">
        <is>
          <t>SKÅNE LÄN</t>
        </is>
      </c>
      <c r="E1093" t="inlineStr">
        <is>
          <t>HÄSSLEHOLM</t>
        </is>
      </c>
      <c r="G1093" t="n">
        <v>0</v>
      </c>
      <c r="H1093" t="n">
        <v>0</v>
      </c>
      <c r="I1093" t="n">
        <v>0</v>
      </c>
      <c r="J1093" t="n">
        <v>0</v>
      </c>
      <c r="K1093" t="n">
        <v>0</v>
      </c>
      <c r="L1093" t="n">
        <v>0</v>
      </c>
      <c r="M1093" t="n">
        <v>0</v>
      </c>
      <c r="N1093" t="n">
        <v>0</v>
      </c>
      <c r="O1093" t="n">
        <v>0</v>
      </c>
      <c r="P1093" t="n">
        <v>0</v>
      </c>
      <c r="Q1093" t="n">
        <v>0</v>
      </c>
      <c r="R1093" s="2" t="inlineStr"/>
    </row>
    <row r="1094" ht="15" customHeight="1">
      <c r="A1094" t="inlineStr">
        <is>
          <t>A 35640-2023</t>
        </is>
      </c>
      <c r="B1094" s="1" t="n">
        <v>45147</v>
      </c>
      <c r="C1094" s="1" t="n">
        <v>46072</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2681-2024</t>
        </is>
      </c>
      <c r="B1095" s="1" t="n">
        <v>45314</v>
      </c>
      <c r="C1095" s="1" t="n">
        <v>46072</v>
      </c>
      <c r="D1095" t="inlineStr">
        <is>
          <t>SKÅNE LÄN</t>
        </is>
      </c>
      <c r="E1095" t="inlineStr">
        <is>
          <t>HÄSSLEHOLM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27177-2024</t>
        </is>
      </c>
      <c r="B1096" s="1" t="n">
        <v>45471.57201388889</v>
      </c>
      <c r="C1096" s="1" t="n">
        <v>46072</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49219-2024</t>
        </is>
      </c>
      <c r="B1097" s="1" t="n">
        <v>45595.40923611111</v>
      </c>
      <c r="C1097" s="1" t="n">
        <v>46072</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13646-2024</t>
        </is>
      </c>
      <c r="B1098" s="1" t="n">
        <v>45387</v>
      </c>
      <c r="C1098" s="1" t="n">
        <v>46072</v>
      </c>
      <c r="D1098" t="inlineStr">
        <is>
          <t>SKÅNE LÄN</t>
        </is>
      </c>
      <c r="E1098" t="inlineStr">
        <is>
          <t>HÄSSLEHOLM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4750-2024</t>
        </is>
      </c>
      <c r="B1099" s="1" t="n">
        <v>45328</v>
      </c>
      <c r="C1099" s="1" t="n">
        <v>46072</v>
      </c>
      <c r="D1099" t="inlineStr">
        <is>
          <t>SKÅNE LÄN</t>
        </is>
      </c>
      <c r="E1099" t="inlineStr">
        <is>
          <t>HÄSSLEHOLM</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58891-2022</t>
        </is>
      </c>
      <c r="B1100" s="1" t="n">
        <v>44896</v>
      </c>
      <c r="C1100" s="1" t="n">
        <v>46072</v>
      </c>
      <c r="D1100" t="inlineStr">
        <is>
          <t>SKÅNE LÄN</t>
        </is>
      </c>
      <c r="E1100" t="inlineStr">
        <is>
          <t>HÄSSLEHOLM</t>
        </is>
      </c>
      <c r="F1100" t="inlineStr">
        <is>
          <t>Kyrkan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36568-2024</t>
        </is>
      </c>
      <c r="B1101" s="1" t="n">
        <v>45537</v>
      </c>
      <c r="C1101" s="1" t="n">
        <v>46072</v>
      </c>
      <c r="D1101" t="inlineStr">
        <is>
          <t>SKÅNE LÄN</t>
        </is>
      </c>
      <c r="E1101" t="inlineStr">
        <is>
          <t>HÄSSLEHOLM</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9323-2025</t>
        </is>
      </c>
      <c r="B1102" s="1" t="n">
        <v>45714.73532407408</v>
      </c>
      <c r="C1102" s="1" t="n">
        <v>46072</v>
      </c>
      <c r="D1102" t="inlineStr">
        <is>
          <t>SKÅNE LÄN</t>
        </is>
      </c>
      <c r="E1102" t="inlineStr">
        <is>
          <t>HÄSSLEHOLM</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19593-2023</t>
        </is>
      </c>
      <c r="B1103" s="1" t="n">
        <v>45050.75895833333</v>
      </c>
      <c r="C1103" s="1" t="n">
        <v>46072</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16017-2023</t>
        </is>
      </c>
      <c r="B1104" s="1" t="n">
        <v>45026</v>
      </c>
      <c r="C1104" s="1" t="n">
        <v>46072</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524-2024</t>
        </is>
      </c>
      <c r="B1105" s="1" t="n">
        <v>45299</v>
      </c>
      <c r="C1105" s="1" t="n">
        <v>46072</v>
      </c>
      <c r="D1105" t="inlineStr">
        <is>
          <t>SKÅNE LÄN</t>
        </is>
      </c>
      <c r="E1105" t="inlineStr">
        <is>
          <t>HÄSSLEHOLM</t>
        </is>
      </c>
      <c r="G1105" t="n">
        <v>29.4</v>
      </c>
      <c r="H1105" t="n">
        <v>0</v>
      </c>
      <c r="I1105" t="n">
        <v>0</v>
      </c>
      <c r="J1105" t="n">
        <v>0</v>
      </c>
      <c r="K1105" t="n">
        <v>0</v>
      </c>
      <c r="L1105" t="n">
        <v>0</v>
      </c>
      <c r="M1105" t="n">
        <v>0</v>
      </c>
      <c r="N1105" t="n">
        <v>0</v>
      </c>
      <c r="O1105" t="n">
        <v>0</v>
      </c>
      <c r="P1105" t="n">
        <v>0</v>
      </c>
      <c r="Q1105" t="n">
        <v>0</v>
      </c>
      <c r="R1105" s="2" t="inlineStr"/>
    </row>
    <row r="1106" ht="15" customHeight="1">
      <c r="A1106" t="inlineStr">
        <is>
          <t>A 9394-2025</t>
        </is>
      </c>
      <c r="B1106" s="1" t="n">
        <v>45715.36387731481</v>
      </c>
      <c r="C1106" s="1" t="n">
        <v>46072</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39223-2024</t>
        </is>
      </c>
      <c r="B1107" s="1" t="n">
        <v>45550</v>
      </c>
      <c r="C1107" s="1" t="n">
        <v>46072</v>
      </c>
      <c r="D1107" t="inlineStr">
        <is>
          <t>SKÅNE LÄN</t>
        </is>
      </c>
      <c r="E1107" t="inlineStr">
        <is>
          <t>HÄSSLEHOLM</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27304-2023</t>
        </is>
      </c>
      <c r="B1108" s="1" t="n">
        <v>45096.65199074074</v>
      </c>
      <c r="C1108" s="1" t="n">
        <v>46072</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22693-2022</t>
        </is>
      </c>
      <c r="B1109" s="1" t="n">
        <v>44714.54729166667</v>
      </c>
      <c r="C1109" s="1" t="n">
        <v>46072</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15104-2023</t>
        </is>
      </c>
      <c r="B1110" s="1" t="n">
        <v>45016.40576388889</v>
      </c>
      <c r="C1110" s="1" t="n">
        <v>46072</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12507-2022</t>
        </is>
      </c>
      <c r="B1111" s="1" t="n">
        <v>44638</v>
      </c>
      <c r="C1111" s="1" t="n">
        <v>46072</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2597-2024</t>
        </is>
      </c>
      <c r="B1112" s="1" t="n">
        <v>45313</v>
      </c>
      <c r="C1112" s="1" t="n">
        <v>46072</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3531-2023</t>
        </is>
      </c>
      <c r="B1113" s="1" t="n">
        <v>44950</v>
      </c>
      <c r="C1113" s="1" t="n">
        <v>46072</v>
      </c>
      <c r="D1113" t="inlineStr">
        <is>
          <t>SKÅNE LÄN</t>
        </is>
      </c>
      <c r="E1113" t="inlineStr">
        <is>
          <t>HÄSSLEHOLM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15417-2022</t>
        </is>
      </c>
      <c r="B1114" s="1" t="n">
        <v>44659</v>
      </c>
      <c r="C1114" s="1" t="n">
        <v>46072</v>
      </c>
      <c r="D1114" t="inlineStr">
        <is>
          <t>SKÅNE LÄN</t>
        </is>
      </c>
      <c r="E1114" t="inlineStr">
        <is>
          <t>HÄSSLEHOLM</t>
        </is>
      </c>
      <c r="F1114" t="inlineStr">
        <is>
          <t>Kyrkan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44262-2021</t>
        </is>
      </c>
      <c r="B1115" s="1" t="n">
        <v>44434</v>
      </c>
      <c r="C1115" s="1" t="n">
        <v>46072</v>
      </c>
      <c r="D1115" t="inlineStr">
        <is>
          <t>SKÅNE LÄN</t>
        </is>
      </c>
      <c r="E1115" t="inlineStr">
        <is>
          <t>HÄSSLEHOLM</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50659-2023</t>
        </is>
      </c>
      <c r="B1116" s="1" t="n">
        <v>45217</v>
      </c>
      <c r="C1116" s="1" t="n">
        <v>46072</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13808-2021</t>
        </is>
      </c>
      <c r="B1117" s="1" t="n">
        <v>44276</v>
      </c>
      <c r="C1117" s="1" t="n">
        <v>46072</v>
      </c>
      <c r="D1117" t="inlineStr">
        <is>
          <t>SKÅNE LÄN</t>
        </is>
      </c>
      <c r="E1117" t="inlineStr">
        <is>
          <t>HÄSSLEHOLM</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67801-2021</t>
        </is>
      </c>
      <c r="B1118" s="1" t="n">
        <v>44525</v>
      </c>
      <c r="C1118" s="1" t="n">
        <v>46072</v>
      </c>
      <c r="D1118" t="inlineStr">
        <is>
          <t>SKÅNE LÄN</t>
        </is>
      </c>
      <c r="E1118" t="inlineStr">
        <is>
          <t>HÄSSLEHOLM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2144-2023</t>
        </is>
      </c>
      <c r="B1119" s="1" t="n">
        <v>44940.79054398148</v>
      </c>
      <c r="C1119" s="1" t="n">
        <v>46072</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37141-2021</t>
        </is>
      </c>
      <c r="B1120" s="1" t="n">
        <v>44396</v>
      </c>
      <c r="C1120" s="1" t="n">
        <v>46072</v>
      </c>
      <c r="D1120" t="inlineStr">
        <is>
          <t>SKÅNE LÄN</t>
        </is>
      </c>
      <c r="E1120" t="inlineStr">
        <is>
          <t>HÄSSLEHOLM</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7202-2022</t>
        </is>
      </c>
      <c r="B1121" s="1" t="n">
        <v>44606</v>
      </c>
      <c r="C1121" s="1" t="n">
        <v>46072</v>
      </c>
      <c r="D1121" t="inlineStr">
        <is>
          <t>SKÅNE LÄN</t>
        </is>
      </c>
      <c r="E1121" t="inlineStr">
        <is>
          <t>HÄSSLEHOLM</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21494-2023</t>
        </is>
      </c>
      <c r="B1122" s="1" t="n">
        <v>45063</v>
      </c>
      <c r="C1122" s="1" t="n">
        <v>46072</v>
      </c>
      <c r="D1122" t="inlineStr">
        <is>
          <t>SKÅNE LÄN</t>
        </is>
      </c>
      <c r="E1122" t="inlineStr">
        <is>
          <t>HÄSSLEHOLM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21495-2023</t>
        </is>
      </c>
      <c r="B1123" s="1" t="n">
        <v>45063</v>
      </c>
      <c r="C1123" s="1" t="n">
        <v>46072</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62167-2022</t>
        </is>
      </c>
      <c r="B1124" s="1" t="n">
        <v>44915</v>
      </c>
      <c r="C1124" s="1" t="n">
        <v>46072</v>
      </c>
      <c r="D1124" t="inlineStr">
        <is>
          <t>SKÅNE LÄN</t>
        </is>
      </c>
      <c r="E1124" t="inlineStr">
        <is>
          <t>HÄSSLEHOLM</t>
        </is>
      </c>
      <c r="F1124" t="inlineStr">
        <is>
          <t>Kyrkan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62234-2022</t>
        </is>
      </c>
      <c r="B1125" s="1" t="n">
        <v>44922</v>
      </c>
      <c r="C1125" s="1" t="n">
        <v>46072</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34299-2024</t>
        </is>
      </c>
      <c r="B1126" s="1" t="n">
        <v>45524</v>
      </c>
      <c r="C1126" s="1" t="n">
        <v>46072</v>
      </c>
      <c r="D1126" t="inlineStr">
        <is>
          <t>SKÅNE LÄN</t>
        </is>
      </c>
      <c r="E1126" t="inlineStr">
        <is>
          <t>HÄSSLEHOLM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9697-2023</t>
        </is>
      </c>
      <c r="B1127" s="1" t="n">
        <v>44984</v>
      </c>
      <c r="C1127" s="1" t="n">
        <v>46072</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42232-2022</t>
        </is>
      </c>
      <c r="B1128" s="1" t="n">
        <v>44830.77591435185</v>
      </c>
      <c r="C1128" s="1" t="n">
        <v>46072</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37038-2022</t>
        </is>
      </c>
      <c r="B1129" s="1" t="n">
        <v>44806.44232638889</v>
      </c>
      <c r="C1129" s="1" t="n">
        <v>46072</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5894-2023</t>
        </is>
      </c>
      <c r="B1130" s="1" t="n">
        <v>44963.65148148148</v>
      </c>
      <c r="C1130" s="1" t="n">
        <v>46072</v>
      </c>
      <c r="D1130" t="inlineStr">
        <is>
          <t>SKÅNE LÄN</t>
        </is>
      </c>
      <c r="E1130" t="inlineStr">
        <is>
          <t>HÄSSLEHOLM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9502-2023</t>
        </is>
      </c>
      <c r="B1131" s="1" t="n">
        <v>44981.63278935185</v>
      </c>
      <c r="C1131" s="1" t="n">
        <v>46072</v>
      </c>
      <c r="D1131" t="inlineStr">
        <is>
          <t>SKÅNE LÄN</t>
        </is>
      </c>
      <c r="E1131" t="inlineStr">
        <is>
          <t>HÄSSLEHOLM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45204.85201388889</v>
      </c>
      <c r="C1132" s="1" t="n">
        <v>46072</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57749-2023</t>
        </is>
      </c>
      <c r="B1133" s="1" t="n">
        <v>45246</v>
      </c>
      <c r="C1133" s="1" t="n">
        <v>46072</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1538-2024</t>
        </is>
      </c>
      <c r="B1134" s="1" t="n">
        <v>45306</v>
      </c>
      <c r="C1134" s="1" t="n">
        <v>46072</v>
      </c>
      <c r="D1134" t="inlineStr">
        <is>
          <t>SKÅNE LÄN</t>
        </is>
      </c>
      <c r="E1134" t="inlineStr">
        <is>
          <t>HÄSSLEHOLM</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3135-2023</t>
        </is>
      </c>
      <c r="B1135" s="1" t="n">
        <v>44946.51672453704</v>
      </c>
      <c r="C1135" s="1" t="n">
        <v>46072</v>
      </c>
      <c r="D1135" t="inlineStr">
        <is>
          <t>SKÅNE LÄN</t>
        </is>
      </c>
      <c r="E1135" t="inlineStr">
        <is>
          <t>HÄSSLEHOLM</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34342-2021</t>
        </is>
      </c>
      <c r="B1136" s="1" t="n">
        <v>44379</v>
      </c>
      <c r="C1136" s="1" t="n">
        <v>46072</v>
      </c>
      <c r="D1136" t="inlineStr">
        <is>
          <t>SKÅNE LÄN</t>
        </is>
      </c>
      <c r="E1136" t="inlineStr">
        <is>
          <t>HÄSSLEHOLM</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3507-2024</t>
        </is>
      </c>
      <c r="B1137" s="1" t="n">
        <v>45320.4906712963</v>
      </c>
      <c r="C1137" s="1" t="n">
        <v>46072</v>
      </c>
      <c r="D1137" t="inlineStr">
        <is>
          <t>SKÅNE LÄN</t>
        </is>
      </c>
      <c r="E1137" t="inlineStr">
        <is>
          <t>HÄSSLEHOLM</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49111-2023</t>
        </is>
      </c>
      <c r="B1138" s="1" t="n">
        <v>45210.44464120371</v>
      </c>
      <c r="C1138" s="1" t="n">
        <v>46072</v>
      </c>
      <c r="D1138" t="inlineStr">
        <is>
          <t>SKÅNE LÄN</t>
        </is>
      </c>
      <c r="E1138" t="inlineStr">
        <is>
          <t>HÄSSLEHOLM</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61178-2022</t>
        </is>
      </c>
      <c r="B1139" s="1" t="n">
        <v>44915</v>
      </c>
      <c r="C1139" s="1" t="n">
        <v>46072</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61185-2022</t>
        </is>
      </c>
      <c r="B1140" s="1" t="n">
        <v>44915</v>
      </c>
      <c r="C1140" s="1" t="n">
        <v>46072</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58915-2023</t>
        </is>
      </c>
      <c r="B1141" s="1" t="n">
        <v>45250</v>
      </c>
      <c r="C1141" s="1" t="n">
        <v>46072</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15508-2023</t>
        </is>
      </c>
      <c r="B1142" s="1" t="n">
        <v>45020.50045138889</v>
      </c>
      <c r="C1142" s="1" t="n">
        <v>46072</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61934-2023</t>
        </is>
      </c>
      <c r="B1143" s="1" t="n">
        <v>45266.54125</v>
      </c>
      <c r="C1143" s="1" t="n">
        <v>46072</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11715-2023</t>
        </is>
      </c>
      <c r="B1144" s="1" t="n">
        <v>44992</v>
      </c>
      <c r="C1144" s="1" t="n">
        <v>46072</v>
      </c>
      <c r="D1144" t="inlineStr">
        <is>
          <t>SKÅNE LÄN</t>
        </is>
      </c>
      <c r="E1144" t="inlineStr">
        <is>
          <t>HÄSSLEHOLM</t>
        </is>
      </c>
      <c r="F1144" t="inlineStr">
        <is>
          <t>Övriga Aktiebolag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38888-2023</t>
        </is>
      </c>
      <c r="B1145" s="1" t="n">
        <v>45161</v>
      </c>
      <c r="C1145" s="1" t="n">
        <v>46072</v>
      </c>
      <c r="D1145" t="inlineStr">
        <is>
          <t>SKÅNE LÄN</t>
        </is>
      </c>
      <c r="E1145" t="inlineStr">
        <is>
          <t>HÄSSLEHOLM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59030-2024</t>
        </is>
      </c>
      <c r="B1146" s="1" t="n">
        <v>45636.68916666666</v>
      </c>
      <c r="C1146" s="1" t="n">
        <v>46072</v>
      </c>
      <c r="D1146" t="inlineStr">
        <is>
          <t>SKÅNE LÄN</t>
        </is>
      </c>
      <c r="E1146" t="inlineStr">
        <is>
          <t>HÄSSLEHOLM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48663-2024</t>
        </is>
      </c>
      <c r="B1147" s="1" t="n">
        <v>45593.48892361111</v>
      </c>
      <c r="C1147" s="1" t="n">
        <v>46072</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7153-2025</t>
        </is>
      </c>
      <c r="B1148" s="1" t="n">
        <v>45702.38512731482</v>
      </c>
      <c r="C1148" s="1" t="n">
        <v>46072</v>
      </c>
      <c r="D1148" t="inlineStr">
        <is>
          <t>SKÅNE LÄN</t>
        </is>
      </c>
      <c r="E1148" t="inlineStr">
        <is>
          <t>HÄSSLEHOLM</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48771-2024</t>
        </is>
      </c>
      <c r="B1149" s="1" t="n">
        <v>45593.61284722222</v>
      </c>
      <c r="C1149" s="1" t="n">
        <v>46072</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12344-2023</t>
        </is>
      </c>
      <c r="B1150" s="1" t="n">
        <v>44999</v>
      </c>
      <c r="C1150" s="1" t="n">
        <v>46072</v>
      </c>
      <c r="D1150" t="inlineStr">
        <is>
          <t>SKÅNE LÄN</t>
        </is>
      </c>
      <c r="E1150" t="inlineStr">
        <is>
          <t>HÄSSLEHOLM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61197-2024</t>
        </is>
      </c>
      <c r="B1151" s="1" t="n">
        <v>45645.63184027778</v>
      </c>
      <c r="C1151" s="1" t="n">
        <v>46072</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6165-2023</t>
        </is>
      </c>
      <c r="B1152" s="1" t="n">
        <v>44964.67114583333</v>
      </c>
      <c r="C1152" s="1" t="n">
        <v>46072</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33938-2023</t>
        </is>
      </c>
      <c r="B1153" s="1" t="n">
        <v>45124</v>
      </c>
      <c r="C1153" s="1" t="n">
        <v>46072</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61533-2022</t>
        </is>
      </c>
      <c r="B1154" s="1" t="n">
        <v>44910</v>
      </c>
      <c r="C1154" s="1" t="n">
        <v>46072</v>
      </c>
      <c r="D1154" t="inlineStr">
        <is>
          <t>SKÅNE LÄN</t>
        </is>
      </c>
      <c r="E1154" t="inlineStr">
        <is>
          <t>HÄSSLEHOLM</t>
        </is>
      </c>
      <c r="F1154" t="inlineStr">
        <is>
          <t>Kyrkan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677-2024</t>
        </is>
      </c>
      <c r="B1155" s="1" t="n">
        <v>45300</v>
      </c>
      <c r="C1155" s="1" t="n">
        <v>46072</v>
      </c>
      <c r="D1155" t="inlineStr">
        <is>
          <t>SKÅNE LÄN</t>
        </is>
      </c>
      <c r="E1155" t="inlineStr">
        <is>
          <t>HÄSSLEHOLM</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20872-2025</t>
        </is>
      </c>
      <c r="B1156" s="1" t="n">
        <v>45777.34688657407</v>
      </c>
      <c r="C1156" s="1" t="n">
        <v>46072</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29994-2023</t>
        </is>
      </c>
      <c r="B1157" s="1" t="n">
        <v>45109.60038194444</v>
      </c>
      <c r="C1157" s="1" t="n">
        <v>46072</v>
      </c>
      <c r="D1157" t="inlineStr">
        <is>
          <t>SKÅNE LÄN</t>
        </is>
      </c>
      <c r="E1157" t="inlineStr">
        <is>
          <t>HÄSSLEHOLM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21206-2025</t>
        </is>
      </c>
      <c r="B1158" s="1" t="n">
        <v>45779.48318287037</v>
      </c>
      <c r="C1158" s="1" t="n">
        <v>46072</v>
      </c>
      <c r="D1158" t="inlineStr">
        <is>
          <t>SKÅNE LÄN</t>
        </is>
      </c>
      <c r="E1158" t="inlineStr">
        <is>
          <t>HÄSSLEHOLM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21091-2025</t>
        </is>
      </c>
      <c r="B1159" s="1" t="n">
        <v>45777</v>
      </c>
      <c r="C1159" s="1" t="n">
        <v>46072</v>
      </c>
      <c r="D1159" t="inlineStr">
        <is>
          <t>SKÅNE LÄN</t>
        </is>
      </c>
      <c r="E1159" t="inlineStr">
        <is>
          <t>HÄSSLEHOLM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317-2025</t>
        </is>
      </c>
      <c r="B1160" s="1" t="n">
        <v>45660</v>
      </c>
      <c r="C1160" s="1" t="n">
        <v>46072</v>
      </c>
      <c r="D1160" t="inlineStr">
        <is>
          <t>SKÅNE LÄN</t>
        </is>
      </c>
      <c r="E1160" t="inlineStr">
        <is>
          <t>HÄSSLEHOLM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21638-2025</t>
        </is>
      </c>
      <c r="B1161" s="1" t="n">
        <v>45783.43087962963</v>
      </c>
      <c r="C1161" s="1" t="n">
        <v>46072</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39111-2023</t>
        </is>
      </c>
      <c r="B1162" s="1" t="n">
        <v>45164.87140046297</v>
      </c>
      <c r="C1162" s="1" t="n">
        <v>46072</v>
      </c>
      <c r="D1162" t="inlineStr">
        <is>
          <t>SKÅNE LÄN</t>
        </is>
      </c>
      <c r="E1162" t="inlineStr">
        <is>
          <t>HÄSSLEHOLM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60851-2024</t>
        </is>
      </c>
      <c r="B1163" s="1" t="n">
        <v>45644.66182870371</v>
      </c>
      <c r="C1163" s="1" t="n">
        <v>46072</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21625-2025</t>
        </is>
      </c>
      <c r="B1164" s="1" t="n">
        <v>45783.41252314814</v>
      </c>
      <c r="C1164" s="1" t="n">
        <v>46072</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7818-2024</t>
        </is>
      </c>
      <c r="B1165" s="1" t="n">
        <v>45349.68872685185</v>
      </c>
      <c r="C1165" s="1" t="n">
        <v>46072</v>
      </c>
      <c r="D1165" t="inlineStr">
        <is>
          <t>SKÅNE LÄN</t>
        </is>
      </c>
      <c r="E1165" t="inlineStr">
        <is>
          <t>HÄSSLEHOLM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13149-2024</t>
        </is>
      </c>
      <c r="B1166" s="1" t="n">
        <v>45386</v>
      </c>
      <c r="C1166" s="1" t="n">
        <v>46072</v>
      </c>
      <c r="D1166" t="inlineStr">
        <is>
          <t>SKÅNE LÄN</t>
        </is>
      </c>
      <c r="E1166" t="inlineStr">
        <is>
          <t>HÄSSLEHOLM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29845-2024</t>
        </is>
      </c>
      <c r="B1167" s="1" t="n">
        <v>45485.6212037037</v>
      </c>
      <c r="C1167" s="1" t="n">
        <v>46072</v>
      </c>
      <c r="D1167" t="inlineStr">
        <is>
          <t>SKÅNE LÄN</t>
        </is>
      </c>
      <c r="E1167" t="inlineStr">
        <is>
          <t>HÄSSLEHOLM</t>
        </is>
      </c>
      <c r="G1167" t="n">
        <v>1.3</v>
      </c>
      <c r="H1167" t="n">
        <v>0</v>
      </c>
      <c r="I1167" t="n">
        <v>0</v>
      </c>
      <c r="J1167" t="n">
        <v>0</v>
      </c>
      <c r="K1167" t="n">
        <v>0</v>
      </c>
      <c r="L1167" t="n">
        <v>0</v>
      </c>
      <c r="M1167" t="n">
        <v>0</v>
      </c>
      <c r="N1167" t="n">
        <v>0</v>
      </c>
      <c r="O1167" t="n">
        <v>0</v>
      </c>
      <c r="P1167" t="n">
        <v>0</v>
      </c>
      <c r="Q1167" t="n">
        <v>0</v>
      </c>
      <c r="R1167" s="2" t="inlineStr"/>
    </row>
    <row r="1168">
      <c r="A1168" t="inlineStr">
        <is>
          <t>A 1703-2025</t>
        </is>
      </c>
      <c r="B1168" s="1" t="n">
        <v>45670.80732638889</v>
      </c>
      <c r="C1168" s="1" t="n">
        <v>46072</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2026-02-19T14:33:25Z</dcterms:created>
  <dcterms:modified xmlns:dcterms="http://purl.org/dc/terms/" xmlns:xsi="http://www.w3.org/2001/XMLSchema-instance" xsi:type="dcterms:W3CDTF">2026-02-19T14:33:26Z</dcterms:modified>
</cp:coreProperties>
</file>