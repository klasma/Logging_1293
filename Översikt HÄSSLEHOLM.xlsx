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45976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45976</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45976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45976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45976</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45976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45976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45976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45976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45976</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45976</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45976</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45976</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45976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45976</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36690-2025</t>
        </is>
      </c>
      <c r="B20" s="1" t="n">
        <v>45873.42915509259</v>
      </c>
      <c r="C20" s="1" t="n">
        <v>45976</v>
      </c>
      <c r="D20" t="inlineStr">
        <is>
          <t>SKÅNE LÄN</t>
        </is>
      </c>
      <c r="E20" t="inlineStr">
        <is>
          <t>HÄSSLEHOLM</t>
        </is>
      </c>
      <c r="G20" t="n">
        <v>3.6</v>
      </c>
      <c r="H20" t="n">
        <v>0</v>
      </c>
      <c r="I20" t="n">
        <v>0</v>
      </c>
      <c r="J20" t="n">
        <v>0</v>
      </c>
      <c r="K20" t="n">
        <v>0</v>
      </c>
      <c r="L20" t="n">
        <v>1</v>
      </c>
      <c r="M20" t="n">
        <v>0</v>
      </c>
      <c r="N20" t="n">
        <v>0</v>
      </c>
      <c r="O20" t="n">
        <v>1</v>
      </c>
      <c r="P20" t="n">
        <v>1</v>
      </c>
      <c r="Q20" t="n">
        <v>1</v>
      </c>
      <c r="R20" s="2" t="inlineStr">
        <is>
          <t>Ask</t>
        </is>
      </c>
      <c r="S20">
        <f>HYPERLINK("https://klasma.github.io/Logging_1293/artfynd/A 36690-2025 artfynd.xlsx", "A 36690-2025")</f>
        <v/>
      </c>
      <c r="T20">
        <f>HYPERLINK("https://klasma.github.io/Logging_1293/kartor/A 36690-2025 karta.png", "A 36690-2025")</f>
        <v/>
      </c>
      <c r="V20">
        <f>HYPERLINK("https://klasma.github.io/Logging_1293/klagomål/A 36690-2025 FSC-klagomål.docx", "A 36690-2025")</f>
        <v/>
      </c>
      <c r="W20">
        <f>HYPERLINK("https://klasma.github.io/Logging_1293/klagomålsmail/A 36690-2025 FSC-klagomål mail.docx", "A 36690-2025")</f>
        <v/>
      </c>
      <c r="X20">
        <f>HYPERLINK("https://klasma.github.io/Logging_1293/tillsyn/A 36690-2025 tillsynsbegäran.docx", "A 36690-2025")</f>
        <v/>
      </c>
      <c r="Y20">
        <f>HYPERLINK("https://klasma.github.io/Logging_1293/tillsynsmail/A 36690-2025 tillsynsbegäran mail.docx", "A 36690-2025")</f>
        <v/>
      </c>
    </row>
    <row r="21" ht="15" customHeight="1">
      <c r="A21" t="inlineStr">
        <is>
          <t>A 14933-2023</t>
        </is>
      </c>
      <c r="B21" s="1" t="n">
        <v>45014</v>
      </c>
      <c r="C21" s="1" t="n">
        <v>45976</v>
      </c>
      <c r="D21" t="inlineStr">
        <is>
          <t>SKÅNE LÄN</t>
        </is>
      </c>
      <c r="E21" t="inlineStr">
        <is>
          <t>HÄSSLEHOLM</t>
        </is>
      </c>
      <c r="G21" t="n">
        <v>1.2</v>
      </c>
      <c r="H21" t="n">
        <v>0</v>
      </c>
      <c r="I21" t="n">
        <v>0</v>
      </c>
      <c r="J21" t="n">
        <v>0</v>
      </c>
      <c r="K21" t="n">
        <v>1</v>
      </c>
      <c r="L21" t="n">
        <v>0</v>
      </c>
      <c r="M21" t="n">
        <v>0</v>
      </c>
      <c r="N21" t="n">
        <v>0</v>
      </c>
      <c r="O21" t="n">
        <v>1</v>
      </c>
      <c r="P21" t="n">
        <v>1</v>
      </c>
      <c r="Q21" t="n">
        <v>1</v>
      </c>
      <c r="R21" s="2" t="inlineStr">
        <is>
          <t>Småvänderot</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20280-2025</t>
        </is>
      </c>
      <c r="B22" s="1" t="n">
        <v>45774.38790509259</v>
      </c>
      <c r="C22" s="1" t="n">
        <v>45976</v>
      </c>
      <c r="D22" t="inlineStr">
        <is>
          <t>SKÅNE LÄN</t>
        </is>
      </c>
      <c r="E22" t="inlineStr">
        <is>
          <t>HÄSSLEHOLM</t>
        </is>
      </c>
      <c r="G22" t="n">
        <v>3</v>
      </c>
      <c r="H22" t="n">
        <v>0</v>
      </c>
      <c r="I22" t="n">
        <v>0</v>
      </c>
      <c r="J22" t="n">
        <v>0</v>
      </c>
      <c r="K22" t="n">
        <v>1</v>
      </c>
      <c r="L22" t="n">
        <v>0</v>
      </c>
      <c r="M22" t="n">
        <v>0</v>
      </c>
      <c r="N22" t="n">
        <v>0</v>
      </c>
      <c r="O22" t="n">
        <v>1</v>
      </c>
      <c r="P22" t="n">
        <v>1</v>
      </c>
      <c r="Q22" t="n">
        <v>1</v>
      </c>
      <c r="R22" s="2" t="inlineStr">
        <is>
          <t>Revig blodrot</t>
        </is>
      </c>
      <c r="S22">
        <f>HYPERLINK("https://klasma.github.io/Logging_1293/artfynd/A 20280-2025 artfynd.xlsx", "A 20280-2025")</f>
        <v/>
      </c>
      <c r="T22">
        <f>HYPERLINK("https://klasma.github.io/Logging_1293/kartor/A 20280-2025 karta.png", "A 20280-2025")</f>
        <v/>
      </c>
      <c r="V22">
        <f>HYPERLINK("https://klasma.github.io/Logging_1293/klagomål/A 20280-2025 FSC-klagomål.docx", "A 20280-2025")</f>
        <v/>
      </c>
      <c r="W22">
        <f>HYPERLINK("https://klasma.github.io/Logging_1293/klagomålsmail/A 20280-2025 FSC-klagomål mail.docx", "A 20280-2025")</f>
        <v/>
      </c>
      <c r="X22">
        <f>HYPERLINK("https://klasma.github.io/Logging_1293/tillsyn/A 20280-2025 tillsynsbegäran.docx", "A 20280-2025")</f>
        <v/>
      </c>
      <c r="Y22">
        <f>HYPERLINK("https://klasma.github.io/Logging_1293/tillsynsmail/A 20280-2025 tillsynsbegäran mail.docx", "A 20280-2025")</f>
        <v/>
      </c>
    </row>
    <row r="23" ht="15" customHeight="1">
      <c r="A23" t="inlineStr">
        <is>
          <t>A 7862-2024</t>
        </is>
      </c>
      <c r="B23" s="1" t="n">
        <v>45348</v>
      </c>
      <c r="C23" s="1" t="n">
        <v>45976</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40613-2025</t>
        </is>
      </c>
      <c r="B24" s="1" t="n">
        <v>45896</v>
      </c>
      <c r="C24" s="1" t="n">
        <v>45976</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8223-2025</t>
        </is>
      </c>
      <c r="B25" s="1" t="n">
        <v>45708.46127314815</v>
      </c>
      <c r="C25" s="1" t="n">
        <v>45976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46602-2023</t>
        </is>
      </c>
      <c r="B26" s="1" t="n">
        <v>45194</v>
      </c>
      <c r="C26" s="1" t="n">
        <v>45976</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29272-2023</t>
        </is>
      </c>
      <c r="B27" s="1" t="n">
        <v>45105</v>
      </c>
      <c r="C27" s="1" t="n">
        <v>45976</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61707-2024</t>
        </is>
      </c>
      <c r="B28" s="1" t="n">
        <v>45648.61747685185</v>
      </c>
      <c r="C28" s="1" t="n">
        <v>45976</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9289-2025</t>
        </is>
      </c>
      <c r="B29" s="1" t="n">
        <v>45714</v>
      </c>
      <c r="C29" s="1" t="n">
        <v>45976</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6634-2024</t>
        </is>
      </c>
      <c r="B30" s="1" t="n">
        <v>45341</v>
      </c>
      <c r="C30" s="1" t="n">
        <v>45976</v>
      </c>
      <c r="D30" t="inlineStr">
        <is>
          <t>SKÅNE LÄN</t>
        </is>
      </c>
      <c r="E30" t="inlineStr">
        <is>
          <t>HÄSSLEHOLM</t>
        </is>
      </c>
      <c r="G30" t="n">
        <v>1.9</v>
      </c>
      <c r="H30" t="n">
        <v>0</v>
      </c>
      <c r="I30" t="n">
        <v>0</v>
      </c>
      <c r="J30" t="n">
        <v>0</v>
      </c>
      <c r="K30" t="n">
        <v>1</v>
      </c>
      <c r="L30" t="n">
        <v>0</v>
      </c>
      <c r="M30" t="n">
        <v>0</v>
      </c>
      <c r="N30" t="n">
        <v>0</v>
      </c>
      <c r="O30" t="n">
        <v>1</v>
      </c>
      <c r="P30" t="n">
        <v>1</v>
      </c>
      <c r="Q30" t="n">
        <v>1</v>
      </c>
      <c r="R30" s="2" t="inlineStr">
        <is>
          <t>Revig blodrot</t>
        </is>
      </c>
      <c r="S30">
        <f>HYPERLINK("https://klasma.github.io/Logging_1293/artfynd/A 6634-2024 artfynd.xlsx", "A 6634-2024")</f>
        <v/>
      </c>
      <c r="T30">
        <f>HYPERLINK("https://klasma.github.io/Logging_1293/kartor/A 6634-2024 karta.png", "A 6634-2024")</f>
        <v/>
      </c>
      <c r="V30">
        <f>HYPERLINK("https://klasma.github.io/Logging_1293/klagomål/A 6634-2024 FSC-klagomål.docx", "A 6634-2024")</f>
        <v/>
      </c>
      <c r="W30">
        <f>HYPERLINK("https://klasma.github.io/Logging_1293/klagomålsmail/A 6634-2024 FSC-klagomål mail.docx", "A 6634-2024")</f>
        <v/>
      </c>
      <c r="X30">
        <f>HYPERLINK("https://klasma.github.io/Logging_1293/tillsyn/A 6634-2024 tillsynsbegäran.docx", "A 6634-2024")</f>
        <v/>
      </c>
      <c r="Y30">
        <f>HYPERLINK("https://klasma.github.io/Logging_1293/tillsynsmail/A 6634-2024 tillsynsbegäran mail.docx", "A 6634-2024")</f>
        <v/>
      </c>
    </row>
    <row r="31" ht="15" customHeight="1">
      <c r="A31" t="inlineStr">
        <is>
          <t>A 60925-2024</t>
        </is>
      </c>
      <c r="B31" s="1" t="n">
        <v>45645.3550462963</v>
      </c>
      <c r="C31" s="1" t="n">
        <v>45976</v>
      </c>
      <c r="D31" t="inlineStr">
        <is>
          <t>SKÅNE LÄN</t>
        </is>
      </c>
      <c r="E31" t="inlineStr">
        <is>
          <t>HÄSSLEHOLM</t>
        </is>
      </c>
      <c r="G31" t="n">
        <v>1.8</v>
      </c>
      <c r="H31" t="n">
        <v>0</v>
      </c>
      <c r="I31" t="n">
        <v>0</v>
      </c>
      <c r="J31" t="n">
        <v>0</v>
      </c>
      <c r="K31" t="n">
        <v>0</v>
      </c>
      <c r="L31" t="n">
        <v>1</v>
      </c>
      <c r="M31" t="n">
        <v>0</v>
      </c>
      <c r="N31" t="n">
        <v>0</v>
      </c>
      <c r="O31" t="n">
        <v>1</v>
      </c>
      <c r="P31" t="n">
        <v>1</v>
      </c>
      <c r="Q31" t="n">
        <v>1</v>
      </c>
      <c r="R31" s="2" t="inlineStr">
        <is>
          <t>Ask</t>
        </is>
      </c>
      <c r="S31">
        <f>HYPERLINK("https://klasma.github.io/Logging_1293/artfynd/A 60925-2024 artfynd.xlsx", "A 60925-2024")</f>
        <v/>
      </c>
      <c r="T31">
        <f>HYPERLINK("https://klasma.github.io/Logging_1293/kartor/A 60925-2024 karta.png", "A 60925-2024")</f>
        <v/>
      </c>
      <c r="V31">
        <f>HYPERLINK("https://klasma.github.io/Logging_1293/klagomål/A 60925-2024 FSC-klagomål.docx", "A 60925-2024")</f>
        <v/>
      </c>
      <c r="W31">
        <f>HYPERLINK("https://klasma.github.io/Logging_1293/klagomålsmail/A 60925-2024 FSC-klagomål mail.docx", "A 60925-2024")</f>
        <v/>
      </c>
      <c r="X31">
        <f>HYPERLINK("https://klasma.github.io/Logging_1293/tillsyn/A 60925-2024 tillsynsbegäran.docx", "A 60925-2024")</f>
        <v/>
      </c>
      <c r="Y31">
        <f>HYPERLINK("https://klasma.github.io/Logging_1293/tillsynsmail/A 60925-2024 tillsynsbegäran mail.docx", "A 60925-2024")</f>
        <v/>
      </c>
    </row>
    <row r="32" ht="15" customHeight="1">
      <c r="A32" t="inlineStr">
        <is>
          <t>A 16107-2025</t>
        </is>
      </c>
      <c r="B32" s="1" t="n">
        <v>45750.34537037037</v>
      </c>
      <c r="C32" s="1" t="n">
        <v>45976</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45976</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54523-2024</t>
        </is>
      </c>
      <c r="B34" s="1" t="n">
        <v>45617</v>
      </c>
      <c r="C34" s="1" t="n">
        <v>45976</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45976</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4619-2025</t>
        </is>
      </c>
      <c r="B36" s="1" t="n">
        <v>45687</v>
      </c>
      <c r="C36" s="1" t="n">
        <v>45976</v>
      </c>
      <c r="D36" t="inlineStr">
        <is>
          <t>SKÅNE LÄN</t>
        </is>
      </c>
      <c r="E36" t="inlineStr">
        <is>
          <t>HÄSSLEHOLM</t>
        </is>
      </c>
      <c r="G36" t="n">
        <v>2.2</v>
      </c>
      <c r="H36" t="n">
        <v>0</v>
      </c>
      <c r="I36" t="n">
        <v>0</v>
      </c>
      <c r="J36" t="n">
        <v>0</v>
      </c>
      <c r="K36" t="n">
        <v>1</v>
      </c>
      <c r="L36" t="n">
        <v>0</v>
      </c>
      <c r="M36" t="n">
        <v>0</v>
      </c>
      <c r="N36" t="n">
        <v>0</v>
      </c>
      <c r="O36" t="n">
        <v>1</v>
      </c>
      <c r="P36" t="n">
        <v>1</v>
      </c>
      <c r="Q36" t="n">
        <v>1</v>
      </c>
      <c r="R36" s="2" t="inlineStr">
        <is>
          <t>Vildris</t>
        </is>
      </c>
      <c r="S36">
        <f>HYPERLINK("https://klasma.github.io/Logging_1293/artfynd/A 4619-2025 artfynd.xlsx", "A 4619-2025")</f>
        <v/>
      </c>
      <c r="T36">
        <f>HYPERLINK("https://klasma.github.io/Logging_1293/kartor/A 4619-2025 karta.png", "A 4619-2025")</f>
        <v/>
      </c>
      <c r="V36">
        <f>HYPERLINK("https://klasma.github.io/Logging_1293/klagomål/A 4619-2025 FSC-klagomål.docx", "A 4619-2025")</f>
        <v/>
      </c>
      <c r="W36">
        <f>HYPERLINK("https://klasma.github.io/Logging_1293/klagomålsmail/A 4619-2025 FSC-klagomål mail.docx", "A 4619-2025")</f>
        <v/>
      </c>
      <c r="X36">
        <f>HYPERLINK("https://klasma.github.io/Logging_1293/tillsyn/A 4619-2025 tillsynsbegäran.docx", "A 4619-2025")</f>
        <v/>
      </c>
      <c r="Y36">
        <f>HYPERLINK("https://klasma.github.io/Logging_1293/tillsynsmail/A 4619-2025 tillsynsbegäran mail.docx", "A 4619-2025")</f>
        <v/>
      </c>
    </row>
    <row r="37" ht="15" customHeight="1">
      <c r="A37" t="inlineStr">
        <is>
          <t>A 49572-2022</t>
        </is>
      </c>
      <c r="B37" s="1" t="n">
        <v>44862.335</v>
      </c>
      <c r="C37" s="1" t="n">
        <v>45976</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37457-2022</t>
        </is>
      </c>
      <c r="B38" s="1" t="n">
        <v>44809</v>
      </c>
      <c r="C38" s="1" t="n">
        <v>45976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45976</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45976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45976</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45976</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45976</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45976</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45976</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45976</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45976</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45976</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45976</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45976</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45976</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45976</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964-2021</t>
        </is>
      </c>
      <c r="B53" s="1" t="n">
        <v>44207</v>
      </c>
      <c r="C53" s="1" t="n">
        <v>45976</v>
      </c>
      <c r="D53" t="inlineStr">
        <is>
          <t>SKÅNE LÄN</t>
        </is>
      </c>
      <c r="E53" t="inlineStr">
        <is>
          <t>HÄSSLEHOLM</t>
        </is>
      </c>
      <c r="G53" t="n">
        <v>1</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45976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61510-2021</t>
        </is>
      </c>
      <c r="B55" s="1" t="n">
        <v>44501</v>
      </c>
      <c r="C55" s="1" t="n">
        <v>45976</v>
      </c>
      <c r="D55" t="inlineStr">
        <is>
          <t>SKÅNE LÄN</t>
        </is>
      </c>
      <c r="E55" t="inlineStr">
        <is>
          <t>HÄSSLEHOLM</t>
        </is>
      </c>
      <c r="G55" t="n">
        <v>6.1</v>
      </c>
      <c r="H55" t="n">
        <v>0</v>
      </c>
      <c r="I55" t="n">
        <v>0</v>
      </c>
      <c r="J55" t="n">
        <v>0</v>
      </c>
      <c r="K55" t="n">
        <v>0</v>
      </c>
      <c r="L55" t="n">
        <v>0</v>
      </c>
      <c r="M55" t="n">
        <v>0</v>
      </c>
      <c r="N55" t="n">
        <v>0</v>
      </c>
      <c r="O55" t="n">
        <v>0</v>
      </c>
      <c r="P55" t="n">
        <v>0</v>
      </c>
      <c r="Q55" t="n">
        <v>0</v>
      </c>
      <c r="R55" s="2" t="inlineStr"/>
    </row>
    <row r="56" ht="15" customHeight="1">
      <c r="A56" t="inlineStr">
        <is>
          <t>A 23841-2021</t>
        </is>
      </c>
      <c r="B56" s="1" t="n">
        <v>44335</v>
      </c>
      <c r="C56" s="1" t="n">
        <v>45976</v>
      </c>
      <c r="D56" t="inlineStr">
        <is>
          <t>SKÅNE LÄN</t>
        </is>
      </c>
      <c r="E56" t="inlineStr">
        <is>
          <t>HÄSSLEHOLM</t>
        </is>
      </c>
      <c r="G56" t="n">
        <v>16.9</v>
      </c>
      <c r="H56" t="n">
        <v>0</v>
      </c>
      <c r="I56" t="n">
        <v>0</v>
      </c>
      <c r="J56" t="n">
        <v>0</v>
      </c>
      <c r="K56" t="n">
        <v>0</v>
      </c>
      <c r="L56" t="n">
        <v>0</v>
      </c>
      <c r="M56" t="n">
        <v>0</v>
      </c>
      <c r="N56" t="n">
        <v>0</v>
      </c>
      <c r="O56" t="n">
        <v>0</v>
      </c>
      <c r="P56" t="n">
        <v>0</v>
      </c>
      <c r="Q56" t="n">
        <v>0</v>
      </c>
      <c r="R56" s="2" t="inlineStr"/>
    </row>
    <row r="57" ht="15" customHeight="1">
      <c r="A57" t="inlineStr">
        <is>
          <t>A 1445-2021</t>
        </is>
      </c>
      <c r="B57" s="1" t="n">
        <v>44208</v>
      </c>
      <c r="C57" s="1" t="n">
        <v>45976</v>
      </c>
      <c r="D57" t="inlineStr">
        <is>
          <t>SKÅNE LÄN</t>
        </is>
      </c>
      <c r="E57" t="inlineStr">
        <is>
          <t>HÄSSLEHOLM</t>
        </is>
      </c>
      <c r="G57" t="n">
        <v>4.6</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45976</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74476-2021</t>
        </is>
      </c>
      <c r="B59" s="1" t="n">
        <v>44560.55796296296</v>
      </c>
      <c r="C59" s="1" t="n">
        <v>45976</v>
      </c>
      <c r="D59" t="inlineStr">
        <is>
          <t>SKÅNE LÄN</t>
        </is>
      </c>
      <c r="E59" t="inlineStr">
        <is>
          <t>HÄSSLEHOLM</t>
        </is>
      </c>
      <c r="G59" t="n">
        <v>0.4</v>
      </c>
      <c r="H59" t="n">
        <v>0</v>
      </c>
      <c r="I59" t="n">
        <v>0</v>
      </c>
      <c r="J59" t="n">
        <v>0</v>
      </c>
      <c r="K59" t="n">
        <v>0</v>
      </c>
      <c r="L59" t="n">
        <v>0</v>
      </c>
      <c r="M59" t="n">
        <v>0</v>
      </c>
      <c r="N59" t="n">
        <v>0</v>
      </c>
      <c r="O59" t="n">
        <v>0</v>
      </c>
      <c r="P59" t="n">
        <v>0</v>
      </c>
      <c r="Q59" t="n">
        <v>0</v>
      </c>
      <c r="R59" s="2" t="inlineStr"/>
    </row>
    <row r="60" ht="15" customHeight="1">
      <c r="A60" t="inlineStr">
        <is>
          <t>A 23045-2021</t>
        </is>
      </c>
      <c r="B60" s="1" t="n">
        <v>44329</v>
      </c>
      <c r="C60" s="1" t="n">
        <v>45976</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45976</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45976</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38372-2021</t>
        </is>
      </c>
      <c r="B63" s="1" t="n">
        <v>44406</v>
      </c>
      <c r="C63" s="1" t="n">
        <v>45976</v>
      </c>
      <c r="D63" t="inlineStr">
        <is>
          <t>SKÅNE LÄN</t>
        </is>
      </c>
      <c r="E63" t="inlineStr">
        <is>
          <t>HÄSSLEHOLM</t>
        </is>
      </c>
      <c r="F63" t="inlineStr">
        <is>
          <t>Kommuner</t>
        </is>
      </c>
      <c r="G63" t="n">
        <v>2.7</v>
      </c>
      <c r="H63" t="n">
        <v>0</v>
      </c>
      <c r="I63" t="n">
        <v>0</v>
      </c>
      <c r="J63" t="n">
        <v>0</v>
      </c>
      <c r="K63" t="n">
        <v>0</v>
      </c>
      <c r="L63" t="n">
        <v>0</v>
      </c>
      <c r="M63" t="n">
        <v>0</v>
      </c>
      <c r="N63" t="n">
        <v>0</v>
      </c>
      <c r="O63" t="n">
        <v>0</v>
      </c>
      <c r="P63" t="n">
        <v>0</v>
      </c>
      <c r="Q63" t="n">
        <v>0</v>
      </c>
      <c r="R63" s="2" t="inlineStr"/>
    </row>
    <row r="64" ht="15" customHeight="1">
      <c r="A64" t="inlineStr">
        <is>
          <t>A 3714-2021</t>
        </is>
      </c>
      <c r="B64" s="1" t="n">
        <v>44221</v>
      </c>
      <c r="C64" s="1" t="n">
        <v>45976</v>
      </c>
      <c r="D64" t="inlineStr">
        <is>
          <t>SKÅNE LÄN</t>
        </is>
      </c>
      <c r="E64" t="inlineStr">
        <is>
          <t>HÄSSLEHOLM</t>
        </is>
      </c>
      <c r="G64" t="n">
        <v>1.2</v>
      </c>
      <c r="H64" t="n">
        <v>0</v>
      </c>
      <c r="I64" t="n">
        <v>0</v>
      </c>
      <c r="J64" t="n">
        <v>0</v>
      </c>
      <c r="K64" t="n">
        <v>0</v>
      </c>
      <c r="L64" t="n">
        <v>0</v>
      </c>
      <c r="M64" t="n">
        <v>0</v>
      </c>
      <c r="N64" t="n">
        <v>0</v>
      </c>
      <c r="O64" t="n">
        <v>0</v>
      </c>
      <c r="P64" t="n">
        <v>0</v>
      </c>
      <c r="Q64" t="n">
        <v>0</v>
      </c>
      <c r="R64" s="2" t="inlineStr"/>
    </row>
    <row r="65" ht="15" customHeight="1">
      <c r="A65" t="inlineStr">
        <is>
          <t>A 3483-2021</t>
        </is>
      </c>
      <c r="B65" s="1" t="n">
        <v>44218</v>
      </c>
      <c r="C65" s="1" t="n">
        <v>45976</v>
      </c>
      <c r="D65" t="inlineStr">
        <is>
          <t>SKÅNE LÄN</t>
        </is>
      </c>
      <c r="E65" t="inlineStr">
        <is>
          <t>HÄSSLEHOLM</t>
        </is>
      </c>
      <c r="G65" t="n">
        <v>2.1</v>
      </c>
      <c r="H65" t="n">
        <v>0</v>
      </c>
      <c r="I65" t="n">
        <v>0</v>
      </c>
      <c r="J65" t="n">
        <v>0</v>
      </c>
      <c r="K65" t="n">
        <v>0</v>
      </c>
      <c r="L65" t="n">
        <v>0</v>
      </c>
      <c r="M65" t="n">
        <v>0</v>
      </c>
      <c r="N65" t="n">
        <v>0</v>
      </c>
      <c r="O65" t="n">
        <v>0</v>
      </c>
      <c r="P65" t="n">
        <v>0</v>
      </c>
      <c r="Q65" t="n">
        <v>0</v>
      </c>
      <c r="R65" s="2" t="inlineStr"/>
    </row>
    <row r="66" ht="15" customHeight="1">
      <c r="A66" t="inlineStr">
        <is>
          <t>A 35727-2022</t>
        </is>
      </c>
      <c r="B66" s="1" t="n">
        <v>44799.71708333334</v>
      </c>
      <c r="C66" s="1" t="n">
        <v>45976</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54175-2021</t>
        </is>
      </c>
      <c r="B67" s="1" t="n">
        <v>44470</v>
      </c>
      <c r="C67" s="1" t="n">
        <v>45976</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45976</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14402-2022</t>
        </is>
      </c>
      <c r="B69" s="1" t="n">
        <v>44652</v>
      </c>
      <c r="C69" s="1" t="n">
        <v>45976</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45976</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45976</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45976</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45976</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45976</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45976</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23826-2021</t>
        </is>
      </c>
      <c r="B76" s="1" t="n">
        <v>44335</v>
      </c>
      <c r="C76" s="1" t="n">
        <v>45976</v>
      </c>
      <c r="D76" t="inlineStr">
        <is>
          <t>SKÅNE LÄN</t>
        </is>
      </c>
      <c r="E76" t="inlineStr">
        <is>
          <t>HÄSSLEHOLM</t>
        </is>
      </c>
      <c r="G76" t="n">
        <v>6.5</v>
      </c>
      <c r="H76" t="n">
        <v>0</v>
      </c>
      <c r="I76" t="n">
        <v>0</v>
      </c>
      <c r="J76" t="n">
        <v>0</v>
      </c>
      <c r="K76" t="n">
        <v>0</v>
      </c>
      <c r="L76" t="n">
        <v>0</v>
      </c>
      <c r="M76" t="n">
        <v>0</v>
      </c>
      <c r="N76" t="n">
        <v>0</v>
      </c>
      <c r="O76" t="n">
        <v>0</v>
      </c>
      <c r="P76" t="n">
        <v>0</v>
      </c>
      <c r="Q76" t="n">
        <v>0</v>
      </c>
      <c r="R76" s="2" t="inlineStr"/>
    </row>
    <row r="77" ht="15" customHeight="1">
      <c r="A77" t="inlineStr">
        <is>
          <t>A 56424-2021</t>
        </is>
      </c>
      <c r="B77" s="1" t="n">
        <v>44480</v>
      </c>
      <c r="C77" s="1" t="n">
        <v>45976</v>
      </c>
      <c r="D77" t="inlineStr">
        <is>
          <t>SKÅNE LÄN</t>
        </is>
      </c>
      <c r="E77" t="inlineStr">
        <is>
          <t>HÄSSLEHOLM</t>
        </is>
      </c>
      <c r="F77" t="inlineStr">
        <is>
          <t>Kyrkan</t>
        </is>
      </c>
      <c r="G77" t="n">
        <v>3.4</v>
      </c>
      <c r="H77" t="n">
        <v>0</v>
      </c>
      <c r="I77" t="n">
        <v>0</v>
      </c>
      <c r="J77" t="n">
        <v>0</v>
      </c>
      <c r="K77" t="n">
        <v>0</v>
      </c>
      <c r="L77" t="n">
        <v>0</v>
      </c>
      <c r="M77" t="n">
        <v>0</v>
      </c>
      <c r="N77" t="n">
        <v>0</v>
      </c>
      <c r="O77" t="n">
        <v>0</v>
      </c>
      <c r="P77" t="n">
        <v>0</v>
      </c>
      <c r="Q77" t="n">
        <v>0</v>
      </c>
      <c r="R77" s="2" t="inlineStr"/>
    </row>
    <row r="78" ht="15" customHeight="1">
      <c r="A78" t="inlineStr">
        <is>
          <t>A 58564-2021</t>
        </is>
      </c>
      <c r="B78" s="1" t="n">
        <v>44488.84940972222</v>
      </c>
      <c r="C78" s="1" t="n">
        <v>45976</v>
      </c>
      <c r="D78" t="inlineStr">
        <is>
          <t>SKÅNE LÄN</t>
        </is>
      </c>
      <c r="E78" t="inlineStr">
        <is>
          <t>HÄSSLEHOLM</t>
        </is>
      </c>
      <c r="G78" t="n">
        <v>1.5</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45976</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45976</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58566-2021</t>
        </is>
      </c>
      <c r="B81" s="1" t="n">
        <v>44488.85538194444</v>
      </c>
      <c r="C81" s="1" t="n">
        <v>45976</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45976</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48553-2021</t>
        </is>
      </c>
      <c r="B83" s="1" t="n">
        <v>44452.45701388889</v>
      </c>
      <c r="C83" s="1" t="n">
        <v>45976</v>
      </c>
      <c r="D83" t="inlineStr">
        <is>
          <t>SKÅNE LÄN</t>
        </is>
      </c>
      <c r="E83" t="inlineStr">
        <is>
          <t>HÄSSLEHOLM</t>
        </is>
      </c>
      <c r="G83" t="n">
        <v>1.1</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45976</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45976</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45976</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45976</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45976</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45976</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45976</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45976</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45976</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45976</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45976</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45976</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45976</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45976</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2765-2022</t>
        </is>
      </c>
      <c r="B98" s="1" t="n">
        <v>44580</v>
      </c>
      <c r="C98" s="1" t="n">
        <v>45976</v>
      </c>
      <c r="D98" t="inlineStr">
        <is>
          <t>SKÅNE LÄN</t>
        </is>
      </c>
      <c r="E98" t="inlineStr">
        <is>
          <t>HÄSSLEHOLM</t>
        </is>
      </c>
      <c r="G98" t="n">
        <v>0.6</v>
      </c>
      <c r="H98" t="n">
        <v>0</v>
      </c>
      <c r="I98" t="n">
        <v>0</v>
      </c>
      <c r="J98" t="n">
        <v>0</v>
      </c>
      <c r="K98" t="n">
        <v>0</v>
      </c>
      <c r="L98" t="n">
        <v>0</v>
      </c>
      <c r="M98" t="n">
        <v>0</v>
      </c>
      <c r="N98" t="n">
        <v>0</v>
      </c>
      <c r="O98" t="n">
        <v>0</v>
      </c>
      <c r="P98" t="n">
        <v>0</v>
      </c>
      <c r="Q98" t="n">
        <v>0</v>
      </c>
      <c r="R98" s="2" t="inlineStr"/>
    </row>
    <row r="99" ht="15" customHeight="1">
      <c r="A99" t="inlineStr">
        <is>
          <t>A 37181-2022</t>
        </is>
      </c>
      <c r="B99" s="1" t="n">
        <v>44806</v>
      </c>
      <c r="C99" s="1" t="n">
        <v>45976</v>
      </c>
      <c r="D99" t="inlineStr">
        <is>
          <t>SKÅNE LÄN</t>
        </is>
      </c>
      <c r="E99" t="inlineStr">
        <is>
          <t>HÄSSLEHOLM</t>
        </is>
      </c>
      <c r="F99" t="inlineStr">
        <is>
          <t>Kyrkan</t>
        </is>
      </c>
      <c r="G99" t="n">
        <v>3.5</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45976</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45976</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45976</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45976</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37170-2022</t>
        </is>
      </c>
      <c r="B104" s="1" t="n">
        <v>44806.61038194445</v>
      </c>
      <c r="C104" s="1" t="n">
        <v>45976</v>
      </c>
      <c r="D104" t="inlineStr">
        <is>
          <t>SKÅNE LÄN</t>
        </is>
      </c>
      <c r="E104" t="inlineStr">
        <is>
          <t>HÄSSLEHOLM</t>
        </is>
      </c>
      <c r="F104" t="inlineStr">
        <is>
          <t>Kyrkan</t>
        </is>
      </c>
      <c r="G104" t="n">
        <v>4.5</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45976</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45976</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3447-2021</t>
        </is>
      </c>
      <c r="B107" s="1" t="n">
        <v>44218</v>
      </c>
      <c r="C107" s="1" t="n">
        <v>45976</v>
      </c>
      <c r="D107" t="inlineStr">
        <is>
          <t>SKÅNE LÄN</t>
        </is>
      </c>
      <c r="E107" t="inlineStr">
        <is>
          <t>HÄSSLEHOLM</t>
        </is>
      </c>
      <c r="G107" t="n">
        <v>3.9</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45976</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45976</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45976</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9292-2022</t>
        </is>
      </c>
      <c r="B111" s="1" t="n">
        <v>44616</v>
      </c>
      <c r="C111" s="1" t="n">
        <v>45976</v>
      </c>
      <c r="D111" t="inlineStr">
        <is>
          <t>SKÅNE LÄN</t>
        </is>
      </c>
      <c r="E111" t="inlineStr">
        <is>
          <t>HÄSSLEHOLM</t>
        </is>
      </c>
      <c r="G111" t="n">
        <v>1.6</v>
      </c>
      <c r="H111" t="n">
        <v>0</v>
      </c>
      <c r="I111" t="n">
        <v>0</v>
      </c>
      <c r="J111" t="n">
        <v>0</v>
      </c>
      <c r="K111" t="n">
        <v>0</v>
      </c>
      <c r="L111" t="n">
        <v>0</v>
      </c>
      <c r="M111" t="n">
        <v>0</v>
      </c>
      <c r="N111" t="n">
        <v>0</v>
      </c>
      <c r="O111" t="n">
        <v>0</v>
      </c>
      <c r="P111" t="n">
        <v>0</v>
      </c>
      <c r="Q111" t="n">
        <v>0</v>
      </c>
      <c r="R111" s="2" t="inlineStr"/>
    </row>
    <row r="112" ht="15" customHeight="1">
      <c r="A112" t="inlineStr">
        <is>
          <t>A 3277-2022</t>
        </is>
      </c>
      <c r="B112" s="1" t="n">
        <v>44584.41274305555</v>
      </c>
      <c r="C112" s="1" t="n">
        <v>45976</v>
      </c>
      <c r="D112" t="inlineStr">
        <is>
          <t>SKÅNE LÄN</t>
        </is>
      </c>
      <c r="E112" t="inlineStr">
        <is>
          <t>HÄSSLEHOLM</t>
        </is>
      </c>
      <c r="G112" t="n">
        <v>0.2</v>
      </c>
      <c r="H112" t="n">
        <v>0</v>
      </c>
      <c r="I112" t="n">
        <v>0</v>
      </c>
      <c r="J112" t="n">
        <v>0</v>
      </c>
      <c r="K112" t="n">
        <v>0</v>
      </c>
      <c r="L112" t="n">
        <v>0</v>
      </c>
      <c r="M112" t="n">
        <v>0</v>
      </c>
      <c r="N112" t="n">
        <v>0</v>
      </c>
      <c r="O112" t="n">
        <v>0</v>
      </c>
      <c r="P112" t="n">
        <v>0</v>
      </c>
      <c r="Q112" t="n">
        <v>0</v>
      </c>
      <c r="R112" s="2" t="inlineStr"/>
    </row>
    <row r="113" ht="15" customHeight="1">
      <c r="A113" t="inlineStr">
        <is>
          <t>A 7522-2021</t>
        </is>
      </c>
      <c r="B113" s="1" t="n">
        <v>44238</v>
      </c>
      <c r="C113" s="1" t="n">
        <v>45976</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8278-2021</t>
        </is>
      </c>
      <c r="B114" s="1" t="n">
        <v>44244</v>
      </c>
      <c r="C114" s="1" t="n">
        <v>45976</v>
      </c>
      <c r="D114" t="inlineStr">
        <is>
          <t>SKÅNE LÄN</t>
        </is>
      </c>
      <c r="E114" t="inlineStr">
        <is>
          <t>HÄSSLEHOLM</t>
        </is>
      </c>
      <c r="F114" t="inlineStr">
        <is>
          <t>Kyrkan</t>
        </is>
      </c>
      <c r="G114" t="n">
        <v>1.4</v>
      </c>
      <c r="H114" t="n">
        <v>0</v>
      </c>
      <c r="I114" t="n">
        <v>0</v>
      </c>
      <c r="J114" t="n">
        <v>0</v>
      </c>
      <c r="K114" t="n">
        <v>0</v>
      </c>
      <c r="L114" t="n">
        <v>0</v>
      </c>
      <c r="M114" t="n">
        <v>0</v>
      </c>
      <c r="N114" t="n">
        <v>0</v>
      </c>
      <c r="O114" t="n">
        <v>0</v>
      </c>
      <c r="P114" t="n">
        <v>0</v>
      </c>
      <c r="Q114" t="n">
        <v>0</v>
      </c>
      <c r="R114" s="2" t="inlineStr"/>
    </row>
    <row r="115" ht="15" customHeight="1">
      <c r="A115" t="inlineStr">
        <is>
          <t>A 69201-2020</t>
        </is>
      </c>
      <c r="B115" s="1" t="n">
        <v>44191</v>
      </c>
      <c r="C115" s="1" t="n">
        <v>45976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14054-2021</t>
        </is>
      </c>
      <c r="B116" s="1" t="n">
        <v>44277</v>
      </c>
      <c r="C116" s="1" t="n">
        <v>45976</v>
      </c>
      <c r="D116" t="inlineStr">
        <is>
          <t>SKÅNE LÄN</t>
        </is>
      </c>
      <c r="E116" t="inlineStr">
        <is>
          <t>HÄSSLEHOLM</t>
        </is>
      </c>
      <c r="G116" t="n">
        <v>2</v>
      </c>
      <c r="H116" t="n">
        <v>0</v>
      </c>
      <c r="I116" t="n">
        <v>0</v>
      </c>
      <c r="J116" t="n">
        <v>0</v>
      </c>
      <c r="K116" t="n">
        <v>0</v>
      </c>
      <c r="L116" t="n">
        <v>0</v>
      </c>
      <c r="M116" t="n">
        <v>0</v>
      </c>
      <c r="N116" t="n">
        <v>0</v>
      </c>
      <c r="O116" t="n">
        <v>0</v>
      </c>
      <c r="P116" t="n">
        <v>0</v>
      </c>
      <c r="Q116" t="n">
        <v>0</v>
      </c>
      <c r="R116" s="2" t="inlineStr"/>
    </row>
    <row r="117" ht="15" customHeight="1">
      <c r="A117" t="inlineStr">
        <is>
          <t>A 9257-2021</t>
        </is>
      </c>
      <c r="B117" s="1" t="n">
        <v>44250</v>
      </c>
      <c r="C117" s="1" t="n">
        <v>45976</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45976</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19449-2021</t>
        </is>
      </c>
      <c r="B119" s="1" t="n">
        <v>44310.88846064815</v>
      </c>
      <c r="C119" s="1" t="n">
        <v>45976</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44425.40167824074</v>
      </c>
      <c r="C120" s="1" t="n">
        <v>45976</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44328-2021</t>
        </is>
      </c>
      <c r="B121" s="1" t="n">
        <v>44435</v>
      </c>
      <c r="C121" s="1" t="n">
        <v>45976</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46217-2022</t>
        </is>
      </c>
      <c r="B122" s="1" t="n">
        <v>44846</v>
      </c>
      <c r="C122" s="1" t="n">
        <v>45976</v>
      </c>
      <c r="D122" t="inlineStr">
        <is>
          <t>SKÅNE LÄN</t>
        </is>
      </c>
      <c r="E122" t="inlineStr">
        <is>
          <t>HÄSSLEHOLM</t>
        </is>
      </c>
      <c r="G122" t="n">
        <v>3.1</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45976</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45976</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44844.6118287037</v>
      </c>
      <c r="C125" s="1" t="n">
        <v>45976</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45976</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45976</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7701-2021</t>
        </is>
      </c>
      <c r="B128" s="1" t="n">
        <v>44242</v>
      </c>
      <c r="C128" s="1" t="n">
        <v>45976</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3276-2022</t>
        </is>
      </c>
      <c r="B129" s="1" t="n">
        <v>44584.40916666666</v>
      </c>
      <c r="C129" s="1" t="n">
        <v>45976</v>
      </c>
      <c r="D129" t="inlineStr">
        <is>
          <t>SKÅNE LÄN</t>
        </is>
      </c>
      <c r="E129" t="inlineStr">
        <is>
          <t>HÄSSLEHOLM</t>
        </is>
      </c>
      <c r="G129" t="n">
        <v>0.2</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45976</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44509.89649305555</v>
      </c>
      <c r="C131" s="1" t="n">
        <v>45976</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2952-2021</t>
        </is>
      </c>
      <c r="B132" s="1" t="n">
        <v>44216</v>
      </c>
      <c r="C132" s="1" t="n">
        <v>45976</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5564-2022</t>
        </is>
      </c>
      <c r="B133" s="1" t="n">
        <v>44595</v>
      </c>
      <c r="C133" s="1" t="n">
        <v>45976</v>
      </c>
      <c r="D133" t="inlineStr">
        <is>
          <t>SKÅNE LÄN</t>
        </is>
      </c>
      <c r="E133" t="inlineStr">
        <is>
          <t>HÄSSLEHOLM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45976</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45976</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21535-2021</t>
        </is>
      </c>
      <c r="B136" s="1" t="n">
        <v>44321</v>
      </c>
      <c r="C136" s="1" t="n">
        <v>45976</v>
      </c>
      <c r="D136" t="inlineStr">
        <is>
          <t>SKÅNE LÄN</t>
        </is>
      </c>
      <c r="E136" t="inlineStr">
        <is>
          <t>HÄSSLEHOLM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34027-2021</t>
        </is>
      </c>
      <c r="B137" s="1" t="n">
        <v>44379</v>
      </c>
      <c r="C137" s="1" t="n">
        <v>45976</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32792-2021</t>
        </is>
      </c>
      <c r="B138" s="1" t="n">
        <v>44375</v>
      </c>
      <c r="C138" s="1" t="n">
        <v>45976</v>
      </c>
      <c r="D138" t="inlineStr">
        <is>
          <t>SKÅNE LÄN</t>
        </is>
      </c>
      <c r="E138" t="inlineStr">
        <is>
          <t>HÄSSLEHOLM</t>
        </is>
      </c>
      <c r="G138" t="n">
        <v>1</v>
      </c>
      <c r="H138" t="n">
        <v>0</v>
      </c>
      <c r="I138" t="n">
        <v>0</v>
      </c>
      <c r="J138" t="n">
        <v>0</v>
      </c>
      <c r="K138" t="n">
        <v>0</v>
      </c>
      <c r="L138" t="n">
        <v>0</v>
      </c>
      <c r="M138" t="n">
        <v>0</v>
      </c>
      <c r="N138" t="n">
        <v>0</v>
      </c>
      <c r="O138" t="n">
        <v>0</v>
      </c>
      <c r="P138" t="n">
        <v>0</v>
      </c>
      <c r="Q138" t="n">
        <v>0</v>
      </c>
      <c r="R138" s="2" t="inlineStr"/>
    </row>
    <row r="139" ht="15" customHeight="1">
      <c r="A139" t="inlineStr">
        <is>
          <t>A 3167-2022</t>
        </is>
      </c>
      <c r="B139" s="1" t="n">
        <v>44582</v>
      </c>
      <c r="C139" s="1" t="n">
        <v>45976</v>
      </c>
      <c r="D139" t="inlineStr">
        <is>
          <t>SKÅNE LÄN</t>
        </is>
      </c>
      <c r="E139" t="inlineStr">
        <is>
          <t>HÄSSLEHOLM</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33736-2021</t>
        </is>
      </c>
      <c r="B140" s="1" t="n">
        <v>44378</v>
      </c>
      <c r="C140" s="1" t="n">
        <v>45976</v>
      </c>
      <c r="D140" t="inlineStr">
        <is>
          <t>SKÅNE LÄN</t>
        </is>
      </c>
      <c r="E140" t="inlineStr">
        <is>
          <t>HÄSSLEHOLM</t>
        </is>
      </c>
      <c r="G140" t="n">
        <v>7.6</v>
      </c>
      <c r="H140" t="n">
        <v>0</v>
      </c>
      <c r="I140" t="n">
        <v>0</v>
      </c>
      <c r="J140" t="n">
        <v>0</v>
      </c>
      <c r="K140" t="n">
        <v>0</v>
      </c>
      <c r="L140" t="n">
        <v>0</v>
      </c>
      <c r="M140" t="n">
        <v>0</v>
      </c>
      <c r="N140" t="n">
        <v>0</v>
      </c>
      <c r="O140" t="n">
        <v>0</v>
      </c>
      <c r="P140" t="n">
        <v>0</v>
      </c>
      <c r="Q140" t="n">
        <v>0</v>
      </c>
      <c r="R140" s="2" t="inlineStr"/>
    </row>
    <row r="141" ht="15" customHeight="1">
      <c r="A141" t="inlineStr">
        <is>
          <t>A 34679-2021</t>
        </is>
      </c>
      <c r="B141" s="1" t="n">
        <v>44382</v>
      </c>
      <c r="C141" s="1" t="n">
        <v>45976</v>
      </c>
      <c r="D141" t="inlineStr">
        <is>
          <t>SKÅNE LÄN</t>
        </is>
      </c>
      <c r="E141" t="inlineStr">
        <is>
          <t>HÄSSLEHOLM</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40702-2021</t>
        </is>
      </c>
      <c r="B142" s="1" t="n">
        <v>44420.61719907408</v>
      </c>
      <c r="C142" s="1" t="n">
        <v>45976</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1535-2022</t>
        </is>
      </c>
      <c r="B143" s="1" t="n">
        <v>44573</v>
      </c>
      <c r="C143" s="1" t="n">
        <v>45976</v>
      </c>
      <c r="D143" t="inlineStr">
        <is>
          <t>SKÅNE LÄN</t>
        </is>
      </c>
      <c r="E143" t="inlineStr">
        <is>
          <t>HÄSSLEHOLM</t>
        </is>
      </c>
      <c r="G143" t="n">
        <v>15</v>
      </c>
      <c r="H143" t="n">
        <v>0</v>
      </c>
      <c r="I143" t="n">
        <v>0</v>
      </c>
      <c r="J143" t="n">
        <v>0</v>
      </c>
      <c r="K143" t="n">
        <v>0</v>
      </c>
      <c r="L143" t="n">
        <v>0</v>
      </c>
      <c r="M143" t="n">
        <v>0</v>
      </c>
      <c r="N143" t="n">
        <v>0</v>
      </c>
      <c r="O143" t="n">
        <v>0</v>
      </c>
      <c r="P143" t="n">
        <v>0</v>
      </c>
      <c r="Q143" t="n">
        <v>0</v>
      </c>
      <c r="R143" s="2" t="inlineStr"/>
    </row>
    <row r="144" ht="15" customHeight="1">
      <c r="A144" t="inlineStr">
        <is>
          <t>A 13982-2021</t>
        </is>
      </c>
      <c r="B144" s="1" t="n">
        <v>44277.57800925926</v>
      </c>
      <c r="C144" s="1" t="n">
        <v>45976</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21029-2021</t>
        </is>
      </c>
      <c r="B145" s="1" t="n">
        <v>44319.63366898148</v>
      </c>
      <c r="C145" s="1" t="n">
        <v>45976</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64211-2020</t>
        </is>
      </c>
      <c r="B146" s="1" t="n">
        <v>44168</v>
      </c>
      <c r="C146" s="1" t="n">
        <v>45976</v>
      </c>
      <c r="D146" t="inlineStr">
        <is>
          <t>SKÅNE LÄN</t>
        </is>
      </c>
      <c r="E146" t="inlineStr">
        <is>
          <t>HÄSSLEHOLM</t>
        </is>
      </c>
      <c r="G146" t="n">
        <v>4.1</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45976</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66474-2020</t>
        </is>
      </c>
      <c r="B148" s="1" t="n">
        <v>44177</v>
      </c>
      <c r="C148" s="1" t="n">
        <v>45976</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18515-2021</t>
        </is>
      </c>
      <c r="B149" s="1" t="n">
        <v>44305</v>
      </c>
      <c r="C149" s="1" t="n">
        <v>45976</v>
      </c>
      <c r="D149" t="inlineStr">
        <is>
          <t>SKÅNE LÄN</t>
        </is>
      </c>
      <c r="E149" t="inlineStr">
        <is>
          <t>HÄSSLEHOLM</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18523-2021</t>
        </is>
      </c>
      <c r="B150" s="1" t="n">
        <v>44305</v>
      </c>
      <c r="C150" s="1" t="n">
        <v>45976</v>
      </c>
      <c r="D150" t="inlineStr">
        <is>
          <t>SKÅNE LÄN</t>
        </is>
      </c>
      <c r="E150" t="inlineStr">
        <is>
          <t>HÄSSLEHOLM</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12617-2021</t>
        </is>
      </c>
      <c r="B151" s="1" t="n">
        <v>44270.45030092593</v>
      </c>
      <c r="C151" s="1" t="n">
        <v>45976</v>
      </c>
      <c r="D151" t="inlineStr">
        <is>
          <t>SKÅNE LÄN</t>
        </is>
      </c>
      <c r="E151" t="inlineStr">
        <is>
          <t>HÄSSLEHOLM</t>
        </is>
      </c>
      <c r="G151" t="n">
        <v>1.2</v>
      </c>
      <c r="H151" t="n">
        <v>0</v>
      </c>
      <c r="I151" t="n">
        <v>0</v>
      </c>
      <c r="J151" t="n">
        <v>0</v>
      </c>
      <c r="K151" t="n">
        <v>0</v>
      </c>
      <c r="L151" t="n">
        <v>0</v>
      </c>
      <c r="M151" t="n">
        <v>0</v>
      </c>
      <c r="N151" t="n">
        <v>0</v>
      </c>
      <c r="O151" t="n">
        <v>0</v>
      </c>
      <c r="P151" t="n">
        <v>0</v>
      </c>
      <c r="Q151" t="n">
        <v>0</v>
      </c>
      <c r="R151" s="2" t="inlineStr"/>
    </row>
    <row r="152" ht="15" customHeight="1">
      <c r="A152" t="inlineStr">
        <is>
          <t>A 2631-2022</t>
        </is>
      </c>
      <c r="B152" s="1" t="n">
        <v>44580</v>
      </c>
      <c r="C152" s="1" t="n">
        <v>45976</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4161-2022</t>
        </is>
      </c>
      <c r="B153" s="1" t="n">
        <v>44588</v>
      </c>
      <c r="C153" s="1" t="n">
        <v>45976</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15423-2022</t>
        </is>
      </c>
      <c r="B154" s="1" t="n">
        <v>44659</v>
      </c>
      <c r="C154" s="1" t="n">
        <v>45976</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25383-2021</t>
        </is>
      </c>
      <c r="B155" s="1" t="n">
        <v>44342</v>
      </c>
      <c r="C155" s="1" t="n">
        <v>45976</v>
      </c>
      <c r="D155" t="inlineStr">
        <is>
          <t>SKÅNE LÄN</t>
        </is>
      </c>
      <c r="E155" t="inlineStr">
        <is>
          <t>HÄSSLEHOLM</t>
        </is>
      </c>
      <c r="G155" t="n">
        <v>0.7</v>
      </c>
      <c r="H155" t="n">
        <v>0</v>
      </c>
      <c r="I155" t="n">
        <v>0</v>
      </c>
      <c r="J155" t="n">
        <v>0</v>
      </c>
      <c r="K155" t="n">
        <v>0</v>
      </c>
      <c r="L155" t="n">
        <v>0</v>
      </c>
      <c r="M155" t="n">
        <v>0</v>
      </c>
      <c r="N155" t="n">
        <v>0</v>
      </c>
      <c r="O155" t="n">
        <v>0</v>
      </c>
      <c r="P155" t="n">
        <v>0</v>
      </c>
      <c r="Q155" t="n">
        <v>0</v>
      </c>
      <c r="R155" s="2" t="inlineStr"/>
    </row>
    <row r="156" ht="15" customHeight="1">
      <c r="A156" t="inlineStr">
        <is>
          <t>A 27330-2021</t>
        </is>
      </c>
      <c r="B156" s="1" t="n">
        <v>44351</v>
      </c>
      <c r="C156" s="1" t="n">
        <v>45976</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56989-2021</t>
        </is>
      </c>
      <c r="B157" s="1" t="n">
        <v>44482</v>
      </c>
      <c r="C157" s="1" t="n">
        <v>45976</v>
      </c>
      <c r="D157" t="inlineStr">
        <is>
          <t>SKÅNE LÄN</t>
        </is>
      </c>
      <c r="E157" t="inlineStr">
        <is>
          <t>HÄSSLEHOLM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45976</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354-2022</t>
        </is>
      </c>
      <c r="B159" s="1" t="n">
        <v>44565.62510416667</v>
      </c>
      <c r="C159" s="1" t="n">
        <v>45976</v>
      </c>
      <c r="D159" t="inlineStr">
        <is>
          <t>SKÅNE LÄN</t>
        </is>
      </c>
      <c r="E159" t="inlineStr">
        <is>
          <t>HÄSSLEHOLM</t>
        </is>
      </c>
      <c r="G159" t="n">
        <v>2.4</v>
      </c>
      <c r="H159" t="n">
        <v>0</v>
      </c>
      <c r="I159" t="n">
        <v>0</v>
      </c>
      <c r="J159" t="n">
        <v>0</v>
      </c>
      <c r="K159" t="n">
        <v>0</v>
      </c>
      <c r="L159" t="n">
        <v>0</v>
      </c>
      <c r="M159" t="n">
        <v>0</v>
      </c>
      <c r="N159" t="n">
        <v>0</v>
      </c>
      <c r="O159" t="n">
        <v>0</v>
      </c>
      <c r="P159" t="n">
        <v>0</v>
      </c>
      <c r="Q159" t="n">
        <v>0</v>
      </c>
      <c r="R159" s="2" t="inlineStr"/>
    </row>
    <row r="160" ht="15" customHeight="1">
      <c r="A160" t="inlineStr">
        <is>
          <t>A 73513-2021</t>
        </is>
      </c>
      <c r="B160" s="1" t="n">
        <v>44551.69012731482</v>
      </c>
      <c r="C160" s="1" t="n">
        <v>45976</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32892-2021</t>
        </is>
      </c>
      <c r="B161" s="1" t="n">
        <v>44375</v>
      </c>
      <c r="C161" s="1" t="n">
        <v>45976</v>
      </c>
      <c r="D161" t="inlineStr">
        <is>
          <t>SKÅNE LÄN</t>
        </is>
      </c>
      <c r="E161" t="inlineStr">
        <is>
          <t>HÄSSLEHOLM</t>
        </is>
      </c>
      <c r="G161" t="n">
        <v>2.9</v>
      </c>
      <c r="H161" t="n">
        <v>0</v>
      </c>
      <c r="I161" t="n">
        <v>0</v>
      </c>
      <c r="J161" t="n">
        <v>0</v>
      </c>
      <c r="K161" t="n">
        <v>0</v>
      </c>
      <c r="L161" t="n">
        <v>0</v>
      </c>
      <c r="M161" t="n">
        <v>0</v>
      </c>
      <c r="N161" t="n">
        <v>0</v>
      </c>
      <c r="O161" t="n">
        <v>0</v>
      </c>
      <c r="P161" t="n">
        <v>0</v>
      </c>
      <c r="Q161" t="n">
        <v>0</v>
      </c>
      <c r="R161" s="2" t="inlineStr"/>
    </row>
    <row r="162" ht="15" customHeight="1">
      <c r="A162" t="inlineStr">
        <is>
          <t>A 20510-2021</t>
        </is>
      </c>
      <c r="B162" s="1" t="n">
        <v>44315</v>
      </c>
      <c r="C162" s="1" t="n">
        <v>45976</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64826-2021</t>
        </is>
      </c>
      <c r="B163" s="1" t="n">
        <v>44512.55935185185</v>
      </c>
      <c r="C163" s="1" t="n">
        <v>45976</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23967-2022</t>
        </is>
      </c>
      <c r="B164" s="1" t="n">
        <v>44722.74079861111</v>
      </c>
      <c r="C164" s="1" t="n">
        <v>45976</v>
      </c>
      <c r="D164" t="inlineStr">
        <is>
          <t>SKÅNE LÄN</t>
        </is>
      </c>
      <c r="E164" t="inlineStr">
        <is>
          <t>HÄSSLEHOLM</t>
        </is>
      </c>
      <c r="F164" t="inlineStr">
        <is>
          <t>Kyrkan</t>
        </is>
      </c>
      <c r="G164" t="n">
        <v>12.4</v>
      </c>
      <c r="H164" t="n">
        <v>0</v>
      </c>
      <c r="I164" t="n">
        <v>0</v>
      </c>
      <c r="J164" t="n">
        <v>0</v>
      </c>
      <c r="K164" t="n">
        <v>0</v>
      </c>
      <c r="L164" t="n">
        <v>0</v>
      </c>
      <c r="M164" t="n">
        <v>0</v>
      </c>
      <c r="N164" t="n">
        <v>0</v>
      </c>
      <c r="O164" t="n">
        <v>0</v>
      </c>
      <c r="P164" t="n">
        <v>0</v>
      </c>
      <c r="Q164" t="n">
        <v>0</v>
      </c>
      <c r="R164" s="2" t="inlineStr"/>
    </row>
    <row r="165" ht="15" customHeight="1">
      <c r="A165" t="inlineStr">
        <is>
          <t>A 13811-2021</t>
        </is>
      </c>
      <c r="B165" s="1" t="n">
        <v>44276</v>
      </c>
      <c r="C165" s="1" t="n">
        <v>45976</v>
      </c>
      <c r="D165" t="inlineStr">
        <is>
          <t>SKÅNE LÄN</t>
        </is>
      </c>
      <c r="E165" t="inlineStr">
        <is>
          <t>HÄSSLEHOLM</t>
        </is>
      </c>
      <c r="G165" t="n">
        <v>8</v>
      </c>
      <c r="H165" t="n">
        <v>0</v>
      </c>
      <c r="I165" t="n">
        <v>0</v>
      </c>
      <c r="J165" t="n">
        <v>0</v>
      </c>
      <c r="K165" t="n">
        <v>0</v>
      </c>
      <c r="L165" t="n">
        <v>0</v>
      </c>
      <c r="M165" t="n">
        <v>0</v>
      </c>
      <c r="N165" t="n">
        <v>0</v>
      </c>
      <c r="O165" t="n">
        <v>0</v>
      </c>
      <c r="P165" t="n">
        <v>0</v>
      </c>
      <c r="Q165" t="n">
        <v>0</v>
      </c>
      <c r="R165" s="2" t="inlineStr"/>
    </row>
    <row r="166" ht="15" customHeight="1">
      <c r="A166" t="inlineStr">
        <is>
          <t>A 69198-2020</t>
        </is>
      </c>
      <c r="B166" s="1" t="n">
        <v>44191</v>
      </c>
      <c r="C166" s="1" t="n">
        <v>45976</v>
      </c>
      <c r="D166" t="inlineStr">
        <is>
          <t>SKÅNE LÄN</t>
        </is>
      </c>
      <c r="E166" t="inlineStr">
        <is>
          <t>HÄSSLEHOLM</t>
        </is>
      </c>
      <c r="G166" t="n">
        <v>6.6</v>
      </c>
      <c r="H166" t="n">
        <v>0</v>
      </c>
      <c r="I166" t="n">
        <v>0</v>
      </c>
      <c r="J166" t="n">
        <v>0</v>
      </c>
      <c r="K166" t="n">
        <v>0</v>
      </c>
      <c r="L166" t="n">
        <v>0</v>
      </c>
      <c r="M166" t="n">
        <v>0</v>
      </c>
      <c r="N166" t="n">
        <v>0</v>
      </c>
      <c r="O166" t="n">
        <v>0</v>
      </c>
      <c r="P166" t="n">
        <v>0</v>
      </c>
      <c r="Q166" t="n">
        <v>0</v>
      </c>
      <c r="R166" s="2" t="inlineStr"/>
    </row>
    <row r="167" ht="15" customHeight="1">
      <c r="A167" t="inlineStr">
        <is>
          <t>A 60597-2020</t>
        </is>
      </c>
      <c r="B167" s="1" t="n">
        <v>44152</v>
      </c>
      <c r="C167" s="1" t="n">
        <v>45976</v>
      </c>
      <c r="D167" t="inlineStr">
        <is>
          <t>SKÅNE LÄN</t>
        </is>
      </c>
      <c r="E167" t="inlineStr">
        <is>
          <t>HÄSSLEHOLM</t>
        </is>
      </c>
      <c r="G167" t="n">
        <v>3.4</v>
      </c>
      <c r="H167" t="n">
        <v>0</v>
      </c>
      <c r="I167" t="n">
        <v>0</v>
      </c>
      <c r="J167" t="n">
        <v>0</v>
      </c>
      <c r="K167" t="n">
        <v>0</v>
      </c>
      <c r="L167" t="n">
        <v>0</v>
      </c>
      <c r="M167" t="n">
        <v>0</v>
      </c>
      <c r="N167" t="n">
        <v>0</v>
      </c>
      <c r="O167" t="n">
        <v>0</v>
      </c>
      <c r="P167" t="n">
        <v>0</v>
      </c>
      <c r="Q167" t="n">
        <v>0</v>
      </c>
      <c r="R167" s="2" t="inlineStr"/>
    </row>
    <row r="168" ht="15" customHeight="1">
      <c r="A168" t="inlineStr">
        <is>
          <t>A 69504-2020</t>
        </is>
      </c>
      <c r="B168" s="1" t="n">
        <v>44194</v>
      </c>
      <c r="C168" s="1" t="n">
        <v>45976</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8177-2022</t>
        </is>
      </c>
      <c r="B169" s="1" t="n">
        <v>44607</v>
      </c>
      <c r="C169" s="1" t="n">
        <v>45976</v>
      </c>
      <c r="D169" t="inlineStr">
        <is>
          <t>SKÅNE LÄN</t>
        </is>
      </c>
      <c r="E169" t="inlineStr">
        <is>
          <t>HÄSSLEHOLM</t>
        </is>
      </c>
      <c r="F169" t="inlineStr">
        <is>
          <t>Kyrkan</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25464-2022</t>
        </is>
      </c>
      <c r="B170" s="1" t="n">
        <v>44729</v>
      </c>
      <c r="C170" s="1" t="n">
        <v>45976</v>
      </c>
      <c r="D170" t="inlineStr">
        <is>
          <t>SKÅNE LÄN</t>
        </is>
      </c>
      <c r="E170" t="inlineStr">
        <is>
          <t>HÄSSLEHOLM</t>
        </is>
      </c>
      <c r="G170" t="n">
        <v>21</v>
      </c>
      <c r="H170" t="n">
        <v>0</v>
      </c>
      <c r="I170" t="n">
        <v>0</v>
      </c>
      <c r="J170" t="n">
        <v>0</v>
      </c>
      <c r="K170" t="n">
        <v>0</v>
      </c>
      <c r="L170" t="n">
        <v>0</v>
      </c>
      <c r="M170" t="n">
        <v>0</v>
      </c>
      <c r="N170" t="n">
        <v>0</v>
      </c>
      <c r="O170" t="n">
        <v>0</v>
      </c>
      <c r="P170" t="n">
        <v>0</v>
      </c>
      <c r="Q170" t="n">
        <v>0</v>
      </c>
      <c r="R170" s="2" t="inlineStr"/>
    </row>
    <row r="171" ht="15" customHeight="1">
      <c r="A171" t="inlineStr">
        <is>
          <t>A 6965-2021</t>
        </is>
      </c>
      <c r="B171" s="1" t="n">
        <v>44237</v>
      </c>
      <c r="C171" s="1" t="n">
        <v>45976</v>
      </c>
      <c r="D171" t="inlineStr">
        <is>
          <t>SKÅNE LÄN</t>
        </is>
      </c>
      <c r="E171" t="inlineStr">
        <is>
          <t>HÄSSLEHOLM</t>
        </is>
      </c>
      <c r="G171" t="n">
        <v>0.3</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45976</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2858-2022</t>
        </is>
      </c>
      <c r="B173" s="1" t="n">
        <v>44581</v>
      </c>
      <c r="C173" s="1" t="n">
        <v>45976</v>
      </c>
      <c r="D173" t="inlineStr">
        <is>
          <t>SKÅNE LÄN</t>
        </is>
      </c>
      <c r="E173" t="inlineStr">
        <is>
          <t>HÄSSLEHOLM</t>
        </is>
      </c>
      <c r="F173" t="inlineStr">
        <is>
          <t>Övriga Aktiebolag</t>
        </is>
      </c>
      <c r="G173" t="n">
        <v>1.3</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45976</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1461-2021</t>
        </is>
      </c>
      <c r="B175" s="1" t="n">
        <v>44208</v>
      </c>
      <c r="C175" s="1" t="n">
        <v>45976</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56527-2021</t>
        </is>
      </c>
      <c r="B176" s="1" t="n">
        <v>44480</v>
      </c>
      <c r="C176" s="1" t="n">
        <v>45976</v>
      </c>
      <c r="D176" t="inlineStr">
        <is>
          <t>SKÅNE LÄN</t>
        </is>
      </c>
      <c r="E176" t="inlineStr">
        <is>
          <t>HÄSSLEHOLM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45976</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45976</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27959-2022</t>
        </is>
      </c>
      <c r="B179" s="1" t="n">
        <v>44744</v>
      </c>
      <c r="C179" s="1" t="n">
        <v>45976</v>
      </c>
      <c r="D179" t="inlineStr">
        <is>
          <t>SKÅNE LÄN</t>
        </is>
      </c>
      <c r="E179" t="inlineStr">
        <is>
          <t>HÄSSLEHOLM</t>
        </is>
      </c>
      <c r="G179" t="n">
        <v>3</v>
      </c>
      <c r="H179" t="n">
        <v>0</v>
      </c>
      <c r="I179" t="n">
        <v>0</v>
      </c>
      <c r="J179" t="n">
        <v>0</v>
      </c>
      <c r="K179" t="n">
        <v>0</v>
      </c>
      <c r="L179" t="n">
        <v>0</v>
      </c>
      <c r="M179" t="n">
        <v>0</v>
      </c>
      <c r="N179" t="n">
        <v>0</v>
      </c>
      <c r="O179" t="n">
        <v>0</v>
      </c>
      <c r="P179" t="n">
        <v>0</v>
      </c>
      <c r="Q179" t="n">
        <v>0</v>
      </c>
      <c r="R179" s="2" t="inlineStr"/>
    </row>
    <row r="180" ht="15" customHeight="1">
      <c r="A180" t="inlineStr">
        <is>
          <t>A 69505-2020</t>
        </is>
      </c>
      <c r="B180" s="1" t="n">
        <v>44194</v>
      </c>
      <c r="C180" s="1" t="n">
        <v>45976</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39102-2022</t>
        </is>
      </c>
      <c r="B181" s="1" t="n">
        <v>44817.43260416666</v>
      </c>
      <c r="C181" s="1" t="n">
        <v>45976</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20657-2022</t>
        </is>
      </c>
      <c r="B182" s="1" t="n">
        <v>44700</v>
      </c>
      <c r="C182" s="1" t="n">
        <v>45976</v>
      </c>
      <c r="D182" t="inlineStr">
        <is>
          <t>SKÅNE LÄN</t>
        </is>
      </c>
      <c r="E182" t="inlineStr">
        <is>
          <t>HÄSSLEHOLM</t>
        </is>
      </c>
      <c r="G182" t="n">
        <v>3.8</v>
      </c>
      <c r="H182" t="n">
        <v>0</v>
      </c>
      <c r="I182" t="n">
        <v>0</v>
      </c>
      <c r="J182" t="n">
        <v>0</v>
      </c>
      <c r="K182" t="n">
        <v>0</v>
      </c>
      <c r="L182" t="n">
        <v>0</v>
      </c>
      <c r="M182" t="n">
        <v>0</v>
      </c>
      <c r="N182" t="n">
        <v>0</v>
      </c>
      <c r="O182" t="n">
        <v>0</v>
      </c>
      <c r="P182" t="n">
        <v>0</v>
      </c>
      <c r="Q182" t="n">
        <v>0</v>
      </c>
      <c r="R182" s="2" t="inlineStr"/>
    </row>
    <row r="183" ht="15" customHeight="1">
      <c r="A183" t="inlineStr">
        <is>
          <t>A 3930-2021</t>
        </is>
      </c>
      <c r="B183" s="1" t="n">
        <v>44222</v>
      </c>
      <c r="C183" s="1" t="n">
        <v>45976</v>
      </c>
      <c r="D183" t="inlineStr">
        <is>
          <t>SKÅNE LÄN</t>
        </is>
      </c>
      <c r="E183" t="inlineStr">
        <is>
          <t>HÄSSLEHOLM</t>
        </is>
      </c>
      <c r="G183" t="n">
        <v>3.4</v>
      </c>
      <c r="H183" t="n">
        <v>0</v>
      </c>
      <c r="I183" t="n">
        <v>0</v>
      </c>
      <c r="J183" t="n">
        <v>0</v>
      </c>
      <c r="K183" t="n">
        <v>0</v>
      </c>
      <c r="L183" t="n">
        <v>0</v>
      </c>
      <c r="M183" t="n">
        <v>0</v>
      </c>
      <c r="N183" t="n">
        <v>0</v>
      </c>
      <c r="O183" t="n">
        <v>0</v>
      </c>
      <c r="P183" t="n">
        <v>0</v>
      </c>
      <c r="Q183" t="n">
        <v>0</v>
      </c>
      <c r="R183" s="2" t="inlineStr"/>
    </row>
    <row r="184" ht="15" customHeight="1">
      <c r="A184" t="inlineStr">
        <is>
          <t>A 23956-2023</t>
        </is>
      </c>
      <c r="B184" s="1" t="n">
        <v>45078.62302083334</v>
      </c>
      <c r="C184" s="1" t="n">
        <v>45976</v>
      </c>
      <c r="D184" t="inlineStr">
        <is>
          <t>SKÅNE LÄN</t>
        </is>
      </c>
      <c r="E184" t="inlineStr">
        <is>
          <t>HÄSSLEHOLM</t>
        </is>
      </c>
      <c r="G184" t="n">
        <v>0.1</v>
      </c>
      <c r="H184" t="n">
        <v>0</v>
      </c>
      <c r="I184" t="n">
        <v>0</v>
      </c>
      <c r="J184" t="n">
        <v>0</v>
      </c>
      <c r="K184" t="n">
        <v>0</v>
      </c>
      <c r="L184" t="n">
        <v>0</v>
      </c>
      <c r="M184" t="n">
        <v>0</v>
      </c>
      <c r="N184" t="n">
        <v>0</v>
      </c>
      <c r="O184" t="n">
        <v>0</v>
      </c>
      <c r="P184" t="n">
        <v>0</v>
      </c>
      <c r="Q184" t="n">
        <v>0</v>
      </c>
      <c r="R184" s="2" t="inlineStr"/>
    </row>
    <row r="185" ht="15" customHeight="1">
      <c r="A185" t="inlineStr">
        <is>
          <t>A 62802-2020</t>
        </is>
      </c>
      <c r="B185" s="1" t="n">
        <v>44161</v>
      </c>
      <c r="C185" s="1" t="n">
        <v>45976</v>
      </c>
      <c r="D185" t="inlineStr">
        <is>
          <t>SKÅNE LÄN</t>
        </is>
      </c>
      <c r="E185" t="inlineStr">
        <is>
          <t>HÄSSLEHOLM</t>
        </is>
      </c>
      <c r="G185" t="n">
        <v>1.1</v>
      </c>
      <c r="H185" t="n">
        <v>0</v>
      </c>
      <c r="I185" t="n">
        <v>0</v>
      </c>
      <c r="J185" t="n">
        <v>0</v>
      </c>
      <c r="K185" t="n">
        <v>0</v>
      </c>
      <c r="L185" t="n">
        <v>0</v>
      </c>
      <c r="M185" t="n">
        <v>0</v>
      </c>
      <c r="N185" t="n">
        <v>0</v>
      </c>
      <c r="O185" t="n">
        <v>0</v>
      </c>
      <c r="P185" t="n">
        <v>0</v>
      </c>
      <c r="Q185" t="n">
        <v>0</v>
      </c>
      <c r="R185" s="2" t="inlineStr"/>
    </row>
    <row r="186" ht="15" customHeight="1">
      <c r="A186" t="inlineStr">
        <is>
          <t>A 7904-2022</t>
        </is>
      </c>
      <c r="B186" s="1" t="n">
        <v>44607</v>
      </c>
      <c r="C186" s="1" t="n">
        <v>45976</v>
      </c>
      <c r="D186" t="inlineStr">
        <is>
          <t>SKÅNE LÄN</t>
        </is>
      </c>
      <c r="E186" t="inlineStr">
        <is>
          <t>HÄSSLEHOLM</t>
        </is>
      </c>
      <c r="F186" t="inlineStr">
        <is>
          <t>Kyrkan</t>
        </is>
      </c>
      <c r="G186" t="n">
        <v>3.9</v>
      </c>
      <c r="H186" t="n">
        <v>0</v>
      </c>
      <c r="I186" t="n">
        <v>0</v>
      </c>
      <c r="J186" t="n">
        <v>0</v>
      </c>
      <c r="K186" t="n">
        <v>0</v>
      </c>
      <c r="L186" t="n">
        <v>0</v>
      </c>
      <c r="M186" t="n">
        <v>0</v>
      </c>
      <c r="N186" t="n">
        <v>0</v>
      </c>
      <c r="O186" t="n">
        <v>0</v>
      </c>
      <c r="P186" t="n">
        <v>0</v>
      </c>
      <c r="Q186" t="n">
        <v>0</v>
      </c>
      <c r="R186" s="2" t="inlineStr"/>
    </row>
    <row r="187" ht="15" customHeight="1">
      <c r="A187" t="inlineStr">
        <is>
          <t>A 9453-2021</t>
        </is>
      </c>
      <c r="B187" s="1" t="n">
        <v>44251</v>
      </c>
      <c r="C187" s="1" t="n">
        <v>45976</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47112-2021</t>
        </is>
      </c>
      <c r="B188" s="1" t="n">
        <v>44446</v>
      </c>
      <c r="C188" s="1" t="n">
        <v>45976</v>
      </c>
      <c r="D188" t="inlineStr">
        <is>
          <t>SKÅNE LÄN</t>
        </is>
      </c>
      <c r="E188" t="inlineStr">
        <is>
          <t>HÄSSLEHOLM</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7250-2022</t>
        </is>
      </c>
      <c r="B189" s="1" t="n">
        <v>44606</v>
      </c>
      <c r="C189" s="1" t="n">
        <v>45976</v>
      </c>
      <c r="D189" t="inlineStr">
        <is>
          <t>SKÅNE LÄN</t>
        </is>
      </c>
      <c r="E189" t="inlineStr">
        <is>
          <t>HÄSSLEHOLM</t>
        </is>
      </c>
      <c r="F189" t="inlineStr">
        <is>
          <t>Övriga Aktiebolag</t>
        </is>
      </c>
      <c r="G189" t="n">
        <v>2.6</v>
      </c>
      <c r="H189" t="n">
        <v>0</v>
      </c>
      <c r="I189" t="n">
        <v>0</v>
      </c>
      <c r="J189" t="n">
        <v>0</v>
      </c>
      <c r="K189" t="n">
        <v>0</v>
      </c>
      <c r="L189" t="n">
        <v>0</v>
      </c>
      <c r="M189" t="n">
        <v>0</v>
      </c>
      <c r="N189" t="n">
        <v>0</v>
      </c>
      <c r="O189" t="n">
        <v>0</v>
      </c>
      <c r="P189" t="n">
        <v>0</v>
      </c>
      <c r="Q189" t="n">
        <v>0</v>
      </c>
      <c r="R189" s="2" t="inlineStr"/>
    </row>
    <row r="190" ht="15" customHeight="1">
      <c r="A190" t="inlineStr">
        <is>
          <t>A 61216-2020</t>
        </is>
      </c>
      <c r="B190" s="1" t="n">
        <v>44155</v>
      </c>
      <c r="C190" s="1" t="n">
        <v>45976</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45976</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6967-2021</t>
        </is>
      </c>
      <c r="B192" s="1" t="n">
        <v>44237</v>
      </c>
      <c r="C192" s="1" t="n">
        <v>45976</v>
      </c>
      <c r="D192" t="inlineStr">
        <is>
          <t>SKÅNE LÄN</t>
        </is>
      </c>
      <c r="E192" t="inlineStr">
        <is>
          <t>HÄSSLEHOLM</t>
        </is>
      </c>
      <c r="G192" t="n">
        <v>0.7</v>
      </c>
      <c r="H192" t="n">
        <v>0</v>
      </c>
      <c r="I192" t="n">
        <v>0</v>
      </c>
      <c r="J192" t="n">
        <v>0</v>
      </c>
      <c r="K192" t="n">
        <v>0</v>
      </c>
      <c r="L192" t="n">
        <v>0</v>
      </c>
      <c r="M192" t="n">
        <v>0</v>
      </c>
      <c r="N192" t="n">
        <v>0</v>
      </c>
      <c r="O192" t="n">
        <v>0</v>
      </c>
      <c r="P192" t="n">
        <v>0</v>
      </c>
      <c r="Q192" t="n">
        <v>0</v>
      </c>
      <c r="R192" s="2" t="inlineStr"/>
    </row>
    <row r="193" ht="15" customHeight="1">
      <c r="A193" t="inlineStr">
        <is>
          <t>A 14674-2025</t>
        </is>
      </c>
      <c r="B193" s="1" t="n">
        <v>45742.55548611111</v>
      </c>
      <c r="C193" s="1" t="n">
        <v>45976</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14702-2025</t>
        </is>
      </c>
      <c r="B194" s="1" t="n">
        <v>45742.60403935185</v>
      </c>
      <c r="C194" s="1" t="n">
        <v>45976</v>
      </c>
      <c r="D194" t="inlineStr">
        <is>
          <t>SKÅNE LÄN</t>
        </is>
      </c>
      <c r="E194" t="inlineStr">
        <is>
          <t>HÄSSLEHOLM</t>
        </is>
      </c>
      <c r="G194" t="n">
        <v>1.8</v>
      </c>
      <c r="H194" t="n">
        <v>0</v>
      </c>
      <c r="I194" t="n">
        <v>0</v>
      </c>
      <c r="J194" t="n">
        <v>0</v>
      </c>
      <c r="K194" t="n">
        <v>0</v>
      </c>
      <c r="L194" t="n">
        <v>0</v>
      </c>
      <c r="M194" t="n">
        <v>0</v>
      </c>
      <c r="N194" t="n">
        <v>0</v>
      </c>
      <c r="O194" t="n">
        <v>0</v>
      </c>
      <c r="P194" t="n">
        <v>0</v>
      </c>
      <c r="Q194" t="n">
        <v>0</v>
      </c>
      <c r="R194" s="2" t="inlineStr"/>
    </row>
    <row r="195" ht="15" customHeight="1">
      <c r="A195" t="inlineStr">
        <is>
          <t>A 418-2022</t>
        </is>
      </c>
      <c r="B195" s="1" t="n">
        <v>44565.84958333334</v>
      </c>
      <c r="C195" s="1" t="n">
        <v>45976</v>
      </c>
      <c r="D195" t="inlineStr">
        <is>
          <t>SKÅNE LÄN</t>
        </is>
      </c>
      <c r="E195" t="inlineStr">
        <is>
          <t>HÄSSLEHOLM</t>
        </is>
      </c>
      <c r="G195" t="n">
        <v>0</v>
      </c>
      <c r="H195" t="n">
        <v>0</v>
      </c>
      <c r="I195" t="n">
        <v>0</v>
      </c>
      <c r="J195" t="n">
        <v>0</v>
      </c>
      <c r="K195" t="n">
        <v>0</v>
      </c>
      <c r="L195" t="n">
        <v>0</v>
      </c>
      <c r="M195" t="n">
        <v>0</v>
      </c>
      <c r="N195" t="n">
        <v>0</v>
      </c>
      <c r="O195" t="n">
        <v>0</v>
      </c>
      <c r="P195" t="n">
        <v>0</v>
      </c>
      <c r="Q195" t="n">
        <v>0</v>
      </c>
      <c r="R195" s="2" t="inlineStr"/>
    </row>
    <row r="196" ht="15" customHeight="1">
      <c r="A196" t="inlineStr">
        <is>
          <t>A 16388-2025</t>
        </is>
      </c>
      <c r="B196" s="1" t="n">
        <v>45751.42787037037</v>
      </c>
      <c r="C196" s="1" t="n">
        <v>45976</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219-2022</t>
        </is>
      </c>
      <c r="B197" s="1" t="n">
        <v>44564</v>
      </c>
      <c r="C197" s="1" t="n">
        <v>45976</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6414-2022</t>
        </is>
      </c>
      <c r="B198" s="1" t="n">
        <v>44600</v>
      </c>
      <c r="C198" s="1" t="n">
        <v>45976</v>
      </c>
      <c r="D198" t="inlineStr">
        <is>
          <t>SKÅNE LÄN</t>
        </is>
      </c>
      <c r="E198" t="inlineStr">
        <is>
          <t>HÄSSLEHOLM</t>
        </is>
      </c>
      <c r="G198" t="n">
        <v>2.9</v>
      </c>
      <c r="H198" t="n">
        <v>0</v>
      </c>
      <c r="I198" t="n">
        <v>0</v>
      </c>
      <c r="J198" t="n">
        <v>0</v>
      </c>
      <c r="K198" t="n">
        <v>0</v>
      </c>
      <c r="L198" t="n">
        <v>0</v>
      </c>
      <c r="M198" t="n">
        <v>0</v>
      </c>
      <c r="N198" t="n">
        <v>0</v>
      </c>
      <c r="O198" t="n">
        <v>0</v>
      </c>
      <c r="P198" t="n">
        <v>0</v>
      </c>
      <c r="Q198" t="n">
        <v>0</v>
      </c>
      <c r="R198" s="2" t="inlineStr"/>
    </row>
    <row r="199" ht="15" customHeight="1">
      <c r="A199" t="inlineStr">
        <is>
          <t>A 6048-2022</t>
        </is>
      </c>
      <c r="B199" s="1" t="n">
        <v>44599.5174537037</v>
      </c>
      <c r="C199" s="1" t="n">
        <v>45976</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23950-2023</t>
        </is>
      </c>
      <c r="B200" s="1" t="n">
        <v>45078.61771990741</v>
      </c>
      <c r="C200" s="1" t="n">
        <v>45976</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23952-2023</t>
        </is>
      </c>
      <c r="B201" s="1" t="n">
        <v>45078.62064814815</v>
      </c>
      <c r="C201" s="1" t="n">
        <v>45976</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35974-2022</t>
        </is>
      </c>
      <c r="B202" s="1" t="n">
        <v>44802</v>
      </c>
      <c r="C202" s="1" t="n">
        <v>45976</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55412-2022</t>
        </is>
      </c>
      <c r="B203" s="1" t="n">
        <v>44882</v>
      </c>
      <c r="C203" s="1" t="n">
        <v>45976</v>
      </c>
      <c r="D203" t="inlineStr">
        <is>
          <t>SKÅNE LÄN</t>
        </is>
      </c>
      <c r="E203" t="inlineStr">
        <is>
          <t>HÄSSLEHOLM</t>
        </is>
      </c>
      <c r="F203" t="inlineStr">
        <is>
          <t>Övriga Aktiebolag</t>
        </is>
      </c>
      <c r="G203" t="n">
        <v>4</v>
      </c>
      <c r="H203" t="n">
        <v>0</v>
      </c>
      <c r="I203" t="n">
        <v>0</v>
      </c>
      <c r="J203" t="n">
        <v>0</v>
      </c>
      <c r="K203" t="n">
        <v>0</v>
      </c>
      <c r="L203" t="n">
        <v>0</v>
      </c>
      <c r="M203" t="n">
        <v>0</v>
      </c>
      <c r="N203" t="n">
        <v>0</v>
      </c>
      <c r="O203" t="n">
        <v>0</v>
      </c>
      <c r="P203" t="n">
        <v>0</v>
      </c>
      <c r="Q203" t="n">
        <v>0</v>
      </c>
      <c r="R203" s="2" t="inlineStr"/>
    </row>
    <row r="204" ht="15" customHeight="1">
      <c r="A204" t="inlineStr">
        <is>
          <t>A 53576-2022</t>
        </is>
      </c>
      <c r="B204" s="1" t="n">
        <v>44875</v>
      </c>
      <c r="C204" s="1" t="n">
        <v>45976</v>
      </c>
      <c r="D204" t="inlineStr">
        <is>
          <t>SKÅNE LÄN</t>
        </is>
      </c>
      <c r="E204" t="inlineStr">
        <is>
          <t>HÄSSLEHOLM</t>
        </is>
      </c>
      <c r="F204" t="inlineStr">
        <is>
          <t>Övriga Aktiebolag</t>
        </is>
      </c>
      <c r="G204" t="n">
        <v>1.2</v>
      </c>
      <c r="H204" t="n">
        <v>0</v>
      </c>
      <c r="I204" t="n">
        <v>0</v>
      </c>
      <c r="J204" t="n">
        <v>0</v>
      </c>
      <c r="K204" t="n">
        <v>0</v>
      </c>
      <c r="L204" t="n">
        <v>0</v>
      </c>
      <c r="M204" t="n">
        <v>0</v>
      </c>
      <c r="N204" t="n">
        <v>0</v>
      </c>
      <c r="O204" t="n">
        <v>0</v>
      </c>
      <c r="P204" t="n">
        <v>0</v>
      </c>
      <c r="Q204" t="n">
        <v>0</v>
      </c>
      <c r="R204" s="2" t="inlineStr"/>
    </row>
    <row r="205" ht="15" customHeight="1">
      <c r="A205" t="inlineStr">
        <is>
          <t>A 6253-2022</t>
        </is>
      </c>
      <c r="B205" s="1" t="n">
        <v>44600</v>
      </c>
      <c r="C205" s="1" t="n">
        <v>45976</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1619-2022</t>
        </is>
      </c>
      <c r="B206" s="1" t="n">
        <v>44573</v>
      </c>
      <c r="C206" s="1" t="n">
        <v>45976</v>
      </c>
      <c r="D206" t="inlineStr">
        <is>
          <t>SKÅNE LÄN</t>
        </is>
      </c>
      <c r="E206" t="inlineStr">
        <is>
          <t>HÄSSLEHOLM</t>
        </is>
      </c>
      <c r="G206" t="n">
        <v>1.8</v>
      </c>
      <c r="H206" t="n">
        <v>0</v>
      </c>
      <c r="I206" t="n">
        <v>0</v>
      </c>
      <c r="J206" t="n">
        <v>0</v>
      </c>
      <c r="K206" t="n">
        <v>0</v>
      </c>
      <c r="L206" t="n">
        <v>0</v>
      </c>
      <c r="M206" t="n">
        <v>0</v>
      </c>
      <c r="N206" t="n">
        <v>0</v>
      </c>
      <c r="O206" t="n">
        <v>0</v>
      </c>
      <c r="P206" t="n">
        <v>0</v>
      </c>
      <c r="Q206" t="n">
        <v>0</v>
      </c>
      <c r="R206" s="2" t="inlineStr"/>
    </row>
    <row r="207" ht="15" customHeight="1">
      <c r="A207" t="inlineStr">
        <is>
          <t>A 41874-2024</t>
        </is>
      </c>
      <c r="B207" s="1" t="n">
        <v>45561</v>
      </c>
      <c r="C207" s="1" t="n">
        <v>45976</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56431-2021</t>
        </is>
      </c>
      <c r="B208" s="1" t="n">
        <v>44480</v>
      </c>
      <c r="C208" s="1" t="n">
        <v>45976</v>
      </c>
      <c r="D208" t="inlineStr">
        <is>
          <t>SKÅNE LÄN</t>
        </is>
      </c>
      <c r="E208" t="inlineStr">
        <is>
          <t>HÄSSLEHOLM</t>
        </is>
      </c>
      <c r="F208" t="inlineStr">
        <is>
          <t>Kyrkan</t>
        </is>
      </c>
      <c r="G208" t="n">
        <v>0.9</v>
      </c>
      <c r="H208" t="n">
        <v>0</v>
      </c>
      <c r="I208" t="n">
        <v>0</v>
      </c>
      <c r="J208" t="n">
        <v>0</v>
      </c>
      <c r="K208" t="n">
        <v>0</v>
      </c>
      <c r="L208" t="n">
        <v>0</v>
      </c>
      <c r="M208" t="n">
        <v>0</v>
      </c>
      <c r="N208" t="n">
        <v>0</v>
      </c>
      <c r="O208" t="n">
        <v>0</v>
      </c>
      <c r="P208" t="n">
        <v>0</v>
      </c>
      <c r="Q208" t="n">
        <v>0</v>
      </c>
      <c r="R208" s="2" t="inlineStr"/>
    </row>
    <row r="209" ht="15" customHeight="1">
      <c r="A209" t="inlineStr">
        <is>
          <t>A 55284-2023</t>
        </is>
      </c>
      <c r="B209" s="1" t="n">
        <v>45237.74259259259</v>
      </c>
      <c r="C209" s="1" t="n">
        <v>45976</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52567-2021</t>
        </is>
      </c>
      <c r="B210" s="1" t="n">
        <v>44466</v>
      </c>
      <c r="C210" s="1" t="n">
        <v>45976</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7890-2024</t>
        </is>
      </c>
      <c r="B211" s="1" t="n">
        <v>45350.40780092592</v>
      </c>
      <c r="C211" s="1" t="n">
        <v>45976</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62782-2020</t>
        </is>
      </c>
      <c r="B212" s="1" t="n">
        <v>44161</v>
      </c>
      <c r="C212" s="1" t="n">
        <v>45976</v>
      </c>
      <c r="D212" t="inlineStr">
        <is>
          <t>SKÅNE LÄN</t>
        </is>
      </c>
      <c r="E212" t="inlineStr">
        <is>
          <t>HÄSSLEHOLM</t>
        </is>
      </c>
      <c r="F212" t="inlineStr">
        <is>
          <t>Kyrkan</t>
        </is>
      </c>
      <c r="G212" t="n">
        <v>1.6</v>
      </c>
      <c r="H212" t="n">
        <v>0</v>
      </c>
      <c r="I212" t="n">
        <v>0</v>
      </c>
      <c r="J212" t="n">
        <v>0</v>
      </c>
      <c r="K212" t="n">
        <v>0</v>
      </c>
      <c r="L212" t="n">
        <v>0</v>
      </c>
      <c r="M212" t="n">
        <v>0</v>
      </c>
      <c r="N212" t="n">
        <v>0</v>
      </c>
      <c r="O212" t="n">
        <v>0</v>
      </c>
      <c r="P212" t="n">
        <v>0</v>
      </c>
      <c r="Q212" t="n">
        <v>0</v>
      </c>
      <c r="R212" s="2" t="inlineStr"/>
    </row>
    <row r="213" ht="15" customHeight="1">
      <c r="A213" t="inlineStr">
        <is>
          <t>A 24241-2023</t>
        </is>
      </c>
      <c r="B213" s="1" t="n">
        <v>45079.61476851852</v>
      </c>
      <c r="C213" s="1" t="n">
        <v>45976</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21310-2022</t>
        </is>
      </c>
      <c r="B214" s="1" t="n">
        <v>44705</v>
      </c>
      <c r="C214" s="1" t="n">
        <v>45976</v>
      </c>
      <c r="D214" t="inlineStr">
        <is>
          <t>SKÅNE LÄN</t>
        </is>
      </c>
      <c r="E214" t="inlineStr">
        <is>
          <t>HÄSSLEHOLM</t>
        </is>
      </c>
      <c r="G214" t="n">
        <v>1</v>
      </c>
      <c r="H214" t="n">
        <v>0</v>
      </c>
      <c r="I214" t="n">
        <v>0</v>
      </c>
      <c r="J214" t="n">
        <v>0</v>
      </c>
      <c r="K214" t="n">
        <v>0</v>
      </c>
      <c r="L214" t="n">
        <v>0</v>
      </c>
      <c r="M214" t="n">
        <v>0</v>
      </c>
      <c r="N214" t="n">
        <v>0</v>
      </c>
      <c r="O214" t="n">
        <v>0</v>
      </c>
      <c r="P214" t="n">
        <v>0</v>
      </c>
      <c r="Q214" t="n">
        <v>0</v>
      </c>
      <c r="R214" s="2" t="inlineStr"/>
    </row>
    <row r="215" ht="15" customHeight="1">
      <c r="A215" t="inlineStr">
        <is>
          <t>A 3500-2024</t>
        </is>
      </c>
      <c r="B215" s="1" t="n">
        <v>45320</v>
      </c>
      <c r="C215" s="1" t="n">
        <v>45976</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58815-2023</t>
        </is>
      </c>
      <c r="B216" s="1" t="n">
        <v>45247</v>
      </c>
      <c r="C216" s="1" t="n">
        <v>45976</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62347-2020</t>
        </is>
      </c>
      <c r="B217" s="1" t="n">
        <v>44159</v>
      </c>
      <c r="C217" s="1" t="n">
        <v>45976</v>
      </c>
      <c r="D217" t="inlineStr">
        <is>
          <t>SKÅNE LÄN</t>
        </is>
      </c>
      <c r="E217" t="inlineStr">
        <is>
          <t>HÄSSLEHOLM</t>
        </is>
      </c>
      <c r="G217" t="n">
        <v>4</v>
      </c>
      <c r="H217" t="n">
        <v>0</v>
      </c>
      <c r="I217" t="n">
        <v>0</v>
      </c>
      <c r="J217" t="n">
        <v>0</v>
      </c>
      <c r="K217" t="n">
        <v>0</v>
      </c>
      <c r="L217" t="n">
        <v>0</v>
      </c>
      <c r="M217" t="n">
        <v>0</v>
      </c>
      <c r="N217" t="n">
        <v>0</v>
      </c>
      <c r="O217" t="n">
        <v>0</v>
      </c>
      <c r="P217" t="n">
        <v>0</v>
      </c>
      <c r="Q217" t="n">
        <v>0</v>
      </c>
      <c r="R217" s="2" t="inlineStr"/>
    </row>
    <row r="218" ht="15" customHeight="1">
      <c r="A218" t="inlineStr">
        <is>
          <t>A 33597-2023</t>
        </is>
      </c>
      <c r="B218" s="1" t="n">
        <v>45132</v>
      </c>
      <c r="C218" s="1" t="n">
        <v>45976</v>
      </c>
      <c r="D218" t="inlineStr">
        <is>
          <t>SKÅNE LÄN</t>
        </is>
      </c>
      <c r="E218" t="inlineStr">
        <is>
          <t>HÄSSLEHOLM</t>
        </is>
      </c>
      <c r="G218" t="n">
        <v>3.9</v>
      </c>
      <c r="H218" t="n">
        <v>0</v>
      </c>
      <c r="I218" t="n">
        <v>0</v>
      </c>
      <c r="J218" t="n">
        <v>0</v>
      </c>
      <c r="K218" t="n">
        <v>0</v>
      </c>
      <c r="L218" t="n">
        <v>0</v>
      </c>
      <c r="M218" t="n">
        <v>0</v>
      </c>
      <c r="N218" t="n">
        <v>0</v>
      </c>
      <c r="O218" t="n">
        <v>0</v>
      </c>
      <c r="P218" t="n">
        <v>0</v>
      </c>
      <c r="Q218" t="n">
        <v>0</v>
      </c>
      <c r="R218" s="2" t="inlineStr"/>
    </row>
    <row r="219" ht="15" customHeight="1">
      <c r="A219" t="inlineStr">
        <is>
          <t>A 33599-2023</t>
        </is>
      </c>
      <c r="B219" s="1" t="n">
        <v>45132</v>
      </c>
      <c r="C219" s="1" t="n">
        <v>45976</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27173-2024</t>
        </is>
      </c>
      <c r="B220" s="1" t="n">
        <v>45471.57048611111</v>
      </c>
      <c r="C220" s="1" t="n">
        <v>45976</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74297-2021</t>
        </is>
      </c>
      <c r="B221" s="1" t="n">
        <v>44558</v>
      </c>
      <c r="C221" s="1" t="n">
        <v>45976</v>
      </c>
      <c r="D221" t="inlineStr">
        <is>
          <t>SKÅNE LÄN</t>
        </is>
      </c>
      <c r="E221" t="inlineStr">
        <is>
          <t>HÄSSLEHOLM</t>
        </is>
      </c>
      <c r="F221" t="inlineStr">
        <is>
          <t>Kyrkan</t>
        </is>
      </c>
      <c r="G221" t="n">
        <v>3.8</v>
      </c>
      <c r="H221" t="n">
        <v>0</v>
      </c>
      <c r="I221" t="n">
        <v>0</v>
      </c>
      <c r="J221" t="n">
        <v>0</v>
      </c>
      <c r="K221" t="n">
        <v>0</v>
      </c>
      <c r="L221" t="n">
        <v>0</v>
      </c>
      <c r="M221" t="n">
        <v>0</v>
      </c>
      <c r="N221" t="n">
        <v>0</v>
      </c>
      <c r="O221" t="n">
        <v>0</v>
      </c>
      <c r="P221" t="n">
        <v>0</v>
      </c>
      <c r="Q221" t="n">
        <v>0</v>
      </c>
      <c r="R221" s="2" t="inlineStr"/>
    </row>
    <row r="222" ht="15" customHeight="1">
      <c r="A222" t="inlineStr">
        <is>
          <t>A 10020-2024</t>
        </is>
      </c>
      <c r="B222" s="1" t="n">
        <v>45363.96944444445</v>
      </c>
      <c r="C222" s="1" t="n">
        <v>45976</v>
      </c>
      <c r="D222" t="inlineStr">
        <is>
          <t>SKÅNE LÄN</t>
        </is>
      </c>
      <c r="E222" t="inlineStr">
        <is>
          <t>HÄSSLEHOLM</t>
        </is>
      </c>
      <c r="G222" t="n">
        <v>5.3</v>
      </c>
      <c r="H222" t="n">
        <v>0</v>
      </c>
      <c r="I222" t="n">
        <v>0</v>
      </c>
      <c r="J222" t="n">
        <v>0</v>
      </c>
      <c r="K222" t="n">
        <v>0</v>
      </c>
      <c r="L222" t="n">
        <v>0</v>
      </c>
      <c r="M222" t="n">
        <v>0</v>
      </c>
      <c r="N222" t="n">
        <v>0</v>
      </c>
      <c r="O222" t="n">
        <v>0</v>
      </c>
      <c r="P222" t="n">
        <v>0</v>
      </c>
      <c r="Q222" t="n">
        <v>0</v>
      </c>
      <c r="R222" s="2" t="inlineStr"/>
    </row>
    <row r="223" ht="15" customHeight="1">
      <c r="A223" t="inlineStr">
        <is>
          <t>A 2514-2021</t>
        </is>
      </c>
      <c r="B223" s="1" t="n">
        <v>44214</v>
      </c>
      <c r="C223" s="1" t="n">
        <v>45976</v>
      </c>
      <c r="D223" t="inlineStr">
        <is>
          <t>SKÅNE LÄN</t>
        </is>
      </c>
      <c r="E223" t="inlineStr">
        <is>
          <t>HÄSSLEHOLM</t>
        </is>
      </c>
      <c r="G223" t="n">
        <v>2.3</v>
      </c>
      <c r="H223" t="n">
        <v>0</v>
      </c>
      <c r="I223" t="n">
        <v>0</v>
      </c>
      <c r="J223" t="n">
        <v>0</v>
      </c>
      <c r="K223" t="n">
        <v>0</v>
      </c>
      <c r="L223" t="n">
        <v>0</v>
      </c>
      <c r="M223" t="n">
        <v>0</v>
      </c>
      <c r="N223" t="n">
        <v>0</v>
      </c>
      <c r="O223" t="n">
        <v>0</v>
      </c>
      <c r="P223" t="n">
        <v>0</v>
      </c>
      <c r="Q223" t="n">
        <v>0</v>
      </c>
      <c r="R223" s="2" t="inlineStr"/>
    </row>
    <row r="224" ht="15" customHeight="1">
      <c r="A224" t="inlineStr">
        <is>
          <t>A 70087-2021</t>
        </is>
      </c>
      <c r="B224" s="1" t="n">
        <v>44533</v>
      </c>
      <c r="C224" s="1" t="n">
        <v>45976</v>
      </c>
      <c r="D224" t="inlineStr">
        <is>
          <t>SKÅNE LÄN</t>
        </is>
      </c>
      <c r="E224" t="inlineStr">
        <is>
          <t>HÄSSLEHOLM</t>
        </is>
      </c>
      <c r="G224" t="n">
        <v>5</v>
      </c>
      <c r="H224" t="n">
        <v>0</v>
      </c>
      <c r="I224" t="n">
        <v>0</v>
      </c>
      <c r="J224" t="n">
        <v>0</v>
      </c>
      <c r="K224" t="n">
        <v>0</v>
      </c>
      <c r="L224" t="n">
        <v>0</v>
      </c>
      <c r="M224" t="n">
        <v>0</v>
      </c>
      <c r="N224" t="n">
        <v>0</v>
      </c>
      <c r="O224" t="n">
        <v>0</v>
      </c>
      <c r="P224" t="n">
        <v>0</v>
      </c>
      <c r="Q224" t="n">
        <v>0</v>
      </c>
      <c r="R224" s="2" t="inlineStr"/>
    </row>
    <row r="225" ht="15" customHeight="1">
      <c r="A225" t="inlineStr">
        <is>
          <t>A 23830-2021</t>
        </is>
      </c>
      <c r="B225" s="1" t="n">
        <v>44335</v>
      </c>
      <c r="C225" s="1" t="n">
        <v>45976</v>
      </c>
      <c r="D225" t="inlineStr">
        <is>
          <t>SKÅNE LÄN</t>
        </is>
      </c>
      <c r="E225" t="inlineStr">
        <is>
          <t>HÄSSLEHOLM</t>
        </is>
      </c>
      <c r="G225" t="n">
        <v>18.7</v>
      </c>
      <c r="H225" t="n">
        <v>0</v>
      </c>
      <c r="I225" t="n">
        <v>0</v>
      </c>
      <c r="J225" t="n">
        <v>0</v>
      </c>
      <c r="K225" t="n">
        <v>0</v>
      </c>
      <c r="L225" t="n">
        <v>0</v>
      </c>
      <c r="M225" t="n">
        <v>0</v>
      </c>
      <c r="N225" t="n">
        <v>0</v>
      </c>
      <c r="O225" t="n">
        <v>0</v>
      </c>
      <c r="P225" t="n">
        <v>0</v>
      </c>
      <c r="Q225" t="n">
        <v>0</v>
      </c>
      <c r="R225" s="2" t="inlineStr"/>
    </row>
    <row r="226" ht="15" customHeight="1">
      <c r="A226" t="inlineStr">
        <is>
          <t>A 7729-2021</t>
        </is>
      </c>
      <c r="B226" s="1" t="n">
        <v>44242</v>
      </c>
      <c r="C226" s="1" t="n">
        <v>45976</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197-2021</t>
        </is>
      </c>
      <c r="B227" s="1" t="n">
        <v>44200</v>
      </c>
      <c r="C227" s="1" t="n">
        <v>45976</v>
      </c>
      <c r="D227" t="inlineStr">
        <is>
          <t>SKÅNE LÄN</t>
        </is>
      </c>
      <c r="E227" t="inlineStr">
        <is>
          <t>HÄSSLEHOLM</t>
        </is>
      </c>
      <c r="G227" t="n">
        <v>12.9</v>
      </c>
      <c r="H227" t="n">
        <v>0</v>
      </c>
      <c r="I227" t="n">
        <v>0</v>
      </c>
      <c r="J227" t="n">
        <v>0</v>
      </c>
      <c r="K227" t="n">
        <v>0</v>
      </c>
      <c r="L227" t="n">
        <v>0</v>
      </c>
      <c r="M227" t="n">
        <v>0</v>
      </c>
      <c r="N227" t="n">
        <v>0</v>
      </c>
      <c r="O227" t="n">
        <v>0</v>
      </c>
      <c r="P227" t="n">
        <v>0</v>
      </c>
      <c r="Q227" t="n">
        <v>0</v>
      </c>
      <c r="R227" s="2" t="inlineStr"/>
    </row>
    <row r="228" ht="15" customHeight="1">
      <c r="A228" t="inlineStr">
        <is>
          <t>A 11616-2021</t>
        </is>
      </c>
      <c r="B228" s="1" t="n">
        <v>44264.63064814815</v>
      </c>
      <c r="C228" s="1" t="n">
        <v>45976</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21867-2023</t>
        </is>
      </c>
      <c r="B229" s="1" t="n">
        <v>45063</v>
      </c>
      <c r="C229" s="1" t="n">
        <v>45976</v>
      </c>
      <c r="D229" t="inlineStr">
        <is>
          <t>SKÅNE LÄN</t>
        </is>
      </c>
      <c r="E229" t="inlineStr">
        <is>
          <t>HÄSSLEHOLM</t>
        </is>
      </c>
      <c r="G229" t="n">
        <v>7.6</v>
      </c>
      <c r="H229" t="n">
        <v>0</v>
      </c>
      <c r="I229" t="n">
        <v>0</v>
      </c>
      <c r="J229" t="n">
        <v>0</v>
      </c>
      <c r="K229" t="n">
        <v>0</v>
      </c>
      <c r="L229" t="n">
        <v>0</v>
      </c>
      <c r="M229" t="n">
        <v>0</v>
      </c>
      <c r="N229" t="n">
        <v>0</v>
      </c>
      <c r="O229" t="n">
        <v>0</v>
      </c>
      <c r="P229" t="n">
        <v>0</v>
      </c>
      <c r="Q229" t="n">
        <v>0</v>
      </c>
      <c r="R229" s="2" t="inlineStr"/>
    </row>
    <row r="230" ht="15" customHeight="1">
      <c r="A230" t="inlineStr">
        <is>
          <t>A 51893-2021</t>
        </is>
      </c>
      <c r="B230" s="1" t="n">
        <v>44462</v>
      </c>
      <c r="C230" s="1" t="n">
        <v>45976</v>
      </c>
      <c r="D230" t="inlineStr">
        <is>
          <t>SKÅNE LÄN</t>
        </is>
      </c>
      <c r="E230" t="inlineStr">
        <is>
          <t>HÄSSLEHOLM</t>
        </is>
      </c>
      <c r="G230" t="n">
        <v>1</v>
      </c>
      <c r="H230" t="n">
        <v>0</v>
      </c>
      <c r="I230" t="n">
        <v>0</v>
      </c>
      <c r="J230" t="n">
        <v>0</v>
      </c>
      <c r="K230" t="n">
        <v>0</v>
      </c>
      <c r="L230" t="n">
        <v>0</v>
      </c>
      <c r="M230" t="n">
        <v>0</v>
      </c>
      <c r="N230" t="n">
        <v>0</v>
      </c>
      <c r="O230" t="n">
        <v>0</v>
      </c>
      <c r="P230" t="n">
        <v>0</v>
      </c>
      <c r="Q230" t="n">
        <v>0</v>
      </c>
      <c r="R230" s="2" t="inlineStr"/>
    </row>
    <row r="231" ht="15" customHeight="1">
      <c r="A231" t="inlineStr">
        <is>
          <t>A 55394-2022</t>
        </is>
      </c>
      <c r="B231" s="1" t="n">
        <v>44887.57112268519</v>
      </c>
      <c r="C231" s="1" t="n">
        <v>45976</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52295-2021</t>
        </is>
      </c>
      <c r="B232" s="1" t="n">
        <v>44463</v>
      </c>
      <c r="C232" s="1" t="n">
        <v>45976</v>
      </c>
      <c r="D232" t="inlineStr">
        <is>
          <t>SKÅNE LÄN</t>
        </is>
      </c>
      <c r="E232" t="inlineStr">
        <is>
          <t>HÄSSLEHOLM</t>
        </is>
      </c>
      <c r="G232" t="n">
        <v>0.3</v>
      </c>
      <c r="H232" t="n">
        <v>0</v>
      </c>
      <c r="I232" t="n">
        <v>0</v>
      </c>
      <c r="J232" t="n">
        <v>0</v>
      </c>
      <c r="K232" t="n">
        <v>0</v>
      </c>
      <c r="L232" t="n">
        <v>0</v>
      </c>
      <c r="M232" t="n">
        <v>0</v>
      </c>
      <c r="N232" t="n">
        <v>0</v>
      </c>
      <c r="O232" t="n">
        <v>0</v>
      </c>
      <c r="P232" t="n">
        <v>0</v>
      </c>
      <c r="Q232" t="n">
        <v>0</v>
      </c>
      <c r="R232" s="2" t="inlineStr"/>
    </row>
    <row r="233" ht="15" customHeight="1">
      <c r="A233" t="inlineStr">
        <is>
          <t>A 6973-2021</t>
        </is>
      </c>
      <c r="B233" s="1" t="n">
        <v>44237</v>
      </c>
      <c r="C233" s="1" t="n">
        <v>45976</v>
      </c>
      <c r="D233" t="inlineStr">
        <is>
          <t>SKÅNE LÄN</t>
        </is>
      </c>
      <c r="E233" t="inlineStr">
        <is>
          <t>HÄSSLEHOLM</t>
        </is>
      </c>
      <c r="G233" t="n">
        <v>0.4</v>
      </c>
      <c r="H233" t="n">
        <v>0</v>
      </c>
      <c r="I233" t="n">
        <v>0</v>
      </c>
      <c r="J233" t="n">
        <v>0</v>
      </c>
      <c r="K233" t="n">
        <v>0</v>
      </c>
      <c r="L233" t="n">
        <v>0</v>
      </c>
      <c r="M233" t="n">
        <v>0</v>
      </c>
      <c r="N233" t="n">
        <v>0</v>
      </c>
      <c r="O233" t="n">
        <v>0</v>
      </c>
      <c r="P233" t="n">
        <v>0</v>
      </c>
      <c r="Q233" t="n">
        <v>0</v>
      </c>
      <c r="R233" s="2" t="inlineStr"/>
    </row>
    <row r="234" ht="15" customHeight="1">
      <c r="A234" t="inlineStr">
        <is>
          <t>A 68909-2021</t>
        </is>
      </c>
      <c r="B234" s="1" t="n">
        <v>44530.46730324074</v>
      </c>
      <c r="C234" s="1" t="n">
        <v>45976</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7262-2022</t>
        </is>
      </c>
      <c r="B235" s="1" t="n">
        <v>44606</v>
      </c>
      <c r="C235" s="1" t="n">
        <v>45976</v>
      </c>
      <c r="D235" t="inlineStr">
        <is>
          <t>SKÅNE LÄN</t>
        </is>
      </c>
      <c r="E235" t="inlineStr">
        <is>
          <t>HÄSSLEHOLM</t>
        </is>
      </c>
      <c r="F235" t="inlineStr">
        <is>
          <t>Övriga Aktiebolag</t>
        </is>
      </c>
      <c r="G235" t="n">
        <v>1</v>
      </c>
      <c r="H235" t="n">
        <v>0</v>
      </c>
      <c r="I235" t="n">
        <v>0</v>
      </c>
      <c r="J235" t="n">
        <v>0</v>
      </c>
      <c r="K235" t="n">
        <v>0</v>
      </c>
      <c r="L235" t="n">
        <v>0</v>
      </c>
      <c r="M235" t="n">
        <v>0</v>
      </c>
      <c r="N235" t="n">
        <v>0</v>
      </c>
      <c r="O235" t="n">
        <v>0</v>
      </c>
      <c r="P235" t="n">
        <v>0</v>
      </c>
      <c r="Q235" t="n">
        <v>0</v>
      </c>
      <c r="R235" s="2" t="inlineStr"/>
    </row>
    <row r="236" ht="15" customHeight="1">
      <c r="A236" t="inlineStr">
        <is>
          <t>A 5284-2023</t>
        </is>
      </c>
      <c r="B236" s="1" t="n">
        <v>44959.50608796296</v>
      </c>
      <c r="C236" s="1" t="n">
        <v>45976</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5285-2023</t>
        </is>
      </c>
      <c r="B237" s="1" t="n">
        <v>44959.50783564815</v>
      </c>
      <c r="C237" s="1" t="n">
        <v>45976</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34888-2023</t>
        </is>
      </c>
      <c r="B238" s="1" t="n">
        <v>45142.388125</v>
      </c>
      <c r="C238" s="1" t="n">
        <v>45976</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54435-2024</t>
        </is>
      </c>
      <c r="B239" s="1" t="n">
        <v>45617.49494212963</v>
      </c>
      <c r="C239" s="1" t="n">
        <v>45976</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58886-2024</t>
        </is>
      </c>
      <c r="B240" s="1" t="n">
        <v>45636.45380787037</v>
      </c>
      <c r="C240" s="1" t="n">
        <v>45976</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13087-2023</t>
        </is>
      </c>
      <c r="B241" s="1" t="n">
        <v>45001</v>
      </c>
      <c r="C241" s="1" t="n">
        <v>45976</v>
      </c>
      <c r="D241" t="inlineStr">
        <is>
          <t>SKÅNE LÄN</t>
        </is>
      </c>
      <c r="E241" t="inlineStr">
        <is>
          <t>HÄSSLEHOLM</t>
        </is>
      </c>
      <c r="G241" t="n">
        <v>3.8</v>
      </c>
      <c r="H241" t="n">
        <v>0</v>
      </c>
      <c r="I241" t="n">
        <v>0</v>
      </c>
      <c r="J241" t="n">
        <v>0</v>
      </c>
      <c r="K241" t="n">
        <v>0</v>
      </c>
      <c r="L241" t="n">
        <v>0</v>
      </c>
      <c r="M241" t="n">
        <v>0</v>
      </c>
      <c r="N241" t="n">
        <v>0</v>
      </c>
      <c r="O241" t="n">
        <v>0</v>
      </c>
      <c r="P241" t="n">
        <v>0</v>
      </c>
      <c r="Q241" t="n">
        <v>0</v>
      </c>
      <c r="R241" s="2" t="inlineStr"/>
    </row>
    <row r="242" ht="15" customHeight="1">
      <c r="A242" t="inlineStr">
        <is>
          <t>A 6583-2021</t>
        </is>
      </c>
      <c r="B242" s="1" t="n">
        <v>44236</v>
      </c>
      <c r="C242" s="1" t="n">
        <v>45976</v>
      </c>
      <c r="D242" t="inlineStr">
        <is>
          <t>SKÅNE LÄN</t>
        </is>
      </c>
      <c r="E242" t="inlineStr">
        <is>
          <t>HÄSSLEHOLM</t>
        </is>
      </c>
      <c r="G242" t="n">
        <v>1.6</v>
      </c>
      <c r="H242" t="n">
        <v>0</v>
      </c>
      <c r="I242" t="n">
        <v>0</v>
      </c>
      <c r="J242" t="n">
        <v>0</v>
      </c>
      <c r="K242" t="n">
        <v>0</v>
      </c>
      <c r="L242" t="n">
        <v>0</v>
      </c>
      <c r="M242" t="n">
        <v>0</v>
      </c>
      <c r="N242" t="n">
        <v>0</v>
      </c>
      <c r="O242" t="n">
        <v>0</v>
      </c>
      <c r="P242" t="n">
        <v>0</v>
      </c>
      <c r="Q242" t="n">
        <v>0</v>
      </c>
      <c r="R242" s="2" t="inlineStr"/>
    </row>
    <row r="243" ht="15" customHeight="1">
      <c r="A243" t="inlineStr">
        <is>
          <t>A 66520-2020</t>
        </is>
      </c>
      <c r="B243" s="1" t="n">
        <v>44179</v>
      </c>
      <c r="C243" s="1" t="n">
        <v>45976</v>
      </c>
      <c r="D243" t="inlineStr">
        <is>
          <t>SKÅNE LÄN</t>
        </is>
      </c>
      <c r="E243" t="inlineStr">
        <is>
          <t>HÄSSLEHOLM</t>
        </is>
      </c>
      <c r="G243" t="n">
        <v>0.4</v>
      </c>
      <c r="H243" t="n">
        <v>0</v>
      </c>
      <c r="I243" t="n">
        <v>0</v>
      </c>
      <c r="J243" t="n">
        <v>0</v>
      </c>
      <c r="K243" t="n">
        <v>0</v>
      </c>
      <c r="L243" t="n">
        <v>0</v>
      </c>
      <c r="M243" t="n">
        <v>0</v>
      </c>
      <c r="N243" t="n">
        <v>0</v>
      </c>
      <c r="O243" t="n">
        <v>0</v>
      </c>
      <c r="P243" t="n">
        <v>0</v>
      </c>
      <c r="Q243" t="n">
        <v>0</v>
      </c>
      <c r="R243" s="2" t="inlineStr"/>
    </row>
    <row r="244" ht="15" customHeight="1">
      <c r="A244" t="inlineStr">
        <is>
          <t>A 45357-2022</t>
        </is>
      </c>
      <c r="B244" s="1" t="n">
        <v>44844.61952546296</v>
      </c>
      <c r="C244" s="1" t="n">
        <v>45976</v>
      </c>
      <c r="D244" t="inlineStr">
        <is>
          <t>SKÅNE LÄN</t>
        </is>
      </c>
      <c r="E244" t="inlineStr">
        <is>
          <t>HÄSSLEHOLM</t>
        </is>
      </c>
      <c r="G244" t="n">
        <v>5.8</v>
      </c>
      <c r="H244" t="n">
        <v>0</v>
      </c>
      <c r="I244" t="n">
        <v>0</v>
      </c>
      <c r="J244" t="n">
        <v>0</v>
      </c>
      <c r="K244" t="n">
        <v>0</v>
      </c>
      <c r="L244" t="n">
        <v>0</v>
      </c>
      <c r="M244" t="n">
        <v>0</v>
      </c>
      <c r="N244" t="n">
        <v>0</v>
      </c>
      <c r="O244" t="n">
        <v>0</v>
      </c>
      <c r="P244" t="n">
        <v>0</v>
      </c>
      <c r="Q244" t="n">
        <v>0</v>
      </c>
      <c r="R244" s="2" t="inlineStr"/>
    </row>
    <row r="245" ht="15" customHeight="1">
      <c r="A245" t="inlineStr">
        <is>
          <t>A 45989-2021</t>
        </is>
      </c>
      <c r="B245" s="1" t="n">
        <v>44441.74627314815</v>
      </c>
      <c r="C245" s="1" t="n">
        <v>45976</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35237-2023</t>
        </is>
      </c>
      <c r="B246" s="1" t="n">
        <v>45145.74532407407</v>
      </c>
      <c r="C246" s="1" t="n">
        <v>45976</v>
      </c>
      <c r="D246" t="inlineStr">
        <is>
          <t>SKÅNE LÄN</t>
        </is>
      </c>
      <c r="E246" t="inlineStr">
        <is>
          <t>HÄSSLEHOLM</t>
        </is>
      </c>
      <c r="G246" t="n">
        <v>1.3</v>
      </c>
      <c r="H246" t="n">
        <v>0</v>
      </c>
      <c r="I246" t="n">
        <v>0</v>
      </c>
      <c r="J246" t="n">
        <v>0</v>
      </c>
      <c r="K246" t="n">
        <v>0</v>
      </c>
      <c r="L246" t="n">
        <v>0</v>
      </c>
      <c r="M246" t="n">
        <v>0</v>
      </c>
      <c r="N246" t="n">
        <v>0</v>
      </c>
      <c r="O246" t="n">
        <v>0</v>
      </c>
      <c r="P246" t="n">
        <v>0</v>
      </c>
      <c r="Q246" t="n">
        <v>0</v>
      </c>
      <c r="R246" s="2" t="inlineStr"/>
    </row>
    <row r="247" ht="15" customHeight="1">
      <c r="A247" t="inlineStr">
        <is>
          <t>A 7248-2021</t>
        </is>
      </c>
      <c r="B247" s="1" t="n">
        <v>44236</v>
      </c>
      <c r="C247" s="1" t="n">
        <v>45976</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20666-2023</t>
        </is>
      </c>
      <c r="B248" s="1" t="n">
        <v>45058.35664351852</v>
      </c>
      <c r="C248" s="1" t="n">
        <v>45976</v>
      </c>
      <c r="D248" t="inlineStr">
        <is>
          <t>SKÅNE LÄN</t>
        </is>
      </c>
      <c r="E248" t="inlineStr">
        <is>
          <t>HÄSSLEHOLM</t>
        </is>
      </c>
      <c r="F248" t="inlineStr">
        <is>
          <t>Kyrkan</t>
        </is>
      </c>
      <c r="G248" t="n">
        <v>1.3</v>
      </c>
      <c r="H248" t="n">
        <v>0</v>
      </c>
      <c r="I248" t="n">
        <v>0</v>
      </c>
      <c r="J248" t="n">
        <v>0</v>
      </c>
      <c r="K248" t="n">
        <v>0</v>
      </c>
      <c r="L248" t="n">
        <v>0</v>
      </c>
      <c r="M248" t="n">
        <v>0</v>
      </c>
      <c r="N248" t="n">
        <v>0</v>
      </c>
      <c r="O248" t="n">
        <v>0</v>
      </c>
      <c r="P248" t="n">
        <v>0</v>
      </c>
      <c r="Q248" t="n">
        <v>0</v>
      </c>
      <c r="R248" s="2" t="inlineStr"/>
    </row>
    <row r="249" ht="15" customHeight="1">
      <c r="A249" t="inlineStr">
        <is>
          <t>A 59028-2023</t>
        </is>
      </c>
      <c r="B249" s="1" t="n">
        <v>45252.67900462963</v>
      </c>
      <c r="C249" s="1" t="n">
        <v>45976</v>
      </c>
      <c r="D249" t="inlineStr">
        <is>
          <t>SKÅNE LÄN</t>
        </is>
      </c>
      <c r="E249" t="inlineStr">
        <is>
          <t>HÄSSLEHOLM</t>
        </is>
      </c>
      <c r="G249" t="n">
        <v>2.5</v>
      </c>
      <c r="H249" t="n">
        <v>0</v>
      </c>
      <c r="I249" t="n">
        <v>0</v>
      </c>
      <c r="J249" t="n">
        <v>0</v>
      </c>
      <c r="K249" t="n">
        <v>0</v>
      </c>
      <c r="L249" t="n">
        <v>0</v>
      </c>
      <c r="M249" t="n">
        <v>0</v>
      </c>
      <c r="N249" t="n">
        <v>0</v>
      </c>
      <c r="O249" t="n">
        <v>0</v>
      </c>
      <c r="P249" t="n">
        <v>0</v>
      </c>
      <c r="Q249" t="n">
        <v>0</v>
      </c>
      <c r="R249" s="2" t="inlineStr"/>
    </row>
    <row r="250" ht="15" customHeight="1">
      <c r="A250" t="inlineStr">
        <is>
          <t>A 8695-2021</t>
        </is>
      </c>
      <c r="B250" s="1" t="n">
        <v>44246</v>
      </c>
      <c r="C250" s="1" t="n">
        <v>45976</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32008-2024</t>
        </is>
      </c>
      <c r="B251" s="1" t="n">
        <v>45510</v>
      </c>
      <c r="C251" s="1" t="n">
        <v>45976</v>
      </c>
      <c r="D251" t="inlineStr">
        <is>
          <t>SKÅNE LÄN</t>
        </is>
      </c>
      <c r="E251" t="inlineStr">
        <is>
          <t>HÄSSLEHOLM</t>
        </is>
      </c>
      <c r="G251" t="n">
        <v>5.1</v>
      </c>
      <c r="H251" t="n">
        <v>0</v>
      </c>
      <c r="I251" t="n">
        <v>0</v>
      </c>
      <c r="J251" t="n">
        <v>0</v>
      </c>
      <c r="K251" t="n">
        <v>0</v>
      </c>
      <c r="L251" t="n">
        <v>0</v>
      </c>
      <c r="M251" t="n">
        <v>0</v>
      </c>
      <c r="N251" t="n">
        <v>0</v>
      </c>
      <c r="O251" t="n">
        <v>0</v>
      </c>
      <c r="P251" t="n">
        <v>0</v>
      </c>
      <c r="Q251" t="n">
        <v>0</v>
      </c>
      <c r="R251" s="2" t="inlineStr"/>
    </row>
    <row r="252" ht="15" customHeight="1">
      <c r="A252" t="inlineStr">
        <is>
          <t>A 8250-2023</t>
        </is>
      </c>
      <c r="B252" s="1" t="n">
        <v>44974</v>
      </c>
      <c r="C252" s="1" t="n">
        <v>45976</v>
      </c>
      <c r="D252" t="inlineStr">
        <is>
          <t>SKÅNE LÄN</t>
        </is>
      </c>
      <c r="E252" t="inlineStr">
        <is>
          <t>HÄSSLEHOLM</t>
        </is>
      </c>
      <c r="G252" t="n">
        <v>3</v>
      </c>
      <c r="H252" t="n">
        <v>0</v>
      </c>
      <c r="I252" t="n">
        <v>0</v>
      </c>
      <c r="J252" t="n">
        <v>0</v>
      </c>
      <c r="K252" t="n">
        <v>0</v>
      </c>
      <c r="L252" t="n">
        <v>0</v>
      </c>
      <c r="M252" t="n">
        <v>0</v>
      </c>
      <c r="N252" t="n">
        <v>0</v>
      </c>
      <c r="O252" t="n">
        <v>0</v>
      </c>
      <c r="P252" t="n">
        <v>0</v>
      </c>
      <c r="Q252" t="n">
        <v>0</v>
      </c>
      <c r="R252" s="2" t="inlineStr"/>
    </row>
    <row r="253" ht="15" customHeight="1">
      <c r="A253" t="inlineStr">
        <is>
          <t>A 2688-2024</t>
        </is>
      </c>
      <c r="B253" s="1" t="n">
        <v>45314</v>
      </c>
      <c r="C253" s="1" t="n">
        <v>45976</v>
      </c>
      <c r="D253" t="inlineStr">
        <is>
          <t>SKÅNE LÄN</t>
        </is>
      </c>
      <c r="E253" t="inlineStr">
        <is>
          <t>HÄSSLEHOLM</t>
        </is>
      </c>
      <c r="F253" t="inlineStr">
        <is>
          <t>Övriga Aktiebolag</t>
        </is>
      </c>
      <c r="G253" t="n">
        <v>2.8</v>
      </c>
      <c r="H253" t="n">
        <v>0</v>
      </c>
      <c r="I253" t="n">
        <v>0</v>
      </c>
      <c r="J253" t="n">
        <v>0</v>
      </c>
      <c r="K253" t="n">
        <v>0</v>
      </c>
      <c r="L253" t="n">
        <v>0</v>
      </c>
      <c r="M253" t="n">
        <v>0</v>
      </c>
      <c r="N253" t="n">
        <v>0</v>
      </c>
      <c r="O253" t="n">
        <v>0</v>
      </c>
      <c r="P253" t="n">
        <v>0</v>
      </c>
      <c r="Q253" t="n">
        <v>0</v>
      </c>
      <c r="R253" s="2" t="inlineStr"/>
    </row>
    <row r="254" ht="15" customHeight="1">
      <c r="A254" t="inlineStr">
        <is>
          <t>A 29850-2024</t>
        </is>
      </c>
      <c r="B254" s="1" t="n">
        <v>45485.64620370371</v>
      </c>
      <c r="C254" s="1" t="n">
        <v>45976</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30007-2023</t>
        </is>
      </c>
      <c r="B255" s="1" t="n">
        <v>45109.80349537037</v>
      </c>
      <c r="C255" s="1" t="n">
        <v>45976</v>
      </c>
      <c r="D255" t="inlineStr">
        <is>
          <t>SKÅNE LÄN</t>
        </is>
      </c>
      <c r="E255" t="inlineStr">
        <is>
          <t>HÄSSLEHOLM</t>
        </is>
      </c>
      <c r="G255" t="n">
        <v>2.2</v>
      </c>
      <c r="H255" t="n">
        <v>0</v>
      </c>
      <c r="I255" t="n">
        <v>0</v>
      </c>
      <c r="J255" t="n">
        <v>0</v>
      </c>
      <c r="K255" t="n">
        <v>0</v>
      </c>
      <c r="L255" t="n">
        <v>0</v>
      </c>
      <c r="M255" t="n">
        <v>0</v>
      </c>
      <c r="N255" t="n">
        <v>0</v>
      </c>
      <c r="O255" t="n">
        <v>0</v>
      </c>
      <c r="P255" t="n">
        <v>0</v>
      </c>
      <c r="Q255" t="n">
        <v>0</v>
      </c>
      <c r="R255" s="2" t="inlineStr"/>
    </row>
    <row r="256" ht="15" customHeight="1">
      <c r="A256" t="inlineStr">
        <is>
          <t>A 57079-2022</t>
        </is>
      </c>
      <c r="B256" s="1" t="n">
        <v>44895</v>
      </c>
      <c r="C256" s="1" t="n">
        <v>45976</v>
      </c>
      <c r="D256" t="inlineStr">
        <is>
          <t>SKÅNE LÄN</t>
        </is>
      </c>
      <c r="E256" t="inlineStr">
        <is>
          <t>HÄSSLEHOLM</t>
        </is>
      </c>
      <c r="G256" t="n">
        <v>2.6</v>
      </c>
      <c r="H256" t="n">
        <v>0</v>
      </c>
      <c r="I256" t="n">
        <v>0</v>
      </c>
      <c r="J256" t="n">
        <v>0</v>
      </c>
      <c r="K256" t="n">
        <v>0</v>
      </c>
      <c r="L256" t="n">
        <v>0</v>
      </c>
      <c r="M256" t="n">
        <v>0</v>
      </c>
      <c r="N256" t="n">
        <v>0</v>
      </c>
      <c r="O256" t="n">
        <v>0</v>
      </c>
      <c r="P256" t="n">
        <v>0</v>
      </c>
      <c r="Q256" t="n">
        <v>0</v>
      </c>
      <c r="R256" s="2" t="inlineStr"/>
    </row>
    <row r="257" ht="15" customHeight="1">
      <c r="A257" t="inlineStr">
        <is>
          <t>A 4187-2023</t>
        </is>
      </c>
      <c r="B257" s="1" t="n">
        <v>44953</v>
      </c>
      <c r="C257" s="1" t="n">
        <v>45976</v>
      </c>
      <c r="D257" t="inlineStr">
        <is>
          <t>SKÅNE LÄN</t>
        </is>
      </c>
      <c r="E257" t="inlineStr">
        <is>
          <t>HÄSSLEHOLM</t>
        </is>
      </c>
      <c r="G257" t="n">
        <v>3.2</v>
      </c>
      <c r="H257" t="n">
        <v>0</v>
      </c>
      <c r="I257" t="n">
        <v>0</v>
      </c>
      <c r="J257" t="n">
        <v>0</v>
      </c>
      <c r="K257" t="n">
        <v>0</v>
      </c>
      <c r="L257" t="n">
        <v>0</v>
      </c>
      <c r="M257" t="n">
        <v>0</v>
      </c>
      <c r="N257" t="n">
        <v>0</v>
      </c>
      <c r="O257" t="n">
        <v>0</v>
      </c>
      <c r="P257" t="n">
        <v>0</v>
      </c>
      <c r="Q257" t="n">
        <v>0</v>
      </c>
      <c r="R257" s="2" t="inlineStr"/>
    </row>
    <row r="258" ht="15" customHeight="1">
      <c r="A258" t="inlineStr">
        <is>
          <t>A 23003-2021</t>
        </is>
      </c>
      <c r="B258" s="1" t="n">
        <v>44328</v>
      </c>
      <c r="C258" s="1" t="n">
        <v>45976</v>
      </c>
      <c r="D258" t="inlineStr">
        <is>
          <t>SKÅNE LÄN</t>
        </is>
      </c>
      <c r="E258" t="inlineStr">
        <is>
          <t>HÄSSLEHOLM</t>
        </is>
      </c>
      <c r="G258" t="n">
        <v>4.4</v>
      </c>
      <c r="H258" t="n">
        <v>0</v>
      </c>
      <c r="I258" t="n">
        <v>0</v>
      </c>
      <c r="J258" t="n">
        <v>0</v>
      </c>
      <c r="K258" t="n">
        <v>0</v>
      </c>
      <c r="L258" t="n">
        <v>0</v>
      </c>
      <c r="M258" t="n">
        <v>0</v>
      </c>
      <c r="N258" t="n">
        <v>0</v>
      </c>
      <c r="O258" t="n">
        <v>0</v>
      </c>
      <c r="P258" t="n">
        <v>0</v>
      </c>
      <c r="Q258" t="n">
        <v>0</v>
      </c>
      <c r="R258" s="2" t="inlineStr"/>
    </row>
    <row r="259" ht="15" customHeight="1">
      <c r="A259" t="inlineStr">
        <is>
          <t>A 42231-2022</t>
        </is>
      </c>
      <c r="B259" s="1" t="n">
        <v>44830.77003472222</v>
      </c>
      <c r="C259" s="1" t="n">
        <v>45976</v>
      </c>
      <c r="D259" t="inlineStr">
        <is>
          <t>SKÅNE LÄN</t>
        </is>
      </c>
      <c r="E259" t="inlineStr">
        <is>
          <t>HÄSSLEHOLM</t>
        </is>
      </c>
      <c r="G259" t="n">
        <v>2.7</v>
      </c>
      <c r="H259" t="n">
        <v>0</v>
      </c>
      <c r="I259" t="n">
        <v>0</v>
      </c>
      <c r="J259" t="n">
        <v>0</v>
      </c>
      <c r="K259" t="n">
        <v>0</v>
      </c>
      <c r="L259" t="n">
        <v>0</v>
      </c>
      <c r="M259" t="n">
        <v>0</v>
      </c>
      <c r="N259" t="n">
        <v>0</v>
      </c>
      <c r="O259" t="n">
        <v>0</v>
      </c>
      <c r="P259" t="n">
        <v>0</v>
      </c>
      <c r="Q259" t="n">
        <v>0</v>
      </c>
      <c r="R259" s="2" t="inlineStr"/>
    </row>
    <row r="260" ht="15" customHeight="1">
      <c r="A260" t="inlineStr">
        <is>
          <t>A 15698-2023</t>
        </is>
      </c>
      <c r="B260" s="1" t="n">
        <v>45021</v>
      </c>
      <c r="C260" s="1" t="n">
        <v>45976</v>
      </c>
      <c r="D260" t="inlineStr">
        <is>
          <t>SKÅNE LÄN</t>
        </is>
      </c>
      <c r="E260" t="inlineStr">
        <is>
          <t>HÄSSLEHOLM</t>
        </is>
      </c>
      <c r="F260" t="inlineStr">
        <is>
          <t>Kommuner</t>
        </is>
      </c>
      <c r="G260" t="n">
        <v>5.5</v>
      </c>
      <c r="H260" t="n">
        <v>0</v>
      </c>
      <c r="I260" t="n">
        <v>0</v>
      </c>
      <c r="J260" t="n">
        <v>0</v>
      </c>
      <c r="K260" t="n">
        <v>0</v>
      </c>
      <c r="L260" t="n">
        <v>0</v>
      </c>
      <c r="M260" t="n">
        <v>0</v>
      </c>
      <c r="N260" t="n">
        <v>0</v>
      </c>
      <c r="O260" t="n">
        <v>0</v>
      </c>
      <c r="P260" t="n">
        <v>0</v>
      </c>
      <c r="Q260" t="n">
        <v>0</v>
      </c>
      <c r="R260" s="2" t="inlineStr"/>
    </row>
    <row r="261" ht="15" customHeight="1">
      <c r="A261" t="inlineStr">
        <is>
          <t>A 20566-2023</t>
        </is>
      </c>
      <c r="B261" s="1" t="n">
        <v>45057</v>
      </c>
      <c r="C261" s="1" t="n">
        <v>45976</v>
      </c>
      <c r="D261" t="inlineStr">
        <is>
          <t>SKÅNE LÄN</t>
        </is>
      </c>
      <c r="E261" t="inlineStr">
        <is>
          <t>HÄSSLEHOLM</t>
        </is>
      </c>
      <c r="G261" t="n">
        <v>5.2</v>
      </c>
      <c r="H261" t="n">
        <v>0</v>
      </c>
      <c r="I261" t="n">
        <v>0</v>
      </c>
      <c r="J261" t="n">
        <v>0</v>
      </c>
      <c r="K261" t="n">
        <v>0</v>
      </c>
      <c r="L261" t="n">
        <v>0</v>
      </c>
      <c r="M261" t="n">
        <v>0</v>
      </c>
      <c r="N261" t="n">
        <v>0</v>
      </c>
      <c r="O261" t="n">
        <v>0</v>
      </c>
      <c r="P261" t="n">
        <v>0</v>
      </c>
      <c r="Q261" t="n">
        <v>0</v>
      </c>
      <c r="R261" s="2" t="inlineStr"/>
    </row>
    <row r="262" ht="15" customHeight="1">
      <c r="A262" t="inlineStr">
        <is>
          <t>A 5091-2022</t>
        </is>
      </c>
      <c r="B262" s="1" t="n">
        <v>44593.85114583333</v>
      </c>
      <c r="C262" s="1" t="n">
        <v>45976</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60260-2021</t>
        </is>
      </c>
      <c r="B263" s="1" t="n">
        <v>44495</v>
      </c>
      <c r="C263" s="1" t="n">
        <v>45976</v>
      </c>
      <c r="D263" t="inlineStr">
        <is>
          <t>SKÅNE LÄN</t>
        </is>
      </c>
      <c r="E263" t="inlineStr">
        <is>
          <t>HÄSSLEHOLM</t>
        </is>
      </c>
      <c r="G263" t="n">
        <v>2.1</v>
      </c>
      <c r="H263" t="n">
        <v>0</v>
      </c>
      <c r="I263" t="n">
        <v>0</v>
      </c>
      <c r="J263" t="n">
        <v>0</v>
      </c>
      <c r="K263" t="n">
        <v>0</v>
      </c>
      <c r="L263" t="n">
        <v>0</v>
      </c>
      <c r="M263" t="n">
        <v>0</v>
      </c>
      <c r="N263" t="n">
        <v>0</v>
      </c>
      <c r="O263" t="n">
        <v>0</v>
      </c>
      <c r="P263" t="n">
        <v>0</v>
      </c>
      <c r="Q263" t="n">
        <v>0</v>
      </c>
      <c r="R263" s="2" t="inlineStr"/>
    </row>
    <row r="264" ht="15" customHeight="1">
      <c r="A264" t="inlineStr">
        <is>
          <t>A 57967-2023</t>
        </is>
      </c>
      <c r="B264" s="1" t="n">
        <v>45247.57984953704</v>
      </c>
      <c r="C264" s="1" t="n">
        <v>45976</v>
      </c>
      <c r="D264" t="inlineStr">
        <is>
          <t>SKÅNE LÄN</t>
        </is>
      </c>
      <c r="E264" t="inlineStr">
        <is>
          <t>HÄSSLEHOLM</t>
        </is>
      </c>
      <c r="G264" t="n">
        <v>8.6</v>
      </c>
      <c r="H264" t="n">
        <v>0</v>
      </c>
      <c r="I264" t="n">
        <v>0</v>
      </c>
      <c r="J264" t="n">
        <v>0</v>
      </c>
      <c r="K264" t="n">
        <v>0</v>
      </c>
      <c r="L264" t="n">
        <v>0</v>
      </c>
      <c r="M264" t="n">
        <v>0</v>
      </c>
      <c r="N264" t="n">
        <v>0</v>
      </c>
      <c r="O264" t="n">
        <v>0</v>
      </c>
      <c r="P264" t="n">
        <v>0</v>
      </c>
      <c r="Q264" t="n">
        <v>0</v>
      </c>
      <c r="R264" s="2" t="inlineStr"/>
    </row>
    <row r="265" ht="15" customHeight="1">
      <c r="A265" t="inlineStr">
        <is>
          <t>A 34886-2023</t>
        </is>
      </c>
      <c r="B265" s="1" t="n">
        <v>45142.38450231482</v>
      </c>
      <c r="C265" s="1" t="n">
        <v>45976</v>
      </c>
      <c r="D265" t="inlineStr">
        <is>
          <t>SKÅNE LÄN</t>
        </is>
      </c>
      <c r="E265" t="inlineStr">
        <is>
          <t>HÄSSLEHOLM</t>
        </is>
      </c>
      <c r="G265" t="n">
        <v>1.3</v>
      </c>
      <c r="H265" t="n">
        <v>0</v>
      </c>
      <c r="I265" t="n">
        <v>0</v>
      </c>
      <c r="J265" t="n">
        <v>0</v>
      </c>
      <c r="K265" t="n">
        <v>0</v>
      </c>
      <c r="L265" t="n">
        <v>0</v>
      </c>
      <c r="M265" t="n">
        <v>0</v>
      </c>
      <c r="N265" t="n">
        <v>0</v>
      </c>
      <c r="O265" t="n">
        <v>0</v>
      </c>
      <c r="P265" t="n">
        <v>0</v>
      </c>
      <c r="Q265" t="n">
        <v>0</v>
      </c>
      <c r="R265" s="2" t="inlineStr"/>
    </row>
    <row r="266" ht="15" customHeight="1">
      <c r="A266" t="inlineStr">
        <is>
          <t>A 2596-2024</t>
        </is>
      </c>
      <c r="B266" s="1" t="n">
        <v>45313.69969907407</v>
      </c>
      <c r="C266" s="1" t="n">
        <v>45976</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59390-2021</t>
        </is>
      </c>
      <c r="B267" s="1" t="n">
        <v>44490</v>
      </c>
      <c r="C267" s="1" t="n">
        <v>45976</v>
      </c>
      <c r="D267" t="inlineStr">
        <is>
          <t>SKÅNE LÄN</t>
        </is>
      </c>
      <c r="E267" t="inlineStr">
        <is>
          <t>HÄSSLEHOLM</t>
        </is>
      </c>
      <c r="G267" t="n">
        <v>7.1</v>
      </c>
      <c r="H267" t="n">
        <v>0</v>
      </c>
      <c r="I267" t="n">
        <v>0</v>
      </c>
      <c r="J267" t="n">
        <v>0</v>
      </c>
      <c r="K267" t="n">
        <v>0</v>
      </c>
      <c r="L267" t="n">
        <v>0</v>
      </c>
      <c r="M267" t="n">
        <v>0</v>
      </c>
      <c r="N267" t="n">
        <v>0</v>
      </c>
      <c r="O267" t="n">
        <v>0</v>
      </c>
      <c r="P267" t="n">
        <v>0</v>
      </c>
      <c r="Q267" t="n">
        <v>0</v>
      </c>
      <c r="R267" s="2" t="inlineStr"/>
    </row>
    <row r="268" ht="15" customHeight="1">
      <c r="A268" t="inlineStr">
        <is>
          <t>A 15986-2022</t>
        </is>
      </c>
      <c r="B268" s="1" t="n">
        <v>44664</v>
      </c>
      <c r="C268" s="1" t="n">
        <v>45976</v>
      </c>
      <c r="D268" t="inlineStr">
        <is>
          <t>SKÅNE LÄN</t>
        </is>
      </c>
      <c r="E268" t="inlineStr">
        <is>
          <t>HÄSSLEHOLM</t>
        </is>
      </c>
      <c r="F268" t="inlineStr">
        <is>
          <t>Kyrkan</t>
        </is>
      </c>
      <c r="G268" t="n">
        <v>6</v>
      </c>
      <c r="H268" t="n">
        <v>0</v>
      </c>
      <c r="I268" t="n">
        <v>0</v>
      </c>
      <c r="J268" t="n">
        <v>0</v>
      </c>
      <c r="K268" t="n">
        <v>0</v>
      </c>
      <c r="L268" t="n">
        <v>0</v>
      </c>
      <c r="M268" t="n">
        <v>0</v>
      </c>
      <c r="N268" t="n">
        <v>0</v>
      </c>
      <c r="O268" t="n">
        <v>0</v>
      </c>
      <c r="P268" t="n">
        <v>0</v>
      </c>
      <c r="Q268" t="n">
        <v>0</v>
      </c>
      <c r="R268" s="2" t="inlineStr"/>
    </row>
    <row r="269" ht="15" customHeight="1">
      <c r="A269" t="inlineStr">
        <is>
          <t>A 62041-2022</t>
        </is>
      </c>
      <c r="B269" s="1" t="n">
        <v>44918.55743055556</v>
      </c>
      <c r="C269" s="1" t="n">
        <v>45976</v>
      </c>
      <c r="D269" t="inlineStr">
        <is>
          <t>SKÅNE LÄN</t>
        </is>
      </c>
      <c r="E269" t="inlineStr">
        <is>
          <t>HÄSSLEHOLM</t>
        </is>
      </c>
      <c r="G269" t="n">
        <v>2.8</v>
      </c>
      <c r="H269" t="n">
        <v>0</v>
      </c>
      <c r="I269" t="n">
        <v>0</v>
      </c>
      <c r="J269" t="n">
        <v>0</v>
      </c>
      <c r="K269" t="n">
        <v>0</v>
      </c>
      <c r="L269" t="n">
        <v>0</v>
      </c>
      <c r="M269" t="n">
        <v>0</v>
      </c>
      <c r="N269" t="n">
        <v>0</v>
      </c>
      <c r="O269" t="n">
        <v>0</v>
      </c>
      <c r="P269" t="n">
        <v>0</v>
      </c>
      <c r="Q269" t="n">
        <v>0</v>
      </c>
      <c r="R269" s="2" t="inlineStr"/>
    </row>
    <row r="270" ht="15" customHeight="1">
      <c r="A270" t="inlineStr">
        <is>
          <t>A 12468-2024</t>
        </is>
      </c>
      <c r="B270" s="1" t="n">
        <v>45379</v>
      </c>
      <c r="C270" s="1" t="n">
        <v>45976</v>
      </c>
      <c r="D270" t="inlineStr">
        <is>
          <t>SKÅNE LÄN</t>
        </is>
      </c>
      <c r="E270" t="inlineStr">
        <is>
          <t>HÄSSLEHOLM</t>
        </is>
      </c>
      <c r="G270" t="n">
        <v>15.5</v>
      </c>
      <c r="H270" t="n">
        <v>0</v>
      </c>
      <c r="I270" t="n">
        <v>0</v>
      </c>
      <c r="J270" t="n">
        <v>0</v>
      </c>
      <c r="K270" t="n">
        <v>0</v>
      </c>
      <c r="L270" t="n">
        <v>0</v>
      </c>
      <c r="M270" t="n">
        <v>0</v>
      </c>
      <c r="N270" t="n">
        <v>0</v>
      </c>
      <c r="O270" t="n">
        <v>0</v>
      </c>
      <c r="P270" t="n">
        <v>0</v>
      </c>
      <c r="Q270" t="n">
        <v>0</v>
      </c>
      <c r="R270" s="2" t="inlineStr"/>
    </row>
    <row r="271" ht="15" customHeight="1">
      <c r="A271" t="inlineStr">
        <is>
          <t>A 51888-2021</t>
        </is>
      </c>
      <c r="B271" s="1" t="n">
        <v>44462</v>
      </c>
      <c r="C271" s="1" t="n">
        <v>45976</v>
      </c>
      <c r="D271" t="inlineStr">
        <is>
          <t>SKÅNE LÄN</t>
        </is>
      </c>
      <c r="E271" t="inlineStr">
        <is>
          <t>HÄSSLEHOLM</t>
        </is>
      </c>
      <c r="G271" t="n">
        <v>5.6</v>
      </c>
      <c r="H271" t="n">
        <v>0</v>
      </c>
      <c r="I271" t="n">
        <v>0</v>
      </c>
      <c r="J271" t="n">
        <v>0</v>
      </c>
      <c r="K271" t="n">
        <v>0</v>
      </c>
      <c r="L271" t="n">
        <v>0</v>
      </c>
      <c r="M271" t="n">
        <v>0</v>
      </c>
      <c r="N271" t="n">
        <v>0</v>
      </c>
      <c r="O271" t="n">
        <v>0</v>
      </c>
      <c r="P271" t="n">
        <v>0</v>
      </c>
      <c r="Q271" t="n">
        <v>0</v>
      </c>
      <c r="R271" s="2" t="inlineStr"/>
    </row>
    <row r="272" ht="15" customHeight="1">
      <c r="A272" t="inlineStr">
        <is>
          <t>A 52786-2021</t>
        </is>
      </c>
      <c r="B272" s="1" t="n">
        <v>44467.36061342592</v>
      </c>
      <c r="C272" s="1" t="n">
        <v>45976</v>
      </c>
      <c r="D272" t="inlineStr">
        <is>
          <t>SKÅNE LÄN</t>
        </is>
      </c>
      <c r="E272" t="inlineStr">
        <is>
          <t>HÄSSLEHOLM</t>
        </is>
      </c>
      <c r="G272" t="n">
        <v>0.9</v>
      </c>
      <c r="H272" t="n">
        <v>0</v>
      </c>
      <c r="I272" t="n">
        <v>0</v>
      </c>
      <c r="J272" t="n">
        <v>0</v>
      </c>
      <c r="K272" t="n">
        <v>0</v>
      </c>
      <c r="L272" t="n">
        <v>0</v>
      </c>
      <c r="M272" t="n">
        <v>0</v>
      </c>
      <c r="N272" t="n">
        <v>0</v>
      </c>
      <c r="O272" t="n">
        <v>0</v>
      </c>
      <c r="P272" t="n">
        <v>0</v>
      </c>
      <c r="Q272" t="n">
        <v>0</v>
      </c>
      <c r="R272" s="2" t="inlineStr"/>
    </row>
    <row r="273" ht="15" customHeight="1">
      <c r="A273" t="inlineStr">
        <is>
          <t>A 6842-2023</t>
        </is>
      </c>
      <c r="B273" s="1" t="n">
        <v>44967</v>
      </c>
      <c r="C273" s="1" t="n">
        <v>45976</v>
      </c>
      <c r="D273" t="inlineStr">
        <is>
          <t>SKÅNE LÄN</t>
        </is>
      </c>
      <c r="E273" t="inlineStr">
        <is>
          <t>HÄSSLEHOLM</t>
        </is>
      </c>
      <c r="G273" t="n">
        <v>1.9</v>
      </c>
      <c r="H273" t="n">
        <v>0</v>
      </c>
      <c r="I273" t="n">
        <v>0</v>
      </c>
      <c r="J273" t="n">
        <v>0</v>
      </c>
      <c r="K273" t="n">
        <v>0</v>
      </c>
      <c r="L273" t="n">
        <v>0</v>
      </c>
      <c r="M273" t="n">
        <v>0</v>
      </c>
      <c r="N273" t="n">
        <v>0</v>
      </c>
      <c r="O273" t="n">
        <v>0</v>
      </c>
      <c r="P273" t="n">
        <v>0</v>
      </c>
      <c r="Q273" t="n">
        <v>0</v>
      </c>
      <c r="R273" s="2" t="inlineStr"/>
    </row>
    <row r="274" ht="15" customHeight="1">
      <c r="A274" t="inlineStr">
        <is>
          <t>A 29143-2021</t>
        </is>
      </c>
      <c r="B274" s="1" t="n">
        <v>44358.6319212963</v>
      </c>
      <c r="C274" s="1" t="n">
        <v>45976</v>
      </c>
      <c r="D274" t="inlineStr">
        <is>
          <t>SKÅNE LÄN</t>
        </is>
      </c>
      <c r="E274" t="inlineStr">
        <is>
          <t>HÄSSLEHOLM</t>
        </is>
      </c>
      <c r="G274" t="n">
        <v>2.9</v>
      </c>
      <c r="H274" t="n">
        <v>0</v>
      </c>
      <c r="I274" t="n">
        <v>0</v>
      </c>
      <c r="J274" t="n">
        <v>0</v>
      </c>
      <c r="K274" t="n">
        <v>0</v>
      </c>
      <c r="L274" t="n">
        <v>0</v>
      </c>
      <c r="M274" t="n">
        <v>0</v>
      </c>
      <c r="N274" t="n">
        <v>0</v>
      </c>
      <c r="O274" t="n">
        <v>0</v>
      </c>
      <c r="P274" t="n">
        <v>0</v>
      </c>
      <c r="Q274" t="n">
        <v>0</v>
      </c>
      <c r="R274" s="2" t="inlineStr"/>
    </row>
    <row r="275" ht="15" customHeight="1">
      <c r="A275" t="inlineStr">
        <is>
          <t>A 48747-2022</t>
        </is>
      </c>
      <c r="B275" s="1" t="n">
        <v>44859</v>
      </c>
      <c r="C275" s="1" t="n">
        <v>45976</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1553-2023</t>
        </is>
      </c>
      <c r="B276" s="1" t="n">
        <v>44937</v>
      </c>
      <c r="C276" s="1" t="n">
        <v>45976</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22690-2022</t>
        </is>
      </c>
      <c r="B277" s="1" t="n">
        <v>44714.5421875</v>
      </c>
      <c r="C277" s="1" t="n">
        <v>45976</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44669-2022</t>
        </is>
      </c>
      <c r="B278" s="1" t="n">
        <v>44840</v>
      </c>
      <c r="C278" s="1" t="n">
        <v>45976</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53897-2023</t>
        </is>
      </c>
      <c r="B279" s="1" t="n">
        <v>45231.53934027778</v>
      </c>
      <c r="C279" s="1" t="n">
        <v>45976</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1170-2025</t>
        </is>
      </c>
      <c r="B280" s="1" t="n">
        <v>45667.29226851852</v>
      </c>
      <c r="C280" s="1" t="n">
        <v>45976</v>
      </c>
      <c r="D280" t="inlineStr">
        <is>
          <t>SKÅNE LÄN</t>
        </is>
      </c>
      <c r="E280" t="inlineStr">
        <is>
          <t>HÄSSLEHOLM</t>
        </is>
      </c>
      <c r="G280" t="n">
        <v>4.3</v>
      </c>
      <c r="H280" t="n">
        <v>0</v>
      </c>
      <c r="I280" t="n">
        <v>0</v>
      </c>
      <c r="J280" t="n">
        <v>0</v>
      </c>
      <c r="K280" t="n">
        <v>0</v>
      </c>
      <c r="L280" t="n">
        <v>0</v>
      </c>
      <c r="M280" t="n">
        <v>0</v>
      </c>
      <c r="N280" t="n">
        <v>0</v>
      </c>
      <c r="O280" t="n">
        <v>0</v>
      </c>
      <c r="P280" t="n">
        <v>0</v>
      </c>
      <c r="Q280" t="n">
        <v>0</v>
      </c>
      <c r="R280" s="2" t="inlineStr"/>
    </row>
    <row r="281" ht="15" customHeight="1">
      <c r="A281" t="inlineStr">
        <is>
          <t>A 26386-2022</t>
        </is>
      </c>
      <c r="B281" s="1" t="n">
        <v>44735.6803125</v>
      </c>
      <c r="C281" s="1" t="n">
        <v>45976</v>
      </c>
      <c r="D281" t="inlineStr">
        <is>
          <t>SKÅNE LÄN</t>
        </is>
      </c>
      <c r="E281" t="inlineStr">
        <is>
          <t>HÄSSLEHOLM</t>
        </is>
      </c>
      <c r="G281" t="n">
        <v>1.5</v>
      </c>
      <c r="H281" t="n">
        <v>0</v>
      </c>
      <c r="I281" t="n">
        <v>0</v>
      </c>
      <c r="J281" t="n">
        <v>0</v>
      </c>
      <c r="K281" t="n">
        <v>0</v>
      </c>
      <c r="L281" t="n">
        <v>0</v>
      </c>
      <c r="M281" t="n">
        <v>0</v>
      </c>
      <c r="N281" t="n">
        <v>0</v>
      </c>
      <c r="O281" t="n">
        <v>0</v>
      </c>
      <c r="P281" t="n">
        <v>0</v>
      </c>
      <c r="Q281" t="n">
        <v>0</v>
      </c>
      <c r="R281" s="2" t="inlineStr"/>
    </row>
    <row r="282" ht="15" customHeight="1">
      <c r="A282" t="inlineStr">
        <is>
          <t>A 50899-2024</t>
        </is>
      </c>
      <c r="B282" s="1" t="n">
        <v>45602.68584490741</v>
      </c>
      <c r="C282" s="1" t="n">
        <v>45976</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25469-2022</t>
        </is>
      </c>
      <c r="B283" s="1" t="n">
        <v>44732</v>
      </c>
      <c r="C283" s="1" t="n">
        <v>45976</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22132-2024</t>
        </is>
      </c>
      <c r="B284" s="1" t="n">
        <v>45444.37234953704</v>
      </c>
      <c r="C284" s="1" t="n">
        <v>45976</v>
      </c>
      <c r="D284" t="inlineStr">
        <is>
          <t>SKÅNE LÄN</t>
        </is>
      </c>
      <c r="E284" t="inlineStr">
        <is>
          <t>HÄSSLEHOLM</t>
        </is>
      </c>
      <c r="G284" t="n">
        <v>3.1</v>
      </c>
      <c r="H284" t="n">
        <v>0</v>
      </c>
      <c r="I284" t="n">
        <v>0</v>
      </c>
      <c r="J284" t="n">
        <v>0</v>
      </c>
      <c r="K284" t="n">
        <v>0</v>
      </c>
      <c r="L284" t="n">
        <v>0</v>
      </c>
      <c r="M284" t="n">
        <v>0</v>
      </c>
      <c r="N284" t="n">
        <v>0</v>
      </c>
      <c r="O284" t="n">
        <v>0</v>
      </c>
      <c r="P284" t="n">
        <v>0</v>
      </c>
      <c r="Q284" t="n">
        <v>0</v>
      </c>
      <c r="R284" s="2" t="inlineStr"/>
    </row>
    <row r="285" ht="15" customHeight="1">
      <c r="A285" t="inlineStr">
        <is>
          <t>A 3452-2023</t>
        </is>
      </c>
      <c r="B285" s="1" t="n">
        <v>44949</v>
      </c>
      <c r="C285" s="1" t="n">
        <v>45976</v>
      </c>
      <c r="D285" t="inlineStr">
        <is>
          <t>SKÅNE LÄN</t>
        </is>
      </c>
      <c r="E285" t="inlineStr">
        <is>
          <t>HÄSSLEHOLM</t>
        </is>
      </c>
      <c r="G285" t="n">
        <v>1.3</v>
      </c>
      <c r="H285" t="n">
        <v>0</v>
      </c>
      <c r="I285" t="n">
        <v>0</v>
      </c>
      <c r="J285" t="n">
        <v>0</v>
      </c>
      <c r="K285" t="n">
        <v>0</v>
      </c>
      <c r="L285" t="n">
        <v>0</v>
      </c>
      <c r="M285" t="n">
        <v>0</v>
      </c>
      <c r="N285" t="n">
        <v>0</v>
      </c>
      <c r="O285" t="n">
        <v>0</v>
      </c>
      <c r="P285" t="n">
        <v>0</v>
      </c>
      <c r="Q285" t="n">
        <v>0</v>
      </c>
      <c r="R285" s="2" t="inlineStr"/>
    </row>
    <row r="286" ht="15" customHeight="1">
      <c r="A286" t="inlineStr">
        <is>
          <t>A 50525-2024</t>
        </is>
      </c>
      <c r="B286" s="1" t="n">
        <v>45601</v>
      </c>
      <c r="C286" s="1" t="n">
        <v>45976</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260-2024</t>
        </is>
      </c>
      <c r="B287" s="1" t="n">
        <v>45294</v>
      </c>
      <c r="C287" s="1" t="n">
        <v>45976</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5016-2024</t>
        </is>
      </c>
      <c r="B288" s="1" t="n">
        <v>45329</v>
      </c>
      <c r="C288" s="1" t="n">
        <v>45976</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32210-2024</t>
        </is>
      </c>
      <c r="B289" s="1" t="n">
        <v>45511.67777777778</v>
      </c>
      <c r="C289" s="1" t="n">
        <v>45976</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11603-2025</t>
        </is>
      </c>
      <c r="B290" s="1" t="n">
        <v>45727</v>
      </c>
      <c r="C290" s="1" t="n">
        <v>45976</v>
      </c>
      <c r="D290" t="inlineStr">
        <is>
          <t>SKÅNE LÄN</t>
        </is>
      </c>
      <c r="E290" t="inlineStr">
        <is>
          <t>HÄSSLEHOLM</t>
        </is>
      </c>
      <c r="G290" t="n">
        <v>5.6</v>
      </c>
      <c r="H290" t="n">
        <v>0</v>
      </c>
      <c r="I290" t="n">
        <v>0</v>
      </c>
      <c r="J290" t="n">
        <v>0</v>
      </c>
      <c r="K290" t="n">
        <v>0</v>
      </c>
      <c r="L290" t="n">
        <v>0</v>
      </c>
      <c r="M290" t="n">
        <v>0</v>
      </c>
      <c r="N290" t="n">
        <v>0</v>
      </c>
      <c r="O290" t="n">
        <v>0</v>
      </c>
      <c r="P290" t="n">
        <v>0</v>
      </c>
      <c r="Q290" t="n">
        <v>0</v>
      </c>
      <c r="R290" s="2" t="inlineStr"/>
    </row>
    <row r="291" ht="15" customHeight="1">
      <c r="A291" t="inlineStr">
        <is>
          <t>A 67974-2020</t>
        </is>
      </c>
      <c r="B291" s="1" t="n">
        <v>44182</v>
      </c>
      <c r="C291" s="1" t="n">
        <v>45976</v>
      </c>
      <c r="D291" t="inlineStr">
        <is>
          <t>SKÅNE LÄN</t>
        </is>
      </c>
      <c r="E291" t="inlineStr">
        <is>
          <t>HÄSSLEHOLM</t>
        </is>
      </c>
      <c r="G291" t="n">
        <v>9</v>
      </c>
      <c r="H291" t="n">
        <v>0</v>
      </c>
      <c r="I291" t="n">
        <v>0</v>
      </c>
      <c r="J291" t="n">
        <v>0</v>
      </c>
      <c r="K291" t="n">
        <v>0</v>
      </c>
      <c r="L291" t="n">
        <v>0</v>
      </c>
      <c r="M291" t="n">
        <v>0</v>
      </c>
      <c r="N291" t="n">
        <v>0</v>
      </c>
      <c r="O291" t="n">
        <v>0</v>
      </c>
      <c r="P291" t="n">
        <v>0</v>
      </c>
      <c r="Q291" t="n">
        <v>0</v>
      </c>
      <c r="R291" s="2" t="inlineStr"/>
    </row>
    <row r="292" ht="15" customHeight="1">
      <c r="A292" t="inlineStr">
        <is>
          <t>A 13198-2025</t>
        </is>
      </c>
      <c r="B292" s="1" t="n">
        <v>45735</v>
      </c>
      <c r="C292" s="1" t="n">
        <v>45976</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2743-2023</t>
        </is>
      </c>
      <c r="B293" s="1" t="n">
        <v>44944</v>
      </c>
      <c r="C293" s="1" t="n">
        <v>45976</v>
      </c>
      <c r="D293" t="inlineStr">
        <is>
          <t>SKÅNE LÄN</t>
        </is>
      </c>
      <c r="E293" t="inlineStr">
        <is>
          <t>HÄSSLEHOLM</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8749-2024</t>
        </is>
      </c>
      <c r="B294" s="1" t="n">
        <v>45356.50387731481</v>
      </c>
      <c r="C294" s="1" t="n">
        <v>45976</v>
      </c>
      <c r="D294" t="inlineStr">
        <is>
          <t>SKÅNE LÄN</t>
        </is>
      </c>
      <c r="E294" t="inlineStr">
        <is>
          <t>HÄSSLEHOLM</t>
        </is>
      </c>
      <c r="G294" t="n">
        <v>2.9</v>
      </c>
      <c r="H294" t="n">
        <v>0</v>
      </c>
      <c r="I294" t="n">
        <v>0</v>
      </c>
      <c r="J294" t="n">
        <v>0</v>
      </c>
      <c r="K294" t="n">
        <v>0</v>
      </c>
      <c r="L294" t="n">
        <v>0</v>
      </c>
      <c r="M294" t="n">
        <v>0</v>
      </c>
      <c r="N294" t="n">
        <v>0</v>
      </c>
      <c r="O294" t="n">
        <v>0</v>
      </c>
      <c r="P294" t="n">
        <v>0</v>
      </c>
      <c r="Q294" t="n">
        <v>0</v>
      </c>
      <c r="R294" s="2" t="inlineStr"/>
    </row>
    <row r="295" ht="15" customHeight="1">
      <c r="A295" t="inlineStr">
        <is>
          <t>A 8752-2024</t>
        </is>
      </c>
      <c r="B295" s="1" t="n">
        <v>45356</v>
      </c>
      <c r="C295" s="1" t="n">
        <v>45976</v>
      </c>
      <c r="D295" t="inlineStr">
        <is>
          <t>SKÅNE LÄN</t>
        </is>
      </c>
      <c r="E295" t="inlineStr">
        <is>
          <t>HÄSSLEHOLM</t>
        </is>
      </c>
      <c r="G295" t="n">
        <v>3.4</v>
      </c>
      <c r="H295" t="n">
        <v>0</v>
      </c>
      <c r="I295" t="n">
        <v>0</v>
      </c>
      <c r="J295" t="n">
        <v>0</v>
      </c>
      <c r="K295" t="n">
        <v>0</v>
      </c>
      <c r="L295" t="n">
        <v>0</v>
      </c>
      <c r="M295" t="n">
        <v>0</v>
      </c>
      <c r="N295" t="n">
        <v>0</v>
      </c>
      <c r="O295" t="n">
        <v>0</v>
      </c>
      <c r="P295" t="n">
        <v>0</v>
      </c>
      <c r="Q295" t="n">
        <v>0</v>
      </c>
      <c r="R295" s="2" t="inlineStr"/>
    </row>
    <row r="296" ht="15" customHeight="1">
      <c r="A296" t="inlineStr">
        <is>
          <t>A 8759-2024</t>
        </is>
      </c>
      <c r="B296" s="1" t="n">
        <v>45356.52271990741</v>
      </c>
      <c r="C296" s="1" t="n">
        <v>45976</v>
      </c>
      <c r="D296" t="inlineStr">
        <is>
          <t>SKÅNE LÄN</t>
        </is>
      </c>
      <c r="E296" t="inlineStr">
        <is>
          <t>HÄSSLEHOLM</t>
        </is>
      </c>
      <c r="G296" t="n">
        <v>5.7</v>
      </c>
      <c r="H296" t="n">
        <v>0</v>
      </c>
      <c r="I296" t="n">
        <v>0</v>
      </c>
      <c r="J296" t="n">
        <v>0</v>
      </c>
      <c r="K296" t="n">
        <v>0</v>
      </c>
      <c r="L296" t="n">
        <v>0</v>
      </c>
      <c r="M296" t="n">
        <v>0</v>
      </c>
      <c r="N296" t="n">
        <v>0</v>
      </c>
      <c r="O296" t="n">
        <v>0</v>
      </c>
      <c r="P296" t="n">
        <v>0</v>
      </c>
      <c r="Q296" t="n">
        <v>0</v>
      </c>
      <c r="R296" s="2" t="inlineStr"/>
    </row>
    <row r="297" ht="15" customHeight="1">
      <c r="A297" t="inlineStr">
        <is>
          <t>A 48624-2021</t>
        </is>
      </c>
      <c r="B297" s="1" t="n">
        <v>44452</v>
      </c>
      <c r="C297" s="1" t="n">
        <v>45976</v>
      </c>
      <c r="D297" t="inlineStr">
        <is>
          <t>SKÅNE LÄN</t>
        </is>
      </c>
      <c r="E297" t="inlineStr">
        <is>
          <t>HÄSSLEHOLM</t>
        </is>
      </c>
      <c r="G297" t="n">
        <v>2.2</v>
      </c>
      <c r="H297" t="n">
        <v>0</v>
      </c>
      <c r="I297" t="n">
        <v>0</v>
      </c>
      <c r="J297" t="n">
        <v>0</v>
      </c>
      <c r="K297" t="n">
        <v>0</v>
      </c>
      <c r="L297" t="n">
        <v>0</v>
      </c>
      <c r="M297" t="n">
        <v>0</v>
      </c>
      <c r="N297" t="n">
        <v>0</v>
      </c>
      <c r="O297" t="n">
        <v>0</v>
      </c>
      <c r="P297" t="n">
        <v>0</v>
      </c>
      <c r="Q297" t="n">
        <v>0</v>
      </c>
      <c r="R297" s="2" t="inlineStr"/>
    </row>
    <row r="298" ht="15" customHeight="1">
      <c r="A298" t="inlineStr">
        <is>
          <t>A 25206-2023</t>
        </is>
      </c>
      <c r="B298" s="1" t="n">
        <v>45086.59318287037</v>
      </c>
      <c r="C298" s="1" t="n">
        <v>45976</v>
      </c>
      <c r="D298" t="inlineStr">
        <is>
          <t>SKÅNE LÄN</t>
        </is>
      </c>
      <c r="E298" t="inlineStr">
        <is>
          <t>HÄSSLEHOLM</t>
        </is>
      </c>
      <c r="G298" t="n">
        <v>2.9</v>
      </c>
      <c r="H298" t="n">
        <v>0</v>
      </c>
      <c r="I298" t="n">
        <v>0</v>
      </c>
      <c r="J298" t="n">
        <v>0</v>
      </c>
      <c r="K298" t="n">
        <v>0</v>
      </c>
      <c r="L298" t="n">
        <v>0</v>
      </c>
      <c r="M298" t="n">
        <v>0</v>
      </c>
      <c r="N298" t="n">
        <v>0</v>
      </c>
      <c r="O298" t="n">
        <v>0</v>
      </c>
      <c r="P298" t="n">
        <v>0</v>
      </c>
      <c r="Q298" t="n">
        <v>0</v>
      </c>
      <c r="R298" s="2" t="inlineStr"/>
    </row>
    <row r="299" ht="15" customHeight="1">
      <c r="A299" t="inlineStr">
        <is>
          <t>A 25221-2023</t>
        </is>
      </c>
      <c r="B299" s="1" t="n">
        <v>45086.60842592592</v>
      </c>
      <c r="C299" s="1" t="n">
        <v>45976</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57272-2023</t>
        </is>
      </c>
      <c r="B300" s="1" t="n">
        <v>45245</v>
      </c>
      <c r="C300" s="1" t="n">
        <v>45976</v>
      </c>
      <c r="D300" t="inlineStr">
        <is>
          <t>SKÅNE LÄN</t>
        </is>
      </c>
      <c r="E300" t="inlineStr">
        <is>
          <t>HÄSSLEHOLM</t>
        </is>
      </c>
      <c r="G300" t="n">
        <v>2.3</v>
      </c>
      <c r="H300" t="n">
        <v>0</v>
      </c>
      <c r="I300" t="n">
        <v>0</v>
      </c>
      <c r="J300" t="n">
        <v>0</v>
      </c>
      <c r="K300" t="n">
        <v>0</v>
      </c>
      <c r="L300" t="n">
        <v>0</v>
      </c>
      <c r="M300" t="n">
        <v>0</v>
      </c>
      <c r="N300" t="n">
        <v>0</v>
      </c>
      <c r="O300" t="n">
        <v>0</v>
      </c>
      <c r="P300" t="n">
        <v>0</v>
      </c>
      <c r="Q300" t="n">
        <v>0</v>
      </c>
      <c r="R300" s="2" t="inlineStr"/>
    </row>
    <row r="301" ht="15" customHeight="1">
      <c r="A301" t="inlineStr">
        <is>
          <t>A 13856-2025</t>
        </is>
      </c>
      <c r="B301" s="1" t="n">
        <v>45737.57289351852</v>
      </c>
      <c r="C301" s="1" t="n">
        <v>45976</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50616-2023</t>
        </is>
      </c>
      <c r="B302" s="1" t="n">
        <v>45210</v>
      </c>
      <c r="C302" s="1" t="n">
        <v>45976</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8209-2025</t>
        </is>
      </c>
      <c r="B303" s="1" t="n">
        <v>45708.44244212963</v>
      </c>
      <c r="C303" s="1" t="n">
        <v>45976</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45361-2023</t>
        </is>
      </c>
      <c r="B304" s="1" t="n">
        <v>45192.49068287037</v>
      </c>
      <c r="C304" s="1" t="n">
        <v>45976</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59434-2023</t>
        </is>
      </c>
      <c r="B305" s="1" t="n">
        <v>45254.30440972222</v>
      </c>
      <c r="C305" s="1" t="n">
        <v>45976</v>
      </c>
      <c r="D305" t="inlineStr">
        <is>
          <t>SKÅNE LÄN</t>
        </is>
      </c>
      <c r="E305" t="inlineStr">
        <is>
          <t>HÄSSLEHOLM</t>
        </is>
      </c>
      <c r="G305" t="n">
        <v>3.6</v>
      </c>
      <c r="H305" t="n">
        <v>0</v>
      </c>
      <c r="I305" t="n">
        <v>0</v>
      </c>
      <c r="J305" t="n">
        <v>0</v>
      </c>
      <c r="K305" t="n">
        <v>0</v>
      </c>
      <c r="L305" t="n">
        <v>0</v>
      </c>
      <c r="M305" t="n">
        <v>0</v>
      </c>
      <c r="N305" t="n">
        <v>0</v>
      </c>
      <c r="O305" t="n">
        <v>0</v>
      </c>
      <c r="P305" t="n">
        <v>0</v>
      </c>
      <c r="Q305" t="n">
        <v>0</v>
      </c>
      <c r="R305" s="2" t="inlineStr"/>
    </row>
    <row r="306" ht="15" customHeight="1">
      <c r="A306" t="inlineStr">
        <is>
          <t>A 2290-2024</t>
        </is>
      </c>
      <c r="B306" s="1" t="n">
        <v>45310</v>
      </c>
      <c r="C306" s="1" t="n">
        <v>45976</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33067-2024</t>
        </is>
      </c>
      <c r="B307" s="1" t="n">
        <v>45517.6520949074</v>
      </c>
      <c r="C307" s="1" t="n">
        <v>45976</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9747-2024</t>
        </is>
      </c>
      <c r="B308" s="1" t="n">
        <v>45362</v>
      </c>
      <c r="C308" s="1" t="n">
        <v>45976</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48889-2024</t>
        </is>
      </c>
      <c r="B309" s="1" t="n">
        <v>45594.33754629629</v>
      </c>
      <c r="C309" s="1" t="n">
        <v>45976</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49107-2023</t>
        </is>
      </c>
      <c r="B310" s="1" t="n">
        <v>45210.44337962963</v>
      </c>
      <c r="C310" s="1" t="n">
        <v>45976</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8263-2025</t>
        </is>
      </c>
      <c r="B311" s="1" t="n">
        <v>45708.50398148148</v>
      </c>
      <c r="C311" s="1" t="n">
        <v>45976</v>
      </c>
      <c r="D311" t="inlineStr">
        <is>
          <t>SKÅNE LÄN</t>
        </is>
      </c>
      <c r="E311" t="inlineStr">
        <is>
          <t>HÄSSLEHOLM</t>
        </is>
      </c>
      <c r="G311" t="n">
        <v>2.9</v>
      </c>
      <c r="H311" t="n">
        <v>0</v>
      </c>
      <c r="I311" t="n">
        <v>0</v>
      </c>
      <c r="J311" t="n">
        <v>0</v>
      </c>
      <c r="K311" t="n">
        <v>0</v>
      </c>
      <c r="L311" t="n">
        <v>0</v>
      </c>
      <c r="M311" t="n">
        <v>0</v>
      </c>
      <c r="N311" t="n">
        <v>0</v>
      </c>
      <c r="O311" t="n">
        <v>0</v>
      </c>
      <c r="P311" t="n">
        <v>0</v>
      </c>
      <c r="Q311" t="n">
        <v>0</v>
      </c>
      <c r="R311" s="2" t="inlineStr"/>
    </row>
    <row r="312" ht="15" customHeight="1">
      <c r="A312" t="inlineStr">
        <is>
          <t>A 28236-2022</t>
        </is>
      </c>
      <c r="B312" s="1" t="n">
        <v>44746</v>
      </c>
      <c r="C312" s="1" t="n">
        <v>45976</v>
      </c>
      <c r="D312" t="inlineStr">
        <is>
          <t>SKÅNE LÄN</t>
        </is>
      </c>
      <c r="E312" t="inlineStr">
        <is>
          <t>HÄSSLEHOLM</t>
        </is>
      </c>
      <c r="G312" t="n">
        <v>3.5</v>
      </c>
      <c r="H312" t="n">
        <v>0</v>
      </c>
      <c r="I312" t="n">
        <v>0</v>
      </c>
      <c r="J312" t="n">
        <v>0</v>
      </c>
      <c r="K312" t="n">
        <v>0</v>
      </c>
      <c r="L312" t="n">
        <v>0</v>
      </c>
      <c r="M312" t="n">
        <v>0</v>
      </c>
      <c r="N312" t="n">
        <v>0</v>
      </c>
      <c r="O312" t="n">
        <v>0</v>
      </c>
      <c r="P312" t="n">
        <v>0</v>
      </c>
      <c r="Q312" t="n">
        <v>0</v>
      </c>
      <c r="R312" s="2" t="inlineStr"/>
    </row>
    <row r="313" ht="15" customHeight="1">
      <c r="A313" t="inlineStr">
        <is>
          <t>A 29275-2023</t>
        </is>
      </c>
      <c r="B313" s="1" t="n">
        <v>45105</v>
      </c>
      <c r="C313" s="1" t="n">
        <v>45976</v>
      </c>
      <c r="D313" t="inlineStr">
        <is>
          <t>SKÅNE LÄN</t>
        </is>
      </c>
      <c r="E313" t="inlineStr">
        <is>
          <t>HÄSSLEHOLM</t>
        </is>
      </c>
      <c r="G313" t="n">
        <v>2.1</v>
      </c>
      <c r="H313" t="n">
        <v>0</v>
      </c>
      <c r="I313" t="n">
        <v>0</v>
      </c>
      <c r="J313" t="n">
        <v>0</v>
      </c>
      <c r="K313" t="n">
        <v>0</v>
      </c>
      <c r="L313" t="n">
        <v>0</v>
      </c>
      <c r="M313" t="n">
        <v>0</v>
      </c>
      <c r="N313" t="n">
        <v>0</v>
      </c>
      <c r="O313" t="n">
        <v>0</v>
      </c>
      <c r="P313" t="n">
        <v>0</v>
      </c>
      <c r="Q313" t="n">
        <v>0</v>
      </c>
      <c r="R313" s="2" t="inlineStr"/>
    </row>
    <row r="314" ht="15" customHeight="1">
      <c r="A314" t="inlineStr">
        <is>
          <t>A 61625-2022</t>
        </is>
      </c>
      <c r="B314" s="1" t="n">
        <v>44916</v>
      </c>
      <c r="C314" s="1" t="n">
        <v>45976</v>
      </c>
      <c r="D314" t="inlineStr">
        <is>
          <t>SKÅNE LÄN</t>
        </is>
      </c>
      <c r="E314" t="inlineStr">
        <is>
          <t>HÄSSLEHOLM</t>
        </is>
      </c>
      <c r="G314" t="n">
        <v>2.4</v>
      </c>
      <c r="H314" t="n">
        <v>0</v>
      </c>
      <c r="I314" t="n">
        <v>0</v>
      </c>
      <c r="J314" t="n">
        <v>0</v>
      </c>
      <c r="K314" t="n">
        <v>0</v>
      </c>
      <c r="L314" t="n">
        <v>0</v>
      </c>
      <c r="M314" t="n">
        <v>0</v>
      </c>
      <c r="N314" t="n">
        <v>0</v>
      </c>
      <c r="O314" t="n">
        <v>0</v>
      </c>
      <c r="P314" t="n">
        <v>0</v>
      </c>
      <c r="Q314" t="n">
        <v>0</v>
      </c>
      <c r="R314" s="2" t="inlineStr"/>
    </row>
    <row r="315" ht="15" customHeight="1">
      <c r="A315" t="inlineStr">
        <is>
          <t>A 38829-2024</t>
        </is>
      </c>
      <c r="B315" s="1" t="n">
        <v>45547.57247685185</v>
      </c>
      <c r="C315" s="1" t="n">
        <v>45976</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13018-2024</t>
        </is>
      </c>
      <c r="B316" s="1" t="n">
        <v>45385.58274305556</v>
      </c>
      <c r="C316" s="1" t="n">
        <v>45976</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36938-2025</t>
        </is>
      </c>
      <c r="B317" s="1" t="n">
        <v>45874.58476851852</v>
      </c>
      <c r="C317" s="1" t="n">
        <v>45976</v>
      </c>
      <c r="D317" t="inlineStr">
        <is>
          <t>SKÅNE LÄN</t>
        </is>
      </c>
      <c r="E317" t="inlineStr">
        <is>
          <t>HÄSSLEHOLM</t>
        </is>
      </c>
      <c r="G317" t="n">
        <v>3.7</v>
      </c>
      <c r="H317" t="n">
        <v>0</v>
      </c>
      <c r="I317" t="n">
        <v>0</v>
      </c>
      <c r="J317" t="n">
        <v>0</v>
      </c>
      <c r="K317" t="n">
        <v>0</v>
      </c>
      <c r="L317" t="n">
        <v>0</v>
      </c>
      <c r="M317" t="n">
        <v>0</v>
      </c>
      <c r="N317" t="n">
        <v>0</v>
      </c>
      <c r="O317" t="n">
        <v>0</v>
      </c>
      <c r="P317" t="n">
        <v>0</v>
      </c>
      <c r="Q317" t="n">
        <v>0</v>
      </c>
      <c r="R317" s="2" t="inlineStr"/>
    </row>
    <row r="318" ht="15" customHeight="1">
      <c r="A318" t="inlineStr">
        <is>
          <t>A 13890-2024</t>
        </is>
      </c>
      <c r="B318" s="1" t="n">
        <v>45391</v>
      </c>
      <c r="C318" s="1" t="n">
        <v>45976</v>
      </c>
      <c r="D318" t="inlineStr">
        <is>
          <t>SKÅNE LÄN</t>
        </is>
      </c>
      <c r="E318" t="inlineStr">
        <is>
          <t>HÄSSLEHOLM</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55218-2023</t>
        </is>
      </c>
      <c r="B319" s="1" t="n">
        <v>45237</v>
      </c>
      <c r="C319" s="1" t="n">
        <v>45976</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22595-2024</t>
        </is>
      </c>
      <c r="B320" s="1" t="n">
        <v>45447.61053240741</v>
      </c>
      <c r="C320" s="1" t="n">
        <v>45976</v>
      </c>
      <c r="D320" t="inlineStr">
        <is>
          <t>SKÅNE LÄN</t>
        </is>
      </c>
      <c r="E320" t="inlineStr">
        <is>
          <t>HÄSSLEHOLM</t>
        </is>
      </c>
      <c r="G320" t="n">
        <v>0.9</v>
      </c>
      <c r="H320" t="n">
        <v>0</v>
      </c>
      <c r="I320" t="n">
        <v>0</v>
      </c>
      <c r="J320" t="n">
        <v>0</v>
      </c>
      <c r="K320" t="n">
        <v>0</v>
      </c>
      <c r="L320" t="n">
        <v>0</v>
      </c>
      <c r="M320" t="n">
        <v>0</v>
      </c>
      <c r="N320" t="n">
        <v>0</v>
      </c>
      <c r="O320" t="n">
        <v>0</v>
      </c>
      <c r="P320" t="n">
        <v>0</v>
      </c>
      <c r="Q320" t="n">
        <v>0</v>
      </c>
      <c r="R320" s="2" t="inlineStr"/>
    </row>
    <row r="321" ht="15" customHeight="1">
      <c r="A321" t="inlineStr">
        <is>
          <t>A 46288-2023</t>
        </is>
      </c>
      <c r="B321" s="1" t="n">
        <v>45197.30221064815</v>
      </c>
      <c r="C321" s="1" t="n">
        <v>45976</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65235-2021</t>
        </is>
      </c>
      <c r="B322" s="1" t="n">
        <v>44515</v>
      </c>
      <c r="C322" s="1" t="n">
        <v>45976</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49106-2023</t>
        </is>
      </c>
      <c r="B323" s="1" t="n">
        <v>45210</v>
      </c>
      <c r="C323" s="1" t="n">
        <v>45976</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60704-2023</t>
        </is>
      </c>
      <c r="B324" s="1" t="n">
        <v>45260.51340277777</v>
      </c>
      <c r="C324" s="1" t="n">
        <v>45976</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13549-2025</t>
        </is>
      </c>
      <c r="B325" s="1" t="n">
        <v>45736</v>
      </c>
      <c r="C325" s="1" t="n">
        <v>45976</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10409-2024</t>
        </is>
      </c>
      <c r="B326" s="1" t="n">
        <v>45365.6978125</v>
      </c>
      <c r="C326" s="1" t="n">
        <v>45976</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51245-2023</t>
        </is>
      </c>
      <c r="B327" s="1" t="n">
        <v>45212</v>
      </c>
      <c r="C327" s="1" t="n">
        <v>45976</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47248-2023</t>
        </is>
      </c>
      <c r="B328" s="1" t="n">
        <v>45202</v>
      </c>
      <c r="C328" s="1" t="n">
        <v>45976</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20990-2023</t>
        </is>
      </c>
      <c r="B329" s="1" t="n">
        <v>45061.46186342592</v>
      </c>
      <c r="C329" s="1" t="n">
        <v>45976</v>
      </c>
      <c r="D329" t="inlineStr">
        <is>
          <t>SKÅNE LÄN</t>
        </is>
      </c>
      <c r="E329" t="inlineStr">
        <is>
          <t>HÄSSLEHOLM</t>
        </is>
      </c>
      <c r="G329" t="n">
        <v>2.8</v>
      </c>
      <c r="H329" t="n">
        <v>0</v>
      </c>
      <c r="I329" t="n">
        <v>0</v>
      </c>
      <c r="J329" t="n">
        <v>0</v>
      </c>
      <c r="K329" t="n">
        <v>0</v>
      </c>
      <c r="L329" t="n">
        <v>0</v>
      </c>
      <c r="M329" t="n">
        <v>0</v>
      </c>
      <c r="N329" t="n">
        <v>0</v>
      </c>
      <c r="O329" t="n">
        <v>0</v>
      </c>
      <c r="P329" t="n">
        <v>0</v>
      </c>
      <c r="Q329" t="n">
        <v>0</v>
      </c>
      <c r="R329" s="2" t="inlineStr"/>
    </row>
    <row r="330" ht="15" customHeight="1">
      <c r="A330" t="inlineStr">
        <is>
          <t>A 31934-2024</t>
        </is>
      </c>
      <c r="B330" s="1" t="n">
        <v>45510.41177083334</v>
      </c>
      <c r="C330" s="1" t="n">
        <v>45976</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37286-2025</t>
        </is>
      </c>
      <c r="B331" s="1" t="n">
        <v>45876.50116898148</v>
      </c>
      <c r="C331" s="1" t="n">
        <v>45976</v>
      </c>
      <c r="D331" t="inlineStr">
        <is>
          <t>SKÅNE LÄN</t>
        </is>
      </c>
      <c r="E331" t="inlineStr">
        <is>
          <t>HÄSSLEHOLM</t>
        </is>
      </c>
      <c r="G331" t="n">
        <v>2.9</v>
      </c>
      <c r="H331" t="n">
        <v>0</v>
      </c>
      <c r="I331" t="n">
        <v>0</v>
      </c>
      <c r="J331" t="n">
        <v>0</v>
      </c>
      <c r="K331" t="n">
        <v>0</v>
      </c>
      <c r="L331" t="n">
        <v>0</v>
      </c>
      <c r="M331" t="n">
        <v>0</v>
      </c>
      <c r="N331" t="n">
        <v>0</v>
      </c>
      <c r="O331" t="n">
        <v>0</v>
      </c>
      <c r="P331" t="n">
        <v>0</v>
      </c>
      <c r="Q331" t="n">
        <v>0</v>
      </c>
      <c r="R331" s="2" t="inlineStr"/>
    </row>
    <row r="332" ht="15" customHeight="1">
      <c r="A332" t="inlineStr">
        <is>
          <t>A 20279-2025</t>
        </is>
      </c>
      <c r="B332" s="1" t="n">
        <v>45774.38643518519</v>
      </c>
      <c r="C332" s="1" t="n">
        <v>45976</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37271-2025</t>
        </is>
      </c>
      <c r="B333" s="1" t="n">
        <v>45876.47828703704</v>
      </c>
      <c r="C333" s="1" t="n">
        <v>45976</v>
      </c>
      <c r="D333" t="inlineStr">
        <is>
          <t>SKÅNE LÄN</t>
        </is>
      </c>
      <c r="E333" t="inlineStr">
        <is>
          <t>HÄSSLEHOLM</t>
        </is>
      </c>
      <c r="G333" t="n">
        <v>4.1</v>
      </c>
      <c r="H333" t="n">
        <v>0</v>
      </c>
      <c r="I333" t="n">
        <v>0</v>
      </c>
      <c r="J333" t="n">
        <v>0</v>
      </c>
      <c r="K333" t="n">
        <v>0</v>
      </c>
      <c r="L333" t="n">
        <v>0</v>
      </c>
      <c r="M333" t="n">
        <v>0</v>
      </c>
      <c r="N333" t="n">
        <v>0</v>
      </c>
      <c r="O333" t="n">
        <v>0</v>
      </c>
      <c r="P333" t="n">
        <v>0</v>
      </c>
      <c r="Q333" t="n">
        <v>0</v>
      </c>
      <c r="R333" s="2" t="inlineStr"/>
    </row>
    <row r="334" ht="15" customHeight="1">
      <c r="A334" t="inlineStr">
        <is>
          <t>A 59431-2023</t>
        </is>
      </c>
      <c r="B334" s="1" t="n">
        <v>45254.29207175926</v>
      </c>
      <c r="C334" s="1" t="n">
        <v>45976</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59433-2023</t>
        </is>
      </c>
      <c r="B335" s="1" t="n">
        <v>45254.29768518519</v>
      </c>
      <c r="C335" s="1" t="n">
        <v>45976</v>
      </c>
      <c r="D335" t="inlineStr">
        <is>
          <t>SKÅNE LÄN</t>
        </is>
      </c>
      <c r="E335" t="inlineStr">
        <is>
          <t>HÄSSLEHOLM</t>
        </is>
      </c>
      <c r="G335" t="n">
        <v>3.1</v>
      </c>
      <c r="H335" t="n">
        <v>0</v>
      </c>
      <c r="I335" t="n">
        <v>0</v>
      </c>
      <c r="J335" t="n">
        <v>0</v>
      </c>
      <c r="K335" t="n">
        <v>0</v>
      </c>
      <c r="L335" t="n">
        <v>0</v>
      </c>
      <c r="M335" t="n">
        <v>0</v>
      </c>
      <c r="N335" t="n">
        <v>0</v>
      </c>
      <c r="O335" t="n">
        <v>0</v>
      </c>
      <c r="P335" t="n">
        <v>0</v>
      </c>
      <c r="Q335" t="n">
        <v>0</v>
      </c>
      <c r="R335" s="2" t="inlineStr"/>
    </row>
    <row r="336" ht="15" customHeight="1">
      <c r="A336" t="inlineStr">
        <is>
          <t>A 55416-2021</t>
        </is>
      </c>
      <c r="B336" s="1" t="n">
        <v>44475</v>
      </c>
      <c r="C336" s="1" t="n">
        <v>45976</v>
      </c>
      <c r="D336" t="inlineStr">
        <is>
          <t>SKÅNE LÄN</t>
        </is>
      </c>
      <c r="E336" t="inlineStr">
        <is>
          <t>HÄSSLEHOLM</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54171-2022</t>
        </is>
      </c>
      <c r="B337" s="1" t="n">
        <v>44881</v>
      </c>
      <c r="C337" s="1" t="n">
        <v>45976</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32981-2025</t>
        </is>
      </c>
      <c r="B338" s="1" t="n">
        <v>45839.86820601852</v>
      </c>
      <c r="C338" s="1" t="n">
        <v>45976</v>
      </c>
      <c r="D338" t="inlineStr">
        <is>
          <t>SKÅNE LÄN</t>
        </is>
      </c>
      <c r="E338" t="inlineStr">
        <is>
          <t>HÄSSLEHOLM</t>
        </is>
      </c>
      <c r="G338" t="n">
        <v>2.7</v>
      </c>
      <c r="H338" t="n">
        <v>0</v>
      </c>
      <c r="I338" t="n">
        <v>0</v>
      </c>
      <c r="J338" t="n">
        <v>0</v>
      </c>
      <c r="K338" t="n">
        <v>0</v>
      </c>
      <c r="L338" t="n">
        <v>0</v>
      </c>
      <c r="M338" t="n">
        <v>0</v>
      </c>
      <c r="N338" t="n">
        <v>0</v>
      </c>
      <c r="O338" t="n">
        <v>0</v>
      </c>
      <c r="P338" t="n">
        <v>0</v>
      </c>
      <c r="Q338" t="n">
        <v>0</v>
      </c>
      <c r="R338" s="2" t="inlineStr"/>
    </row>
    <row r="339" ht="15" customHeight="1">
      <c r="A339" t="inlineStr">
        <is>
          <t>A 4579-2025</t>
        </is>
      </c>
      <c r="B339" s="1" t="n">
        <v>45687.5009375</v>
      </c>
      <c r="C339" s="1" t="n">
        <v>45976</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21141-2024</t>
        </is>
      </c>
      <c r="B340" s="1" t="n">
        <v>45440.39012731481</v>
      </c>
      <c r="C340" s="1" t="n">
        <v>45976</v>
      </c>
      <c r="D340" t="inlineStr">
        <is>
          <t>SKÅNE LÄN</t>
        </is>
      </c>
      <c r="E340" t="inlineStr">
        <is>
          <t>HÄSSLEHOLM</t>
        </is>
      </c>
      <c r="G340" t="n">
        <v>1.3</v>
      </c>
      <c r="H340" t="n">
        <v>0</v>
      </c>
      <c r="I340" t="n">
        <v>0</v>
      </c>
      <c r="J340" t="n">
        <v>0</v>
      </c>
      <c r="K340" t="n">
        <v>0</v>
      </c>
      <c r="L340" t="n">
        <v>0</v>
      </c>
      <c r="M340" t="n">
        <v>0</v>
      </c>
      <c r="N340" t="n">
        <v>0</v>
      </c>
      <c r="O340" t="n">
        <v>0</v>
      </c>
      <c r="P340" t="n">
        <v>0</v>
      </c>
      <c r="Q340" t="n">
        <v>0</v>
      </c>
      <c r="R340" s="2" t="inlineStr"/>
    </row>
    <row r="341" ht="15" customHeight="1">
      <c r="A341" t="inlineStr">
        <is>
          <t>A 49379-2021</t>
        </is>
      </c>
      <c r="B341" s="1" t="n">
        <v>44454</v>
      </c>
      <c r="C341" s="1" t="n">
        <v>45976</v>
      </c>
      <c r="D341" t="inlineStr">
        <is>
          <t>SKÅNE LÄN</t>
        </is>
      </c>
      <c r="E341" t="inlineStr">
        <is>
          <t>HÄSSLEHOLM</t>
        </is>
      </c>
      <c r="G341" t="n">
        <v>1.4</v>
      </c>
      <c r="H341" t="n">
        <v>0</v>
      </c>
      <c r="I341" t="n">
        <v>0</v>
      </c>
      <c r="J341" t="n">
        <v>0</v>
      </c>
      <c r="K341" t="n">
        <v>0</v>
      </c>
      <c r="L341" t="n">
        <v>0</v>
      </c>
      <c r="M341" t="n">
        <v>0</v>
      </c>
      <c r="N341" t="n">
        <v>0</v>
      </c>
      <c r="O341" t="n">
        <v>0</v>
      </c>
      <c r="P341" t="n">
        <v>0</v>
      </c>
      <c r="Q341" t="n">
        <v>0</v>
      </c>
      <c r="R341" s="2" t="inlineStr"/>
    </row>
    <row r="342" ht="15" customHeight="1">
      <c r="A342" t="inlineStr">
        <is>
          <t>A 57277-2023</t>
        </is>
      </c>
      <c r="B342" s="1" t="n">
        <v>45245.59104166667</v>
      </c>
      <c r="C342" s="1" t="n">
        <v>45976</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36240-2023</t>
        </is>
      </c>
      <c r="B343" s="1" t="n">
        <v>45150.89295138889</v>
      </c>
      <c r="C343" s="1" t="n">
        <v>45976</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16862-2025</t>
        </is>
      </c>
      <c r="B344" s="1" t="n">
        <v>45751</v>
      </c>
      <c r="C344" s="1" t="n">
        <v>45976</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18109-2025</t>
        </is>
      </c>
      <c r="B345" s="1" t="n">
        <v>45761</v>
      </c>
      <c r="C345" s="1" t="n">
        <v>45976</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13851-2025</t>
        </is>
      </c>
      <c r="B346" s="1" t="n">
        <v>45737.56777777777</v>
      </c>
      <c r="C346" s="1" t="n">
        <v>45976</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12469-2023</t>
        </is>
      </c>
      <c r="B347" s="1" t="n">
        <v>44999.62109953703</v>
      </c>
      <c r="C347" s="1" t="n">
        <v>45976</v>
      </c>
      <c r="D347" t="inlineStr">
        <is>
          <t>SKÅNE LÄN</t>
        </is>
      </c>
      <c r="E347" t="inlineStr">
        <is>
          <t>HÄSSLEHOLM</t>
        </is>
      </c>
      <c r="G347" t="n">
        <v>2.6</v>
      </c>
      <c r="H347" t="n">
        <v>0</v>
      </c>
      <c r="I347" t="n">
        <v>0</v>
      </c>
      <c r="J347" t="n">
        <v>0</v>
      </c>
      <c r="K347" t="n">
        <v>0</v>
      </c>
      <c r="L347" t="n">
        <v>0</v>
      </c>
      <c r="M347" t="n">
        <v>0</v>
      </c>
      <c r="N347" t="n">
        <v>0</v>
      </c>
      <c r="O347" t="n">
        <v>0</v>
      </c>
      <c r="P347" t="n">
        <v>0</v>
      </c>
      <c r="Q347" t="n">
        <v>0</v>
      </c>
      <c r="R347" s="2" t="inlineStr"/>
    </row>
    <row r="348" ht="15" customHeight="1">
      <c r="A348" t="inlineStr">
        <is>
          <t>A 45400-2022</t>
        </is>
      </c>
      <c r="B348" s="1" t="n">
        <v>44844.713125</v>
      </c>
      <c r="C348" s="1" t="n">
        <v>45976</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8160-2024</t>
        </is>
      </c>
      <c r="B349" s="1" t="n">
        <v>45351</v>
      </c>
      <c r="C349" s="1" t="n">
        <v>45976</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13961-2023</t>
        </is>
      </c>
      <c r="B350" s="1" t="n">
        <v>45008</v>
      </c>
      <c r="C350" s="1" t="n">
        <v>45976</v>
      </c>
      <c r="D350" t="inlineStr">
        <is>
          <t>SKÅNE LÄN</t>
        </is>
      </c>
      <c r="E350" t="inlineStr">
        <is>
          <t>HÄSSLEHOLM</t>
        </is>
      </c>
      <c r="G350" t="n">
        <v>3.8</v>
      </c>
      <c r="H350" t="n">
        <v>0</v>
      </c>
      <c r="I350" t="n">
        <v>0</v>
      </c>
      <c r="J350" t="n">
        <v>0</v>
      </c>
      <c r="K350" t="n">
        <v>0</v>
      </c>
      <c r="L350" t="n">
        <v>0</v>
      </c>
      <c r="M350" t="n">
        <v>0</v>
      </c>
      <c r="N350" t="n">
        <v>0</v>
      </c>
      <c r="O350" t="n">
        <v>0</v>
      </c>
      <c r="P350" t="n">
        <v>0</v>
      </c>
      <c r="Q350" t="n">
        <v>0</v>
      </c>
      <c r="R350" s="2" t="inlineStr"/>
    </row>
    <row r="351" ht="15" customHeight="1">
      <c r="A351" t="inlineStr">
        <is>
          <t>A 7581-2023</t>
        </is>
      </c>
      <c r="B351" s="1" t="n">
        <v>44972.39556712963</v>
      </c>
      <c r="C351" s="1" t="n">
        <v>45976</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48191-2021</t>
        </is>
      </c>
      <c r="B352" s="1" t="n">
        <v>44449</v>
      </c>
      <c r="C352" s="1" t="n">
        <v>45976</v>
      </c>
      <c r="D352" t="inlineStr">
        <is>
          <t>SKÅNE LÄN</t>
        </is>
      </c>
      <c r="E352" t="inlineStr">
        <is>
          <t>HÄSSLEHOLM</t>
        </is>
      </c>
      <c r="G352" t="n">
        <v>6</v>
      </c>
      <c r="H352" t="n">
        <v>0</v>
      </c>
      <c r="I352" t="n">
        <v>0</v>
      </c>
      <c r="J352" t="n">
        <v>0</v>
      </c>
      <c r="K352" t="n">
        <v>0</v>
      </c>
      <c r="L352" t="n">
        <v>0</v>
      </c>
      <c r="M352" t="n">
        <v>0</v>
      </c>
      <c r="N352" t="n">
        <v>0</v>
      </c>
      <c r="O352" t="n">
        <v>0</v>
      </c>
      <c r="P352" t="n">
        <v>0</v>
      </c>
      <c r="Q352" t="n">
        <v>0</v>
      </c>
      <c r="R352" s="2" t="inlineStr"/>
    </row>
    <row r="353" ht="15" customHeight="1">
      <c r="A353" t="inlineStr">
        <is>
          <t>A 59429-2023</t>
        </is>
      </c>
      <c r="B353" s="1" t="n">
        <v>45254.2875</v>
      </c>
      <c r="C353" s="1" t="n">
        <v>45976</v>
      </c>
      <c r="D353" t="inlineStr">
        <is>
          <t>SKÅNE LÄN</t>
        </is>
      </c>
      <c r="E353" t="inlineStr">
        <is>
          <t>HÄSSLEHOLM</t>
        </is>
      </c>
      <c r="G353" t="n">
        <v>0</v>
      </c>
      <c r="H353" t="n">
        <v>0</v>
      </c>
      <c r="I353" t="n">
        <v>0</v>
      </c>
      <c r="J353" t="n">
        <v>0</v>
      </c>
      <c r="K353" t="n">
        <v>0</v>
      </c>
      <c r="L353" t="n">
        <v>0</v>
      </c>
      <c r="M353" t="n">
        <v>0</v>
      </c>
      <c r="N353" t="n">
        <v>0</v>
      </c>
      <c r="O353" t="n">
        <v>0</v>
      </c>
      <c r="P353" t="n">
        <v>0</v>
      </c>
      <c r="Q353" t="n">
        <v>0</v>
      </c>
      <c r="R353" s="2" t="inlineStr"/>
    </row>
    <row r="354" ht="15" customHeight="1">
      <c r="A354" t="inlineStr">
        <is>
          <t>A 5282-2023</t>
        </is>
      </c>
      <c r="B354" s="1" t="n">
        <v>44959.50471064815</v>
      </c>
      <c r="C354" s="1" t="n">
        <v>45976</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35150-2023</t>
        </is>
      </c>
      <c r="B355" s="1" t="n">
        <v>45145</v>
      </c>
      <c r="C355" s="1" t="n">
        <v>45976</v>
      </c>
      <c r="D355" t="inlineStr">
        <is>
          <t>SKÅNE LÄN</t>
        </is>
      </c>
      <c r="E355" t="inlineStr">
        <is>
          <t>HÄSSLEHOLM</t>
        </is>
      </c>
      <c r="G355" t="n">
        <v>4.9</v>
      </c>
      <c r="H355" t="n">
        <v>0</v>
      </c>
      <c r="I355" t="n">
        <v>0</v>
      </c>
      <c r="J355" t="n">
        <v>0</v>
      </c>
      <c r="K355" t="n">
        <v>0</v>
      </c>
      <c r="L355" t="n">
        <v>0</v>
      </c>
      <c r="M355" t="n">
        <v>0</v>
      </c>
      <c r="N355" t="n">
        <v>0</v>
      </c>
      <c r="O355" t="n">
        <v>0</v>
      </c>
      <c r="P355" t="n">
        <v>0</v>
      </c>
      <c r="Q355" t="n">
        <v>0</v>
      </c>
      <c r="R355" s="2" t="inlineStr"/>
    </row>
    <row r="356" ht="15" customHeight="1">
      <c r="A356" t="inlineStr">
        <is>
          <t>A 60959-2022</t>
        </is>
      </c>
      <c r="B356" s="1" t="n">
        <v>44914.64777777778</v>
      </c>
      <c r="C356" s="1" t="n">
        <v>45976</v>
      </c>
      <c r="D356" t="inlineStr">
        <is>
          <t>SKÅNE LÄN</t>
        </is>
      </c>
      <c r="E356" t="inlineStr">
        <is>
          <t>HÄSSLEHOLM</t>
        </is>
      </c>
      <c r="G356" t="n">
        <v>0.9</v>
      </c>
      <c r="H356" t="n">
        <v>0</v>
      </c>
      <c r="I356" t="n">
        <v>0</v>
      </c>
      <c r="J356" t="n">
        <v>0</v>
      </c>
      <c r="K356" t="n">
        <v>0</v>
      </c>
      <c r="L356" t="n">
        <v>0</v>
      </c>
      <c r="M356" t="n">
        <v>0</v>
      </c>
      <c r="N356" t="n">
        <v>0</v>
      </c>
      <c r="O356" t="n">
        <v>0</v>
      </c>
      <c r="P356" t="n">
        <v>0</v>
      </c>
      <c r="Q356" t="n">
        <v>0</v>
      </c>
      <c r="R356" s="2" t="inlineStr"/>
    </row>
    <row r="357" ht="15" customHeight="1">
      <c r="A357" t="inlineStr">
        <is>
          <t>A 52548-2023</t>
        </is>
      </c>
      <c r="B357" s="1" t="n">
        <v>45218</v>
      </c>
      <c r="C357" s="1" t="n">
        <v>45976</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12503-2022</t>
        </is>
      </c>
      <c r="B358" s="1" t="n">
        <v>44638</v>
      </c>
      <c r="C358" s="1" t="n">
        <v>45976</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42906-2022</t>
        </is>
      </c>
      <c r="B359" s="1" t="n">
        <v>44833</v>
      </c>
      <c r="C359" s="1" t="n">
        <v>45976</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18041-2023</t>
        </is>
      </c>
      <c r="B360" s="1" t="n">
        <v>45040</v>
      </c>
      <c r="C360" s="1" t="n">
        <v>45976</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31931-2024</t>
        </is>
      </c>
      <c r="B361" s="1" t="n">
        <v>45510.40878472223</v>
      </c>
      <c r="C361" s="1" t="n">
        <v>45976</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49250-2022</t>
        </is>
      </c>
      <c r="B362" s="1" t="n">
        <v>44858</v>
      </c>
      <c r="C362" s="1" t="n">
        <v>45976</v>
      </c>
      <c r="D362" t="inlineStr">
        <is>
          <t>SKÅNE LÄN</t>
        </is>
      </c>
      <c r="E362" t="inlineStr">
        <is>
          <t>HÄSSLEHOLM</t>
        </is>
      </c>
      <c r="F362" t="inlineStr">
        <is>
          <t>Kyrkan</t>
        </is>
      </c>
      <c r="G362" t="n">
        <v>1.5</v>
      </c>
      <c r="H362" t="n">
        <v>0</v>
      </c>
      <c r="I362" t="n">
        <v>0</v>
      </c>
      <c r="J362" t="n">
        <v>0</v>
      </c>
      <c r="K362" t="n">
        <v>0</v>
      </c>
      <c r="L362" t="n">
        <v>0</v>
      </c>
      <c r="M362" t="n">
        <v>0</v>
      </c>
      <c r="N362" t="n">
        <v>0</v>
      </c>
      <c r="O362" t="n">
        <v>0</v>
      </c>
      <c r="P362" t="n">
        <v>0</v>
      </c>
      <c r="Q362" t="n">
        <v>0</v>
      </c>
      <c r="R362" s="2" t="inlineStr"/>
    </row>
    <row r="363" ht="15" customHeight="1">
      <c r="A363" t="inlineStr">
        <is>
          <t>A 15133-2023</t>
        </is>
      </c>
      <c r="B363" s="1" t="n">
        <v>45016</v>
      </c>
      <c r="C363" s="1" t="n">
        <v>45976</v>
      </c>
      <c r="D363" t="inlineStr">
        <is>
          <t>SKÅNE LÄN</t>
        </is>
      </c>
      <c r="E363" t="inlineStr">
        <is>
          <t>HÄSSLEHOLM</t>
        </is>
      </c>
      <c r="G363" t="n">
        <v>7.8</v>
      </c>
      <c r="H363" t="n">
        <v>0</v>
      </c>
      <c r="I363" t="n">
        <v>0</v>
      </c>
      <c r="J363" t="n">
        <v>0</v>
      </c>
      <c r="K363" t="n">
        <v>0</v>
      </c>
      <c r="L363" t="n">
        <v>0</v>
      </c>
      <c r="M363" t="n">
        <v>0</v>
      </c>
      <c r="N363" t="n">
        <v>0</v>
      </c>
      <c r="O363" t="n">
        <v>0</v>
      </c>
      <c r="P363" t="n">
        <v>0</v>
      </c>
      <c r="Q363" t="n">
        <v>0</v>
      </c>
      <c r="R363" s="2" t="inlineStr"/>
    </row>
    <row r="364" ht="15" customHeight="1">
      <c r="A364" t="inlineStr">
        <is>
          <t>A 34883-2023</t>
        </is>
      </c>
      <c r="B364" s="1" t="n">
        <v>45142.37902777778</v>
      </c>
      <c r="C364" s="1" t="n">
        <v>45976</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9485-2023</t>
        </is>
      </c>
      <c r="B365" s="1" t="n">
        <v>44981.60901620371</v>
      </c>
      <c r="C365" s="1" t="n">
        <v>45976</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20187-2023</t>
        </is>
      </c>
      <c r="B366" s="1" t="n">
        <v>45055.57027777778</v>
      </c>
      <c r="C366" s="1" t="n">
        <v>45976</v>
      </c>
      <c r="D366" t="inlineStr">
        <is>
          <t>SKÅNE LÄN</t>
        </is>
      </c>
      <c r="E366" t="inlineStr">
        <is>
          <t>HÄSSLEHOLM</t>
        </is>
      </c>
      <c r="G366" t="n">
        <v>1.8</v>
      </c>
      <c r="H366" t="n">
        <v>0</v>
      </c>
      <c r="I366" t="n">
        <v>0</v>
      </c>
      <c r="J366" t="n">
        <v>0</v>
      </c>
      <c r="K366" t="n">
        <v>0</v>
      </c>
      <c r="L366" t="n">
        <v>0</v>
      </c>
      <c r="M366" t="n">
        <v>0</v>
      </c>
      <c r="N366" t="n">
        <v>0</v>
      </c>
      <c r="O366" t="n">
        <v>0</v>
      </c>
      <c r="P366" t="n">
        <v>0</v>
      </c>
      <c r="Q366" t="n">
        <v>0</v>
      </c>
      <c r="R366" s="2" t="inlineStr"/>
    </row>
    <row r="367" ht="15" customHeight="1">
      <c r="A367" t="inlineStr">
        <is>
          <t>A 54777-2022</t>
        </is>
      </c>
      <c r="B367" s="1" t="n">
        <v>44883</v>
      </c>
      <c r="C367" s="1" t="n">
        <v>45976</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61929-2023</t>
        </is>
      </c>
      <c r="B368" s="1" t="n">
        <v>45266</v>
      </c>
      <c r="C368" s="1" t="n">
        <v>45976</v>
      </c>
      <c r="D368" t="inlineStr">
        <is>
          <t>SKÅNE LÄN</t>
        </is>
      </c>
      <c r="E368" t="inlineStr">
        <is>
          <t>HÄSSLEHOLM</t>
        </is>
      </c>
      <c r="G368" t="n">
        <v>1.9</v>
      </c>
      <c r="H368" t="n">
        <v>0</v>
      </c>
      <c r="I368" t="n">
        <v>0</v>
      </c>
      <c r="J368" t="n">
        <v>0</v>
      </c>
      <c r="K368" t="n">
        <v>0</v>
      </c>
      <c r="L368" t="n">
        <v>0</v>
      </c>
      <c r="M368" t="n">
        <v>0</v>
      </c>
      <c r="N368" t="n">
        <v>0</v>
      </c>
      <c r="O368" t="n">
        <v>0</v>
      </c>
      <c r="P368" t="n">
        <v>0</v>
      </c>
      <c r="Q368" t="n">
        <v>0</v>
      </c>
      <c r="R368" s="2" t="inlineStr"/>
    </row>
    <row r="369" ht="15" customHeight="1">
      <c r="A369" t="inlineStr">
        <is>
          <t>A 13555-2025</t>
        </is>
      </c>
      <c r="B369" s="1" t="n">
        <v>45736</v>
      </c>
      <c r="C369" s="1" t="n">
        <v>45976</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58618-2024</t>
        </is>
      </c>
      <c r="B370" s="1" t="n">
        <v>45635.56150462963</v>
      </c>
      <c r="C370" s="1" t="n">
        <v>45976</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27197-2021</t>
        </is>
      </c>
      <c r="B371" s="1" t="n">
        <v>44350</v>
      </c>
      <c r="C371" s="1" t="n">
        <v>45976</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45222-2023</t>
        </is>
      </c>
      <c r="B372" s="1" t="n">
        <v>45191</v>
      </c>
      <c r="C372" s="1" t="n">
        <v>45976</v>
      </c>
      <c r="D372" t="inlineStr">
        <is>
          <t>SKÅNE LÄN</t>
        </is>
      </c>
      <c r="E372" t="inlineStr">
        <is>
          <t>HÄSSLEHOLM</t>
        </is>
      </c>
      <c r="G372" t="n">
        <v>1.5</v>
      </c>
      <c r="H372" t="n">
        <v>0</v>
      </c>
      <c r="I372" t="n">
        <v>0</v>
      </c>
      <c r="J372" t="n">
        <v>0</v>
      </c>
      <c r="K372" t="n">
        <v>0</v>
      </c>
      <c r="L372" t="n">
        <v>0</v>
      </c>
      <c r="M372" t="n">
        <v>0</v>
      </c>
      <c r="N372" t="n">
        <v>0</v>
      </c>
      <c r="O372" t="n">
        <v>0</v>
      </c>
      <c r="P372" t="n">
        <v>0</v>
      </c>
      <c r="Q372" t="n">
        <v>0</v>
      </c>
      <c r="R372" s="2" t="inlineStr"/>
    </row>
    <row r="373" ht="15" customHeight="1">
      <c r="A373" t="inlineStr">
        <is>
          <t>A 35890-2023</t>
        </is>
      </c>
      <c r="B373" s="1" t="n">
        <v>45148</v>
      </c>
      <c r="C373" s="1" t="n">
        <v>45976</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35895-2023</t>
        </is>
      </c>
      <c r="B374" s="1" t="n">
        <v>45148</v>
      </c>
      <c r="C374" s="1" t="n">
        <v>45976</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61569-2023</t>
        </is>
      </c>
      <c r="B375" s="1" t="n">
        <v>45265</v>
      </c>
      <c r="C375" s="1" t="n">
        <v>45976</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52235-2021</t>
        </is>
      </c>
      <c r="B376" s="1" t="n">
        <v>44463.60085648148</v>
      </c>
      <c r="C376" s="1" t="n">
        <v>45976</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44940-2023</t>
        </is>
      </c>
      <c r="B377" s="1" t="n">
        <v>45190.68653935185</v>
      </c>
      <c r="C377" s="1" t="n">
        <v>45976</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25533-2024</t>
        </is>
      </c>
      <c r="B378" s="1" t="n">
        <v>45463</v>
      </c>
      <c r="C378" s="1" t="n">
        <v>45976</v>
      </c>
      <c r="D378" t="inlineStr">
        <is>
          <t>SKÅNE LÄN</t>
        </is>
      </c>
      <c r="E378" t="inlineStr">
        <is>
          <t>HÄSSLEHOLM</t>
        </is>
      </c>
      <c r="G378" t="n">
        <v>1.8</v>
      </c>
      <c r="H378" t="n">
        <v>0</v>
      </c>
      <c r="I378" t="n">
        <v>0</v>
      </c>
      <c r="J378" t="n">
        <v>0</v>
      </c>
      <c r="K378" t="n">
        <v>0</v>
      </c>
      <c r="L378" t="n">
        <v>0</v>
      </c>
      <c r="M378" t="n">
        <v>0</v>
      </c>
      <c r="N378" t="n">
        <v>0</v>
      </c>
      <c r="O378" t="n">
        <v>0</v>
      </c>
      <c r="P378" t="n">
        <v>0</v>
      </c>
      <c r="Q378" t="n">
        <v>0</v>
      </c>
      <c r="R378" s="2" t="inlineStr"/>
    </row>
    <row r="379" ht="15" customHeight="1">
      <c r="A379" t="inlineStr">
        <is>
          <t>A 61498-2022</t>
        </is>
      </c>
      <c r="B379" s="1" t="n">
        <v>44910</v>
      </c>
      <c r="C379" s="1" t="n">
        <v>45976</v>
      </c>
      <c r="D379" t="inlineStr">
        <is>
          <t>SKÅNE LÄN</t>
        </is>
      </c>
      <c r="E379" t="inlineStr">
        <is>
          <t>HÄSSLEHOLM</t>
        </is>
      </c>
      <c r="F379" t="inlineStr">
        <is>
          <t>Kyrkan</t>
        </is>
      </c>
      <c r="G379" t="n">
        <v>3.2</v>
      </c>
      <c r="H379" t="n">
        <v>0</v>
      </c>
      <c r="I379" t="n">
        <v>0</v>
      </c>
      <c r="J379" t="n">
        <v>0</v>
      </c>
      <c r="K379" t="n">
        <v>0</v>
      </c>
      <c r="L379" t="n">
        <v>0</v>
      </c>
      <c r="M379" t="n">
        <v>0</v>
      </c>
      <c r="N379" t="n">
        <v>0</v>
      </c>
      <c r="O379" t="n">
        <v>0</v>
      </c>
      <c r="P379" t="n">
        <v>0</v>
      </c>
      <c r="Q379" t="n">
        <v>0</v>
      </c>
      <c r="R379" s="2" t="inlineStr"/>
    </row>
    <row r="380" ht="15" customHeight="1">
      <c r="A380" t="inlineStr">
        <is>
          <t>A 11266-2025</t>
        </is>
      </c>
      <c r="B380" s="1" t="n">
        <v>45726</v>
      </c>
      <c r="C380" s="1" t="n">
        <v>45976</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22696-2023</t>
        </is>
      </c>
      <c r="B381" s="1" t="n">
        <v>45071.69464120371</v>
      </c>
      <c r="C381" s="1" t="n">
        <v>45976</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52337-2023</t>
        </is>
      </c>
      <c r="B382" s="1" t="n">
        <v>45224.66359953704</v>
      </c>
      <c r="C382" s="1" t="n">
        <v>45976</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23955-2023</t>
        </is>
      </c>
      <c r="B383" s="1" t="n">
        <v>45078.62217592593</v>
      </c>
      <c r="C383" s="1" t="n">
        <v>45976</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54471-2023</t>
        </is>
      </c>
      <c r="B384" s="1" t="n">
        <v>45233.4640162037</v>
      </c>
      <c r="C384" s="1" t="n">
        <v>45976</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10897-2023</t>
        </is>
      </c>
      <c r="B385" s="1" t="n">
        <v>44985</v>
      </c>
      <c r="C385" s="1" t="n">
        <v>45976</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50571-2023</t>
        </is>
      </c>
      <c r="B386" s="1" t="n">
        <v>45217.38359953704</v>
      </c>
      <c r="C386" s="1" t="n">
        <v>45976</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18908-2023</t>
        </is>
      </c>
      <c r="B387" s="1" t="n">
        <v>45044</v>
      </c>
      <c r="C387" s="1" t="n">
        <v>45976</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32794-2021</t>
        </is>
      </c>
      <c r="B388" s="1" t="n">
        <v>44375</v>
      </c>
      <c r="C388" s="1" t="n">
        <v>45976</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10028-2024</t>
        </is>
      </c>
      <c r="B389" s="1" t="n">
        <v>45363.97292824074</v>
      </c>
      <c r="C389" s="1" t="n">
        <v>45976</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13084-2025</t>
        </is>
      </c>
      <c r="B390" s="1" t="n">
        <v>45734</v>
      </c>
      <c r="C390" s="1" t="n">
        <v>45976</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1616-2025</t>
        </is>
      </c>
      <c r="B391" s="1" t="n">
        <v>45670</v>
      </c>
      <c r="C391" s="1" t="n">
        <v>45976</v>
      </c>
      <c r="D391" t="inlineStr">
        <is>
          <t>SKÅNE LÄN</t>
        </is>
      </c>
      <c r="E391" t="inlineStr">
        <is>
          <t>HÄSSLEHOLM</t>
        </is>
      </c>
      <c r="G391" t="n">
        <v>3.6</v>
      </c>
      <c r="H391" t="n">
        <v>0</v>
      </c>
      <c r="I391" t="n">
        <v>0</v>
      </c>
      <c r="J391" t="n">
        <v>0</v>
      </c>
      <c r="K391" t="n">
        <v>0</v>
      </c>
      <c r="L391" t="n">
        <v>0</v>
      </c>
      <c r="M391" t="n">
        <v>0</v>
      </c>
      <c r="N391" t="n">
        <v>0</v>
      </c>
      <c r="O391" t="n">
        <v>0</v>
      </c>
      <c r="P391" t="n">
        <v>0</v>
      </c>
      <c r="Q391" t="n">
        <v>0</v>
      </c>
      <c r="R391" s="2" t="inlineStr"/>
    </row>
    <row r="392" ht="15" customHeight="1">
      <c r="A392" t="inlineStr">
        <is>
          <t>A 16285-2025</t>
        </is>
      </c>
      <c r="B392" s="1" t="n">
        <v>45751.30045138889</v>
      </c>
      <c r="C392" s="1" t="n">
        <v>45976</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46000-2021</t>
        </is>
      </c>
      <c r="B393" s="1" t="n">
        <v>44441</v>
      </c>
      <c r="C393" s="1" t="n">
        <v>45976</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12843-2023</t>
        </is>
      </c>
      <c r="B394" s="1" t="n">
        <v>45001.48423611111</v>
      </c>
      <c r="C394" s="1" t="n">
        <v>45976</v>
      </c>
      <c r="D394" t="inlineStr">
        <is>
          <t>SKÅNE LÄN</t>
        </is>
      </c>
      <c r="E394" t="inlineStr">
        <is>
          <t>HÄSSLEHOLM</t>
        </is>
      </c>
      <c r="G394" t="n">
        <v>3.9</v>
      </c>
      <c r="H394" t="n">
        <v>0</v>
      </c>
      <c r="I394" t="n">
        <v>0</v>
      </c>
      <c r="J394" t="n">
        <v>0</v>
      </c>
      <c r="K394" t="n">
        <v>0</v>
      </c>
      <c r="L394" t="n">
        <v>0</v>
      </c>
      <c r="M394" t="n">
        <v>0</v>
      </c>
      <c r="N394" t="n">
        <v>0</v>
      </c>
      <c r="O394" t="n">
        <v>0</v>
      </c>
      <c r="P394" t="n">
        <v>0</v>
      </c>
      <c r="Q394" t="n">
        <v>0</v>
      </c>
      <c r="R394" s="2" t="inlineStr"/>
    </row>
    <row r="395" ht="15" customHeight="1">
      <c r="A395" t="inlineStr">
        <is>
          <t>A 50607-2023</t>
        </is>
      </c>
      <c r="B395" s="1" t="n">
        <v>45210</v>
      </c>
      <c r="C395" s="1" t="n">
        <v>45976</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34342-2021</t>
        </is>
      </c>
      <c r="B396" s="1" t="n">
        <v>44379</v>
      </c>
      <c r="C396" s="1" t="n">
        <v>45976</v>
      </c>
      <c r="D396" t="inlineStr">
        <is>
          <t>SKÅNE LÄN</t>
        </is>
      </c>
      <c r="E396" t="inlineStr">
        <is>
          <t>HÄSSLEHOLM</t>
        </is>
      </c>
      <c r="G396" t="n">
        <v>7</v>
      </c>
      <c r="H396" t="n">
        <v>0</v>
      </c>
      <c r="I396" t="n">
        <v>0</v>
      </c>
      <c r="J396" t="n">
        <v>0</v>
      </c>
      <c r="K396" t="n">
        <v>0</v>
      </c>
      <c r="L396" t="n">
        <v>0</v>
      </c>
      <c r="M396" t="n">
        <v>0</v>
      </c>
      <c r="N396" t="n">
        <v>0</v>
      </c>
      <c r="O396" t="n">
        <v>0</v>
      </c>
      <c r="P396" t="n">
        <v>0</v>
      </c>
      <c r="Q396" t="n">
        <v>0</v>
      </c>
      <c r="R396" s="2" t="inlineStr"/>
    </row>
    <row r="397" ht="15" customHeight="1">
      <c r="A397" t="inlineStr">
        <is>
          <t>A 38148-2022</t>
        </is>
      </c>
      <c r="B397" s="1" t="n">
        <v>44811</v>
      </c>
      <c r="C397" s="1" t="n">
        <v>45976</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1557-2023</t>
        </is>
      </c>
      <c r="B398" s="1" t="n">
        <v>44937</v>
      </c>
      <c r="C398" s="1" t="n">
        <v>45976</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31944-2023</t>
        </is>
      </c>
      <c r="B399" s="1" t="n">
        <v>45119.34895833334</v>
      </c>
      <c r="C399" s="1" t="n">
        <v>45976</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1706-2025</t>
        </is>
      </c>
      <c r="B400" s="1" t="n">
        <v>45670</v>
      </c>
      <c r="C400" s="1" t="n">
        <v>45976</v>
      </c>
      <c r="D400" t="inlineStr">
        <is>
          <t>SKÅNE LÄN</t>
        </is>
      </c>
      <c r="E400" t="inlineStr">
        <is>
          <t>HÄSSLEHOLM</t>
        </is>
      </c>
      <c r="G400" t="n">
        <v>5</v>
      </c>
      <c r="H400" t="n">
        <v>0</v>
      </c>
      <c r="I400" t="n">
        <v>0</v>
      </c>
      <c r="J400" t="n">
        <v>0</v>
      </c>
      <c r="K400" t="n">
        <v>0</v>
      </c>
      <c r="L400" t="n">
        <v>0</v>
      </c>
      <c r="M400" t="n">
        <v>0</v>
      </c>
      <c r="N400" t="n">
        <v>0</v>
      </c>
      <c r="O400" t="n">
        <v>0</v>
      </c>
      <c r="P400" t="n">
        <v>0</v>
      </c>
      <c r="Q400" t="n">
        <v>0</v>
      </c>
      <c r="R400" s="2" t="inlineStr"/>
    </row>
    <row r="401" ht="15" customHeight="1">
      <c r="A401" t="inlineStr">
        <is>
          <t>A 9239-2025</t>
        </is>
      </c>
      <c r="B401" s="1" t="n">
        <v>45714</v>
      </c>
      <c r="C401" s="1" t="n">
        <v>45976</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47647-2024</t>
        </is>
      </c>
      <c r="B402" s="1" t="n">
        <v>45588</v>
      </c>
      <c r="C402" s="1" t="n">
        <v>45976</v>
      </c>
      <c r="D402" t="inlineStr">
        <is>
          <t>SKÅNE LÄN</t>
        </is>
      </c>
      <c r="E402" t="inlineStr">
        <is>
          <t>HÄSSLEHOLM</t>
        </is>
      </c>
      <c r="G402" t="n">
        <v>6.5</v>
      </c>
      <c r="H402" t="n">
        <v>0</v>
      </c>
      <c r="I402" t="n">
        <v>0</v>
      </c>
      <c r="J402" t="n">
        <v>0</v>
      </c>
      <c r="K402" t="n">
        <v>0</v>
      </c>
      <c r="L402" t="n">
        <v>0</v>
      </c>
      <c r="M402" t="n">
        <v>0</v>
      </c>
      <c r="N402" t="n">
        <v>0</v>
      </c>
      <c r="O402" t="n">
        <v>0</v>
      </c>
      <c r="P402" t="n">
        <v>0</v>
      </c>
      <c r="Q402" t="n">
        <v>0</v>
      </c>
      <c r="R402" s="2" t="inlineStr"/>
    </row>
    <row r="403" ht="15" customHeight="1">
      <c r="A403" t="inlineStr">
        <is>
          <t>A 4009-2024</t>
        </is>
      </c>
      <c r="B403" s="1" t="n">
        <v>45323</v>
      </c>
      <c r="C403" s="1" t="n">
        <v>45976</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10928-2024</t>
        </is>
      </c>
      <c r="B404" s="1" t="n">
        <v>45370</v>
      </c>
      <c r="C404" s="1" t="n">
        <v>45976</v>
      </c>
      <c r="D404" t="inlineStr">
        <is>
          <t>SKÅNE LÄN</t>
        </is>
      </c>
      <c r="E404" t="inlineStr">
        <is>
          <t>HÄSSLEHOLM</t>
        </is>
      </c>
      <c r="F404" t="inlineStr">
        <is>
          <t>Övriga Aktiebolag</t>
        </is>
      </c>
      <c r="G404" t="n">
        <v>0.5</v>
      </c>
      <c r="H404" t="n">
        <v>0</v>
      </c>
      <c r="I404" t="n">
        <v>0</v>
      </c>
      <c r="J404" t="n">
        <v>0</v>
      </c>
      <c r="K404" t="n">
        <v>0</v>
      </c>
      <c r="L404" t="n">
        <v>0</v>
      </c>
      <c r="M404" t="n">
        <v>0</v>
      </c>
      <c r="N404" t="n">
        <v>0</v>
      </c>
      <c r="O404" t="n">
        <v>0</v>
      </c>
      <c r="P404" t="n">
        <v>0</v>
      </c>
      <c r="Q404" t="n">
        <v>0</v>
      </c>
      <c r="R404" s="2" t="inlineStr"/>
    </row>
    <row r="405" ht="15" customHeight="1">
      <c r="A405" t="inlineStr">
        <is>
          <t>A 10944-2024</t>
        </is>
      </c>
      <c r="B405" s="1" t="n">
        <v>45370</v>
      </c>
      <c r="C405" s="1" t="n">
        <v>45976</v>
      </c>
      <c r="D405" t="inlineStr">
        <is>
          <t>SKÅNE LÄN</t>
        </is>
      </c>
      <c r="E405" t="inlineStr">
        <is>
          <t>HÄSSLEHOLM</t>
        </is>
      </c>
      <c r="F405" t="inlineStr">
        <is>
          <t>Övriga Aktiebolag</t>
        </is>
      </c>
      <c r="G405" t="n">
        <v>2.6</v>
      </c>
      <c r="H405" t="n">
        <v>0</v>
      </c>
      <c r="I405" t="n">
        <v>0</v>
      </c>
      <c r="J405" t="n">
        <v>0</v>
      </c>
      <c r="K405" t="n">
        <v>0</v>
      </c>
      <c r="L405" t="n">
        <v>0</v>
      </c>
      <c r="M405" t="n">
        <v>0</v>
      </c>
      <c r="N405" t="n">
        <v>0</v>
      </c>
      <c r="O405" t="n">
        <v>0</v>
      </c>
      <c r="P405" t="n">
        <v>0</v>
      </c>
      <c r="Q405" t="n">
        <v>0</v>
      </c>
      <c r="R405" s="2" t="inlineStr"/>
    </row>
    <row r="406" ht="15" customHeight="1">
      <c r="A406" t="inlineStr">
        <is>
          <t>A 55056-2021</t>
        </is>
      </c>
      <c r="B406" s="1" t="n">
        <v>44474.62072916667</v>
      </c>
      <c r="C406" s="1" t="n">
        <v>45976</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6087-2025</t>
        </is>
      </c>
      <c r="B407" s="1" t="n">
        <v>45697.69782407407</v>
      </c>
      <c r="C407" s="1" t="n">
        <v>45976</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33466-2024</t>
        </is>
      </c>
      <c r="B408" s="1" t="n">
        <v>45519</v>
      </c>
      <c r="C408" s="1" t="n">
        <v>45976</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2479-2024</t>
        </is>
      </c>
      <c r="B409" s="1" t="n">
        <v>45313.40148148148</v>
      </c>
      <c r="C409" s="1" t="n">
        <v>45976</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6612-2024</t>
        </is>
      </c>
      <c r="B410" s="1" t="n">
        <v>45341.58859953703</v>
      </c>
      <c r="C410" s="1" t="n">
        <v>45976</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13544-2025</t>
        </is>
      </c>
      <c r="B411" s="1" t="n">
        <v>45736</v>
      </c>
      <c r="C411" s="1" t="n">
        <v>45976</v>
      </c>
      <c r="D411" t="inlineStr">
        <is>
          <t>SKÅNE LÄN</t>
        </is>
      </c>
      <c r="E411" t="inlineStr">
        <is>
          <t>HÄSSLEHOLM</t>
        </is>
      </c>
      <c r="G411" t="n">
        <v>2.5</v>
      </c>
      <c r="H411" t="n">
        <v>0</v>
      </c>
      <c r="I411" t="n">
        <v>0</v>
      </c>
      <c r="J411" t="n">
        <v>0</v>
      </c>
      <c r="K411" t="n">
        <v>0</v>
      </c>
      <c r="L411" t="n">
        <v>0</v>
      </c>
      <c r="M411" t="n">
        <v>0</v>
      </c>
      <c r="N411" t="n">
        <v>0</v>
      </c>
      <c r="O411" t="n">
        <v>0</v>
      </c>
      <c r="P411" t="n">
        <v>0</v>
      </c>
      <c r="Q411" t="n">
        <v>0</v>
      </c>
      <c r="R411" s="2" t="inlineStr"/>
    </row>
    <row r="412" ht="15" customHeight="1">
      <c r="A412" t="inlineStr">
        <is>
          <t>A 26403-2024</t>
        </is>
      </c>
      <c r="B412" s="1" t="n">
        <v>45469.44505787037</v>
      </c>
      <c r="C412" s="1" t="n">
        <v>45976</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26403-2024</t>
        </is>
      </c>
      <c r="B413" s="1" t="n">
        <v>45469.44505787037</v>
      </c>
      <c r="C413" s="1" t="n">
        <v>45976</v>
      </c>
      <c r="D413" t="inlineStr">
        <is>
          <t>SKÅNE LÄN</t>
        </is>
      </c>
      <c r="E413" t="inlineStr">
        <is>
          <t>HÄSSLEHOLM</t>
        </is>
      </c>
      <c r="G413" t="n">
        <v>2.6</v>
      </c>
      <c r="H413" t="n">
        <v>0</v>
      </c>
      <c r="I413" t="n">
        <v>0</v>
      </c>
      <c r="J413" t="n">
        <v>0</v>
      </c>
      <c r="K413" t="n">
        <v>0</v>
      </c>
      <c r="L413" t="n">
        <v>0</v>
      </c>
      <c r="M413" t="n">
        <v>0</v>
      </c>
      <c r="N413" t="n">
        <v>0</v>
      </c>
      <c r="O413" t="n">
        <v>0</v>
      </c>
      <c r="P413" t="n">
        <v>0</v>
      </c>
      <c r="Q413" t="n">
        <v>0</v>
      </c>
      <c r="R413" s="2" t="inlineStr"/>
    </row>
    <row r="414" ht="15" customHeight="1">
      <c r="A414" t="inlineStr">
        <is>
          <t>A 9556-2025</t>
        </is>
      </c>
      <c r="B414" s="1" t="n">
        <v>45714</v>
      </c>
      <c r="C414" s="1" t="n">
        <v>45976</v>
      </c>
      <c r="D414" t="inlineStr">
        <is>
          <t>SKÅNE LÄN</t>
        </is>
      </c>
      <c r="E414" t="inlineStr">
        <is>
          <t>HÄSSLEHOLM</t>
        </is>
      </c>
      <c r="G414" t="n">
        <v>1.8</v>
      </c>
      <c r="H414" t="n">
        <v>0</v>
      </c>
      <c r="I414" t="n">
        <v>0</v>
      </c>
      <c r="J414" t="n">
        <v>0</v>
      </c>
      <c r="K414" t="n">
        <v>0</v>
      </c>
      <c r="L414" t="n">
        <v>0</v>
      </c>
      <c r="M414" t="n">
        <v>0</v>
      </c>
      <c r="N414" t="n">
        <v>0</v>
      </c>
      <c r="O414" t="n">
        <v>0</v>
      </c>
      <c r="P414" t="n">
        <v>0</v>
      </c>
      <c r="Q414" t="n">
        <v>0</v>
      </c>
      <c r="R414" s="2" t="inlineStr"/>
    </row>
    <row r="415" ht="15" customHeight="1">
      <c r="A415" t="inlineStr">
        <is>
          <t>A 8755-2024</t>
        </is>
      </c>
      <c r="B415" s="1" t="n">
        <v>45356</v>
      </c>
      <c r="C415" s="1" t="n">
        <v>45976</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8760-2024</t>
        </is>
      </c>
      <c r="B416" s="1" t="n">
        <v>45356.53420138889</v>
      </c>
      <c r="C416" s="1" t="n">
        <v>45976</v>
      </c>
      <c r="D416" t="inlineStr">
        <is>
          <t>SKÅNE LÄN</t>
        </is>
      </c>
      <c r="E416" t="inlineStr">
        <is>
          <t>HÄSSLEHOLM</t>
        </is>
      </c>
      <c r="G416" t="n">
        <v>6.1</v>
      </c>
      <c r="H416" t="n">
        <v>0</v>
      </c>
      <c r="I416" t="n">
        <v>0</v>
      </c>
      <c r="J416" t="n">
        <v>0</v>
      </c>
      <c r="K416" t="n">
        <v>0</v>
      </c>
      <c r="L416" t="n">
        <v>0</v>
      </c>
      <c r="M416" t="n">
        <v>0</v>
      </c>
      <c r="N416" t="n">
        <v>0</v>
      </c>
      <c r="O416" t="n">
        <v>0</v>
      </c>
      <c r="P416" t="n">
        <v>0</v>
      </c>
      <c r="Q416" t="n">
        <v>0</v>
      </c>
      <c r="R416" s="2" t="inlineStr"/>
    </row>
    <row r="417" ht="15" customHeight="1">
      <c r="A417" t="inlineStr">
        <is>
          <t>A 1886-2025</t>
        </is>
      </c>
      <c r="B417" s="1" t="n">
        <v>45671</v>
      </c>
      <c r="C417" s="1" t="n">
        <v>45976</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26397-2023</t>
        </is>
      </c>
      <c r="B418" s="1" t="n">
        <v>45087</v>
      </c>
      <c r="C418" s="1" t="n">
        <v>45976</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16860-2025</t>
        </is>
      </c>
      <c r="B419" s="1" t="n">
        <v>45751</v>
      </c>
      <c r="C419" s="1" t="n">
        <v>45976</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26879-2024</t>
        </is>
      </c>
      <c r="B420" s="1" t="n">
        <v>45470</v>
      </c>
      <c r="C420" s="1" t="n">
        <v>45976</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1119-2024</t>
        </is>
      </c>
      <c r="B421" s="1" t="n">
        <v>45302</v>
      </c>
      <c r="C421" s="1" t="n">
        <v>45976</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33257-2024</t>
        </is>
      </c>
      <c r="B422" s="1" t="n">
        <v>45518</v>
      </c>
      <c r="C422" s="1" t="n">
        <v>45976</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54473-2023</t>
        </is>
      </c>
      <c r="B423" s="1" t="n">
        <v>45233</v>
      </c>
      <c r="C423" s="1" t="n">
        <v>45976</v>
      </c>
      <c r="D423" t="inlineStr">
        <is>
          <t>SKÅNE LÄN</t>
        </is>
      </c>
      <c r="E423" t="inlineStr">
        <is>
          <t>HÄSSLEHOLM</t>
        </is>
      </c>
      <c r="G423" t="n">
        <v>24.5</v>
      </c>
      <c r="H423" t="n">
        <v>0</v>
      </c>
      <c r="I423" t="n">
        <v>0</v>
      </c>
      <c r="J423" t="n">
        <v>0</v>
      </c>
      <c r="K423" t="n">
        <v>0</v>
      </c>
      <c r="L423" t="n">
        <v>0</v>
      </c>
      <c r="M423" t="n">
        <v>0</v>
      </c>
      <c r="N423" t="n">
        <v>0</v>
      </c>
      <c r="O423" t="n">
        <v>0</v>
      </c>
      <c r="P423" t="n">
        <v>0</v>
      </c>
      <c r="Q423" t="n">
        <v>0</v>
      </c>
      <c r="R423" s="2" t="inlineStr"/>
    </row>
    <row r="424" ht="15" customHeight="1">
      <c r="A424" t="inlineStr">
        <is>
          <t>A 11240-2023</t>
        </is>
      </c>
      <c r="B424" s="1" t="n">
        <v>44992</v>
      </c>
      <c r="C424" s="1" t="n">
        <v>45976</v>
      </c>
      <c r="D424" t="inlineStr">
        <is>
          <t>SKÅNE LÄN</t>
        </is>
      </c>
      <c r="E424" t="inlineStr">
        <is>
          <t>HÄSSLEHOLM</t>
        </is>
      </c>
      <c r="G424" t="n">
        <v>2.1</v>
      </c>
      <c r="H424" t="n">
        <v>0</v>
      </c>
      <c r="I424" t="n">
        <v>0</v>
      </c>
      <c r="J424" t="n">
        <v>0</v>
      </c>
      <c r="K424" t="n">
        <v>0</v>
      </c>
      <c r="L424" t="n">
        <v>0</v>
      </c>
      <c r="M424" t="n">
        <v>0</v>
      </c>
      <c r="N424" t="n">
        <v>0</v>
      </c>
      <c r="O424" t="n">
        <v>0</v>
      </c>
      <c r="P424" t="n">
        <v>0</v>
      </c>
      <c r="Q424" t="n">
        <v>0</v>
      </c>
      <c r="R424" s="2" t="inlineStr"/>
    </row>
    <row r="425" ht="15" customHeight="1">
      <c r="A425" t="inlineStr">
        <is>
          <t>A 58888-2024</t>
        </is>
      </c>
      <c r="B425" s="1" t="n">
        <v>45636.45962962963</v>
      </c>
      <c r="C425" s="1" t="n">
        <v>45976</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16334-2024</t>
        </is>
      </c>
      <c r="B426" s="1" t="n">
        <v>45407.54856481482</v>
      </c>
      <c r="C426" s="1" t="n">
        <v>45976</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16108-2025</t>
        </is>
      </c>
      <c r="B427" s="1" t="n">
        <v>45750.34667824074</v>
      </c>
      <c r="C427" s="1" t="n">
        <v>45976</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48326-2023</t>
        </is>
      </c>
      <c r="B428" s="1" t="n">
        <v>45205</v>
      </c>
      <c r="C428" s="1" t="n">
        <v>45976</v>
      </c>
      <c r="D428" t="inlineStr">
        <is>
          <t>SKÅNE LÄN</t>
        </is>
      </c>
      <c r="E428" t="inlineStr">
        <is>
          <t>HÄSSLEHOLM</t>
        </is>
      </c>
      <c r="G428" t="n">
        <v>12.7</v>
      </c>
      <c r="H428" t="n">
        <v>0</v>
      </c>
      <c r="I428" t="n">
        <v>0</v>
      </c>
      <c r="J428" t="n">
        <v>0</v>
      </c>
      <c r="K428" t="n">
        <v>0</v>
      </c>
      <c r="L428" t="n">
        <v>0</v>
      </c>
      <c r="M428" t="n">
        <v>0</v>
      </c>
      <c r="N428" t="n">
        <v>0</v>
      </c>
      <c r="O428" t="n">
        <v>0</v>
      </c>
      <c r="P428" t="n">
        <v>0</v>
      </c>
      <c r="Q428" t="n">
        <v>0</v>
      </c>
      <c r="R428" s="2" t="inlineStr"/>
    </row>
    <row r="429" ht="15" customHeight="1">
      <c r="A429" t="inlineStr">
        <is>
          <t>A 3663-2024</t>
        </is>
      </c>
      <c r="B429" s="1" t="n">
        <v>45321.34775462963</v>
      </c>
      <c r="C429" s="1" t="n">
        <v>45976</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54518-2022</t>
        </is>
      </c>
      <c r="B430" s="1" t="n">
        <v>44882</v>
      </c>
      <c r="C430" s="1" t="n">
        <v>45976</v>
      </c>
      <c r="D430" t="inlineStr">
        <is>
          <t>SKÅNE LÄN</t>
        </is>
      </c>
      <c r="E430" t="inlineStr">
        <is>
          <t>HÄSSLEHOLM</t>
        </is>
      </c>
      <c r="F430" t="inlineStr">
        <is>
          <t>Övriga Aktiebolag</t>
        </is>
      </c>
      <c r="G430" t="n">
        <v>6.8</v>
      </c>
      <c r="H430" t="n">
        <v>0</v>
      </c>
      <c r="I430" t="n">
        <v>0</v>
      </c>
      <c r="J430" t="n">
        <v>0</v>
      </c>
      <c r="K430" t="n">
        <v>0</v>
      </c>
      <c r="L430" t="n">
        <v>0</v>
      </c>
      <c r="M430" t="n">
        <v>0</v>
      </c>
      <c r="N430" t="n">
        <v>0</v>
      </c>
      <c r="O430" t="n">
        <v>0</v>
      </c>
      <c r="P430" t="n">
        <v>0</v>
      </c>
      <c r="Q430" t="n">
        <v>0</v>
      </c>
      <c r="R430" s="2" t="inlineStr"/>
    </row>
    <row r="431" ht="15" customHeight="1">
      <c r="A431" t="inlineStr">
        <is>
          <t>A 57491-2024</t>
        </is>
      </c>
      <c r="B431" s="1" t="n">
        <v>45629</v>
      </c>
      <c r="C431" s="1" t="n">
        <v>45976</v>
      </c>
      <c r="D431" t="inlineStr">
        <is>
          <t>SKÅNE LÄN</t>
        </is>
      </c>
      <c r="E431" t="inlineStr">
        <is>
          <t>HÄSSLEHOLM</t>
        </is>
      </c>
      <c r="G431" t="n">
        <v>3.2</v>
      </c>
      <c r="H431" t="n">
        <v>0</v>
      </c>
      <c r="I431" t="n">
        <v>0</v>
      </c>
      <c r="J431" t="n">
        <v>0</v>
      </c>
      <c r="K431" t="n">
        <v>0</v>
      </c>
      <c r="L431" t="n">
        <v>0</v>
      </c>
      <c r="M431" t="n">
        <v>0</v>
      </c>
      <c r="N431" t="n">
        <v>0</v>
      </c>
      <c r="O431" t="n">
        <v>0</v>
      </c>
      <c r="P431" t="n">
        <v>0</v>
      </c>
      <c r="Q431" t="n">
        <v>0</v>
      </c>
      <c r="R431" s="2" t="inlineStr"/>
    </row>
    <row r="432" ht="15" customHeight="1">
      <c r="A432" t="inlineStr">
        <is>
          <t>A 52912-2022</t>
        </is>
      </c>
      <c r="B432" s="1" t="n">
        <v>44872</v>
      </c>
      <c r="C432" s="1" t="n">
        <v>45976</v>
      </c>
      <c r="D432" t="inlineStr">
        <is>
          <t>SKÅNE LÄN</t>
        </is>
      </c>
      <c r="E432" t="inlineStr">
        <is>
          <t>HÄSSLEHOLM</t>
        </is>
      </c>
      <c r="G432" t="n">
        <v>4.7</v>
      </c>
      <c r="H432" t="n">
        <v>0</v>
      </c>
      <c r="I432" t="n">
        <v>0</v>
      </c>
      <c r="J432" t="n">
        <v>0</v>
      </c>
      <c r="K432" t="n">
        <v>0</v>
      </c>
      <c r="L432" t="n">
        <v>0</v>
      </c>
      <c r="M432" t="n">
        <v>0</v>
      </c>
      <c r="N432" t="n">
        <v>0</v>
      </c>
      <c r="O432" t="n">
        <v>0</v>
      </c>
      <c r="P432" t="n">
        <v>0</v>
      </c>
      <c r="Q432" t="n">
        <v>0</v>
      </c>
      <c r="R432" s="2" t="inlineStr"/>
    </row>
    <row r="433" ht="15" customHeight="1">
      <c r="A433" t="inlineStr">
        <is>
          <t>A 24865-2024</t>
        </is>
      </c>
      <c r="B433" s="1" t="n">
        <v>45461.48974537037</v>
      </c>
      <c r="C433" s="1" t="n">
        <v>45976</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16950-2025</t>
        </is>
      </c>
      <c r="B434" s="1" t="n">
        <v>45755</v>
      </c>
      <c r="C434" s="1" t="n">
        <v>45976</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27502-2023</t>
        </is>
      </c>
      <c r="B435" s="1" t="n">
        <v>45092</v>
      </c>
      <c r="C435" s="1" t="n">
        <v>45976</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58272-2024</t>
        </is>
      </c>
      <c r="B436" s="1" t="n">
        <v>45632.57025462963</v>
      </c>
      <c r="C436" s="1" t="n">
        <v>45976</v>
      </c>
      <c r="D436" t="inlineStr">
        <is>
          <t>SKÅNE LÄN</t>
        </is>
      </c>
      <c r="E436" t="inlineStr">
        <is>
          <t>HÄSSLEHOLM</t>
        </is>
      </c>
      <c r="G436" t="n">
        <v>2.3</v>
      </c>
      <c r="H436" t="n">
        <v>0</v>
      </c>
      <c r="I436" t="n">
        <v>0</v>
      </c>
      <c r="J436" t="n">
        <v>0</v>
      </c>
      <c r="K436" t="n">
        <v>0</v>
      </c>
      <c r="L436" t="n">
        <v>0</v>
      </c>
      <c r="M436" t="n">
        <v>0</v>
      </c>
      <c r="N436" t="n">
        <v>0</v>
      </c>
      <c r="O436" t="n">
        <v>0</v>
      </c>
      <c r="P436" t="n">
        <v>0</v>
      </c>
      <c r="Q436" t="n">
        <v>0</v>
      </c>
      <c r="R436" s="2" t="inlineStr"/>
    </row>
    <row r="437" ht="15" customHeight="1">
      <c r="A437" t="inlineStr">
        <is>
          <t>A 6791-2021</t>
        </is>
      </c>
      <c r="B437" s="1" t="n">
        <v>44236</v>
      </c>
      <c r="C437" s="1" t="n">
        <v>45976</v>
      </c>
      <c r="D437" t="inlineStr">
        <is>
          <t>SKÅNE LÄN</t>
        </is>
      </c>
      <c r="E437" t="inlineStr">
        <is>
          <t>HÄSSLEHOLM</t>
        </is>
      </c>
      <c r="G437" t="n">
        <v>1.7</v>
      </c>
      <c r="H437" t="n">
        <v>0</v>
      </c>
      <c r="I437" t="n">
        <v>0</v>
      </c>
      <c r="J437" t="n">
        <v>0</v>
      </c>
      <c r="K437" t="n">
        <v>0</v>
      </c>
      <c r="L437" t="n">
        <v>0</v>
      </c>
      <c r="M437" t="n">
        <v>0</v>
      </c>
      <c r="N437" t="n">
        <v>0</v>
      </c>
      <c r="O437" t="n">
        <v>0</v>
      </c>
      <c r="P437" t="n">
        <v>0</v>
      </c>
      <c r="Q437" t="n">
        <v>0</v>
      </c>
      <c r="R437" s="2" t="inlineStr"/>
    </row>
    <row r="438" ht="15" customHeight="1">
      <c r="A438" t="inlineStr">
        <is>
          <t>A 18580-2023</t>
        </is>
      </c>
      <c r="B438" s="1" t="n">
        <v>45043.37037037037</v>
      </c>
      <c r="C438" s="1" t="n">
        <v>45976</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1445-2021</t>
        </is>
      </c>
      <c r="B439" s="1" t="n">
        <v>44208</v>
      </c>
      <c r="C439" s="1" t="n">
        <v>45976</v>
      </c>
      <c r="D439" t="inlineStr">
        <is>
          <t>SKÅNE LÄN</t>
        </is>
      </c>
      <c r="E439" t="inlineStr">
        <is>
          <t>HÄSSLEHOLM</t>
        </is>
      </c>
      <c r="G439" t="n">
        <v>4.6</v>
      </c>
      <c r="H439" t="n">
        <v>0</v>
      </c>
      <c r="I439" t="n">
        <v>0</v>
      </c>
      <c r="J439" t="n">
        <v>0</v>
      </c>
      <c r="K439" t="n">
        <v>0</v>
      </c>
      <c r="L439" t="n">
        <v>0</v>
      </c>
      <c r="M439" t="n">
        <v>0</v>
      </c>
      <c r="N439" t="n">
        <v>0</v>
      </c>
      <c r="O439" t="n">
        <v>0</v>
      </c>
      <c r="P439" t="n">
        <v>0</v>
      </c>
      <c r="Q439" t="n">
        <v>0</v>
      </c>
      <c r="R439" s="2" t="inlineStr"/>
    </row>
    <row r="440" ht="15" customHeight="1">
      <c r="A440" t="inlineStr">
        <is>
          <t>A 9611-2025</t>
        </is>
      </c>
      <c r="B440" s="1" t="n">
        <v>45715</v>
      </c>
      <c r="C440" s="1" t="n">
        <v>45976</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6836-2023</t>
        </is>
      </c>
      <c r="B441" s="1" t="n">
        <v>44967</v>
      </c>
      <c r="C441" s="1" t="n">
        <v>45976</v>
      </c>
      <c r="D441" t="inlineStr">
        <is>
          <t>SKÅNE LÄN</t>
        </is>
      </c>
      <c r="E441" t="inlineStr">
        <is>
          <t>HÄSSLEHOLM</t>
        </is>
      </c>
      <c r="G441" t="n">
        <v>3.5</v>
      </c>
      <c r="H441" t="n">
        <v>0</v>
      </c>
      <c r="I441" t="n">
        <v>0</v>
      </c>
      <c r="J441" t="n">
        <v>0</v>
      </c>
      <c r="K441" t="n">
        <v>0</v>
      </c>
      <c r="L441" t="n">
        <v>0</v>
      </c>
      <c r="M441" t="n">
        <v>0</v>
      </c>
      <c r="N441" t="n">
        <v>0</v>
      </c>
      <c r="O441" t="n">
        <v>0</v>
      </c>
      <c r="P441" t="n">
        <v>0</v>
      </c>
      <c r="Q441" t="n">
        <v>0</v>
      </c>
      <c r="R441" s="2" t="inlineStr"/>
    </row>
    <row r="442" ht="15" customHeight="1">
      <c r="A442" t="inlineStr">
        <is>
          <t>A 6845-2023</t>
        </is>
      </c>
      <c r="B442" s="1" t="n">
        <v>44967</v>
      </c>
      <c r="C442" s="1" t="n">
        <v>45976</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24906-2022</t>
        </is>
      </c>
      <c r="B443" s="1" t="n">
        <v>44728</v>
      </c>
      <c r="C443" s="1" t="n">
        <v>45976</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1560-2023</t>
        </is>
      </c>
      <c r="B444" s="1" t="n">
        <v>44937</v>
      </c>
      <c r="C444" s="1" t="n">
        <v>45976</v>
      </c>
      <c r="D444" t="inlineStr">
        <is>
          <t>SKÅNE LÄN</t>
        </is>
      </c>
      <c r="E444" t="inlineStr">
        <is>
          <t>HÄSSLEHOLM</t>
        </is>
      </c>
      <c r="G444" t="n">
        <v>6.8</v>
      </c>
      <c r="H444" t="n">
        <v>0</v>
      </c>
      <c r="I444" t="n">
        <v>0</v>
      </c>
      <c r="J444" t="n">
        <v>0</v>
      </c>
      <c r="K444" t="n">
        <v>0</v>
      </c>
      <c r="L444" t="n">
        <v>0</v>
      </c>
      <c r="M444" t="n">
        <v>0</v>
      </c>
      <c r="N444" t="n">
        <v>0</v>
      </c>
      <c r="O444" t="n">
        <v>0</v>
      </c>
      <c r="P444" t="n">
        <v>0</v>
      </c>
      <c r="Q444" t="n">
        <v>0</v>
      </c>
      <c r="R444" s="2" t="inlineStr"/>
    </row>
    <row r="445" ht="15" customHeight="1">
      <c r="A445" t="inlineStr">
        <is>
          <t>A 53887-2023</t>
        </is>
      </c>
      <c r="B445" s="1" t="n">
        <v>45231.52675925926</v>
      </c>
      <c r="C445" s="1" t="n">
        <v>45976</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3890-2024</t>
        </is>
      </c>
      <c r="B446" s="1" t="n">
        <v>45322.45366898148</v>
      </c>
      <c r="C446" s="1" t="n">
        <v>45976</v>
      </c>
      <c r="D446" t="inlineStr">
        <is>
          <t>SKÅNE LÄN</t>
        </is>
      </c>
      <c r="E446" t="inlineStr">
        <is>
          <t>HÄSSLEHOLM</t>
        </is>
      </c>
      <c r="G446" t="n">
        <v>3</v>
      </c>
      <c r="H446" t="n">
        <v>0</v>
      </c>
      <c r="I446" t="n">
        <v>0</v>
      </c>
      <c r="J446" t="n">
        <v>0</v>
      </c>
      <c r="K446" t="n">
        <v>0</v>
      </c>
      <c r="L446" t="n">
        <v>0</v>
      </c>
      <c r="M446" t="n">
        <v>0</v>
      </c>
      <c r="N446" t="n">
        <v>0</v>
      </c>
      <c r="O446" t="n">
        <v>0</v>
      </c>
      <c r="P446" t="n">
        <v>0</v>
      </c>
      <c r="Q446" t="n">
        <v>0</v>
      </c>
      <c r="R446" s="2" t="inlineStr"/>
    </row>
    <row r="447" ht="15" customHeight="1">
      <c r="A447" t="inlineStr">
        <is>
          <t>A 15800-2025</t>
        </is>
      </c>
      <c r="B447" s="1" t="n">
        <v>45748.64831018518</v>
      </c>
      <c r="C447" s="1" t="n">
        <v>45976</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28599-2024</t>
        </is>
      </c>
      <c r="B448" s="1" t="n">
        <v>45478.4247800926</v>
      </c>
      <c r="C448" s="1" t="n">
        <v>45976</v>
      </c>
      <c r="D448" t="inlineStr">
        <is>
          <t>SKÅNE LÄN</t>
        </is>
      </c>
      <c r="E448" t="inlineStr">
        <is>
          <t>HÄSSLEHOLM</t>
        </is>
      </c>
      <c r="G448" t="n">
        <v>8.6</v>
      </c>
      <c r="H448" t="n">
        <v>0</v>
      </c>
      <c r="I448" t="n">
        <v>0</v>
      </c>
      <c r="J448" t="n">
        <v>0</v>
      </c>
      <c r="K448" t="n">
        <v>0</v>
      </c>
      <c r="L448" t="n">
        <v>0</v>
      </c>
      <c r="M448" t="n">
        <v>0</v>
      </c>
      <c r="N448" t="n">
        <v>0</v>
      </c>
      <c r="O448" t="n">
        <v>0</v>
      </c>
      <c r="P448" t="n">
        <v>0</v>
      </c>
      <c r="Q448" t="n">
        <v>0</v>
      </c>
      <c r="R448" s="2" t="inlineStr"/>
    </row>
    <row r="449" ht="15" customHeight="1">
      <c r="A449" t="inlineStr">
        <is>
          <t>A 47394-2025</t>
        </is>
      </c>
      <c r="B449" s="1" t="n">
        <v>45930</v>
      </c>
      <c r="C449" s="1" t="n">
        <v>45976</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47432-2025</t>
        </is>
      </c>
      <c r="B450" s="1" t="n">
        <v>45930</v>
      </c>
      <c r="C450" s="1" t="n">
        <v>45976</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47352-2025</t>
        </is>
      </c>
      <c r="B451" s="1" t="n">
        <v>45930</v>
      </c>
      <c r="C451" s="1" t="n">
        <v>45976</v>
      </c>
      <c r="D451" t="inlineStr">
        <is>
          <t>SKÅNE LÄN</t>
        </is>
      </c>
      <c r="E451" t="inlineStr">
        <is>
          <t>HÄSSLEHOLM</t>
        </is>
      </c>
      <c r="G451" t="n">
        <v>16.6</v>
      </c>
      <c r="H451" t="n">
        <v>0</v>
      </c>
      <c r="I451" t="n">
        <v>0</v>
      </c>
      <c r="J451" t="n">
        <v>0</v>
      </c>
      <c r="K451" t="n">
        <v>0</v>
      </c>
      <c r="L451" t="n">
        <v>0</v>
      </c>
      <c r="M451" t="n">
        <v>0</v>
      </c>
      <c r="N451" t="n">
        <v>0</v>
      </c>
      <c r="O451" t="n">
        <v>0</v>
      </c>
      <c r="P451" t="n">
        <v>0</v>
      </c>
      <c r="Q451" t="n">
        <v>0</v>
      </c>
      <c r="R451" s="2" t="inlineStr"/>
    </row>
    <row r="452" ht="15" customHeight="1">
      <c r="A452" t="inlineStr">
        <is>
          <t>A 39366-2025</t>
        </is>
      </c>
      <c r="B452" s="1" t="n">
        <v>45889</v>
      </c>
      <c r="C452" s="1" t="n">
        <v>45976</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16121-2025</t>
        </is>
      </c>
      <c r="B453" s="1" t="n">
        <v>45750.40384259259</v>
      </c>
      <c r="C453" s="1" t="n">
        <v>45976</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11446-2025</t>
        </is>
      </c>
      <c r="B454" s="1" t="n">
        <v>45726</v>
      </c>
      <c r="C454" s="1" t="n">
        <v>45976</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21329-2023</t>
        </is>
      </c>
      <c r="B455" s="1" t="n">
        <v>45062</v>
      </c>
      <c r="C455" s="1" t="n">
        <v>45976</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13897-2024</t>
        </is>
      </c>
      <c r="B456" s="1" t="n">
        <v>45391</v>
      </c>
      <c r="C456" s="1" t="n">
        <v>45976</v>
      </c>
      <c r="D456" t="inlineStr">
        <is>
          <t>SKÅNE LÄN</t>
        </is>
      </c>
      <c r="E456" t="inlineStr">
        <is>
          <t>HÄSSLEHOLM</t>
        </is>
      </c>
      <c r="F456" t="inlineStr">
        <is>
          <t>Kommuner</t>
        </is>
      </c>
      <c r="G456" t="n">
        <v>4</v>
      </c>
      <c r="H456" t="n">
        <v>0</v>
      </c>
      <c r="I456" t="n">
        <v>0</v>
      </c>
      <c r="J456" t="n">
        <v>0</v>
      </c>
      <c r="K456" t="n">
        <v>0</v>
      </c>
      <c r="L456" t="n">
        <v>0</v>
      </c>
      <c r="M456" t="n">
        <v>0</v>
      </c>
      <c r="N456" t="n">
        <v>0</v>
      </c>
      <c r="O456" t="n">
        <v>0</v>
      </c>
      <c r="P456" t="n">
        <v>0</v>
      </c>
      <c r="Q456" t="n">
        <v>0</v>
      </c>
      <c r="R456" s="2" t="inlineStr"/>
    </row>
    <row r="457" ht="15" customHeight="1">
      <c r="A457" t="inlineStr">
        <is>
          <t>A 56355-2023</t>
        </is>
      </c>
      <c r="B457" s="1" t="n">
        <v>45243.3702662037</v>
      </c>
      <c r="C457" s="1" t="n">
        <v>45976</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1543-2024</t>
        </is>
      </c>
      <c r="B458" s="1" t="n">
        <v>45306</v>
      </c>
      <c r="C458" s="1" t="n">
        <v>45976</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18800-2023</t>
        </is>
      </c>
      <c r="B459" s="1" t="n">
        <v>45044</v>
      </c>
      <c r="C459" s="1" t="n">
        <v>45976</v>
      </c>
      <c r="D459" t="inlineStr">
        <is>
          <t>SKÅNE LÄN</t>
        </is>
      </c>
      <c r="E459" t="inlineStr">
        <is>
          <t>HÄSSLEHOLM</t>
        </is>
      </c>
      <c r="G459" t="n">
        <v>1.1</v>
      </c>
      <c r="H459" t="n">
        <v>0</v>
      </c>
      <c r="I459" t="n">
        <v>0</v>
      </c>
      <c r="J459" t="n">
        <v>0</v>
      </c>
      <c r="K459" t="n">
        <v>0</v>
      </c>
      <c r="L459" t="n">
        <v>0</v>
      </c>
      <c r="M459" t="n">
        <v>0</v>
      </c>
      <c r="N459" t="n">
        <v>0</v>
      </c>
      <c r="O459" t="n">
        <v>0</v>
      </c>
      <c r="P459" t="n">
        <v>0</v>
      </c>
      <c r="Q459" t="n">
        <v>0</v>
      </c>
      <c r="R459" s="2" t="inlineStr"/>
    </row>
    <row r="460" ht="15" customHeight="1">
      <c r="A460" t="inlineStr">
        <is>
          <t>A 47450-2025</t>
        </is>
      </c>
      <c r="B460" s="1" t="n">
        <v>45930</v>
      </c>
      <c r="C460" s="1" t="n">
        <v>45976</v>
      </c>
      <c r="D460" t="inlineStr">
        <is>
          <t>SKÅNE LÄN</t>
        </is>
      </c>
      <c r="E460" t="inlineStr">
        <is>
          <t>HÄSSLEHOLM</t>
        </is>
      </c>
      <c r="G460" t="n">
        <v>3.2</v>
      </c>
      <c r="H460" t="n">
        <v>0</v>
      </c>
      <c r="I460" t="n">
        <v>0</v>
      </c>
      <c r="J460" t="n">
        <v>0</v>
      </c>
      <c r="K460" t="n">
        <v>0</v>
      </c>
      <c r="L460" t="n">
        <v>0</v>
      </c>
      <c r="M460" t="n">
        <v>0</v>
      </c>
      <c r="N460" t="n">
        <v>0</v>
      </c>
      <c r="O460" t="n">
        <v>0</v>
      </c>
      <c r="P460" t="n">
        <v>0</v>
      </c>
      <c r="Q460" t="n">
        <v>0</v>
      </c>
      <c r="R460" s="2" t="inlineStr"/>
    </row>
    <row r="461" ht="15" customHeight="1">
      <c r="A461" t="inlineStr">
        <is>
          <t>A 47422-2025</t>
        </is>
      </c>
      <c r="B461" s="1" t="n">
        <v>45930</v>
      </c>
      <c r="C461" s="1" t="n">
        <v>45976</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9393-2025</t>
        </is>
      </c>
      <c r="B462" s="1" t="n">
        <v>45715.36230324074</v>
      </c>
      <c r="C462" s="1" t="n">
        <v>45976</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4734-2025</t>
        </is>
      </c>
      <c r="B463" s="1" t="n">
        <v>45688.44030092593</v>
      </c>
      <c r="C463" s="1" t="n">
        <v>45976</v>
      </c>
      <c r="D463" t="inlineStr">
        <is>
          <t>SKÅNE LÄN</t>
        </is>
      </c>
      <c r="E463" t="inlineStr">
        <is>
          <t>HÄSSLEHOLM</t>
        </is>
      </c>
      <c r="G463" t="n">
        <v>19.6</v>
      </c>
      <c r="H463" t="n">
        <v>0</v>
      </c>
      <c r="I463" t="n">
        <v>0</v>
      </c>
      <c r="J463" t="n">
        <v>0</v>
      </c>
      <c r="K463" t="n">
        <v>0</v>
      </c>
      <c r="L463" t="n">
        <v>0</v>
      </c>
      <c r="M463" t="n">
        <v>0</v>
      </c>
      <c r="N463" t="n">
        <v>0</v>
      </c>
      <c r="O463" t="n">
        <v>0</v>
      </c>
      <c r="P463" t="n">
        <v>0</v>
      </c>
      <c r="Q463" t="n">
        <v>0</v>
      </c>
      <c r="R463" s="2" t="inlineStr"/>
    </row>
    <row r="464" ht="15" customHeight="1">
      <c r="A464" t="inlineStr">
        <is>
          <t>A 24776-2025</t>
        </is>
      </c>
      <c r="B464" s="1" t="n">
        <v>45799.40640046296</v>
      </c>
      <c r="C464" s="1" t="n">
        <v>45976</v>
      </c>
      <c r="D464" t="inlineStr">
        <is>
          <t>SKÅNE LÄN</t>
        </is>
      </c>
      <c r="E464" t="inlineStr">
        <is>
          <t>HÄSSLEHOLM</t>
        </is>
      </c>
      <c r="G464" t="n">
        <v>5.4</v>
      </c>
      <c r="H464" t="n">
        <v>0</v>
      </c>
      <c r="I464" t="n">
        <v>0</v>
      </c>
      <c r="J464" t="n">
        <v>0</v>
      </c>
      <c r="K464" t="n">
        <v>0</v>
      </c>
      <c r="L464" t="n">
        <v>0</v>
      </c>
      <c r="M464" t="n">
        <v>0</v>
      </c>
      <c r="N464" t="n">
        <v>0</v>
      </c>
      <c r="O464" t="n">
        <v>0</v>
      </c>
      <c r="P464" t="n">
        <v>0</v>
      </c>
      <c r="Q464" t="n">
        <v>0</v>
      </c>
      <c r="R464" s="2" t="inlineStr"/>
    </row>
    <row r="465" ht="15" customHeight="1">
      <c r="A465" t="inlineStr">
        <is>
          <t>A 39453-2025</t>
        </is>
      </c>
      <c r="B465" s="1" t="n">
        <v>45889</v>
      </c>
      <c r="C465" s="1" t="n">
        <v>45976</v>
      </c>
      <c r="D465" t="inlineStr">
        <is>
          <t>SKÅNE LÄN</t>
        </is>
      </c>
      <c r="E465" t="inlineStr">
        <is>
          <t>HÄSSLEHOLM</t>
        </is>
      </c>
      <c r="G465" t="n">
        <v>2.5</v>
      </c>
      <c r="H465" t="n">
        <v>0</v>
      </c>
      <c r="I465" t="n">
        <v>0</v>
      </c>
      <c r="J465" t="n">
        <v>0</v>
      </c>
      <c r="K465" t="n">
        <v>0</v>
      </c>
      <c r="L465" t="n">
        <v>0</v>
      </c>
      <c r="M465" t="n">
        <v>0</v>
      </c>
      <c r="N465" t="n">
        <v>0</v>
      </c>
      <c r="O465" t="n">
        <v>0</v>
      </c>
      <c r="P465" t="n">
        <v>0</v>
      </c>
      <c r="Q465" t="n">
        <v>0</v>
      </c>
      <c r="R465" s="2" t="inlineStr"/>
    </row>
    <row r="466" ht="15" customHeight="1">
      <c r="A466" t="inlineStr">
        <is>
          <t>A 39934-2025</t>
        </is>
      </c>
      <c r="B466" s="1" t="n">
        <v>45891.71465277778</v>
      </c>
      <c r="C466" s="1" t="n">
        <v>45976</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59246-2024</t>
        </is>
      </c>
      <c r="B467" s="1" t="n">
        <v>45636</v>
      </c>
      <c r="C467" s="1" t="n">
        <v>45976</v>
      </c>
      <c r="D467" t="inlineStr">
        <is>
          <t>SKÅNE LÄN</t>
        </is>
      </c>
      <c r="E467" t="inlineStr">
        <is>
          <t>HÄSSLEHOLM</t>
        </is>
      </c>
      <c r="G467" t="n">
        <v>2.6</v>
      </c>
      <c r="H467" t="n">
        <v>0</v>
      </c>
      <c r="I467" t="n">
        <v>0</v>
      </c>
      <c r="J467" t="n">
        <v>0</v>
      </c>
      <c r="K467" t="n">
        <v>0</v>
      </c>
      <c r="L467" t="n">
        <v>0</v>
      </c>
      <c r="M467" t="n">
        <v>0</v>
      </c>
      <c r="N467" t="n">
        <v>0</v>
      </c>
      <c r="O467" t="n">
        <v>0</v>
      </c>
      <c r="P467" t="n">
        <v>0</v>
      </c>
      <c r="Q467" t="n">
        <v>0</v>
      </c>
      <c r="R467" s="2" t="inlineStr"/>
    </row>
    <row r="468" ht="15" customHeight="1">
      <c r="A468" t="inlineStr">
        <is>
          <t>A 20800-2023</t>
        </is>
      </c>
      <c r="B468" s="1" t="n">
        <v>45058.61640046296</v>
      </c>
      <c r="C468" s="1" t="n">
        <v>45976</v>
      </c>
      <c r="D468" t="inlineStr">
        <is>
          <t>SKÅNE LÄN</t>
        </is>
      </c>
      <c r="E468" t="inlineStr">
        <is>
          <t>HÄSSLEHOLM</t>
        </is>
      </c>
      <c r="G468" t="n">
        <v>0.4</v>
      </c>
      <c r="H468" t="n">
        <v>0</v>
      </c>
      <c r="I468" t="n">
        <v>0</v>
      </c>
      <c r="J468" t="n">
        <v>0</v>
      </c>
      <c r="K468" t="n">
        <v>0</v>
      </c>
      <c r="L468" t="n">
        <v>0</v>
      </c>
      <c r="M468" t="n">
        <v>0</v>
      </c>
      <c r="N468" t="n">
        <v>0</v>
      </c>
      <c r="O468" t="n">
        <v>0</v>
      </c>
      <c r="P468" t="n">
        <v>0</v>
      </c>
      <c r="Q468" t="n">
        <v>0</v>
      </c>
      <c r="R468" s="2" t="inlineStr"/>
    </row>
    <row r="469" ht="15" customHeight="1">
      <c r="A469" t="inlineStr">
        <is>
          <t>A 39457-2025</t>
        </is>
      </c>
      <c r="B469" s="1" t="n">
        <v>45889.76887731482</v>
      </c>
      <c r="C469" s="1" t="n">
        <v>45976</v>
      </c>
      <c r="D469" t="inlineStr">
        <is>
          <t>SKÅNE LÄN</t>
        </is>
      </c>
      <c r="E469" t="inlineStr">
        <is>
          <t>HÄSSLEHOLM</t>
        </is>
      </c>
      <c r="G469" t="n">
        <v>6.6</v>
      </c>
      <c r="H469" t="n">
        <v>0</v>
      </c>
      <c r="I469" t="n">
        <v>0</v>
      </c>
      <c r="J469" t="n">
        <v>0</v>
      </c>
      <c r="K469" t="n">
        <v>0</v>
      </c>
      <c r="L469" t="n">
        <v>0</v>
      </c>
      <c r="M469" t="n">
        <v>0</v>
      </c>
      <c r="N469" t="n">
        <v>0</v>
      </c>
      <c r="O469" t="n">
        <v>0</v>
      </c>
      <c r="P469" t="n">
        <v>0</v>
      </c>
      <c r="Q469" t="n">
        <v>0</v>
      </c>
      <c r="R469" s="2" t="inlineStr"/>
    </row>
    <row r="470" ht="15" customHeight="1">
      <c r="A470" t="inlineStr">
        <is>
          <t>A 11019-2025</t>
        </is>
      </c>
      <c r="B470" s="1" t="n">
        <v>45723</v>
      </c>
      <c r="C470" s="1" t="n">
        <v>45976</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39937-2025</t>
        </is>
      </c>
      <c r="B471" s="1" t="n">
        <v>45891.73162037037</v>
      </c>
      <c r="C471" s="1" t="n">
        <v>45976</v>
      </c>
      <c r="D471" t="inlineStr">
        <is>
          <t>SKÅNE LÄN</t>
        </is>
      </c>
      <c r="E471" t="inlineStr">
        <is>
          <t>HÄSSLEHOLM</t>
        </is>
      </c>
      <c r="G471" t="n">
        <v>4.5</v>
      </c>
      <c r="H471" t="n">
        <v>0</v>
      </c>
      <c r="I471" t="n">
        <v>0</v>
      </c>
      <c r="J471" t="n">
        <v>0</v>
      </c>
      <c r="K471" t="n">
        <v>0</v>
      </c>
      <c r="L471" t="n">
        <v>0</v>
      </c>
      <c r="M471" t="n">
        <v>0</v>
      </c>
      <c r="N471" t="n">
        <v>0</v>
      </c>
      <c r="O471" t="n">
        <v>0</v>
      </c>
      <c r="P471" t="n">
        <v>0</v>
      </c>
      <c r="Q471" t="n">
        <v>0</v>
      </c>
      <c r="R471" s="2" t="inlineStr"/>
    </row>
    <row r="472" ht="15" customHeight="1">
      <c r="A472" t="inlineStr">
        <is>
          <t>A 25077-2024</t>
        </is>
      </c>
      <c r="B472" s="1" t="n">
        <v>45462</v>
      </c>
      <c r="C472" s="1" t="n">
        <v>45976</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15897-2025</t>
        </is>
      </c>
      <c r="B473" s="1" t="n">
        <v>45749.41598379629</v>
      </c>
      <c r="C473" s="1" t="n">
        <v>45976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54982-2024</t>
        </is>
      </c>
      <c r="B474" s="1" t="n">
        <v>45620.7580787037</v>
      </c>
      <c r="C474" s="1" t="n">
        <v>45976</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22535-2024</t>
        </is>
      </c>
      <c r="B475" s="1" t="n">
        <v>45447</v>
      </c>
      <c r="C475" s="1" t="n">
        <v>45976</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61182-2024</t>
        </is>
      </c>
      <c r="B476" s="1" t="n">
        <v>45645</v>
      </c>
      <c r="C476" s="1" t="n">
        <v>45976</v>
      </c>
      <c r="D476" t="inlineStr">
        <is>
          <t>SKÅNE LÄN</t>
        </is>
      </c>
      <c r="E476" t="inlineStr">
        <is>
          <t>HÄSSLEHOLM</t>
        </is>
      </c>
      <c r="G476" t="n">
        <v>3.2</v>
      </c>
      <c r="H476" t="n">
        <v>0</v>
      </c>
      <c r="I476" t="n">
        <v>0</v>
      </c>
      <c r="J476" t="n">
        <v>0</v>
      </c>
      <c r="K476" t="n">
        <v>0</v>
      </c>
      <c r="L476" t="n">
        <v>0</v>
      </c>
      <c r="M476" t="n">
        <v>0</v>
      </c>
      <c r="N476" t="n">
        <v>0</v>
      </c>
      <c r="O476" t="n">
        <v>0</v>
      </c>
      <c r="P476" t="n">
        <v>0</v>
      </c>
      <c r="Q476" t="n">
        <v>0</v>
      </c>
      <c r="R476" s="2" t="inlineStr"/>
    </row>
    <row r="477" ht="15" customHeight="1">
      <c r="A477" t="inlineStr">
        <is>
          <t>A 11681-2023</t>
        </is>
      </c>
      <c r="B477" s="1" t="n">
        <v>44992</v>
      </c>
      <c r="C477" s="1" t="n">
        <v>45976</v>
      </c>
      <c r="D477" t="inlineStr">
        <is>
          <t>SKÅNE LÄN</t>
        </is>
      </c>
      <c r="E477" t="inlineStr">
        <is>
          <t>HÄSSLEHOLM</t>
        </is>
      </c>
      <c r="F477" t="inlineStr">
        <is>
          <t>Övriga Aktiebolag</t>
        </is>
      </c>
      <c r="G477" t="n">
        <v>1.6</v>
      </c>
      <c r="H477" t="n">
        <v>0</v>
      </c>
      <c r="I477" t="n">
        <v>0</v>
      </c>
      <c r="J477" t="n">
        <v>0</v>
      </c>
      <c r="K477" t="n">
        <v>0</v>
      </c>
      <c r="L477" t="n">
        <v>0</v>
      </c>
      <c r="M477" t="n">
        <v>0</v>
      </c>
      <c r="N477" t="n">
        <v>0</v>
      </c>
      <c r="O477" t="n">
        <v>0</v>
      </c>
      <c r="P477" t="n">
        <v>0</v>
      </c>
      <c r="Q477" t="n">
        <v>0</v>
      </c>
      <c r="R477" s="2" t="inlineStr"/>
    </row>
    <row r="478" ht="15" customHeight="1">
      <c r="A478" t="inlineStr">
        <is>
          <t>A 33927-2021</t>
        </is>
      </c>
      <c r="B478" s="1" t="n">
        <v>44378</v>
      </c>
      <c r="C478" s="1" t="n">
        <v>45976</v>
      </c>
      <c r="D478" t="inlineStr">
        <is>
          <t>SKÅNE LÄN</t>
        </is>
      </c>
      <c r="E478" t="inlineStr">
        <is>
          <t>HÄSSLEHOLM</t>
        </is>
      </c>
      <c r="G478" t="n">
        <v>16.7</v>
      </c>
      <c r="H478" t="n">
        <v>0</v>
      </c>
      <c r="I478" t="n">
        <v>0</v>
      </c>
      <c r="J478" t="n">
        <v>0</v>
      </c>
      <c r="K478" t="n">
        <v>0</v>
      </c>
      <c r="L478" t="n">
        <v>0</v>
      </c>
      <c r="M478" t="n">
        <v>0</v>
      </c>
      <c r="N478" t="n">
        <v>0</v>
      </c>
      <c r="O478" t="n">
        <v>0</v>
      </c>
      <c r="P478" t="n">
        <v>0</v>
      </c>
      <c r="Q478" t="n">
        <v>0</v>
      </c>
      <c r="R478" s="2" t="inlineStr"/>
    </row>
    <row r="479" ht="15" customHeight="1">
      <c r="A479" t="inlineStr">
        <is>
          <t>A 15060-2023</t>
        </is>
      </c>
      <c r="B479" s="1" t="n">
        <v>45015.69832175926</v>
      </c>
      <c r="C479" s="1" t="n">
        <v>45976</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7305-2025</t>
        </is>
      </c>
      <c r="B480" s="1" t="n">
        <v>45702</v>
      </c>
      <c r="C480" s="1" t="n">
        <v>45976</v>
      </c>
      <c r="D480" t="inlineStr">
        <is>
          <t>SKÅNE LÄN</t>
        </is>
      </c>
      <c r="E480" t="inlineStr">
        <is>
          <t>HÄSSLEHOLM</t>
        </is>
      </c>
      <c r="F480" t="inlineStr">
        <is>
          <t>Övriga Aktiebolag</t>
        </is>
      </c>
      <c r="G480" t="n">
        <v>2.2</v>
      </c>
      <c r="H480" t="n">
        <v>0</v>
      </c>
      <c r="I480" t="n">
        <v>0</v>
      </c>
      <c r="J480" t="n">
        <v>0</v>
      </c>
      <c r="K480" t="n">
        <v>0</v>
      </c>
      <c r="L480" t="n">
        <v>0</v>
      </c>
      <c r="M480" t="n">
        <v>0</v>
      </c>
      <c r="N480" t="n">
        <v>0</v>
      </c>
      <c r="O480" t="n">
        <v>0</v>
      </c>
      <c r="P480" t="n">
        <v>0</v>
      </c>
      <c r="Q480" t="n">
        <v>0</v>
      </c>
      <c r="R480" s="2" t="inlineStr"/>
    </row>
    <row r="481" ht="15" customHeight="1">
      <c r="A481" t="inlineStr">
        <is>
          <t>A 4787-2023</t>
        </is>
      </c>
      <c r="B481" s="1" t="n">
        <v>44957.60079861111</v>
      </c>
      <c r="C481" s="1" t="n">
        <v>45976</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4788-2023</t>
        </is>
      </c>
      <c r="B482" s="1" t="n">
        <v>44957.60130787037</v>
      </c>
      <c r="C482" s="1" t="n">
        <v>45976</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34348-2022</t>
        </is>
      </c>
      <c r="B483" s="1" t="n">
        <v>44792</v>
      </c>
      <c r="C483" s="1" t="n">
        <v>45976</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5116-2023</t>
        </is>
      </c>
      <c r="B484" s="1" t="n">
        <v>44958.67546296296</v>
      </c>
      <c r="C484" s="1" t="n">
        <v>45976</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45399-2022</t>
        </is>
      </c>
      <c r="B485" s="1" t="n">
        <v>44844.70513888889</v>
      </c>
      <c r="C485" s="1" t="n">
        <v>45976</v>
      </c>
      <c r="D485" t="inlineStr">
        <is>
          <t>SKÅNE LÄN</t>
        </is>
      </c>
      <c r="E485" t="inlineStr">
        <is>
          <t>HÄSSLEHOLM</t>
        </is>
      </c>
      <c r="G485" t="n">
        <v>0</v>
      </c>
      <c r="H485" t="n">
        <v>0</v>
      </c>
      <c r="I485" t="n">
        <v>0</v>
      </c>
      <c r="J485" t="n">
        <v>0</v>
      </c>
      <c r="K485" t="n">
        <v>0</v>
      </c>
      <c r="L485" t="n">
        <v>0</v>
      </c>
      <c r="M485" t="n">
        <v>0</v>
      </c>
      <c r="N485" t="n">
        <v>0</v>
      </c>
      <c r="O485" t="n">
        <v>0</v>
      </c>
      <c r="P485" t="n">
        <v>0</v>
      </c>
      <c r="Q485" t="n">
        <v>0</v>
      </c>
      <c r="R485" s="2" t="inlineStr"/>
    </row>
    <row r="486" ht="15" customHeight="1">
      <c r="A486" t="inlineStr">
        <is>
          <t>A 35640-2023</t>
        </is>
      </c>
      <c r="B486" s="1" t="n">
        <v>45147</v>
      </c>
      <c r="C486" s="1" t="n">
        <v>45976</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14255-2024</t>
        </is>
      </c>
      <c r="B487" s="1" t="n">
        <v>45393</v>
      </c>
      <c r="C487" s="1" t="n">
        <v>45976</v>
      </c>
      <c r="D487" t="inlineStr">
        <is>
          <t>SKÅNE LÄN</t>
        </is>
      </c>
      <c r="E487" t="inlineStr">
        <is>
          <t>HÄSSLEHOLM</t>
        </is>
      </c>
      <c r="G487" t="n">
        <v>11.9</v>
      </c>
      <c r="H487" t="n">
        <v>0</v>
      </c>
      <c r="I487" t="n">
        <v>0</v>
      </c>
      <c r="J487" t="n">
        <v>0</v>
      </c>
      <c r="K487" t="n">
        <v>0</v>
      </c>
      <c r="L487" t="n">
        <v>0</v>
      </c>
      <c r="M487" t="n">
        <v>0</v>
      </c>
      <c r="N487" t="n">
        <v>0</v>
      </c>
      <c r="O487" t="n">
        <v>0</v>
      </c>
      <c r="P487" t="n">
        <v>0</v>
      </c>
      <c r="Q487" t="n">
        <v>0</v>
      </c>
      <c r="R487" s="2" t="inlineStr"/>
    </row>
    <row r="488" ht="15" customHeight="1">
      <c r="A488" t="inlineStr">
        <is>
          <t>A 2681-2024</t>
        </is>
      </c>
      <c r="B488" s="1" t="n">
        <v>45314</v>
      </c>
      <c r="C488" s="1" t="n">
        <v>45976</v>
      </c>
      <c r="D488" t="inlineStr">
        <is>
          <t>SKÅNE LÄN</t>
        </is>
      </c>
      <c r="E488" t="inlineStr">
        <is>
          <t>HÄSSLEHOLM</t>
        </is>
      </c>
      <c r="F488" t="inlineStr">
        <is>
          <t>Övriga Aktiebolag</t>
        </is>
      </c>
      <c r="G488" t="n">
        <v>1.4</v>
      </c>
      <c r="H488" t="n">
        <v>0</v>
      </c>
      <c r="I488" t="n">
        <v>0</v>
      </c>
      <c r="J488" t="n">
        <v>0</v>
      </c>
      <c r="K488" t="n">
        <v>0</v>
      </c>
      <c r="L488" t="n">
        <v>0</v>
      </c>
      <c r="M488" t="n">
        <v>0</v>
      </c>
      <c r="N488" t="n">
        <v>0</v>
      </c>
      <c r="O488" t="n">
        <v>0</v>
      </c>
      <c r="P488" t="n">
        <v>0</v>
      </c>
      <c r="Q488" t="n">
        <v>0</v>
      </c>
      <c r="R488" s="2" t="inlineStr"/>
    </row>
    <row r="489" ht="15" customHeight="1">
      <c r="A489" t="inlineStr">
        <is>
          <t>A 42364-2023</t>
        </is>
      </c>
      <c r="B489" s="1" t="n">
        <v>45180.54754629629</v>
      </c>
      <c r="C489" s="1" t="n">
        <v>45976</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27177-2024</t>
        </is>
      </c>
      <c r="B490" s="1" t="n">
        <v>45471.57201388889</v>
      </c>
      <c r="C490" s="1" t="n">
        <v>45976</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12338-2024</t>
        </is>
      </c>
      <c r="B491" s="1" t="n">
        <v>45378.72869212963</v>
      </c>
      <c r="C491" s="1" t="n">
        <v>45976</v>
      </c>
      <c r="D491" t="inlineStr">
        <is>
          <t>SKÅNE LÄN</t>
        </is>
      </c>
      <c r="E491" t="inlineStr">
        <is>
          <t>HÄSSLEHOLM</t>
        </is>
      </c>
      <c r="G491" t="n">
        <v>1.8</v>
      </c>
      <c r="H491" t="n">
        <v>0</v>
      </c>
      <c r="I491" t="n">
        <v>0</v>
      </c>
      <c r="J491" t="n">
        <v>0</v>
      </c>
      <c r="K491" t="n">
        <v>0</v>
      </c>
      <c r="L491" t="n">
        <v>0</v>
      </c>
      <c r="M491" t="n">
        <v>0</v>
      </c>
      <c r="N491" t="n">
        <v>0</v>
      </c>
      <c r="O491" t="n">
        <v>0</v>
      </c>
      <c r="P491" t="n">
        <v>0</v>
      </c>
      <c r="Q491" t="n">
        <v>0</v>
      </c>
      <c r="R491" s="2" t="inlineStr"/>
    </row>
    <row r="492" ht="15" customHeight="1">
      <c r="A492" t="inlineStr">
        <is>
          <t>A 54408-2024</t>
        </is>
      </c>
      <c r="B492" s="1" t="n">
        <v>45617.47263888889</v>
      </c>
      <c r="C492" s="1" t="n">
        <v>45976</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49219-2024</t>
        </is>
      </c>
      <c r="B493" s="1" t="n">
        <v>45595.40923611111</v>
      </c>
      <c r="C493" s="1" t="n">
        <v>45976</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15055-2023</t>
        </is>
      </c>
      <c r="B494" s="1" t="n">
        <v>45015</v>
      </c>
      <c r="C494" s="1" t="n">
        <v>45976</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5780-2024</t>
        </is>
      </c>
      <c r="B495" s="1" t="n">
        <v>45335.41983796296</v>
      </c>
      <c r="C495" s="1" t="n">
        <v>45976</v>
      </c>
      <c r="D495" t="inlineStr">
        <is>
          <t>SKÅNE LÄN</t>
        </is>
      </c>
      <c r="E495" t="inlineStr">
        <is>
          <t>HÄSSLEHOLM</t>
        </is>
      </c>
      <c r="G495" t="n">
        <v>2.5</v>
      </c>
      <c r="H495" t="n">
        <v>0</v>
      </c>
      <c r="I495" t="n">
        <v>0</v>
      </c>
      <c r="J495" t="n">
        <v>0</v>
      </c>
      <c r="K495" t="n">
        <v>0</v>
      </c>
      <c r="L495" t="n">
        <v>0</v>
      </c>
      <c r="M495" t="n">
        <v>0</v>
      </c>
      <c r="N495" t="n">
        <v>0</v>
      </c>
      <c r="O495" t="n">
        <v>0</v>
      </c>
      <c r="P495" t="n">
        <v>0</v>
      </c>
      <c r="Q495" t="n">
        <v>0</v>
      </c>
      <c r="R495" s="2" t="inlineStr"/>
    </row>
    <row r="496" ht="15" customHeight="1">
      <c r="A496" t="inlineStr">
        <is>
          <t>A 13646-2024</t>
        </is>
      </c>
      <c r="B496" s="1" t="n">
        <v>45387</v>
      </c>
      <c r="C496" s="1" t="n">
        <v>45976</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9555-2025</t>
        </is>
      </c>
      <c r="B497" s="1" t="n">
        <v>45714</v>
      </c>
      <c r="C497" s="1" t="n">
        <v>45976</v>
      </c>
      <c r="D497" t="inlineStr">
        <is>
          <t>SKÅNE LÄN</t>
        </is>
      </c>
      <c r="E497" t="inlineStr">
        <is>
          <t>HÄSSLEHOLM</t>
        </is>
      </c>
      <c r="G497" t="n">
        <v>5.4</v>
      </c>
      <c r="H497" t="n">
        <v>0</v>
      </c>
      <c r="I497" t="n">
        <v>0</v>
      </c>
      <c r="J497" t="n">
        <v>0</v>
      </c>
      <c r="K497" t="n">
        <v>0</v>
      </c>
      <c r="L497" t="n">
        <v>0</v>
      </c>
      <c r="M497" t="n">
        <v>0</v>
      </c>
      <c r="N497" t="n">
        <v>0</v>
      </c>
      <c r="O497" t="n">
        <v>0</v>
      </c>
      <c r="P497" t="n">
        <v>0</v>
      </c>
      <c r="Q497" t="n">
        <v>0</v>
      </c>
      <c r="R497" s="2" t="inlineStr"/>
    </row>
    <row r="498" ht="15" customHeight="1">
      <c r="A498" t="inlineStr">
        <is>
          <t>A 4750-2024</t>
        </is>
      </c>
      <c r="B498" s="1" t="n">
        <v>45328</v>
      </c>
      <c r="C498" s="1" t="n">
        <v>45976</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34187-2023</t>
        </is>
      </c>
      <c r="B499" s="1" t="n">
        <v>45138</v>
      </c>
      <c r="C499" s="1" t="n">
        <v>45976</v>
      </c>
      <c r="D499" t="inlineStr">
        <is>
          <t>SKÅNE LÄN</t>
        </is>
      </c>
      <c r="E499" t="inlineStr">
        <is>
          <t>HÄSSLEHOLM</t>
        </is>
      </c>
      <c r="G499" t="n">
        <v>0.4</v>
      </c>
      <c r="H499" t="n">
        <v>0</v>
      </c>
      <c r="I499" t="n">
        <v>0</v>
      </c>
      <c r="J499" t="n">
        <v>0</v>
      </c>
      <c r="K499" t="n">
        <v>0</v>
      </c>
      <c r="L499" t="n">
        <v>0</v>
      </c>
      <c r="M499" t="n">
        <v>0</v>
      </c>
      <c r="N499" t="n">
        <v>0</v>
      </c>
      <c r="O499" t="n">
        <v>0</v>
      </c>
      <c r="P499" t="n">
        <v>0</v>
      </c>
      <c r="Q499" t="n">
        <v>0</v>
      </c>
      <c r="R499" s="2" t="inlineStr"/>
    </row>
    <row r="500" ht="15" customHeight="1">
      <c r="A500" t="inlineStr">
        <is>
          <t>A 40241-2025</t>
        </is>
      </c>
      <c r="B500" s="1" t="n">
        <v>45894.87251157407</v>
      </c>
      <c r="C500" s="1" t="n">
        <v>45976</v>
      </c>
      <c r="D500" t="inlineStr">
        <is>
          <t>SKÅNE LÄN</t>
        </is>
      </c>
      <c r="E500" t="inlineStr">
        <is>
          <t>HÄSSLEHOLM</t>
        </is>
      </c>
      <c r="G500" t="n">
        <v>3.8</v>
      </c>
      <c r="H500" t="n">
        <v>0</v>
      </c>
      <c r="I500" t="n">
        <v>0</v>
      </c>
      <c r="J500" t="n">
        <v>0</v>
      </c>
      <c r="K500" t="n">
        <v>0</v>
      </c>
      <c r="L500" t="n">
        <v>0</v>
      </c>
      <c r="M500" t="n">
        <v>0</v>
      </c>
      <c r="N500" t="n">
        <v>0</v>
      </c>
      <c r="O500" t="n">
        <v>0</v>
      </c>
      <c r="P500" t="n">
        <v>0</v>
      </c>
      <c r="Q500" t="n">
        <v>0</v>
      </c>
      <c r="R500" s="2" t="inlineStr"/>
    </row>
    <row r="501" ht="15" customHeight="1">
      <c r="A501" t="inlineStr">
        <is>
          <t>A 58891-2022</t>
        </is>
      </c>
      <c r="B501" s="1" t="n">
        <v>44896</v>
      </c>
      <c r="C501" s="1" t="n">
        <v>45976</v>
      </c>
      <c r="D501" t="inlineStr">
        <is>
          <t>SKÅNE LÄN</t>
        </is>
      </c>
      <c r="E501" t="inlineStr">
        <is>
          <t>HÄSSLEHOLM</t>
        </is>
      </c>
      <c r="F501" t="inlineStr">
        <is>
          <t>Kyrkan</t>
        </is>
      </c>
      <c r="G501" t="n">
        <v>1.6</v>
      </c>
      <c r="H501" t="n">
        <v>0</v>
      </c>
      <c r="I501" t="n">
        <v>0</v>
      </c>
      <c r="J501" t="n">
        <v>0</v>
      </c>
      <c r="K501" t="n">
        <v>0</v>
      </c>
      <c r="L501" t="n">
        <v>0</v>
      </c>
      <c r="M501" t="n">
        <v>0</v>
      </c>
      <c r="N501" t="n">
        <v>0</v>
      </c>
      <c r="O501" t="n">
        <v>0</v>
      </c>
      <c r="P501" t="n">
        <v>0</v>
      </c>
      <c r="Q501" t="n">
        <v>0</v>
      </c>
      <c r="R501" s="2" t="inlineStr"/>
    </row>
    <row r="502" ht="15" customHeight="1">
      <c r="A502" t="inlineStr">
        <is>
          <t>A 7481-2023</t>
        </is>
      </c>
      <c r="B502" s="1" t="n">
        <v>44971</v>
      </c>
      <c r="C502" s="1" t="n">
        <v>45976</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59728-2022</t>
        </is>
      </c>
      <c r="B503" s="1" t="n">
        <v>44900</v>
      </c>
      <c r="C503" s="1" t="n">
        <v>45976</v>
      </c>
      <c r="D503" t="inlineStr">
        <is>
          <t>SKÅNE LÄN</t>
        </is>
      </c>
      <c r="E503" t="inlineStr">
        <is>
          <t>HÄSSLEHOLM</t>
        </is>
      </c>
      <c r="G503" t="n">
        <v>0.3</v>
      </c>
      <c r="H503" t="n">
        <v>0</v>
      </c>
      <c r="I503" t="n">
        <v>0</v>
      </c>
      <c r="J503" t="n">
        <v>0</v>
      </c>
      <c r="K503" t="n">
        <v>0</v>
      </c>
      <c r="L503" t="n">
        <v>0</v>
      </c>
      <c r="M503" t="n">
        <v>0</v>
      </c>
      <c r="N503" t="n">
        <v>0</v>
      </c>
      <c r="O503" t="n">
        <v>0</v>
      </c>
      <c r="P503" t="n">
        <v>0</v>
      </c>
      <c r="Q503" t="n">
        <v>0</v>
      </c>
      <c r="R503" s="2" t="inlineStr"/>
    </row>
    <row r="504" ht="15" customHeight="1">
      <c r="A504" t="inlineStr">
        <is>
          <t>A 31255-2024</t>
        </is>
      </c>
      <c r="B504" s="1" t="n">
        <v>45503.69114583333</v>
      </c>
      <c r="C504" s="1" t="n">
        <v>45976</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44697-2021</t>
        </is>
      </c>
      <c r="B505" s="1" t="n">
        <v>44438</v>
      </c>
      <c r="C505" s="1" t="n">
        <v>45976</v>
      </c>
      <c r="D505" t="inlineStr">
        <is>
          <t>SKÅNE LÄN</t>
        </is>
      </c>
      <c r="E505" t="inlineStr">
        <is>
          <t>HÄSSLEHOLM</t>
        </is>
      </c>
      <c r="G505" t="n">
        <v>4.8</v>
      </c>
      <c r="H505" t="n">
        <v>0</v>
      </c>
      <c r="I505" t="n">
        <v>0</v>
      </c>
      <c r="J505" t="n">
        <v>0</v>
      </c>
      <c r="K505" t="n">
        <v>0</v>
      </c>
      <c r="L505" t="n">
        <v>0</v>
      </c>
      <c r="M505" t="n">
        <v>0</v>
      </c>
      <c r="N505" t="n">
        <v>0</v>
      </c>
      <c r="O505" t="n">
        <v>0</v>
      </c>
      <c r="P505" t="n">
        <v>0</v>
      </c>
      <c r="Q505" t="n">
        <v>0</v>
      </c>
      <c r="R505" s="2" t="inlineStr"/>
    </row>
    <row r="506" ht="15" customHeight="1">
      <c r="A506" t="inlineStr">
        <is>
          <t>A 8433-2024</t>
        </is>
      </c>
      <c r="B506" s="1" t="n">
        <v>45353.48434027778</v>
      </c>
      <c r="C506" s="1" t="n">
        <v>45976</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45976</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28457-2024</t>
        </is>
      </c>
      <c r="B508" s="1" t="n">
        <v>45477.68884259259</v>
      </c>
      <c r="C508" s="1" t="n">
        <v>45976</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13309-2025</t>
        </is>
      </c>
      <c r="B509" s="1" t="n">
        <v>45735.58512731481</v>
      </c>
      <c r="C509" s="1" t="n">
        <v>45976</v>
      </c>
      <c r="D509" t="inlineStr">
        <is>
          <t>SKÅNE LÄN</t>
        </is>
      </c>
      <c r="E509" t="inlineStr">
        <is>
          <t>HÄSSLEHOLM</t>
        </is>
      </c>
      <c r="G509" t="n">
        <v>1.2</v>
      </c>
      <c r="H509" t="n">
        <v>0</v>
      </c>
      <c r="I509" t="n">
        <v>0</v>
      </c>
      <c r="J509" t="n">
        <v>0</v>
      </c>
      <c r="K509" t="n">
        <v>0</v>
      </c>
      <c r="L509" t="n">
        <v>0</v>
      </c>
      <c r="M509" t="n">
        <v>0</v>
      </c>
      <c r="N509" t="n">
        <v>0</v>
      </c>
      <c r="O509" t="n">
        <v>0</v>
      </c>
      <c r="P509" t="n">
        <v>0</v>
      </c>
      <c r="Q509" t="n">
        <v>0</v>
      </c>
      <c r="R509" s="2" t="inlineStr"/>
    </row>
    <row r="510" ht="15" customHeight="1">
      <c r="A510" t="inlineStr">
        <is>
          <t>A 23683-2023</t>
        </is>
      </c>
      <c r="B510" s="1" t="n">
        <v>45077</v>
      </c>
      <c r="C510" s="1" t="n">
        <v>45976</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51752-2023</t>
        </is>
      </c>
      <c r="B511" s="1" t="n">
        <v>45222</v>
      </c>
      <c r="C511" s="1" t="n">
        <v>45976</v>
      </c>
      <c r="D511" t="inlineStr">
        <is>
          <t>SKÅNE LÄN</t>
        </is>
      </c>
      <c r="E511" t="inlineStr">
        <is>
          <t>HÄSSLEHOLM</t>
        </is>
      </c>
      <c r="G511" t="n">
        <v>1.8</v>
      </c>
      <c r="H511" t="n">
        <v>0</v>
      </c>
      <c r="I511" t="n">
        <v>0</v>
      </c>
      <c r="J511" t="n">
        <v>0</v>
      </c>
      <c r="K511" t="n">
        <v>0</v>
      </c>
      <c r="L511" t="n">
        <v>0</v>
      </c>
      <c r="M511" t="n">
        <v>0</v>
      </c>
      <c r="N511" t="n">
        <v>0</v>
      </c>
      <c r="O511" t="n">
        <v>0</v>
      </c>
      <c r="P511" t="n">
        <v>0</v>
      </c>
      <c r="Q511" t="n">
        <v>0</v>
      </c>
      <c r="R511" s="2" t="inlineStr"/>
    </row>
    <row r="512" ht="15" customHeight="1">
      <c r="A512" t="inlineStr">
        <is>
          <t>A 36568-2024</t>
        </is>
      </c>
      <c r="B512" s="1" t="n">
        <v>45537</v>
      </c>
      <c r="C512" s="1" t="n">
        <v>45976</v>
      </c>
      <c r="D512" t="inlineStr">
        <is>
          <t>SKÅNE LÄN</t>
        </is>
      </c>
      <c r="E512" t="inlineStr">
        <is>
          <t>HÄSSLEHOLM</t>
        </is>
      </c>
      <c r="G512" t="n">
        <v>4.3</v>
      </c>
      <c r="H512" t="n">
        <v>0</v>
      </c>
      <c r="I512" t="n">
        <v>0</v>
      </c>
      <c r="J512" t="n">
        <v>0</v>
      </c>
      <c r="K512" t="n">
        <v>0</v>
      </c>
      <c r="L512" t="n">
        <v>0</v>
      </c>
      <c r="M512" t="n">
        <v>0</v>
      </c>
      <c r="N512" t="n">
        <v>0</v>
      </c>
      <c r="O512" t="n">
        <v>0</v>
      </c>
      <c r="P512" t="n">
        <v>0</v>
      </c>
      <c r="Q512" t="n">
        <v>0</v>
      </c>
      <c r="R512" s="2" t="inlineStr"/>
    </row>
    <row r="513" ht="15" customHeight="1">
      <c r="A513" t="inlineStr">
        <is>
          <t>A 32834-2024</t>
        </is>
      </c>
      <c r="B513" s="1" t="n">
        <v>45516.6025</v>
      </c>
      <c r="C513" s="1" t="n">
        <v>45976</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2663-2023</t>
        </is>
      </c>
      <c r="B514" s="1" t="n">
        <v>44942</v>
      </c>
      <c r="C514" s="1" t="n">
        <v>45976</v>
      </c>
      <c r="D514" t="inlineStr">
        <is>
          <t>SKÅNE LÄN</t>
        </is>
      </c>
      <c r="E514" t="inlineStr">
        <is>
          <t>HÄSSLEHOLM</t>
        </is>
      </c>
      <c r="F514" t="inlineStr">
        <is>
          <t>Kyrkan</t>
        </is>
      </c>
      <c r="G514" t="n">
        <v>0.8</v>
      </c>
      <c r="H514" t="n">
        <v>0</v>
      </c>
      <c r="I514" t="n">
        <v>0</v>
      </c>
      <c r="J514" t="n">
        <v>0</v>
      </c>
      <c r="K514" t="n">
        <v>0</v>
      </c>
      <c r="L514" t="n">
        <v>0</v>
      </c>
      <c r="M514" t="n">
        <v>0</v>
      </c>
      <c r="N514" t="n">
        <v>0</v>
      </c>
      <c r="O514" t="n">
        <v>0</v>
      </c>
      <c r="P514" t="n">
        <v>0</v>
      </c>
      <c r="Q514" t="n">
        <v>0</v>
      </c>
      <c r="R514" s="2" t="inlineStr"/>
    </row>
    <row r="515" ht="15" customHeight="1">
      <c r="A515" t="inlineStr">
        <is>
          <t>A 23172-2022</t>
        </is>
      </c>
      <c r="B515" s="1" t="n">
        <v>44719</v>
      </c>
      <c r="C515" s="1" t="n">
        <v>45976</v>
      </c>
      <c r="D515" t="inlineStr">
        <is>
          <t>SKÅNE LÄN</t>
        </is>
      </c>
      <c r="E515" t="inlineStr">
        <is>
          <t>HÄSSLEHOLM</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23173-2022</t>
        </is>
      </c>
      <c r="B516" s="1" t="n">
        <v>44719.72155092593</v>
      </c>
      <c r="C516" s="1" t="n">
        <v>45976</v>
      </c>
      <c r="D516" t="inlineStr">
        <is>
          <t>SKÅNE LÄN</t>
        </is>
      </c>
      <c r="E516" t="inlineStr">
        <is>
          <t>HÄSSLEHOLM</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9397-2025</t>
        </is>
      </c>
      <c r="B517" s="1" t="n">
        <v>45715.37361111111</v>
      </c>
      <c r="C517" s="1" t="n">
        <v>45976</v>
      </c>
      <c r="D517" t="inlineStr">
        <is>
          <t>SKÅNE LÄN</t>
        </is>
      </c>
      <c r="E517" t="inlineStr">
        <is>
          <t>HÄSSLEHOLM</t>
        </is>
      </c>
      <c r="G517" t="n">
        <v>1.2</v>
      </c>
      <c r="H517" t="n">
        <v>0</v>
      </c>
      <c r="I517" t="n">
        <v>0</v>
      </c>
      <c r="J517" t="n">
        <v>0</v>
      </c>
      <c r="K517" t="n">
        <v>0</v>
      </c>
      <c r="L517" t="n">
        <v>0</v>
      </c>
      <c r="M517" t="n">
        <v>0</v>
      </c>
      <c r="N517" t="n">
        <v>0</v>
      </c>
      <c r="O517" t="n">
        <v>0</v>
      </c>
      <c r="P517" t="n">
        <v>0</v>
      </c>
      <c r="Q517" t="n">
        <v>0</v>
      </c>
      <c r="R517" s="2" t="inlineStr"/>
    </row>
    <row r="518" ht="15" customHeight="1">
      <c r="A518" t="inlineStr">
        <is>
          <t>A 9323-2025</t>
        </is>
      </c>
      <c r="B518" s="1" t="n">
        <v>45714.73532407408</v>
      </c>
      <c r="C518" s="1" t="n">
        <v>45976</v>
      </c>
      <c r="D518" t="inlineStr">
        <is>
          <t>SKÅNE LÄN</t>
        </is>
      </c>
      <c r="E518" t="inlineStr">
        <is>
          <t>HÄSSLEHOLM</t>
        </is>
      </c>
      <c r="G518" t="n">
        <v>5.2</v>
      </c>
      <c r="H518" t="n">
        <v>0</v>
      </c>
      <c r="I518" t="n">
        <v>0</v>
      </c>
      <c r="J518" t="n">
        <v>0</v>
      </c>
      <c r="K518" t="n">
        <v>0</v>
      </c>
      <c r="L518" t="n">
        <v>0</v>
      </c>
      <c r="M518" t="n">
        <v>0</v>
      </c>
      <c r="N518" t="n">
        <v>0</v>
      </c>
      <c r="O518" t="n">
        <v>0</v>
      </c>
      <c r="P518" t="n">
        <v>0</v>
      </c>
      <c r="Q518" t="n">
        <v>0</v>
      </c>
      <c r="R518" s="2" t="inlineStr"/>
    </row>
    <row r="519" ht="15" customHeight="1">
      <c r="A519" t="inlineStr">
        <is>
          <t>A 19593-2023</t>
        </is>
      </c>
      <c r="B519" s="1" t="n">
        <v>45050.75895833333</v>
      </c>
      <c r="C519" s="1" t="n">
        <v>45976</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59109-2023</t>
        </is>
      </c>
      <c r="B520" s="1" t="n">
        <v>45253.30819444444</v>
      </c>
      <c r="C520" s="1" t="n">
        <v>45976</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49384-2021</t>
        </is>
      </c>
      <c r="B521" s="1" t="n">
        <v>44454</v>
      </c>
      <c r="C521" s="1" t="n">
        <v>45976</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54462-2022</t>
        </is>
      </c>
      <c r="B522" s="1" t="n">
        <v>44882</v>
      </c>
      <c r="C522" s="1" t="n">
        <v>45976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25611-2024</t>
        </is>
      </c>
      <c r="B523" s="1" t="n">
        <v>45463</v>
      </c>
      <c r="C523" s="1" t="n">
        <v>45976</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7094-2023</t>
        </is>
      </c>
      <c r="B524" s="1" t="n">
        <v>44970.36958333333</v>
      </c>
      <c r="C524" s="1" t="n">
        <v>45976</v>
      </c>
      <c r="D524" t="inlineStr">
        <is>
          <t>SKÅNE LÄN</t>
        </is>
      </c>
      <c r="E524" t="inlineStr">
        <is>
          <t>HÄSSLEHOLM</t>
        </is>
      </c>
      <c r="G524" t="n">
        <v>3.6</v>
      </c>
      <c r="H524" t="n">
        <v>0</v>
      </c>
      <c r="I524" t="n">
        <v>0</v>
      </c>
      <c r="J524" t="n">
        <v>0</v>
      </c>
      <c r="K524" t="n">
        <v>0</v>
      </c>
      <c r="L524" t="n">
        <v>0</v>
      </c>
      <c r="M524" t="n">
        <v>0</v>
      </c>
      <c r="N524" t="n">
        <v>0</v>
      </c>
      <c r="O524" t="n">
        <v>0</v>
      </c>
      <c r="P524" t="n">
        <v>0</v>
      </c>
      <c r="Q524" t="n">
        <v>0</v>
      </c>
      <c r="R524" s="2" t="inlineStr"/>
    </row>
    <row r="525" ht="15" customHeight="1">
      <c r="A525" t="inlineStr">
        <is>
          <t>A 32100-2024</t>
        </is>
      </c>
      <c r="B525" s="1" t="n">
        <v>45511.41451388889</v>
      </c>
      <c r="C525" s="1" t="n">
        <v>45976</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10220-2023</t>
        </is>
      </c>
      <c r="B526" s="1" t="n">
        <v>44986.60916666667</v>
      </c>
      <c r="C526" s="1" t="n">
        <v>45976</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35810-2023</t>
        </is>
      </c>
      <c r="B527" s="1" t="n">
        <v>45148.44046296296</v>
      </c>
      <c r="C527" s="1" t="n">
        <v>45976</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11260-2021</t>
        </is>
      </c>
      <c r="B528" s="1" t="n">
        <v>44263</v>
      </c>
      <c r="C528" s="1" t="n">
        <v>45976</v>
      </c>
      <c r="D528" t="inlineStr">
        <is>
          <t>SKÅNE LÄN</t>
        </is>
      </c>
      <c r="E528" t="inlineStr">
        <is>
          <t>HÄSSLEHOLM</t>
        </is>
      </c>
      <c r="G528" t="n">
        <v>5.4</v>
      </c>
      <c r="H528" t="n">
        <v>0</v>
      </c>
      <c r="I528" t="n">
        <v>0</v>
      </c>
      <c r="J528" t="n">
        <v>0</v>
      </c>
      <c r="K528" t="n">
        <v>0</v>
      </c>
      <c r="L528" t="n">
        <v>0</v>
      </c>
      <c r="M528" t="n">
        <v>0</v>
      </c>
      <c r="N528" t="n">
        <v>0</v>
      </c>
      <c r="O528" t="n">
        <v>0</v>
      </c>
      <c r="P528" t="n">
        <v>0</v>
      </c>
      <c r="Q528" t="n">
        <v>0</v>
      </c>
      <c r="R528" s="2" t="inlineStr"/>
    </row>
    <row r="529" ht="15" customHeight="1">
      <c r="A529" t="inlineStr">
        <is>
          <t>A 35833-2023</t>
        </is>
      </c>
      <c r="B529" s="1" t="n">
        <v>45148</v>
      </c>
      <c r="C529" s="1" t="n">
        <v>45976</v>
      </c>
      <c r="D529" t="inlineStr">
        <is>
          <t>SKÅNE LÄN</t>
        </is>
      </c>
      <c r="E529" t="inlineStr">
        <is>
          <t>HÄSSLEHOLM</t>
        </is>
      </c>
      <c r="F529" t="inlineStr">
        <is>
          <t>Kommuner</t>
        </is>
      </c>
      <c r="G529" t="n">
        <v>2</v>
      </c>
      <c r="H529" t="n">
        <v>0</v>
      </c>
      <c r="I529" t="n">
        <v>0</v>
      </c>
      <c r="J529" t="n">
        <v>0</v>
      </c>
      <c r="K529" t="n">
        <v>0</v>
      </c>
      <c r="L529" t="n">
        <v>0</v>
      </c>
      <c r="M529" t="n">
        <v>0</v>
      </c>
      <c r="N529" t="n">
        <v>0</v>
      </c>
      <c r="O529" t="n">
        <v>0</v>
      </c>
      <c r="P529" t="n">
        <v>0</v>
      </c>
      <c r="Q529" t="n">
        <v>0</v>
      </c>
      <c r="R529" s="2" t="inlineStr"/>
    </row>
    <row r="530" ht="15" customHeight="1">
      <c r="A530" t="inlineStr">
        <is>
          <t>A 59556-2023</t>
        </is>
      </c>
      <c r="B530" s="1" t="n">
        <v>45254.56313657408</v>
      </c>
      <c r="C530" s="1" t="n">
        <v>45976</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53077-2022</t>
        </is>
      </c>
      <c r="B531" s="1" t="n">
        <v>44873</v>
      </c>
      <c r="C531" s="1" t="n">
        <v>45976</v>
      </c>
      <c r="D531" t="inlineStr">
        <is>
          <t>SKÅNE LÄN</t>
        </is>
      </c>
      <c r="E531" t="inlineStr">
        <is>
          <t>HÄSSLEHOLM</t>
        </is>
      </c>
      <c r="G531" t="n">
        <v>3</v>
      </c>
      <c r="H531" t="n">
        <v>0</v>
      </c>
      <c r="I531" t="n">
        <v>0</v>
      </c>
      <c r="J531" t="n">
        <v>0</v>
      </c>
      <c r="K531" t="n">
        <v>0</v>
      </c>
      <c r="L531" t="n">
        <v>0</v>
      </c>
      <c r="M531" t="n">
        <v>0</v>
      </c>
      <c r="N531" t="n">
        <v>0</v>
      </c>
      <c r="O531" t="n">
        <v>0</v>
      </c>
      <c r="P531" t="n">
        <v>0</v>
      </c>
      <c r="Q531" t="n">
        <v>0</v>
      </c>
      <c r="R531" s="2" t="inlineStr"/>
    </row>
    <row r="532" ht="15" customHeight="1">
      <c r="A532" t="inlineStr">
        <is>
          <t>A 17492-2025</t>
        </is>
      </c>
      <c r="B532" s="1" t="n">
        <v>45747</v>
      </c>
      <c r="C532" s="1" t="n">
        <v>45976</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16017-2023</t>
        </is>
      </c>
      <c r="B533" s="1" t="n">
        <v>45026</v>
      </c>
      <c r="C533" s="1" t="n">
        <v>45976</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19744-2023</t>
        </is>
      </c>
      <c r="B534" s="1" t="n">
        <v>45051</v>
      </c>
      <c r="C534" s="1" t="n">
        <v>45976</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14655-2025</t>
        </is>
      </c>
      <c r="B535" s="1" t="n">
        <v>45742.5072337963</v>
      </c>
      <c r="C535" s="1" t="n">
        <v>45976</v>
      </c>
      <c r="D535" t="inlineStr">
        <is>
          <t>SKÅNE LÄN</t>
        </is>
      </c>
      <c r="E535" t="inlineStr">
        <is>
          <t>HÄSSLEHOLM</t>
        </is>
      </c>
      <c r="G535" t="n">
        <v>4.5</v>
      </c>
      <c r="H535" t="n">
        <v>0</v>
      </c>
      <c r="I535" t="n">
        <v>0</v>
      </c>
      <c r="J535" t="n">
        <v>0</v>
      </c>
      <c r="K535" t="n">
        <v>0</v>
      </c>
      <c r="L535" t="n">
        <v>0</v>
      </c>
      <c r="M535" t="n">
        <v>0</v>
      </c>
      <c r="N535" t="n">
        <v>0</v>
      </c>
      <c r="O535" t="n">
        <v>0</v>
      </c>
      <c r="P535" t="n">
        <v>0</v>
      </c>
      <c r="Q535" t="n">
        <v>0</v>
      </c>
      <c r="R535" s="2" t="inlineStr"/>
    </row>
    <row r="536" ht="15" customHeight="1">
      <c r="A536" t="inlineStr">
        <is>
          <t>A 14926-2024</t>
        </is>
      </c>
      <c r="B536" s="1" t="n">
        <v>45398</v>
      </c>
      <c r="C536" s="1" t="n">
        <v>45976</v>
      </c>
      <c r="D536" t="inlineStr">
        <is>
          <t>SKÅNE LÄN</t>
        </is>
      </c>
      <c r="E536" t="inlineStr">
        <is>
          <t>HÄSSLEHOLM</t>
        </is>
      </c>
      <c r="G536" t="n">
        <v>3.4</v>
      </c>
      <c r="H536" t="n">
        <v>0</v>
      </c>
      <c r="I536" t="n">
        <v>0</v>
      </c>
      <c r="J536" t="n">
        <v>0</v>
      </c>
      <c r="K536" t="n">
        <v>0</v>
      </c>
      <c r="L536" t="n">
        <v>0</v>
      </c>
      <c r="M536" t="n">
        <v>0</v>
      </c>
      <c r="N536" t="n">
        <v>0</v>
      </c>
      <c r="O536" t="n">
        <v>0</v>
      </c>
      <c r="P536" t="n">
        <v>0</v>
      </c>
      <c r="Q536" t="n">
        <v>0</v>
      </c>
      <c r="R536" s="2" t="inlineStr"/>
    </row>
    <row r="537" ht="15" customHeight="1">
      <c r="A537" t="inlineStr">
        <is>
          <t>A 60843-2022</t>
        </is>
      </c>
      <c r="B537" s="1" t="n">
        <v>44914</v>
      </c>
      <c r="C537" s="1" t="n">
        <v>45976</v>
      </c>
      <c r="D537" t="inlineStr">
        <is>
          <t>SKÅNE LÄN</t>
        </is>
      </c>
      <c r="E537" t="inlineStr">
        <is>
          <t>HÄSSLEHOLM</t>
        </is>
      </c>
      <c r="G537" t="n">
        <v>2.2</v>
      </c>
      <c r="H537" t="n">
        <v>0</v>
      </c>
      <c r="I537" t="n">
        <v>0</v>
      </c>
      <c r="J537" t="n">
        <v>0</v>
      </c>
      <c r="K537" t="n">
        <v>0</v>
      </c>
      <c r="L537" t="n">
        <v>0</v>
      </c>
      <c r="M537" t="n">
        <v>0</v>
      </c>
      <c r="N537" t="n">
        <v>0</v>
      </c>
      <c r="O537" t="n">
        <v>0</v>
      </c>
      <c r="P537" t="n">
        <v>0</v>
      </c>
      <c r="Q537" t="n">
        <v>0</v>
      </c>
      <c r="R537" s="2" t="inlineStr"/>
    </row>
    <row r="538" ht="15" customHeight="1">
      <c r="A538" t="inlineStr">
        <is>
          <t>A 48722-2025</t>
        </is>
      </c>
      <c r="B538" s="1" t="n">
        <v>45935</v>
      </c>
      <c r="C538" s="1" t="n">
        <v>45976</v>
      </c>
      <c r="D538" t="inlineStr">
        <is>
          <t>SKÅNE LÄN</t>
        </is>
      </c>
      <c r="E538" t="inlineStr">
        <is>
          <t>HÄSSLEHOLM</t>
        </is>
      </c>
      <c r="G538" t="n">
        <v>4.3</v>
      </c>
      <c r="H538" t="n">
        <v>0</v>
      </c>
      <c r="I538" t="n">
        <v>0</v>
      </c>
      <c r="J538" t="n">
        <v>0</v>
      </c>
      <c r="K538" t="n">
        <v>0</v>
      </c>
      <c r="L538" t="n">
        <v>0</v>
      </c>
      <c r="M538" t="n">
        <v>0</v>
      </c>
      <c r="N538" t="n">
        <v>0</v>
      </c>
      <c r="O538" t="n">
        <v>0</v>
      </c>
      <c r="P538" t="n">
        <v>0</v>
      </c>
      <c r="Q538" t="n">
        <v>0</v>
      </c>
      <c r="R538" s="2" t="inlineStr"/>
    </row>
    <row r="539" ht="15" customHeight="1">
      <c r="A539" t="inlineStr">
        <is>
          <t>A 61504-2022</t>
        </is>
      </c>
      <c r="B539" s="1" t="n">
        <v>44910</v>
      </c>
      <c r="C539" s="1" t="n">
        <v>45976</v>
      </c>
      <c r="D539" t="inlineStr">
        <is>
          <t>SKÅNE LÄN</t>
        </is>
      </c>
      <c r="E539" t="inlineStr">
        <is>
          <t>HÄSSLEHOLM</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50664-2023</t>
        </is>
      </c>
      <c r="B540" s="1" t="n">
        <v>45217</v>
      </c>
      <c r="C540" s="1" t="n">
        <v>45976</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524-2024</t>
        </is>
      </c>
      <c r="B541" s="1" t="n">
        <v>45299</v>
      </c>
      <c r="C541" s="1" t="n">
        <v>45976</v>
      </c>
      <c r="D541" t="inlineStr">
        <is>
          <t>SKÅNE LÄN</t>
        </is>
      </c>
      <c r="E541" t="inlineStr">
        <is>
          <t>HÄSSLEHOLM</t>
        </is>
      </c>
      <c r="G541" t="n">
        <v>29.4</v>
      </c>
      <c r="H541" t="n">
        <v>0</v>
      </c>
      <c r="I541" t="n">
        <v>0</v>
      </c>
      <c r="J541" t="n">
        <v>0</v>
      </c>
      <c r="K541" t="n">
        <v>0</v>
      </c>
      <c r="L541" t="n">
        <v>0</v>
      </c>
      <c r="M541" t="n">
        <v>0</v>
      </c>
      <c r="N541" t="n">
        <v>0</v>
      </c>
      <c r="O541" t="n">
        <v>0</v>
      </c>
      <c r="P541" t="n">
        <v>0</v>
      </c>
      <c r="Q541" t="n">
        <v>0</v>
      </c>
      <c r="R541" s="2" t="inlineStr"/>
    </row>
    <row r="542" ht="15" customHeight="1">
      <c r="A542" t="inlineStr">
        <is>
          <t>A 69109-2020</t>
        </is>
      </c>
      <c r="B542" s="1" t="n">
        <v>44188</v>
      </c>
      <c r="C542" s="1" t="n">
        <v>45976</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42428-2022</t>
        </is>
      </c>
      <c r="B543" s="1" t="n">
        <v>44831</v>
      </c>
      <c r="C543" s="1" t="n">
        <v>45976</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19739-2023</t>
        </is>
      </c>
      <c r="B544" s="1" t="n">
        <v>45051</v>
      </c>
      <c r="C544" s="1" t="n">
        <v>45976</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62171-2022</t>
        </is>
      </c>
      <c r="B545" s="1" t="n">
        <v>44915</v>
      </c>
      <c r="C545" s="1" t="n">
        <v>45976</v>
      </c>
      <c r="D545" t="inlineStr">
        <is>
          <t>SKÅNE LÄN</t>
        </is>
      </c>
      <c r="E545" t="inlineStr">
        <is>
          <t>HÄSSLEHOLM</t>
        </is>
      </c>
      <c r="F545" t="inlineStr">
        <is>
          <t>Kyrkan</t>
        </is>
      </c>
      <c r="G545" t="n">
        <v>9</v>
      </c>
      <c r="H545" t="n">
        <v>0</v>
      </c>
      <c r="I545" t="n">
        <v>0</v>
      </c>
      <c r="J545" t="n">
        <v>0</v>
      </c>
      <c r="K545" t="n">
        <v>0</v>
      </c>
      <c r="L545" t="n">
        <v>0</v>
      </c>
      <c r="M545" t="n">
        <v>0</v>
      </c>
      <c r="N545" t="n">
        <v>0</v>
      </c>
      <c r="O545" t="n">
        <v>0</v>
      </c>
      <c r="P545" t="n">
        <v>0</v>
      </c>
      <c r="Q545" t="n">
        <v>0</v>
      </c>
      <c r="R545" s="2" t="inlineStr"/>
    </row>
    <row r="546" ht="15" customHeight="1">
      <c r="A546" t="inlineStr">
        <is>
          <t>A 52968-2022</t>
        </is>
      </c>
      <c r="B546" s="1" t="n">
        <v>44875</v>
      </c>
      <c r="C546" s="1" t="n">
        <v>45976</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56956-2024</t>
        </is>
      </c>
      <c r="B547" s="1" t="n">
        <v>45626</v>
      </c>
      <c r="C547" s="1" t="n">
        <v>45976</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9394-2025</t>
        </is>
      </c>
      <c r="B548" s="1" t="n">
        <v>45715.36387731481</v>
      </c>
      <c r="C548" s="1" t="n">
        <v>45976</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59763-2022</t>
        </is>
      </c>
      <c r="B549" s="1" t="n">
        <v>44900</v>
      </c>
      <c r="C549" s="1" t="n">
        <v>45976</v>
      </c>
      <c r="D549" t="inlineStr">
        <is>
          <t>SKÅNE LÄN</t>
        </is>
      </c>
      <c r="E549" t="inlineStr">
        <is>
          <t>HÄSSLEHOLM</t>
        </is>
      </c>
      <c r="F549" t="inlineStr">
        <is>
          <t>Övriga Aktiebolag</t>
        </is>
      </c>
      <c r="G549" t="n">
        <v>1.2</v>
      </c>
      <c r="H549" t="n">
        <v>0</v>
      </c>
      <c r="I549" t="n">
        <v>0</v>
      </c>
      <c r="J549" t="n">
        <v>0</v>
      </c>
      <c r="K549" t="n">
        <v>0</v>
      </c>
      <c r="L549" t="n">
        <v>0</v>
      </c>
      <c r="M549" t="n">
        <v>0</v>
      </c>
      <c r="N549" t="n">
        <v>0</v>
      </c>
      <c r="O549" t="n">
        <v>0</v>
      </c>
      <c r="P549" t="n">
        <v>0</v>
      </c>
      <c r="Q549" t="n">
        <v>0</v>
      </c>
      <c r="R549" s="2" t="inlineStr"/>
    </row>
    <row r="550" ht="15" customHeight="1">
      <c r="A550" t="inlineStr">
        <is>
          <t>A 3364-2023</t>
        </is>
      </c>
      <c r="B550" s="1" t="n">
        <v>44949</v>
      </c>
      <c r="C550" s="1" t="n">
        <v>45976</v>
      </c>
      <c r="D550" t="inlineStr">
        <is>
          <t>SKÅNE LÄN</t>
        </is>
      </c>
      <c r="E550" t="inlineStr">
        <is>
          <t>HÄSSLEHOLM</t>
        </is>
      </c>
      <c r="G550" t="n">
        <v>5.1</v>
      </c>
      <c r="H550" t="n">
        <v>0</v>
      </c>
      <c r="I550" t="n">
        <v>0</v>
      </c>
      <c r="J550" t="n">
        <v>0</v>
      </c>
      <c r="K550" t="n">
        <v>0</v>
      </c>
      <c r="L550" t="n">
        <v>0</v>
      </c>
      <c r="M550" t="n">
        <v>0</v>
      </c>
      <c r="N550" t="n">
        <v>0</v>
      </c>
      <c r="O550" t="n">
        <v>0</v>
      </c>
      <c r="P550" t="n">
        <v>0</v>
      </c>
      <c r="Q550" t="n">
        <v>0</v>
      </c>
      <c r="R550" s="2" t="inlineStr"/>
    </row>
    <row r="551" ht="15" customHeight="1">
      <c r="A551" t="inlineStr">
        <is>
          <t>A 52642-2021</t>
        </is>
      </c>
      <c r="B551" s="1" t="n">
        <v>44466.64298611111</v>
      </c>
      <c r="C551" s="1" t="n">
        <v>45976</v>
      </c>
      <c r="D551" t="inlineStr">
        <is>
          <t>SKÅNE LÄN</t>
        </is>
      </c>
      <c r="E551" t="inlineStr">
        <is>
          <t>HÄSSLEHOLM</t>
        </is>
      </c>
      <c r="G551" t="n">
        <v>3.7</v>
      </c>
      <c r="H551" t="n">
        <v>0</v>
      </c>
      <c r="I551" t="n">
        <v>0</v>
      </c>
      <c r="J551" t="n">
        <v>0</v>
      </c>
      <c r="K551" t="n">
        <v>0</v>
      </c>
      <c r="L551" t="n">
        <v>0</v>
      </c>
      <c r="M551" t="n">
        <v>0</v>
      </c>
      <c r="N551" t="n">
        <v>0</v>
      </c>
      <c r="O551" t="n">
        <v>0</v>
      </c>
      <c r="P551" t="n">
        <v>0</v>
      </c>
      <c r="Q551" t="n">
        <v>0</v>
      </c>
      <c r="R551" s="2" t="inlineStr"/>
    </row>
    <row r="552" ht="15" customHeight="1">
      <c r="A552" t="inlineStr">
        <is>
          <t>A 9885-2021</t>
        </is>
      </c>
      <c r="B552" s="1" t="n">
        <v>44253</v>
      </c>
      <c r="C552" s="1" t="n">
        <v>45976</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15562-2024</t>
        </is>
      </c>
      <c r="B553" s="1" t="n">
        <v>45401.64975694445</v>
      </c>
      <c r="C553" s="1" t="n">
        <v>45976</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39223-2024</t>
        </is>
      </c>
      <c r="B554" s="1" t="n">
        <v>45550</v>
      </c>
      <c r="C554" s="1" t="n">
        <v>45976</v>
      </c>
      <c r="D554" t="inlineStr">
        <is>
          <t>SKÅNE LÄN</t>
        </is>
      </c>
      <c r="E554" t="inlineStr">
        <is>
          <t>HÄSSLEHOLM</t>
        </is>
      </c>
      <c r="G554" t="n">
        <v>3.1</v>
      </c>
      <c r="H554" t="n">
        <v>0</v>
      </c>
      <c r="I554" t="n">
        <v>0</v>
      </c>
      <c r="J554" t="n">
        <v>0</v>
      </c>
      <c r="K554" t="n">
        <v>0</v>
      </c>
      <c r="L554" t="n">
        <v>0</v>
      </c>
      <c r="M554" t="n">
        <v>0</v>
      </c>
      <c r="N554" t="n">
        <v>0</v>
      </c>
      <c r="O554" t="n">
        <v>0</v>
      </c>
      <c r="P554" t="n">
        <v>0</v>
      </c>
      <c r="Q554" t="n">
        <v>0</v>
      </c>
      <c r="R554" s="2" t="inlineStr"/>
    </row>
    <row r="555" ht="15" customHeight="1">
      <c r="A555" t="inlineStr">
        <is>
          <t>A 27297-2023</t>
        </is>
      </c>
      <c r="B555" s="1" t="n">
        <v>45096</v>
      </c>
      <c r="C555" s="1" t="n">
        <v>45976</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27304-2023</t>
        </is>
      </c>
      <c r="B556" s="1" t="n">
        <v>45096.65199074074</v>
      </c>
      <c r="C556" s="1" t="n">
        <v>45976</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28071-2023</t>
        </is>
      </c>
      <c r="B557" s="1" t="n">
        <v>45099.37755787037</v>
      </c>
      <c r="C557" s="1" t="n">
        <v>45976</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22693-2022</t>
        </is>
      </c>
      <c r="B558" s="1" t="n">
        <v>44714.54729166667</v>
      </c>
      <c r="C558" s="1" t="n">
        <v>45976</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18648-2021</t>
        </is>
      </c>
      <c r="B559" s="1" t="n">
        <v>44306.70583333333</v>
      </c>
      <c r="C559" s="1" t="n">
        <v>45976</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23946-2023</t>
        </is>
      </c>
      <c r="B560" s="1" t="n">
        <v>45078.61601851852</v>
      </c>
      <c r="C560" s="1" t="n">
        <v>45976</v>
      </c>
      <c r="D560" t="inlineStr">
        <is>
          <t>SKÅNE LÄN</t>
        </is>
      </c>
      <c r="E560" t="inlineStr">
        <is>
          <t>HÄSSLEHOLM</t>
        </is>
      </c>
      <c r="G560" t="n">
        <v>0.2</v>
      </c>
      <c r="H560" t="n">
        <v>0</v>
      </c>
      <c r="I560" t="n">
        <v>0</v>
      </c>
      <c r="J560" t="n">
        <v>0</v>
      </c>
      <c r="K560" t="n">
        <v>0</v>
      </c>
      <c r="L560" t="n">
        <v>0</v>
      </c>
      <c r="M560" t="n">
        <v>0</v>
      </c>
      <c r="N560" t="n">
        <v>0</v>
      </c>
      <c r="O560" t="n">
        <v>0</v>
      </c>
      <c r="P560" t="n">
        <v>0</v>
      </c>
      <c r="Q560" t="n">
        <v>0</v>
      </c>
      <c r="R560" s="2" t="inlineStr"/>
    </row>
    <row r="561" ht="15" customHeight="1">
      <c r="A561" t="inlineStr">
        <is>
          <t>A 41459-2022</t>
        </is>
      </c>
      <c r="B561" s="1" t="n">
        <v>44826.93372685185</v>
      </c>
      <c r="C561" s="1" t="n">
        <v>45976</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35711-2024</t>
        </is>
      </c>
      <c r="B562" s="1" t="n">
        <v>45532</v>
      </c>
      <c r="C562" s="1" t="n">
        <v>45976</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56490-2021</t>
        </is>
      </c>
      <c r="B563" s="1" t="n">
        <v>44480</v>
      </c>
      <c r="C563" s="1" t="n">
        <v>45976</v>
      </c>
      <c r="D563" t="inlineStr">
        <is>
          <t>SKÅNE LÄN</t>
        </is>
      </c>
      <c r="E563" t="inlineStr">
        <is>
          <t>HÄSSLEHOLM</t>
        </is>
      </c>
      <c r="F563" t="inlineStr">
        <is>
          <t>Kyrkan</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49136-2025</t>
        </is>
      </c>
      <c r="B564" s="1" t="n">
        <v>45938.01277777777</v>
      </c>
      <c r="C564" s="1" t="n">
        <v>45976</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61680-2022</t>
        </is>
      </c>
      <c r="B565" s="1" t="n">
        <v>44917.36372685185</v>
      </c>
      <c r="C565" s="1" t="n">
        <v>45976</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15104-2023</t>
        </is>
      </c>
      <c r="B566" s="1" t="n">
        <v>45016.40576388889</v>
      </c>
      <c r="C566" s="1" t="n">
        <v>45976</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29847-2024</t>
        </is>
      </c>
      <c r="B567" s="1" t="n">
        <v>45485.6278587963</v>
      </c>
      <c r="C567" s="1" t="n">
        <v>45976</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61489-2024</t>
        </is>
      </c>
      <c r="B568" s="1" t="n">
        <v>45646.54875</v>
      </c>
      <c r="C568" s="1" t="n">
        <v>45976</v>
      </c>
      <c r="D568" t="inlineStr">
        <is>
          <t>SKÅNE LÄN</t>
        </is>
      </c>
      <c r="E568" t="inlineStr">
        <is>
          <t>HÄSSLEHOLM</t>
        </is>
      </c>
      <c r="G568" t="n">
        <v>1.9</v>
      </c>
      <c r="H568" t="n">
        <v>0</v>
      </c>
      <c r="I568" t="n">
        <v>0</v>
      </c>
      <c r="J568" t="n">
        <v>0</v>
      </c>
      <c r="K568" t="n">
        <v>0</v>
      </c>
      <c r="L568" t="n">
        <v>0</v>
      </c>
      <c r="M568" t="n">
        <v>0</v>
      </c>
      <c r="N568" t="n">
        <v>0</v>
      </c>
      <c r="O568" t="n">
        <v>0</v>
      </c>
      <c r="P568" t="n">
        <v>0</v>
      </c>
      <c r="Q568" t="n">
        <v>0</v>
      </c>
      <c r="R568" s="2" t="inlineStr"/>
    </row>
    <row r="569" ht="15" customHeight="1">
      <c r="A569" t="inlineStr">
        <is>
          <t>A 17699-2024</t>
        </is>
      </c>
      <c r="B569" s="1" t="n">
        <v>45418.46094907408</v>
      </c>
      <c r="C569" s="1" t="n">
        <v>45976</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17702-2024</t>
        </is>
      </c>
      <c r="B570" s="1" t="n">
        <v>45418.46534722222</v>
      </c>
      <c r="C570" s="1" t="n">
        <v>45976</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22384-2024</t>
        </is>
      </c>
      <c r="B571" s="1" t="n">
        <v>45446.65592592592</v>
      </c>
      <c r="C571" s="1" t="n">
        <v>45976</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6101-2022</t>
        </is>
      </c>
      <c r="B572" s="1" t="n">
        <v>44599.63016203704</v>
      </c>
      <c r="C572" s="1" t="n">
        <v>45976</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16951-2025</t>
        </is>
      </c>
      <c r="B573" s="1" t="n">
        <v>45755</v>
      </c>
      <c r="C573" s="1" t="n">
        <v>45976</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12507-2022</t>
        </is>
      </c>
      <c r="B574" s="1" t="n">
        <v>44638</v>
      </c>
      <c r="C574" s="1" t="n">
        <v>45976</v>
      </c>
      <c r="D574" t="inlineStr">
        <is>
          <t>SKÅNE LÄN</t>
        </is>
      </c>
      <c r="E574" t="inlineStr">
        <is>
          <t>HÄSSLEHOLM</t>
        </is>
      </c>
      <c r="G574" t="n">
        <v>2.7</v>
      </c>
      <c r="H574" t="n">
        <v>0</v>
      </c>
      <c r="I574" t="n">
        <v>0</v>
      </c>
      <c r="J574" t="n">
        <v>0</v>
      </c>
      <c r="K574" t="n">
        <v>0</v>
      </c>
      <c r="L574" t="n">
        <v>0</v>
      </c>
      <c r="M574" t="n">
        <v>0</v>
      </c>
      <c r="N574" t="n">
        <v>0</v>
      </c>
      <c r="O574" t="n">
        <v>0</v>
      </c>
      <c r="P574" t="n">
        <v>0</v>
      </c>
      <c r="Q574" t="n">
        <v>0</v>
      </c>
      <c r="R574" s="2" t="inlineStr"/>
    </row>
    <row r="575" ht="15" customHeight="1">
      <c r="A575" t="inlineStr">
        <is>
          <t>A 51571-2023</t>
        </is>
      </c>
      <c r="B575" s="1" t="n">
        <v>45222</v>
      </c>
      <c r="C575" s="1" t="n">
        <v>45976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16614-2025</t>
        </is>
      </c>
      <c r="B576" s="1" t="n">
        <v>45754.283125</v>
      </c>
      <c r="C576" s="1" t="n">
        <v>45976</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3888-2024</t>
        </is>
      </c>
      <c r="B577" s="1" t="n">
        <v>45322.45089120371</v>
      </c>
      <c r="C577" s="1" t="n">
        <v>45976</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3889-2024</t>
        </is>
      </c>
      <c r="B578" s="1" t="n">
        <v>45322.45234953704</v>
      </c>
      <c r="C578" s="1" t="n">
        <v>45976</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3294-2025</t>
        </is>
      </c>
      <c r="B579" s="1" t="n">
        <v>45679.64125</v>
      </c>
      <c r="C579" s="1" t="n">
        <v>45976</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9669-2025</t>
        </is>
      </c>
      <c r="B580" s="1" t="n">
        <v>45716.32921296296</v>
      </c>
      <c r="C580" s="1" t="n">
        <v>45976</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49181-2024</t>
        </is>
      </c>
      <c r="B581" s="1" t="n">
        <v>45595</v>
      </c>
      <c r="C581" s="1" t="n">
        <v>45976</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31995-2023</t>
        </is>
      </c>
      <c r="B582" s="1" t="n">
        <v>45107</v>
      </c>
      <c r="C582" s="1" t="n">
        <v>45976</v>
      </c>
      <c r="D582" t="inlineStr">
        <is>
          <t>SKÅNE LÄN</t>
        </is>
      </c>
      <c r="E582" t="inlineStr">
        <is>
          <t>HÄSSLEHOLM</t>
        </is>
      </c>
      <c r="G582" t="n">
        <v>7.3</v>
      </c>
      <c r="H582" t="n">
        <v>0</v>
      </c>
      <c r="I582" t="n">
        <v>0</v>
      </c>
      <c r="J582" t="n">
        <v>0</v>
      </c>
      <c r="K582" t="n">
        <v>0</v>
      </c>
      <c r="L582" t="n">
        <v>0</v>
      </c>
      <c r="M582" t="n">
        <v>0</v>
      </c>
      <c r="N582" t="n">
        <v>0</v>
      </c>
      <c r="O582" t="n">
        <v>0</v>
      </c>
      <c r="P582" t="n">
        <v>0</v>
      </c>
      <c r="Q582" t="n">
        <v>0</v>
      </c>
      <c r="R582" s="2" t="inlineStr"/>
    </row>
    <row r="583" ht="15" customHeight="1">
      <c r="A583" t="inlineStr">
        <is>
          <t>A 31998-2023</t>
        </is>
      </c>
      <c r="B583" s="1" t="n">
        <v>45119</v>
      </c>
      <c r="C583" s="1" t="n">
        <v>45976</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32794-2023</t>
        </is>
      </c>
      <c r="B584" s="1" t="n">
        <v>45124.40446759259</v>
      </c>
      <c r="C584" s="1" t="n">
        <v>45976</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61436-2024</t>
        </is>
      </c>
      <c r="B585" s="1" t="n">
        <v>45646.46329861111</v>
      </c>
      <c r="C585" s="1" t="n">
        <v>45976</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5478-2021</t>
        </is>
      </c>
      <c r="B586" s="1" t="n">
        <v>44230</v>
      </c>
      <c r="C586" s="1" t="n">
        <v>45976</v>
      </c>
      <c r="D586" t="inlineStr">
        <is>
          <t>SKÅNE LÄN</t>
        </is>
      </c>
      <c r="E586" t="inlineStr">
        <is>
          <t>HÄSSLEHOLM</t>
        </is>
      </c>
      <c r="G586" t="n">
        <v>0.1</v>
      </c>
      <c r="H586" t="n">
        <v>0</v>
      </c>
      <c r="I586" t="n">
        <v>0</v>
      </c>
      <c r="J586" t="n">
        <v>0</v>
      </c>
      <c r="K586" t="n">
        <v>0</v>
      </c>
      <c r="L586" t="n">
        <v>0</v>
      </c>
      <c r="M586" t="n">
        <v>0</v>
      </c>
      <c r="N586" t="n">
        <v>0</v>
      </c>
      <c r="O586" t="n">
        <v>0</v>
      </c>
      <c r="P586" t="n">
        <v>0</v>
      </c>
      <c r="Q586" t="n">
        <v>0</v>
      </c>
      <c r="R586" s="2" t="inlineStr"/>
    </row>
    <row r="587" ht="15" customHeight="1">
      <c r="A587" t="inlineStr">
        <is>
          <t>A 49845-2025</t>
        </is>
      </c>
      <c r="B587" s="1" t="n">
        <v>45940.48015046296</v>
      </c>
      <c r="C587" s="1" t="n">
        <v>45976</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37300-2023</t>
        </is>
      </c>
      <c r="B588" s="1" t="n">
        <v>45156</v>
      </c>
      <c r="C588" s="1" t="n">
        <v>45976</v>
      </c>
      <c r="D588" t="inlineStr">
        <is>
          <t>SKÅNE LÄN</t>
        </is>
      </c>
      <c r="E588" t="inlineStr">
        <is>
          <t>HÄSSLEHOLM</t>
        </is>
      </c>
      <c r="G588" t="n">
        <v>1.5</v>
      </c>
      <c r="H588" t="n">
        <v>0</v>
      </c>
      <c r="I588" t="n">
        <v>0</v>
      </c>
      <c r="J588" t="n">
        <v>0</v>
      </c>
      <c r="K588" t="n">
        <v>0</v>
      </c>
      <c r="L588" t="n">
        <v>0</v>
      </c>
      <c r="M588" t="n">
        <v>0</v>
      </c>
      <c r="N588" t="n">
        <v>0</v>
      </c>
      <c r="O588" t="n">
        <v>0</v>
      </c>
      <c r="P588" t="n">
        <v>0</v>
      </c>
      <c r="Q588" t="n">
        <v>0</v>
      </c>
      <c r="R588" s="2" t="inlineStr"/>
    </row>
    <row r="589" ht="15" customHeight="1">
      <c r="A589" t="inlineStr">
        <is>
          <t>A 7150-2025</t>
        </is>
      </c>
      <c r="B589" s="1" t="n">
        <v>45702.38239583333</v>
      </c>
      <c r="C589" s="1" t="n">
        <v>45976</v>
      </c>
      <c r="D589" t="inlineStr">
        <is>
          <t>SKÅNE LÄN</t>
        </is>
      </c>
      <c r="E589" t="inlineStr">
        <is>
          <t>HÄSSLEHOLM</t>
        </is>
      </c>
      <c r="G589" t="n">
        <v>2.3</v>
      </c>
      <c r="H589" t="n">
        <v>0</v>
      </c>
      <c r="I589" t="n">
        <v>0</v>
      </c>
      <c r="J589" t="n">
        <v>0</v>
      </c>
      <c r="K589" t="n">
        <v>0</v>
      </c>
      <c r="L589" t="n">
        <v>0</v>
      </c>
      <c r="M589" t="n">
        <v>0</v>
      </c>
      <c r="N589" t="n">
        <v>0</v>
      </c>
      <c r="O589" t="n">
        <v>0</v>
      </c>
      <c r="P589" t="n">
        <v>0</v>
      </c>
      <c r="Q589" t="n">
        <v>0</v>
      </c>
      <c r="R589" s="2" t="inlineStr"/>
    </row>
    <row r="590" ht="15" customHeight="1">
      <c r="A590" t="inlineStr">
        <is>
          <t>A 35644-2023</t>
        </is>
      </c>
      <c r="B590" s="1" t="n">
        <v>45147</v>
      </c>
      <c r="C590" s="1" t="n">
        <v>45976</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20185-2023</t>
        </is>
      </c>
      <c r="B591" s="1" t="n">
        <v>45055.56795138889</v>
      </c>
      <c r="C591" s="1" t="n">
        <v>45976</v>
      </c>
      <c r="D591" t="inlineStr">
        <is>
          <t>SKÅNE LÄN</t>
        </is>
      </c>
      <c r="E591" t="inlineStr">
        <is>
          <t>HÄSSLEHOLM</t>
        </is>
      </c>
      <c r="G591" t="n">
        <v>3.5</v>
      </c>
      <c r="H591" t="n">
        <v>0</v>
      </c>
      <c r="I591" t="n">
        <v>0</v>
      </c>
      <c r="J591" t="n">
        <v>0</v>
      </c>
      <c r="K591" t="n">
        <v>0</v>
      </c>
      <c r="L591" t="n">
        <v>0</v>
      </c>
      <c r="M591" t="n">
        <v>0</v>
      </c>
      <c r="N591" t="n">
        <v>0</v>
      </c>
      <c r="O591" t="n">
        <v>0</v>
      </c>
      <c r="P591" t="n">
        <v>0</v>
      </c>
      <c r="Q591" t="n">
        <v>0</v>
      </c>
      <c r="R591" s="2" t="inlineStr"/>
    </row>
    <row r="592" ht="15" customHeight="1">
      <c r="A592" t="inlineStr">
        <is>
          <t>A 3123-2023</t>
        </is>
      </c>
      <c r="B592" s="1" t="n">
        <v>44946.4925</v>
      </c>
      <c r="C592" s="1" t="n">
        <v>45976</v>
      </c>
      <c r="D592" t="inlineStr">
        <is>
          <t>SKÅNE LÄN</t>
        </is>
      </c>
      <c r="E592" t="inlineStr">
        <is>
          <t>HÄSSLEHOLM</t>
        </is>
      </c>
      <c r="G592" t="n">
        <v>3.5</v>
      </c>
      <c r="H592" t="n">
        <v>0</v>
      </c>
      <c r="I592" t="n">
        <v>0</v>
      </c>
      <c r="J592" t="n">
        <v>0</v>
      </c>
      <c r="K592" t="n">
        <v>0</v>
      </c>
      <c r="L592" t="n">
        <v>0</v>
      </c>
      <c r="M592" t="n">
        <v>0</v>
      </c>
      <c r="N592" t="n">
        <v>0</v>
      </c>
      <c r="O592" t="n">
        <v>0</v>
      </c>
      <c r="P592" t="n">
        <v>0</v>
      </c>
      <c r="Q592" t="n">
        <v>0</v>
      </c>
      <c r="R592" s="2" t="inlineStr"/>
    </row>
    <row r="593" ht="15" customHeight="1">
      <c r="A593" t="inlineStr">
        <is>
          <t>A 3126-2023</t>
        </is>
      </c>
      <c r="B593" s="1" t="n">
        <v>44946.49570601852</v>
      </c>
      <c r="C593" s="1" t="n">
        <v>45976</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37318-2024</t>
        </is>
      </c>
      <c r="B594" s="1" t="n">
        <v>45540</v>
      </c>
      <c r="C594" s="1" t="n">
        <v>45976</v>
      </c>
      <c r="D594" t="inlineStr">
        <is>
          <t>SKÅNE LÄN</t>
        </is>
      </c>
      <c r="E594" t="inlineStr">
        <is>
          <t>HÄSSLEHOLM</t>
        </is>
      </c>
      <c r="G594" t="n">
        <v>3.9</v>
      </c>
      <c r="H594" t="n">
        <v>0</v>
      </c>
      <c r="I594" t="n">
        <v>0</v>
      </c>
      <c r="J594" t="n">
        <v>0</v>
      </c>
      <c r="K594" t="n">
        <v>0</v>
      </c>
      <c r="L594" t="n">
        <v>0</v>
      </c>
      <c r="M594" t="n">
        <v>0</v>
      </c>
      <c r="N594" t="n">
        <v>0</v>
      </c>
      <c r="O594" t="n">
        <v>0</v>
      </c>
      <c r="P594" t="n">
        <v>0</v>
      </c>
      <c r="Q594" t="n">
        <v>0</v>
      </c>
      <c r="R594" s="2" t="inlineStr"/>
    </row>
    <row r="595" ht="15" customHeight="1">
      <c r="A595" t="inlineStr">
        <is>
          <t>A 2597-2024</t>
        </is>
      </c>
      <c r="B595" s="1" t="n">
        <v>45313</v>
      </c>
      <c r="C595" s="1" t="n">
        <v>45976</v>
      </c>
      <c r="D595" t="inlineStr">
        <is>
          <t>SKÅNE LÄN</t>
        </is>
      </c>
      <c r="E595" t="inlineStr">
        <is>
          <t>HÄSSLEHOLM</t>
        </is>
      </c>
      <c r="G595" t="n">
        <v>1</v>
      </c>
      <c r="H595" t="n">
        <v>0</v>
      </c>
      <c r="I595" t="n">
        <v>0</v>
      </c>
      <c r="J595" t="n">
        <v>0</v>
      </c>
      <c r="K595" t="n">
        <v>0</v>
      </c>
      <c r="L595" t="n">
        <v>0</v>
      </c>
      <c r="M595" t="n">
        <v>0</v>
      </c>
      <c r="N595" t="n">
        <v>0</v>
      </c>
      <c r="O595" t="n">
        <v>0</v>
      </c>
      <c r="P595" t="n">
        <v>0</v>
      </c>
      <c r="Q595" t="n">
        <v>0</v>
      </c>
      <c r="R595" s="2" t="inlineStr"/>
    </row>
    <row r="596" ht="15" customHeight="1">
      <c r="A596" t="inlineStr">
        <is>
          <t>A 37324-2024</t>
        </is>
      </c>
      <c r="B596" s="1" t="n">
        <v>45540.50104166667</v>
      </c>
      <c r="C596" s="1" t="n">
        <v>45976</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61170-2022</t>
        </is>
      </c>
      <c r="B597" s="1" t="n">
        <v>44915.48543981482</v>
      </c>
      <c r="C597" s="1" t="n">
        <v>45976</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57656-2022</t>
        </is>
      </c>
      <c r="B598" s="1" t="n">
        <v>44897.4325925926</v>
      </c>
      <c r="C598" s="1" t="n">
        <v>45976</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32881-2024</t>
        </is>
      </c>
      <c r="B599" s="1" t="n">
        <v>45516</v>
      </c>
      <c r="C599" s="1" t="n">
        <v>45976</v>
      </c>
      <c r="D599" t="inlineStr">
        <is>
          <t>SKÅNE LÄN</t>
        </is>
      </c>
      <c r="E599" t="inlineStr">
        <is>
          <t>HÄSSLEHOLM</t>
        </is>
      </c>
      <c r="G599" t="n">
        <v>6.3</v>
      </c>
      <c r="H599" t="n">
        <v>0</v>
      </c>
      <c r="I599" t="n">
        <v>0</v>
      </c>
      <c r="J599" t="n">
        <v>0</v>
      </c>
      <c r="K599" t="n">
        <v>0</v>
      </c>
      <c r="L599" t="n">
        <v>0</v>
      </c>
      <c r="M599" t="n">
        <v>0</v>
      </c>
      <c r="N599" t="n">
        <v>0</v>
      </c>
      <c r="O599" t="n">
        <v>0</v>
      </c>
      <c r="P599" t="n">
        <v>0</v>
      </c>
      <c r="Q599" t="n">
        <v>0</v>
      </c>
      <c r="R599" s="2" t="inlineStr"/>
    </row>
    <row r="600" ht="15" customHeight="1">
      <c r="A600" t="inlineStr">
        <is>
          <t>A 23860-2024</t>
        </is>
      </c>
      <c r="B600" s="1" t="n">
        <v>45455</v>
      </c>
      <c r="C600" s="1" t="n">
        <v>45976</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23864-2024</t>
        </is>
      </c>
      <c r="B601" s="1" t="n">
        <v>45455</v>
      </c>
      <c r="C601" s="1" t="n">
        <v>45976</v>
      </c>
      <c r="D601" t="inlineStr">
        <is>
          <t>SKÅNE LÄN</t>
        </is>
      </c>
      <c r="E601" t="inlineStr">
        <is>
          <t>HÄSSLEHOLM</t>
        </is>
      </c>
      <c r="G601" t="n">
        <v>6.2</v>
      </c>
      <c r="H601" t="n">
        <v>0</v>
      </c>
      <c r="I601" t="n">
        <v>0</v>
      </c>
      <c r="J601" t="n">
        <v>0</v>
      </c>
      <c r="K601" t="n">
        <v>0</v>
      </c>
      <c r="L601" t="n">
        <v>0</v>
      </c>
      <c r="M601" t="n">
        <v>0</v>
      </c>
      <c r="N601" t="n">
        <v>0</v>
      </c>
      <c r="O601" t="n">
        <v>0</v>
      </c>
      <c r="P601" t="n">
        <v>0</v>
      </c>
      <c r="Q601" t="n">
        <v>0</v>
      </c>
      <c r="R601" s="2" t="inlineStr"/>
    </row>
    <row r="602" ht="15" customHeight="1">
      <c r="A602" t="inlineStr">
        <is>
          <t>A 7192-2025</t>
        </is>
      </c>
      <c r="B602" s="1" t="n">
        <v>45702.44746527778</v>
      </c>
      <c r="C602" s="1" t="n">
        <v>45976</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43629-2023</t>
        </is>
      </c>
      <c r="B603" s="1" t="n">
        <v>45184</v>
      </c>
      <c r="C603" s="1" t="n">
        <v>45976</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11798-2022</t>
        </is>
      </c>
      <c r="B604" s="1" t="n">
        <v>44634.64900462963</v>
      </c>
      <c r="C604" s="1" t="n">
        <v>45976</v>
      </c>
      <c r="D604" t="inlineStr">
        <is>
          <t>SKÅNE LÄN</t>
        </is>
      </c>
      <c r="E604" t="inlineStr">
        <is>
          <t>HÄSSLEHOLM</t>
        </is>
      </c>
      <c r="G604" t="n">
        <v>2.8</v>
      </c>
      <c r="H604" t="n">
        <v>0</v>
      </c>
      <c r="I604" t="n">
        <v>0</v>
      </c>
      <c r="J604" t="n">
        <v>0</v>
      </c>
      <c r="K604" t="n">
        <v>0</v>
      </c>
      <c r="L604" t="n">
        <v>0</v>
      </c>
      <c r="M604" t="n">
        <v>0</v>
      </c>
      <c r="N604" t="n">
        <v>0</v>
      </c>
      <c r="O604" t="n">
        <v>0</v>
      </c>
      <c r="P604" t="n">
        <v>0</v>
      </c>
      <c r="Q604" t="n">
        <v>0</v>
      </c>
      <c r="R604" s="2" t="inlineStr"/>
    </row>
    <row r="605" ht="15" customHeight="1">
      <c r="A605" t="inlineStr">
        <is>
          <t>A 56881-2021</t>
        </is>
      </c>
      <c r="B605" s="1" t="n">
        <v>44481</v>
      </c>
      <c r="C605" s="1" t="n">
        <v>45976</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41400-2025</t>
        </is>
      </c>
      <c r="B606" s="1" t="n">
        <v>45901</v>
      </c>
      <c r="C606" s="1" t="n">
        <v>45976</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13673-2023</t>
        </is>
      </c>
      <c r="B607" s="1" t="n">
        <v>45006.87957175926</v>
      </c>
      <c r="C607" s="1" t="n">
        <v>45976</v>
      </c>
      <c r="D607" t="inlineStr">
        <is>
          <t>SKÅNE LÄN</t>
        </is>
      </c>
      <c r="E607" t="inlineStr">
        <is>
          <t>HÄSSLEHOLM</t>
        </is>
      </c>
      <c r="G607" t="n">
        <v>3.2</v>
      </c>
      <c r="H607" t="n">
        <v>0</v>
      </c>
      <c r="I607" t="n">
        <v>0</v>
      </c>
      <c r="J607" t="n">
        <v>0</v>
      </c>
      <c r="K607" t="n">
        <v>0</v>
      </c>
      <c r="L607" t="n">
        <v>0</v>
      </c>
      <c r="M607" t="n">
        <v>0</v>
      </c>
      <c r="N607" t="n">
        <v>0</v>
      </c>
      <c r="O607" t="n">
        <v>0</v>
      </c>
      <c r="P607" t="n">
        <v>0</v>
      </c>
      <c r="Q607" t="n">
        <v>0</v>
      </c>
      <c r="R607" s="2" t="inlineStr"/>
    </row>
    <row r="608" ht="15" customHeight="1">
      <c r="A608" t="inlineStr">
        <is>
          <t>A 13990-2022</t>
        </is>
      </c>
      <c r="B608" s="1" t="n">
        <v>44650</v>
      </c>
      <c r="C608" s="1" t="n">
        <v>45976</v>
      </c>
      <c r="D608" t="inlineStr">
        <is>
          <t>SKÅNE LÄN</t>
        </is>
      </c>
      <c r="E608" t="inlineStr">
        <is>
          <t>HÄSSLEHOLM</t>
        </is>
      </c>
      <c r="G608" t="n">
        <v>3.6</v>
      </c>
      <c r="H608" t="n">
        <v>0</v>
      </c>
      <c r="I608" t="n">
        <v>0</v>
      </c>
      <c r="J608" t="n">
        <v>0</v>
      </c>
      <c r="K608" t="n">
        <v>0</v>
      </c>
      <c r="L608" t="n">
        <v>0</v>
      </c>
      <c r="M608" t="n">
        <v>0</v>
      </c>
      <c r="N608" t="n">
        <v>0</v>
      </c>
      <c r="O608" t="n">
        <v>0</v>
      </c>
      <c r="P608" t="n">
        <v>0</v>
      </c>
      <c r="Q608" t="n">
        <v>0</v>
      </c>
      <c r="R608" s="2" t="inlineStr"/>
    </row>
    <row r="609" ht="15" customHeight="1">
      <c r="A609" t="inlineStr">
        <is>
          <t>A 41401-2025</t>
        </is>
      </c>
      <c r="B609" s="1" t="n">
        <v>45901</v>
      </c>
      <c r="C609" s="1" t="n">
        <v>45976</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3531-2023</t>
        </is>
      </c>
      <c r="B610" s="1" t="n">
        <v>44950</v>
      </c>
      <c r="C610" s="1" t="n">
        <v>45976</v>
      </c>
      <c r="D610" t="inlineStr">
        <is>
          <t>SKÅNE LÄN</t>
        </is>
      </c>
      <c r="E610" t="inlineStr">
        <is>
          <t>HÄSSLEHOLM</t>
        </is>
      </c>
      <c r="G610" t="n">
        <v>10.1</v>
      </c>
      <c r="H610" t="n">
        <v>0</v>
      </c>
      <c r="I610" t="n">
        <v>0</v>
      </c>
      <c r="J610" t="n">
        <v>0</v>
      </c>
      <c r="K610" t="n">
        <v>0</v>
      </c>
      <c r="L610" t="n">
        <v>0</v>
      </c>
      <c r="M610" t="n">
        <v>0</v>
      </c>
      <c r="N610" t="n">
        <v>0</v>
      </c>
      <c r="O610" t="n">
        <v>0</v>
      </c>
      <c r="P610" t="n">
        <v>0</v>
      </c>
      <c r="Q610" t="n">
        <v>0</v>
      </c>
      <c r="R610" s="2" t="inlineStr"/>
    </row>
    <row r="611" ht="15" customHeight="1">
      <c r="A611" t="inlineStr">
        <is>
          <t>A 15417-2022</t>
        </is>
      </c>
      <c r="B611" s="1" t="n">
        <v>44659</v>
      </c>
      <c r="C611" s="1" t="n">
        <v>45976</v>
      </c>
      <c r="D611" t="inlineStr">
        <is>
          <t>SKÅNE LÄN</t>
        </is>
      </c>
      <c r="E611" t="inlineStr">
        <is>
          <t>HÄSSLEHOLM</t>
        </is>
      </c>
      <c r="F611" t="inlineStr">
        <is>
          <t>Kyrkan</t>
        </is>
      </c>
      <c r="G611" t="n">
        <v>2.9</v>
      </c>
      <c r="H611" t="n">
        <v>0</v>
      </c>
      <c r="I611" t="n">
        <v>0</v>
      </c>
      <c r="J611" t="n">
        <v>0</v>
      </c>
      <c r="K611" t="n">
        <v>0</v>
      </c>
      <c r="L611" t="n">
        <v>0</v>
      </c>
      <c r="M611" t="n">
        <v>0</v>
      </c>
      <c r="N611" t="n">
        <v>0</v>
      </c>
      <c r="O611" t="n">
        <v>0</v>
      </c>
      <c r="P611" t="n">
        <v>0</v>
      </c>
      <c r="Q611" t="n">
        <v>0</v>
      </c>
      <c r="R611" s="2" t="inlineStr"/>
    </row>
    <row r="612" ht="15" customHeight="1">
      <c r="A612" t="inlineStr">
        <is>
          <t>A 44262-2021</t>
        </is>
      </c>
      <c r="B612" s="1" t="n">
        <v>44434</v>
      </c>
      <c r="C612" s="1" t="n">
        <v>45976</v>
      </c>
      <c r="D612" t="inlineStr">
        <is>
          <t>SKÅNE LÄN</t>
        </is>
      </c>
      <c r="E612" t="inlineStr">
        <is>
          <t>HÄSSLEHOLM</t>
        </is>
      </c>
      <c r="G612" t="n">
        <v>4.7</v>
      </c>
      <c r="H612" t="n">
        <v>0</v>
      </c>
      <c r="I612" t="n">
        <v>0</v>
      </c>
      <c r="J612" t="n">
        <v>0</v>
      </c>
      <c r="K612" t="n">
        <v>0</v>
      </c>
      <c r="L612" t="n">
        <v>0</v>
      </c>
      <c r="M612" t="n">
        <v>0</v>
      </c>
      <c r="N612" t="n">
        <v>0</v>
      </c>
      <c r="O612" t="n">
        <v>0</v>
      </c>
      <c r="P612" t="n">
        <v>0</v>
      </c>
      <c r="Q612" t="n">
        <v>0</v>
      </c>
      <c r="R612" s="2" t="inlineStr"/>
    </row>
    <row r="613" ht="15" customHeight="1">
      <c r="A613" t="inlineStr">
        <is>
          <t>A 38306-2022</t>
        </is>
      </c>
      <c r="B613" s="1" t="n">
        <v>44812.57515046297</v>
      </c>
      <c r="C613" s="1" t="n">
        <v>45976</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50659-2023</t>
        </is>
      </c>
      <c r="B614" s="1" t="n">
        <v>45217</v>
      </c>
      <c r="C614" s="1" t="n">
        <v>45976</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13808-2021</t>
        </is>
      </c>
      <c r="B615" s="1" t="n">
        <v>44276</v>
      </c>
      <c r="C615" s="1" t="n">
        <v>45976</v>
      </c>
      <c r="D615" t="inlineStr">
        <is>
          <t>SKÅNE LÄN</t>
        </is>
      </c>
      <c r="E615" t="inlineStr">
        <is>
          <t>HÄSSLEHOLM</t>
        </is>
      </c>
      <c r="G615" t="n">
        <v>10.3</v>
      </c>
      <c r="H615" t="n">
        <v>0</v>
      </c>
      <c r="I615" t="n">
        <v>0</v>
      </c>
      <c r="J615" t="n">
        <v>0</v>
      </c>
      <c r="K615" t="n">
        <v>0</v>
      </c>
      <c r="L615" t="n">
        <v>0</v>
      </c>
      <c r="M615" t="n">
        <v>0</v>
      </c>
      <c r="N615" t="n">
        <v>0</v>
      </c>
      <c r="O615" t="n">
        <v>0</v>
      </c>
      <c r="P615" t="n">
        <v>0</v>
      </c>
      <c r="Q615" t="n">
        <v>0</v>
      </c>
      <c r="R615" s="2" t="inlineStr"/>
    </row>
    <row r="616" ht="15" customHeight="1">
      <c r="A616" t="inlineStr">
        <is>
          <t>A 38712-2024</t>
        </is>
      </c>
      <c r="B616" s="1" t="n">
        <v>45547</v>
      </c>
      <c r="C616" s="1" t="n">
        <v>45976</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67801-2021</t>
        </is>
      </c>
      <c r="B617" s="1" t="n">
        <v>44525</v>
      </c>
      <c r="C617" s="1" t="n">
        <v>45976</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2144-2023</t>
        </is>
      </c>
      <c r="B618" s="1" t="n">
        <v>44940.79054398148</v>
      </c>
      <c r="C618" s="1" t="n">
        <v>45976</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13310-2025</t>
        </is>
      </c>
      <c r="B619" s="1" t="n">
        <v>45735.58814814815</v>
      </c>
      <c r="C619" s="1" t="n">
        <v>45976</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50564-2023</t>
        </is>
      </c>
      <c r="B620" s="1" t="n">
        <v>45217.37957175926</v>
      </c>
      <c r="C620" s="1" t="n">
        <v>45976</v>
      </c>
      <c r="D620" t="inlineStr">
        <is>
          <t>SKÅNE LÄN</t>
        </is>
      </c>
      <c r="E620" t="inlineStr">
        <is>
          <t>HÄSSLEHOLM</t>
        </is>
      </c>
      <c r="G620" t="n">
        <v>1.2</v>
      </c>
      <c r="H620" t="n">
        <v>0</v>
      </c>
      <c r="I620" t="n">
        <v>0</v>
      </c>
      <c r="J620" t="n">
        <v>0</v>
      </c>
      <c r="K620" t="n">
        <v>0</v>
      </c>
      <c r="L620" t="n">
        <v>0</v>
      </c>
      <c r="M620" t="n">
        <v>0</v>
      </c>
      <c r="N620" t="n">
        <v>0</v>
      </c>
      <c r="O620" t="n">
        <v>0</v>
      </c>
      <c r="P620" t="n">
        <v>0</v>
      </c>
      <c r="Q620" t="n">
        <v>0</v>
      </c>
      <c r="R620" s="2" t="inlineStr"/>
    </row>
    <row r="621" ht="15" customHeight="1">
      <c r="A621" t="inlineStr">
        <is>
          <t>A 37141-2021</t>
        </is>
      </c>
      <c r="B621" s="1" t="n">
        <v>44396</v>
      </c>
      <c r="C621" s="1" t="n">
        <v>45976</v>
      </c>
      <c r="D621" t="inlineStr">
        <is>
          <t>SKÅNE LÄN</t>
        </is>
      </c>
      <c r="E621" t="inlineStr">
        <is>
          <t>HÄSSLEHOLM</t>
        </is>
      </c>
      <c r="G621" t="n">
        <v>12.8</v>
      </c>
      <c r="H621" t="n">
        <v>0</v>
      </c>
      <c r="I621" t="n">
        <v>0</v>
      </c>
      <c r="J621" t="n">
        <v>0</v>
      </c>
      <c r="K621" t="n">
        <v>0</v>
      </c>
      <c r="L621" t="n">
        <v>0</v>
      </c>
      <c r="M621" t="n">
        <v>0</v>
      </c>
      <c r="N621" t="n">
        <v>0</v>
      </c>
      <c r="O621" t="n">
        <v>0</v>
      </c>
      <c r="P621" t="n">
        <v>0</v>
      </c>
      <c r="Q621" t="n">
        <v>0</v>
      </c>
      <c r="R621" s="2" t="inlineStr"/>
    </row>
    <row r="622" ht="15" customHeight="1">
      <c r="A622" t="inlineStr">
        <is>
          <t>A 7202-2022</t>
        </is>
      </c>
      <c r="B622" s="1" t="n">
        <v>44606</v>
      </c>
      <c r="C622" s="1" t="n">
        <v>45976</v>
      </c>
      <c r="D622" t="inlineStr">
        <is>
          <t>SKÅNE LÄN</t>
        </is>
      </c>
      <c r="E622" t="inlineStr">
        <is>
          <t>HÄSSLEHOLM</t>
        </is>
      </c>
      <c r="G622" t="n">
        <v>4.7</v>
      </c>
      <c r="H622" t="n">
        <v>0</v>
      </c>
      <c r="I622" t="n">
        <v>0</v>
      </c>
      <c r="J622" t="n">
        <v>0</v>
      </c>
      <c r="K622" t="n">
        <v>0</v>
      </c>
      <c r="L622" t="n">
        <v>0</v>
      </c>
      <c r="M622" t="n">
        <v>0</v>
      </c>
      <c r="N622" t="n">
        <v>0</v>
      </c>
      <c r="O622" t="n">
        <v>0</v>
      </c>
      <c r="P622" t="n">
        <v>0</v>
      </c>
      <c r="Q622" t="n">
        <v>0</v>
      </c>
      <c r="R622" s="2" t="inlineStr"/>
    </row>
    <row r="623" ht="15" customHeight="1">
      <c r="A623" t="inlineStr">
        <is>
          <t>A 43061-2024</t>
        </is>
      </c>
      <c r="B623" s="1" t="n">
        <v>45567</v>
      </c>
      <c r="C623" s="1" t="n">
        <v>45976</v>
      </c>
      <c r="D623" t="inlineStr">
        <is>
          <t>SKÅNE LÄN</t>
        </is>
      </c>
      <c r="E623" t="inlineStr">
        <is>
          <t>HÄSSLEHOLM</t>
        </is>
      </c>
      <c r="G623" t="n">
        <v>4.5</v>
      </c>
      <c r="H623" t="n">
        <v>0</v>
      </c>
      <c r="I623" t="n">
        <v>0</v>
      </c>
      <c r="J623" t="n">
        <v>0</v>
      </c>
      <c r="K623" t="n">
        <v>0</v>
      </c>
      <c r="L623" t="n">
        <v>0</v>
      </c>
      <c r="M623" t="n">
        <v>0</v>
      </c>
      <c r="N623" t="n">
        <v>0</v>
      </c>
      <c r="O623" t="n">
        <v>0</v>
      </c>
      <c r="P623" t="n">
        <v>0</v>
      </c>
      <c r="Q623" t="n">
        <v>0</v>
      </c>
      <c r="R623" s="2" t="inlineStr"/>
    </row>
    <row r="624" ht="15" customHeight="1">
      <c r="A624" t="inlineStr">
        <is>
          <t>A 54171-2021</t>
        </is>
      </c>
      <c r="B624" s="1" t="n">
        <v>44470</v>
      </c>
      <c r="C624" s="1" t="n">
        <v>45976</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24640-2023</t>
        </is>
      </c>
      <c r="B625" s="1" t="n">
        <v>45084.43181712963</v>
      </c>
      <c r="C625" s="1" t="n">
        <v>45976</v>
      </c>
      <c r="D625" t="inlineStr">
        <is>
          <t>SKÅNE LÄN</t>
        </is>
      </c>
      <c r="E625" t="inlineStr">
        <is>
          <t>HÄSSLEHOLM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21494-2023</t>
        </is>
      </c>
      <c r="B626" s="1" t="n">
        <v>45063</v>
      </c>
      <c r="C626" s="1" t="n">
        <v>45976</v>
      </c>
      <c r="D626" t="inlineStr">
        <is>
          <t>SKÅNE LÄN</t>
        </is>
      </c>
      <c r="E626" t="inlineStr">
        <is>
          <t>HÄSSLEHOLM</t>
        </is>
      </c>
      <c r="G626" t="n">
        <v>3.7</v>
      </c>
      <c r="H626" t="n">
        <v>0</v>
      </c>
      <c r="I626" t="n">
        <v>0</v>
      </c>
      <c r="J626" t="n">
        <v>0</v>
      </c>
      <c r="K626" t="n">
        <v>0</v>
      </c>
      <c r="L626" t="n">
        <v>0</v>
      </c>
      <c r="M626" t="n">
        <v>0</v>
      </c>
      <c r="N626" t="n">
        <v>0</v>
      </c>
      <c r="O626" t="n">
        <v>0</v>
      </c>
      <c r="P626" t="n">
        <v>0</v>
      </c>
      <c r="Q626" t="n">
        <v>0</v>
      </c>
      <c r="R626" s="2" t="inlineStr"/>
    </row>
    <row r="627" ht="15" customHeight="1">
      <c r="A627" t="inlineStr">
        <is>
          <t>A 21495-2023</t>
        </is>
      </c>
      <c r="B627" s="1" t="n">
        <v>45063</v>
      </c>
      <c r="C627" s="1" t="n">
        <v>45976</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51618-2024</t>
        </is>
      </c>
      <c r="B628" s="1" t="n">
        <v>45604.82615740741</v>
      </c>
      <c r="C628" s="1" t="n">
        <v>45976</v>
      </c>
      <c r="D628" t="inlineStr">
        <is>
          <t>SKÅNE LÄN</t>
        </is>
      </c>
      <c r="E628" t="inlineStr">
        <is>
          <t>HÄSSLEHOLM</t>
        </is>
      </c>
      <c r="G628" t="n">
        <v>1.2</v>
      </c>
      <c r="H628" t="n">
        <v>0</v>
      </c>
      <c r="I628" t="n">
        <v>0</v>
      </c>
      <c r="J628" t="n">
        <v>0</v>
      </c>
      <c r="K628" t="n">
        <v>0</v>
      </c>
      <c r="L628" t="n">
        <v>0</v>
      </c>
      <c r="M628" t="n">
        <v>0</v>
      </c>
      <c r="N628" t="n">
        <v>0</v>
      </c>
      <c r="O628" t="n">
        <v>0</v>
      </c>
      <c r="P628" t="n">
        <v>0</v>
      </c>
      <c r="Q628" t="n">
        <v>0</v>
      </c>
      <c r="R628" s="2" t="inlineStr"/>
    </row>
    <row r="629" ht="15" customHeight="1">
      <c r="A629" t="inlineStr">
        <is>
          <t>A 62167-2022</t>
        </is>
      </c>
      <c r="B629" s="1" t="n">
        <v>44915</v>
      </c>
      <c r="C629" s="1" t="n">
        <v>45976</v>
      </c>
      <c r="D629" t="inlineStr">
        <is>
          <t>SKÅNE LÄN</t>
        </is>
      </c>
      <c r="E629" t="inlineStr">
        <is>
          <t>HÄSSLEHOLM</t>
        </is>
      </c>
      <c r="F629" t="inlineStr">
        <is>
          <t>Kyrkan</t>
        </is>
      </c>
      <c r="G629" t="n">
        <v>3.1</v>
      </c>
      <c r="H629" t="n">
        <v>0</v>
      </c>
      <c r="I629" t="n">
        <v>0</v>
      </c>
      <c r="J629" t="n">
        <v>0</v>
      </c>
      <c r="K629" t="n">
        <v>0</v>
      </c>
      <c r="L629" t="n">
        <v>0</v>
      </c>
      <c r="M629" t="n">
        <v>0</v>
      </c>
      <c r="N629" t="n">
        <v>0</v>
      </c>
      <c r="O629" t="n">
        <v>0</v>
      </c>
      <c r="P629" t="n">
        <v>0</v>
      </c>
      <c r="Q629" t="n">
        <v>0</v>
      </c>
      <c r="R629" s="2" t="inlineStr"/>
    </row>
    <row r="630" ht="15" customHeight="1">
      <c r="A630" t="inlineStr">
        <is>
          <t>A 62234-2022</t>
        </is>
      </c>
      <c r="B630" s="1" t="n">
        <v>44922</v>
      </c>
      <c r="C630" s="1" t="n">
        <v>45976</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34299-2024</t>
        </is>
      </c>
      <c r="B631" s="1" t="n">
        <v>45524</v>
      </c>
      <c r="C631" s="1" t="n">
        <v>45976</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50676-2025</t>
        </is>
      </c>
      <c r="B632" s="1" t="n">
        <v>45945</v>
      </c>
      <c r="C632" s="1" t="n">
        <v>45976</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9697-2023</t>
        </is>
      </c>
      <c r="B633" s="1" t="n">
        <v>44984</v>
      </c>
      <c r="C633" s="1" t="n">
        <v>45976</v>
      </c>
      <c r="D633" t="inlineStr">
        <is>
          <t>SKÅNE LÄN</t>
        </is>
      </c>
      <c r="E633" t="inlineStr">
        <is>
          <t>HÄSSLEHOLM</t>
        </is>
      </c>
      <c r="G633" t="n">
        <v>0.3</v>
      </c>
      <c r="H633" t="n">
        <v>0</v>
      </c>
      <c r="I633" t="n">
        <v>0</v>
      </c>
      <c r="J633" t="n">
        <v>0</v>
      </c>
      <c r="K633" t="n">
        <v>0</v>
      </c>
      <c r="L633" t="n">
        <v>0</v>
      </c>
      <c r="M633" t="n">
        <v>0</v>
      </c>
      <c r="N633" t="n">
        <v>0</v>
      </c>
      <c r="O633" t="n">
        <v>0</v>
      </c>
      <c r="P633" t="n">
        <v>0</v>
      </c>
      <c r="Q633" t="n">
        <v>0</v>
      </c>
      <c r="R633" s="2" t="inlineStr"/>
    </row>
    <row r="634" ht="15" customHeight="1">
      <c r="A634" t="inlineStr">
        <is>
          <t>A 42232-2022</t>
        </is>
      </c>
      <c r="B634" s="1" t="n">
        <v>44830.77591435185</v>
      </c>
      <c r="C634" s="1" t="n">
        <v>45976</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3746-2024</t>
        </is>
      </c>
      <c r="B635" s="1" t="n">
        <v>45321.50745370371</v>
      </c>
      <c r="C635" s="1" t="n">
        <v>45976</v>
      </c>
      <c r="D635" t="inlineStr">
        <is>
          <t>SKÅNE LÄN</t>
        </is>
      </c>
      <c r="E635" t="inlineStr">
        <is>
          <t>HÄSSLEHOLM</t>
        </is>
      </c>
      <c r="G635" t="n">
        <v>3.4</v>
      </c>
      <c r="H635" t="n">
        <v>0</v>
      </c>
      <c r="I635" t="n">
        <v>0</v>
      </c>
      <c r="J635" t="n">
        <v>0</v>
      </c>
      <c r="K635" t="n">
        <v>0</v>
      </c>
      <c r="L635" t="n">
        <v>0</v>
      </c>
      <c r="M635" t="n">
        <v>0</v>
      </c>
      <c r="N635" t="n">
        <v>0</v>
      </c>
      <c r="O635" t="n">
        <v>0</v>
      </c>
      <c r="P635" t="n">
        <v>0</v>
      </c>
      <c r="Q635" t="n">
        <v>0</v>
      </c>
      <c r="R635" s="2" t="inlineStr"/>
    </row>
    <row r="636" ht="15" customHeight="1">
      <c r="A636" t="inlineStr">
        <is>
          <t>A 50677-2025</t>
        </is>
      </c>
      <c r="B636" s="1" t="n">
        <v>45945</v>
      </c>
      <c r="C636" s="1" t="n">
        <v>45976</v>
      </c>
      <c r="D636" t="inlineStr">
        <is>
          <t>SKÅNE LÄN</t>
        </is>
      </c>
      <c r="E636" t="inlineStr">
        <is>
          <t>HÄSSLEHOLM</t>
        </is>
      </c>
      <c r="G636" t="n">
        <v>2.3</v>
      </c>
      <c r="H636" t="n">
        <v>0</v>
      </c>
      <c r="I636" t="n">
        <v>0</v>
      </c>
      <c r="J636" t="n">
        <v>0</v>
      </c>
      <c r="K636" t="n">
        <v>0</v>
      </c>
      <c r="L636" t="n">
        <v>0</v>
      </c>
      <c r="M636" t="n">
        <v>0</v>
      </c>
      <c r="N636" t="n">
        <v>0</v>
      </c>
      <c r="O636" t="n">
        <v>0</v>
      </c>
      <c r="P636" t="n">
        <v>0</v>
      </c>
      <c r="Q636" t="n">
        <v>0</v>
      </c>
      <c r="R636" s="2" t="inlineStr"/>
    </row>
    <row r="637" ht="15" customHeight="1">
      <c r="A637" t="inlineStr">
        <is>
          <t>A 57649-2022</t>
        </is>
      </c>
      <c r="B637" s="1" t="n">
        <v>44897.42755787037</v>
      </c>
      <c r="C637" s="1" t="n">
        <v>45976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37038-2022</t>
        </is>
      </c>
      <c r="B638" s="1" t="n">
        <v>44806.44232638889</v>
      </c>
      <c r="C638" s="1" t="n">
        <v>45976</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57665-2022</t>
        </is>
      </c>
      <c r="B639" s="1" t="n">
        <v>44897.4494212963</v>
      </c>
      <c r="C639" s="1" t="n">
        <v>45976</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57676-2022</t>
        </is>
      </c>
      <c r="B640" s="1" t="n">
        <v>44897</v>
      </c>
      <c r="C640" s="1" t="n">
        <v>45976</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14145-2023</t>
        </is>
      </c>
      <c r="B641" s="1" t="n">
        <v>45009</v>
      </c>
      <c r="C641" s="1" t="n">
        <v>45976</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5894-2023</t>
        </is>
      </c>
      <c r="B642" s="1" t="n">
        <v>44963.65148148148</v>
      </c>
      <c r="C642" s="1" t="n">
        <v>45976</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50872-2025</t>
        </is>
      </c>
      <c r="B643" s="1" t="n">
        <v>45946</v>
      </c>
      <c r="C643" s="1" t="n">
        <v>45976</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8249-2023</t>
        </is>
      </c>
      <c r="B644" s="1" t="n">
        <v>44974</v>
      </c>
      <c r="C644" s="1" t="n">
        <v>45976</v>
      </c>
      <c r="D644" t="inlineStr">
        <is>
          <t>SKÅNE LÄN</t>
        </is>
      </c>
      <c r="E644" t="inlineStr">
        <is>
          <t>HÄSSLEHOLM</t>
        </is>
      </c>
      <c r="G644" t="n">
        <v>5.8</v>
      </c>
      <c r="H644" t="n">
        <v>0</v>
      </c>
      <c r="I644" t="n">
        <v>0</v>
      </c>
      <c r="J644" t="n">
        <v>0</v>
      </c>
      <c r="K644" t="n">
        <v>0</v>
      </c>
      <c r="L644" t="n">
        <v>0</v>
      </c>
      <c r="M644" t="n">
        <v>0</v>
      </c>
      <c r="N644" t="n">
        <v>0</v>
      </c>
      <c r="O644" t="n">
        <v>0</v>
      </c>
      <c r="P644" t="n">
        <v>0</v>
      </c>
      <c r="Q644" t="n">
        <v>0</v>
      </c>
      <c r="R644" s="2" t="inlineStr"/>
    </row>
    <row r="645" ht="15" customHeight="1">
      <c r="A645" t="inlineStr">
        <is>
          <t>A 9502-2023</t>
        </is>
      </c>
      <c r="B645" s="1" t="n">
        <v>44981.63278935185</v>
      </c>
      <c r="C645" s="1" t="n">
        <v>45976</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42520-2025</t>
        </is>
      </c>
      <c r="B646" s="1" t="n">
        <v>45905.54846064815</v>
      </c>
      <c r="C646" s="1" t="n">
        <v>45976</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48046-2023</t>
        </is>
      </c>
      <c r="B647" s="1" t="n">
        <v>45204.85201388889</v>
      </c>
      <c r="C647" s="1" t="n">
        <v>45976</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8244-2023</t>
        </is>
      </c>
      <c r="B648" s="1" t="n">
        <v>44974</v>
      </c>
      <c r="C648" s="1" t="n">
        <v>45976</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57749-2023</t>
        </is>
      </c>
      <c r="B649" s="1" t="n">
        <v>45246</v>
      </c>
      <c r="C649" s="1" t="n">
        <v>45976</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51024-2025</t>
        </is>
      </c>
      <c r="B650" s="1" t="n">
        <v>45947.395</v>
      </c>
      <c r="C650" s="1" t="n">
        <v>45976</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1538-2024</t>
        </is>
      </c>
      <c r="B651" s="1" t="n">
        <v>45306</v>
      </c>
      <c r="C651" s="1" t="n">
        <v>45976</v>
      </c>
      <c r="D651" t="inlineStr">
        <is>
          <t>SKÅNE LÄN</t>
        </is>
      </c>
      <c r="E651" t="inlineStr">
        <is>
          <t>HÄSSLEHOLM</t>
        </is>
      </c>
      <c r="G651" t="n">
        <v>4.8</v>
      </c>
      <c r="H651" t="n">
        <v>0</v>
      </c>
      <c r="I651" t="n">
        <v>0</v>
      </c>
      <c r="J651" t="n">
        <v>0</v>
      </c>
      <c r="K651" t="n">
        <v>0</v>
      </c>
      <c r="L651" t="n">
        <v>0</v>
      </c>
      <c r="M651" t="n">
        <v>0</v>
      </c>
      <c r="N651" t="n">
        <v>0</v>
      </c>
      <c r="O651" t="n">
        <v>0</v>
      </c>
      <c r="P651" t="n">
        <v>0</v>
      </c>
      <c r="Q651" t="n">
        <v>0</v>
      </c>
      <c r="R651" s="2" t="inlineStr"/>
    </row>
    <row r="652" ht="15" customHeight="1">
      <c r="A652" t="inlineStr">
        <is>
          <t>A 3135-2023</t>
        </is>
      </c>
      <c r="B652" s="1" t="n">
        <v>44946.51672453704</v>
      </c>
      <c r="C652" s="1" t="n">
        <v>45976</v>
      </c>
      <c r="D652" t="inlineStr">
        <is>
          <t>SKÅNE LÄN</t>
        </is>
      </c>
      <c r="E652" t="inlineStr">
        <is>
          <t>HÄSSLEHOLM</t>
        </is>
      </c>
      <c r="G652" t="n">
        <v>7.2</v>
      </c>
      <c r="H652" t="n">
        <v>0</v>
      </c>
      <c r="I652" t="n">
        <v>0</v>
      </c>
      <c r="J652" t="n">
        <v>0</v>
      </c>
      <c r="K652" t="n">
        <v>0</v>
      </c>
      <c r="L652" t="n">
        <v>0</v>
      </c>
      <c r="M652" t="n">
        <v>0</v>
      </c>
      <c r="N652" t="n">
        <v>0</v>
      </c>
      <c r="O652" t="n">
        <v>0</v>
      </c>
      <c r="P652" t="n">
        <v>0</v>
      </c>
      <c r="Q652" t="n">
        <v>0</v>
      </c>
      <c r="R652" s="2" t="inlineStr"/>
    </row>
    <row r="653" ht="15" customHeight="1">
      <c r="A653" t="inlineStr">
        <is>
          <t>A 8246-2023</t>
        </is>
      </c>
      <c r="B653" s="1" t="n">
        <v>44974</v>
      </c>
      <c r="C653" s="1" t="n">
        <v>45976</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47840-2023</t>
        </is>
      </c>
      <c r="B654" s="1" t="n">
        <v>45204</v>
      </c>
      <c r="C654" s="1" t="n">
        <v>45976</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34342-2021</t>
        </is>
      </c>
      <c r="B655" s="1" t="n">
        <v>44379</v>
      </c>
      <c r="C655" s="1" t="n">
        <v>45976</v>
      </c>
      <c r="D655" t="inlineStr">
        <is>
          <t>SKÅNE LÄN</t>
        </is>
      </c>
      <c r="E655" t="inlineStr">
        <is>
          <t>HÄSSLEHOLM</t>
        </is>
      </c>
      <c r="G655" t="n">
        <v>7</v>
      </c>
      <c r="H655" t="n">
        <v>0</v>
      </c>
      <c r="I655" t="n">
        <v>0</v>
      </c>
      <c r="J655" t="n">
        <v>0</v>
      </c>
      <c r="K655" t="n">
        <v>0</v>
      </c>
      <c r="L655" t="n">
        <v>0</v>
      </c>
      <c r="M655" t="n">
        <v>0</v>
      </c>
      <c r="N655" t="n">
        <v>0</v>
      </c>
      <c r="O655" t="n">
        <v>0</v>
      </c>
      <c r="P655" t="n">
        <v>0</v>
      </c>
      <c r="Q655" t="n">
        <v>0</v>
      </c>
      <c r="R655" s="2" t="inlineStr"/>
    </row>
    <row r="656" ht="15" customHeight="1">
      <c r="A656" t="inlineStr">
        <is>
          <t>A 62277-2023</t>
        </is>
      </c>
      <c r="B656" s="1" t="n">
        <v>45266</v>
      </c>
      <c r="C656" s="1" t="n">
        <v>45976</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50678-2025</t>
        </is>
      </c>
      <c r="B657" s="1" t="n">
        <v>45945</v>
      </c>
      <c r="C657" s="1" t="n">
        <v>45976</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3507-2024</t>
        </is>
      </c>
      <c r="B658" s="1" t="n">
        <v>45320.4906712963</v>
      </c>
      <c r="C658" s="1" t="n">
        <v>45976</v>
      </c>
      <c r="D658" t="inlineStr">
        <is>
          <t>SKÅNE LÄN</t>
        </is>
      </c>
      <c r="E658" t="inlineStr">
        <is>
          <t>HÄSSLEHOLM</t>
        </is>
      </c>
      <c r="G658" t="n">
        <v>6.4</v>
      </c>
      <c r="H658" t="n">
        <v>0</v>
      </c>
      <c r="I658" t="n">
        <v>0</v>
      </c>
      <c r="J658" t="n">
        <v>0</v>
      </c>
      <c r="K658" t="n">
        <v>0</v>
      </c>
      <c r="L658" t="n">
        <v>0</v>
      </c>
      <c r="M658" t="n">
        <v>0</v>
      </c>
      <c r="N658" t="n">
        <v>0</v>
      </c>
      <c r="O658" t="n">
        <v>0</v>
      </c>
      <c r="P658" t="n">
        <v>0</v>
      </c>
      <c r="Q658" t="n">
        <v>0</v>
      </c>
      <c r="R658" s="2" t="inlineStr"/>
    </row>
    <row r="659" ht="15" customHeight="1">
      <c r="A659" t="inlineStr">
        <is>
          <t>A 12584-2025</t>
        </is>
      </c>
      <c r="B659" s="1" t="n">
        <v>45732</v>
      </c>
      <c r="C659" s="1" t="n">
        <v>45976</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49111-2023</t>
        </is>
      </c>
      <c r="B660" s="1" t="n">
        <v>45210.44464120371</v>
      </c>
      <c r="C660" s="1" t="n">
        <v>45976</v>
      </c>
      <c r="D660" t="inlineStr">
        <is>
          <t>SKÅNE LÄN</t>
        </is>
      </c>
      <c r="E660" t="inlineStr">
        <is>
          <t>HÄSSLEHOLM</t>
        </is>
      </c>
      <c r="G660" t="n">
        <v>0.2</v>
      </c>
      <c r="H660" t="n">
        <v>0</v>
      </c>
      <c r="I660" t="n">
        <v>0</v>
      </c>
      <c r="J660" t="n">
        <v>0</v>
      </c>
      <c r="K660" t="n">
        <v>0</v>
      </c>
      <c r="L660" t="n">
        <v>0</v>
      </c>
      <c r="M660" t="n">
        <v>0</v>
      </c>
      <c r="N660" t="n">
        <v>0</v>
      </c>
      <c r="O660" t="n">
        <v>0</v>
      </c>
      <c r="P660" t="n">
        <v>0</v>
      </c>
      <c r="Q660" t="n">
        <v>0</v>
      </c>
      <c r="R660" s="2" t="inlineStr"/>
    </row>
    <row r="661" ht="15" customHeight="1">
      <c r="A661" t="inlineStr">
        <is>
          <t>A 34369-2023</t>
        </is>
      </c>
      <c r="B661" s="1" t="n">
        <v>45139.47817129629</v>
      </c>
      <c r="C661" s="1" t="n">
        <v>45976</v>
      </c>
      <c r="D661" t="inlineStr">
        <is>
          <t>SKÅNE LÄN</t>
        </is>
      </c>
      <c r="E661" t="inlineStr">
        <is>
          <t>HÄSSLEHOLM</t>
        </is>
      </c>
      <c r="G661" t="n">
        <v>2</v>
      </c>
      <c r="H661" t="n">
        <v>0</v>
      </c>
      <c r="I661" t="n">
        <v>0</v>
      </c>
      <c r="J661" t="n">
        <v>0</v>
      </c>
      <c r="K661" t="n">
        <v>0</v>
      </c>
      <c r="L661" t="n">
        <v>0</v>
      </c>
      <c r="M661" t="n">
        <v>0</v>
      </c>
      <c r="N661" t="n">
        <v>0</v>
      </c>
      <c r="O661" t="n">
        <v>0</v>
      </c>
      <c r="P661" t="n">
        <v>0</v>
      </c>
      <c r="Q661" t="n">
        <v>0</v>
      </c>
      <c r="R661" s="2" t="inlineStr"/>
    </row>
    <row r="662" ht="15" customHeight="1">
      <c r="A662" t="inlineStr">
        <is>
          <t>A 61178-2022</t>
        </is>
      </c>
      <c r="B662" s="1" t="n">
        <v>44915</v>
      </c>
      <c r="C662" s="1" t="n">
        <v>45976</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61185-2022</t>
        </is>
      </c>
      <c r="B663" s="1" t="n">
        <v>44915</v>
      </c>
      <c r="C663" s="1" t="n">
        <v>45976</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58915-2023</t>
        </is>
      </c>
      <c r="B664" s="1" t="n">
        <v>45250</v>
      </c>
      <c r="C664" s="1" t="n">
        <v>45976</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34834-2023</t>
        </is>
      </c>
      <c r="B665" s="1" t="n">
        <v>45141.7199537037</v>
      </c>
      <c r="C665" s="1" t="n">
        <v>45976</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50829-2025</t>
        </is>
      </c>
      <c r="B666" s="1" t="n">
        <v>45946.55309027778</v>
      </c>
      <c r="C666" s="1" t="n">
        <v>45976</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50834-2025</t>
        </is>
      </c>
      <c r="B667" s="1" t="n">
        <v>45946.55746527778</v>
      </c>
      <c r="C667" s="1" t="n">
        <v>45976</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15508-2023</t>
        </is>
      </c>
      <c r="B668" s="1" t="n">
        <v>45020.50045138889</v>
      </c>
      <c r="C668" s="1" t="n">
        <v>45976</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48627-2023</t>
        </is>
      </c>
      <c r="B669" s="1" t="n">
        <v>45208.57371527778</v>
      </c>
      <c r="C669" s="1" t="n">
        <v>45976</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25606-2024</t>
        </is>
      </c>
      <c r="B670" s="1" t="n">
        <v>45463.63179398148</v>
      </c>
      <c r="C670" s="1" t="n">
        <v>45976</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11607-2025</t>
        </is>
      </c>
      <c r="B671" s="1" t="n">
        <v>45727</v>
      </c>
      <c r="C671" s="1" t="n">
        <v>45976</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50839-2025</t>
        </is>
      </c>
      <c r="B672" s="1" t="n">
        <v>45946</v>
      </c>
      <c r="C672" s="1" t="n">
        <v>45976</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720-2025</t>
        </is>
      </c>
      <c r="B673" s="1" t="n">
        <v>45665.3744212963</v>
      </c>
      <c r="C673" s="1" t="n">
        <v>45976</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49135-2025</t>
        </is>
      </c>
      <c r="B674" s="1" t="n">
        <v>45938.00990740741</v>
      </c>
      <c r="C674" s="1" t="n">
        <v>45976</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61934-2023</t>
        </is>
      </c>
      <c r="B675" s="1" t="n">
        <v>45266.54125</v>
      </c>
      <c r="C675" s="1" t="n">
        <v>45976</v>
      </c>
      <c r="D675" t="inlineStr">
        <is>
          <t>SKÅNE LÄN</t>
        </is>
      </c>
      <c r="E675" t="inlineStr">
        <is>
          <t>HÄSSLEHOLM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12182-2025</t>
        </is>
      </c>
      <c r="B676" s="1" t="n">
        <v>45729</v>
      </c>
      <c r="C676" s="1" t="n">
        <v>45976</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15536-2025</t>
        </is>
      </c>
      <c r="B677" s="1" t="n">
        <v>45747</v>
      </c>
      <c r="C677" s="1" t="n">
        <v>45976</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15535-2025</t>
        </is>
      </c>
      <c r="B678" s="1" t="n">
        <v>45747</v>
      </c>
      <c r="C678" s="1" t="n">
        <v>45976</v>
      </c>
      <c r="D678" t="inlineStr">
        <is>
          <t>SKÅNE LÄN</t>
        </is>
      </c>
      <c r="E678" t="inlineStr">
        <is>
          <t>HÄSSLEHOLM</t>
        </is>
      </c>
      <c r="G678" t="n">
        <v>2.9</v>
      </c>
      <c r="H678" t="n">
        <v>0</v>
      </c>
      <c r="I678" t="n">
        <v>0</v>
      </c>
      <c r="J678" t="n">
        <v>0</v>
      </c>
      <c r="K678" t="n">
        <v>0</v>
      </c>
      <c r="L678" t="n">
        <v>0</v>
      </c>
      <c r="M678" t="n">
        <v>0</v>
      </c>
      <c r="N678" t="n">
        <v>0</v>
      </c>
      <c r="O678" t="n">
        <v>0</v>
      </c>
      <c r="P678" t="n">
        <v>0</v>
      </c>
      <c r="Q678" t="n">
        <v>0</v>
      </c>
      <c r="R678" s="2" t="inlineStr"/>
    </row>
    <row r="679" ht="15" customHeight="1">
      <c r="A679" t="inlineStr">
        <is>
          <t>A 11715-2023</t>
        </is>
      </c>
      <c r="B679" s="1" t="n">
        <v>44992</v>
      </c>
      <c r="C679" s="1" t="n">
        <v>45976</v>
      </c>
      <c r="D679" t="inlineStr">
        <is>
          <t>SKÅNE LÄN</t>
        </is>
      </c>
      <c r="E679" t="inlineStr">
        <is>
          <t>HÄSSLEHOLM</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38888-2023</t>
        </is>
      </c>
      <c r="B680" s="1" t="n">
        <v>45161</v>
      </c>
      <c r="C680" s="1" t="n">
        <v>45976</v>
      </c>
      <c r="D680" t="inlineStr">
        <is>
          <t>SKÅNE LÄN</t>
        </is>
      </c>
      <c r="E680" t="inlineStr">
        <is>
          <t>HÄSSLEHOLM</t>
        </is>
      </c>
      <c r="G680" t="n">
        <v>1.6</v>
      </c>
      <c r="H680" t="n">
        <v>0</v>
      </c>
      <c r="I680" t="n">
        <v>0</v>
      </c>
      <c r="J680" t="n">
        <v>0</v>
      </c>
      <c r="K680" t="n">
        <v>0</v>
      </c>
      <c r="L680" t="n">
        <v>0</v>
      </c>
      <c r="M680" t="n">
        <v>0</v>
      </c>
      <c r="N680" t="n">
        <v>0</v>
      </c>
      <c r="O680" t="n">
        <v>0</v>
      </c>
      <c r="P680" t="n">
        <v>0</v>
      </c>
      <c r="Q680" t="n">
        <v>0</v>
      </c>
      <c r="R680" s="2" t="inlineStr"/>
    </row>
    <row r="681" ht="15" customHeight="1">
      <c r="A681" t="inlineStr">
        <is>
          <t>A 49137-2025</t>
        </is>
      </c>
      <c r="B681" s="1" t="n">
        <v>45938.05672453704</v>
      </c>
      <c r="C681" s="1" t="n">
        <v>45976</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51640-2025</t>
        </is>
      </c>
      <c r="B682" s="1" t="n">
        <v>45951.44361111111</v>
      </c>
      <c r="C682" s="1" t="n">
        <v>45976</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60848-2022</t>
        </is>
      </c>
      <c r="B683" s="1" t="n">
        <v>44914</v>
      </c>
      <c r="C683" s="1" t="n">
        <v>45976</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6164-2023</t>
        </is>
      </c>
      <c r="B684" s="1" t="n">
        <v>44964.66871527778</v>
      </c>
      <c r="C684" s="1" t="n">
        <v>45976</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69500-2020</t>
        </is>
      </c>
      <c r="B685" s="1" t="n">
        <v>44194</v>
      </c>
      <c r="C685" s="1" t="n">
        <v>45976</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14939-2023</t>
        </is>
      </c>
      <c r="B686" s="1" t="n">
        <v>45014</v>
      </c>
      <c r="C686" s="1" t="n">
        <v>45976</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13345-2025</t>
        </is>
      </c>
      <c r="B687" s="1" t="n">
        <v>45735.63017361111</v>
      </c>
      <c r="C687" s="1" t="n">
        <v>45976</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59030-2024</t>
        </is>
      </c>
      <c r="B688" s="1" t="n">
        <v>45636.68916666666</v>
      </c>
      <c r="C688" s="1" t="n">
        <v>45976</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48663-2024</t>
        </is>
      </c>
      <c r="B689" s="1" t="n">
        <v>45593.48892361111</v>
      </c>
      <c r="C689" s="1" t="n">
        <v>45976</v>
      </c>
      <c r="D689" t="inlineStr">
        <is>
          <t>SKÅNE LÄN</t>
        </is>
      </c>
      <c r="E689" t="inlineStr">
        <is>
          <t>HÄSSLEHOLM</t>
        </is>
      </c>
      <c r="G689" t="n">
        <v>1.8</v>
      </c>
      <c r="H689" t="n">
        <v>0</v>
      </c>
      <c r="I689" t="n">
        <v>0</v>
      </c>
      <c r="J689" t="n">
        <v>0</v>
      </c>
      <c r="K689" t="n">
        <v>0</v>
      </c>
      <c r="L689" t="n">
        <v>0</v>
      </c>
      <c r="M689" t="n">
        <v>0</v>
      </c>
      <c r="N689" t="n">
        <v>0</v>
      </c>
      <c r="O689" t="n">
        <v>0</v>
      </c>
      <c r="P689" t="n">
        <v>0</v>
      </c>
      <c r="Q689" t="n">
        <v>0</v>
      </c>
      <c r="R689" s="2" t="inlineStr"/>
    </row>
    <row r="690" ht="15" customHeight="1">
      <c r="A690" t="inlineStr">
        <is>
          <t>A 51796-2025</t>
        </is>
      </c>
      <c r="B690" s="1" t="n">
        <v>45951.74546296296</v>
      </c>
      <c r="C690" s="1" t="n">
        <v>45976</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4945-2022</t>
        </is>
      </c>
      <c r="B691" s="1" t="n">
        <v>44593</v>
      </c>
      <c r="C691" s="1" t="n">
        <v>45976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5476-2021</t>
        </is>
      </c>
      <c r="B692" s="1" t="n">
        <v>44230</v>
      </c>
      <c r="C692" s="1" t="n">
        <v>45976</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7153-2025</t>
        </is>
      </c>
      <c r="B693" s="1" t="n">
        <v>45702.38512731482</v>
      </c>
      <c r="C693" s="1" t="n">
        <v>45976</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45392-2024</t>
        </is>
      </c>
      <c r="B694" s="1" t="n">
        <v>45576.55008101852</v>
      </c>
      <c r="C694" s="1" t="n">
        <v>45976</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6122-2021</t>
        </is>
      </c>
      <c r="B695" s="1" t="n">
        <v>44232.55091435185</v>
      </c>
      <c r="C695" s="1" t="n">
        <v>45976</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16454-2023</t>
        </is>
      </c>
      <c r="B696" s="1" t="n">
        <v>45029.48425925926</v>
      </c>
      <c r="C696" s="1" t="n">
        <v>45976</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17335-2024</t>
        </is>
      </c>
      <c r="B697" s="1" t="n">
        <v>45414.5687962963</v>
      </c>
      <c r="C697" s="1" t="n">
        <v>45976</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12558-2023</t>
        </is>
      </c>
      <c r="B698" s="1" t="n">
        <v>45000.36103009259</v>
      </c>
      <c r="C698" s="1" t="n">
        <v>45976</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4119-2024</t>
        </is>
      </c>
      <c r="B699" s="1" t="n">
        <v>45323.67920138889</v>
      </c>
      <c r="C699" s="1" t="n">
        <v>45976</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6835-2023</t>
        </is>
      </c>
      <c r="B700" s="1" t="n">
        <v>44967</v>
      </c>
      <c r="C700" s="1" t="n">
        <v>45976</v>
      </c>
      <c r="D700" t="inlineStr">
        <is>
          <t>SKÅNE LÄN</t>
        </is>
      </c>
      <c r="E700" t="inlineStr">
        <is>
          <t>HÄSSLEHOLM</t>
        </is>
      </c>
      <c r="G700" t="n">
        <v>4.8</v>
      </c>
      <c r="H700" t="n">
        <v>0</v>
      </c>
      <c r="I700" t="n">
        <v>0</v>
      </c>
      <c r="J700" t="n">
        <v>0</v>
      </c>
      <c r="K700" t="n">
        <v>0</v>
      </c>
      <c r="L700" t="n">
        <v>0</v>
      </c>
      <c r="M700" t="n">
        <v>0</v>
      </c>
      <c r="N700" t="n">
        <v>0</v>
      </c>
      <c r="O700" t="n">
        <v>0</v>
      </c>
      <c r="P700" t="n">
        <v>0</v>
      </c>
      <c r="Q700" t="n">
        <v>0</v>
      </c>
      <c r="R700" s="2" t="inlineStr"/>
    </row>
    <row r="701" ht="15" customHeight="1">
      <c r="A701" t="inlineStr">
        <is>
          <t>A 47757-2024</t>
        </is>
      </c>
      <c r="B701" s="1" t="n">
        <v>45588.55075231481</v>
      </c>
      <c r="C701" s="1" t="n">
        <v>45976</v>
      </c>
      <c r="D701" t="inlineStr">
        <is>
          <t>SKÅNE LÄN</t>
        </is>
      </c>
      <c r="E701" t="inlineStr">
        <is>
          <t>HÄSSLEHOLM</t>
        </is>
      </c>
      <c r="G701" t="n">
        <v>5.5</v>
      </c>
      <c r="H701" t="n">
        <v>0</v>
      </c>
      <c r="I701" t="n">
        <v>0</v>
      </c>
      <c r="J701" t="n">
        <v>0</v>
      </c>
      <c r="K701" t="n">
        <v>0</v>
      </c>
      <c r="L701" t="n">
        <v>0</v>
      </c>
      <c r="M701" t="n">
        <v>0</v>
      </c>
      <c r="N701" t="n">
        <v>0</v>
      </c>
      <c r="O701" t="n">
        <v>0</v>
      </c>
      <c r="P701" t="n">
        <v>0</v>
      </c>
      <c r="Q701" t="n">
        <v>0</v>
      </c>
      <c r="R701" s="2" t="inlineStr"/>
    </row>
    <row r="702" ht="15" customHeight="1">
      <c r="A702" t="inlineStr">
        <is>
          <t>A 16550-2025</t>
        </is>
      </c>
      <c r="B702" s="1" t="n">
        <v>45751.69412037037</v>
      </c>
      <c r="C702" s="1" t="n">
        <v>45976</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24246-2023</t>
        </is>
      </c>
      <c r="B703" s="1" t="n">
        <v>45079</v>
      </c>
      <c r="C703" s="1" t="n">
        <v>45976</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24249-2023</t>
        </is>
      </c>
      <c r="B704" s="1" t="n">
        <v>45079.62466435185</v>
      </c>
      <c r="C704" s="1" t="n">
        <v>45976</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26536-2022</t>
        </is>
      </c>
      <c r="B705" s="1" t="n">
        <v>44739.45496527778</v>
      </c>
      <c r="C705" s="1" t="n">
        <v>45976</v>
      </c>
      <c r="D705" t="inlineStr">
        <is>
          <t>SKÅNE LÄN</t>
        </is>
      </c>
      <c r="E705" t="inlineStr">
        <is>
          <t>HÄSSLEHOLM</t>
        </is>
      </c>
      <c r="G705" t="n">
        <v>3.1</v>
      </c>
      <c r="H705" t="n">
        <v>0</v>
      </c>
      <c r="I705" t="n">
        <v>0</v>
      </c>
      <c r="J705" t="n">
        <v>0</v>
      </c>
      <c r="K705" t="n">
        <v>0</v>
      </c>
      <c r="L705" t="n">
        <v>0</v>
      </c>
      <c r="M705" t="n">
        <v>0</v>
      </c>
      <c r="N705" t="n">
        <v>0</v>
      </c>
      <c r="O705" t="n">
        <v>0</v>
      </c>
      <c r="P705" t="n">
        <v>0</v>
      </c>
      <c r="Q705" t="n">
        <v>0</v>
      </c>
      <c r="R705" s="2" t="inlineStr"/>
    </row>
    <row r="706" ht="15" customHeight="1">
      <c r="A706" t="inlineStr">
        <is>
          <t>A 31989-2024</t>
        </is>
      </c>
      <c r="B706" s="1" t="n">
        <v>45510.58085648148</v>
      </c>
      <c r="C706" s="1" t="n">
        <v>45976</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1120-2024</t>
        </is>
      </c>
      <c r="B707" s="1" t="n">
        <v>45302.4452662037</v>
      </c>
      <c r="C707" s="1" t="n">
        <v>45976</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10594-2025</t>
        </is>
      </c>
      <c r="B708" s="1" t="n">
        <v>45721</v>
      </c>
      <c r="C708" s="1" t="n">
        <v>45976</v>
      </c>
      <c r="D708" t="inlineStr">
        <is>
          <t>SKÅNE LÄN</t>
        </is>
      </c>
      <c r="E708" t="inlineStr">
        <is>
          <t>HÄSSLEHOLM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48771-2024</t>
        </is>
      </c>
      <c r="B709" s="1" t="n">
        <v>45593.61284722222</v>
      </c>
      <c r="C709" s="1" t="n">
        <v>45976</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60973-2024</t>
        </is>
      </c>
      <c r="B710" s="1" t="n">
        <v>45644</v>
      </c>
      <c r="C710" s="1" t="n">
        <v>45976</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12344-2023</t>
        </is>
      </c>
      <c r="B711" s="1" t="n">
        <v>44999</v>
      </c>
      <c r="C711" s="1" t="n">
        <v>45976</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27478-2023</t>
        </is>
      </c>
      <c r="B712" s="1" t="n">
        <v>45092</v>
      </c>
      <c r="C712" s="1" t="n">
        <v>45976</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25057-2024</t>
        </is>
      </c>
      <c r="B713" s="1" t="n">
        <v>45462</v>
      </c>
      <c r="C713" s="1" t="n">
        <v>45976</v>
      </c>
      <c r="D713" t="inlineStr">
        <is>
          <t>SKÅNE LÄN</t>
        </is>
      </c>
      <c r="E713" t="inlineStr">
        <is>
          <t>HÄSSLEHOLM</t>
        </is>
      </c>
      <c r="G713" t="n">
        <v>4.3</v>
      </c>
      <c r="H713" t="n">
        <v>0</v>
      </c>
      <c r="I713" t="n">
        <v>0</v>
      </c>
      <c r="J713" t="n">
        <v>0</v>
      </c>
      <c r="K713" t="n">
        <v>0</v>
      </c>
      <c r="L713" t="n">
        <v>0</v>
      </c>
      <c r="M713" t="n">
        <v>0</v>
      </c>
      <c r="N713" t="n">
        <v>0</v>
      </c>
      <c r="O713" t="n">
        <v>0</v>
      </c>
      <c r="P713" t="n">
        <v>0</v>
      </c>
      <c r="Q713" t="n">
        <v>0</v>
      </c>
      <c r="R713" s="2" t="inlineStr"/>
    </row>
    <row r="714" ht="15" customHeight="1">
      <c r="A714" t="inlineStr">
        <is>
          <t>A 37898-2021</t>
        </is>
      </c>
      <c r="B714" s="1" t="n">
        <v>44403</v>
      </c>
      <c r="C714" s="1" t="n">
        <v>45976</v>
      </c>
      <c r="D714" t="inlineStr">
        <is>
          <t>SKÅNE LÄN</t>
        </is>
      </c>
      <c r="E714" t="inlineStr">
        <is>
          <t>HÄSSLEHOLM</t>
        </is>
      </c>
      <c r="F714" t="inlineStr">
        <is>
          <t>Kommuner</t>
        </is>
      </c>
      <c r="G714" t="n">
        <v>8.4</v>
      </c>
      <c r="H714" t="n">
        <v>0</v>
      </c>
      <c r="I714" t="n">
        <v>0</v>
      </c>
      <c r="J714" t="n">
        <v>0</v>
      </c>
      <c r="K714" t="n">
        <v>0</v>
      </c>
      <c r="L714" t="n">
        <v>0</v>
      </c>
      <c r="M714" t="n">
        <v>0</v>
      </c>
      <c r="N714" t="n">
        <v>0</v>
      </c>
      <c r="O714" t="n">
        <v>0</v>
      </c>
      <c r="P714" t="n">
        <v>0</v>
      </c>
      <c r="Q714" t="n">
        <v>0</v>
      </c>
      <c r="R714" s="2" t="inlineStr"/>
    </row>
    <row r="715" ht="15" customHeight="1">
      <c r="A715" t="inlineStr">
        <is>
          <t>A 26641-2023</t>
        </is>
      </c>
      <c r="B715" s="1" t="n">
        <v>45092.89619212963</v>
      </c>
      <c r="C715" s="1" t="n">
        <v>45976</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61197-2024</t>
        </is>
      </c>
      <c r="B716" s="1" t="n">
        <v>45645.63184027778</v>
      </c>
      <c r="C716" s="1" t="n">
        <v>45976</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7494-2023</t>
        </is>
      </c>
      <c r="B717" s="1" t="n">
        <v>44971.70835648148</v>
      </c>
      <c r="C717" s="1" t="n">
        <v>45976</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10115-2024</t>
        </is>
      </c>
      <c r="B718" s="1" t="n">
        <v>45364.55339120371</v>
      </c>
      <c r="C718" s="1" t="n">
        <v>45976</v>
      </c>
      <c r="D718" t="inlineStr">
        <is>
          <t>SKÅNE LÄN</t>
        </is>
      </c>
      <c r="E718" t="inlineStr">
        <is>
          <t>HÄSSLEHOLM</t>
        </is>
      </c>
      <c r="G718" t="n">
        <v>7</v>
      </c>
      <c r="H718" t="n">
        <v>0</v>
      </c>
      <c r="I718" t="n">
        <v>0</v>
      </c>
      <c r="J718" t="n">
        <v>0</v>
      </c>
      <c r="K718" t="n">
        <v>0</v>
      </c>
      <c r="L718" t="n">
        <v>0</v>
      </c>
      <c r="M718" t="n">
        <v>0</v>
      </c>
      <c r="N718" t="n">
        <v>0</v>
      </c>
      <c r="O718" t="n">
        <v>0</v>
      </c>
      <c r="P718" t="n">
        <v>0</v>
      </c>
      <c r="Q718" t="n">
        <v>0</v>
      </c>
      <c r="R718" s="2" t="inlineStr"/>
    </row>
    <row r="719" ht="15" customHeight="1">
      <c r="A719" t="inlineStr">
        <is>
          <t>A 6165-2023</t>
        </is>
      </c>
      <c r="B719" s="1" t="n">
        <v>44964.67114583333</v>
      </c>
      <c r="C719" s="1" t="n">
        <v>45976</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33938-2023</t>
        </is>
      </c>
      <c r="B720" s="1" t="n">
        <v>45124</v>
      </c>
      <c r="C720" s="1" t="n">
        <v>45976</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61533-2022</t>
        </is>
      </c>
      <c r="B721" s="1" t="n">
        <v>44910</v>
      </c>
      <c r="C721" s="1" t="n">
        <v>45976</v>
      </c>
      <c r="D721" t="inlineStr">
        <is>
          <t>SKÅNE LÄN</t>
        </is>
      </c>
      <c r="E721" t="inlineStr">
        <is>
          <t>HÄSSLEHOLM</t>
        </is>
      </c>
      <c r="F721" t="inlineStr">
        <is>
          <t>Kyrkan</t>
        </is>
      </c>
      <c r="G721" t="n">
        <v>1</v>
      </c>
      <c r="H721" t="n">
        <v>0</v>
      </c>
      <c r="I721" t="n">
        <v>0</v>
      </c>
      <c r="J721" t="n">
        <v>0</v>
      </c>
      <c r="K721" t="n">
        <v>0</v>
      </c>
      <c r="L721" t="n">
        <v>0</v>
      </c>
      <c r="M721" t="n">
        <v>0</v>
      </c>
      <c r="N721" t="n">
        <v>0</v>
      </c>
      <c r="O721" t="n">
        <v>0</v>
      </c>
      <c r="P721" t="n">
        <v>0</v>
      </c>
      <c r="Q721" t="n">
        <v>0</v>
      </c>
      <c r="R721" s="2" t="inlineStr"/>
    </row>
    <row r="722" ht="15" customHeight="1">
      <c r="A722" t="inlineStr">
        <is>
          <t>A 43516-2025</t>
        </is>
      </c>
      <c r="B722" s="1" t="n">
        <v>45911</v>
      </c>
      <c r="C722" s="1" t="n">
        <v>45976</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6327-2021</t>
        </is>
      </c>
      <c r="B723" s="1" t="n">
        <v>44235</v>
      </c>
      <c r="C723" s="1" t="n">
        <v>45976</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677-2024</t>
        </is>
      </c>
      <c r="B724" s="1" t="n">
        <v>45300</v>
      </c>
      <c r="C724" s="1" t="n">
        <v>45976</v>
      </c>
      <c r="D724" t="inlineStr">
        <is>
          <t>SKÅNE LÄN</t>
        </is>
      </c>
      <c r="E724" t="inlineStr">
        <is>
          <t>HÄSSLEHOLM</t>
        </is>
      </c>
      <c r="G724" t="n">
        <v>6.8</v>
      </c>
      <c r="H724" t="n">
        <v>0</v>
      </c>
      <c r="I724" t="n">
        <v>0</v>
      </c>
      <c r="J724" t="n">
        <v>0</v>
      </c>
      <c r="K724" t="n">
        <v>0</v>
      </c>
      <c r="L724" t="n">
        <v>0</v>
      </c>
      <c r="M724" t="n">
        <v>0</v>
      </c>
      <c r="N724" t="n">
        <v>0</v>
      </c>
      <c r="O724" t="n">
        <v>0</v>
      </c>
      <c r="P724" t="n">
        <v>0</v>
      </c>
      <c r="Q724" t="n">
        <v>0</v>
      </c>
      <c r="R724" s="2" t="inlineStr"/>
    </row>
    <row r="725" ht="15" customHeight="1">
      <c r="A725" t="inlineStr">
        <is>
          <t>A 21328-2023</t>
        </is>
      </c>
      <c r="B725" s="1" t="n">
        <v>45062</v>
      </c>
      <c r="C725" s="1" t="n">
        <v>45976</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3925-2021</t>
        </is>
      </c>
      <c r="B726" s="1" t="n">
        <v>44222</v>
      </c>
      <c r="C726" s="1" t="n">
        <v>45976</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20872-2025</t>
        </is>
      </c>
      <c r="B727" s="1" t="n">
        <v>45777.34688657407</v>
      </c>
      <c r="C727" s="1" t="n">
        <v>45976</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43332-2025</t>
        </is>
      </c>
      <c r="B728" s="1" t="n">
        <v>45910.70217592592</v>
      </c>
      <c r="C728" s="1" t="n">
        <v>45976</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12570-2023</t>
        </is>
      </c>
      <c r="B729" s="1" t="n">
        <v>44999</v>
      </c>
      <c r="C729" s="1" t="n">
        <v>45976</v>
      </c>
      <c r="D729" t="inlineStr">
        <is>
          <t>SKÅNE LÄN</t>
        </is>
      </c>
      <c r="E729" t="inlineStr">
        <is>
          <t>HÄSSLEHOLM</t>
        </is>
      </c>
      <c r="G729" t="n">
        <v>3.4</v>
      </c>
      <c r="H729" t="n">
        <v>0</v>
      </c>
      <c r="I729" t="n">
        <v>0</v>
      </c>
      <c r="J729" t="n">
        <v>0</v>
      </c>
      <c r="K729" t="n">
        <v>0</v>
      </c>
      <c r="L729" t="n">
        <v>0</v>
      </c>
      <c r="M729" t="n">
        <v>0</v>
      </c>
      <c r="N729" t="n">
        <v>0</v>
      </c>
      <c r="O729" t="n">
        <v>0</v>
      </c>
      <c r="P729" t="n">
        <v>0</v>
      </c>
      <c r="Q729" t="n">
        <v>0</v>
      </c>
      <c r="R729" s="2" t="inlineStr"/>
    </row>
    <row r="730" ht="15" customHeight="1">
      <c r="A730" t="inlineStr">
        <is>
          <t>A 20435-2021</t>
        </is>
      </c>
      <c r="B730" s="1" t="n">
        <v>44315.5793287037</v>
      </c>
      <c r="C730" s="1" t="n">
        <v>45976</v>
      </c>
      <c r="D730" t="inlineStr">
        <is>
          <t>SKÅNE LÄN</t>
        </is>
      </c>
      <c r="E730" t="inlineStr">
        <is>
          <t>HÄSSLEHOLM</t>
        </is>
      </c>
      <c r="G730" t="n">
        <v>4.8</v>
      </c>
      <c r="H730" t="n">
        <v>0</v>
      </c>
      <c r="I730" t="n">
        <v>0</v>
      </c>
      <c r="J730" t="n">
        <v>0</v>
      </c>
      <c r="K730" t="n">
        <v>0</v>
      </c>
      <c r="L730" t="n">
        <v>0</v>
      </c>
      <c r="M730" t="n">
        <v>0</v>
      </c>
      <c r="N730" t="n">
        <v>0</v>
      </c>
      <c r="O730" t="n">
        <v>0</v>
      </c>
      <c r="P730" t="n">
        <v>0</v>
      </c>
      <c r="Q730" t="n">
        <v>0</v>
      </c>
      <c r="R730" s="2" t="inlineStr"/>
    </row>
    <row r="731" ht="15" customHeight="1">
      <c r="A731" t="inlineStr">
        <is>
          <t>A 25219-2023</t>
        </is>
      </c>
      <c r="B731" s="1" t="n">
        <v>45086.60541666667</v>
      </c>
      <c r="C731" s="1" t="n">
        <v>45976</v>
      </c>
      <c r="D731" t="inlineStr">
        <is>
          <t>SKÅNE LÄN</t>
        </is>
      </c>
      <c r="E731" t="inlineStr">
        <is>
          <t>HÄSSLEHOLM</t>
        </is>
      </c>
      <c r="G731" t="n">
        <v>6.9</v>
      </c>
      <c r="H731" t="n">
        <v>0</v>
      </c>
      <c r="I731" t="n">
        <v>0</v>
      </c>
      <c r="J731" t="n">
        <v>0</v>
      </c>
      <c r="K731" t="n">
        <v>0</v>
      </c>
      <c r="L731" t="n">
        <v>0</v>
      </c>
      <c r="M731" t="n">
        <v>0</v>
      </c>
      <c r="N731" t="n">
        <v>0</v>
      </c>
      <c r="O731" t="n">
        <v>0</v>
      </c>
      <c r="P731" t="n">
        <v>0</v>
      </c>
      <c r="Q731" t="n">
        <v>0</v>
      </c>
      <c r="R731" s="2" t="inlineStr"/>
    </row>
    <row r="732" ht="15" customHeight="1">
      <c r="A732" t="inlineStr">
        <is>
          <t>A 16397-2022</t>
        </is>
      </c>
      <c r="B732" s="1" t="n">
        <v>44671</v>
      </c>
      <c r="C732" s="1" t="n">
        <v>45976</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16398-2022</t>
        </is>
      </c>
      <c r="B733" s="1" t="n">
        <v>44671</v>
      </c>
      <c r="C733" s="1" t="n">
        <v>45976</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7306-2025</t>
        </is>
      </c>
      <c r="B734" s="1" t="n">
        <v>45702</v>
      </c>
      <c r="C734" s="1" t="n">
        <v>45976</v>
      </c>
      <c r="D734" t="inlineStr">
        <is>
          <t>SKÅNE LÄN</t>
        </is>
      </c>
      <c r="E734" t="inlineStr">
        <is>
          <t>HÄSSLEHOLM</t>
        </is>
      </c>
      <c r="F734" t="inlineStr">
        <is>
          <t>Övriga Aktiebolag</t>
        </is>
      </c>
      <c r="G734" t="n">
        <v>3.3</v>
      </c>
      <c r="H734" t="n">
        <v>0</v>
      </c>
      <c r="I734" t="n">
        <v>0</v>
      </c>
      <c r="J734" t="n">
        <v>0</v>
      </c>
      <c r="K734" t="n">
        <v>0</v>
      </c>
      <c r="L734" t="n">
        <v>0</v>
      </c>
      <c r="M734" t="n">
        <v>0</v>
      </c>
      <c r="N734" t="n">
        <v>0</v>
      </c>
      <c r="O734" t="n">
        <v>0</v>
      </c>
      <c r="P734" t="n">
        <v>0</v>
      </c>
      <c r="Q734" t="n">
        <v>0</v>
      </c>
      <c r="R734" s="2" t="inlineStr"/>
    </row>
    <row r="735" ht="15" customHeight="1">
      <c r="A735" t="inlineStr">
        <is>
          <t>A 7308-2025</t>
        </is>
      </c>
      <c r="B735" s="1" t="n">
        <v>45702</v>
      </c>
      <c r="C735" s="1" t="n">
        <v>45976</v>
      </c>
      <c r="D735" t="inlineStr">
        <is>
          <t>SKÅNE LÄN</t>
        </is>
      </c>
      <c r="E735" t="inlineStr">
        <is>
          <t>HÄSSLEHOLM</t>
        </is>
      </c>
      <c r="F735" t="inlineStr">
        <is>
          <t>Övriga Aktiebolag</t>
        </is>
      </c>
      <c r="G735" t="n">
        <v>4.8</v>
      </c>
      <c r="H735" t="n">
        <v>0</v>
      </c>
      <c r="I735" t="n">
        <v>0</v>
      </c>
      <c r="J735" t="n">
        <v>0</v>
      </c>
      <c r="K735" t="n">
        <v>0</v>
      </c>
      <c r="L735" t="n">
        <v>0</v>
      </c>
      <c r="M735" t="n">
        <v>0</v>
      </c>
      <c r="N735" t="n">
        <v>0</v>
      </c>
      <c r="O735" t="n">
        <v>0</v>
      </c>
      <c r="P735" t="n">
        <v>0</v>
      </c>
      <c r="Q735" t="n">
        <v>0</v>
      </c>
      <c r="R735" s="2" t="inlineStr"/>
    </row>
    <row r="736" ht="15" customHeight="1">
      <c r="A736" t="inlineStr">
        <is>
          <t>A 4512-2024</t>
        </is>
      </c>
      <c r="B736" s="1" t="n">
        <v>45327.6312962963</v>
      </c>
      <c r="C736" s="1" t="n">
        <v>45976</v>
      </c>
      <c r="D736" t="inlineStr">
        <is>
          <t>SKÅNE LÄN</t>
        </is>
      </c>
      <c r="E736" t="inlineStr">
        <is>
          <t>HÄSSLEHOLM</t>
        </is>
      </c>
      <c r="G736" t="n">
        <v>2</v>
      </c>
      <c r="H736" t="n">
        <v>0</v>
      </c>
      <c r="I736" t="n">
        <v>0</v>
      </c>
      <c r="J736" t="n">
        <v>0</v>
      </c>
      <c r="K736" t="n">
        <v>0</v>
      </c>
      <c r="L736" t="n">
        <v>0</v>
      </c>
      <c r="M736" t="n">
        <v>0</v>
      </c>
      <c r="N736" t="n">
        <v>0</v>
      </c>
      <c r="O736" t="n">
        <v>0</v>
      </c>
      <c r="P736" t="n">
        <v>0</v>
      </c>
      <c r="Q736" t="n">
        <v>0</v>
      </c>
      <c r="R736" s="2" t="inlineStr"/>
    </row>
    <row r="737" ht="15" customHeight="1">
      <c r="A737" t="inlineStr">
        <is>
          <t>A 58250-2024</t>
        </is>
      </c>
      <c r="B737" s="1" t="n">
        <v>45632.55643518519</v>
      </c>
      <c r="C737" s="1" t="n">
        <v>45976</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15512-2025</t>
        </is>
      </c>
      <c r="B738" s="1" t="n">
        <v>45747</v>
      </c>
      <c r="C738" s="1" t="n">
        <v>45976</v>
      </c>
      <c r="D738" t="inlineStr">
        <is>
          <t>SKÅNE LÄN</t>
        </is>
      </c>
      <c r="E738" t="inlineStr">
        <is>
          <t>HÄSSLEHOLM</t>
        </is>
      </c>
      <c r="G738" t="n">
        <v>3.5</v>
      </c>
      <c r="H738" t="n">
        <v>0</v>
      </c>
      <c r="I738" t="n">
        <v>0</v>
      </c>
      <c r="J738" t="n">
        <v>0</v>
      </c>
      <c r="K738" t="n">
        <v>0</v>
      </c>
      <c r="L738" t="n">
        <v>0</v>
      </c>
      <c r="M738" t="n">
        <v>0</v>
      </c>
      <c r="N738" t="n">
        <v>0</v>
      </c>
      <c r="O738" t="n">
        <v>0</v>
      </c>
      <c r="P738" t="n">
        <v>0</v>
      </c>
      <c r="Q738" t="n">
        <v>0</v>
      </c>
      <c r="R738" s="2" t="inlineStr"/>
    </row>
    <row r="739" ht="15" customHeight="1">
      <c r="A739" t="inlineStr">
        <is>
          <t>A 29994-2023</t>
        </is>
      </c>
      <c r="B739" s="1" t="n">
        <v>45109.60038194444</v>
      </c>
      <c r="C739" s="1" t="n">
        <v>45976</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52126-2025</t>
        </is>
      </c>
      <c r="B740" s="1" t="n">
        <v>45952.72109953704</v>
      </c>
      <c r="C740" s="1" t="n">
        <v>45976</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54671-2022</t>
        </is>
      </c>
      <c r="B741" s="1" t="n">
        <v>44883</v>
      </c>
      <c r="C741" s="1" t="n">
        <v>45976</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51795-2025</t>
        </is>
      </c>
      <c r="B742" s="1" t="n">
        <v>45951</v>
      </c>
      <c r="C742" s="1" t="n">
        <v>45976</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43333-2025</t>
        </is>
      </c>
      <c r="B743" s="1" t="n">
        <v>45910</v>
      </c>
      <c r="C743" s="1" t="n">
        <v>45976</v>
      </c>
      <c r="D743" t="inlineStr">
        <is>
          <t>SKÅNE LÄN</t>
        </is>
      </c>
      <c r="E743" t="inlineStr">
        <is>
          <t>HÄSSLEHOLM</t>
        </is>
      </c>
      <c r="G743" t="n">
        <v>10.1</v>
      </c>
      <c r="H743" t="n">
        <v>0</v>
      </c>
      <c r="I743" t="n">
        <v>0</v>
      </c>
      <c r="J743" t="n">
        <v>0</v>
      </c>
      <c r="K743" t="n">
        <v>0</v>
      </c>
      <c r="L743" t="n">
        <v>0</v>
      </c>
      <c r="M743" t="n">
        <v>0</v>
      </c>
      <c r="N743" t="n">
        <v>0</v>
      </c>
      <c r="O743" t="n">
        <v>0</v>
      </c>
      <c r="P743" t="n">
        <v>0</v>
      </c>
      <c r="Q743" t="n">
        <v>0</v>
      </c>
      <c r="R743" s="2" t="inlineStr"/>
    </row>
    <row r="744" ht="15" customHeight="1">
      <c r="A744" t="inlineStr">
        <is>
          <t>A 39044-2024</t>
        </is>
      </c>
      <c r="B744" s="1" t="n">
        <v>45548.47707175926</v>
      </c>
      <c r="C744" s="1" t="n">
        <v>45976</v>
      </c>
      <c r="D744" t="inlineStr">
        <is>
          <t>SKÅNE LÄN</t>
        </is>
      </c>
      <c r="E744" t="inlineStr">
        <is>
          <t>HÄSSLEHOLM</t>
        </is>
      </c>
      <c r="G744" t="n">
        <v>2.8</v>
      </c>
      <c r="H744" t="n">
        <v>0</v>
      </c>
      <c r="I744" t="n">
        <v>0</v>
      </c>
      <c r="J744" t="n">
        <v>0</v>
      </c>
      <c r="K744" t="n">
        <v>0</v>
      </c>
      <c r="L744" t="n">
        <v>0</v>
      </c>
      <c r="M744" t="n">
        <v>0</v>
      </c>
      <c r="N744" t="n">
        <v>0</v>
      </c>
      <c r="O744" t="n">
        <v>0</v>
      </c>
      <c r="P744" t="n">
        <v>0</v>
      </c>
      <c r="Q744" t="n">
        <v>0</v>
      </c>
      <c r="R744" s="2" t="inlineStr"/>
    </row>
    <row r="745" ht="15" customHeight="1">
      <c r="A745" t="inlineStr">
        <is>
          <t>A 40739-2024</t>
        </is>
      </c>
      <c r="B745" s="1" t="n">
        <v>45558</v>
      </c>
      <c r="C745" s="1" t="n">
        <v>45976</v>
      </c>
      <c r="D745" t="inlineStr">
        <is>
          <t>SKÅNE LÄN</t>
        </is>
      </c>
      <c r="E745" t="inlineStr">
        <is>
          <t>HÄSSLEHOLM</t>
        </is>
      </c>
      <c r="G745" t="n">
        <v>1.6</v>
      </c>
      <c r="H745" t="n">
        <v>0</v>
      </c>
      <c r="I745" t="n">
        <v>0</v>
      </c>
      <c r="J745" t="n">
        <v>0</v>
      </c>
      <c r="K745" t="n">
        <v>0</v>
      </c>
      <c r="L745" t="n">
        <v>0</v>
      </c>
      <c r="M745" t="n">
        <v>0</v>
      </c>
      <c r="N745" t="n">
        <v>0</v>
      </c>
      <c r="O745" t="n">
        <v>0</v>
      </c>
      <c r="P745" t="n">
        <v>0</v>
      </c>
      <c r="Q745" t="n">
        <v>0</v>
      </c>
      <c r="R745" s="2" t="inlineStr"/>
    </row>
    <row r="746" ht="15" customHeight="1">
      <c r="A746" t="inlineStr">
        <is>
          <t>A 21206-2025</t>
        </is>
      </c>
      <c r="B746" s="1" t="n">
        <v>45779.48318287037</v>
      </c>
      <c r="C746" s="1" t="n">
        <v>45976</v>
      </c>
      <c r="D746" t="inlineStr">
        <is>
          <t>SKÅNE LÄN</t>
        </is>
      </c>
      <c r="E746" t="inlineStr">
        <is>
          <t>HÄSSLEHOLM</t>
        </is>
      </c>
      <c r="G746" t="n">
        <v>2.2</v>
      </c>
      <c r="H746" t="n">
        <v>0</v>
      </c>
      <c r="I746" t="n">
        <v>0</v>
      </c>
      <c r="J746" t="n">
        <v>0</v>
      </c>
      <c r="K746" t="n">
        <v>0</v>
      </c>
      <c r="L746" t="n">
        <v>0</v>
      </c>
      <c r="M746" t="n">
        <v>0</v>
      </c>
      <c r="N746" t="n">
        <v>0</v>
      </c>
      <c r="O746" t="n">
        <v>0</v>
      </c>
      <c r="P746" t="n">
        <v>0</v>
      </c>
      <c r="Q746" t="n">
        <v>0</v>
      </c>
      <c r="R746" s="2" t="inlineStr"/>
    </row>
    <row r="747" ht="15" customHeight="1">
      <c r="A747" t="inlineStr">
        <is>
          <t>A 13932-2023</t>
        </is>
      </c>
      <c r="B747" s="1" t="n">
        <v>45008.43935185186</v>
      </c>
      <c r="C747" s="1" t="n">
        <v>45976</v>
      </c>
      <c r="D747" t="inlineStr">
        <is>
          <t>SKÅNE LÄN</t>
        </is>
      </c>
      <c r="E747" t="inlineStr">
        <is>
          <t>HÄSSLEHOLM</t>
        </is>
      </c>
      <c r="G747" t="n">
        <v>3.3</v>
      </c>
      <c r="H747" t="n">
        <v>0</v>
      </c>
      <c r="I747" t="n">
        <v>0</v>
      </c>
      <c r="J747" t="n">
        <v>0</v>
      </c>
      <c r="K747" t="n">
        <v>0</v>
      </c>
      <c r="L747" t="n">
        <v>0</v>
      </c>
      <c r="M747" t="n">
        <v>0</v>
      </c>
      <c r="N747" t="n">
        <v>0</v>
      </c>
      <c r="O747" t="n">
        <v>0</v>
      </c>
      <c r="P747" t="n">
        <v>0</v>
      </c>
      <c r="Q747" t="n">
        <v>0</v>
      </c>
      <c r="R747" s="2" t="inlineStr"/>
    </row>
    <row r="748" ht="15" customHeight="1">
      <c r="A748" t="inlineStr">
        <is>
          <t>A 35889-2023</t>
        </is>
      </c>
      <c r="B748" s="1" t="n">
        <v>45148</v>
      </c>
      <c r="C748" s="1" t="n">
        <v>45976</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35894-2023</t>
        </is>
      </c>
      <c r="B749" s="1" t="n">
        <v>45148</v>
      </c>
      <c r="C749" s="1" t="n">
        <v>45976</v>
      </c>
      <c r="D749" t="inlineStr">
        <is>
          <t>SKÅNE LÄN</t>
        </is>
      </c>
      <c r="E749" t="inlineStr">
        <is>
          <t>HÄSSLEHOLM</t>
        </is>
      </c>
      <c r="G749" t="n">
        <v>1.5</v>
      </c>
      <c r="H749" t="n">
        <v>0</v>
      </c>
      <c r="I749" t="n">
        <v>0</v>
      </c>
      <c r="J749" t="n">
        <v>0</v>
      </c>
      <c r="K749" t="n">
        <v>0</v>
      </c>
      <c r="L749" t="n">
        <v>0</v>
      </c>
      <c r="M749" t="n">
        <v>0</v>
      </c>
      <c r="N749" t="n">
        <v>0</v>
      </c>
      <c r="O749" t="n">
        <v>0</v>
      </c>
      <c r="P749" t="n">
        <v>0</v>
      </c>
      <c r="Q749" t="n">
        <v>0</v>
      </c>
      <c r="R749" s="2" t="inlineStr"/>
    </row>
    <row r="750" ht="15" customHeight="1">
      <c r="A750" t="inlineStr">
        <is>
          <t>A 45299-2024</t>
        </is>
      </c>
      <c r="B750" s="1" t="n">
        <v>45576.40599537037</v>
      </c>
      <c r="C750" s="1" t="n">
        <v>45976</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25176-2024</t>
        </is>
      </c>
      <c r="B751" s="1" t="n">
        <v>45462.54582175926</v>
      </c>
      <c r="C751" s="1" t="n">
        <v>45976</v>
      </c>
      <c r="D751" t="inlineStr">
        <is>
          <t>SKÅNE LÄN</t>
        </is>
      </c>
      <c r="E751" t="inlineStr">
        <is>
          <t>HÄSSLEHOLM</t>
        </is>
      </c>
      <c r="G751" t="n">
        <v>3.8</v>
      </c>
      <c r="H751" t="n">
        <v>0</v>
      </c>
      <c r="I751" t="n">
        <v>0</v>
      </c>
      <c r="J751" t="n">
        <v>0</v>
      </c>
      <c r="K751" t="n">
        <v>0</v>
      </c>
      <c r="L751" t="n">
        <v>0</v>
      </c>
      <c r="M751" t="n">
        <v>0</v>
      </c>
      <c r="N751" t="n">
        <v>0</v>
      </c>
      <c r="O751" t="n">
        <v>0</v>
      </c>
      <c r="P751" t="n">
        <v>0</v>
      </c>
      <c r="Q751" t="n">
        <v>0</v>
      </c>
      <c r="R751" s="2" t="inlineStr"/>
    </row>
    <row r="752" ht="15" customHeight="1">
      <c r="A752" t="inlineStr">
        <is>
          <t>A 7771-2021</t>
        </is>
      </c>
      <c r="B752" s="1" t="n">
        <v>44242</v>
      </c>
      <c r="C752" s="1" t="n">
        <v>45976</v>
      </c>
      <c r="D752" t="inlineStr">
        <is>
          <t>SKÅNE LÄN</t>
        </is>
      </c>
      <c r="E752" t="inlineStr">
        <is>
          <t>HÄSSLEHOLM</t>
        </is>
      </c>
      <c r="G752" t="n">
        <v>4.2</v>
      </c>
      <c r="H752" t="n">
        <v>0</v>
      </c>
      <c r="I752" t="n">
        <v>0</v>
      </c>
      <c r="J752" t="n">
        <v>0</v>
      </c>
      <c r="K752" t="n">
        <v>0</v>
      </c>
      <c r="L752" t="n">
        <v>0</v>
      </c>
      <c r="M752" t="n">
        <v>0</v>
      </c>
      <c r="N752" t="n">
        <v>0</v>
      </c>
      <c r="O752" t="n">
        <v>0</v>
      </c>
      <c r="P752" t="n">
        <v>0</v>
      </c>
      <c r="Q752" t="n">
        <v>0</v>
      </c>
      <c r="R752" s="2" t="inlineStr"/>
    </row>
    <row r="753" ht="15" customHeight="1">
      <c r="A753" t="inlineStr">
        <is>
          <t>A 44741-2023</t>
        </is>
      </c>
      <c r="B753" s="1" t="n">
        <v>45190.38804398148</v>
      </c>
      <c r="C753" s="1" t="n">
        <v>45976</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7476-2025</t>
        </is>
      </c>
      <c r="B754" s="1" t="n">
        <v>45702</v>
      </c>
      <c r="C754" s="1" t="n">
        <v>45976</v>
      </c>
      <c r="D754" t="inlineStr">
        <is>
          <t>SKÅNE LÄN</t>
        </is>
      </c>
      <c r="E754" t="inlineStr">
        <is>
          <t>HÄSSLEHOLM</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7513-2025</t>
        </is>
      </c>
      <c r="B755" s="1" t="n">
        <v>45702</v>
      </c>
      <c r="C755" s="1" t="n">
        <v>45976</v>
      </c>
      <c r="D755" t="inlineStr">
        <is>
          <t>SKÅNE LÄN</t>
        </is>
      </c>
      <c r="E755" t="inlineStr">
        <is>
          <t>HÄSSLEHOLM</t>
        </is>
      </c>
      <c r="F755" t="inlineStr">
        <is>
          <t>Övriga Aktiebolag</t>
        </is>
      </c>
      <c r="G755" t="n">
        <v>2.4</v>
      </c>
      <c r="H755" t="n">
        <v>0</v>
      </c>
      <c r="I755" t="n">
        <v>0</v>
      </c>
      <c r="J755" t="n">
        <v>0</v>
      </c>
      <c r="K755" t="n">
        <v>0</v>
      </c>
      <c r="L755" t="n">
        <v>0</v>
      </c>
      <c r="M755" t="n">
        <v>0</v>
      </c>
      <c r="N755" t="n">
        <v>0</v>
      </c>
      <c r="O755" t="n">
        <v>0</v>
      </c>
      <c r="P755" t="n">
        <v>0</v>
      </c>
      <c r="Q755" t="n">
        <v>0</v>
      </c>
      <c r="R755" s="2" t="inlineStr"/>
    </row>
    <row r="756" ht="15" customHeight="1">
      <c r="A756" t="inlineStr">
        <is>
          <t>A 31161-2024</t>
        </is>
      </c>
      <c r="B756" s="1" t="n">
        <v>45503</v>
      </c>
      <c r="C756" s="1" t="n">
        <v>45976</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19020-2024</t>
        </is>
      </c>
      <c r="B757" s="1" t="n">
        <v>45427.66167824074</v>
      </c>
      <c r="C757" s="1" t="n">
        <v>45976</v>
      </c>
      <c r="D757" t="inlineStr">
        <is>
          <t>SKÅNE LÄN</t>
        </is>
      </c>
      <c r="E757" t="inlineStr">
        <is>
          <t>HÄSSLEHOLM</t>
        </is>
      </c>
      <c r="G757" t="n">
        <v>2.3</v>
      </c>
      <c r="H757" t="n">
        <v>0</v>
      </c>
      <c r="I757" t="n">
        <v>0</v>
      </c>
      <c r="J757" t="n">
        <v>0</v>
      </c>
      <c r="K757" t="n">
        <v>0</v>
      </c>
      <c r="L757" t="n">
        <v>0</v>
      </c>
      <c r="M757" t="n">
        <v>0</v>
      </c>
      <c r="N757" t="n">
        <v>0</v>
      </c>
      <c r="O757" t="n">
        <v>0</v>
      </c>
      <c r="P757" t="n">
        <v>0</v>
      </c>
      <c r="Q757" t="n">
        <v>0</v>
      </c>
      <c r="R757" s="2" t="inlineStr"/>
    </row>
    <row r="758" ht="15" customHeight="1">
      <c r="A758" t="inlineStr">
        <is>
          <t>A 40734-2024</t>
        </is>
      </c>
      <c r="B758" s="1" t="n">
        <v>45558</v>
      </c>
      <c r="C758" s="1" t="n">
        <v>45976</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40738-2024</t>
        </is>
      </c>
      <c r="B759" s="1" t="n">
        <v>45558</v>
      </c>
      <c r="C759" s="1" t="n">
        <v>45976</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22157-2024</t>
        </is>
      </c>
      <c r="B760" s="1" t="n">
        <v>45445.85290509259</v>
      </c>
      <c r="C760" s="1" t="n">
        <v>45976</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13316-2023</t>
        </is>
      </c>
      <c r="B761" s="1" t="n">
        <v>45005.39013888889</v>
      </c>
      <c r="C761" s="1" t="n">
        <v>45976</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13358-2023</t>
        </is>
      </c>
      <c r="B762" s="1" t="n">
        <v>45005</v>
      </c>
      <c r="C762" s="1" t="n">
        <v>45976</v>
      </c>
      <c r="D762" t="inlineStr">
        <is>
          <t>SKÅNE LÄN</t>
        </is>
      </c>
      <c r="E762" t="inlineStr">
        <is>
          <t>HÄSSLEHOLM</t>
        </is>
      </c>
      <c r="F762" t="inlineStr">
        <is>
          <t>Övriga Aktiebolag</t>
        </is>
      </c>
      <c r="G762" t="n">
        <v>0.5</v>
      </c>
      <c r="H762" t="n">
        <v>0</v>
      </c>
      <c r="I762" t="n">
        <v>0</v>
      </c>
      <c r="J762" t="n">
        <v>0</v>
      </c>
      <c r="K762" t="n">
        <v>0</v>
      </c>
      <c r="L762" t="n">
        <v>0</v>
      </c>
      <c r="M762" t="n">
        <v>0</v>
      </c>
      <c r="N762" t="n">
        <v>0</v>
      </c>
      <c r="O762" t="n">
        <v>0</v>
      </c>
      <c r="P762" t="n">
        <v>0</v>
      </c>
      <c r="Q762" t="n">
        <v>0</v>
      </c>
      <c r="R762" s="2" t="inlineStr"/>
    </row>
    <row r="763" ht="15" customHeight="1">
      <c r="A763" t="inlineStr">
        <is>
          <t>A 3245-2022</t>
        </is>
      </c>
      <c r="B763" s="1" t="n">
        <v>44583.39136574074</v>
      </c>
      <c r="C763" s="1" t="n">
        <v>45976</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43869-2025</t>
        </is>
      </c>
      <c r="B764" s="1" t="n">
        <v>45912.66452546296</v>
      </c>
      <c r="C764" s="1" t="n">
        <v>45976</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21091-2025</t>
        </is>
      </c>
      <c r="B765" s="1" t="n">
        <v>45777</v>
      </c>
      <c r="C765" s="1" t="n">
        <v>45976</v>
      </c>
      <c r="D765" t="inlineStr">
        <is>
          <t>SKÅNE LÄN</t>
        </is>
      </c>
      <c r="E765" t="inlineStr">
        <is>
          <t>HÄSSLEHOLM</t>
        </is>
      </c>
      <c r="G765" t="n">
        <v>3.4</v>
      </c>
      <c r="H765" t="n">
        <v>0</v>
      </c>
      <c r="I765" t="n">
        <v>0</v>
      </c>
      <c r="J765" t="n">
        <v>0</v>
      </c>
      <c r="K765" t="n">
        <v>0</v>
      </c>
      <c r="L765" t="n">
        <v>0</v>
      </c>
      <c r="M765" t="n">
        <v>0</v>
      </c>
      <c r="N765" t="n">
        <v>0</v>
      </c>
      <c r="O765" t="n">
        <v>0</v>
      </c>
      <c r="P765" t="n">
        <v>0</v>
      </c>
      <c r="Q765" t="n">
        <v>0</v>
      </c>
      <c r="R765" s="2" t="inlineStr"/>
    </row>
    <row r="766" ht="15" customHeight="1">
      <c r="A766" t="inlineStr">
        <is>
          <t>A 38228-2021</t>
        </is>
      </c>
      <c r="B766" s="1" t="n">
        <v>44405</v>
      </c>
      <c r="C766" s="1" t="n">
        <v>45976</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317-2025</t>
        </is>
      </c>
      <c r="B767" s="1" t="n">
        <v>45660</v>
      </c>
      <c r="C767" s="1" t="n">
        <v>45976</v>
      </c>
      <c r="D767" t="inlineStr">
        <is>
          <t>SKÅNE LÄN</t>
        </is>
      </c>
      <c r="E767" t="inlineStr">
        <is>
          <t>HÄSSLEHOLM</t>
        </is>
      </c>
      <c r="G767" t="n">
        <v>1.6</v>
      </c>
      <c r="H767" t="n">
        <v>0</v>
      </c>
      <c r="I767" t="n">
        <v>0</v>
      </c>
      <c r="J767" t="n">
        <v>0</v>
      </c>
      <c r="K767" t="n">
        <v>0</v>
      </c>
      <c r="L767" t="n">
        <v>0</v>
      </c>
      <c r="M767" t="n">
        <v>0</v>
      </c>
      <c r="N767" t="n">
        <v>0</v>
      </c>
      <c r="O767" t="n">
        <v>0</v>
      </c>
      <c r="P767" t="n">
        <v>0</v>
      </c>
      <c r="Q767" t="n">
        <v>0</v>
      </c>
      <c r="R767" s="2" t="inlineStr"/>
    </row>
    <row r="768" ht="15" customHeight="1">
      <c r="A768" t="inlineStr">
        <is>
          <t>A 21638-2025</t>
        </is>
      </c>
      <c r="B768" s="1" t="n">
        <v>45783.43087962963</v>
      </c>
      <c r="C768" s="1" t="n">
        <v>45976</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49199-2024</t>
        </is>
      </c>
      <c r="B769" s="1" t="n">
        <v>45595</v>
      </c>
      <c r="C769" s="1" t="n">
        <v>45976</v>
      </c>
      <c r="D769" t="inlineStr">
        <is>
          <t>SKÅNE LÄN</t>
        </is>
      </c>
      <c r="E769" t="inlineStr">
        <is>
          <t>HÄSSLEHOLM</t>
        </is>
      </c>
      <c r="G769" t="n">
        <v>5.2</v>
      </c>
      <c r="H769" t="n">
        <v>0</v>
      </c>
      <c r="I769" t="n">
        <v>0</v>
      </c>
      <c r="J769" t="n">
        <v>0</v>
      </c>
      <c r="K769" t="n">
        <v>0</v>
      </c>
      <c r="L769" t="n">
        <v>0</v>
      </c>
      <c r="M769" t="n">
        <v>0</v>
      </c>
      <c r="N769" t="n">
        <v>0</v>
      </c>
      <c r="O769" t="n">
        <v>0</v>
      </c>
      <c r="P769" t="n">
        <v>0</v>
      </c>
      <c r="Q769" t="n">
        <v>0</v>
      </c>
      <c r="R769" s="2" t="inlineStr"/>
    </row>
    <row r="770" ht="15" customHeight="1">
      <c r="A770" t="inlineStr">
        <is>
          <t>A 3248-2022</t>
        </is>
      </c>
      <c r="B770" s="1" t="n">
        <v>44583</v>
      </c>
      <c r="C770" s="1" t="n">
        <v>45976</v>
      </c>
      <c r="D770" t="inlineStr">
        <is>
          <t>SKÅNE LÄN</t>
        </is>
      </c>
      <c r="E770" t="inlineStr">
        <is>
          <t>HÄSSLEHOLM</t>
        </is>
      </c>
      <c r="G770" t="n">
        <v>3</v>
      </c>
      <c r="H770" t="n">
        <v>0</v>
      </c>
      <c r="I770" t="n">
        <v>0</v>
      </c>
      <c r="J770" t="n">
        <v>0</v>
      </c>
      <c r="K770" t="n">
        <v>0</v>
      </c>
      <c r="L770" t="n">
        <v>0</v>
      </c>
      <c r="M770" t="n">
        <v>0</v>
      </c>
      <c r="N770" t="n">
        <v>0</v>
      </c>
      <c r="O770" t="n">
        <v>0</v>
      </c>
      <c r="P770" t="n">
        <v>0</v>
      </c>
      <c r="Q770" t="n">
        <v>0</v>
      </c>
      <c r="R770" s="2" t="inlineStr"/>
    </row>
    <row r="771" ht="15" customHeight="1">
      <c r="A771" t="inlineStr">
        <is>
          <t>A 43741-2025</t>
        </is>
      </c>
      <c r="B771" s="1" t="n">
        <v>45912.45541666666</v>
      </c>
      <c r="C771" s="1" t="n">
        <v>45976</v>
      </c>
      <c r="D771" t="inlineStr">
        <is>
          <t>SKÅNE LÄN</t>
        </is>
      </c>
      <c r="E771" t="inlineStr">
        <is>
          <t>HÄSSLEHOLM</t>
        </is>
      </c>
      <c r="G771" t="n">
        <v>4.3</v>
      </c>
      <c r="H771" t="n">
        <v>0</v>
      </c>
      <c r="I771" t="n">
        <v>0</v>
      </c>
      <c r="J771" t="n">
        <v>0</v>
      </c>
      <c r="K771" t="n">
        <v>0</v>
      </c>
      <c r="L771" t="n">
        <v>0</v>
      </c>
      <c r="M771" t="n">
        <v>0</v>
      </c>
      <c r="N771" t="n">
        <v>0</v>
      </c>
      <c r="O771" t="n">
        <v>0</v>
      </c>
      <c r="P771" t="n">
        <v>0</v>
      </c>
      <c r="Q771" t="n">
        <v>0</v>
      </c>
      <c r="R771" s="2" t="inlineStr"/>
    </row>
    <row r="772" ht="15" customHeight="1">
      <c r="A772" t="inlineStr">
        <is>
          <t>A 6638-2021</t>
        </is>
      </c>
      <c r="B772" s="1" t="n">
        <v>44235</v>
      </c>
      <c r="C772" s="1" t="n">
        <v>45976</v>
      </c>
      <c r="D772" t="inlineStr">
        <is>
          <t>SKÅNE LÄN</t>
        </is>
      </c>
      <c r="E772" t="inlineStr">
        <is>
          <t>HÄSSLEHOLM</t>
        </is>
      </c>
      <c r="G772" t="n">
        <v>112.4</v>
      </c>
      <c r="H772" t="n">
        <v>0</v>
      </c>
      <c r="I772" t="n">
        <v>0</v>
      </c>
      <c r="J772" t="n">
        <v>0</v>
      </c>
      <c r="K772" t="n">
        <v>0</v>
      </c>
      <c r="L772" t="n">
        <v>0</v>
      </c>
      <c r="M772" t="n">
        <v>0</v>
      </c>
      <c r="N772" t="n">
        <v>0</v>
      </c>
      <c r="O772" t="n">
        <v>0</v>
      </c>
      <c r="P772" t="n">
        <v>0</v>
      </c>
      <c r="Q772" t="n">
        <v>0</v>
      </c>
      <c r="R772" s="2" t="inlineStr"/>
    </row>
    <row r="773" ht="15" customHeight="1">
      <c r="A773" t="inlineStr">
        <is>
          <t>A 25538-2024</t>
        </is>
      </c>
      <c r="B773" s="1" t="n">
        <v>45463</v>
      </c>
      <c r="C773" s="1" t="n">
        <v>45976</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39111-2023</t>
        </is>
      </c>
      <c r="B774" s="1" t="n">
        <v>45164.87140046297</v>
      </c>
      <c r="C774" s="1" t="n">
        <v>45976</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60851-2024</t>
        </is>
      </c>
      <c r="B775" s="1" t="n">
        <v>45644.66182870371</v>
      </c>
      <c r="C775" s="1" t="n">
        <v>45976</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21625-2025</t>
        </is>
      </c>
      <c r="B776" s="1" t="n">
        <v>45783.41252314814</v>
      </c>
      <c r="C776" s="1" t="n">
        <v>45976</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2712-2024</t>
        </is>
      </c>
      <c r="B777" s="1" t="n">
        <v>45314</v>
      </c>
      <c r="C777" s="1" t="n">
        <v>45976</v>
      </c>
      <c r="D777" t="inlineStr">
        <is>
          <t>SKÅNE LÄN</t>
        </is>
      </c>
      <c r="E777" t="inlineStr">
        <is>
          <t>HÄSSLEHOLM</t>
        </is>
      </c>
      <c r="G777" t="n">
        <v>11.3</v>
      </c>
      <c r="H777" t="n">
        <v>0</v>
      </c>
      <c r="I777" t="n">
        <v>0</v>
      </c>
      <c r="J777" t="n">
        <v>0</v>
      </c>
      <c r="K777" t="n">
        <v>0</v>
      </c>
      <c r="L777" t="n">
        <v>0</v>
      </c>
      <c r="M777" t="n">
        <v>0</v>
      </c>
      <c r="N777" t="n">
        <v>0</v>
      </c>
      <c r="O777" t="n">
        <v>0</v>
      </c>
      <c r="P777" t="n">
        <v>0</v>
      </c>
      <c r="Q777" t="n">
        <v>0</v>
      </c>
      <c r="R777" s="2" t="inlineStr"/>
    </row>
    <row r="778" ht="15" customHeight="1">
      <c r="A778" t="inlineStr">
        <is>
          <t>A 36733-2023</t>
        </is>
      </c>
      <c r="B778" s="1" t="n">
        <v>45153.69989583334</v>
      </c>
      <c r="C778" s="1" t="n">
        <v>45976</v>
      </c>
      <c r="D778" t="inlineStr">
        <is>
          <t>SKÅNE LÄN</t>
        </is>
      </c>
      <c r="E778" t="inlineStr">
        <is>
          <t>HÄSSLEHOLM</t>
        </is>
      </c>
      <c r="G778" t="n">
        <v>4.8</v>
      </c>
      <c r="H778" t="n">
        <v>0</v>
      </c>
      <c r="I778" t="n">
        <v>0</v>
      </c>
      <c r="J778" t="n">
        <v>0</v>
      </c>
      <c r="K778" t="n">
        <v>0</v>
      </c>
      <c r="L778" t="n">
        <v>0</v>
      </c>
      <c r="M778" t="n">
        <v>0</v>
      </c>
      <c r="N778" t="n">
        <v>0</v>
      </c>
      <c r="O778" t="n">
        <v>0</v>
      </c>
      <c r="P778" t="n">
        <v>0</v>
      </c>
      <c r="Q778" t="n">
        <v>0</v>
      </c>
      <c r="R778" s="2" t="inlineStr"/>
    </row>
    <row r="779" ht="15" customHeight="1">
      <c r="A779" t="inlineStr">
        <is>
          <t>A 7818-2024</t>
        </is>
      </c>
      <c r="B779" s="1" t="n">
        <v>45349.68872685185</v>
      </c>
      <c r="C779" s="1" t="n">
        <v>45976</v>
      </c>
      <c r="D779" t="inlineStr">
        <is>
          <t>SKÅNE LÄN</t>
        </is>
      </c>
      <c r="E779" t="inlineStr">
        <is>
          <t>HÄSSLEHOLM</t>
        </is>
      </c>
      <c r="G779" t="n">
        <v>2.5</v>
      </c>
      <c r="H779" t="n">
        <v>0</v>
      </c>
      <c r="I779" t="n">
        <v>0</v>
      </c>
      <c r="J779" t="n">
        <v>0</v>
      </c>
      <c r="K779" t="n">
        <v>0</v>
      </c>
      <c r="L779" t="n">
        <v>0</v>
      </c>
      <c r="M779" t="n">
        <v>0</v>
      </c>
      <c r="N779" t="n">
        <v>0</v>
      </c>
      <c r="O779" t="n">
        <v>0</v>
      </c>
      <c r="P779" t="n">
        <v>0</v>
      </c>
      <c r="Q779" t="n">
        <v>0</v>
      </c>
      <c r="R779" s="2" t="inlineStr"/>
    </row>
    <row r="780" ht="15" customHeight="1">
      <c r="A780" t="inlineStr">
        <is>
          <t>A 60509-2023</t>
        </is>
      </c>
      <c r="B780" s="1" t="n">
        <v>45259</v>
      </c>
      <c r="C780" s="1" t="n">
        <v>45976</v>
      </c>
      <c r="D780" t="inlineStr">
        <is>
          <t>SKÅNE LÄN</t>
        </is>
      </c>
      <c r="E780" t="inlineStr">
        <is>
          <t>HÄSSLEHOLM</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56986-2024</t>
        </is>
      </c>
      <c r="B781" s="1" t="n">
        <v>45626</v>
      </c>
      <c r="C781" s="1" t="n">
        <v>45976</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13149-2024</t>
        </is>
      </c>
      <c r="B782" s="1" t="n">
        <v>45386</v>
      </c>
      <c r="C782" s="1" t="n">
        <v>45976</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1562-2023</t>
        </is>
      </c>
      <c r="B783" s="1" t="n">
        <v>44937.60450231482</v>
      </c>
      <c r="C783" s="1" t="n">
        <v>45976</v>
      </c>
      <c r="D783" t="inlineStr">
        <is>
          <t>SKÅNE LÄN</t>
        </is>
      </c>
      <c r="E783" t="inlineStr">
        <is>
          <t>HÄSSLEHOLM</t>
        </is>
      </c>
      <c r="G783" t="n">
        <v>2.7</v>
      </c>
      <c r="H783" t="n">
        <v>0</v>
      </c>
      <c r="I783" t="n">
        <v>0</v>
      </c>
      <c r="J783" t="n">
        <v>0</v>
      </c>
      <c r="K783" t="n">
        <v>0</v>
      </c>
      <c r="L783" t="n">
        <v>0</v>
      </c>
      <c r="M783" t="n">
        <v>0</v>
      </c>
      <c r="N783" t="n">
        <v>0</v>
      </c>
      <c r="O783" t="n">
        <v>0</v>
      </c>
      <c r="P783" t="n">
        <v>0</v>
      </c>
      <c r="Q783" t="n">
        <v>0</v>
      </c>
      <c r="R783" s="2" t="inlineStr"/>
    </row>
    <row r="784" ht="15" customHeight="1">
      <c r="A784" t="inlineStr">
        <is>
          <t>A 45220-2023</t>
        </is>
      </c>
      <c r="B784" s="1" t="n">
        <v>45191</v>
      </c>
      <c r="C784" s="1" t="n">
        <v>45976</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32967-2023</t>
        </is>
      </c>
      <c r="B785" s="1" t="n">
        <v>45125</v>
      </c>
      <c r="C785" s="1" t="n">
        <v>45976</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32968-2023</t>
        </is>
      </c>
      <c r="B786" s="1" t="n">
        <v>45125</v>
      </c>
      <c r="C786" s="1" t="n">
        <v>45976</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10277-2023</t>
        </is>
      </c>
      <c r="B787" s="1" t="n">
        <v>44986</v>
      </c>
      <c r="C787" s="1" t="n">
        <v>45976</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10290-2023</t>
        </is>
      </c>
      <c r="B788" s="1" t="n">
        <v>44986</v>
      </c>
      <c r="C788" s="1" t="n">
        <v>45976</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46222-2022</t>
        </is>
      </c>
      <c r="B789" s="1" t="n">
        <v>44847.58725694445</v>
      </c>
      <c r="C789" s="1" t="n">
        <v>45976</v>
      </c>
      <c r="D789" t="inlineStr">
        <is>
          <t>SKÅNE LÄN</t>
        </is>
      </c>
      <c r="E789" t="inlineStr">
        <is>
          <t>HÄSSLEHOLM</t>
        </is>
      </c>
      <c r="G789" t="n">
        <v>6.3</v>
      </c>
      <c r="H789" t="n">
        <v>0</v>
      </c>
      <c r="I789" t="n">
        <v>0</v>
      </c>
      <c r="J789" t="n">
        <v>0</v>
      </c>
      <c r="K789" t="n">
        <v>0</v>
      </c>
      <c r="L789" t="n">
        <v>0</v>
      </c>
      <c r="M789" t="n">
        <v>0</v>
      </c>
      <c r="N789" t="n">
        <v>0</v>
      </c>
      <c r="O789" t="n">
        <v>0</v>
      </c>
      <c r="P789" t="n">
        <v>0</v>
      </c>
      <c r="Q789" t="n">
        <v>0</v>
      </c>
      <c r="R789" s="2" t="inlineStr"/>
    </row>
    <row r="790" ht="15" customHeight="1">
      <c r="A790" t="inlineStr">
        <is>
          <t>A 2567-2024</t>
        </is>
      </c>
      <c r="B790" s="1" t="n">
        <v>45313.62460648148</v>
      </c>
      <c r="C790" s="1" t="n">
        <v>45976</v>
      </c>
      <c r="D790" t="inlineStr">
        <is>
          <t>SKÅNE LÄN</t>
        </is>
      </c>
      <c r="E790" t="inlineStr">
        <is>
          <t>HÄSSLEHOLM</t>
        </is>
      </c>
      <c r="G790" t="n">
        <v>1.1</v>
      </c>
      <c r="H790" t="n">
        <v>0</v>
      </c>
      <c r="I790" t="n">
        <v>0</v>
      </c>
      <c r="J790" t="n">
        <v>0</v>
      </c>
      <c r="K790" t="n">
        <v>0</v>
      </c>
      <c r="L790" t="n">
        <v>0</v>
      </c>
      <c r="M790" t="n">
        <v>0</v>
      </c>
      <c r="N790" t="n">
        <v>0</v>
      </c>
      <c r="O790" t="n">
        <v>0</v>
      </c>
      <c r="P790" t="n">
        <v>0</v>
      </c>
      <c r="Q790" t="n">
        <v>0</v>
      </c>
      <c r="R790" s="2" t="inlineStr"/>
    </row>
    <row r="791" ht="15" customHeight="1">
      <c r="A791" t="inlineStr">
        <is>
          <t>A 43738-2025</t>
        </is>
      </c>
      <c r="B791" s="1" t="n">
        <v>45912.45037037037</v>
      </c>
      <c r="C791" s="1" t="n">
        <v>45976</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28632-2024</t>
        </is>
      </c>
      <c r="B792" s="1" t="n">
        <v>45478</v>
      </c>
      <c r="C792" s="1" t="n">
        <v>45976</v>
      </c>
      <c r="D792" t="inlineStr">
        <is>
          <t>SKÅNE LÄN</t>
        </is>
      </c>
      <c r="E792" t="inlineStr">
        <is>
          <t>HÄSSLEHOLM</t>
        </is>
      </c>
      <c r="G792" t="n">
        <v>4</v>
      </c>
      <c r="H792" t="n">
        <v>0</v>
      </c>
      <c r="I792" t="n">
        <v>0</v>
      </c>
      <c r="J792" t="n">
        <v>0</v>
      </c>
      <c r="K792" t="n">
        <v>0</v>
      </c>
      <c r="L792" t="n">
        <v>0</v>
      </c>
      <c r="M792" t="n">
        <v>0</v>
      </c>
      <c r="N792" t="n">
        <v>0</v>
      </c>
      <c r="O792" t="n">
        <v>0</v>
      </c>
      <c r="P792" t="n">
        <v>0</v>
      </c>
      <c r="Q792" t="n">
        <v>0</v>
      </c>
      <c r="R792" s="2" t="inlineStr"/>
    </row>
    <row r="793" ht="15" customHeight="1">
      <c r="A793" t="inlineStr">
        <is>
          <t>A 11708-2025</t>
        </is>
      </c>
      <c r="B793" s="1" t="n">
        <v>45727.58626157408</v>
      </c>
      <c r="C793" s="1" t="n">
        <v>45976</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29845-2024</t>
        </is>
      </c>
      <c r="B794" s="1" t="n">
        <v>45485.6212037037</v>
      </c>
      <c r="C794" s="1" t="n">
        <v>45976</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53020-2025</t>
        </is>
      </c>
      <c r="B795" s="1" t="n">
        <v>45957.90707175926</v>
      </c>
      <c r="C795" s="1" t="n">
        <v>45976</v>
      </c>
      <c r="D795" t="inlineStr">
        <is>
          <t>SKÅNE LÄN</t>
        </is>
      </c>
      <c r="E795" t="inlineStr">
        <is>
          <t>HÄSSLEHOLM</t>
        </is>
      </c>
      <c r="G795" t="n">
        <v>1.1</v>
      </c>
      <c r="H795" t="n">
        <v>0</v>
      </c>
      <c r="I795" t="n">
        <v>0</v>
      </c>
      <c r="J795" t="n">
        <v>0</v>
      </c>
      <c r="K795" t="n">
        <v>0</v>
      </c>
      <c r="L795" t="n">
        <v>0</v>
      </c>
      <c r="M795" t="n">
        <v>0</v>
      </c>
      <c r="N795" t="n">
        <v>0</v>
      </c>
      <c r="O795" t="n">
        <v>0</v>
      </c>
      <c r="P795" t="n">
        <v>0</v>
      </c>
      <c r="Q795" t="n">
        <v>0</v>
      </c>
      <c r="R795" s="2" t="inlineStr"/>
    </row>
    <row r="796" ht="15" customHeight="1">
      <c r="A796" t="inlineStr">
        <is>
          <t>A 21028-2021</t>
        </is>
      </c>
      <c r="B796" s="1" t="n">
        <v>44319</v>
      </c>
      <c r="C796" s="1" t="n">
        <v>45976</v>
      </c>
      <c r="D796" t="inlineStr">
        <is>
          <t>SKÅNE LÄN</t>
        </is>
      </c>
      <c r="E796" t="inlineStr">
        <is>
          <t>HÄSSLEHOLM</t>
        </is>
      </c>
      <c r="G796" t="n">
        <v>3.1</v>
      </c>
      <c r="H796" t="n">
        <v>0</v>
      </c>
      <c r="I796" t="n">
        <v>0</v>
      </c>
      <c r="J796" t="n">
        <v>0</v>
      </c>
      <c r="K796" t="n">
        <v>0</v>
      </c>
      <c r="L796" t="n">
        <v>0</v>
      </c>
      <c r="M796" t="n">
        <v>0</v>
      </c>
      <c r="N796" t="n">
        <v>0</v>
      </c>
      <c r="O796" t="n">
        <v>0</v>
      </c>
      <c r="P796" t="n">
        <v>0</v>
      </c>
      <c r="Q796" t="n">
        <v>0</v>
      </c>
      <c r="R796" s="2" t="inlineStr"/>
    </row>
    <row r="797" ht="15" customHeight="1">
      <c r="A797" t="inlineStr">
        <is>
          <t>A 69357-2021</t>
        </is>
      </c>
      <c r="B797" s="1" t="n">
        <v>44531</v>
      </c>
      <c r="C797" s="1" t="n">
        <v>45976</v>
      </c>
      <c r="D797" t="inlineStr">
        <is>
          <t>SKÅNE LÄN</t>
        </is>
      </c>
      <c r="E797" t="inlineStr">
        <is>
          <t>HÄSSLEHOLM</t>
        </is>
      </c>
      <c r="G797" t="n">
        <v>1.6</v>
      </c>
      <c r="H797" t="n">
        <v>0</v>
      </c>
      <c r="I797" t="n">
        <v>0</v>
      </c>
      <c r="J797" t="n">
        <v>0</v>
      </c>
      <c r="K797" t="n">
        <v>0</v>
      </c>
      <c r="L797" t="n">
        <v>0</v>
      </c>
      <c r="M797" t="n">
        <v>0</v>
      </c>
      <c r="N797" t="n">
        <v>0</v>
      </c>
      <c r="O797" t="n">
        <v>0</v>
      </c>
      <c r="P797" t="n">
        <v>0</v>
      </c>
      <c r="Q797" t="n">
        <v>0</v>
      </c>
      <c r="R797" s="2" t="inlineStr"/>
    </row>
    <row r="798" ht="15" customHeight="1">
      <c r="A798" t="inlineStr">
        <is>
          <t>A 3855-2023</t>
        </is>
      </c>
      <c r="B798" s="1" t="n">
        <v>44951.69708333333</v>
      </c>
      <c r="C798" s="1" t="n">
        <v>45976</v>
      </c>
      <c r="D798" t="inlineStr">
        <is>
          <t>SKÅNE LÄN</t>
        </is>
      </c>
      <c r="E798" t="inlineStr">
        <is>
          <t>HÄSSLEHOLM</t>
        </is>
      </c>
      <c r="G798" t="n">
        <v>2.3</v>
      </c>
      <c r="H798" t="n">
        <v>0</v>
      </c>
      <c r="I798" t="n">
        <v>0</v>
      </c>
      <c r="J798" t="n">
        <v>0</v>
      </c>
      <c r="K798" t="n">
        <v>0</v>
      </c>
      <c r="L798" t="n">
        <v>0</v>
      </c>
      <c r="M798" t="n">
        <v>0</v>
      </c>
      <c r="N798" t="n">
        <v>0</v>
      </c>
      <c r="O798" t="n">
        <v>0</v>
      </c>
      <c r="P798" t="n">
        <v>0</v>
      </c>
      <c r="Q798" t="n">
        <v>0</v>
      </c>
      <c r="R798" s="2" t="inlineStr"/>
    </row>
    <row r="799" ht="15" customHeight="1">
      <c r="A799" t="inlineStr">
        <is>
          <t>A 33481-2024</t>
        </is>
      </c>
      <c r="B799" s="1" t="n">
        <v>45519</v>
      </c>
      <c r="C799" s="1" t="n">
        <v>45976</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30109-2025</t>
        </is>
      </c>
      <c r="B800" s="1" t="n">
        <v>45826</v>
      </c>
      <c r="C800" s="1" t="n">
        <v>45976</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2813-2021</t>
        </is>
      </c>
      <c r="B801" s="1" t="n">
        <v>44215</v>
      </c>
      <c r="C801" s="1" t="n">
        <v>45976</v>
      </c>
      <c r="D801" t="inlineStr">
        <is>
          <t>SKÅNE LÄN</t>
        </is>
      </c>
      <c r="E801" t="inlineStr">
        <is>
          <t>HÄSSLEHOLM</t>
        </is>
      </c>
      <c r="G801" t="n">
        <v>7.1</v>
      </c>
      <c r="H801" t="n">
        <v>0</v>
      </c>
      <c r="I801" t="n">
        <v>0</v>
      </c>
      <c r="J801" t="n">
        <v>0</v>
      </c>
      <c r="K801" t="n">
        <v>0</v>
      </c>
      <c r="L801" t="n">
        <v>0</v>
      </c>
      <c r="M801" t="n">
        <v>0</v>
      </c>
      <c r="N801" t="n">
        <v>0</v>
      </c>
      <c r="O801" t="n">
        <v>0</v>
      </c>
      <c r="P801" t="n">
        <v>0</v>
      </c>
      <c r="Q801" t="n">
        <v>0</v>
      </c>
      <c r="R801" s="2" t="inlineStr"/>
    </row>
    <row r="802" ht="15" customHeight="1">
      <c r="A802" t="inlineStr">
        <is>
          <t>A 1289-2024</t>
        </is>
      </c>
      <c r="B802" s="1" t="n">
        <v>45303.32234953704</v>
      </c>
      <c r="C802" s="1" t="n">
        <v>45976</v>
      </c>
      <c r="D802" t="inlineStr">
        <is>
          <t>SKÅNE LÄN</t>
        </is>
      </c>
      <c r="E802" t="inlineStr">
        <is>
          <t>HÄSSLEHOLM</t>
        </is>
      </c>
      <c r="G802" t="n">
        <v>4.6</v>
      </c>
      <c r="H802" t="n">
        <v>0</v>
      </c>
      <c r="I802" t="n">
        <v>0</v>
      </c>
      <c r="J802" t="n">
        <v>0</v>
      </c>
      <c r="K802" t="n">
        <v>0</v>
      </c>
      <c r="L802" t="n">
        <v>0</v>
      </c>
      <c r="M802" t="n">
        <v>0</v>
      </c>
      <c r="N802" t="n">
        <v>0</v>
      </c>
      <c r="O802" t="n">
        <v>0</v>
      </c>
      <c r="P802" t="n">
        <v>0</v>
      </c>
      <c r="Q802" t="n">
        <v>0</v>
      </c>
      <c r="R802" s="2" t="inlineStr"/>
    </row>
    <row r="803" ht="15" customHeight="1">
      <c r="A803" t="inlineStr">
        <is>
          <t>A 1703-2025</t>
        </is>
      </c>
      <c r="B803" s="1" t="n">
        <v>45670.80732638889</v>
      </c>
      <c r="C803" s="1" t="n">
        <v>45976</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54176-2022</t>
        </is>
      </c>
      <c r="B804" s="1" t="n">
        <v>44881</v>
      </c>
      <c r="C804" s="1" t="n">
        <v>45976</v>
      </c>
      <c r="D804" t="inlineStr">
        <is>
          <t>SKÅNE LÄN</t>
        </is>
      </c>
      <c r="E804" t="inlineStr">
        <is>
          <t>HÄSSLEHOLM</t>
        </is>
      </c>
      <c r="G804" t="n">
        <v>1.1</v>
      </c>
      <c r="H804" t="n">
        <v>0</v>
      </c>
      <c r="I804" t="n">
        <v>0</v>
      </c>
      <c r="J804" t="n">
        <v>0</v>
      </c>
      <c r="K804" t="n">
        <v>0</v>
      </c>
      <c r="L804" t="n">
        <v>0</v>
      </c>
      <c r="M804" t="n">
        <v>0</v>
      </c>
      <c r="N804" t="n">
        <v>0</v>
      </c>
      <c r="O804" t="n">
        <v>0</v>
      </c>
      <c r="P804" t="n">
        <v>0</v>
      </c>
      <c r="Q804" t="n">
        <v>0</v>
      </c>
      <c r="R804" s="2" t="inlineStr"/>
    </row>
    <row r="805" ht="15" customHeight="1">
      <c r="A805" t="inlineStr">
        <is>
          <t>A 7152-2025</t>
        </is>
      </c>
      <c r="B805" s="1" t="n">
        <v>45702.3837037037</v>
      </c>
      <c r="C805" s="1" t="n">
        <v>45976</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7160-2025</t>
        </is>
      </c>
      <c r="B806" s="1" t="n">
        <v>45702.3875462963</v>
      </c>
      <c r="C806" s="1" t="n">
        <v>45976</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44624-2025</t>
        </is>
      </c>
      <c r="B807" s="1" t="n">
        <v>45917.47152777778</v>
      </c>
      <c r="C807" s="1" t="n">
        <v>45976</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27291-2023</t>
        </is>
      </c>
      <c r="B808" s="1" t="n">
        <v>45096</v>
      </c>
      <c r="C808" s="1" t="n">
        <v>45976</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53466-2024</t>
        </is>
      </c>
      <c r="B809" s="1" t="n">
        <v>45614.55304398148</v>
      </c>
      <c r="C809" s="1" t="n">
        <v>45976</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61533-2024</t>
        </is>
      </c>
      <c r="B810" s="1" t="n">
        <v>45646</v>
      </c>
      <c r="C810" s="1" t="n">
        <v>45976</v>
      </c>
      <c r="D810" t="inlineStr">
        <is>
          <t>SKÅNE LÄN</t>
        </is>
      </c>
      <c r="E810" t="inlineStr">
        <is>
          <t>HÄSSLEHOLM</t>
        </is>
      </c>
      <c r="G810" t="n">
        <v>4.5</v>
      </c>
      <c r="H810" t="n">
        <v>0</v>
      </c>
      <c r="I810" t="n">
        <v>0</v>
      </c>
      <c r="J810" t="n">
        <v>0</v>
      </c>
      <c r="K810" t="n">
        <v>0</v>
      </c>
      <c r="L810" t="n">
        <v>0</v>
      </c>
      <c r="M810" t="n">
        <v>0</v>
      </c>
      <c r="N810" t="n">
        <v>0</v>
      </c>
      <c r="O810" t="n">
        <v>0</v>
      </c>
      <c r="P810" t="n">
        <v>0</v>
      </c>
      <c r="Q810" t="n">
        <v>0</v>
      </c>
      <c r="R810" s="2" t="inlineStr"/>
    </row>
    <row r="811" ht="15" customHeight="1">
      <c r="A811" t="inlineStr">
        <is>
          <t>A 19735-2023</t>
        </is>
      </c>
      <c r="B811" s="1" t="n">
        <v>45051.52199074074</v>
      </c>
      <c r="C811" s="1" t="n">
        <v>45976</v>
      </c>
      <c r="D811" t="inlineStr">
        <is>
          <t>SKÅNE LÄN</t>
        </is>
      </c>
      <c r="E811" t="inlineStr">
        <is>
          <t>HÄSSLEHOLM</t>
        </is>
      </c>
      <c r="G811" t="n">
        <v>4</v>
      </c>
      <c r="H811" t="n">
        <v>0</v>
      </c>
      <c r="I811" t="n">
        <v>0</v>
      </c>
      <c r="J811" t="n">
        <v>0</v>
      </c>
      <c r="K811" t="n">
        <v>0</v>
      </c>
      <c r="L811" t="n">
        <v>0</v>
      </c>
      <c r="M811" t="n">
        <v>0</v>
      </c>
      <c r="N811" t="n">
        <v>0</v>
      </c>
      <c r="O811" t="n">
        <v>0</v>
      </c>
      <c r="P811" t="n">
        <v>0</v>
      </c>
      <c r="Q811" t="n">
        <v>0</v>
      </c>
      <c r="R811" s="2" t="inlineStr"/>
    </row>
    <row r="812" ht="15" customHeight="1">
      <c r="A812" t="inlineStr">
        <is>
          <t>A 2490-2024</t>
        </is>
      </c>
      <c r="B812" s="1" t="n">
        <v>45313.43649305555</v>
      </c>
      <c r="C812" s="1" t="n">
        <v>45976</v>
      </c>
      <c r="D812" t="inlineStr">
        <is>
          <t>SKÅNE LÄN</t>
        </is>
      </c>
      <c r="E812" t="inlineStr">
        <is>
          <t>HÄSSLEHOLM</t>
        </is>
      </c>
      <c r="G812" t="n">
        <v>4</v>
      </c>
      <c r="H812" t="n">
        <v>0</v>
      </c>
      <c r="I812" t="n">
        <v>0</v>
      </c>
      <c r="J812" t="n">
        <v>0</v>
      </c>
      <c r="K812" t="n">
        <v>0</v>
      </c>
      <c r="L812" t="n">
        <v>0</v>
      </c>
      <c r="M812" t="n">
        <v>0</v>
      </c>
      <c r="N812" t="n">
        <v>0</v>
      </c>
      <c r="O812" t="n">
        <v>0</v>
      </c>
      <c r="P812" t="n">
        <v>0</v>
      </c>
      <c r="Q812" t="n">
        <v>0</v>
      </c>
      <c r="R812" s="2" t="inlineStr"/>
    </row>
    <row r="813" ht="15" customHeight="1">
      <c r="A813" t="inlineStr">
        <is>
          <t>A 441-2022</t>
        </is>
      </c>
      <c r="B813" s="1" t="n">
        <v>44565.97125</v>
      </c>
      <c r="C813" s="1" t="n">
        <v>45976</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61537-2024</t>
        </is>
      </c>
      <c r="B814" s="1" t="n">
        <v>45646</v>
      </c>
      <c r="C814" s="1" t="n">
        <v>45976</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34890-2023</t>
        </is>
      </c>
      <c r="B815" s="1" t="n">
        <v>45142.39475694444</v>
      </c>
      <c r="C815" s="1" t="n">
        <v>45976</v>
      </c>
      <c r="D815" t="inlineStr">
        <is>
          <t>SKÅNE LÄN</t>
        </is>
      </c>
      <c r="E815" t="inlineStr">
        <is>
          <t>HÄSSLEHOLM</t>
        </is>
      </c>
      <c r="G815" t="n">
        <v>4</v>
      </c>
      <c r="H815" t="n">
        <v>0</v>
      </c>
      <c r="I815" t="n">
        <v>0</v>
      </c>
      <c r="J815" t="n">
        <v>0</v>
      </c>
      <c r="K815" t="n">
        <v>0</v>
      </c>
      <c r="L815" t="n">
        <v>0</v>
      </c>
      <c r="M815" t="n">
        <v>0</v>
      </c>
      <c r="N815" t="n">
        <v>0</v>
      </c>
      <c r="O815" t="n">
        <v>0</v>
      </c>
      <c r="P815" t="n">
        <v>0</v>
      </c>
      <c r="Q815" t="n">
        <v>0</v>
      </c>
      <c r="R815" s="2" t="inlineStr"/>
    </row>
    <row r="816" ht="15" customHeight="1">
      <c r="A816" t="inlineStr">
        <is>
          <t>A 5887-2025</t>
        </is>
      </c>
      <c r="B816" s="1" t="n">
        <v>45695.37925925926</v>
      </c>
      <c r="C816" s="1" t="n">
        <v>45976</v>
      </c>
      <c r="D816" t="inlineStr">
        <is>
          <t>SKÅNE LÄN</t>
        </is>
      </c>
      <c r="E816" t="inlineStr">
        <is>
          <t>HÄSSLEHOLM</t>
        </is>
      </c>
      <c r="G816" t="n">
        <v>4.8</v>
      </c>
      <c r="H816" t="n">
        <v>0</v>
      </c>
      <c r="I816" t="n">
        <v>0</v>
      </c>
      <c r="J816" t="n">
        <v>0</v>
      </c>
      <c r="K816" t="n">
        <v>0</v>
      </c>
      <c r="L816" t="n">
        <v>0</v>
      </c>
      <c r="M816" t="n">
        <v>0</v>
      </c>
      <c r="N816" t="n">
        <v>0</v>
      </c>
      <c r="O816" t="n">
        <v>0</v>
      </c>
      <c r="P816" t="n">
        <v>0</v>
      </c>
      <c r="Q816" t="n">
        <v>0</v>
      </c>
      <c r="R816" s="2" t="inlineStr"/>
    </row>
    <row r="817" ht="15" customHeight="1">
      <c r="A817" t="inlineStr">
        <is>
          <t>A 44611-2025</t>
        </is>
      </c>
      <c r="B817" s="1" t="n">
        <v>45917.45109953704</v>
      </c>
      <c r="C817" s="1" t="n">
        <v>45976</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44330-2025</t>
        </is>
      </c>
      <c r="B818" s="1" t="n">
        <v>45916.42120370371</v>
      </c>
      <c r="C818" s="1" t="n">
        <v>45976</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44523-2025</t>
        </is>
      </c>
      <c r="B819" s="1" t="n">
        <v>45916</v>
      </c>
      <c r="C819" s="1" t="n">
        <v>45976</v>
      </c>
      <c r="D819" t="inlineStr">
        <is>
          <t>SKÅNE LÄN</t>
        </is>
      </c>
      <c r="E819" t="inlineStr">
        <is>
          <t>HÄSSLEHOLM</t>
        </is>
      </c>
      <c r="G819" t="n">
        <v>1.6</v>
      </c>
      <c r="H819" t="n">
        <v>0</v>
      </c>
      <c r="I819" t="n">
        <v>0</v>
      </c>
      <c r="J819" t="n">
        <v>0</v>
      </c>
      <c r="K819" t="n">
        <v>0</v>
      </c>
      <c r="L819" t="n">
        <v>0</v>
      </c>
      <c r="M819" t="n">
        <v>0</v>
      </c>
      <c r="N819" t="n">
        <v>0</v>
      </c>
      <c r="O819" t="n">
        <v>0</v>
      </c>
      <c r="P819" t="n">
        <v>0</v>
      </c>
      <c r="Q819" t="n">
        <v>0</v>
      </c>
      <c r="R819" s="2" t="inlineStr"/>
    </row>
    <row r="820" ht="15" customHeight="1">
      <c r="A820" t="inlineStr">
        <is>
          <t>A 22024-2025</t>
        </is>
      </c>
      <c r="B820" s="1" t="n">
        <v>45784.85322916666</v>
      </c>
      <c r="C820" s="1" t="n">
        <v>45976</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30092-2025</t>
        </is>
      </c>
      <c r="B821" s="1" t="n">
        <v>45826</v>
      </c>
      <c r="C821" s="1" t="n">
        <v>45976</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20006-2025</t>
        </is>
      </c>
      <c r="B822" s="1" t="n">
        <v>45772.05032407407</v>
      </c>
      <c r="C822" s="1" t="n">
        <v>45976</v>
      </c>
      <c r="D822" t="inlineStr">
        <is>
          <t>SKÅNE LÄN</t>
        </is>
      </c>
      <c r="E822" t="inlineStr">
        <is>
          <t>HÄSSLEHOLM</t>
        </is>
      </c>
      <c r="G822" t="n">
        <v>3.9</v>
      </c>
      <c r="H822" t="n">
        <v>0</v>
      </c>
      <c r="I822" t="n">
        <v>0</v>
      </c>
      <c r="J822" t="n">
        <v>0</v>
      </c>
      <c r="K822" t="n">
        <v>0</v>
      </c>
      <c r="L822" t="n">
        <v>0</v>
      </c>
      <c r="M822" t="n">
        <v>0</v>
      </c>
      <c r="N822" t="n">
        <v>0</v>
      </c>
      <c r="O822" t="n">
        <v>0</v>
      </c>
      <c r="P822" t="n">
        <v>0</v>
      </c>
      <c r="Q822" t="n">
        <v>0</v>
      </c>
      <c r="R822" s="2" t="inlineStr"/>
    </row>
    <row r="823" ht="15" customHeight="1">
      <c r="A823" t="inlineStr">
        <is>
          <t>A 56735-2024</t>
        </is>
      </c>
      <c r="B823" s="1" t="n">
        <v>45628.36234953703</v>
      </c>
      <c r="C823" s="1" t="n">
        <v>45976</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29844-2024</t>
        </is>
      </c>
      <c r="B824" s="1" t="n">
        <v>45485</v>
      </c>
      <c r="C824" s="1" t="n">
        <v>45976</v>
      </c>
      <c r="D824" t="inlineStr">
        <is>
          <t>SKÅNE LÄN</t>
        </is>
      </c>
      <c r="E824" t="inlineStr">
        <is>
          <t>HÄSSLEHOLM</t>
        </is>
      </c>
      <c r="G824" t="n">
        <v>1.9</v>
      </c>
      <c r="H824" t="n">
        <v>0</v>
      </c>
      <c r="I824" t="n">
        <v>0</v>
      </c>
      <c r="J824" t="n">
        <v>0</v>
      </c>
      <c r="K824" t="n">
        <v>0</v>
      </c>
      <c r="L824" t="n">
        <v>0</v>
      </c>
      <c r="M824" t="n">
        <v>0</v>
      </c>
      <c r="N824" t="n">
        <v>0</v>
      </c>
      <c r="O824" t="n">
        <v>0</v>
      </c>
      <c r="P824" t="n">
        <v>0</v>
      </c>
      <c r="Q824" t="n">
        <v>0</v>
      </c>
      <c r="R824" s="2" t="inlineStr"/>
    </row>
    <row r="825" ht="15" customHeight="1">
      <c r="A825" t="inlineStr">
        <is>
          <t>A 53018-2025</t>
        </is>
      </c>
      <c r="B825" s="1" t="n">
        <v>45957.90064814815</v>
      </c>
      <c r="C825" s="1" t="n">
        <v>45976</v>
      </c>
      <c r="D825" t="inlineStr">
        <is>
          <t>SKÅNE LÄN</t>
        </is>
      </c>
      <c r="E825" t="inlineStr">
        <is>
          <t>HÄSSLEHOLM</t>
        </is>
      </c>
      <c r="G825" t="n">
        <v>2.2</v>
      </c>
      <c r="H825" t="n">
        <v>0</v>
      </c>
      <c r="I825" t="n">
        <v>0</v>
      </c>
      <c r="J825" t="n">
        <v>0</v>
      </c>
      <c r="K825" t="n">
        <v>0</v>
      </c>
      <c r="L825" t="n">
        <v>0</v>
      </c>
      <c r="M825" t="n">
        <v>0</v>
      </c>
      <c r="N825" t="n">
        <v>0</v>
      </c>
      <c r="O825" t="n">
        <v>0</v>
      </c>
      <c r="P825" t="n">
        <v>0</v>
      </c>
      <c r="Q825" t="n">
        <v>0</v>
      </c>
      <c r="R825" s="2" t="inlineStr"/>
    </row>
    <row r="826" ht="15" customHeight="1">
      <c r="A826" t="inlineStr">
        <is>
          <t>A 14157-2021</t>
        </is>
      </c>
      <c r="B826" s="1" t="n">
        <v>44278.43246527778</v>
      </c>
      <c r="C826" s="1" t="n">
        <v>45976</v>
      </c>
      <c r="D826" t="inlineStr">
        <is>
          <t>SKÅNE LÄN</t>
        </is>
      </c>
      <c r="E826" t="inlineStr">
        <is>
          <t>HÄSSLEHOLM</t>
        </is>
      </c>
      <c r="G826" t="n">
        <v>10.5</v>
      </c>
      <c r="H826" t="n">
        <v>0</v>
      </c>
      <c r="I826" t="n">
        <v>0</v>
      </c>
      <c r="J826" t="n">
        <v>0</v>
      </c>
      <c r="K826" t="n">
        <v>0</v>
      </c>
      <c r="L826" t="n">
        <v>0</v>
      </c>
      <c r="M826" t="n">
        <v>0</v>
      </c>
      <c r="N826" t="n">
        <v>0</v>
      </c>
      <c r="O826" t="n">
        <v>0</v>
      </c>
      <c r="P826" t="n">
        <v>0</v>
      </c>
      <c r="Q826" t="n">
        <v>0</v>
      </c>
      <c r="R826" s="2" t="inlineStr"/>
    </row>
    <row r="827" ht="15" customHeight="1">
      <c r="A827" t="inlineStr">
        <is>
          <t>A 55662-2022</t>
        </is>
      </c>
      <c r="B827" s="1" t="n">
        <v>44883</v>
      </c>
      <c r="C827" s="1" t="n">
        <v>45976</v>
      </c>
      <c r="D827" t="inlineStr">
        <is>
          <t>SKÅNE LÄN</t>
        </is>
      </c>
      <c r="E827" t="inlineStr">
        <is>
          <t>HÄSSLEHOLM</t>
        </is>
      </c>
      <c r="F827" t="inlineStr">
        <is>
          <t>Övriga Aktiebolag</t>
        </is>
      </c>
      <c r="G827" t="n">
        <v>2.6</v>
      </c>
      <c r="H827" t="n">
        <v>0</v>
      </c>
      <c r="I827" t="n">
        <v>0</v>
      </c>
      <c r="J827" t="n">
        <v>0</v>
      </c>
      <c r="K827" t="n">
        <v>0</v>
      </c>
      <c r="L827" t="n">
        <v>0</v>
      </c>
      <c r="M827" t="n">
        <v>0</v>
      </c>
      <c r="N827" t="n">
        <v>0</v>
      </c>
      <c r="O827" t="n">
        <v>0</v>
      </c>
      <c r="P827" t="n">
        <v>0</v>
      </c>
      <c r="Q827" t="n">
        <v>0</v>
      </c>
      <c r="R827" s="2" t="inlineStr"/>
    </row>
    <row r="828" ht="15" customHeight="1">
      <c r="A828" t="inlineStr">
        <is>
          <t>A 3886-2024</t>
        </is>
      </c>
      <c r="B828" s="1" t="n">
        <v>45322.44539351852</v>
      </c>
      <c r="C828" s="1" t="n">
        <v>45976</v>
      </c>
      <c r="D828" t="inlineStr">
        <is>
          <t>SKÅNE LÄN</t>
        </is>
      </c>
      <c r="E828" t="inlineStr">
        <is>
          <t>HÄSSLEHOLM</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9924-2025</t>
        </is>
      </c>
      <c r="B829" s="1" t="n">
        <v>45717.72505787037</v>
      </c>
      <c r="C829" s="1" t="n">
        <v>45976</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22587-2025</t>
        </is>
      </c>
      <c r="B830" s="1" t="n">
        <v>45789.39974537037</v>
      </c>
      <c r="C830" s="1" t="n">
        <v>45976</v>
      </c>
      <c r="D830" t="inlineStr">
        <is>
          <t>SKÅNE LÄN</t>
        </is>
      </c>
      <c r="E830" t="inlineStr">
        <is>
          <t>HÄSSLEHOLM</t>
        </is>
      </c>
      <c r="G830" t="n">
        <v>5.7</v>
      </c>
      <c r="H830" t="n">
        <v>0</v>
      </c>
      <c r="I830" t="n">
        <v>0</v>
      </c>
      <c r="J830" t="n">
        <v>0</v>
      </c>
      <c r="K830" t="n">
        <v>0</v>
      </c>
      <c r="L830" t="n">
        <v>0</v>
      </c>
      <c r="M830" t="n">
        <v>0</v>
      </c>
      <c r="N830" t="n">
        <v>0</v>
      </c>
      <c r="O830" t="n">
        <v>0</v>
      </c>
      <c r="P830" t="n">
        <v>0</v>
      </c>
      <c r="Q830" t="n">
        <v>0</v>
      </c>
      <c r="R830" s="2" t="inlineStr"/>
    </row>
    <row r="831" ht="15" customHeight="1">
      <c r="A831" t="inlineStr">
        <is>
          <t>A 54874-2022</t>
        </is>
      </c>
      <c r="B831" s="1" t="n">
        <v>44881</v>
      </c>
      <c r="C831" s="1" t="n">
        <v>45976</v>
      </c>
      <c r="D831" t="inlineStr">
        <is>
          <t>SKÅNE LÄN</t>
        </is>
      </c>
      <c r="E831" t="inlineStr">
        <is>
          <t>HÄSSLEHOLM</t>
        </is>
      </c>
      <c r="G831" t="n">
        <v>8.1</v>
      </c>
      <c r="H831" t="n">
        <v>0</v>
      </c>
      <c r="I831" t="n">
        <v>0</v>
      </c>
      <c r="J831" t="n">
        <v>0</v>
      </c>
      <c r="K831" t="n">
        <v>0</v>
      </c>
      <c r="L831" t="n">
        <v>0</v>
      </c>
      <c r="M831" t="n">
        <v>0</v>
      </c>
      <c r="N831" t="n">
        <v>0</v>
      </c>
      <c r="O831" t="n">
        <v>0</v>
      </c>
      <c r="P831" t="n">
        <v>0</v>
      </c>
      <c r="Q831" t="n">
        <v>0</v>
      </c>
      <c r="R831" s="2" t="inlineStr"/>
    </row>
    <row r="832" ht="15" customHeight="1">
      <c r="A832" t="inlineStr">
        <is>
          <t>A 60920-2024</t>
        </is>
      </c>
      <c r="B832" s="1" t="n">
        <v>45645.34442129629</v>
      </c>
      <c r="C832" s="1" t="n">
        <v>45976</v>
      </c>
      <c r="D832" t="inlineStr">
        <is>
          <t>SKÅNE LÄN</t>
        </is>
      </c>
      <c r="E832" t="inlineStr">
        <is>
          <t>HÄSSLEHOLM</t>
        </is>
      </c>
      <c r="G832" t="n">
        <v>2.6</v>
      </c>
      <c r="H832" t="n">
        <v>0</v>
      </c>
      <c r="I832" t="n">
        <v>0</v>
      </c>
      <c r="J832" t="n">
        <v>0</v>
      </c>
      <c r="K832" t="n">
        <v>0</v>
      </c>
      <c r="L832" t="n">
        <v>0</v>
      </c>
      <c r="M832" t="n">
        <v>0</v>
      </c>
      <c r="N832" t="n">
        <v>0</v>
      </c>
      <c r="O832" t="n">
        <v>0</v>
      </c>
      <c r="P832" t="n">
        <v>0</v>
      </c>
      <c r="Q832" t="n">
        <v>0</v>
      </c>
      <c r="R832" s="2" t="inlineStr"/>
    </row>
    <row r="833" ht="15" customHeight="1">
      <c r="A833" t="inlineStr">
        <is>
          <t>A 40536-2024</t>
        </is>
      </c>
      <c r="B833" s="1" t="n">
        <v>45555.61314814815</v>
      </c>
      <c r="C833" s="1" t="n">
        <v>45976</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44515-2025</t>
        </is>
      </c>
      <c r="B834" s="1" t="n">
        <v>45916.7062037037</v>
      </c>
      <c r="C834" s="1" t="n">
        <v>45976</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17152-2025</t>
        </is>
      </c>
      <c r="B835" s="1" t="n">
        <v>45756.33318287037</v>
      </c>
      <c r="C835" s="1" t="n">
        <v>45976</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34301-2024</t>
        </is>
      </c>
      <c r="B836" s="1" t="n">
        <v>45524</v>
      </c>
      <c r="C836" s="1" t="n">
        <v>45976</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27242-2022</t>
        </is>
      </c>
      <c r="B837" s="1" t="n">
        <v>44741</v>
      </c>
      <c r="C837" s="1" t="n">
        <v>45976</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53056-2025</t>
        </is>
      </c>
      <c r="B838" s="1" t="n">
        <v>45958.36518518518</v>
      </c>
      <c r="C838" s="1" t="n">
        <v>45976</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56386-2023</t>
        </is>
      </c>
      <c r="B839" s="1" t="n">
        <v>45243</v>
      </c>
      <c r="C839" s="1" t="n">
        <v>45976</v>
      </c>
      <c r="D839" t="inlineStr">
        <is>
          <t>SKÅNE LÄN</t>
        </is>
      </c>
      <c r="E839" t="inlineStr">
        <is>
          <t>HÄSSLEHOLM</t>
        </is>
      </c>
      <c r="G839" t="n">
        <v>2</v>
      </c>
      <c r="H839" t="n">
        <v>0</v>
      </c>
      <c r="I839" t="n">
        <v>0</v>
      </c>
      <c r="J839" t="n">
        <v>0</v>
      </c>
      <c r="K839" t="n">
        <v>0</v>
      </c>
      <c r="L839" t="n">
        <v>0</v>
      </c>
      <c r="M839" t="n">
        <v>0</v>
      </c>
      <c r="N839" t="n">
        <v>0</v>
      </c>
      <c r="O839" t="n">
        <v>0</v>
      </c>
      <c r="P839" t="n">
        <v>0</v>
      </c>
      <c r="Q839" t="n">
        <v>0</v>
      </c>
      <c r="R839" s="2" t="inlineStr"/>
    </row>
    <row r="840" ht="15" customHeight="1">
      <c r="A840" t="inlineStr">
        <is>
          <t>A 44616-2025</t>
        </is>
      </c>
      <c r="B840" s="1" t="n">
        <v>45917.45572916666</v>
      </c>
      <c r="C840" s="1" t="n">
        <v>45976</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61158-2022</t>
        </is>
      </c>
      <c r="B841" s="1" t="n">
        <v>44915.47112268519</v>
      </c>
      <c r="C841" s="1" t="n">
        <v>45976</v>
      </c>
      <c r="D841" t="inlineStr">
        <is>
          <t>SKÅNE LÄN</t>
        </is>
      </c>
      <c r="E841" t="inlineStr">
        <is>
          <t>HÄSSLEHOLM</t>
        </is>
      </c>
      <c r="G841" t="n">
        <v>8.4</v>
      </c>
      <c r="H841" t="n">
        <v>0</v>
      </c>
      <c r="I841" t="n">
        <v>0</v>
      </c>
      <c r="J841" t="n">
        <v>0</v>
      </c>
      <c r="K841" t="n">
        <v>0</v>
      </c>
      <c r="L841" t="n">
        <v>0</v>
      </c>
      <c r="M841" t="n">
        <v>0</v>
      </c>
      <c r="N841" t="n">
        <v>0</v>
      </c>
      <c r="O841" t="n">
        <v>0</v>
      </c>
      <c r="P841" t="n">
        <v>0</v>
      </c>
      <c r="Q841" t="n">
        <v>0</v>
      </c>
      <c r="R841" s="2" t="inlineStr"/>
    </row>
    <row r="842" ht="15" customHeight="1">
      <c r="A842" t="inlineStr">
        <is>
          <t>A 29274-2023</t>
        </is>
      </c>
      <c r="B842" s="1" t="n">
        <v>45105</v>
      </c>
      <c r="C842" s="1" t="n">
        <v>45976</v>
      </c>
      <c r="D842" t="inlineStr">
        <is>
          <t>SKÅNE LÄN</t>
        </is>
      </c>
      <c r="E842" t="inlineStr">
        <is>
          <t>HÄSSLEHOLM</t>
        </is>
      </c>
      <c r="G842" t="n">
        <v>3.4</v>
      </c>
      <c r="H842" t="n">
        <v>0</v>
      </c>
      <c r="I842" t="n">
        <v>0</v>
      </c>
      <c r="J842" t="n">
        <v>0</v>
      </c>
      <c r="K842" t="n">
        <v>0</v>
      </c>
      <c r="L842" t="n">
        <v>0</v>
      </c>
      <c r="M842" t="n">
        <v>0</v>
      </c>
      <c r="N842" t="n">
        <v>0</v>
      </c>
      <c r="O842" t="n">
        <v>0</v>
      </c>
      <c r="P842" t="n">
        <v>0</v>
      </c>
      <c r="Q842" t="n">
        <v>0</v>
      </c>
      <c r="R842" s="2" t="inlineStr"/>
    </row>
    <row r="843" ht="15" customHeight="1">
      <c r="A843" t="inlineStr">
        <is>
          <t>A 61932-2023</t>
        </is>
      </c>
      <c r="B843" s="1" t="n">
        <v>45266.53761574074</v>
      </c>
      <c r="C843" s="1" t="n">
        <v>45976</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27606-2024</t>
        </is>
      </c>
      <c r="B844" s="1" t="n">
        <v>45474</v>
      </c>
      <c r="C844" s="1" t="n">
        <v>45976</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61186-2022</t>
        </is>
      </c>
      <c r="B845" s="1" t="n">
        <v>44915.50745370371</v>
      </c>
      <c r="C845" s="1" t="n">
        <v>45976</v>
      </c>
      <c r="D845" t="inlineStr">
        <is>
          <t>SKÅNE LÄN</t>
        </is>
      </c>
      <c r="E845" t="inlineStr">
        <is>
          <t>HÄSSLEHOLM</t>
        </is>
      </c>
      <c r="G845" t="n">
        <v>2.9</v>
      </c>
      <c r="H845" t="n">
        <v>0</v>
      </c>
      <c r="I845" t="n">
        <v>0</v>
      </c>
      <c r="J845" t="n">
        <v>0</v>
      </c>
      <c r="K845" t="n">
        <v>0</v>
      </c>
      <c r="L845" t="n">
        <v>0</v>
      </c>
      <c r="M845" t="n">
        <v>0</v>
      </c>
      <c r="N845" t="n">
        <v>0</v>
      </c>
      <c r="O845" t="n">
        <v>0</v>
      </c>
      <c r="P845" t="n">
        <v>0</v>
      </c>
      <c r="Q845" t="n">
        <v>0</v>
      </c>
      <c r="R845" s="2" t="inlineStr"/>
    </row>
    <row r="846" ht="15" customHeight="1">
      <c r="A846" t="inlineStr">
        <is>
          <t>A 62055-2023</t>
        </is>
      </c>
      <c r="B846" s="1" t="n">
        <v>45266.70287037037</v>
      </c>
      <c r="C846" s="1" t="n">
        <v>45976</v>
      </c>
      <c r="D846" t="inlineStr">
        <is>
          <t>SKÅNE LÄN</t>
        </is>
      </c>
      <c r="E846" t="inlineStr">
        <is>
          <t>HÄSSLEHOLM</t>
        </is>
      </c>
      <c r="G846" t="n">
        <v>5.2</v>
      </c>
      <c r="H846" t="n">
        <v>0</v>
      </c>
      <c r="I846" t="n">
        <v>0</v>
      </c>
      <c r="J846" t="n">
        <v>0</v>
      </c>
      <c r="K846" t="n">
        <v>0</v>
      </c>
      <c r="L846" t="n">
        <v>0</v>
      </c>
      <c r="M846" t="n">
        <v>0</v>
      </c>
      <c r="N846" t="n">
        <v>0</v>
      </c>
      <c r="O846" t="n">
        <v>0</v>
      </c>
      <c r="P846" t="n">
        <v>0</v>
      </c>
      <c r="Q846" t="n">
        <v>0</v>
      </c>
      <c r="R846" s="2" t="inlineStr"/>
    </row>
    <row r="847" ht="15" customHeight="1">
      <c r="A847" t="inlineStr">
        <is>
          <t>A 50244-2024</t>
        </is>
      </c>
      <c r="B847" s="1" t="n">
        <v>45600.56502314815</v>
      </c>
      <c r="C847" s="1" t="n">
        <v>45976</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7221-2025</t>
        </is>
      </c>
      <c r="B848" s="1" t="n">
        <v>45701</v>
      </c>
      <c r="C848" s="1" t="n">
        <v>45976</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5532-2025</t>
        </is>
      </c>
      <c r="B849" s="1" t="n">
        <v>45693</v>
      </c>
      <c r="C849" s="1" t="n">
        <v>45976</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44614-2025</t>
        </is>
      </c>
      <c r="B850" s="1" t="n">
        <v>45917.45422453704</v>
      </c>
      <c r="C850" s="1" t="n">
        <v>45976</v>
      </c>
      <c r="D850" t="inlineStr">
        <is>
          <t>SKÅNE LÄN</t>
        </is>
      </c>
      <c r="E850" t="inlineStr">
        <is>
          <t>HÄSSLEHOLM</t>
        </is>
      </c>
      <c r="G850" t="n">
        <v>5.4</v>
      </c>
      <c r="H850" t="n">
        <v>0</v>
      </c>
      <c r="I850" t="n">
        <v>0</v>
      </c>
      <c r="J850" t="n">
        <v>0</v>
      </c>
      <c r="K850" t="n">
        <v>0</v>
      </c>
      <c r="L850" t="n">
        <v>0</v>
      </c>
      <c r="M850" t="n">
        <v>0</v>
      </c>
      <c r="N850" t="n">
        <v>0</v>
      </c>
      <c r="O850" t="n">
        <v>0</v>
      </c>
      <c r="P850" t="n">
        <v>0</v>
      </c>
      <c r="Q850" t="n">
        <v>0</v>
      </c>
      <c r="R850" s="2" t="inlineStr"/>
    </row>
    <row r="851" ht="15" customHeight="1">
      <c r="A851" t="inlineStr">
        <is>
          <t>A 10230-2025</t>
        </is>
      </c>
      <c r="B851" s="1" t="n">
        <v>45720</v>
      </c>
      <c r="C851" s="1" t="n">
        <v>45976</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33266-2024</t>
        </is>
      </c>
      <c r="B852" s="1" t="n">
        <v>45518</v>
      </c>
      <c r="C852" s="1" t="n">
        <v>45976</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48797-2023</t>
        </is>
      </c>
      <c r="B853" s="1" t="n">
        <v>45209.24986111111</v>
      </c>
      <c r="C853" s="1" t="n">
        <v>45976</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22592-2025</t>
        </is>
      </c>
      <c r="B854" s="1" t="n">
        <v>45789.40502314815</v>
      </c>
      <c r="C854" s="1" t="n">
        <v>45976</v>
      </c>
      <c r="D854" t="inlineStr">
        <is>
          <t>SKÅNE LÄN</t>
        </is>
      </c>
      <c r="E854" t="inlineStr">
        <is>
          <t>HÄSSLEHOLM</t>
        </is>
      </c>
      <c r="G854" t="n">
        <v>7.1</v>
      </c>
      <c r="H854" t="n">
        <v>0</v>
      </c>
      <c r="I854" t="n">
        <v>0</v>
      </c>
      <c r="J854" t="n">
        <v>0</v>
      </c>
      <c r="K854" t="n">
        <v>0</v>
      </c>
      <c r="L854" t="n">
        <v>0</v>
      </c>
      <c r="M854" t="n">
        <v>0</v>
      </c>
      <c r="N854" t="n">
        <v>0</v>
      </c>
      <c r="O854" t="n">
        <v>0</v>
      </c>
      <c r="P854" t="n">
        <v>0</v>
      </c>
      <c r="Q854" t="n">
        <v>0</v>
      </c>
      <c r="R854" s="2" t="inlineStr"/>
    </row>
    <row r="855" ht="15" customHeight="1">
      <c r="A855" t="inlineStr">
        <is>
          <t>A 53424-2025</t>
        </is>
      </c>
      <c r="B855" s="1" t="n">
        <v>45959</v>
      </c>
      <c r="C855" s="1" t="n">
        <v>45976</v>
      </c>
      <c r="D855" t="inlineStr">
        <is>
          <t>SKÅNE LÄN</t>
        </is>
      </c>
      <c r="E855" t="inlineStr">
        <is>
          <t>HÄSSLEHOLM</t>
        </is>
      </c>
      <c r="G855" t="n">
        <v>3.4</v>
      </c>
      <c r="H855" t="n">
        <v>0</v>
      </c>
      <c r="I855" t="n">
        <v>0</v>
      </c>
      <c r="J855" t="n">
        <v>0</v>
      </c>
      <c r="K855" t="n">
        <v>0</v>
      </c>
      <c r="L855" t="n">
        <v>0</v>
      </c>
      <c r="M855" t="n">
        <v>0</v>
      </c>
      <c r="N855" t="n">
        <v>0</v>
      </c>
      <c r="O855" t="n">
        <v>0</v>
      </c>
      <c r="P855" t="n">
        <v>0</v>
      </c>
      <c r="Q855" t="n">
        <v>0</v>
      </c>
      <c r="R855" s="2" t="inlineStr"/>
    </row>
    <row r="856" ht="15" customHeight="1">
      <c r="A856" t="inlineStr">
        <is>
          <t>A 45176-2025</t>
        </is>
      </c>
      <c r="B856" s="1" t="n">
        <v>45919.52307870371</v>
      </c>
      <c r="C856" s="1" t="n">
        <v>45976</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45221-2025</t>
        </is>
      </c>
      <c r="B857" s="1" t="n">
        <v>45919.57760416667</v>
      </c>
      <c r="C857" s="1" t="n">
        <v>45976</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33465-2024</t>
        </is>
      </c>
      <c r="B858" s="1" t="n">
        <v>45519.59619212963</v>
      </c>
      <c r="C858" s="1" t="n">
        <v>45976</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23007-2025</t>
        </is>
      </c>
      <c r="B859" s="1" t="n">
        <v>45790</v>
      </c>
      <c r="C859" s="1" t="n">
        <v>45976</v>
      </c>
      <c r="D859" t="inlineStr">
        <is>
          <t>SKÅNE LÄN</t>
        </is>
      </c>
      <c r="E859" t="inlineStr">
        <is>
          <t>HÄSSLEHOLM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17171-2025</t>
        </is>
      </c>
      <c r="B860" s="1" t="n">
        <v>45755</v>
      </c>
      <c r="C860" s="1" t="n">
        <v>45976</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45273-2025</t>
        </is>
      </c>
      <c r="B861" s="1" t="n">
        <v>45919.70486111111</v>
      </c>
      <c r="C861" s="1" t="n">
        <v>45976</v>
      </c>
      <c r="D861" t="inlineStr">
        <is>
          <t>SKÅNE LÄN</t>
        </is>
      </c>
      <c r="E861" t="inlineStr">
        <is>
          <t>HÄSSLEHOLM</t>
        </is>
      </c>
      <c r="G861" t="n">
        <v>4.4</v>
      </c>
      <c r="H861" t="n">
        <v>0</v>
      </c>
      <c r="I861" t="n">
        <v>0</v>
      </c>
      <c r="J861" t="n">
        <v>0</v>
      </c>
      <c r="K861" t="n">
        <v>0</v>
      </c>
      <c r="L861" t="n">
        <v>0</v>
      </c>
      <c r="M861" t="n">
        <v>0</v>
      </c>
      <c r="N861" t="n">
        <v>0</v>
      </c>
      <c r="O861" t="n">
        <v>0</v>
      </c>
      <c r="P861" t="n">
        <v>0</v>
      </c>
      <c r="Q861" t="n">
        <v>0</v>
      </c>
      <c r="R861" s="2" t="inlineStr"/>
    </row>
    <row r="862" ht="15" customHeight="1">
      <c r="A862" t="inlineStr">
        <is>
          <t>A 16930-2024</t>
        </is>
      </c>
      <c r="B862" s="1" t="n">
        <v>45411</v>
      </c>
      <c r="C862" s="1" t="n">
        <v>45976</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27825-2024</t>
        </is>
      </c>
      <c r="B863" s="1" t="n">
        <v>45475</v>
      </c>
      <c r="C863" s="1" t="n">
        <v>45976</v>
      </c>
      <c r="D863" t="inlineStr">
        <is>
          <t>SKÅNE LÄN</t>
        </is>
      </c>
      <c r="E863" t="inlineStr">
        <is>
          <t>HÄSSLEHOLM</t>
        </is>
      </c>
      <c r="F863" t="inlineStr">
        <is>
          <t>Kommuner</t>
        </is>
      </c>
      <c r="G863" t="n">
        <v>1.1</v>
      </c>
      <c r="H863" t="n">
        <v>0</v>
      </c>
      <c r="I863" t="n">
        <v>0</v>
      </c>
      <c r="J863" t="n">
        <v>0</v>
      </c>
      <c r="K863" t="n">
        <v>0</v>
      </c>
      <c r="L863" t="n">
        <v>0</v>
      </c>
      <c r="M863" t="n">
        <v>0</v>
      </c>
      <c r="N863" t="n">
        <v>0</v>
      </c>
      <c r="O863" t="n">
        <v>0</v>
      </c>
      <c r="P863" t="n">
        <v>0</v>
      </c>
      <c r="Q863" t="n">
        <v>0</v>
      </c>
      <c r="R863" s="2" t="inlineStr"/>
    </row>
    <row r="864" ht="15" customHeight="1">
      <c r="A864" t="inlineStr">
        <is>
          <t>A 45084-2025</t>
        </is>
      </c>
      <c r="B864" s="1" t="n">
        <v>45918</v>
      </c>
      <c r="C864" s="1" t="n">
        <v>45976</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26642-2023</t>
        </is>
      </c>
      <c r="B865" s="1" t="n">
        <v>45092.8975</v>
      </c>
      <c r="C865" s="1" t="n">
        <v>45976</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31254-2024</t>
        </is>
      </c>
      <c r="B866" s="1" t="n">
        <v>45503</v>
      </c>
      <c r="C866" s="1" t="n">
        <v>45976</v>
      </c>
      <c r="D866" t="inlineStr">
        <is>
          <t>SKÅNE LÄN</t>
        </is>
      </c>
      <c r="E866" t="inlineStr">
        <is>
          <t>HÄSSLEHOLM</t>
        </is>
      </c>
      <c r="G866" t="n">
        <v>2.2</v>
      </c>
      <c r="H866" t="n">
        <v>0</v>
      </c>
      <c r="I866" t="n">
        <v>0</v>
      </c>
      <c r="J866" t="n">
        <v>0</v>
      </c>
      <c r="K866" t="n">
        <v>0</v>
      </c>
      <c r="L866" t="n">
        <v>0</v>
      </c>
      <c r="M866" t="n">
        <v>0</v>
      </c>
      <c r="N866" t="n">
        <v>0</v>
      </c>
      <c r="O866" t="n">
        <v>0</v>
      </c>
      <c r="P866" t="n">
        <v>0</v>
      </c>
      <c r="Q866" t="n">
        <v>0</v>
      </c>
      <c r="R866" s="2" t="inlineStr"/>
    </row>
    <row r="867" ht="15" customHeight="1">
      <c r="A867" t="inlineStr">
        <is>
          <t>A 37486-2024</t>
        </is>
      </c>
      <c r="B867" s="1" t="n">
        <v>45541</v>
      </c>
      <c r="C867" s="1" t="n">
        <v>45976</v>
      </c>
      <c r="D867" t="inlineStr">
        <is>
          <t>SKÅNE LÄN</t>
        </is>
      </c>
      <c r="E867" t="inlineStr">
        <is>
          <t>HÄSSLEHOLM</t>
        </is>
      </c>
      <c r="G867" t="n">
        <v>8.5</v>
      </c>
      <c r="H867" t="n">
        <v>0</v>
      </c>
      <c r="I867" t="n">
        <v>0</v>
      </c>
      <c r="J867" t="n">
        <v>0</v>
      </c>
      <c r="K867" t="n">
        <v>0</v>
      </c>
      <c r="L867" t="n">
        <v>0</v>
      </c>
      <c r="M867" t="n">
        <v>0</v>
      </c>
      <c r="N867" t="n">
        <v>0</v>
      </c>
      <c r="O867" t="n">
        <v>0</v>
      </c>
      <c r="P867" t="n">
        <v>0</v>
      </c>
      <c r="Q867" t="n">
        <v>0</v>
      </c>
      <c r="R867" s="2" t="inlineStr"/>
    </row>
    <row r="868" ht="15" customHeight="1">
      <c r="A868" t="inlineStr">
        <is>
          <t>A 11753-2025</t>
        </is>
      </c>
      <c r="B868" s="1" t="n">
        <v>45727</v>
      </c>
      <c r="C868" s="1" t="n">
        <v>45976</v>
      </c>
      <c r="D868" t="inlineStr">
        <is>
          <t>SKÅNE LÄN</t>
        </is>
      </c>
      <c r="E868" t="inlineStr">
        <is>
          <t>HÄSSLEHOLM</t>
        </is>
      </c>
      <c r="G868" t="n">
        <v>2.7</v>
      </c>
      <c r="H868" t="n">
        <v>0</v>
      </c>
      <c r="I868" t="n">
        <v>0</v>
      </c>
      <c r="J868" t="n">
        <v>0</v>
      </c>
      <c r="K868" t="n">
        <v>0</v>
      </c>
      <c r="L868" t="n">
        <v>0</v>
      </c>
      <c r="M868" t="n">
        <v>0</v>
      </c>
      <c r="N868" t="n">
        <v>0</v>
      </c>
      <c r="O868" t="n">
        <v>0</v>
      </c>
      <c r="P868" t="n">
        <v>0</v>
      </c>
      <c r="Q868" t="n">
        <v>0</v>
      </c>
      <c r="R868" s="2" t="inlineStr"/>
    </row>
    <row r="869" ht="15" customHeight="1">
      <c r="A869" t="inlineStr">
        <is>
          <t>A 44838-2023</t>
        </is>
      </c>
      <c r="B869" s="1" t="n">
        <v>45190</v>
      </c>
      <c r="C869" s="1" t="n">
        <v>45976</v>
      </c>
      <c r="D869" t="inlineStr">
        <is>
          <t>SKÅNE LÄN</t>
        </is>
      </c>
      <c r="E869" t="inlineStr">
        <is>
          <t>HÄSSLEHOLM</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13954-2023</t>
        </is>
      </c>
      <c r="B870" s="1" t="n">
        <v>45008</v>
      </c>
      <c r="C870" s="1" t="n">
        <v>45976</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66321-2021</t>
        </is>
      </c>
      <c r="B871" s="1" t="n">
        <v>44518</v>
      </c>
      <c r="C871" s="1" t="n">
        <v>45976</v>
      </c>
      <c r="D871" t="inlineStr">
        <is>
          <t>SKÅNE LÄN</t>
        </is>
      </c>
      <c r="E871" t="inlineStr">
        <is>
          <t>HÄSSLEHOLM</t>
        </is>
      </c>
      <c r="G871" t="n">
        <v>9.300000000000001</v>
      </c>
      <c r="H871" t="n">
        <v>0</v>
      </c>
      <c r="I871" t="n">
        <v>0</v>
      </c>
      <c r="J871" t="n">
        <v>0</v>
      </c>
      <c r="K871" t="n">
        <v>0</v>
      </c>
      <c r="L871" t="n">
        <v>0</v>
      </c>
      <c r="M871" t="n">
        <v>0</v>
      </c>
      <c r="N871" t="n">
        <v>0</v>
      </c>
      <c r="O871" t="n">
        <v>0</v>
      </c>
      <c r="P871" t="n">
        <v>0</v>
      </c>
      <c r="Q871" t="n">
        <v>0</v>
      </c>
      <c r="R871" s="2" t="inlineStr"/>
    </row>
    <row r="872" ht="15" customHeight="1">
      <c r="A872" t="inlineStr">
        <is>
          <t>A 13007-2024</t>
        </is>
      </c>
      <c r="B872" s="1" t="n">
        <v>45385.57092592592</v>
      </c>
      <c r="C872" s="1" t="n">
        <v>45976</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16668-2025</t>
        </is>
      </c>
      <c r="B873" s="1" t="n">
        <v>45754.43009259259</v>
      </c>
      <c r="C873" s="1" t="n">
        <v>45976</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40152-2024</t>
        </is>
      </c>
      <c r="B874" s="1" t="n">
        <v>45554</v>
      </c>
      <c r="C874" s="1" t="n">
        <v>45976</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74030-2021</t>
        </is>
      </c>
      <c r="B875" s="1" t="n">
        <v>44553</v>
      </c>
      <c r="C875" s="1" t="n">
        <v>45976</v>
      </c>
      <c r="D875" t="inlineStr">
        <is>
          <t>SKÅNE LÄN</t>
        </is>
      </c>
      <c r="E875" t="inlineStr">
        <is>
          <t>HÄSSLEHOLM</t>
        </is>
      </c>
      <c r="G875" t="n">
        <v>1.5</v>
      </c>
      <c r="H875" t="n">
        <v>0</v>
      </c>
      <c r="I875" t="n">
        <v>0</v>
      </c>
      <c r="J875" t="n">
        <v>0</v>
      </c>
      <c r="K875" t="n">
        <v>0</v>
      </c>
      <c r="L875" t="n">
        <v>0</v>
      </c>
      <c r="M875" t="n">
        <v>0</v>
      </c>
      <c r="N875" t="n">
        <v>0</v>
      </c>
      <c r="O875" t="n">
        <v>0</v>
      </c>
      <c r="P875" t="n">
        <v>0</v>
      </c>
      <c r="Q875" t="n">
        <v>0</v>
      </c>
      <c r="R875" s="2" t="inlineStr"/>
    </row>
    <row r="876" ht="15" customHeight="1">
      <c r="A876" t="inlineStr">
        <is>
          <t>A 15072-2024</t>
        </is>
      </c>
      <c r="B876" s="1" t="n">
        <v>45399.5996875</v>
      </c>
      <c r="C876" s="1" t="n">
        <v>45976</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23857-2024</t>
        </is>
      </c>
      <c r="B877" s="1" t="n">
        <v>45455</v>
      </c>
      <c r="C877" s="1" t="n">
        <v>45976</v>
      </c>
      <c r="D877" t="inlineStr">
        <is>
          <t>SKÅNE LÄN</t>
        </is>
      </c>
      <c r="E877" t="inlineStr">
        <is>
          <t>HÄSSLEHOLM</t>
        </is>
      </c>
      <c r="G877" t="n">
        <v>3</v>
      </c>
      <c r="H877" t="n">
        <v>0</v>
      </c>
      <c r="I877" t="n">
        <v>0</v>
      </c>
      <c r="J877" t="n">
        <v>0</v>
      </c>
      <c r="K877" t="n">
        <v>0</v>
      </c>
      <c r="L877" t="n">
        <v>0</v>
      </c>
      <c r="M877" t="n">
        <v>0</v>
      </c>
      <c r="N877" t="n">
        <v>0</v>
      </c>
      <c r="O877" t="n">
        <v>0</v>
      </c>
      <c r="P877" t="n">
        <v>0</v>
      </c>
      <c r="Q877" t="n">
        <v>0</v>
      </c>
      <c r="R877" s="2" t="inlineStr"/>
    </row>
    <row r="878" ht="15" customHeight="1">
      <c r="A878" t="inlineStr">
        <is>
          <t>A 11262-2025</t>
        </is>
      </c>
      <c r="B878" s="1" t="n">
        <v>45726</v>
      </c>
      <c r="C878" s="1" t="n">
        <v>45976</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31268-2024</t>
        </is>
      </c>
      <c r="B879" s="1" t="n">
        <v>45504</v>
      </c>
      <c r="C879" s="1" t="n">
        <v>45976</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5395-2024</t>
        </is>
      </c>
      <c r="B880" s="1" t="n">
        <v>45331</v>
      </c>
      <c r="C880" s="1" t="n">
        <v>45976</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2621-2025</t>
        </is>
      </c>
      <c r="B881" s="1" t="n">
        <v>45675.60765046296</v>
      </c>
      <c r="C881" s="1" t="n">
        <v>45976</v>
      </c>
      <c r="D881" t="inlineStr">
        <is>
          <t>SKÅNE LÄN</t>
        </is>
      </c>
      <c r="E881" t="inlineStr">
        <is>
          <t>HÄSSLEHOLM</t>
        </is>
      </c>
      <c r="F881" t="inlineStr">
        <is>
          <t>Kommuner</t>
        </is>
      </c>
      <c r="G881" t="n">
        <v>3</v>
      </c>
      <c r="H881" t="n">
        <v>0</v>
      </c>
      <c r="I881" t="n">
        <v>0</v>
      </c>
      <c r="J881" t="n">
        <v>0</v>
      </c>
      <c r="K881" t="n">
        <v>0</v>
      </c>
      <c r="L881" t="n">
        <v>0</v>
      </c>
      <c r="M881" t="n">
        <v>0</v>
      </c>
      <c r="N881" t="n">
        <v>0</v>
      </c>
      <c r="O881" t="n">
        <v>0</v>
      </c>
      <c r="P881" t="n">
        <v>0</v>
      </c>
      <c r="Q881" t="n">
        <v>0</v>
      </c>
      <c r="R881" s="2" t="inlineStr"/>
    </row>
    <row r="882" ht="15" customHeight="1">
      <c r="A882" t="inlineStr">
        <is>
          <t>A 8737-2025</t>
        </is>
      </c>
      <c r="B882" s="1" t="n">
        <v>45712.54578703704</v>
      </c>
      <c r="C882" s="1" t="n">
        <v>45976</v>
      </c>
      <c r="D882" t="inlineStr">
        <is>
          <t>SKÅNE LÄN</t>
        </is>
      </c>
      <c r="E882" t="inlineStr">
        <is>
          <t>HÄSSLEHOLM</t>
        </is>
      </c>
      <c r="G882" t="n">
        <v>2.7</v>
      </c>
      <c r="H882" t="n">
        <v>0</v>
      </c>
      <c r="I882" t="n">
        <v>0</v>
      </c>
      <c r="J882" t="n">
        <v>0</v>
      </c>
      <c r="K882" t="n">
        <v>0</v>
      </c>
      <c r="L882" t="n">
        <v>0</v>
      </c>
      <c r="M882" t="n">
        <v>0</v>
      </c>
      <c r="N882" t="n">
        <v>0</v>
      </c>
      <c r="O882" t="n">
        <v>0</v>
      </c>
      <c r="P882" t="n">
        <v>0</v>
      </c>
      <c r="Q882" t="n">
        <v>0</v>
      </c>
      <c r="R882" s="2" t="inlineStr"/>
    </row>
    <row r="883" ht="15" customHeight="1">
      <c r="A883" t="inlineStr">
        <is>
          <t>A 37764-2022</t>
        </is>
      </c>
      <c r="B883" s="1" t="n">
        <v>44810</v>
      </c>
      <c r="C883" s="1" t="n">
        <v>45976</v>
      </c>
      <c r="D883" t="inlineStr">
        <is>
          <t>SKÅNE LÄN</t>
        </is>
      </c>
      <c r="E883" t="inlineStr">
        <is>
          <t>HÄSSLEHOLM</t>
        </is>
      </c>
      <c r="F883" t="inlineStr">
        <is>
          <t>Kyrkan</t>
        </is>
      </c>
      <c r="G883" t="n">
        <v>9.4</v>
      </c>
      <c r="H883" t="n">
        <v>0</v>
      </c>
      <c r="I883" t="n">
        <v>0</v>
      </c>
      <c r="J883" t="n">
        <v>0</v>
      </c>
      <c r="K883" t="n">
        <v>0</v>
      </c>
      <c r="L883" t="n">
        <v>0</v>
      </c>
      <c r="M883" t="n">
        <v>0</v>
      </c>
      <c r="N883" t="n">
        <v>0</v>
      </c>
      <c r="O883" t="n">
        <v>0</v>
      </c>
      <c r="P883" t="n">
        <v>0</v>
      </c>
      <c r="Q883" t="n">
        <v>0</v>
      </c>
      <c r="R883" s="2" t="inlineStr"/>
    </row>
    <row r="884" ht="15" customHeight="1">
      <c r="A884" t="inlineStr">
        <is>
          <t>A 51287-2022</t>
        </is>
      </c>
      <c r="B884" s="1" t="n">
        <v>44868.83146990741</v>
      </c>
      <c r="C884" s="1" t="n">
        <v>45976</v>
      </c>
      <c r="D884" t="inlineStr">
        <is>
          <t>SKÅNE LÄN</t>
        </is>
      </c>
      <c r="E884" t="inlineStr">
        <is>
          <t>HÄSSLEHOLM</t>
        </is>
      </c>
      <c r="G884" t="n">
        <v>2.2</v>
      </c>
      <c r="H884" t="n">
        <v>0</v>
      </c>
      <c r="I884" t="n">
        <v>0</v>
      </c>
      <c r="J884" t="n">
        <v>0</v>
      </c>
      <c r="K884" t="n">
        <v>0</v>
      </c>
      <c r="L884" t="n">
        <v>0</v>
      </c>
      <c r="M884" t="n">
        <v>0</v>
      </c>
      <c r="N884" t="n">
        <v>0</v>
      </c>
      <c r="O884" t="n">
        <v>0</v>
      </c>
      <c r="P884" t="n">
        <v>0</v>
      </c>
      <c r="Q884" t="n">
        <v>0</v>
      </c>
      <c r="R884" s="2" t="inlineStr"/>
    </row>
    <row r="885" ht="15" customHeight="1">
      <c r="A885" t="inlineStr">
        <is>
          <t>A 51018-2023</t>
        </is>
      </c>
      <c r="B885" s="1" t="n">
        <v>45218</v>
      </c>
      <c r="C885" s="1" t="n">
        <v>45976</v>
      </c>
      <c r="D885" t="inlineStr">
        <is>
          <t>SKÅNE LÄN</t>
        </is>
      </c>
      <c r="E885" t="inlineStr">
        <is>
          <t>HÄSSLEHOLM</t>
        </is>
      </c>
      <c r="G885" t="n">
        <v>3.1</v>
      </c>
      <c r="H885" t="n">
        <v>0</v>
      </c>
      <c r="I885" t="n">
        <v>0</v>
      </c>
      <c r="J885" t="n">
        <v>0</v>
      </c>
      <c r="K885" t="n">
        <v>0</v>
      </c>
      <c r="L885" t="n">
        <v>0</v>
      </c>
      <c r="M885" t="n">
        <v>0</v>
      </c>
      <c r="N885" t="n">
        <v>0</v>
      </c>
      <c r="O885" t="n">
        <v>0</v>
      </c>
      <c r="P885" t="n">
        <v>0</v>
      </c>
      <c r="Q885" t="n">
        <v>0</v>
      </c>
      <c r="R885" s="2" t="inlineStr"/>
    </row>
    <row r="886" ht="15" customHeight="1">
      <c r="A886" t="inlineStr">
        <is>
          <t>A 23005-2025</t>
        </is>
      </c>
      <c r="B886" s="1" t="n">
        <v>45790</v>
      </c>
      <c r="C886" s="1" t="n">
        <v>45976</v>
      </c>
      <c r="D886" t="inlineStr">
        <is>
          <t>SKÅNE LÄN</t>
        </is>
      </c>
      <c r="E886" t="inlineStr">
        <is>
          <t>HÄSSLEHOLM</t>
        </is>
      </c>
      <c r="G886" t="n">
        <v>0.3</v>
      </c>
      <c r="H886" t="n">
        <v>0</v>
      </c>
      <c r="I886" t="n">
        <v>0</v>
      </c>
      <c r="J886" t="n">
        <v>0</v>
      </c>
      <c r="K886" t="n">
        <v>0</v>
      </c>
      <c r="L886" t="n">
        <v>0</v>
      </c>
      <c r="M886" t="n">
        <v>0</v>
      </c>
      <c r="N886" t="n">
        <v>0</v>
      </c>
      <c r="O886" t="n">
        <v>0</v>
      </c>
      <c r="P886" t="n">
        <v>0</v>
      </c>
      <c r="Q886" t="n">
        <v>0</v>
      </c>
      <c r="R886" s="2" t="inlineStr"/>
    </row>
    <row r="887" ht="15" customHeight="1">
      <c r="A887" t="inlineStr">
        <is>
          <t>A 60797-2024</t>
        </is>
      </c>
      <c r="B887" s="1" t="n">
        <v>45644</v>
      </c>
      <c r="C887" s="1" t="n">
        <v>45976</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20494-2024</t>
        </is>
      </c>
      <c r="B888" s="1" t="n">
        <v>45435</v>
      </c>
      <c r="C888" s="1" t="n">
        <v>45976</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55454-2021</t>
        </is>
      </c>
      <c r="B889" s="1" t="n">
        <v>44475</v>
      </c>
      <c r="C889" s="1" t="n">
        <v>45976</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31572-2022</t>
        </is>
      </c>
      <c r="B890" s="1" t="n">
        <v>44775</v>
      </c>
      <c r="C890" s="1" t="n">
        <v>45976</v>
      </c>
      <c r="D890" t="inlineStr">
        <is>
          <t>SKÅNE LÄN</t>
        </is>
      </c>
      <c r="E890" t="inlineStr">
        <is>
          <t>HÄSSLEHOLM</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4356-2024</t>
        </is>
      </c>
      <c r="B891" s="1" t="n">
        <v>45325.36195601852</v>
      </c>
      <c r="C891" s="1" t="n">
        <v>45976</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56069-2024</t>
        </is>
      </c>
      <c r="B892" s="1" t="n">
        <v>45624.38006944444</v>
      </c>
      <c r="C892" s="1" t="n">
        <v>45976</v>
      </c>
      <c r="D892" t="inlineStr">
        <is>
          <t>SKÅNE LÄN</t>
        </is>
      </c>
      <c r="E892" t="inlineStr">
        <is>
          <t>HÄSSLEHOLM</t>
        </is>
      </c>
      <c r="F892" t="inlineStr">
        <is>
          <t>Övriga Aktiebolag</t>
        </is>
      </c>
      <c r="G892" t="n">
        <v>2.3</v>
      </c>
      <c r="H892" t="n">
        <v>0</v>
      </c>
      <c r="I892" t="n">
        <v>0</v>
      </c>
      <c r="J892" t="n">
        <v>0</v>
      </c>
      <c r="K892" t="n">
        <v>0</v>
      </c>
      <c r="L892" t="n">
        <v>0</v>
      </c>
      <c r="M892" t="n">
        <v>0</v>
      </c>
      <c r="N892" t="n">
        <v>0</v>
      </c>
      <c r="O892" t="n">
        <v>0</v>
      </c>
      <c r="P892" t="n">
        <v>0</v>
      </c>
      <c r="Q892" t="n">
        <v>0</v>
      </c>
      <c r="R892" s="2" t="inlineStr"/>
    </row>
    <row r="893" ht="15" customHeight="1">
      <c r="A893" t="inlineStr">
        <is>
          <t>A 3480-2024</t>
        </is>
      </c>
      <c r="B893" s="1" t="n">
        <v>45320.43998842593</v>
      </c>
      <c r="C893" s="1" t="n">
        <v>45976</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5980-2024</t>
        </is>
      </c>
      <c r="B894" s="1" t="n">
        <v>45335</v>
      </c>
      <c r="C894" s="1" t="n">
        <v>45976</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45496-2025</t>
        </is>
      </c>
      <c r="B895" s="1" t="n">
        <v>45922</v>
      </c>
      <c r="C895" s="1" t="n">
        <v>45976</v>
      </c>
      <c r="D895" t="inlineStr">
        <is>
          <t>SKÅNE LÄN</t>
        </is>
      </c>
      <c r="E895" t="inlineStr">
        <is>
          <t>HÄSSLEHOLM</t>
        </is>
      </c>
      <c r="G895" t="n">
        <v>1.3</v>
      </c>
      <c r="H895" t="n">
        <v>0</v>
      </c>
      <c r="I895" t="n">
        <v>0</v>
      </c>
      <c r="J895" t="n">
        <v>0</v>
      </c>
      <c r="K895" t="n">
        <v>0</v>
      </c>
      <c r="L895" t="n">
        <v>0</v>
      </c>
      <c r="M895" t="n">
        <v>0</v>
      </c>
      <c r="N895" t="n">
        <v>0</v>
      </c>
      <c r="O895" t="n">
        <v>0</v>
      </c>
      <c r="P895" t="n">
        <v>0</v>
      </c>
      <c r="Q895" t="n">
        <v>0</v>
      </c>
      <c r="R895" s="2" t="inlineStr"/>
    </row>
    <row r="896" ht="15" customHeight="1">
      <c r="A896" t="inlineStr">
        <is>
          <t>A 45495-2025</t>
        </is>
      </c>
      <c r="B896" s="1" t="n">
        <v>45922.56369212963</v>
      </c>
      <c r="C896" s="1" t="n">
        <v>45976</v>
      </c>
      <c r="D896" t="inlineStr">
        <is>
          <t>SKÅNE LÄN</t>
        </is>
      </c>
      <c r="E896" t="inlineStr">
        <is>
          <t>HÄSSLEHOLM</t>
        </is>
      </c>
      <c r="G896" t="n">
        <v>1.8</v>
      </c>
      <c r="H896" t="n">
        <v>0</v>
      </c>
      <c r="I896" t="n">
        <v>0</v>
      </c>
      <c r="J896" t="n">
        <v>0</v>
      </c>
      <c r="K896" t="n">
        <v>0</v>
      </c>
      <c r="L896" t="n">
        <v>0</v>
      </c>
      <c r="M896" t="n">
        <v>0</v>
      </c>
      <c r="N896" t="n">
        <v>0</v>
      </c>
      <c r="O896" t="n">
        <v>0</v>
      </c>
      <c r="P896" t="n">
        <v>0</v>
      </c>
      <c r="Q896" t="n">
        <v>0</v>
      </c>
      <c r="R896" s="2" t="inlineStr"/>
    </row>
    <row r="897" ht="15" customHeight="1">
      <c r="A897" t="inlineStr">
        <is>
          <t>A 10802-2024</t>
        </is>
      </c>
      <c r="B897" s="1" t="n">
        <v>45369</v>
      </c>
      <c r="C897" s="1" t="n">
        <v>45976</v>
      </c>
      <c r="D897" t="inlineStr">
        <is>
          <t>SKÅNE LÄN</t>
        </is>
      </c>
      <c r="E897" t="inlineStr">
        <is>
          <t>HÄSSLEHOLM</t>
        </is>
      </c>
      <c r="G897" t="n">
        <v>3.4</v>
      </c>
      <c r="H897" t="n">
        <v>0</v>
      </c>
      <c r="I897" t="n">
        <v>0</v>
      </c>
      <c r="J897" t="n">
        <v>0</v>
      </c>
      <c r="K897" t="n">
        <v>0</v>
      </c>
      <c r="L897" t="n">
        <v>0</v>
      </c>
      <c r="M897" t="n">
        <v>0</v>
      </c>
      <c r="N897" t="n">
        <v>0</v>
      </c>
      <c r="O897" t="n">
        <v>0</v>
      </c>
      <c r="P897" t="n">
        <v>0</v>
      </c>
      <c r="Q897" t="n">
        <v>0</v>
      </c>
      <c r="R897" s="2" t="inlineStr"/>
    </row>
    <row r="898" ht="15" customHeight="1">
      <c r="A898" t="inlineStr">
        <is>
          <t>A 45314-2025</t>
        </is>
      </c>
      <c r="B898" s="1" t="n">
        <v>45921.81738425926</v>
      </c>
      <c r="C898" s="1" t="n">
        <v>45976</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45653-2024</t>
        </is>
      </c>
      <c r="B899" s="1" t="n">
        <v>45579.48872685185</v>
      </c>
      <c r="C899" s="1" t="n">
        <v>45976</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45763-2025</t>
        </is>
      </c>
      <c r="B900" s="1" t="n">
        <v>45923.51778935185</v>
      </c>
      <c r="C900" s="1" t="n">
        <v>45976</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45764-2025</t>
        </is>
      </c>
      <c r="B901" s="1" t="n">
        <v>45923.52037037037</v>
      </c>
      <c r="C901" s="1" t="n">
        <v>45976</v>
      </c>
      <c r="D901" t="inlineStr">
        <is>
          <t>SKÅNE LÄN</t>
        </is>
      </c>
      <c r="E901" t="inlineStr">
        <is>
          <t>HÄSSLEHOLM</t>
        </is>
      </c>
      <c r="G901" t="n">
        <v>6.3</v>
      </c>
      <c r="H901" t="n">
        <v>0</v>
      </c>
      <c r="I901" t="n">
        <v>0</v>
      </c>
      <c r="J901" t="n">
        <v>0</v>
      </c>
      <c r="K901" t="n">
        <v>0</v>
      </c>
      <c r="L901" t="n">
        <v>0</v>
      </c>
      <c r="M901" t="n">
        <v>0</v>
      </c>
      <c r="N901" t="n">
        <v>0</v>
      </c>
      <c r="O901" t="n">
        <v>0</v>
      </c>
      <c r="P901" t="n">
        <v>0</v>
      </c>
      <c r="Q901" t="n">
        <v>0</v>
      </c>
      <c r="R901" s="2" t="inlineStr"/>
    </row>
    <row r="902" ht="15" customHeight="1">
      <c r="A902" t="inlineStr">
        <is>
          <t>A 51597-2025</t>
        </is>
      </c>
      <c r="B902" s="1" t="n">
        <v>45951.37163194444</v>
      </c>
      <c r="C902" s="1" t="n">
        <v>45976</v>
      </c>
      <c r="D902" t="inlineStr">
        <is>
          <t>SKÅNE LÄN</t>
        </is>
      </c>
      <c r="E902" t="inlineStr">
        <is>
          <t>HÄSSLEHOLM</t>
        </is>
      </c>
      <c r="G902" t="n">
        <v>3.5</v>
      </c>
      <c r="H902" t="n">
        <v>0</v>
      </c>
      <c r="I902" t="n">
        <v>0</v>
      </c>
      <c r="J902" t="n">
        <v>0</v>
      </c>
      <c r="K902" t="n">
        <v>0</v>
      </c>
      <c r="L902" t="n">
        <v>0</v>
      </c>
      <c r="M902" t="n">
        <v>0</v>
      </c>
      <c r="N902" t="n">
        <v>0</v>
      </c>
      <c r="O902" t="n">
        <v>0</v>
      </c>
      <c r="P902" t="n">
        <v>0</v>
      </c>
      <c r="Q902" t="n">
        <v>0</v>
      </c>
      <c r="R902" s="2" t="inlineStr"/>
    </row>
    <row r="903" ht="15" customHeight="1">
      <c r="A903" t="inlineStr">
        <is>
          <t>A 9322-2025</t>
        </is>
      </c>
      <c r="B903" s="1" t="n">
        <v>45714.72241898148</v>
      </c>
      <c r="C903" s="1" t="n">
        <v>45976</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45443-2025</t>
        </is>
      </c>
      <c r="B904" s="1" t="n">
        <v>45920</v>
      </c>
      <c r="C904" s="1" t="n">
        <v>45976</v>
      </c>
      <c r="D904" t="inlineStr">
        <is>
          <t>SKÅNE LÄN</t>
        </is>
      </c>
      <c r="E904" t="inlineStr">
        <is>
          <t>HÄSSLEHOLM</t>
        </is>
      </c>
      <c r="G904" t="n">
        <v>1.6</v>
      </c>
      <c r="H904" t="n">
        <v>0</v>
      </c>
      <c r="I904" t="n">
        <v>0</v>
      </c>
      <c r="J904" t="n">
        <v>0</v>
      </c>
      <c r="K904" t="n">
        <v>0</v>
      </c>
      <c r="L904" t="n">
        <v>0</v>
      </c>
      <c r="M904" t="n">
        <v>0</v>
      </c>
      <c r="N904" t="n">
        <v>0</v>
      </c>
      <c r="O904" t="n">
        <v>0</v>
      </c>
      <c r="P904" t="n">
        <v>0</v>
      </c>
      <c r="Q904" t="n">
        <v>0</v>
      </c>
      <c r="R904" s="2" t="inlineStr"/>
    </row>
    <row r="905" ht="15" customHeight="1">
      <c r="A905" t="inlineStr">
        <is>
          <t>A 7681-2025</t>
        </is>
      </c>
      <c r="B905" s="1" t="n">
        <v>45706.36758101852</v>
      </c>
      <c r="C905" s="1" t="n">
        <v>45976</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45458-2025</t>
        </is>
      </c>
      <c r="B906" s="1" t="n">
        <v>45920</v>
      </c>
      <c r="C906" s="1" t="n">
        <v>45976</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45465-2025</t>
        </is>
      </c>
      <c r="B907" s="1" t="n">
        <v>45920</v>
      </c>
      <c r="C907" s="1" t="n">
        <v>45976</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24032-2025</t>
        </is>
      </c>
      <c r="B908" s="1" t="n">
        <v>45796.478125</v>
      </c>
      <c r="C908" s="1" t="n">
        <v>45976</v>
      </c>
      <c r="D908" t="inlineStr">
        <is>
          <t>SKÅNE LÄN</t>
        </is>
      </c>
      <c r="E908" t="inlineStr">
        <is>
          <t>HÄSSLEHOLM</t>
        </is>
      </c>
      <c r="G908" t="n">
        <v>2.2</v>
      </c>
      <c r="H908" t="n">
        <v>0</v>
      </c>
      <c r="I908" t="n">
        <v>0</v>
      </c>
      <c r="J908" t="n">
        <v>0</v>
      </c>
      <c r="K908" t="n">
        <v>0</v>
      </c>
      <c r="L908" t="n">
        <v>0</v>
      </c>
      <c r="M908" t="n">
        <v>0</v>
      </c>
      <c r="N908" t="n">
        <v>0</v>
      </c>
      <c r="O908" t="n">
        <v>0</v>
      </c>
      <c r="P908" t="n">
        <v>0</v>
      </c>
      <c r="Q908" t="n">
        <v>0</v>
      </c>
      <c r="R908" s="2" t="inlineStr"/>
    </row>
    <row r="909" ht="15" customHeight="1">
      <c r="A909" t="inlineStr">
        <is>
          <t>A 260-2024</t>
        </is>
      </c>
      <c r="B909" s="1" t="n">
        <v>45294</v>
      </c>
      <c r="C909" s="1" t="n">
        <v>45976</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6596-2021</t>
        </is>
      </c>
      <c r="B910" s="1" t="n">
        <v>44236</v>
      </c>
      <c r="C910" s="1" t="n">
        <v>45976</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45414-2025</t>
        </is>
      </c>
      <c r="B911" s="1" t="n">
        <v>45920</v>
      </c>
      <c r="C911" s="1" t="n">
        <v>45976</v>
      </c>
      <c r="D911" t="inlineStr">
        <is>
          <t>SKÅNE LÄN</t>
        </is>
      </c>
      <c r="E911" t="inlineStr">
        <is>
          <t>HÄSSLEHOLM</t>
        </is>
      </c>
      <c r="G911" t="n">
        <v>14.7</v>
      </c>
      <c r="H911" t="n">
        <v>0</v>
      </c>
      <c r="I911" t="n">
        <v>0</v>
      </c>
      <c r="J911" t="n">
        <v>0</v>
      </c>
      <c r="K911" t="n">
        <v>0</v>
      </c>
      <c r="L911" t="n">
        <v>0</v>
      </c>
      <c r="M911" t="n">
        <v>0</v>
      </c>
      <c r="N911" t="n">
        <v>0</v>
      </c>
      <c r="O911" t="n">
        <v>0</v>
      </c>
      <c r="P911" t="n">
        <v>0</v>
      </c>
      <c r="Q911" t="n">
        <v>0</v>
      </c>
      <c r="R911" s="2" t="inlineStr"/>
    </row>
    <row r="912" ht="15" customHeight="1">
      <c r="A912" t="inlineStr">
        <is>
          <t>A 60789-2024</t>
        </is>
      </c>
      <c r="B912" s="1" t="n">
        <v>45644</v>
      </c>
      <c r="C912" s="1" t="n">
        <v>45976</v>
      </c>
      <c r="D912" t="inlineStr">
        <is>
          <t>SKÅNE LÄN</t>
        </is>
      </c>
      <c r="E912" t="inlineStr">
        <is>
          <t>HÄSSLEHOLM</t>
        </is>
      </c>
      <c r="G912" t="n">
        <v>3</v>
      </c>
      <c r="H912" t="n">
        <v>0</v>
      </c>
      <c r="I912" t="n">
        <v>0</v>
      </c>
      <c r="J912" t="n">
        <v>0</v>
      </c>
      <c r="K912" t="n">
        <v>0</v>
      </c>
      <c r="L912" t="n">
        <v>0</v>
      </c>
      <c r="M912" t="n">
        <v>0</v>
      </c>
      <c r="N912" t="n">
        <v>0</v>
      </c>
      <c r="O912" t="n">
        <v>0</v>
      </c>
      <c r="P912" t="n">
        <v>0</v>
      </c>
      <c r="Q912" t="n">
        <v>0</v>
      </c>
      <c r="R912" s="2" t="inlineStr"/>
    </row>
    <row r="913" ht="15" customHeight="1">
      <c r="A913" t="inlineStr">
        <is>
          <t>A 40780-2022</t>
        </is>
      </c>
      <c r="B913" s="1" t="n">
        <v>44820</v>
      </c>
      <c r="C913" s="1" t="n">
        <v>45976</v>
      </c>
      <c r="D913" t="inlineStr">
        <is>
          <t>SKÅNE LÄN</t>
        </is>
      </c>
      <c r="E913" t="inlineStr">
        <is>
          <t>HÄSSLEHOLM</t>
        </is>
      </c>
      <c r="G913" t="n">
        <v>7.4</v>
      </c>
      <c r="H913" t="n">
        <v>0</v>
      </c>
      <c r="I913" t="n">
        <v>0</v>
      </c>
      <c r="J913" t="n">
        <v>0</v>
      </c>
      <c r="K913" t="n">
        <v>0</v>
      </c>
      <c r="L913" t="n">
        <v>0</v>
      </c>
      <c r="M913" t="n">
        <v>0</v>
      </c>
      <c r="N913" t="n">
        <v>0</v>
      </c>
      <c r="O913" t="n">
        <v>0</v>
      </c>
      <c r="P913" t="n">
        <v>0</v>
      </c>
      <c r="Q913" t="n">
        <v>0</v>
      </c>
      <c r="R913" s="2" t="inlineStr"/>
    </row>
    <row r="914" ht="15" customHeight="1">
      <c r="A914" t="inlineStr">
        <is>
          <t>A 45683-2025</t>
        </is>
      </c>
      <c r="B914" s="1" t="n">
        <v>45923.37590277778</v>
      </c>
      <c r="C914" s="1" t="n">
        <v>45976</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45516-2025</t>
        </is>
      </c>
      <c r="B915" s="1" t="n">
        <v>45922</v>
      </c>
      <c r="C915" s="1" t="n">
        <v>45976</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5316-2023</t>
        </is>
      </c>
      <c r="B916" s="1" t="n">
        <v>44959</v>
      </c>
      <c r="C916" s="1" t="n">
        <v>45976</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5252-2025</t>
        </is>
      </c>
      <c r="B917" s="1" t="n">
        <v>45692.3449537037</v>
      </c>
      <c r="C917" s="1" t="n">
        <v>45976</v>
      </c>
      <c r="D917" t="inlineStr">
        <is>
          <t>SKÅNE LÄN</t>
        </is>
      </c>
      <c r="E917" t="inlineStr">
        <is>
          <t>HÄSSLEHOLM</t>
        </is>
      </c>
      <c r="G917" t="n">
        <v>2.1</v>
      </c>
      <c r="H917" t="n">
        <v>0</v>
      </c>
      <c r="I917" t="n">
        <v>0</v>
      </c>
      <c r="J917" t="n">
        <v>0</v>
      </c>
      <c r="K917" t="n">
        <v>0</v>
      </c>
      <c r="L917" t="n">
        <v>0</v>
      </c>
      <c r="M917" t="n">
        <v>0</v>
      </c>
      <c r="N917" t="n">
        <v>0</v>
      </c>
      <c r="O917" t="n">
        <v>0</v>
      </c>
      <c r="P917" t="n">
        <v>0</v>
      </c>
      <c r="Q917" t="n">
        <v>0</v>
      </c>
      <c r="R917" s="2" t="inlineStr"/>
    </row>
    <row r="918" ht="15" customHeight="1">
      <c r="A918" t="inlineStr">
        <is>
          <t>A 45514-2025</t>
        </is>
      </c>
      <c r="B918" s="1" t="n">
        <v>45922</v>
      </c>
      <c r="C918" s="1" t="n">
        <v>45976</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5242-2025</t>
        </is>
      </c>
      <c r="B919" s="1" t="n">
        <v>45692.32883101852</v>
      </c>
      <c r="C919" s="1" t="n">
        <v>45976</v>
      </c>
      <c r="D919" t="inlineStr">
        <is>
          <t>SKÅNE LÄN</t>
        </is>
      </c>
      <c r="E919" t="inlineStr">
        <is>
          <t>HÄSSLEHOLM</t>
        </is>
      </c>
      <c r="G919" t="n">
        <v>1.1</v>
      </c>
      <c r="H919" t="n">
        <v>0</v>
      </c>
      <c r="I919" t="n">
        <v>0</v>
      </c>
      <c r="J919" t="n">
        <v>0</v>
      </c>
      <c r="K919" t="n">
        <v>0</v>
      </c>
      <c r="L919" t="n">
        <v>0</v>
      </c>
      <c r="M919" t="n">
        <v>0</v>
      </c>
      <c r="N919" t="n">
        <v>0</v>
      </c>
      <c r="O919" t="n">
        <v>0</v>
      </c>
      <c r="P919" t="n">
        <v>0</v>
      </c>
      <c r="Q919" t="n">
        <v>0</v>
      </c>
      <c r="R919" s="2" t="inlineStr"/>
    </row>
    <row r="920" ht="15" customHeight="1">
      <c r="A920" t="inlineStr">
        <is>
          <t>A 24034-2025</t>
        </is>
      </c>
      <c r="B920" s="1" t="n">
        <v>45796.48251157408</v>
      </c>
      <c r="C920" s="1" t="n">
        <v>45976</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11121-2023</t>
        </is>
      </c>
      <c r="B921" s="1" t="n">
        <v>44986</v>
      </c>
      <c r="C921" s="1" t="n">
        <v>45976</v>
      </c>
      <c r="D921" t="inlineStr">
        <is>
          <t>SKÅNE LÄN</t>
        </is>
      </c>
      <c r="E921" t="inlineStr">
        <is>
          <t>HÄSSLEHOLM</t>
        </is>
      </c>
      <c r="F921" t="inlineStr">
        <is>
          <t>Kommuner</t>
        </is>
      </c>
      <c r="G921" t="n">
        <v>5.8</v>
      </c>
      <c r="H921" t="n">
        <v>0</v>
      </c>
      <c r="I921" t="n">
        <v>0</v>
      </c>
      <c r="J921" t="n">
        <v>0</v>
      </c>
      <c r="K921" t="n">
        <v>0</v>
      </c>
      <c r="L921" t="n">
        <v>0</v>
      </c>
      <c r="M921" t="n">
        <v>0</v>
      </c>
      <c r="N921" t="n">
        <v>0</v>
      </c>
      <c r="O921" t="n">
        <v>0</v>
      </c>
      <c r="P921" t="n">
        <v>0</v>
      </c>
      <c r="Q921" t="n">
        <v>0</v>
      </c>
      <c r="R921" s="2" t="inlineStr"/>
    </row>
    <row r="922" ht="15" customHeight="1">
      <c r="A922" t="inlineStr">
        <is>
          <t>A 11116-2023</t>
        </is>
      </c>
      <c r="B922" s="1" t="n">
        <v>44986</v>
      </c>
      <c r="C922" s="1" t="n">
        <v>45976</v>
      </c>
      <c r="D922" t="inlineStr">
        <is>
          <t>SKÅNE LÄN</t>
        </is>
      </c>
      <c r="E922" t="inlineStr">
        <is>
          <t>HÄSSLEHOLM</t>
        </is>
      </c>
      <c r="F922" t="inlineStr">
        <is>
          <t>Kommuner</t>
        </is>
      </c>
      <c r="G922" t="n">
        <v>15.1</v>
      </c>
      <c r="H922" t="n">
        <v>0</v>
      </c>
      <c r="I922" t="n">
        <v>0</v>
      </c>
      <c r="J922" t="n">
        <v>0</v>
      </c>
      <c r="K922" t="n">
        <v>0</v>
      </c>
      <c r="L922" t="n">
        <v>0</v>
      </c>
      <c r="M922" t="n">
        <v>0</v>
      </c>
      <c r="N922" t="n">
        <v>0</v>
      </c>
      <c r="O922" t="n">
        <v>0</v>
      </c>
      <c r="P922" t="n">
        <v>0</v>
      </c>
      <c r="Q922" t="n">
        <v>0</v>
      </c>
      <c r="R922" s="2" t="inlineStr"/>
    </row>
    <row r="923" ht="15" customHeight="1">
      <c r="A923" t="inlineStr">
        <is>
          <t>A 45762-2025</t>
        </is>
      </c>
      <c r="B923" s="1" t="n">
        <v>45923.51548611111</v>
      </c>
      <c r="C923" s="1" t="n">
        <v>45976</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24250-2025</t>
        </is>
      </c>
      <c r="B924" s="1" t="n">
        <v>45797.40260416667</v>
      </c>
      <c r="C924" s="1" t="n">
        <v>45976</v>
      </c>
      <c r="D924" t="inlineStr">
        <is>
          <t>SKÅNE LÄN</t>
        </is>
      </c>
      <c r="E924" t="inlineStr">
        <is>
          <t>HÄSSLEHOLM</t>
        </is>
      </c>
      <c r="G924" t="n">
        <v>2.3</v>
      </c>
      <c r="H924" t="n">
        <v>0</v>
      </c>
      <c r="I924" t="n">
        <v>0</v>
      </c>
      <c r="J924" t="n">
        <v>0</v>
      </c>
      <c r="K924" t="n">
        <v>0</v>
      </c>
      <c r="L924" t="n">
        <v>0</v>
      </c>
      <c r="M924" t="n">
        <v>0</v>
      </c>
      <c r="N924" t="n">
        <v>0</v>
      </c>
      <c r="O924" t="n">
        <v>0</v>
      </c>
      <c r="P924" t="n">
        <v>0</v>
      </c>
      <c r="Q924" t="n">
        <v>0</v>
      </c>
      <c r="R924" s="2" t="inlineStr"/>
    </row>
    <row r="925" ht="15" customHeight="1">
      <c r="A925" t="inlineStr">
        <is>
          <t>A 24029-2025</t>
        </is>
      </c>
      <c r="B925" s="1" t="n">
        <v>45796.47552083333</v>
      </c>
      <c r="C925" s="1" t="n">
        <v>45976</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24039-2025</t>
        </is>
      </c>
      <c r="B926" s="1" t="n">
        <v>45796.48675925926</v>
      </c>
      <c r="C926" s="1" t="n">
        <v>45976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24047-2025</t>
        </is>
      </c>
      <c r="B927" s="1" t="n">
        <v>45796.49528935185</v>
      </c>
      <c r="C927" s="1" t="n">
        <v>45976</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24675-2025</t>
        </is>
      </c>
      <c r="B928" s="1" t="n">
        <v>45798.653125</v>
      </c>
      <c r="C928" s="1" t="n">
        <v>45976</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42735-2024</t>
        </is>
      </c>
      <c r="B929" s="1" t="n">
        <v>45566.47274305556</v>
      </c>
      <c r="C929" s="1" t="n">
        <v>45976</v>
      </c>
      <c r="D929" t="inlineStr">
        <is>
          <t>SKÅNE LÄN</t>
        </is>
      </c>
      <c r="E929" t="inlineStr">
        <is>
          <t>HÄSSLEHOLM</t>
        </is>
      </c>
      <c r="G929" t="n">
        <v>3.7</v>
      </c>
      <c r="H929" t="n">
        <v>0</v>
      </c>
      <c r="I929" t="n">
        <v>0</v>
      </c>
      <c r="J929" t="n">
        <v>0</v>
      </c>
      <c r="K929" t="n">
        <v>0</v>
      </c>
      <c r="L929" t="n">
        <v>0</v>
      </c>
      <c r="M929" t="n">
        <v>0</v>
      </c>
      <c r="N929" t="n">
        <v>0</v>
      </c>
      <c r="O929" t="n">
        <v>0</v>
      </c>
      <c r="P929" t="n">
        <v>0</v>
      </c>
      <c r="Q929" t="n">
        <v>0</v>
      </c>
      <c r="R929" s="2" t="inlineStr"/>
    </row>
    <row r="930" ht="15" customHeight="1">
      <c r="A930" t="inlineStr">
        <is>
          <t>A 55522-2024</t>
        </is>
      </c>
      <c r="B930" s="1" t="n">
        <v>45622</v>
      </c>
      <c r="C930" s="1" t="n">
        <v>45976</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32826-2024</t>
        </is>
      </c>
      <c r="B931" s="1" t="n">
        <v>45516.59056712963</v>
      </c>
      <c r="C931" s="1" t="n">
        <v>45976</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64884-2023</t>
        </is>
      </c>
      <c r="B932" s="1" t="n">
        <v>45282.57809027778</v>
      </c>
      <c r="C932" s="1" t="n">
        <v>45976</v>
      </c>
      <c r="D932" t="inlineStr">
        <is>
          <t>SKÅNE LÄN</t>
        </is>
      </c>
      <c r="E932" t="inlineStr">
        <is>
          <t>HÄSSLEHOLM</t>
        </is>
      </c>
      <c r="G932" t="n">
        <v>4.6</v>
      </c>
      <c r="H932" t="n">
        <v>0</v>
      </c>
      <c r="I932" t="n">
        <v>0</v>
      </c>
      <c r="J932" t="n">
        <v>0</v>
      </c>
      <c r="K932" t="n">
        <v>0</v>
      </c>
      <c r="L932" t="n">
        <v>0</v>
      </c>
      <c r="M932" t="n">
        <v>0</v>
      </c>
      <c r="N932" t="n">
        <v>0</v>
      </c>
      <c r="O932" t="n">
        <v>0</v>
      </c>
      <c r="P932" t="n">
        <v>0</v>
      </c>
      <c r="Q932" t="n">
        <v>0</v>
      </c>
      <c r="R932" s="2" t="inlineStr"/>
    </row>
    <row r="933" ht="15" customHeight="1">
      <c r="A933" t="inlineStr">
        <is>
          <t>A 54763-2025</t>
        </is>
      </c>
      <c r="B933" s="1" t="n">
        <v>45966.60167824074</v>
      </c>
      <c r="C933" s="1" t="n">
        <v>45976</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32512-2024</t>
        </is>
      </c>
      <c r="B934" s="1" t="n">
        <v>45513.45613425926</v>
      </c>
      <c r="C934" s="1" t="n">
        <v>45976</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48112-2024</t>
        </is>
      </c>
      <c r="B935" s="1" t="n">
        <v>45589.6295949074</v>
      </c>
      <c r="C935" s="1" t="n">
        <v>45976</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6310-2025</t>
        </is>
      </c>
      <c r="B936" s="1" t="n">
        <v>45698</v>
      </c>
      <c r="C936" s="1" t="n">
        <v>45976</v>
      </c>
      <c r="D936" t="inlineStr">
        <is>
          <t>SKÅNE LÄN</t>
        </is>
      </c>
      <c r="E936" t="inlineStr">
        <is>
          <t>HÄSSLEHOLM</t>
        </is>
      </c>
      <c r="G936" t="n">
        <v>2.7</v>
      </c>
      <c r="H936" t="n">
        <v>0</v>
      </c>
      <c r="I936" t="n">
        <v>0</v>
      </c>
      <c r="J936" t="n">
        <v>0</v>
      </c>
      <c r="K936" t="n">
        <v>0</v>
      </c>
      <c r="L936" t="n">
        <v>0</v>
      </c>
      <c r="M936" t="n">
        <v>0</v>
      </c>
      <c r="N936" t="n">
        <v>0</v>
      </c>
      <c r="O936" t="n">
        <v>0</v>
      </c>
      <c r="P936" t="n">
        <v>0</v>
      </c>
      <c r="Q936" t="n">
        <v>0</v>
      </c>
      <c r="R936" s="2" t="inlineStr"/>
    </row>
    <row r="937" ht="15" customHeight="1">
      <c r="A937" t="inlineStr">
        <is>
          <t>A 24985-2025</t>
        </is>
      </c>
      <c r="B937" s="1" t="n">
        <v>45799.60256944445</v>
      </c>
      <c r="C937" s="1" t="n">
        <v>45976</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10562-2025</t>
        </is>
      </c>
      <c r="B938" s="1" t="n">
        <v>45721.52913194444</v>
      </c>
      <c r="C938" s="1" t="n">
        <v>45976</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9668-2025</t>
        </is>
      </c>
      <c r="B939" s="1" t="n">
        <v>45716</v>
      </c>
      <c r="C939" s="1" t="n">
        <v>45976</v>
      </c>
      <c r="D939" t="inlineStr">
        <is>
          <t>SKÅNE LÄN</t>
        </is>
      </c>
      <c r="E939" t="inlineStr">
        <is>
          <t>HÄSSLEHOLM</t>
        </is>
      </c>
      <c r="G939" t="n">
        <v>1.2</v>
      </c>
      <c r="H939" t="n">
        <v>0</v>
      </c>
      <c r="I939" t="n">
        <v>0</v>
      </c>
      <c r="J939" t="n">
        <v>0</v>
      </c>
      <c r="K939" t="n">
        <v>0</v>
      </c>
      <c r="L939" t="n">
        <v>0</v>
      </c>
      <c r="M939" t="n">
        <v>0</v>
      </c>
      <c r="N939" t="n">
        <v>0</v>
      </c>
      <c r="O939" t="n">
        <v>0</v>
      </c>
      <c r="P939" t="n">
        <v>0</v>
      </c>
      <c r="Q939" t="n">
        <v>0</v>
      </c>
      <c r="R939" s="2" t="inlineStr"/>
    </row>
    <row r="940" ht="15" customHeight="1">
      <c r="A940" t="inlineStr">
        <is>
          <t>A 16474-2025</t>
        </is>
      </c>
      <c r="B940" s="1" t="n">
        <v>45751.56834490741</v>
      </c>
      <c r="C940" s="1" t="n">
        <v>45976</v>
      </c>
      <c r="D940" t="inlineStr">
        <is>
          <t>SKÅNE LÄN</t>
        </is>
      </c>
      <c r="E940" t="inlineStr">
        <is>
          <t>HÄSSLEHOLM</t>
        </is>
      </c>
      <c r="G940" t="n">
        <v>5.9</v>
      </c>
      <c r="H940" t="n">
        <v>0</v>
      </c>
      <c r="I940" t="n">
        <v>0</v>
      </c>
      <c r="J940" t="n">
        <v>0</v>
      </c>
      <c r="K940" t="n">
        <v>0</v>
      </c>
      <c r="L940" t="n">
        <v>0</v>
      </c>
      <c r="M940" t="n">
        <v>0</v>
      </c>
      <c r="N940" t="n">
        <v>0</v>
      </c>
      <c r="O940" t="n">
        <v>0</v>
      </c>
      <c r="P940" t="n">
        <v>0</v>
      </c>
      <c r="Q940" t="n">
        <v>0</v>
      </c>
      <c r="R940" s="2" t="inlineStr"/>
    </row>
    <row r="941" ht="15" customHeight="1">
      <c r="A941" t="inlineStr">
        <is>
          <t>A 24658-2025</t>
        </is>
      </c>
      <c r="B941" s="1" t="n">
        <v>45798.64134259259</v>
      </c>
      <c r="C941" s="1" t="n">
        <v>45976</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9678-2025</t>
        </is>
      </c>
      <c r="B942" s="1" t="n">
        <v>45716</v>
      </c>
      <c r="C942" s="1" t="n">
        <v>45976</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48097-2024</t>
        </is>
      </c>
      <c r="B943" s="1" t="n">
        <v>45589.61413194444</v>
      </c>
      <c r="C943" s="1" t="n">
        <v>45976</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25372-2025</t>
        </is>
      </c>
      <c r="B944" s="1" t="n">
        <v>45799</v>
      </c>
      <c r="C944" s="1" t="n">
        <v>45976</v>
      </c>
      <c r="D944" t="inlineStr">
        <is>
          <t>SKÅNE LÄN</t>
        </is>
      </c>
      <c r="E944" t="inlineStr">
        <is>
          <t>HÄSSLEHOLM</t>
        </is>
      </c>
      <c r="G944" t="n">
        <v>3.1</v>
      </c>
      <c r="H944" t="n">
        <v>0</v>
      </c>
      <c r="I944" t="n">
        <v>0</v>
      </c>
      <c r="J944" t="n">
        <v>0</v>
      </c>
      <c r="K944" t="n">
        <v>0</v>
      </c>
      <c r="L944" t="n">
        <v>0</v>
      </c>
      <c r="M944" t="n">
        <v>0</v>
      </c>
      <c r="N944" t="n">
        <v>0</v>
      </c>
      <c r="O944" t="n">
        <v>0</v>
      </c>
      <c r="P944" t="n">
        <v>0</v>
      </c>
      <c r="Q944" t="n">
        <v>0</v>
      </c>
      <c r="R944" s="2" t="inlineStr"/>
    </row>
    <row r="945" ht="15" customHeight="1">
      <c r="A945" t="inlineStr">
        <is>
          <t>A 60846-2022</t>
        </is>
      </c>
      <c r="B945" s="1" t="n">
        <v>44914</v>
      </c>
      <c r="C945" s="1" t="n">
        <v>45976</v>
      </c>
      <c r="D945" t="inlineStr">
        <is>
          <t>SKÅNE LÄN</t>
        </is>
      </c>
      <c r="E945" t="inlineStr">
        <is>
          <t>HÄSSLEHOLM</t>
        </is>
      </c>
      <c r="G945" t="n">
        <v>2.1</v>
      </c>
      <c r="H945" t="n">
        <v>0</v>
      </c>
      <c r="I945" t="n">
        <v>0</v>
      </c>
      <c r="J945" t="n">
        <v>0</v>
      </c>
      <c r="K945" t="n">
        <v>0</v>
      </c>
      <c r="L945" t="n">
        <v>0</v>
      </c>
      <c r="M945" t="n">
        <v>0</v>
      </c>
      <c r="N945" t="n">
        <v>0</v>
      </c>
      <c r="O945" t="n">
        <v>0</v>
      </c>
      <c r="P945" t="n">
        <v>0</v>
      </c>
      <c r="Q945" t="n">
        <v>0</v>
      </c>
      <c r="R945" s="2" t="inlineStr"/>
    </row>
    <row r="946" ht="15" customHeight="1">
      <c r="A946" t="inlineStr">
        <is>
          <t>A 42776-2021</t>
        </is>
      </c>
      <c r="B946" s="1" t="n">
        <v>44428</v>
      </c>
      <c r="C946" s="1" t="n">
        <v>45976</v>
      </c>
      <c r="D946" t="inlineStr">
        <is>
          <t>SKÅNE LÄN</t>
        </is>
      </c>
      <c r="E946" t="inlineStr">
        <is>
          <t>HÄSSLEHOLM</t>
        </is>
      </c>
      <c r="G946" t="n">
        <v>3.2</v>
      </c>
      <c r="H946" t="n">
        <v>0</v>
      </c>
      <c r="I946" t="n">
        <v>0</v>
      </c>
      <c r="J946" t="n">
        <v>0</v>
      </c>
      <c r="K946" t="n">
        <v>0</v>
      </c>
      <c r="L946" t="n">
        <v>0</v>
      </c>
      <c r="M946" t="n">
        <v>0</v>
      </c>
      <c r="N946" t="n">
        <v>0</v>
      </c>
      <c r="O946" t="n">
        <v>0</v>
      </c>
      <c r="P946" t="n">
        <v>0</v>
      </c>
      <c r="Q946" t="n">
        <v>0</v>
      </c>
      <c r="R946" s="2" t="inlineStr"/>
    </row>
    <row r="947" ht="15" customHeight="1">
      <c r="A947" t="inlineStr">
        <is>
          <t>A 9399-2025</t>
        </is>
      </c>
      <c r="B947" s="1" t="n">
        <v>45715.37861111111</v>
      </c>
      <c r="C947" s="1" t="n">
        <v>45976</v>
      </c>
      <c r="D947" t="inlineStr">
        <is>
          <t>SKÅNE LÄN</t>
        </is>
      </c>
      <c r="E947" t="inlineStr">
        <is>
          <t>HÄSSLEHOLM</t>
        </is>
      </c>
      <c r="G947" t="n">
        <v>5.2</v>
      </c>
      <c r="H947" t="n">
        <v>0</v>
      </c>
      <c r="I947" t="n">
        <v>0</v>
      </c>
      <c r="J947" t="n">
        <v>0</v>
      </c>
      <c r="K947" t="n">
        <v>0</v>
      </c>
      <c r="L947" t="n">
        <v>0</v>
      </c>
      <c r="M947" t="n">
        <v>0</v>
      </c>
      <c r="N947" t="n">
        <v>0</v>
      </c>
      <c r="O947" t="n">
        <v>0</v>
      </c>
      <c r="P947" t="n">
        <v>0</v>
      </c>
      <c r="Q947" t="n">
        <v>0</v>
      </c>
      <c r="R947" s="2" t="inlineStr"/>
    </row>
    <row r="948" ht="15" customHeight="1">
      <c r="A948" t="inlineStr">
        <is>
          <t>A 259-2024</t>
        </is>
      </c>
      <c r="B948" s="1" t="n">
        <v>45294</v>
      </c>
      <c r="C948" s="1" t="n">
        <v>45976</v>
      </c>
      <c r="D948" t="inlineStr">
        <is>
          <t>SKÅNE LÄN</t>
        </is>
      </c>
      <c r="E948" t="inlineStr">
        <is>
          <t>HÄSSLEHOLM</t>
        </is>
      </c>
      <c r="G948" t="n">
        <v>8</v>
      </c>
      <c r="H948" t="n">
        <v>0</v>
      </c>
      <c r="I948" t="n">
        <v>0</v>
      </c>
      <c r="J948" t="n">
        <v>0</v>
      </c>
      <c r="K948" t="n">
        <v>0</v>
      </c>
      <c r="L948" t="n">
        <v>0</v>
      </c>
      <c r="M948" t="n">
        <v>0</v>
      </c>
      <c r="N948" t="n">
        <v>0</v>
      </c>
      <c r="O948" t="n">
        <v>0</v>
      </c>
      <c r="P948" t="n">
        <v>0</v>
      </c>
      <c r="Q948" t="n">
        <v>0</v>
      </c>
      <c r="R948" s="2" t="inlineStr"/>
    </row>
    <row r="949" ht="15" customHeight="1">
      <c r="A949" t="inlineStr">
        <is>
          <t>A 29659-2024</t>
        </is>
      </c>
      <c r="B949" s="1" t="n">
        <v>45484.92587962963</v>
      </c>
      <c r="C949" s="1" t="n">
        <v>45976</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27837-2024</t>
        </is>
      </c>
      <c r="B950" s="1" t="n">
        <v>45475</v>
      </c>
      <c r="C950" s="1" t="n">
        <v>45976</v>
      </c>
      <c r="D950" t="inlineStr">
        <is>
          <t>SKÅNE LÄN</t>
        </is>
      </c>
      <c r="E950" t="inlineStr">
        <is>
          <t>HÄSSLEHOLM</t>
        </is>
      </c>
      <c r="F950" t="inlineStr">
        <is>
          <t>Kommuner</t>
        </is>
      </c>
      <c r="G950" t="n">
        <v>2.3</v>
      </c>
      <c r="H950" t="n">
        <v>0</v>
      </c>
      <c r="I950" t="n">
        <v>0</v>
      </c>
      <c r="J950" t="n">
        <v>0</v>
      </c>
      <c r="K950" t="n">
        <v>0</v>
      </c>
      <c r="L950" t="n">
        <v>0</v>
      </c>
      <c r="M950" t="n">
        <v>0</v>
      </c>
      <c r="N950" t="n">
        <v>0</v>
      </c>
      <c r="O950" t="n">
        <v>0</v>
      </c>
      <c r="P950" t="n">
        <v>0</v>
      </c>
      <c r="Q950" t="n">
        <v>0</v>
      </c>
      <c r="R950" s="2" t="inlineStr"/>
    </row>
    <row r="951" ht="15" customHeight="1">
      <c r="A951" t="inlineStr">
        <is>
          <t>A 1679-2022</t>
        </is>
      </c>
      <c r="B951" s="1" t="n">
        <v>44573</v>
      </c>
      <c r="C951" s="1" t="n">
        <v>45976</v>
      </c>
      <c r="D951" t="inlineStr">
        <is>
          <t>SKÅNE LÄN</t>
        </is>
      </c>
      <c r="E951" t="inlineStr">
        <is>
          <t>HÄSSLEHOLM</t>
        </is>
      </c>
      <c r="F951" t="inlineStr">
        <is>
          <t>Kyrkan</t>
        </is>
      </c>
      <c r="G951" t="n">
        <v>4.3</v>
      </c>
      <c r="H951" t="n">
        <v>0</v>
      </c>
      <c r="I951" t="n">
        <v>0</v>
      </c>
      <c r="J951" t="n">
        <v>0</v>
      </c>
      <c r="K951" t="n">
        <v>0</v>
      </c>
      <c r="L951" t="n">
        <v>0</v>
      </c>
      <c r="M951" t="n">
        <v>0</v>
      </c>
      <c r="N951" t="n">
        <v>0</v>
      </c>
      <c r="O951" t="n">
        <v>0</v>
      </c>
      <c r="P951" t="n">
        <v>0</v>
      </c>
      <c r="Q951" t="n">
        <v>0</v>
      </c>
      <c r="R951" s="2" t="inlineStr"/>
    </row>
    <row r="952" ht="15" customHeight="1">
      <c r="A952" t="inlineStr">
        <is>
          <t>A 1344-2021</t>
        </is>
      </c>
      <c r="B952" s="1" t="n">
        <v>44208</v>
      </c>
      <c r="C952" s="1" t="n">
        <v>45976</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54668-2025</t>
        </is>
      </c>
      <c r="B953" s="1" t="n">
        <v>45966.40803240741</v>
      </c>
      <c r="C953" s="1" t="n">
        <v>45976</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54664-2025</t>
        </is>
      </c>
      <c r="B954" s="1" t="n">
        <v>45966.40738425926</v>
      </c>
      <c r="C954" s="1" t="n">
        <v>45976</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51565-2023</t>
        </is>
      </c>
      <c r="B955" s="1" t="n">
        <v>45222</v>
      </c>
      <c r="C955" s="1" t="n">
        <v>45976</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54771-2025</t>
        </is>
      </c>
      <c r="B956" s="1" t="n">
        <v>45966.60829861111</v>
      </c>
      <c r="C956" s="1" t="n">
        <v>45976</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25615-2025</t>
        </is>
      </c>
      <c r="B957" s="1" t="n">
        <v>45803</v>
      </c>
      <c r="C957" s="1" t="n">
        <v>45976</v>
      </c>
      <c r="D957" t="inlineStr">
        <is>
          <t>SKÅNE LÄN</t>
        </is>
      </c>
      <c r="E957" t="inlineStr">
        <is>
          <t>HÄSSLEHOLM</t>
        </is>
      </c>
      <c r="G957" t="n">
        <v>2.6</v>
      </c>
      <c r="H957" t="n">
        <v>0</v>
      </c>
      <c r="I957" t="n">
        <v>0</v>
      </c>
      <c r="J957" t="n">
        <v>0</v>
      </c>
      <c r="K957" t="n">
        <v>0</v>
      </c>
      <c r="L957" t="n">
        <v>0</v>
      </c>
      <c r="M957" t="n">
        <v>0</v>
      </c>
      <c r="N957" t="n">
        <v>0</v>
      </c>
      <c r="O957" t="n">
        <v>0</v>
      </c>
      <c r="P957" t="n">
        <v>0</v>
      </c>
      <c r="Q957" t="n">
        <v>0</v>
      </c>
      <c r="R957" s="2" t="inlineStr"/>
    </row>
    <row r="958" ht="15" customHeight="1">
      <c r="A958" t="inlineStr">
        <is>
          <t>A 11412-2025</t>
        </is>
      </c>
      <c r="B958" s="1" t="n">
        <v>45726</v>
      </c>
      <c r="C958" s="1" t="n">
        <v>45976</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25430-2025</t>
        </is>
      </c>
      <c r="B959" s="1" t="n">
        <v>45800.78212962963</v>
      </c>
      <c r="C959" s="1" t="n">
        <v>45976</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55268-2025</t>
        </is>
      </c>
      <c r="B960" s="1" t="n">
        <v>45968.6715625</v>
      </c>
      <c r="C960" s="1" t="n">
        <v>45976</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11466-2025</t>
        </is>
      </c>
      <c r="B961" s="1" t="n">
        <v>45726</v>
      </c>
      <c r="C961" s="1" t="n">
        <v>45976</v>
      </c>
      <c r="D961" t="inlineStr">
        <is>
          <t>SKÅNE LÄN</t>
        </is>
      </c>
      <c r="E961" t="inlineStr">
        <is>
          <t>HÄSSLEHOLM</t>
        </is>
      </c>
      <c r="G961" t="n">
        <v>3.2</v>
      </c>
      <c r="H961" t="n">
        <v>0</v>
      </c>
      <c r="I961" t="n">
        <v>0</v>
      </c>
      <c r="J961" t="n">
        <v>0</v>
      </c>
      <c r="K961" t="n">
        <v>0</v>
      </c>
      <c r="L961" t="n">
        <v>0</v>
      </c>
      <c r="M961" t="n">
        <v>0</v>
      </c>
      <c r="N961" t="n">
        <v>0</v>
      </c>
      <c r="O961" t="n">
        <v>0</v>
      </c>
      <c r="P961" t="n">
        <v>0</v>
      </c>
      <c r="Q961" t="n">
        <v>0</v>
      </c>
      <c r="R961" s="2" t="inlineStr"/>
    </row>
    <row r="962" ht="15" customHeight="1">
      <c r="A962" t="inlineStr">
        <is>
          <t>A 14700-2023</t>
        </is>
      </c>
      <c r="B962" s="1" t="n">
        <v>45014.38376157408</v>
      </c>
      <c r="C962" s="1" t="n">
        <v>45976</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25431-2025</t>
        </is>
      </c>
      <c r="B963" s="1" t="n">
        <v>45800.78340277778</v>
      </c>
      <c r="C963" s="1" t="n">
        <v>45976</v>
      </c>
      <c r="D963" t="inlineStr">
        <is>
          <t>SKÅNE LÄN</t>
        </is>
      </c>
      <c r="E963" t="inlineStr">
        <is>
          <t>HÄSSLEHOLM</t>
        </is>
      </c>
      <c r="G963" t="n">
        <v>0.7</v>
      </c>
      <c r="H963" t="n">
        <v>0</v>
      </c>
      <c r="I963" t="n">
        <v>0</v>
      </c>
      <c r="J963" t="n">
        <v>0</v>
      </c>
      <c r="K963" t="n">
        <v>0</v>
      </c>
      <c r="L963" t="n">
        <v>0</v>
      </c>
      <c r="M963" t="n">
        <v>0</v>
      </c>
      <c r="N963" t="n">
        <v>0</v>
      </c>
      <c r="O963" t="n">
        <v>0</v>
      </c>
      <c r="P963" t="n">
        <v>0</v>
      </c>
      <c r="Q963" t="n">
        <v>0</v>
      </c>
      <c r="R963" s="2" t="inlineStr"/>
    </row>
    <row r="964" ht="15" customHeight="1">
      <c r="A964" t="inlineStr">
        <is>
          <t>A 25432-2025</t>
        </is>
      </c>
      <c r="B964" s="1" t="n">
        <v>45800.7847800926</v>
      </c>
      <c r="C964" s="1" t="n">
        <v>45976</v>
      </c>
      <c r="D964" t="inlineStr">
        <is>
          <t>SKÅNE LÄN</t>
        </is>
      </c>
      <c r="E964" t="inlineStr">
        <is>
          <t>HÄSSLEHOLM</t>
        </is>
      </c>
      <c r="G964" t="n">
        <v>1.8</v>
      </c>
      <c r="H964" t="n">
        <v>0</v>
      </c>
      <c r="I964" t="n">
        <v>0</v>
      </c>
      <c r="J964" t="n">
        <v>0</v>
      </c>
      <c r="K964" t="n">
        <v>0</v>
      </c>
      <c r="L964" t="n">
        <v>0</v>
      </c>
      <c r="M964" t="n">
        <v>0</v>
      </c>
      <c r="N964" t="n">
        <v>0</v>
      </c>
      <c r="O964" t="n">
        <v>0</v>
      </c>
      <c r="P964" t="n">
        <v>0</v>
      </c>
      <c r="Q964" t="n">
        <v>0</v>
      </c>
      <c r="R964" s="2" t="inlineStr"/>
    </row>
    <row r="965" ht="15" customHeight="1">
      <c r="A965" t="inlineStr">
        <is>
          <t>A 11470-2025</t>
        </is>
      </c>
      <c r="B965" s="1" t="n">
        <v>45726</v>
      </c>
      <c r="C965" s="1" t="n">
        <v>45976</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54426-2025</t>
        </is>
      </c>
      <c r="B966" s="1" t="n">
        <v>45965</v>
      </c>
      <c r="C966" s="1" t="n">
        <v>45976</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55549-2025</t>
        </is>
      </c>
      <c r="B967" s="1" t="n">
        <v>45971.63805555556</v>
      </c>
      <c r="C967" s="1" t="n">
        <v>45976</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46786-2025</t>
        </is>
      </c>
      <c r="B968" s="1" t="n">
        <v>45926.64484953704</v>
      </c>
      <c r="C968" s="1" t="n">
        <v>45976</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47126-2025</t>
        </is>
      </c>
      <c r="B969" s="1" t="n">
        <v>45929.685625</v>
      </c>
      <c r="C969" s="1" t="n">
        <v>45976</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47127-2025</t>
        </is>
      </c>
      <c r="B970" s="1" t="n">
        <v>45929.6893287037</v>
      </c>
      <c r="C970" s="1" t="n">
        <v>45976</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39915-2023</t>
        </is>
      </c>
      <c r="B971" s="1" t="n">
        <v>45168.4684375</v>
      </c>
      <c r="C971" s="1" t="n">
        <v>45976</v>
      </c>
      <c r="D971" t="inlineStr">
        <is>
          <t>SKÅNE LÄN</t>
        </is>
      </c>
      <c r="E971" t="inlineStr">
        <is>
          <t>HÄSSLEHOLM</t>
        </is>
      </c>
      <c r="G971" t="n">
        <v>0.4</v>
      </c>
      <c r="H971" t="n">
        <v>0</v>
      </c>
      <c r="I971" t="n">
        <v>0</v>
      </c>
      <c r="J971" t="n">
        <v>0</v>
      </c>
      <c r="K971" t="n">
        <v>0</v>
      </c>
      <c r="L971" t="n">
        <v>0</v>
      </c>
      <c r="M971" t="n">
        <v>0</v>
      </c>
      <c r="N971" t="n">
        <v>0</v>
      </c>
      <c r="O971" t="n">
        <v>0</v>
      </c>
      <c r="P971" t="n">
        <v>0</v>
      </c>
      <c r="Q971" t="n">
        <v>0</v>
      </c>
      <c r="R971" s="2" t="inlineStr"/>
    </row>
    <row r="972" ht="15" customHeight="1">
      <c r="A972" t="inlineStr">
        <is>
          <t>A 20058-2023</t>
        </is>
      </c>
      <c r="B972" s="1" t="n">
        <v>45054.68476851852</v>
      </c>
      <c r="C972" s="1" t="n">
        <v>45976</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8619-2023</t>
        </is>
      </c>
      <c r="B973" s="1" t="n">
        <v>44977.81979166667</v>
      </c>
      <c r="C973" s="1" t="n">
        <v>45976</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26232-2025</t>
        </is>
      </c>
      <c r="B974" s="1" t="n">
        <v>45805.56642361111</v>
      </c>
      <c r="C974" s="1" t="n">
        <v>45976</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9543-2025</t>
        </is>
      </c>
      <c r="B975" s="1" t="n">
        <v>45715</v>
      </c>
      <c r="C975" s="1" t="n">
        <v>45976</v>
      </c>
      <c r="D975" t="inlineStr">
        <is>
          <t>SKÅNE LÄN</t>
        </is>
      </c>
      <c r="E975" t="inlineStr">
        <is>
          <t>HÄSSLEHOLM</t>
        </is>
      </c>
      <c r="G975" t="n">
        <v>2.6</v>
      </c>
      <c r="H975" t="n">
        <v>0</v>
      </c>
      <c r="I975" t="n">
        <v>0</v>
      </c>
      <c r="J975" t="n">
        <v>0</v>
      </c>
      <c r="K975" t="n">
        <v>0</v>
      </c>
      <c r="L975" t="n">
        <v>0</v>
      </c>
      <c r="M975" t="n">
        <v>0</v>
      </c>
      <c r="N975" t="n">
        <v>0</v>
      </c>
      <c r="O975" t="n">
        <v>0</v>
      </c>
      <c r="P975" t="n">
        <v>0</v>
      </c>
      <c r="Q975" t="n">
        <v>0</v>
      </c>
      <c r="R975" s="2" t="inlineStr"/>
    </row>
    <row r="976" ht="15" customHeight="1">
      <c r="A976" t="inlineStr">
        <is>
          <t>A 24904-2025</t>
        </is>
      </c>
      <c r="B976" s="1" t="n">
        <v>45799</v>
      </c>
      <c r="C976" s="1" t="n">
        <v>45976</v>
      </c>
      <c r="D976" t="inlineStr">
        <is>
          <t>SKÅNE LÄN</t>
        </is>
      </c>
      <c r="E976" t="inlineStr">
        <is>
          <t>HÄSSLEHOLM</t>
        </is>
      </c>
      <c r="G976" t="n">
        <v>2.2</v>
      </c>
      <c r="H976" t="n">
        <v>0</v>
      </c>
      <c r="I976" t="n">
        <v>0</v>
      </c>
      <c r="J976" t="n">
        <v>0</v>
      </c>
      <c r="K976" t="n">
        <v>0</v>
      </c>
      <c r="L976" t="n">
        <v>0</v>
      </c>
      <c r="M976" t="n">
        <v>0</v>
      </c>
      <c r="N976" t="n">
        <v>0</v>
      </c>
      <c r="O976" t="n">
        <v>0</v>
      </c>
      <c r="P976" t="n">
        <v>0</v>
      </c>
      <c r="Q976" t="n">
        <v>0</v>
      </c>
      <c r="R976" s="2" t="inlineStr"/>
    </row>
    <row r="977" ht="15" customHeight="1">
      <c r="A977" t="inlineStr">
        <is>
          <t>A 54807-2025</t>
        </is>
      </c>
      <c r="B977" s="1" t="n">
        <v>45966</v>
      </c>
      <c r="C977" s="1" t="n">
        <v>45976</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53067-2022</t>
        </is>
      </c>
      <c r="B978" s="1" t="n">
        <v>44873</v>
      </c>
      <c r="C978" s="1" t="n">
        <v>45976</v>
      </c>
      <c r="D978" t="inlineStr">
        <is>
          <t>SKÅNE LÄN</t>
        </is>
      </c>
      <c r="E978" t="inlineStr">
        <is>
          <t>HÄSSLEHOLM</t>
        </is>
      </c>
      <c r="G978" t="n">
        <v>1.2</v>
      </c>
      <c r="H978" t="n">
        <v>0</v>
      </c>
      <c r="I978" t="n">
        <v>0</v>
      </c>
      <c r="J978" t="n">
        <v>0</v>
      </c>
      <c r="K978" t="n">
        <v>0</v>
      </c>
      <c r="L978" t="n">
        <v>0</v>
      </c>
      <c r="M978" t="n">
        <v>0</v>
      </c>
      <c r="N978" t="n">
        <v>0</v>
      </c>
      <c r="O978" t="n">
        <v>0</v>
      </c>
      <c r="P978" t="n">
        <v>0</v>
      </c>
      <c r="Q978" t="n">
        <v>0</v>
      </c>
      <c r="R978" s="2" t="inlineStr"/>
    </row>
    <row r="979" ht="15" customHeight="1">
      <c r="A979" t="inlineStr">
        <is>
          <t>A 26244-2025</t>
        </is>
      </c>
      <c r="B979" s="1" t="n">
        <v>45805.57364583333</v>
      </c>
      <c r="C979" s="1" t="n">
        <v>45976</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3349-2023</t>
        </is>
      </c>
      <c r="B980" s="1" t="n">
        <v>44949</v>
      </c>
      <c r="C980" s="1" t="n">
        <v>45976</v>
      </c>
      <c r="D980" t="inlineStr">
        <is>
          <t>SKÅNE LÄN</t>
        </is>
      </c>
      <c r="E980" t="inlineStr">
        <is>
          <t>HÄSSLEHOLM</t>
        </is>
      </c>
      <c r="G980" t="n">
        <v>2.3</v>
      </c>
      <c r="H980" t="n">
        <v>0</v>
      </c>
      <c r="I980" t="n">
        <v>0</v>
      </c>
      <c r="J980" t="n">
        <v>0</v>
      </c>
      <c r="K980" t="n">
        <v>0</v>
      </c>
      <c r="L980" t="n">
        <v>0</v>
      </c>
      <c r="M980" t="n">
        <v>0</v>
      </c>
      <c r="N980" t="n">
        <v>0</v>
      </c>
      <c r="O980" t="n">
        <v>0</v>
      </c>
      <c r="P980" t="n">
        <v>0</v>
      </c>
      <c r="Q980" t="n">
        <v>0</v>
      </c>
      <c r="R980" s="2" t="inlineStr"/>
    </row>
    <row r="981" ht="15" customHeight="1">
      <c r="A981" t="inlineStr">
        <is>
          <t>A 54798-2025</t>
        </is>
      </c>
      <c r="B981" s="1" t="n">
        <v>45966</v>
      </c>
      <c r="C981" s="1" t="n">
        <v>45976</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46761-2025</t>
        </is>
      </c>
      <c r="B982" s="1" t="n">
        <v>45926.62289351852</v>
      </c>
      <c r="C982" s="1" t="n">
        <v>45976</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46855-2025</t>
        </is>
      </c>
      <c r="B983" s="1" t="n">
        <v>45928.88497685185</v>
      </c>
      <c r="C983" s="1" t="n">
        <v>45976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47161-2025</t>
        </is>
      </c>
      <c r="B984" s="1" t="n">
        <v>45929</v>
      </c>
      <c r="C984" s="1" t="n">
        <v>45976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46605-2025</t>
        </is>
      </c>
      <c r="B985" s="1" t="n">
        <v>45926.41214120371</v>
      </c>
      <c r="C985" s="1" t="n">
        <v>45976</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49824-2024</t>
        </is>
      </c>
      <c r="B986" s="1" t="n">
        <v>45597</v>
      </c>
      <c r="C986" s="1" t="n">
        <v>45976</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46185-2022</t>
        </is>
      </c>
      <c r="B987" s="1" t="n">
        <v>44847</v>
      </c>
      <c r="C987" s="1" t="n">
        <v>45976</v>
      </c>
      <c r="D987" t="inlineStr">
        <is>
          <t>SKÅNE LÄN</t>
        </is>
      </c>
      <c r="E987" t="inlineStr">
        <is>
          <t>HÄSSLEHOLM</t>
        </is>
      </c>
      <c r="G987" t="n">
        <v>16.8</v>
      </c>
      <c r="H987" t="n">
        <v>0</v>
      </c>
      <c r="I987" t="n">
        <v>0</v>
      </c>
      <c r="J987" t="n">
        <v>0</v>
      </c>
      <c r="K987" t="n">
        <v>0</v>
      </c>
      <c r="L987" t="n">
        <v>0</v>
      </c>
      <c r="M987" t="n">
        <v>0</v>
      </c>
      <c r="N987" t="n">
        <v>0</v>
      </c>
      <c r="O987" t="n">
        <v>0</v>
      </c>
      <c r="P987" t="n">
        <v>0</v>
      </c>
      <c r="Q987" t="n">
        <v>0</v>
      </c>
      <c r="R987" s="2" t="inlineStr"/>
    </row>
    <row r="988" ht="15" customHeight="1">
      <c r="A988" t="inlineStr">
        <is>
          <t>A 18623-2023</t>
        </is>
      </c>
      <c r="B988" s="1" t="n">
        <v>45043</v>
      </c>
      <c r="C988" s="1" t="n">
        <v>45976</v>
      </c>
      <c r="D988" t="inlineStr">
        <is>
          <t>SKÅNE LÄN</t>
        </is>
      </c>
      <c r="E988" t="inlineStr">
        <is>
          <t>HÄSSLEHOLM</t>
        </is>
      </c>
      <c r="G988" t="n">
        <v>3.2</v>
      </c>
      <c r="H988" t="n">
        <v>0</v>
      </c>
      <c r="I988" t="n">
        <v>0</v>
      </c>
      <c r="J988" t="n">
        <v>0</v>
      </c>
      <c r="K988" t="n">
        <v>0</v>
      </c>
      <c r="L988" t="n">
        <v>0</v>
      </c>
      <c r="M988" t="n">
        <v>0</v>
      </c>
      <c r="N988" t="n">
        <v>0</v>
      </c>
      <c r="O988" t="n">
        <v>0</v>
      </c>
      <c r="P988" t="n">
        <v>0</v>
      </c>
      <c r="Q988" t="n">
        <v>0</v>
      </c>
      <c r="R988" s="2" t="inlineStr"/>
    </row>
    <row r="989" ht="15" customHeight="1">
      <c r="A989" t="inlineStr">
        <is>
          <t>A 33873-2021</t>
        </is>
      </c>
      <c r="B989" s="1" t="n">
        <v>44378</v>
      </c>
      <c r="C989" s="1" t="n">
        <v>45976</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15053-2023</t>
        </is>
      </c>
      <c r="B990" s="1" t="n">
        <v>45015</v>
      </c>
      <c r="C990" s="1" t="n">
        <v>45976</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9302-2025</t>
        </is>
      </c>
      <c r="B991" s="1" t="n">
        <v>45714.67233796296</v>
      </c>
      <c r="C991" s="1" t="n">
        <v>45976</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47907-2021</t>
        </is>
      </c>
      <c r="B992" s="1" t="n">
        <v>44448</v>
      </c>
      <c r="C992" s="1" t="n">
        <v>45976</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1197-2024</t>
        </is>
      </c>
      <c r="B993" s="1" t="n">
        <v>45302</v>
      </c>
      <c r="C993" s="1" t="n">
        <v>45976</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13712-2025</t>
        </is>
      </c>
      <c r="B994" s="1" t="n">
        <v>45737</v>
      </c>
      <c r="C994" s="1" t="n">
        <v>45976</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38358-2024</t>
        </is>
      </c>
      <c r="B995" s="1" t="n">
        <v>45545.79068287037</v>
      </c>
      <c r="C995" s="1" t="n">
        <v>45976</v>
      </c>
      <c r="D995" t="inlineStr">
        <is>
          <t>SKÅNE LÄN</t>
        </is>
      </c>
      <c r="E995" t="inlineStr">
        <is>
          <t>HÄSSLEHOLM</t>
        </is>
      </c>
      <c r="G995" t="n">
        <v>9</v>
      </c>
      <c r="H995" t="n">
        <v>0</v>
      </c>
      <c r="I995" t="n">
        <v>0</v>
      </c>
      <c r="J995" t="n">
        <v>0</v>
      </c>
      <c r="K995" t="n">
        <v>0</v>
      </c>
      <c r="L995" t="n">
        <v>0</v>
      </c>
      <c r="M995" t="n">
        <v>0</v>
      </c>
      <c r="N995" t="n">
        <v>0</v>
      </c>
      <c r="O995" t="n">
        <v>0</v>
      </c>
      <c r="P995" t="n">
        <v>0</v>
      </c>
      <c r="Q995" t="n">
        <v>0</v>
      </c>
      <c r="R995" s="2" t="inlineStr"/>
    </row>
    <row r="996" ht="15" customHeight="1">
      <c r="A996" t="inlineStr">
        <is>
          <t>A 49950-2023</t>
        </is>
      </c>
      <c r="B996" s="1" t="n">
        <v>45215</v>
      </c>
      <c r="C996" s="1" t="n">
        <v>45976</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41694-2024</t>
        </is>
      </c>
      <c r="B997" s="1" t="n">
        <v>45560.68341435185</v>
      </c>
      <c r="C997" s="1" t="n">
        <v>45976</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27393-2025</t>
        </is>
      </c>
      <c r="B998" s="1" t="n">
        <v>45812.68295138889</v>
      </c>
      <c r="C998" s="1" t="n">
        <v>45976</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36795-2023</t>
        </is>
      </c>
      <c r="B999" s="1" t="n">
        <v>45154.38245370371</v>
      </c>
      <c r="C999" s="1" t="n">
        <v>45976</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46942-2024</t>
        </is>
      </c>
      <c r="B1000" s="1" t="n">
        <v>45585.6684375</v>
      </c>
      <c r="C1000" s="1" t="n">
        <v>45976</v>
      </c>
      <c r="D1000" t="inlineStr">
        <is>
          <t>SKÅNE LÄN</t>
        </is>
      </c>
      <c r="E1000" t="inlineStr">
        <is>
          <t>HÄSSLEHOLM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16368-2025</t>
        </is>
      </c>
      <c r="B1001" s="1" t="n">
        <v>45751</v>
      </c>
      <c r="C1001" s="1" t="n">
        <v>45976</v>
      </c>
      <c r="D1001" t="inlineStr">
        <is>
          <t>SKÅNE LÄN</t>
        </is>
      </c>
      <c r="E1001" t="inlineStr">
        <is>
          <t>HÄSSLEHOLM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25726-2025</t>
        </is>
      </c>
      <c r="B1002" s="1" t="n">
        <v>45803</v>
      </c>
      <c r="C1002" s="1" t="n">
        <v>45976</v>
      </c>
      <c r="D1002" t="inlineStr">
        <is>
          <t>SKÅNE LÄN</t>
        </is>
      </c>
      <c r="E1002" t="inlineStr">
        <is>
          <t>HÄSSLEHOLM</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27349-2025</t>
        </is>
      </c>
      <c r="B1003" s="1" t="n">
        <v>45812</v>
      </c>
      <c r="C1003" s="1" t="n">
        <v>45976</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43696-2024</t>
        </is>
      </c>
      <c r="B1004" s="1" t="n">
        <v>45569.58855324074</v>
      </c>
      <c r="C1004" s="1" t="n">
        <v>45976</v>
      </c>
      <c r="D1004" t="inlineStr">
        <is>
          <t>SKÅNE LÄN</t>
        </is>
      </c>
      <c r="E1004" t="inlineStr">
        <is>
          <t>HÄSSLEHOLM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36706-2022</t>
        </is>
      </c>
      <c r="B1005" s="1" t="n">
        <v>44805.32891203704</v>
      </c>
      <c r="C1005" s="1" t="n">
        <v>45976</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47259-2025</t>
        </is>
      </c>
      <c r="B1006" s="1" t="n">
        <v>45930</v>
      </c>
      <c r="C1006" s="1" t="n">
        <v>45976</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22594-2024</t>
        </is>
      </c>
      <c r="B1007" s="1" t="n">
        <v>45447.60892361111</v>
      </c>
      <c r="C1007" s="1" t="n">
        <v>45976</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46813-2024</t>
        </is>
      </c>
      <c r="B1008" s="1" t="n">
        <v>45583</v>
      </c>
      <c r="C1008" s="1" t="n">
        <v>45976</v>
      </c>
      <c r="D1008" t="inlineStr">
        <is>
          <t>SKÅNE LÄN</t>
        </is>
      </c>
      <c r="E1008" t="inlineStr">
        <is>
          <t>HÄSSLEHOLM</t>
        </is>
      </c>
      <c r="G1008" t="n">
        <v>14.9</v>
      </c>
      <c r="H1008" t="n">
        <v>0</v>
      </c>
      <c r="I1008" t="n">
        <v>0</v>
      </c>
      <c r="J1008" t="n">
        <v>0</v>
      </c>
      <c r="K1008" t="n">
        <v>0</v>
      </c>
      <c r="L1008" t="n">
        <v>0</v>
      </c>
      <c r="M1008" t="n">
        <v>0</v>
      </c>
      <c r="N1008" t="n">
        <v>0</v>
      </c>
      <c r="O1008" t="n">
        <v>0</v>
      </c>
      <c r="P1008" t="n">
        <v>0</v>
      </c>
      <c r="Q1008" t="n">
        <v>0</v>
      </c>
      <c r="R1008" s="2" t="inlineStr"/>
    </row>
    <row r="1009" ht="15" customHeight="1">
      <c r="A1009" t="inlineStr">
        <is>
          <t>A 55569-2025</t>
        </is>
      </c>
      <c r="B1009" s="1" t="n">
        <v>45971</v>
      </c>
      <c r="C1009" s="1" t="n">
        <v>45976</v>
      </c>
      <c r="D1009" t="inlineStr">
        <is>
          <t>SKÅNE LÄN</t>
        </is>
      </c>
      <c r="E1009" t="inlineStr">
        <is>
          <t>HÄSSLEHOLM</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25213-2023</t>
        </is>
      </c>
      <c r="B1010" s="1" t="n">
        <v>45086.60010416667</v>
      </c>
      <c r="C1010" s="1" t="n">
        <v>45976</v>
      </c>
      <c r="D1010" t="inlineStr">
        <is>
          <t>SKÅNE LÄN</t>
        </is>
      </c>
      <c r="E1010" t="inlineStr">
        <is>
          <t>HÄSSLEHOLM</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47473-2025</t>
        </is>
      </c>
      <c r="B1011" s="1" t="n">
        <v>45930.67763888889</v>
      </c>
      <c r="C1011" s="1" t="n">
        <v>45976</v>
      </c>
      <c r="D1011" t="inlineStr">
        <is>
          <t>SKÅNE LÄN</t>
        </is>
      </c>
      <c r="E1011" t="inlineStr">
        <is>
          <t>HÄSSLEHOLM</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28240-2025</t>
        </is>
      </c>
      <c r="B1012" s="1" t="n">
        <v>45817</v>
      </c>
      <c r="C1012" s="1" t="n">
        <v>45976</v>
      </c>
      <c r="D1012" t="inlineStr">
        <is>
          <t>SKÅNE LÄN</t>
        </is>
      </c>
      <c r="E1012" t="inlineStr">
        <is>
          <t>HÄSSLEHOLM</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47466-2025</t>
        </is>
      </c>
      <c r="B1013" s="1" t="n">
        <v>45930.66677083333</v>
      </c>
      <c r="C1013" s="1" t="n">
        <v>45976</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27940-2025</t>
        </is>
      </c>
      <c r="B1014" s="1" t="n">
        <v>45817.50439814815</v>
      </c>
      <c r="C1014" s="1" t="n">
        <v>45976</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27934-2025</t>
        </is>
      </c>
      <c r="B1015" s="1" t="n">
        <v>45817.49761574074</v>
      </c>
      <c r="C1015" s="1" t="n">
        <v>45976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18063-2023</t>
        </is>
      </c>
      <c r="B1016" s="1" t="n">
        <v>45040.62850694444</v>
      </c>
      <c r="C1016" s="1" t="n">
        <v>45976</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55455-2025</t>
        </is>
      </c>
      <c r="B1017" s="1" t="n">
        <v>45971</v>
      </c>
      <c r="C1017" s="1" t="n">
        <v>45976</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28251-2025</t>
        </is>
      </c>
      <c r="B1018" s="1" t="n">
        <v>45817</v>
      </c>
      <c r="C1018" s="1" t="n">
        <v>45976</v>
      </c>
      <c r="D1018" t="inlineStr">
        <is>
          <t>SKÅNE LÄN</t>
        </is>
      </c>
      <c r="E1018" t="inlineStr">
        <is>
          <t>HÄSSLEHOLM</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55458-2025</t>
        </is>
      </c>
      <c r="B1019" s="1" t="n">
        <v>45971</v>
      </c>
      <c r="C1019" s="1" t="n">
        <v>45976</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28122-2025</t>
        </is>
      </c>
      <c r="B1020" s="1" t="n">
        <v>45817</v>
      </c>
      <c r="C1020" s="1" t="n">
        <v>45976</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27887-2025</t>
        </is>
      </c>
      <c r="B1021" s="1" t="n">
        <v>45817.45994212963</v>
      </c>
      <c r="C1021" s="1" t="n">
        <v>45976</v>
      </c>
      <c r="D1021" t="inlineStr">
        <is>
          <t>SKÅNE LÄN</t>
        </is>
      </c>
      <c r="E1021" t="inlineStr">
        <is>
          <t>HÄSSLEHOLM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61524-2022</t>
        </is>
      </c>
      <c r="B1022" s="1" t="n">
        <v>44910</v>
      </c>
      <c r="C1022" s="1" t="n">
        <v>45976</v>
      </c>
      <c r="D1022" t="inlineStr">
        <is>
          <t>SKÅNE LÄN</t>
        </is>
      </c>
      <c r="E1022" t="inlineStr">
        <is>
          <t>HÄSSLEHOLM</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61578-2023</t>
        </is>
      </c>
      <c r="B1023" s="1" t="n">
        <v>45265.47399305556</v>
      </c>
      <c r="C1023" s="1" t="n">
        <v>45976</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28095-2025</t>
        </is>
      </c>
      <c r="B1024" s="1" t="n">
        <v>45817</v>
      </c>
      <c r="C1024" s="1" t="n">
        <v>45976</v>
      </c>
      <c r="D1024" t="inlineStr">
        <is>
          <t>SKÅNE LÄN</t>
        </is>
      </c>
      <c r="E1024" t="inlineStr">
        <is>
          <t>HÄSSLEHOLM</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25542-2024</t>
        </is>
      </c>
      <c r="B1025" s="1" t="n">
        <v>45463</v>
      </c>
      <c r="C1025" s="1" t="n">
        <v>45976</v>
      </c>
      <c r="D1025" t="inlineStr">
        <is>
          <t>SKÅNE LÄN</t>
        </is>
      </c>
      <c r="E1025" t="inlineStr">
        <is>
          <t>HÄSSLEHOLM</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42370-2023</t>
        </is>
      </c>
      <c r="B1026" s="1" t="n">
        <v>45180</v>
      </c>
      <c r="C1026" s="1" t="n">
        <v>45976</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51097-2025</t>
        </is>
      </c>
      <c r="B1027" s="1" t="n">
        <v>45947.48018518519</v>
      </c>
      <c r="C1027" s="1" t="n">
        <v>45976</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48184-2025</t>
        </is>
      </c>
      <c r="B1028" s="1" t="n">
        <v>45933.46131944445</v>
      </c>
      <c r="C1028" s="1" t="n">
        <v>45976</v>
      </c>
      <c r="D1028" t="inlineStr">
        <is>
          <t>SKÅNE LÄN</t>
        </is>
      </c>
      <c r="E1028" t="inlineStr">
        <is>
          <t>HÄSSLEHOLM</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48185-2025</t>
        </is>
      </c>
      <c r="B1029" s="1" t="n">
        <v>45933.46434027778</v>
      </c>
      <c r="C1029" s="1" t="n">
        <v>45976</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49827-2022</t>
        </is>
      </c>
      <c r="B1030" s="1" t="n">
        <v>44859</v>
      </c>
      <c r="C1030" s="1" t="n">
        <v>45976</v>
      </c>
      <c r="D1030" t="inlineStr">
        <is>
          <t>SKÅNE LÄN</t>
        </is>
      </c>
      <c r="E1030" t="inlineStr">
        <is>
          <t>HÄSSLEHOLM</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11422-2025</t>
        </is>
      </c>
      <c r="B1031" s="1" t="n">
        <v>45726</v>
      </c>
      <c r="C1031" s="1" t="n">
        <v>45976</v>
      </c>
      <c r="D1031" t="inlineStr">
        <is>
          <t>SKÅNE LÄN</t>
        </is>
      </c>
      <c r="E1031" t="inlineStr">
        <is>
          <t>HÄSSLEHOLM</t>
        </is>
      </c>
      <c r="G1031" t="n">
        <v>14.9</v>
      </c>
      <c r="H1031" t="n">
        <v>0</v>
      </c>
      <c r="I1031" t="n">
        <v>0</v>
      </c>
      <c r="J1031" t="n">
        <v>0</v>
      </c>
      <c r="K1031" t="n">
        <v>0</v>
      </c>
      <c r="L1031" t="n">
        <v>0</v>
      </c>
      <c r="M1031" t="n">
        <v>0</v>
      </c>
      <c r="N1031" t="n">
        <v>0</v>
      </c>
      <c r="O1031" t="n">
        <v>0</v>
      </c>
      <c r="P1031" t="n">
        <v>0</v>
      </c>
      <c r="Q1031" t="n">
        <v>0</v>
      </c>
      <c r="R1031" s="2" t="inlineStr"/>
    </row>
    <row r="1032" ht="15" customHeight="1">
      <c r="A1032" t="inlineStr">
        <is>
          <t>A 7604-2024</t>
        </is>
      </c>
      <c r="B1032" s="1" t="n">
        <v>45348</v>
      </c>
      <c r="C1032" s="1" t="n">
        <v>45976</v>
      </c>
      <c r="D1032" t="inlineStr">
        <is>
          <t>SKÅNE LÄN</t>
        </is>
      </c>
      <c r="E1032" t="inlineStr">
        <is>
          <t>HÄSSLEHOLM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29853-2024</t>
        </is>
      </c>
      <c r="B1033" s="1" t="n">
        <v>45485.65844907407</v>
      </c>
      <c r="C1033" s="1" t="n">
        <v>45976</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29170-2025</t>
        </is>
      </c>
      <c r="B1034" s="1" t="n">
        <v>45821.69766203704</v>
      </c>
      <c r="C1034" s="1" t="n">
        <v>45976</v>
      </c>
      <c r="D1034" t="inlineStr">
        <is>
          <t>SKÅNE LÄN</t>
        </is>
      </c>
      <c r="E1034" t="inlineStr">
        <is>
          <t>HÄSSLEHOLM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29287-2023</t>
        </is>
      </c>
      <c r="B1035" s="1" t="n">
        <v>45098</v>
      </c>
      <c r="C1035" s="1" t="n">
        <v>45976</v>
      </c>
      <c r="D1035" t="inlineStr">
        <is>
          <t>SKÅNE LÄN</t>
        </is>
      </c>
      <c r="E1035" t="inlineStr">
        <is>
          <t>HÄSSLEHOLM</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5992-2022</t>
        </is>
      </c>
      <c r="B1036" s="1" t="n">
        <v>44599</v>
      </c>
      <c r="C1036" s="1" t="n">
        <v>45976</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25324-2024</t>
        </is>
      </c>
      <c r="B1037" s="1" t="n">
        <v>45462.804375</v>
      </c>
      <c r="C1037" s="1" t="n">
        <v>45976</v>
      </c>
      <c r="D1037" t="inlineStr">
        <is>
          <t>SKÅNE LÄN</t>
        </is>
      </c>
      <c r="E1037" t="inlineStr">
        <is>
          <t>HÄSSLEHOLM</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8803-2023</t>
        </is>
      </c>
      <c r="B1038" s="1" t="n">
        <v>44978.61712962963</v>
      </c>
      <c r="C1038" s="1" t="n">
        <v>45976</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4809-2025</t>
        </is>
      </c>
      <c r="B1039" s="1" t="n">
        <v>45688.60148148148</v>
      </c>
      <c r="C1039" s="1" t="n">
        <v>45976</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12780-2024</t>
        </is>
      </c>
      <c r="B1040" s="1" t="n">
        <v>45384.59726851852</v>
      </c>
      <c r="C1040" s="1" t="n">
        <v>45976</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29171-2025</t>
        </is>
      </c>
      <c r="B1041" s="1" t="n">
        <v>45821.69863425926</v>
      </c>
      <c r="C1041" s="1" t="n">
        <v>45976</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9375-2023</t>
        </is>
      </c>
      <c r="B1042" s="1" t="n">
        <v>44981</v>
      </c>
      <c r="C1042" s="1" t="n">
        <v>45976</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29168-2025</t>
        </is>
      </c>
      <c r="B1043" s="1" t="n">
        <v>45821.69547453704</v>
      </c>
      <c r="C1043" s="1" t="n">
        <v>45976</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26857-2025</t>
        </is>
      </c>
      <c r="B1044" s="1" t="n">
        <v>45810</v>
      </c>
      <c r="C1044" s="1" t="n">
        <v>45976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30006-2023</t>
        </is>
      </c>
      <c r="B1045" s="1" t="n">
        <v>45109.79962962963</v>
      </c>
      <c r="C1045" s="1" t="n">
        <v>45976</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49167-2022</t>
        </is>
      </c>
      <c r="B1046" s="1" t="n">
        <v>44860</v>
      </c>
      <c r="C1046" s="1" t="n">
        <v>45976</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57963-2023</t>
        </is>
      </c>
      <c r="B1047" s="1" t="n">
        <v>45247.57732638889</v>
      </c>
      <c r="C1047" s="1" t="n">
        <v>45976</v>
      </c>
      <c r="D1047" t="inlineStr">
        <is>
          <t>SKÅNE LÄN</t>
        </is>
      </c>
      <c r="E1047" t="inlineStr">
        <is>
          <t>HÄSSLEHOLM</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57033-2022</t>
        </is>
      </c>
      <c r="B1048" s="1" t="n">
        <v>44895.31270833333</v>
      </c>
      <c r="C1048" s="1" t="n">
        <v>45976</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35845-2022</t>
        </is>
      </c>
      <c r="B1049" s="1" t="n">
        <v>44802</v>
      </c>
      <c r="C1049" s="1" t="n">
        <v>45976</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56065-2025</t>
        </is>
      </c>
      <c r="B1050" s="1" t="n">
        <v>45973</v>
      </c>
      <c r="C1050" s="1" t="n">
        <v>45976</v>
      </c>
      <c r="D1050" t="inlineStr">
        <is>
          <t>SKÅNE LÄN</t>
        </is>
      </c>
      <c r="E1050" t="inlineStr">
        <is>
          <t>HÄSSLEHOLM</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56667-2025</t>
        </is>
      </c>
      <c r="B1051" s="1" t="n">
        <v>45975.68508101852</v>
      </c>
      <c r="C1051" s="1" t="n">
        <v>45976</v>
      </c>
      <c r="D1051" t="inlineStr">
        <is>
          <t>SKÅNE LÄN</t>
        </is>
      </c>
      <c r="E1051" t="inlineStr">
        <is>
          <t>HÄSSLEHOLM</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22140-2023</t>
        </is>
      </c>
      <c r="B1052" s="1" t="n">
        <v>45065</v>
      </c>
      <c r="C1052" s="1" t="n">
        <v>45976</v>
      </c>
      <c r="D1052" t="inlineStr">
        <is>
          <t>SKÅNE LÄN</t>
        </is>
      </c>
      <c r="E1052" t="inlineStr">
        <is>
          <t>HÄSSLEHOLM</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7653-2024</t>
        </is>
      </c>
      <c r="B1053" s="1" t="n">
        <v>45348.69043981482</v>
      </c>
      <c r="C1053" s="1" t="n">
        <v>45976</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30010-2025</t>
        </is>
      </c>
      <c r="B1054" s="1" t="n">
        <v>45826</v>
      </c>
      <c r="C1054" s="1" t="n">
        <v>45976</v>
      </c>
      <c r="D1054" t="inlineStr">
        <is>
          <t>SKÅNE LÄN</t>
        </is>
      </c>
      <c r="E1054" t="inlineStr">
        <is>
          <t>HÄSSLEHOLM</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24679-2023</t>
        </is>
      </c>
      <c r="B1055" s="1" t="n">
        <v>45084</v>
      </c>
      <c r="C1055" s="1" t="n">
        <v>45976</v>
      </c>
      <c r="D1055" t="inlineStr">
        <is>
          <t>SKÅNE LÄN</t>
        </is>
      </c>
      <c r="E1055" t="inlineStr">
        <is>
          <t>HÄSSLEHOLM</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49219-2021</t>
        </is>
      </c>
      <c r="B1056" s="1" t="n">
        <v>44454</v>
      </c>
      <c r="C1056" s="1" t="n">
        <v>45976</v>
      </c>
      <c r="D1056" t="inlineStr">
        <is>
          <t>SKÅNE LÄN</t>
        </is>
      </c>
      <c r="E1056" t="inlineStr">
        <is>
          <t>HÄSSLEHOLM</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5890-2023</t>
        </is>
      </c>
      <c r="B1057" s="1" t="n">
        <v>44963.64527777778</v>
      </c>
      <c r="C1057" s="1" t="n">
        <v>45976</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12936-2025</t>
        </is>
      </c>
      <c r="B1058" s="1" t="n">
        <v>45734</v>
      </c>
      <c r="C1058" s="1" t="n">
        <v>45976</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56062-2024</t>
        </is>
      </c>
      <c r="B1059" s="1" t="n">
        <v>45624.37105324074</v>
      </c>
      <c r="C1059" s="1" t="n">
        <v>45976</v>
      </c>
      <c r="D1059" t="inlineStr">
        <is>
          <t>SKÅNE LÄN</t>
        </is>
      </c>
      <c r="E1059" t="inlineStr">
        <is>
          <t>HÄSSLEHOLM</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41209-2023</t>
        </is>
      </c>
      <c r="B1060" s="1" t="n">
        <v>45174.43481481481</v>
      </c>
      <c r="C1060" s="1" t="n">
        <v>45976</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57275-2023</t>
        </is>
      </c>
      <c r="B1061" s="1" t="n">
        <v>45245.58886574074</v>
      </c>
      <c r="C1061" s="1" t="n">
        <v>45976</v>
      </c>
      <c r="D1061" t="inlineStr">
        <is>
          <t>SKÅNE LÄN</t>
        </is>
      </c>
      <c r="E1061" t="inlineStr">
        <is>
          <t>HÄSSLEHOLM</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53302-2022</t>
        </is>
      </c>
      <c r="B1062" s="1" t="n">
        <v>44877</v>
      </c>
      <c r="C1062" s="1" t="n">
        <v>45976</v>
      </c>
      <c r="D1062" t="inlineStr">
        <is>
          <t>SKÅNE LÄN</t>
        </is>
      </c>
      <c r="E1062" t="inlineStr">
        <is>
          <t>HÄSSLEHOLM</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27991-2024</t>
        </is>
      </c>
      <c r="B1063" s="1" t="n">
        <v>45476</v>
      </c>
      <c r="C1063" s="1" t="n">
        <v>45976</v>
      </c>
      <c r="D1063" t="inlineStr">
        <is>
          <t>SKÅNE LÄN</t>
        </is>
      </c>
      <c r="E1063" t="inlineStr">
        <is>
          <t>HÄSSLEHOLM</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31946-2023</t>
        </is>
      </c>
      <c r="B1064" s="1" t="n">
        <v>45119.35158564815</v>
      </c>
      <c r="C1064" s="1" t="n">
        <v>45976</v>
      </c>
      <c r="D1064" t="inlineStr">
        <is>
          <t>SKÅNE LÄN</t>
        </is>
      </c>
      <c r="E1064" t="inlineStr">
        <is>
          <t>HÄSSLEHOLM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31159-2025</t>
        </is>
      </c>
      <c r="B1065" s="1" t="n">
        <v>45832.65322916667</v>
      </c>
      <c r="C1065" s="1" t="n">
        <v>45976</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48798-2023</t>
        </is>
      </c>
      <c r="B1066" s="1" t="n">
        <v>45209.25318287037</v>
      </c>
      <c r="C1066" s="1" t="n">
        <v>45976</v>
      </c>
      <c r="D1066" t="inlineStr">
        <is>
          <t>SKÅNE LÄN</t>
        </is>
      </c>
      <c r="E1066" t="inlineStr">
        <is>
          <t>HÄSSLEHOLM</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48844-2023</t>
        </is>
      </c>
      <c r="B1067" s="1" t="n">
        <v>45209</v>
      </c>
      <c r="C1067" s="1" t="n">
        <v>45976</v>
      </c>
      <c r="D1067" t="inlineStr">
        <is>
          <t>SKÅNE LÄN</t>
        </is>
      </c>
      <c r="E1067" t="inlineStr">
        <is>
          <t>HÄSSLEHOLM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48877-2024</t>
        </is>
      </c>
      <c r="B1068" s="1" t="n">
        <v>45594.31729166667</v>
      </c>
      <c r="C1068" s="1" t="n">
        <v>45976</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45984-2021</t>
        </is>
      </c>
      <c r="B1069" s="1" t="n">
        <v>44441</v>
      </c>
      <c r="C1069" s="1" t="n">
        <v>45976</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8378-2023</t>
        </is>
      </c>
      <c r="B1070" s="1" t="n">
        <v>44971</v>
      </c>
      <c r="C1070" s="1" t="n">
        <v>45976</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45398-2024</t>
        </is>
      </c>
      <c r="B1071" s="1" t="n">
        <v>45576.56260416667</v>
      </c>
      <c r="C1071" s="1" t="n">
        <v>45976</v>
      </c>
      <c r="D1071" t="inlineStr">
        <is>
          <t>SKÅNE LÄN</t>
        </is>
      </c>
      <c r="E1071" t="inlineStr">
        <is>
          <t>HÄSSLEHOLM</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4140-2023</t>
        </is>
      </c>
      <c r="B1072" s="1" t="n">
        <v>44953</v>
      </c>
      <c r="C1072" s="1" t="n">
        <v>45976</v>
      </c>
      <c r="D1072" t="inlineStr">
        <is>
          <t>SKÅNE LÄN</t>
        </is>
      </c>
      <c r="E1072" t="inlineStr">
        <is>
          <t>HÄSSLEHOLM</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50000-2023</t>
        </is>
      </c>
      <c r="B1073" s="1" t="n">
        <v>45215.4434837963</v>
      </c>
      <c r="C1073" s="1" t="n">
        <v>45976</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417-2022</t>
        </is>
      </c>
      <c r="B1074" s="1" t="n">
        <v>44565.84615740741</v>
      </c>
      <c r="C1074" s="1" t="n">
        <v>45976</v>
      </c>
      <c r="D1074" t="inlineStr">
        <is>
          <t>SKÅNE LÄN</t>
        </is>
      </c>
      <c r="E1074" t="inlineStr">
        <is>
          <t>HÄSSLEHOLM</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51040-2024</t>
        </is>
      </c>
      <c r="B1075" s="1" t="n">
        <v>45603.43222222223</v>
      </c>
      <c r="C1075" s="1" t="n">
        <v>45976</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50249-2024</t>
        </is>
      </c>
      <c r="B1076" s="1" t="n">
        <v>45600.56866898148</v>
      </c>
      <c r="C1076" s="1" t="n">
        <v>45976</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29649-2025</t>
        </is>
      </c>
      <c r="B1077" s="1" t="n">
        <v>45825.47446759259</v>
      </c>
      <c r="C1077" s="1" t="n">
        <v>45976</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54326-2022</t>
        </is>
      </c>
      <c r="B1078" s="1" t="n">
        <v>44882.42965277778</v>
      </c>
      <c r="C1078" s="1" t="n">
        <v>45976</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32585-2025</t>
        </is>
      </c>
      <c r="B1079" s="1" t="n">
        <v>45838.60021990741</v>
      </c>
      <c r="C1079" s="1" t="n">
        <v>45976</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32592-2025</t>
        </is>
      </c>
      <c r="B1080" s="1" t="n">
        <v>45838.61020833333</v>
      </c>
      <c r="C1080" s="1" t="n">
        <v>45976</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54174-2022</t>
        </is>
      </c>
      <c r="B1081" s="1" t="n">
        <v>44881</v>
      </c>
      <c r="C1081" s="1" t="n">
        <v>45976</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38376-2022</t>
        </is>
      </c>
      <c r="B1082" s="1" t="n">
        <v>44812</v>
      </c>
      <c r="C1082" s="1" t="n">
        <v>45976</v>
      </c>
      <c r="D1082" t="inlineStr">
        <is>
          <t>SKÅNE LÄN</t>
        </is>
      </c>
      <c r="E1082" t="inlineStr">
        <is>
          <t>HÄSSLEHOLM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54659-2023</t>
        </is>
      </c>
      <c r="B1083" s="1" t="n">
        <v>45235</v>
      </c>
      <c r="C1083" s="1" t="n">
        <v>45976</v>
      </c>
      <c r="D1083" t="inlineStr">
        <is>
          <t>SKÅNE LÄN</t>
        </is>
      </c>
      <c r="E1083" t="inlineStr">
        <is>
          <t>HÄSSLEHOLM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33562-2025</t>
        </is>
      </c>
      <c r="B1084" s="1" t="n">
        <v>45841.57803240741</v>
      </c>
      <c r="C1084" s="1" t="n">
        <v>45976</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15036-2024</t>
        </is>
      </c>
      <c r="B1085" s="1" t="n">
        <v>45399.48100694444</v>
      </c>
      <c r="C1085" s="1" t="n">
        <v>45976</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9709-2023</t>
        </is>
      </c>
      <c r="B1086" s="1" t="n">
        <v>44984.48376157408</v>
      </c>
      <c r="C1086" s="1" t="n">
        <v>45976</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9615-2025</t>
        </is>
      </c>
      <c r="B1087" s="1" t="n">
        <v>45715</v>
      </c>
      <c r="C1087" s="1" t="n">
        <v>45976</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8524-2024</t>
        </is>
      </c>
      <c r="B1088" s="1" t="n">
        <v>45355.48570601852</v>
      </c>
      <c r="C1088" s="1" t="n">
        <v>45976</v>
      </c>
      <c r="D1088" t="inlineStr">
        <is>
          <t>SKÅNE LÄN</t>
        </is>
      </c>
      <c r="E1088" t="inlineStr">
        <is>
          <t>HÄSSLEHOLM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33875-2025</t>
        </is>
      </c>
      <c r="B1089" s="1" t="n">
        <v>45842.55300925926</v>
      </c>
      <c r="C1089" s="1" t="n">
        <v>45976</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33877-2025</t>
        </is>
      </c>
      <c r="B1090" s="1" t="n">
        <v>45842.55564814815</v>
      </c>
      <c r="C1090" s="1" t="n">
        <v>45976</v>
      </c>
      <c r="D1090" t="inlineStr">
        <is>
          <t>SKÅNE LÄN</t>
        </is>
      </c>
      <c r="E1090" t="inlineStr">
        <is>
          <t>HÄSSLEHOLM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33879-2025</t>
        </is>
      </c>
      <c r="B1091" s="1" t="n">
        <v>45842.55766203703</v>
      </c>
      <c r="C1091" s="1" t="n">
        <v>45976</v>
      </c>
      <c r="D1091" t="inlineStr">
        <is>
          <t>SKÅNE LÄN</t>
        </is>
      </c>
      <c r="E1091" t="inlineStr">
        <is>
          <t>HÄSSLEHOLM</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23987-2024</t>
        </is>
      </c>
      <c r="B1092" s="1" t="n">
        <v>45456</v>
      </c>
      <c r="C1092" s="1" t="n">
        <v>45976</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4042-2023</t>
        </is>
      </c>
      <c r="B1093" s="1" t="n">
        <v>44952.59950231481</v>
      </c>
      <c r="C1093" s="1" t="n">
        <v>45976</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33948-2025</t>
        </is>
      </c>
      <c r="B1094" s="1" t="n">
        <v>45842.65945601852</v>
      </c>
      <c r="C1094" s="1" t="n">
        <v>45976</v>
      </c>
      <c r="D1094" t="inlineStr">
        <is>
          <t>SKÅNE LÄN</t>
        </is>
      </c>
      <c r="E1094" t="inlineStr">
        <is>
          <t>HÄSSLEHOLM</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22678-2025</t>
        </is>
      </c>
      <c r="B1095" s="1" t="n">
        <v>45789.49725694444</v>
      </c>
      <c r="C1095" s="1" t="n">
        <v>45976</v>
      </c>
      <c r="D1095" t="inlineStr">
        <is>
          <t>SKÅNE LÄN</t>
        </is>
      </c>
      <c r="E1095" t="inlineStr">
        <is>
          <t>HÄSSLEHOLM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32958-2023</t>
        </is>
      </c>
      <c r="B1096" s="1" t="n">
        <v>45125.52142361111</v>
      </c>
      <c r="C1096" s="1" t="n">
        <v>45976</v>
      </c>
      <c r="D1096" t="inlineStr">
        <is>
          <t>SKÅNE LÄN</t>
        </is>
      </c>
      <c r="E1096" t="inlineStr">
        <is>
          <t>HÄSSLEHOLM</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34174-2025</t>
        </is>
      </c>
      <c r="B1097" s="1" t="n">
        <v>45844</v>
      </c>
      <c r="C1097" s="1" t="n">
        <v>45976</v>
      </c>
      <c r="D1097" t="inlineStr">
        <is>
          <t>SKÅNE LÄN</t>
        </is>
      </c>
      <c r="E1097" t="inlineStr">
        <is>
          <t>HÄSSLEHOLM</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34177-2025</t>
        </is>
      </c>
      <c r="B1098" s="1" t="n">
        <v>45844</v>
      </c>
      <c r="C1098" s="1" t="n">
        <v>45976</v>
      </c>
      <c r="D1098" t="inlineStr">
        <is>
          <t>SKÅNE LÄN</t>
        </is>
      </c>
      <c r="E1098" t="inlineStr">
        <is>
          <t>HÄSSLEHOLM</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33950-2025</t>
        </is>
      </c>
      <c r="B1099" s="1" t="n">
        <v>45842</v>
      </c>
      <c r="C1099" s="1" t="n">
        <v>45976</v>
      </c>
      <c r="D1099" t="inlineStr">
        <is>
          <t>SKÅNE LÄN</t>
        </is>
      </c>
      <c r="E1099" t="inlineStr">
        <is>
          <t>HÄSSLEHOLM</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31160-2024</t>
        </is>
      </c>
      <c r="B1100" s="1" t="n">
        <v>45503</v>
      </c>
      <c r="C1100" s="1" t="n">
        <v>45976</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5054-2022</t>
        </is>
      </c>
      <c r="B1101" s="1" t="n">
        <v>44593.69065972222</v>
      </c>
      <c r="C1101" s="1" t="n">
        <v>45976</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31391-2023</t>
        </is>
      </c>
      <c r="B1102" s="1" t="n">
        <v>45114.56143518518</v>
      </c>
      <c r="C1102" s="1" t="n">
        <v>45976</v>
      </c>
      <c r="D1102" t="inlineStr">
        <is>
          <t>SKÅNE LÄN</t>
        </is>
      </c>
      <c r="E1102" t="inlineStr">
        <is>
          <t>HÄSSLEHOLM</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23723-2023</t>
        </is>
      </c>
      <c r="B1103" s="1" t="n">
        <v>45077</v>
      </c>
      <c r="C1103" s="1" t="n">
        <v>45976</v>
      </c>
      <c r="D1103" t="inlineStr">
        <is>
          <t>SKÅNE LÄN</t>
        </is>
      </c>
      <c r="E1103" t="inlineStr">
        <is>
          <t>HÄSSLEHOLM</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31933-2024</t>
        </is>
      </c>
      <c r="B1104" s="1" t="n">
        <v>45510.41123842593</v>
      </c>
      <c r="C1104" s="1" t="n">
        <v>45976</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31581-2023</t>
        </is>
      </c>
      <c r="B1105" s="1" t="n">
        <v>45117.45165509259</v>
      </c>
      <c r="C1105" s="1" t="n">
        <v>45976</v>
      </c>
      <c r="D1105" t="inlineStr">
        <is>
          <t>SKÅNE LÄN</t>
        </is>
      </c>
      <c r="E1105" t="inlineStr">
        <is>
          <t>HÄSSLEHOLM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34869-2025</t>
        </is>
      </c>
      <c r="B1106" s="1" t="n">
        <v>45849</v>
      </c>
      <c r="C1106" s="1" t="n">
        <v>45976</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55303-2024</t>
        </is>
      </c>
      <c r="B1107" s="1" t="n">
        <v>45621.6434837963</v>
      </c>
      <c r="C1107" s="1" t="n">
        <v>45976</v>
      </c>
      <c r="D1107" t="inlineStr">
        <is>
          <t>SKÅNE LÄN</t>
        </is>
      </c>
      <c r="E1107" t="inlineStr">
        <is>
          <t>HÄSSLEHOLM</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40202-2022</t>
        </is>
      </c>
      <c r="B1108" s="1" t="n">
        <v>44820.60614583334</v>
      </c>
      <c r="C1108" s="1" t="n">
        <v>45976</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4382-2023</t>
        </is>
      </c>
      <c r="B1109" s="1" t="n">
        <v>44955.61152777778</v>
      </c>
      <c r="C1109" s="1" t="n">
        <v>45976</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20970-2025</t>
        </is>
      </c>
      <c r="B1110" s="1" t="n">
        <v>45777.45417824074</v>
      </c>
      <c r="C1110" s="1" t="n">
        <v>45976</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35259-2025</t>
        </is>
      </c>
      <c r="B1111" s="1" t="n">
        <v>45853.76912037037</v>
      </c>
      <c r="C1111" s="1" t="n">
        <v>45976</v>
      </c>
      <c r="D1111" t="inlineStr">
        <is>
          <t>SKÅNE LÄN</t>
        </is>
      </c>
      <c r="E1111" t="inlineStr">
        <is>
          <t>HÄSSLEHOLM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52608-2023</t>
        </is>
      </c>
      <c r="B1112" s="1" t="n">
        <v>45219</v>
      </c>
      <c r="C1112" s="1" t="n">
        <v>45976</v>
      </c>
      <c r="D1112" t="inlineStr">
        <is>
          <t>SKÅNE LÄN</t>
        </is>
      </c>
      <c r="E1112" t="inlineStr">
        <is>
          <t>HÄSSLEHOLM</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17413-2025</t>
        </is>
      </c>
      <c r="B1113" s="1" t="n">
        <v>45757.37480324074</v>
      </c>
      <c r="C1113" s="1" t="n">
        <v>45976</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41680-2024</t>
        </is>
      </c>
      <c r="B1114" s="1" t="n">
        <v>45560</v>
      </c>
      <c r="C1114" s="1" t="n">
        <v>45976</v>
      </c>
      <c r="D1114" t="inlineStr">
        <is>
          <t>SKÅNE LÄN</t>
        </is>
      </c>
      <c r="E1114" t="inlineStr">
        <is>
          <t>HÄSSLEHOLM</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27954-2022</t>
        </is>
      </c>
      <c r="B1115" s="1" t="n">
        <v>44743</v>
      </c>
      <c r="C1115" s="1" t="n">
        <v>45976</v>
      </c>
      <c r="D1115" t="inlineStr">
        <is>
          <t>SKÅNE LÄN</t>
        </is>
      </c>
      <c r="E1115" t="inlineStr">
        <is>
          <t>HÄSSLEHOLM</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20493-2024</t>
        </is>
      </c>
      <c r="B1116" s="1" t="n">
        <v>45435</v>
      </c>
      <c r="C1116" s="1" t="n">
        <v>45976</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41873-2023</t>
        </is>
      </c>
      <c r="B1117" s="1" t="n">
        <v>45176</v>
      </c>
      <c r="C1117" s="1" t="n">
        <v>45976</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41998-2021</t>
        </is>
      </c>
      <c r="B1118" s="1" t="n">
        <v>44425</v>
      </c>
      <c r="C1118" s="1" t="n">
        <v>45976</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35712-2024</t>
        </is>
      </c>
      <c r="B1119" s="1" t="n">
        <v>45532</v>
      </c>
      <c r="C1119" s="1" t="n">
        <v>45976</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61691-2021</t>
        </is>
      </c>
      <c r="B1120" s="1" t="n">
        <v>44501</v>
      </c>
      <c r="C1120" s="1" t="n">
        <v>45976</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36259-2025</t>
        </is>
      </c>
      <c r="B1121" s="1" t="n">
        <v>45867.59799768519</v>
      </c>
      <c r="C1121" s="1" t="n">
        <v>45976</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57647-2024</t>
        </is>
      </c>
      <c r="B1122" s="1" t="n">
        <v>45630</v>
      </c>
      <c r="C1122" s="1" t="n">
        <v>45976</v>
      </c>
      <c r="D1122" t="inlineStr">
        <is>
          <t>SKÅNE LÄN</t>
        </is>
      </c>
      <c r="E1122" t="inlineStr">
        <is>
          <t>HÄSSLEHOLM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36130-2025</t>
        </is>
      </c>
      <c r="B1123" s="1" t="n">
        <v>45866.62273148148</v>
      </c>
      <c r="C1123" s="1" t="n">
        <v>45976</v>
      </c>
      <c r="D1123" t="inlineStr">
        <is>
          <t>SKÅNE LÄN</t>
        </is>
      </c>
      <c r="E1123" t="inlineStr">
        <is>
          <t>HÄSSLEHOLM</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20564-2023</t>
        </is>
      </c>
      <c r="B1124" s="1" t="n">
        <v>45057</v>
      </c>
      <c r="C1124" s="1" t="n">
        <v>45976</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46641-2023</t>
        </is>
      </c>
      <c r="B1125" s="1" t="n">
        <v>45198.44523148148</v>
      </c>
      <c r="C1125" s="1" t="n">
        <v>45976</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8239-2025</t>
        </is>
      </c>
      <c r="B1126" s="1" t="n">
        <v>45708.47984953703</v>
      </c>
      <c r="C1126" s="1" t="n">
        <v>45976</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46645-2023</t>
        </is>
      </c>
      <c r="B1127" s="1" t="n">
        <v>45198.44686342592</v>
      </c>
      <c r="C1127" s="1" t="n">
        <v>45976</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19666-2025</t>
        </is>
      </c>
      <c r="B1128" s="1" t="n">
        <v>45770.69326388889</v>
      </c>
      <c r="C1128" s="1" t="n">
        <v>45976</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36359-2025</t>
        </is>
      </c>
      <c r="B1129" s="1" t="n">
        <v>45867</v>
      </c>
      <c r="C1129" s="1" t="n">
        <v>45976</v>
      </c>
      <c r="D1129" t="inlineStr">
        <is>
          <t>SKÅNE LÄN</t>
        </is>
      </c>
      <c r="E1129" t="inlineStr">
        <is>
          <t>HÄSSLEHOLM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36361-2025</t>
        </is>
      </c>
      <c r="B1130" s="1" t="n">
        <v>45867</v>
      </c>
      <c r="C1130" s="1" t="n">
        <v>45976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31986-2023</t>
        </is>
      </c>
      <c r="B1131" s="1" t="n">
        <v>45119</v>
      </c>
      <c r="C1131" s="1" t="n">
        <v>45976</v>
      </c>
      <c r="D1131" t="inlineStr">
        <is>
          <t>SKÅNE LÄN</t>
        </is>
      </c>
      <c r="E1131" t="inlineStr">
        <is>
          <t>HÄSSLEHOLM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36085-2025</t>
        </is>
      </c>
      <c r="B1132" s="1" t="n">
        <v>45866.46190972222</v>
      </c>
      <c r="C1132" s="1" t="n">
        <v>45976</v>
      </c>
      <c r="D1132" t="inlineStr">
        <is>
          <t>SKÅNE LÄN</t>
        </is>
      </c>
      <c r="E1132" t="inlineStr">
        <is>
          <t>HÄSSLEHOLM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62044-2022</t>
        </is>
      </c>
      <c r="B1133" s="1" t="n">
        <v>44918.55976851852</v>
      </c>
      <c r="C1133" s="1" t="n">
        <v>45976</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6619-2024</t>
        </is>
      </c>
      <c r="B1134" s="1" t="n">
        <v>45341.6021412037</v>
      </c>
      <c r="C1134" s="1" t="n">
        <v>45976</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36358-2025</t>
        </is>
      </c>
      <c r="B1135" s="1" t="n">
        <v>45867</v>
      </c>
      <c r="C1135" s="1" t="n">
        <v>45976</v>
      </c>
      <c r="D1135" t="inlineStr">
        <is>
          <t>SKÅNE LÄN</t>
        </is>
      </c>
      <c r="E1135" t="inlineStr">
        <is>
          <t>HÄSSLEHOLM</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52341-2023</t>
        </is>
      </c>
      <c r="B1136" s="1" t="n">
        <v>45224.67006944444</v>
      </c>
      <c r="C1136" s="1" t="n">
        <v>45976</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27464-2022</t>
        </is>
      </c>
      <c r="B1137" s="1" t="n">
        <v>44742.58704861111</v>
      </c>
      <c r="C1137" s="1" t="n">
        <v>45976</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6798-2025</t>
        </is>
      </c>
      <c r="B1138" s="1" t="n">
        <v>45700.668125</v>
      </c>
      <c r="C1138" s="1" t="n">
        <v>45976</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10752-2025</t>
        </is>
      </c>
      <c r="B1139" s="1" t="n">
        <v>45722</v>
      </c>
      <c r="C1139" s="1" t="n">
        <v>45976</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14008-2023</t>
        </is>
      </c>
      <c r="B1140" s="1" t="n">
        <v>45008.56725694444</v>
      </c>
      <c r="C1140" s="1" t="n">
        <v>45976</v>
      </c>
      <c r="D1140" t="inlineStr">
        <is>
          <t>SKÅNE LÄN</t>
        </is>
      </c>
      <c r="E1140" t="inlineStr">
        <is>
          <t>HÄSSLEHOLM</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315-2022</t>
        </is>
      </c>
      <c r="B1141" s="1" t="n">
        <v>44565.55630787037</v>
      </c>
      <c r="C1141" s="1" t="n">
        <v>45976</v>
      </c>
      <c r="D1141" t="inlineStr">
        <is>
          <t>SKÅNE LÄN</t>
        </is>
      </c>
      <c r="E1141" t="inlineStr">
        <is>
          <t>HÄSSLEHOLM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42372-2024</t>
        </is>
      </c>
      <c r="B1142" s="1" t="n">
        <v>45564.5127199074</v>
      </c>
      <c r="C1142" s="1" t="n">
        <v>45976</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6180-2021</t>
        </is>
      </c>
      <c r="B1143" s="1" t="n">
        <v>44232</v>
      </c>
      <c r="C1143" s="1" t="n">
        <v>45976</v>
      </c>
      <c r="D1143" t="inlineStr">
        <is>
          <t>SKÅNE LÄN</t>
        </is>
      </c>
      <c r="E1143" t="inlineStr">
        <is>
          <t>HÄSSLEHOLM</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17138-2025</t>
        </is>
      </c>
      <c r="B1144" s="1" t="n">
        <v>45755.80378472222</v>
      </c>
      <c r="C1144" s="1" t="n">
        <v>45976</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57695-2023</t>
        </is>
      </c>
      <c r="B1145" s="1" t="n">
        <v>45246</v>
      </c>
      <c r="C1145" s="1" t="n">
        <v>45976</v>
      </c>
      <c r="D1145" t="inlineStr">
        <is>
          <t>SKÅNE LÄN</t>
        </is>
      </c>
      <c r="E1145" t="inlineStr">
        <is>
          <t>HÄSSLEHOLM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12162-2023</t>
        </is>
      </c>
      <c r="B1146" s="1" t="n">
        <v>44998.49619212963</v>
      </c>
      <c r="C1146" s="1" t="n">
        <v>45976</v>
      </c>
      <c r="D1146" t="inlineStr">
        <is>
          <t>SKÅNE LÄN</t>
        </is>
      </c>
      <c r="E1146" t="inlineStr">
        <is>
          <t>HÄSSLEHOLM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13347-2025</t>
        </is>
      </c>
      <c r="B1147" s="1" t="n">
        <v>45735.63175925926</v>
      </c>
      <c r="C1147" s="1" t="n">
        <v>45976</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4916-2024</t>
        </is>
      </c>
      <c r="B1148" s="1" t="n">
        <v>45329</v>
      </c>
      <c r="C1148" s="1" t="n">
        <v>45976</v>
      </c>
      <c r="D1148" t="inlineStr">
        <is>
          <t>SKÅNE LÄN</t>
        </is>
      </c>
      <c r="E1148" t="inlineStr">
        <is>
          <t>HÄSSLEHOLM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27175-2024</t>
        </is>
      </c>
      <c r="B1149" s="1" t="n">
        <v>45471.57111111111</v>
      </c>
      <c r="C1149" s="1" t="n">
        <v>45976</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54658-2023</t>
        </is>
      </c>
      <c r="B1150" s="1" t="n">
        <v>45235</v>
      </c>
      <c r="C1150" s="1" t="n">
        <v>45976</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53055-2021</t>
        </is>
      </c>
      <c r="B1151" s="1" t="n">
        <v>44467</v>
      </c>
      <c r="C1151" s="1" t="n">
        <v>45976</v>
      </c>
      <c r="D1151" t="inlineStr">
        <is>
          <t>SKÅNE LÄN</t>
        </is>
      </c>
      <c r="E1151" t="inlineStr">
        <is>
          <t>HÄSSLEHOLM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23666-2023</t>
        </is>
      </c>
      <c r="B1152" s="1" t="n">
        <v>45077</v>
      </c>
      <c r="C1152" s="1" t="n">
        <v>45976</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3726-2024</t>
        </is>
      </c>
      <c r="B1153" s="1" t="n">
        <v>45321</v>
      </c>
      <c r="C1153" s="1" t="n">
        <v>45976</v>
      </c>
      <c r="D1153" t="inlineStr">
        <is>
          <t>SKÅNE LÄN</t>
        </is>
      </c>
      <c r="E1153" t="inlineStr">
        <is>
          <t>HÄSSLEHOLM</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53085-2022</t>
        </is>
      </c>
      <c r="B1154" s="1" t="n">
        <v>44873</v>
      </c>
      <c r="C1154" s="1" t="n">
        <v>45976</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28211-2022</t>
        </is>
      </c>
      <c r="B1155" s="1" t="n">
        <v>44746</v>
      </c>
      <c r="C1155" s="1" t="n">
        <v>45976</v>
      </c>
      <c r="D1155" t="inlineStr">
        <is>
          <t>SKÅNE LÄN</t>
        </is>
      </c>
      <c r="E1155" t="inlineStr">
        <is>
          <t>HÄSSLEHOLM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32154-2024</t>
        </is>
      </c>
      <c r="B1156" s="1" t="n">
        <v>45511</v>
      </c>
      <c r="C1156" s="1" t="n">
        <v>45976</v>
      </c>
      <c r="D1156" t="inlineStr">
        <is>
          <t>SKÅNE LÄN</t>
        </is>
      </c>
      <c r="E1156" t="inlineStr">
        <is>
          <t>HÄSSLEHOLM</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15990-2023</t>
        </is>
      </c>
      <c r="B1157" s="1" t="n">
        <v>45023.39584490741</v>
      </c>
      <c r="C1157" s="1" t="n">
        <v>45976</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26207-2021</t>
        </is>
      </c>
      <c r="B1158" s="1" t="n">
        <v>44347</v>
      </c>
      <c r="C1158" s="1" t="n">
        <v>45976</v>
      </c>
      <c r="D1158" t="inlineStr">
        <is>
          <t>SKÅNE LÄN</t>
        </is>
      </c>
      <c r="E1158" t="inlineStr">
        <is>
          <t>HÄSSLEHOLM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62199-2022</t>
        </is>
      </c>
      <c r="B1159" s="1" t="n">
        <v>44915</v>
      </c>
      <c r="C1159" s="1" t="n">
        <v>45976</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9098-2022</t>
        </is>
      </c>
      <c r="B1160" s="1" t="n">
        <v>44615</v>
      </c>
      <c r="C1160" s="1" t="n">
        <v>45976</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c r="A1161" t="inlineStr">
        <is>
          <t>A 19151-2023</t>
        </is>
      </c>
      <c r="B1161" s="1" t="n">
        <v>45044</v>
      </c>
      <c r="C1161" s="1" t="n">
        <v>45976</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2025-11-15T10:12:18Z</dcterms:created>
  <dcterms:modified xmlns:dcterms="http://purl.org/dc/terms/" xmlns:xsi="http://www.w3.org/2001/XMLSchema-instance" xsi:type="dcterms:W3CDTF">2025-11-15T10:12:19Z</dcterms:modified>
</cp:coreProperties>
</file>