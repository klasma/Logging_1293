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46064</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46064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46064</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46064</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46064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46064</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46064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46064</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45673.380625</v>
      </c>
      <c r="C13" s="1" t="n">
        <v>46064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28736-2025</t>
        </is>
      </c>
      <c r="B14" s="1" t="n">
        <v>45820.3816087963</v>
      </c>
      <c r="C14" s="1" t="n">
        <v>46064</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46064</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46064</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13705-2022</t>
        </is>
      </c>
      <c r="B17" s="1" t="n">
        <v>44648</v>
      </c>
      <c r="C17" s="1" t="n">
        <v>46064</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40613-2025</t>
        </is>
      </c>
      <c r="B18" s="1" t="n">
        <v>45896</v>
      </c>
      <c r="C18" s="1" t="n">
        <v>46064</v>
      </c>
      <c r="D18" t="inlineStr">
        <is>
          <t>SKÅNE LÄN</t>
        </is>
      </c>
      <c r="E18" t="inlineStr">
        <is>
          <t>HÄSSLEHOLM</t>
        </is>
      </c>
      <c r="F18" t="inlineStr">
        <is>
          <t>Kyrkan</t>
        </is>
      </c>
      <c r="G18" t="n">
        <v>3.4</v>
      </c>
      <c r="H18" t="n">
        <v>1</v>
      </c>
      <c r="I18" t="n">
        <v>0</v>
      </c>
      <c r="J18" t="n">
        <v>0</v>
      </c>
      <c r="K18" t="n">
        <v>0</v>
      </c>
      <c r="L18" t="n">
        <v>0</v>
      </c>
      <c r="M18" t="n">
        <v>0</v>
      </c>
      <c r="N18" t="n">
        <v>0</v>
      </c>
      <c r="O18" t="n">
        <v>0</v>
      </c>
      <c r="P18" t="n">
        <v>0</v>
      </c>
      <c r="Q18" t="n">
        <v>1</v>
      </c>
      <c r="R18" s="2" t="inlineStr">
        <is>
          <t>Revlummer</t>
        </is>
      </c>
      <c r="S18">
        <f>HYPERLINK("https://klasma.github.io/Logging_1293/artfynd/A 40613-2025 artfynd.xlsx", "A 40613-2025")</f>
        <v/>
      </c>
      <c r="T18">
        <f>HYPERLINK("https://klasma.github.io/Logging_1293/kartor/A 40613-2025 karta.png", "A 40613-2025")</f>
        <v/>
      </c>
      <c r="V18">
        <f>HYPERLINK("https://klasma.github.io/Logging_1293/klagomål/A 40613-2025 FSC-klagomål.docx", "A 40613-2025")</f>
        <v/>
      </c>
      <c r="W18">
        <f>HYPERLINK("https://klasma.github.io/Logging_1293/klagomålsmail/A 40613-2025 FSC-klagomål mail.docx", "A 40613-2025")</f>
        <v/>
      </c>
      <c r="X18">
        <f>HYPERLINK("https://klasma.github.io/Logging_1293/tillsyn/A 40613-2025 tillsynsbegäran.docx", "A 40613-2025")</f>
        <v/>
      </c>
      <c r="Y18">
        <f>HYPERLINK("https://klasma.github.io/Logging_1293/tillsynsmail/A 40613-2025 tillsynsbegäran mail.docx", "A 40613-2025")</f>
        <v/>
      </c>
    </row>
    <row r="19" ht="15" customHeight="1">
      <c r="A19" t="inlineStr">
        <is>
          <t>A 20280-2025</t>
        </is>
      </c>
      <c r="B19" s="1" t="n">
        <v>45774.38790509259</v>
      </c>
      <c r="C19" s="1" t="n">
        <v>46064</v>
      </c>
      <c r="D19" t="inlineStr">
        <is>
          <t>SKÅNE LÄN</t>
        </is>
      </c>
      <c r="E19" t="inlineStr">
        <is>
          <t>HÄSSLEHOLM</t>
        </is>
      </c>
      <c r="G19" t="n">
        <v>3</v>
      </c>
      <c r="H19" t="n">
        <v>0</v>
      </c>
      <c r="I19" t="n">
        <v>0</v>
      </c>
      <c r="J19" t="n">
        <v>0</v>
      </c>
      <c r="K19" t="n">
        <v>1</v>
      </c>
      <c r="L19" t="n">
        <v>0</v>
      </c>
      <c r="M19" t="n">
        <v>0</v>
      </c>
      <c r="N19" t="n">
        <v>0</v>
      </c>
      <c r="O19" t="n">
        <v>1</v>
      </c>
      <c r="P19" t="n">
        <v>1</v>
      </c>
      <c r="Q19" t="n">
        <v>1</v>
      </c>
      <c r="R19" s="2" t="inlineStr">
        <is>
          <t>Revig blodrot</t>
        </is>
      </c>
      <c r="S19">
        <f>HYPERLINK("https://klasma.github.io/Logging_1293/artfynd/A 20280-2025 artfynd.xlsx", "A 20280-2025")</f>
        <v/>
      </c>
      <c r="T19">
        <f>HYPERLINK("https://klasma.github.io/Logging_1293/kartor/A 20280-2025 karta.png", "A 20280-2025")</f>
        <v/>
      </c>
      <c r="V19">
        <f>HYPERLINK("https://klasma.github.io/Logging_1293/klagomål/A 20280-2025 FSC-klagomål.docx", "A 20280-2025")</f>
        <v/>
      </c>
      <c r="W19">
        <f>HYPERLINK("https://klasma.github.io/Logging_1293/klagomålsmail/A 20280-2025 FSC-klagomål mail.docx", "A 20280-2025")</f>
        <v/>
      </c>
      <c r="X19">
        <f>HYPERLINK("https://klasma.github.io/Logging_1293/tillsyn/A 20280-2025 tillsynsbegäran.docx", "A 20280-2025")</f>
        <v/>
      </c>
      <c r="Y19">
        <f>HYPERLINK("https://klasma.github.io/Logging_1293/tillsynsmail/A 20280-2025 tillsynsbegäran mail.docx", "A 20280-2025")</f>
        <v/>
      </c>
    </row>
    <row r="20" ht="15" customHeight="1">
      <c r="A20" t="inlineStr">
        <is>
          <t>A 46602-2023</t>
        </is>
      </c>
      <c r="B20" s="1" t="n">
        <v>45194</v>
      </c>
      <c r="C20" s="1" t="n">
        <v>46064</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61707-2024</t>
        </is>
      </c>
      <c r="B21" s="1" t="n">
        <v>45648.61747685185</v>
      </c>
      <c r="C21" s="1" t="n">
        <v>46064</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6634-2024</t>
        </is>
      </c>
      <c r="B22" s="1" t="n">
        <v>45341</v>
      </c>
      <c r="C22" s="1" t="n">
        <v>46064</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46064</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54523-2024</t>
        </is>
      </c>
      <c r="B24" s="1" t="n">
        <v>45617</v>
      </c>
      <c r="C24" s="1" t="n">
        <v>46064</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46064</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9289-2025</t>
        </is>
      </c>
      <c r="B26" s="1" t="n">
        <v>45714</v>
      </c>
      <c r="C26" s="1" t="n">
        <v>46064</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36690-2025</t>
        </is>
      </c>
      <c r="B27" s="1" t="n">
        <v>45873.42915509259</v>
      </c>
      <c r="C27" s="1" t="n">
        <v>46064</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7862-2024</t>
        </is>
      </c>
      <c r="B28" s="1" t="n">
        <v>45348</v>
      </c>
      <c r="C28" s="1" t="n">
        <v>46064</v>
      </c>
      <c r="D28" t="inlineStr">
        <is>
          <t>SKÅNE LÄN</t>
        </is>
      </c>
      <c r="E28" t="inlineStr">
        <is>
          <t>HÄSSLEHOLM</t>
        </is>
      </c>
      <c r="G28" t="n">
        <v>5</v>
      </c>
      <c r="H28" t="n">
        <v>0</v>
      </c>
      <c r="I28" t="n">
        <v>1</v>
      </c>
      <c r="J28" t="n">
        <v>0</v>
      </c>
      <c r="K28" t="n">
        <v>0</v>
      </c>
      <c r="L28" t="n">
        <v>0</v>
      </c>
      <c r="M28" t="n">
        <v>0</v>
      </c>
      <c r="N28" t="n">
        <v>0</v>
      </c>
      <c r="O28" t="n">
        <v>0</v>
      </c>
      <c r="P28" t="n">
        <v>0</v>
      </c>
      <c r="Q28" t="n">
        <v>1</v>
      </c>
      <c r="R28" s="2" t="inlineStr">
        <is>
          <t>Stor revmossa</t>
        </is>
      </c>
      <c r="S28">
        <f>HYPERLINK("https://klasma.github.io/Logging_1293/artfynd/A 7862-2024 artfynd.xlsx", "A 7862-2024")</f>
        <v/>
      </c>
      <c r="T28">
        <f>HYPERLINK("https://klasma.github.io/Logging_1293/kartor/A 7862-2024 karta.png", "A 7862-2024")</f>
        <v/>
      </c>
      <c r="V28">
        <f>HYPERLINK("https://klasma.github.io/Logging_1293/klagomål/A 7862-2024 FSC-klagomål.docx", "A 7862-2024")</f>
        <v/>
      </c>
      <c r="W28">
        <f>HYPERLINK("https://klasma.github.io/Logging_1293/klagomålsmail/A 7862-2024 FSC-klagomål mail.docx", "A 7862-2024")</f>
        <v/>
      </c>
      <c r="X28">
        <f>HYPERLINK("https://klasma.github.io/Logging_1293/tillsyn/A 7862-2024 tillsynsbegäran.docx", "A 7862-2024")</f>
        <v/>
      </c>
      <c r="Y28">
        <f>HYPERLINK("https://klasma.github.io/Logging_1293/tillsynsmail/A 7862-2024 tillsynsbegäran mail.docx", "A 7862-2024")</f>
        <v/>
      </c>
    </row>
    <row r="29" ht="15" customHeight="1">
      <c r="A29" t="inlineStr">
        <is>
          <t>A 8223-2025</t>
        </is>
      </c>
      <c r="B29" s="1" t="n">
        <v>45708.46127314815</v>
      </c>
      <c r="C29" s="1" t="n">
        <v>46064</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29272-2023</t>
        </is>
      </c>
      <c r="B30" s="1" t="n">
        <v>45105</v>
      </c>
      <c r="C30" s="1" t="n">
        <v>46064</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57533-2025</t>
        </is>
      </c>
      <c r="B31" s="1" t="n">
        <v>45980.63923611111</v>
      </c>
      <c r="C31" s="1" t="n">
        <v>46064</v>
      </c>
      <c r="D31" t="inlineStr">
        <is>
          <t>SKÅNE LÄN</t>
        </is>
      </c>
      <c r="E31" t="inlineStr">
        <is>
          <t>HÄSSLEHOLM</t>
        </is>
      </c>
      <c r="G31" t="n">
        <v>0.9</v>
      </c>
      <c r="H31" t="n">
        <v>0</v>
      </c>
      <c r="I31" t="n">
        <v>1</v>
      </c>
      <c r="J31" t="n">
        <v>0</v>
      </c>
      <c r="K31" t="n">
        <v>0</v>
      </c>
      <c r="L31" t="n">
        <v>0</v>
      </c>
      <c r="M31" t="n">
        <v>0</v>
      </c>
      <c r="N31" t="n">
        <v>0</v>
      </c>
      <c r="O31" t="n">
        <v>0</v>
      </c>
      <c r="P31" t="n">
        <v>0</v>
      </c>
      <c r="Q31" t="n">
        <v>1</v>
      </c>
      <c r="R31" s="2" t="inlineStr">
        <is>
          <t>Strutbräken</t>
        </is>
      </c>
      <c r="S31">
        <f>HYPERLINK("https://klasma.github.io/Logging_1293/artfynd/A 57533-2025 artfynd.xlsx", "A 57533-2025")</f>
        <v/>
      </c>
      <c r="T31">
        <f>HYPERLINK("https://klasma.github.io/Logging_1293/kartor/A 57533-2025 karta.png", "A 57533-2025")</f>
        <v/>
      </c>
      <c r="V31">
        <f>HYPERLINK("https://klasma.github.io/Logging_1293/klagomål/A 57533-2025 FSC-klagomål.docx", "A 57533-2025")</f>
        <v/>
      </c>
      <c r="W31">
        <f>HYPERLINK("https://klasma.github.io/Logging_1293/klagomålsmail/A 57533-2025 FSC-klagomål mail.docx", "A 57533-2025")</f>
        <v/>
      </c>
      <c r="X31">
        <f>HYPERLINK("https://klasma.github.io/Logging_1293/tillsyn/A 57533-2025 tillsynsbegäran.docx", "A 57533-2025")</f>
        <v/>
      </c>
      <c r="Y31">
        <f>HYPERLINK("https://klasma.github.io/Logging_1293/tillsynsmail/A 57533-2025 tillsynsbegäran mail.docx", "A 57533-2025")</f>
        <v/>
      </c>
    </row>
    <row r="32" ht="15" customHeight="1">
      <c r="A32" t="inlineStr">
        <is>
          <t>A 16107-2025</t>
        </is>
      </c>
      <c r="B32" s="1" t="n">
        <v>45750.34537037037</v>
      </c>
      <c r="C32" s="1" t="n">
        <v>46064</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46064</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4619-2025</t>
        </is>
      </c>
      <c r="B34" s="1" t="n">
        <v>45687</v>
      </c>
      <c r="C34" s="1" t="n">
        <v>46064</v>
      </c>
      <c r="D34" t="inlineStr">
        <is>
          <t>SKÅNE LÄN</t>
        </is>
      </c>
      <c r="E34" t="inlineStr">
        <is>
          <t>HÄSSLEHOLM</t>
        </is>
      </c>
      <c r="G34" t="n">
        <v>2.2</v>
      </c>
      <c r="H34" t="n">
        <v>0</v>
      </c>
      <c r="I34" t="n">
        <v>0</v>
      </c>
      <c r="J34" t="n">
        <v>0</v>
      </c>
      <c r="K34" t="n">
        <v>1</v>
      </c>
      <c r="L34" t="n">
        <v>0</v>
      </c>
      <c r="M34" t="n">
        <v>0</v>
      </c>
      <c r="N34" t="n">
        <v>0</v>
      </c>
      <c r="O34" t="n">
        <v>1</v>
      </c>
      <c r="P34" t="n">
        <v>1</v>
      </c>
      <c r="Q34" t="n">
        <v>1</v>
      </c>
      <c r="R34" s="2" t="inlineStr">
        <is>
          <t>Vildris</t>
        </is>
      </c>
      <c r="S34">
        <f>HYPERLINK("https://klasma.github.io/Logging_1293/artfynd/A 4619-2025 artfynd.xlsx", "A 4619-2025")</f>
        <v/>
      </c>
      <c r="T34">
        <f>HYPERLINK("https://klasma.github.io/Logging_1293/kartor/A 4619-2025 karta.png", "A 4619-2025")</f>
        <v/>
      </c>
      <c r="V34">
        <f>HYPERLINK("https://klasma.github.io/Logging_1293/klagomål/A 4619-2025 FSC-klagomål.docx", "A 4619-2025")</f>
        <v/>
      </c>
      <c r="W34">
        <f>HYPERLINK("https://klasma.github.io/Logging_1293/klagomålsmail/A 4619-2025 FSC-klagomål mail.docx", "A 4619-2025")</f>
        <v/>
      </c>
      <c r="X34">
        <f>HYPERLINK("https://klasma.github.io/Logging_1293/tillsyn/A 4619-2025 tillsynsbegäran.docx", "A 4619-2025")</f>
        <v/>
      </c>
      <c r="Y34">
        <f>HYPERLINK("https://klasma.github.io/Logging_1293/tillsynsmail/A 4619-2025 tillsynsbegäran mail.docx", "A 4619-2025")</f>
        <v/>
      </c>
    </row>
    <row r="35" ht="15" customHeight="1">
      <c r="A35" t="inlineStr">
        <is>
          <t>A 49572-2022</t>
        </is>
      </c>
      <c r="B35" s="1" t="n">
        <v>44862.335</v>
      </c>
      <c r="C35" s="1" t="n">
        <v>46064</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14933-2023</t>
        </is>
      </c>
      <c r="B36" s="1" t="n">
        <v>45014</v>
      </c>
      <c r="C36" s="1" t="n">
        <v>46064</v>
      </c>
      <c r="D36" t="inlineStr">
        <is>
          <t>SKÅNE LÄN</t>
        </is>
      </c>
      <c r="E36" t="inlineStr">
        <is>
          <t>HÄSSLEHOLM</t>
        </is>
      </c>
      <c r="G36" t="n">
        <v>1.2</v>
      </c>
      <c r="H36" t="n">
        <v>0</v>
      </c>
      <c r="I36" t="n">
        <v>0</v>
      </c>
      <c r="J36" t="n">
        <v>0</v>
      </c>
      <c r="K36" t="n">
        <v>1</v>
      </c>
      <c r="L36" t="n">
        <v>0</v>
      </c>
      <c r="M36" t="n">
        <v>0</v>
      </c>
      <c r="N36" t="n">
        <v>0</v>
      </c>
      <c r="O36" t="n">
        <v>1</v>
      </c>
      <c r="P36" t="n">
        <v>1</v>
      </c>
      <c r="Q36" t="n">
        <v>1</v>
      </c>
      <c r="R36" s="2" t="inlineStr">
        <is>
          <t>Småvänderot</t>
        </is>
      </c>
      <c r="S36">
        <f>HYPERLINK("https://klasma.github.io/Logging_1293/artfynd/A 14933-2023 artfynd.xlsx", "A 14933-2023")</f>
        <v/>
      </c>
      <c r="T36">
        <f>HYPERLINK("https://klasma.github.io/Logging_1293/kartor/A 14933-2023 karta.png", "A 14933-2023")</f>
        <v/>
      </c>
      <c r="V36">
        <f>HYPERLINK("https://klasma.github.io/Logging_1293/klagomål/A 14933-2023 FSC-klagomål.docx", "A 14933-2023")</f>
        <v/>
      </c>
      <c r="W36">
        <f>HYPERLINK("https://klasma.github.io/Logging_1293/klagomålsmail/A 14933-2023 FSC-klagomål mail.docx", "A 14933-2023")</f>
        <v/>
      </c>
      <c r="X36">
        <f>HYPERLINK("https://klasma.github.io/Logging_1293/tillsyn/A 14933-2023 tillsynsbegäran.docx", "A 14933-2023")</f>
        <v/>
      </c>
      <c r="Y36">
        <f>HYPERLINK("https://klasma.github.io/Logging_1293/tillsynsmail/A 14933-2023 tillsynsbegäran mail.docx", "A 14933-2023")</f>
        <v/>
      </c>
    </row>
    <row r="37" ht="15" customHeight="1">
      <c r="A37" t="inlineStr">
        <is>
          <t>A 37457-2022</t>
        </is>
      </c>
      <c r="B37" s="1" t="n">
        <v>44809</v>
      </c>
      <c r="C37" s="1" t="n">
        <v>46064</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7655-2021</t>
        </is>
      </c>
      <c r="B38" s="1" t="n">
        <v>44242</v>
      </c>
      <c r="C38" s="1" t="n">
        <v>46064</v>
      </c>
      <c r="D38" t="inlineStr">
        <is>
          <t>SKÅNE LÄN</t>
        </is>
      </c>
      <c r="E38" t="inlineStr">
        <is>
          <t>HÄSSLEHOLM</t>
        </is>
      </c>
      <c r="G38" t="n">
        <v>0.8</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46064</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46064</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46064</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46064</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46064</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46064</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46064</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46064</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46064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46064</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46064</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46064</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46064</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46064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46064</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46064</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46064</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46064</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46064</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46064</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46064</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46064</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46064</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46064</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46064</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46064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46064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46064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46064</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46064</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46064</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46064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46064</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46064</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46064</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46064</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46064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46064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46064</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46064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46064</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46064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46064</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7522-2021</t>
        </is>
      </c>
      <c r="B99" s="1" t="n">
        <v>44238</v>
      </c>
      <c r="C99" s="1" t="n">
        <v>46064</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8278-2021</t>
        </is>
      </c>
      <c r="B100" s="1" t="n">
        <v>44244</v>
      </c>
      <c r="C100" s="1" t="n">
        <v>46064</v>
      </c>
      <c r="D100" t="inlineStr">
        <is>
          <t>SKÅNE LÄN</t>
        </is>
      </c>
      <c r="E100" t="inlineStr">
        <is>
          <t>HÄSSLEHOLM</t>
        </is>
      </c>
      <c r="F100" t="inlineStr">
        <is>
          <t>Kyrkan</t>
        </is>
      </c>
      <c r="G100" t="n">
        <v>1.4</v>
      </c>
      <c r="H100" t="n">
        <v>0</v>
      </c>
      <c r="I100" t="n">
        <v>0</v>
      </c>
      <c r="J100" t="n">
        <v>0</v>
      </c>
      <c r="K100" t="n">
        <v>0</v>
      </c>
      <c r="L100" t="n">
        <v>0</v>
      </c>
      <c r="M100" t="n">
        <v>0</v>
      </c>
      <c r="N100" t="n">
        <v>0</v>
      </c>
      <c r="O100" t="n">
        <v>0</v>
      </c>
      <c r="P100" t="n">
        <v>0</v>
      </c>
      <c r="Q100" t="n">
        <v>0</v>
      </c>
      <c r="R100" s="2" t="inlineStr"/>
    </row>
    <row r="101" ht="15" customHeight="1">
      <c r="A101" t="inlineStr">
        <is>
          <t>A 14054-2021</t>
        </is>
      </c>
      <c r="B101" s="1" t="n">
        <v>44277</v>
      </c>
      <c r="C101" s="1" t="n">
        <v>46064</v>
      </c>
      <c r="D101" t="inlineStr">
        <is>
          <t>SKÅNE LÄN</t>
        </is>
      </c>
      <c r="E101" t="inlineStr">
        <is>
          <t>HÄSSLEHOLM</t>
        </is>
      </c>
      <c r="G101" t="n">
        <v>2</v>
      </c>
      <c r="H101" t="n">
        <v>0</v>
      </c>
      <c r="I101" t="n">
        <v>0</v>
      </c>
      <c r="J101" t="n">
        <v>0</v>
      </c>
      <c r="K101" t="n">
        <v>0</v>
      </c>
      <c r="L101" t="n">
        <v>0</v>
      </c>
      <c r="M101" t="n">
        <v>0</v>
      </c>
      <c r="N101" t="n">
        <v>0</v>
      </c>
      <c r="O101" t="n">
        <v>0</v>
      </c>
      <c r="P101" t="n">
        <v>0</v>
      </c>
      <c r="Q101" t="n">
        <v>0</v>
      </c>
      <c r="R101" s="2" t="inlineStr"/>
    </row>
    <row r="102" ht="15" customHeight="1">
      <c r="A102" t="inlineStr">
        <is>
          <t>A 9257-2021</t>
        </is>
      </c>
      <c r="B102" s="1" t="n">
        <v>44250</v>
      </c>
      <c r="C102" s="1" t="n">
        <v>46064</v>
      </c>
      <c r="D102" t="inlineStr">
        <is>
          <t>SKÅNE LÄN</t>
        </is>
      </c>
      <c r="E102" t="inlineStr">
        <is>
          <t>HÄSSLEHOLM</t>
        </is>
      </c>
      <c r="G102" t="n">
        <v>2.2</v>
      </c>
      <c r="H102" t="n">
        <v>0</v>
      </c>
      <c r="I102" t="n">
        <v>0</v>
      </c>
      <c r="J102" t="n">
        <v>0</v>
      </c>
      <c r="K102" t="n">
        <v>0</v>
      </c>
      <c r="L102" t="n">
        <v>0</v>
      </c>
      <c r="M102" t="n">
        <v>0</v>
      </c>
      <c r="N102" t="n">
        <v>0</v>
      </c>
      <c r="O102" t="n">
        <v>0</v>
      </c>
      <c r="P102" t="n">
        <v>0</v>
      </c>
      <c r="Q102" t="n">
        <v>0</v>
      </c>
      <c r="R102" s="2" t="inlineStr"/>
    </row>
    <row r="103" ht="15" customHeight="1">
      <c r="A103" t="inlineStr">
        <is>
          <t>A 4156-2022</t>
        </is>
      </c>
      <c r="B103" s="1" t="n">
        <v>44588</v>
      </c>
      <c r="C103" s="1" t="n">
        <v>46064</v>
      </c>
      <c r="D103" t="inlineStr">
        <is>
          <t>SKÅNE LÄN</t>
        </is>
      </c>
      <c r="E103" t="inlineStr">
        <is>
          <t>HÄSSLEHOLM</t>
        </is>
      </c>
      <c r="G103" t="n">
        <v>0.8</v>
      </c>
      <c r="H103" t="n">
        <v>0</v>
      </c>
      <c r="I103" t="n">
        <v>0</v>
      </c>
      <c r="J103" t="n">
        <v>0</v>
      </c>
      <c r="K103" t="n">
        <v>0</v>
      </c>
      <c r="L103" t="n">
        <v>0</v>
      </c>
      <c r="M103" t="n">
        <v>0</v>
      </c>
      <c r="N103" t="n">
        <v>0</v>
      </c>
      <c r="O103" t="n">
        <v>0</v>
      </c>
      <c r="P103" t="n">
        <v>0</v>
      </c>
      <c r="Q103" t="n">
        <v>0</v>
      </c>
      <c r="R103" s="2" t="inlineStr"/>
    </row>
    <row r="104" ht="15" customHeight="1">
      <c r="A104" t="inlineStr">
        <is>
          <t>A 19449-2021</t>
        </is>
      </c>
      <c r="B104" s="1" t="n">
        <v>44310.88846064815</v>
      </c>
      <c r="C104" s="1" t="n">
        <v>46064</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41581-2021</t>
        </is>
      </c>
      <c r="B105" s="1" t="n">
        <v>44425.40167824074</v>
      </c>
      <c r="C105" s="1" t="n">
        <v>46064</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44328-2021</t>
        </is>
      </c>
      <c r="B106" s="1" t="n">
        <v>44435</v>
      </c>
      <c r="C106" s="1" t="n">
        <v>46064</v>
      </c>
      <c r="D106" t="inlineStr">
        <is>
          <t>SKÅNE LÄN</t>
        </is>
      </c>
      <c r="E106" t="inlineStr">
        <is>
          <t>HÄSSLEHOLM</t>
        </is>
      </c>
      <c r="G106" t="n">
        <v>2.7</v>
      </c>
      <c r="H106" t="n">
        <v>0</v>
      </c>
      <c r="I106" t="n">
        <v>0</v>
      </c>
      <c r="J106" t="n">
        <v>0</v>
      </c>
      <c r="K106" t="n">
        <v>0</v>
      </c>
      <c r="L106" t="n">
        <v>0</v>
      </c>
      <c r="M106" t="n">
        <v>0</v>
      </c>
      <c r="N106" t="n">
        <v>0</v>
      </c>
      <c r="O106" t="n">
        <v>0</v>
      </c>
      <c r="P106" t="n">
        <v>0</v>
      </c>
      <c r="Q106" t="n">
        <v>0</v>
      </c>
      <c r="R106" s="2" t="inlineStr"/>
    </row>
    <row r="107" ht="15" customHeight="1">
      <c r="A107" t="inlineStr">
        <is>
          <t>A 46217-2022</t>
        </is>
      </c>
      <c r="B107" s="1" t="n">
        <v>44846</v>
      </c>
      <c r="C107" s="1" t="n">
        <v>46064</v>
      </c>
      <c r="D107" t="inlineStr">
        <is>
          <t>SKÅNE LÄN</t>
        </is>
      </c>
      <c r="E107" t="inlineStr">
        <is>
          <t>HÄSSLEHOLM</t>
        </is>
      </c>
      <c r="G107" t="n">
        <v>3.1</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46064</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74293-2021</t>
        </is>
      </c>
      <c r="B109" s="1" t="n">
        <v>44558</v>
      </c>
      <c r="C109" s="1" t="n">
        <v>46064</v>
      </c>
      <c r="D109" t="inlineStr">
        <is>
          <t>SKÅNE LÄN</t>
        </is>
      </c>
      <c r="E109" t="inlineStr">
        <is>
          <t>HÄSSLEHOLM</t>
        </is>
      </c>
      <c r="F109" t="inlineStr">
        <is>
          <t>Kyrkan</t>
        </is>
      </c>
      <c r="G109" t="n">
        <v>3.3</v>
      </c>
      <c r="H109" t="n">
        <v>0</v>
      </c>
      <c r="I109" t="n">
        <v>0</v>
      </c>
      <c r="J109" t="n">
        <v>0</v>
      </c>
      <c r="K109" t="n">
        <v>0</v>
      </c>
      <c r="L109" t="n">
        <v>0</v>
      </c>
      <c r="M109" t="n">
        <v>0</v>
      </c>
      <c r="N109" t="n">
        <v>0</v>
      </c>
      <c r="O109" t="n">
        <v>0</v>
      </c>
      <c r="P109" t="n">
        <v>0</v>
      </c>
      <c r="Q109" t="n">
        <v>0</v>
      </c>
      <c r="R109" s="2" t="inlineStr"/>
    </row>
    <row r="110" ht="15" customHeight="1">
      <c r="A110" t="inlineStr">
        <is>
          <t>A 45349-2022</t>
        </is>
      </c>
      <c r="B110" s="1" t="n">
        <v>44844.6118287037</v>
      </c>
      <c r="C110" s="1" t="n">
        <v>46064</v>
      </c>
      <c r="D110" t="inlineStr">
        <is>
          <t>SKÅNE LÄN</t>
        </is>
      </c>
      <c r="E110" t="inlineStr">
        <is>
          <t>HÄSSLEHOLM</t>
        </is>
      </c>
      <c r="G110" t="n">
        <v>6.2</v>
      </c>
      <c r="H110" t="n">
        <v>0</v>
      </c>
      <c r="I110" t="n">
        <v>0</v>
      </c>
      <c r="J110" t="n">
        <v>0</v>
      </c>
      <c r="K110" t="n">
        <v>0</v>
      </c>
      <c r="L110" t="n">
        <v>0</v>
      </c>
      <c r="M110" t="n">
        <v>0</v>
      </c>
      <c r="N110" t="n">
        <v>0</v>
      </c>
      <c r="O110" t="n">
        <v>0</v>
      </c>
      <c r="P110" t="n">
        <v>0</v>
      </c>
      <c r="Q110" t="n">
        <v>0</v>
      </c>
      <c r="R110" s="2" t="inlineStr"/>
    </row>
    <row r="111" ht="15" customHeight="1">
      <c r="A111" t="inlineStr">
        <is>
          <t>A 15118-2022</t>
        </is>
      </c>
      <c r="B111" s="1" t="n">
        <v>44659</v>
      </c>
      <c r="C111" s="1" t="n">
        <v>46064</v>
      </c>
      <c r="D111" t="inlineStr">
        <is>
          <t>SKÅNE LÄN</t>
        </is>
      </c>
      <c r="E111" t="inlineStr">
        <is>
          <t>HÄSSLEHOLM</t>
        </is>
      </c>
      <c r="F111" t="inlineStr">
        <is>
          <t>Kyrkan</t>
        </is>
      </c>
      <c r="G111" t="n">
        <v>0.7</v>
      </c>
      <c r="H111" t="n">
        <v>0</v>
      </c>
      <c r="I111" t="n">
        <v>0</v>
      </c>
      <c r="J111" t="n">
        <v>0</v>
      </c>
      <c r="K111" t="n">
        <v>0</v>
      </c>
      <c r="L111" t="n">
        <v>0</v>
      </c>
      <c r="M111" t="n">
        <v>0</v>
      </c>
      <c r="N111" t="n">
        <v>0</v>
      </c>
      <c r="O111" t="n">
        <v>0</v>
      </c>
      <c r="P111" t="n">
        <v>0</v>
      </c>
      <c r="Q111" t="n">
        <v>0</v>
      </c>
      <c r="R111" s="2" t="inlineStr"/>
    </row>
    <row r="112" ht="15" customHeight="1">
      <c r="A112" t="inlineStr">
        <is>
          <t>A 43639-2021</t>
        </is>
      </c>
      <c r="B112" s="1" t="n">
        <v>44433</v>
      </c>
      <c r="C112" s="1" t="n">
        <v>46064</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7701-2021</t>
        </is>
      </c>
      <c r="B113" s="1" t="n">
        <v>44242</v>
      </c>
      <c r="C113" s="1" t="n">
        <v>46064</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3276-2022</t>
        </is>
      </c>
      <c r="B114" s="1" t="n">
        <v>44584.40916666666</v>
      </c>
      <c r="C114" s="1" t="n">
        <v>46064</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63972-2021</t>
        </is>
      </c>
      <c r="B115" s="1" t="n">
        <v>44509.89649305555</v>
      </c>
      <c r="C115" s="1" t="n">
        <v>46064</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52461-2021</t>
        </is>
      </c>
      <c r="B116" s="1" t="n">
        <v>44466</v>
      </c>
      <c r="C116" s="1" t="n">
        <v>46064</v>
      </c>
      <c r="D116" t="inlineStr">
        <is>
          <t>SKÅNE LÄN</t>
        </is>
      </c>
      <c r="E116" t="inlineStr">
        <is>
          <t>HÄSSLEHOLM</t>
        </is>
      </c>
      <c r="G116" t="n">
        <v>2.7</v>
      </c>
      <c r="H116" t="n">
        <v>0</v>
      </c>
      <c r="I116" t="n">
        <v>0</v>
      </c>
      <c r="J116" t="n">
        <v>0</v>
      </c>
      <c r="K116" t="n">
        <v>0</v>
      </c>
      <c r="L116" t="n">
        <v>0</v>
      </c>
      <c r="M116" t="n">
        <v>0</v>
      </c>
      <c r="N116" t="n">
        <v>0</v>
      </c>
      <c r="O116" t="n">
        <v>0</v>
      </c>
      <c r="P116" t="n">
        <v>0</v>
      </c>
      <c r="Q116" t="n">
        <v>0</v>
      </c>
      <c r="R116" s="2" t="inlineStr"/>
    </row>
    <row r="117" ht="15" customHeight="1">
      <c r="A117" t="inlineStr">
        <is>
          <t>A 5564-2022</t>
        </is>
      </c>
      <c r="B117" s="1" t="n">
        <v>44595</v>
      </c>
      <c r="C117" s="1" t="n">
        <v>46064</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37334-2021</t>
        </is>
      </c>
      <c r="B118" s="1" t="n">
        <v>44397.57800925926</v>
      </c>
      <c r="C118" s="1" t="n">
        <v>46064</v>
      </c>
      <c r="D118" t="inlineStr">
        <is>
          <t>SKÅNE LÄN</t>
        </is>
      </c>
      <c r="E118" t="inlineStr">
        <is>
          <t>HÄSSLEHOLM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46064</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21535-2021</t>
        </is>
      </c>
      <c r="B120" s="1" t="n">
        <v>44321</v>
      </c>
      <c r="C120" s="1" t="n">
        <v>46064</v>
      </c>
      <c r="D120" t="inlineStr">
        <is>
          <t>SKÅNE LÄN</t>
        </is>
      </c>
      <c r="E120" t="inlineStr">
        <is>
          <t>HÄSSLEHOLM</t>
        </is>
      </c>
      <c r="G120" t="n">
        <v>2.8</v>
      </c>
      <c r="H120" t="n">
        <v>0</v>
      </c>
      <c r="I120" t="n">
        <v>0</v>
      </c>
      <c r="J120" t="n">
        <v>0</v>
      </c>
      <c r="K120" t="n">
        <v>0</v>
      </c>
      <c r="L120" t="n">
        <v>0</v>
      </c>
      <c r="M120" t="n">
        <v>0</v>
      </c>
      <c r="N120" t="n">
        <v>0</v>
      </c>
      <c r="O120" t="n">
        <v>0</v>
      </c>
      <c r="P120" t="n">
        <v>0</v>
      </c>
      <c r="Q120" t="n">
        <v>0</v>
      </c>
      <c r="R120" s="2" t="inlineStr"/>
    </row>
    <row r="121" ht="15" customHeight="1">
      <c r="A121" t="inlineStr">
        <is>
          <t>A 34027-2021</t>
        </is>
      </c>
      <c r="B121" s="1" t="n">
        <v>44379</v>
      </c>
      <c r="C121" s="1" t="n">
        <v>46064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32792-2021</t>
        </is>
      </c>
      <c r="B122" s="1" t="n">
        <v>44375</v>
      </c>
      <c r="C122" s="1" t="n">
        <v>46064</v>
      </c>
      <c r="D122" t="inlineStr">
        <is>
          <t>SKÅNE LÄN</t>
        </is>
      </c>
      <c r="E122" t="inlineStr">
        <is>
          <t>HÄSSLEHOLM</t>
        </is>
      </c>
      <c r="G122" t="n">
        <v>1</v>
      </c>
      <c r="H122" t="n">
        <v>0</v>
      </c>
      <c r="I122" t="n">
        <v>0</v>
      </c>
      <c r="J122" t="n">
        <v>0</v>
      </c>
      <c r="K122" t="n">
        <v>0</v>
      </c>
      <c r="L122" t="n">
        <v>0</v>
      </c>
      <c r="M122" t="n">
        <v>0</v>
      </c>
      <c r="N122" t="n">
        <v>0</v>
      </c>
      <c r="O122" t="n">
        <v>0</v>
      </c>
      <c r="P122" t="n">
        <v>0</v>
      </c>
      <c r="Q122" t="n">
        <v>0</v>
      </c>
      <c r="R122" s="2" t="inlineStr"/>
    </row>
    <row r="123" ht="15" customHeight="1">
      <c r="A123" t="inlineStr">
        <is>
          <t>A 3167-2022</t>
        </is>
      </c>
      <c r="B123" s="1" t="n">
        <v>44582</v>
      </c>
      <c r="C123" s="1" t="n">
        <v>46064</v>
      </c>
      <c r="D123" t="inlineStr">
        <is>
          <t>SKÅNE LÄN</t>
        </is>
      </c>
      <c r="E123" t="inlineStr">
        <is>
          <t>HÄSSLEHOLM</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33736-2021</t>
        </is>
      </c>
      <c r="B124" s="1" t="n">
        <v>44378</v>
      </c>
      <c r="C124" s="1" t="n">
        <v>46064</v>
      </c>
      <c r="D124" t="inlineStr">
        <is>
          <t>SKÅNE LÄN</t>
        </is>
      </c>
      <c r="E124" t="inlineStr">
        <is>
          <t>HÄSSLEHOLM</t>
        </is>
      </c>
      <c r="G124" t="n">
        <v>7.6</v>
      </c>
      <c r="H124" t="n">
        <v>0</v>
      </c>
      <c r="I124" t="n">
        <v>0</v>
      </c>
      <c r="J124" t="n">
        <v>0</v>
      </c>
      <c r="K124" t="n">
        <v>0</v>
      </c>
      <c r="L124" t="n">
        <v>0</v>
      </c>
      <c r="M124" t="n">
        <v>0</v>
      </c>
      <c r="N124" t="n">
        <v>0</v>
      </c>
      <c r="O124" t="n">
        <v>0</v>
      </c>
      <c r="P124" t="n">
        <v>0</v>
      </c>
      <c r="Q124" t="n">
        <v>0</v>
      </c>
      <c r="R124" s="2" t="inlineStr"/>
    </row>
    <row r="125" ht="15" customHeight="1">
      <c r="A125" t="inlineStr">
        <is>
          <t>A 4161-2022</t>
        </is>
      </c>
      <c r="B125" s="1" t="n">
        <v>44588</v>
      </c>
      <c r="C125" s="1" t="n">
        <v>46064</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40702-2021</t>
        </is>
      </c>
      <c r="B126" s="1" t="n">
        <v>44420.61719907408</v>
      </c>
      <c r="C126" s="1" t="n">
        <v>46064</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46064</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21029-2021</t>
        </is>
      </c>
      <c r="B128" s="1" t="n">
        <v>44319.63366898148</v>
      </c>
      <c r="C128" s="1" t="n">
        <v>46064</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1535-2022</t>
        </is>
      </c>
      <c r="B129" s="1" t="n">
        <v>44573</v>
      </c>
      <c r="C129" s="1" t="n">
        <v>46064</v>
      </c>
      <c r="D129" t="inlineStr">
        <is>
          <t>SKÅNE LÄN</t>
        </is>
      </c>
      <c r="E129" t="inlineStr">
        <is>
          <t>HÄSSLEHOLM</t>
        </is>
      </c>
      <c r="G129" t="n">
        <v>15</v>
      </c>
      <c r="H129" t="n">
        <v>0</v>
      </c>
      <c r="I129" t="n">
        <v>0</v>
      </c>
      <c r="J129" t="n">
        <v>0</v>
      </c>
      <c r="K129" t="n">
        <v>0</v>
      </c>
      <c r="L129" t="n">
        <v>0</v>
      </c>
      <c r="M129" t="n">
        <v>0</v>
      </c>
      <c r="N129" t="n">
        <v>0</v>
      </c>
      <c r="O129" t="n">
        <v>0</v>
      </c>
      <c r="P129" t="n">
        <v>0</v>
      </c>
      <c r="Q129" t="n">
        <v>0</v>
      </c>
      <c r="R129" s="2" t="inlineStr"/>
    </row>
    <row r="130" ht="15" customHeight="1">
      <c r="A130" t="inlineStr">
        <is>
          <t>A 64607-2021</t>
        </is>
      </c>
      <c r="B130" s="1" t="n">
        <v>44511</v>
      </c>
      <c r="C130" s="1" t="n">
        <v>46064</v>
      </c>
      <c r="D130" t="inlineStr">
        <is>
          <t>SKÅNE LÄN</t>
        </is>
      </c>
      <c r="E130" t="inlineStr">
        <is>
          <t>HÄSSLEHOLM</t>
        </is>
      </c>
      <c r="G130" t="n">
        <v>1.5</v>
      </c>
      <c r="H130" t="n">
        <v>0</v>
      </c>
      <c r="I130" t="n">
        <v>0</v>
      </c>
      <c r="J130" t="n">
        <v>0</v>
      </c>
      <c r="K130" t="n">
        <v>0</v>
      </c>
      <c r="L130" t="n">
        <v>0</v>
      </c>
      <c r="M130" t="n">
        <v>0</v>
      </c>
      <c r="N130" t="n">
        <v>0</v>
      </c>
      <c r="O130" t="n">
        <v>0</v>
      </c>
      <c r="P130" t="n">
        <v>0</v>
      </c>
      <c r="Q130" t="n">
        <v>0</v>
      </c>
      <c r="R130" s="2" t="inlineStr"/>
    </row>
    <row r="131" ht="15" customHeight="1">
      <c r="A131" t="inlineStr">
        <is>
          <t>A 13982-2021</t>
        </is>
      </c>
      <c r="B131" s="1" t="n">
        <v>44277.57800925926</v>
      </c>
      <c r="C131" s="1" t="n">
        <v>46064</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18515-2021</t>
        </is>
      </c>
      <c r="B132" s="1" t="n">
        <v>44305</v>
      </c>
      <c r="C132" s="1" t="n">
        <v>46064</v>
      </c>
      <c r="D132" t="inlineStr">
        <is>
          <t>SKÅNE LÄN</t>
        </is>
      </c>
      <c r="E132" t="inlineStr">
        <is>
          <t>HÄSSLEHOLM</t>
        </is>
      </c>
      <c r="F132" t="inlineStr">
        <is>
          <t>Övriga Aktiebolag</t>
        </is>
      </c>
      <c r="G132" t="n">
        <v>0.5</v>
      </c>
      <c r="H132" t="n">
        <v>0</v>
      </c>
      <c r="I132" t="n">
        <v>0</v>
      </c>
      <c r="J132" t="n">
        <v>0</v>
      </c>
      <c r="K132" t="n">
        <v>0</v>
      </c>
      <c r="L132" t="n">
        <v>0</v>
      </c>
      <c r="M132" t="n">
        <v>0</v>
      </c>
      <c r="N132" t="n">
        <v>0</v>
      </c>
      <c r="O132" t="n">
        <v>0</v>
      </c>
      <c r="P132" t="n">
        <v>0</v>
      </c>
      <c r="Q132" t="n">
        <v>0</v>
      </c>
      <c r="R132" s="2" t="inlineStr"/>
    </row>
    <row r="133" ht="15" customHeight="1">
      <c r="A133" t="inlineStr">
        <is>
          <t>A 18523-2021</t>
        </is>
      </c>
      <c r="B133" s="1" t="n">
        <v>44305</v>
      </c>
      <c r="C133" s="1" t="n">
        <v>46064</v>
      </c>
      <c r="D133" t="inlineStr">
        <is>
          <t>SKÅNE LÄN</t>
        </is>
      </c>
      <c r="E133" t="inlineStr">
        <is>
          <t>HÄSSLEHOLM</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12617-2021</t>
        </is>
      </c>
      <c r="B134" s="1" t="n">
        <v>44270.45030092593</v>
      </c>
      <c r="C134" s="1" t="n">
        <v>46064</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2631-2022</t>
        </is>
      </c>
      <c r="B135" s="1" t="n">
        <v>44580</v>
      </c>
      <c r="C135" s="1" t="n">
        <v>46064</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15423-2022</t>
        </is>
      </c>
      <c r="B136" s="1" t="n">
        <v>44659</v>
      </c>
      <c r="C136" s="1" t="n">
        <v>46064</v>
      </c>
      <c r="D136" t="inlineStr">
        <is>
          <t>SKÅNE LÄN</t>
        </is>
      </c>
      <c r="E136" t="inlineStr">
        <is>
          <t>HÄSSLEHOLM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56989-2021</t>
        </is>
      </c>
      <c r="B137" s="1" t="n">
        <v>44482</v>
      </c>
      <c r="C137" s="1" t="n">
        <v>46064</v>
      </c>
      <c r="D137" t="inlineStr">
        <is>
          <t>SKÅNE LÄN</t>
        </is>
      </c>
      <c r="E137" t="inlineStr">
        <is>
          <t>HÄSSLEHOLM</t>
        </is>
      </c>
      <c r="G137" t="n">
        <v>1.1</v>
      </c>
      <c r="H137" t="n">
        <v>0</v>
      </c>
      <c r="I137" t="n">
        <v>0</v>
      </c>
      <c r="J137" t="n">
        <v>0</v>
      </c>
      <c r="K137" t="n">
        <v>0</v>
      </c>
      <c r="L137" t="n">
        <v>0</v>
      </c>
      <c r="M137" t="n">
        <v>0</v>
      </c>
      <c r="N137" t="n">
        <v>0</v>
      </c>
      <c r="O137" t="n">
        <v>0</v>
      </c>
      <c r="P137" t="n">
        <v>0</v>
      </c>
      <c r="Q137" t="n">
        <v>0</v>
      </c>
      <c r="R137" s="2" t="inlineStr"/>
    </row>
    <row r="138" ht="15" customHeight="1">
      <c r="A138" t="inlineStr">
        <is>
          <t>A 25383-2021</t>
        </is>
      </c>
      <c r="B138" s="1" t="n">
        <v>44342</v>
      </c>
      <c r="C138" s="1" t="n">
        <v>46064</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27330-2021</t>
        </is>
      </c>
      <c r="B139" s="1" t="n">
        <v>44351</v>
      </c>
      <c r="C139" s="1" t="n">
        <v>46064</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51159-2021</t>
        </is>
      </c>
      <c r="B140" s="1" t="n">
        <v>44461</v>
      </c>
      <c r="C140" s="1" t="n">
        <v>46064</v>
      </c>
      <c r="D140" t="inlineStr">
        <is>
          <t>SKÅNE LÄN</t>
        </is>
      </c>
      <c r="E140" t="inlineStr">
        <is>
          <t>HÄSSLEHOLM</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354-2022</t>
        </is>
      </c>
      <c r="B141" s="1" t="n">
        <v>44565.62510416667</v>
      </c>
      <c r="C141" s="1" t="n">
        <v>46064</v>
      </c>
      <c r="D141" t="inlineStr">
        <is>
          <t>SKÅNE LÄN</t>
        </is>
      </c>
      <c r="E141" t="inlineStr">
        <is>
          <t>HÄSSLEHOLM</t>
        </is>
      </c>
      <c r="G141" t="n">
        <v>2.4</v>
      </c>
      <c r="H141" t="n">
        <v>0</v>
      </c>
      <c r="I141" t="n">
        <v>0</v>
      </c>
      <c r="J141" t="n">
        <v>0</v>
      </c>
      <c r="K141" t="n">
        <v>0</v>
      </c>
      <c r="L141" t="n">
        <v>0</v>
      </c>
      <c r="M141" t="n">
        <v>0</v>
      </c>
      <c r="N141" t="n">
        <v>0</v>
      </c>
      <c r="O141" t="n">
        <v>0</v>
      </c>
      <c r="P141" t="n">
        <v>0</v>
      </c>
      <c r="Q141" t="n">
        <v>0</v>
      </c>
      <c r="R141" s="2" t="inlineStr"/>
    </row>
    <row r="142" ht="15" customHeight="1">
      <c r="A142" t="inlineStr">
        <is>
          <t>A 32892-2021</t>
        </is>
      </c>
      <c r="B142" s="1" t="n">
        <v>44375</v>
      </c>
      <c r="C142" s="1" t="n">
        <v>46064</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39102-2022</t>
        </is>
      </c>
      <c r="B143" s="1" t="n">
        <v>44817.43260416666</v>
      </c>
      <c r="C143" s="1" t="n">
        <v>46064</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47112-2021</t>
        </is>
      </c>
      <c r="B144" s="1" t="n">
        <v>44446</v>
      </c>
      <c r="C144" s="1" t="n">
        <v>46064</v>
      </c>
      <c r="D144" t="inlineStr">
        <is>
          <t>SKÅNE LÄN</t>
        </is>
      </c>
      <c r="E144" t="inlineStr">
        <is>
          <t>HÄSSLEHOLM</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6414-2022</t>
        </is>
      </c>
      <c r="B145" s="1" t="n">
        <v>44600</v>
      </c>
      <c r="C145" s="1" t="n">
        <v>46064</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56431-2021</t>
        </is>
      </c>
      <c r="B146" s="1" t="n">
        <v>44480</v>
      </c>
      <c r="C146" s="1" t="n">
        <v>46064</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52567-2021</t>
        </is>
      </c>
      <c r="B147" s="1" t="n">
        <v>44466</v>
      </c>
      <c r="C147" s="1" t="n">
        <v>46064</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74297-2021</t>
        </is>
      </c>
      <c r="B148" s="1" t="n">
        <v>44558</v>
      </c>
      <c r="C148" s="1" t="n">
        <v>46064</v>
      </c>
      <c r="D148" t="inlineStr">
        <is>
          <t>SKÅNE LÄN</t>
        </is>
      </c>
      <c r="E148" t="inlineStr">
        <is>
          <t>HÄSSLEHOLM</t>
        </is>
      </c>
      <c r="F148" t="inlineStr">
        <is>
          <t>Kyrkan</t>
        </is>
      </c>
      <c r="G148" t="n">
        <v>3.8</v>
      </c>
      <c r="H148" t="n">
        <v>0</v>
      </c>
      <c r="I148" t="n">
        <v>0</v>
      </c>
      <c r="J148" t="n">
        <v>0</v>
      </c>
      <c r="K148" t="n">
        <v>0</v>
      </c>
      <c r="L148" t="n">
        <v>0</v>
      </c>
      <c r="M148" t="n">
        <v>0</v>
      </c>
      <c r="N148" t="n">
        <v>0</v>
      </c>
      <c r="O148" t="n">
        <v>0</v>
      </c>
      <c r="P148" t="n">
        <v>0</v>
      </c>
      <c r="Q148" t="n">
        <v>0</v>
      </c>
      <c r="R148" s="2" t="inlineStr"/>
    </row>
    <row r="149" ht="15" customHeight="1">
      <c r="A149" t="inlineStr">
        <is>
          <t>A 52295-2021</t>
        </is>
      </c>
      <c r="B149" s="1" t="n">
        <v>44463</v>
      </c>
      <c r="C149" s="1" t="n">
        <v>46064</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68909-2021</t>
        </is>
      </c>
      <c r="B150" s="1" t="n">
        <v>44530.46730324074</v>
      </c>
      <c r="C150" s="1" t="n">
        <v>46064</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23003-2021</t>
        </is>
      </c>
      <c r="B151" s="1" t="n">
        <v>44328</v>
      </c>
      <c r="C151" s="1" t="n">
        <v>46064</v>
      </c>
      <c r="D151" t="inlineStr">
        <is>
          <t>SKÅNE LÄN</t>
        </is>
      </c>
      <c r="E151" t="inlineStr">
        <is>
          <t>HÄSSLEHOLM</t>
        </is>
      </c>
      <c r="G151" t="n">
        <v>4.4</v>
      </c>
      <c r="H151" t="n">
        <v>0</v>
      </c>
      <c r="I151" t="n">
        <v>0</v>
      </c>
      <c r="J151" t="n">
        <v>0</v>
      </c>
      <c r="K151" t="n">
        <v>0</v>
      </c>
      <c r="L151" t="n">
        <v>0</v>
      </c>
      <c r="M151" t="n">
        <v>0</v>
      </c>
      <c r="N151" t="n">
        <v>0</v>
      </c>
      <c r="O151" t="n">
        <v>0</v>
      </c>
      <c r="P151" t="n">
        <v>0</v>
      </c>
      <c r="Q151" t="n">
        <v>0</v>
      </c>
      <c r="R151" s="2" t="inlineStr"/>
    </row>
    <row r="152" ht="15" customHeight="1">
      <c r="A152" t="inlineStr">
        <is>
          <t>A 5091-2022</t>
        </is>
      </c>
      <c r="B152" s="1" t="n">
        <v>44593.85114583333</v>
      </c>
      <c r="C152" s="1" t="n">
        <v>46064</v>
      </c>
      <c r="D152" t="inlineStr">
        <is>
          <t>SKÅNE LÄN</t>
        </is>
      </c>
      <c r="E152" t="inlineStr">
        <is>
          <t>HÄSSLEHOLM</t>
        </is>
      </c>
      <c r="G152" t="n">
        <v>2.5</v>
      </c>
      <c r="H152" t="n">
        <v>0</v>
      </c>
      <c r="I152" t="n">
        <v>0</v>
      </c>
      <c r="J152" t="n">
        <v>0</v>
      </c>
      <c r="K152" t="n">
        <v>0</v>
      </c>
      <c r="L152" t="n">
        <v>0</v>
      </c>
      <c r="M152" t="n">
        <v>0</v>
      </c>
      <c r="N152" t="n">
        <v>0</v>
      </c>
      <c r="O152" t="n">
        <v>0</v>
      </c>
      <c r="P152" t="n">
        <v>0</v>
      </c>
      <c r="Q152" t="n">
        <v>0</v>
      </c>
      <c r="R152" s="2" t="inlineStr"/>
    </row>
    <row r="153" ht="15" customHeight="1">
      <c r="A153" t="inlineStr">
        <is>
          <t>A 60260-2021</t>
        </is>
      </c>
      <c r="B153" s="1" t="n">
        <v>44495</v>
      </c>
      <c r="C153" s="1" t="n">
        <v>46064</v>
      </c>
      <c r="D153" t="inlineStr">
        <is>
          <t>SKÅNE LÄN</t>
        </is>
      </c>
      <c r="E153" t="inlineStr">
        <is>
          <t>HÄSSLEHOLM</t>
        </is>
      </c>
      <c r="G153" t="n">
        <v>2.1</v>
      </c>
      <c r="H153" t="n">
        <v>0</v>
      </c>
      <c r="I153" t="n">
        <v>0</v>
      </c>
      <c r="J153" t="n">
        <v>0</v>
      </c>
      <c r="K153" t="n">
        <v>0</v>
      </c>
      <c r="L153" t="n">
        <v>0</v>
      </c>
      <c r="M153" t="n">
        <v>0</v>
      </c>
      <c r="N153" t="n">
        <v>0</v>
      </c>
      <c r="O153" t="n">
        <v>0</v>
      </c>
      <c r="P153" t="n">
        <v>0</v>
      </c>
      <c r="Q153" t="n">
        <v>0</v>
      </c>
      <c r="R153" s="2" t="inlineStr"/>
    </row>
    <row r="154" ht="15" customHeight="1">
      <c r="A154" t="inlineStr">
        <is>
          <t>A 15986-2022</t>
        </is>
      </c>
      <c r="B154" s="1" t="n">
        <v>44664</v>
      </c>
      <c r="C154" s="1" t="n">
        <v>46064</v>
      </c>
      <c r="D154" t="inlineStr">
        <is>
          <t>SKÅNE LÄN</t>
        </is>
      </c>
      <c r="E154" t="inlineStr">
        <is>
          <t>HÄSSLEHOLM</t>
        </is>
      </c>
      <c r="F154" t="inlineStr">
        <is>
          <t>Kyrkan</t>
        </is>
      </c>
      <c r="G154" t="n">
        <v>6</v>
      </c>
      <c r="H154" t="n">
        <v>0</v>
      </c>
      <c r="I154" t="n">
        <v>0</v>
      </c>
      <c r="J154" t="n">
        <v>0</v>
      </c>
      <c r="K154" t="n">
        <v>0</v>
      </c>
      <c r="L154" t="n">
        <v>0</v>
      </c>
      <c r="M154" t="n">
        <v>0</v>
      </c>
      <c r="N154" t="n">
        <v>0</v>
      </c>
      <c r="O154" t="n">
        <v>0</v>
      </c>
      <c r="P154" t="n">
        <v>0</v>
      </c>
      <c r="Q154" t="n">
        <v>0</v>
      </c>
      <c r="R154" s="2" t="inlineStr"/>
    </row>
    <row r="155" ht="15" customHeight="1">
      <c r="A155" t="inlineStr">
        <is>
          <t>A 52786-2021</t>
        </is>
      </c>
      <c r="B155" s="1" t="n">
        <v>44467.36061342592</v>
      </c>
      <c r="C155" s="1" t="n">
        <v>46064</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51888-2021</t>
        </is>
      </c>
      <c r="B156" s="1" t="n">
        <v>44462</v>
      </c>
      <c r="C156" s="1" t="n">
        <v>46064</v>
      </c>
      <c r="D156" t="inlineStr">
        <is>
          <t>SKÅNE LÄN</t>
        </is>
      </c>
      <c r="E156" t="inlineStr">
        <is>
          <t>HÄSSLEHOLM</t>
        </is>
      </c>
      <c r="G156" t="n">
        <v>5.6</v>
      </c>
      <c r="H156" t="n">
        <v>0</v>
      </c>
      <c r="I156" t="n">
        <v>0</v>
      </c>
      <c r="J156" t="n">
        <v>0</v>
      </c>
      <c r="K156" t="n">
        <v>0</v>
      </c>
      <c r="L156" t="n">
        <v>0</v>
      </c>
      <c r="M156" t="n">
        <v>0</v>
      </c>
      <c r="N156" t="n">
        <v>0</v>
      </c>
      <c r="O156" t="n">
        <v>0</v>
      </c>
      <c r="P156" t="n">
        <v>0</v>
      </c>
      <c r="Q156" t="n">
        <v>0</v>
      </c>
      <c r="R156" s="2" t="inlineStr"/>
    </row>
    <row r="157" ht="15" customHeight="1">
      <c r="A157" t="inlineStr">
        <is>
          <t>A 29143-2021</t>
        </is>
      </c>
      <c r="B157" s="1" t="n">
        <v>44358.6319212963</v>
      </c>
      <c r="C157" s="1" t="n">
        <v>46064</v>
      </c>
      <c r="D157" t="inlineStr">
        <is>
          <t>SKÅNE LÄN</t>
        </is>
      </c>
      <c r="E157" t="inlineStr">
        <is>
          <t>HÄSSLEHOLM</t>
        </is>
      </c>
      <c r="G157" t="n">
        <v>2.9</v>
      </c>
      <c r="H157" t="n">
        <v>0</v>
      </c>
      <c r="I157" t="n">
        <v>0</v>
      </c>
      <c r="J157" t="n">
        <v>0</v>
      </c>
      <c r="K157" t="n">
        <v>0</v>
      </c>
      <c r="L157" t="n">
        <v>0</v>
      </c>
      <c r="M157" t="n">
        <v>0</v>
      </c>
      <c r="N157" t="n">
        <v>0</v>
      </c>
      <c r="O157" t="n">
        <v>0</v>
      </c>
      <c r="P157" t="n">
        <v>0</v>
      </c>
      <c r="Q157" t="n">
        <v>0</v>
      </c>
      <c r="R157" s="2" t="inlineStr"/>
    </row>
    <row r="158" ht="15" customHeight="1">
      <c r="A158" t="inlineStr">
        <is>
          <t>A 44669-2022</t>
        </is>
      </c>
      <c r="B158" s="1" t="n">
        <v>44840</v>
      </c>
      <c r="C158" s="1" t="n">
        <v>46064</v>
      </c>
      <c r="D158" t="inlineStr">
        <is>
          <t>SKÅNE LÄN</t>
        </is>
      </c>
      <c r="E158" t="inlineStr">
        <is>
          <t>HÄSSLEHOLM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26386-2022</t>
        </is>
      </c>
      <c r="B159" s="1" t="n">
        <v>44735.6803125</v>
      </c>
      <c r="C159" s="1" t="n">
        <v>46064</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73513-2021</t>
        </is>
      </c>
      <c r="B160" s="1" t="n">
        <v>44551.69012731482</v>
      </c>
      <c r="C160" s="1" t="n">
        <v>46064</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25469-2022</t>
        </is>
      </c>
      <c r="B161" s="1" t="n">
        <v>44732</v>
      </c>
      <c r="C161" s="1" t="n">
        <v>46064</v>
      </c>
      <c r="D161" t="inlineStr">
        <is>
          <t>SKÅNE LÄN</t>
        </is>
      </c>
      <c r="E161" t="inlineStr">
        <is>
          <t>HÄSSLEHOLM</t>
        </is>
      </c>
      <c r="G161" t="n">
        <v>4.2</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46064</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2858-2022</t>
        </is>
      </c>
      <c r="B163" s="1" t="n">
        <v>44581</v>
      </c>
      <c r="C163" s="1" t="n">
        <v>46064</v>
      </c>
      <c r="D163" t="inlineStr">
        <is>
          <t>SKÅNE LÄN</t>
        </is>
      </c>
      <c r="E163" t="inlineStr">
        <is>
          <t>HÄSSLEHOLM</t>
        </is>
      </c>
      <c r="F163" t="inlineStr">
        <is>
          <t>Övriga Aktiebolag</t>
        </is>
      </c>
      <c r="G163" t="n">
        <v>1.3</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44565.84958333334</v>
      </c>
      <c r="C164" s="1" t="n">
        <v>46064</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23830-2021</t>
        </is>
      </c>
      <c r="B165" s="1" t="n">
        <v>44335</v>
      </c>
      <c r="C165" s="1" t="n">
        <v>46064</v>
      </c>
      <c r="D165" t="inlineStr">
        <is>
          <t>SKÅNE LÄN</t>
        </is>
      </c>
      <c r="E165" t="inlineStr">
        <is>
          <t>HÄSSLEHOLM</t>
        </is>
      </c>
      <c r="G165" t="n">
        <v>18.7</v>
      </c>
      <c r="H165" t="n">
        <v>0</v>
      </c>
      <c r="I165" t="n">
        <v>0</v>
      </c>
      <c r="J165" t="n">
        <v>0</v>
      </c>
      <c r="K165" t="n">
        <v>0</v>
      </c>
      <c r="L165" t="n">
        <v>0</v>
      </c>
      <c r="M165" t="n">
        <v>0</v>
      </c>
      <c r="N165" t="n">
        <v>0</v>
      </c>
      <c r="O165" t="n">
        <v>0</v>
      </c>
      <c r="P165" t="n">
        <v>0</v>
      </c>
      <c r="Q165" t="n">
        <v>0</v>
      </c>
      <c r="R165" s="2" t="inlineStr"/>
    </row>
    <row r="166" ht="15" customHeight="1">
      <c r="A166" t="inlineStr">
        <is>
          <t>A 7729-2021</t>
        </is>
      </c>
      <c r="B166" s="1" t="n">
        <v>44242</v>
      </c>
      <c r="C166" s="1" t="n">
        <v>46064</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11616-2021</t>
        </is>
      </c>
      <c r="B167" s="1" t="n">
        <v>44264.63064814815</v>
      </c>
      <c r="C167" s="1" t="n">
        <v>46064</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51893-2021</t>
        </is>
      </c>
      <c r="B168" s="1" t="n">
        <v>44462</v>
      </c>
      <c r="C168" s="1" t="n">
        <v>46064</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55394-2022</t>
        </is>
      </c>
      <c r="B169" s="1" t="n">
        <v>44887.57112268519</v>
      </c>
      <c r="C169" s="1" t="n">
        <v>46064</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45357-2022</t>
        </is>
      </c>
      <c r="B170" s="1" t="n">
        <v>44844.61952546296</v>
      </c>
      <c r="C170" s="1" t="n">
        <v>46064</v>
      </c>
      <c r="D170" t="inlineStr">
        <is>
          <t>SKÅNE LÄN</t>
        </is>
      </c>
      <c r="E170" t="inlineStr">
        <is>
          <t>HÄSSLEHOLM</t>
        </is>
      </c>
      <c r="G170" t="n">
        <v>5.8</v>
      </c>
      <c r="H170" t="n">
        <v>0</v>
      </c>
      <c r="I170" t="n">
        <v>0</v>
      </c>
      <c r="J170" t="n">
        <v>0</v>
      </c>
      <c r="K170" t="n">
        <v>0</v>
      </c>
      <c r="L170" t="n">
        <v>0</v>
      </c>
      <c r="M170" t="n">
        <v>0</v>
      </c>
      <c r="N170" t="n">
        <v>0</v>
      </c>
      <c r="O170" t="n">
        <v>0</v>
      </c>
      <c r="P170" t="n">
        <v>0</v>
      </c>
      <c r="Q170" t="n">
        <v>0</v>
      </c>
      <c r="R170" s="2" t="inlineStr"/>
    </row>
    <row r="171" ht="15" customHeight="1">
      <c r="A171" t="inlineStr">
        <is>
          <t>A 45989-2021</t>
        </is>
      </c>
      <c r="B171" s="1" t="n">
        <v>44441.74627314815</v>
      </c>
      <c r="C171" s="1" t="n">
        <v>46064</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46064</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13811-2021</t>
        </is>
      </c>
      <c r="B173" s="1" t="n">
        <v>44276</v>
      </c>
      <c r="C173" s="1" t="n">
        <v>46064</v>
      </c>
      <c r="D173" t="inlineStr">
        <is>
          <t>SKÅNE LÄN</t>
        </is>
      </c>
      <c r="E173" t="inlineStr">
        <is>
          <t>HÄSSLEHOLM</t>
        </is>
      </c>
      <c r="G173" t="n">
        <v>8</v>
      </c>
      <c r="H173" t="n">
        <v>0</v>
      </c>
      <c r="I173" t="n">
        <v>0</v>
      </c>
      <c r="J173" t="n">
        <v>0</v>
      </c>
      <c r="K173" t="n">
        <v>0</v>
      </c>
      <c r="L173" t="n">
        <v>0</v>
      </c>
      <c r="M173" t="n">
        <v>0</v>
      </c>
      <c r="N173" t="n">
        <v>0</v>
      </c>
      <c r="O173" t="n">
        <v>0</v>
      </c>
      <c r="P173" t="n">
        <v>0</v>
      </c>
      <c r="Q173" t="n">
        <v>0</v>
      </c>
      <c r="R173" s="2" t="inlineStr"/>
    </row>
    <row r="174" ht="15" customHeight="1">
      <c r="A174" t="inlineStr">
        <is>
          <t>A 7904-2022</t>
        </is>
      </c>
      <c r="B174" s="1" t="n">
        <v>44607</v>
      </c>
      <c r="C174" s="1" t="n">
        <v>46064</v>
      </c>
      <c r="D174" t="inlineStr">
        <is>
          <t>SKÅNE LÄN</t>
        </is>
      </c>
      <c r="E174" t="inlineStr">
        <is>
          <t>HÄSSLEHOLM</t>
        </is>
      </c>
      <c r="F174" t="inlineStr">
        <is>
          <t>Kyrkan</t>
        </is>
      </c>
      <c r="G174" t="n">
        <v>3.9</v>
      </c>
      <c r="H174" t="n">
        <v>0</v>
      </c>
      <c r="I174" t="n">
        <v>0</v>
      </c>
      <c r="J174" t="n">
        <v>0</v>
      </c>
      <c r="K174" t="n">
        <v>0</v>
      </c>
      <c r="L174" t="n">
        <v>0</v>
      </c>
      <c r="M174" t="n">
        <v>0</v>
      </c>
      <c r="N174" t="n">
        <v>0</v>
      </c>
      <c r="O174" t="n">
        <v>0</v>
      </c>
      <c r="P174" t="n">
        <v>0</v>
      </c>
      <c r="Q174" t="n">
        <v>0</v>
      </c>
      <c r="R174" s="2" t="inlineStr"/>
    </row>
    <row r="175" ht="15" customHeight="1">
      <c r="A175" t="inlineStr">
        <is>
          <t>A 9453-2021</t>
        </is>
      </c>
      <c r="B175" s="1" t="n">
        <v>44251</v>
      </c>
      <c r="C175" s="1" t="n">
        <v>46064</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46064</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46064</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219-2022</t>
        </is>
      </c>
      <c r="B178" s="1" t="n">
        <v>44564</v>
      </c>
      <c r="C178" s="1" t="n">
        <v>46064</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6048-2022</t>
        </is>
      </c>
      <c r="B179" s="1" t="n">
        <v>44599.5174537037</v>
      </c>
      <c r="C179" s="1" t="n">
        <v>46064</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55412-2022</t>
        </is>
      </c>
      <c r="B180" s="1" t="n">
        <v>44882</v>
      </c>
      <c r="C180" s="1" t="n">
        <v>46064</v>
      </c>
      <c r="D180" t="inlineStr">
        <is>
          <t>SKÅNE LÄN</t>
        </is>
      </c>
      <c r="E180" t="inlineStr">
        <is>
          <t>HÄSSLEHOLM</t>
        </is>
      </c>
      <c r="F180" t="inlineStr">
        <is>
          <t>Övriga Aktiebolag</t>
        </is>
      </c>
      <c r="G180" t="n">
        <v>4</v>
      </c>
      <c r="H180" t="n">
        <v>0</v>
      </c>
      <c r="I180" t="n">
        <v>0</v>
      </c>
      <c r="J180" t="n">
        <v>0</v>
      </c>
      <c r="K180" t="n">
        <v>0</v>
      </c>
      <c r="L180" t="n">
        <v>0</v>
      </c>
      <c r="M180" t="n">
        <v>0</v>
      </c>
      <c r="N180" t="n">
        <v>0</v>
      </c>
      <c r="O180" t="n">
        <v>0</v>
      </c>
      <c r="P180" t="n">
        <v>0</v>
      </c>
      <c r="Q180" t="n">
        <v>0</v>
      </c>
      <c r="R180" s="2" t="inlineStr"/>
    </row>
    <row r="181" ht="15" customHeight="1">
      <c r="A181" t="inlineStr">
        <is>
          <t>A 6253-2022</t>
        </is>
      </c>
      <c r="B181" s="1" t="n">
        <v>44600</v>
      </c>
      <c r="C181" s="1" t="n">
        <v>46064</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53576-2022</t>
        </is>
      </c>
      <c r="B182" s="1" t="n">
        <v>44875</v>
      </c>
      <c r="C182" s="1" t="n">
        <v>46064</v>
      </c>
      <c r="D182" t="inlineStr">
        <is>
          <t>SKÅNE LÄN</t>
        </is>
      </c>
      <c r="E182" t="inlineStr">
        <is>
          <t>HÄSSLEHOLM</t>
        </is>
      </c>
      <c r="F182" t="inlineStr">
        <is>
          <t>Övriga Aktiebolag</t>
        </is>
      </c>
      <c r="G182" t="n">
        <v>1.2</v>
      </c>
      <c r="H182" t="n">
        <v>0</v>
      </c>
      <c r="I182" t="n">
        <v>0</v>
      </c>
      <c r="J182" t="n">
        <v>0</v>
      </c>
      <c r="K182" t="n">
        <v>0</v>
      </c>
      <c r="L182" t="n">
        <v>0</v>
      </c>
      <c r="M182" t="n">
        <v>0</v>
      </c>
      <c r="N182" t="n">
        <v>0</v>
      </c>
      <c r="O182" t="n">
        <v>0</v>
      </c>
      <c r="P182" t="n">
        <v>0</v>
      </c>
      <c r="Q182" t="n">
        <v>0</v>
      </c>
      <c r="R182" s="2" t="inlineStr"/>
    </row>
    <row r="183" ht="15" customHeight="1">
      <c r="A183" t="inlineStr">
        <is>
          <t>A 7262-2022</t>
        </is>
      </c>
      <c r="B183" s="1" t="n">
        <v>44606</v>
      </c>
      <c r="C183" s="1" t="n">
        <v>46064</v>
      </c>
      <c r="D183" t="inlineStr">
        <is>
          <t>SKÅNE LÄN</t>
        </is>
      </c>
      <c r="E183" t="inlineStr">
        <is>
          <t>HÄSSLEHOLM</t>
        </is>
      </c>
      <c r="F183" t="inlineStr">
        <is>
          <t>Övriga Aktiebolag</t>
        </is>
      </c>
      <c r="G183" t="n">
        <v>1</v>
      </c>
      <c r="H183" t="n">
        <v>0</v>
      </c>
      <c r="I183" t="n">
        <v>0</v>
      </c>
      <c r="J183" t="n">
        <v>0</v>
      </c>
      <c r="K183" t="n">
        <v>0</v>
      </c>
      <c r="L183" t="n">
        <v>0</v>
      </c>
      <c r="M183" t="n">
        <v>0</v>
      </c>
      <c r="N183" t="n">
        <v>0</v>
      </c>
      <c r="O183" t="n">
        <v>0</v>
      </c>
      <c r="P183" t="n">
        <v>0</v>
      </c>
      <c r="Q183" t="n">
        <v>0</v>
      </c>
      <c r="R183" s="2" t="inlineStr"/>
    </row>
    <row r="184" ht="15" customHeight="1">
      <c r="A184" t="inlineStr">
        <is>
          <t>A 64826-2021</t>
        </is>
      </c>
      <c r="B184" s="1" t="n">
        <v>44512.55935185185</v>
      </c>
      <c r="C184" s="1" t="n">
        <v>46064</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23967-2022</t>
        </is>
      </c>
      <c r="B185" s="1" t="n">
        <v>44722.74079861111</v>
      </c>
      <c r="C185" s="1" t="n">
        <v>46064</v>
      </c>
      <c r="D185" t="inlineStr">
        <is>
          <t>SKÅNE LÄN</t>
        </is>
      </c>
      <c r="E185" t="inlineStr">
        <is>
          <t>HÄSSLEHOLM</t>
        </is>
      </c>
      <c r="F185" t="inlineStr">
        <is>
          <t>Kyrkan</t>
        </is>
      </c>
      <c r="G185" t="n">
        <v>12.4</v>
      </c>
      <c r="H185" t="n">
        <v>0</v>
      </c>
      <c r="I185" t="n">
        <v>0</v>
      </c>
      <c r="J185" t="n">
        <v>0</v>
      </c>
      <c r="K185" t="n">
        <v>0</v>
      </c>
      <c r="L185" t="n">
        <v>0</v>
      </c>
      <c r="M185" t="n">
        <v>0</v>
      </c>
      <c r="N185" t="n">
        <v>0</v>
      </c>
      <c r="O185" t="n">
        <v>0</v>
      </c>
      <c r="P185" t="n">
        <v>0</v>
      </c>
      <c r="Q185" t="n">
        <v>0</v>
      </c>
      <c r="R185" s="2" t="inlineStr"/>
    </row>
    <row r="186" ht="15" customHeight="1">
      <c r="A186" t="inlineStr">
        <is>
          <t>A 8177-2022</t>
        </is>
      </c>
      <c r="B186" s="1" t="n">
        <v>44607</v>
      </c>
      <c r="C186" s="1" t="n">
        <v>46064</v>
      </c>
      <c r="D186" t="inlineStr">
        <is>
          <t>SKÅNE LÄN</t>
        </is>
      </c>
      <c r="E186" t="inlineStr">
        <is>
          <t>HÄSSLEHOLM</t>
        </is>
      </c>
      <c r="F186" t="inlineStr">
        <is>
          <t>Kyrkan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25464-2022</t>
        </is>
      </c>
      <c r="B187" s="1" t="n">
        <v>44729</v>
      </c>
      <c r="C187" s="1" t="n">
        <v>46064</v>
      </c>
      <c r="D187" t="inlineStr">
        <is>
          <t>SKÅNE LÄN</t>
        </is>
      </c>
      <c r="E187" t="inlineStr">
        <is>
          <t>HÄSSLEHOLM</t>
        </is>
      </c>
      <c r="G187" t="n">
        <v>21</v>
      </c>
      <c r="H187" t="n">
        <v>0</v>
      </c>
      <c r="I187" t="n">
        <v>0</v>
      </c>
      <c r="J187" t="n">
        <v>0</v>
      </c>
      <c r="K187" t="n">
        <v>0</v>
      </c>
      <c r="L187" t="n">
        <v>0</v>
      </c>
      <c r="M187" t="n">
        <v>0</v>
      </c>
      <c r="N187" t="n">
        <v>0</v>
      </c>
      <c r="O187" t="n">
        <v>0</v>
      </c>
      <c r="P187" t="n">
        <v>0</v>
      </c>
      <c r="Q187" t="n">
        <v>0</v>
      </c>
      <c r="R187" s="2" t="inlineStr"/>
    </row>
    <row r="188" ht="15" customHeight="1">
      <c r="A188" t="inlineStr">
        <is>
          <t>A 30344-2022</t>
        </is>
      </c>
      <c r="B188" s="1" t="n">
        <v>44760.50783564815</v>
      </c>
      <c r="C188" s="1" t="n">
        <v>46064</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56527-2021</t>
        </is>
      </c>
      <c r="B189" s="1" t="n">
        <v>44480</v>
      </c>
      <c r="C189" s="1" t="n">
        <v>46064</v>
      </c>
      <c r="D189" t="inlineStr">
        <is>
          <t>SKÅNE LÄN</t>
        </is>
      </c>
      <c r="E189" t="inlineStr">
        <is>
          <t>HÄSSLEHOLM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25788-2021</t>
        </is>
      </c>
      <c r="B190" s="1" t="n">
        <v>44343</v>
      </c>
      <c r="C190" s="1" t="n">
        <v>46064</v>
      </c>
      <c r="D190" t="inlineStr">
        <is>
          <t>SKÅNE LÄN</t>
        </is>
      </c>
      <c r="E190" t="inlineStr">
        <is>
          <t>HÄSSLEHOLM</t>
        </is>
      </c>
      <c r="G190" t="n">
        <v>4.8</v>
      </c>
      <c r="H190" t="n">
        <v>0</v>
      </c>
      <c r="I190" t="n">
        <v>0</v>
      </c>
      <c r="J190" t="n">
        <v>0</v>
      </c>
      <c r="K190" t="n">
        <v>0</v>
      </c>
      <c r="L190" t="n">
        <v>0</v>
      </c>
      <c r="M190" t="n">
        <v>0</v>
      </c>
      <c r="N190" t="n">
        <v>0</v>
      </c>
      <c r="O190" t="n">
        <v>0</v>
      </c>
      <c r="P190" t="n">
        <v>0</v>
      </c>
      <c r="Q190" t="n">
        <v>0</v>
      </c>
      <c r="R190" s="2" t="inlineStr"/>
    </row>
    <row r="191" ht="15" customHeight="1">
      <c r="A191" t="inlineStr">
        <is>
          <t>A 25955-2022</t>
        </is>
      </c>
      <c r="B191" s="1" t="n">
        <v>44734</v>
      </c>
      <c r="C191" s="1" t="n">
        <v>46064</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3992-2022</t>
        </is>
      </c>
      <c r="B192" s="1" t="n">
        <v>44587</v>
      </c>
      <c r="C192" s="1" t="n">
        <v>46064</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20657-2022</t>
        </is>
      </c>
      <c r="B193" s="1" t="n">
        <v>44700</v>
      </c>
      <c r="C193" s="1" t="n">
        <v>46064</v>
      </c>
      <c r="D193" t="inlineStr">
        <is>
          <t>SKÅNE LÄN</t>
        </is>
      </c>
      <c r="E193" t="inlineStr">
        <is>
          <t>HÄSSLEHOLM</t>
        </is>
      </c>
      <c r="G193" t="n">
        <v>3.8</v>
      </c>
      <c r="H193" t="n">
        <v>0</v>
      </c>
      <c r="I193" t="n">
        <v>0</v>
      </c>
      <c r="J193" t="n">
        <v>0</v>
      </c>
      <c r="K193" t="n">
        <v>0</v>
      </c>
      <c r="L193" t="n">
        <v>0</v>
      </c>
      <c r="M193" t="n">
        <v>0</v>
      </c>
      <c r="N193" t="n">
        <v>0</v>
      </c>
      <c r="O193" t="n">
        <v>0</v>
      </c>
      <c r="P193" t="n">
        <v>0</v>
      </c>
      <c r="Q193" t="n">
        <v>0</v>
      </c>
      <c r="R193" s="2" t="inlineStr"/>
    </row>
    <row r="194" ht="15" customHeight="1">
      <c r="A194" t="inlineStr">
        <is>
          <t>A 23956-2023</t>
        </is>
      </c>
      <c r="B194" s="1" t="n">
        <v>45078.62302083334</v>
      </c>
      <c r="C194" s="1" t="n">
        <v>46064</v>
      </c>
      <c r="D194" t="inlineStr">
        <is>
          <t>SKÅNE LÄN</t>
        </is>
      </c>
      <c r="E194" t="inlineStr">
        <is>
          <t>HÄSSLEHOLM</t>
        </is>
      </c>
      <c r="G194" t="n">
        <v>0.1</v>
      </c>
      <c r="H194" t="n">
        <v>0</v>
      </c>
      <c r="I194" t="n">
        <v>0</v>
      </c>
      <c r="J194" t="n">
        <v>0</v>
      </c>
      <c r="K194" t="n">
        <v>0</v>
      </c>
      <c r="L194" t="n">
        <v>0</v>
      </c>
      <c r="M194" t="n">
        <v>0</v>
      </c>
      <c r="N194" t="n">
        <v>0</v>
      </c>
      <c r="O194" t="n">
        <v>0</v>
      </c>
      <c r="P194" t="n">
        <v>0</v>
      </c>
      <c r="Q194" t="n">
        <v>0</v>
      </c>
      <c r="R194" s="2" t="inlineStr"/>
    </row>
    <row r="195" ht="15" customHeight="1">
      <c r="A195" t="inlineStr">
        <is>
          <t>A 9555-2025</t>
        </is>
      </c>
      <c r="B195" s="1" t="n">
        <v>45714</v>
      </c>
      <c r="C195" s="1" t="n">
        <v>46064</v>
      </c>
      <c r="D195" t="inlineStr">
        <is>
          <t>SKÅNE LÄN</t>
        </is>
      </c>
      <c r="E195" t="inlineStr">
        <is>
          <t>HÄSSLEHOLM</t>
        </is>
      </c>
      <c r="G195" t="n">
        <v>5.4</v>
      </c>
      <c r="H195" t="n">
        <v>0</v>
      </c>
      <c r="I195" t="n">
        <v>0</v>
      </c>
      <c r="J195" t="n">
        <v>0</v>
      </c>
      <c r="K195" t="n">
        <v>0</v>
      </c>
      <c r="L195" t="n">
        <v>0</v>
      </c>
      <c r="M195" t="n">
        <v>0</v>
      </c>
      <c r="N195" t="n">
        <v>0</v>
      </c>
      <c r="O195" t="n">
        <v>0</v>
      </c>
      <c r="P195" t="n">
        <v>0</v>
      </c>
      <c r="Q195" t="n">
        <v>0</v>
      </c>
      <c r="R195" s="2" t="inlineStr"/>
    </row>
    <row r="196" ht="15" customHeight="1">
      <c r="A196" t="inlineStr">
        <is>
          <t>A 40241-2025</t>
        </is>
      </c>
      <c r="B196" s="1" t="n">
        <v>45894.87251157407</v>
      </c>
      <c r="C196" s="1" t="n">
        <v>46064</v>
      </c>
      <c r="D196" t="inlineStr">
        <is>
          <t>SKÅNE LÄN</t>
        </is>
      </c>
      <c r="E196" t="inlineStr">
        <is>
          <t>HÄSSLEHOLM</t>
        </is>
      </c>
      <c r="G196" t="n">
        <v>3.8</v>
      </c>
      <c r="H196" t="n">
        <v>0</v>
      </c>
      <c r="I196" t="n">
        <v>0</v>
      </c>
      <c r="J196" t="n">
        <v>0</v>
      </c>
      <c r="K196" t="n">
        <v>0</v>
      </c>
      <c r="L196" t="n">
        <v>0</v>
      </c>
      <c r="M196" t="n">
        <v>0</v>
      </c>
      <c r="N196" t="n">
        <v>0</v>
      </c>
      <c r="O196" t="n">
        <v>0</v>
      </c>
      <c r="P196" t="n">
        <v>0</v>
      </c>
      <c r="Q196" t="n">
        <v>0</v>
      </c>
      <c r="R196" s="2" t="inlineStr"/>
    </row>
    <row r="197" ht="15" customHeight="1">
      <c r="A197" t="inlineStr">
        <is>
          <t>A 14674-2025</t>
        </is>
      </c>
      <c r="B197" s="1" t="n">
        <v>45742.55548611111</v>
      </c>
      <c r="C197" s="1" t="n">
        <v>46064</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14702-2025</t>
        </is>
      </c>
      <c r="B198" s="1" t="n">
        <v>45742.60403935185</v>
      </c>
      <c r="C198" s="1" t="n">
        <v>46064</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16388-2025</t>
        </is>
      </c>
      <c r="B199" s="1" t="n">
        <v>45751.42787037037</v>
      </c>
      <c r="C199" s="1" t="n">
        <v>46064</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23950-2023</t>
        </is>
      </c>
      <c r="B200" s="1" t="n">
        <v>45078.61771990741</v>
      </c>
      <c r="C200" s="1" t="n">
        <v>46064</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23952-2023</t>
        </is>
      </c>
      <c r="B201" s="1" t="n">
        <v>45078.62064814815</v>
      </c>
      <c r="C201" s="1" t="n">
        <v>46064</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35974-2022</t>
        </is>
      </c>
      <c r="B202" s="1" t="n">
        <v>44802</v>
      </c>
      <c r="C202" s="1" t="n">
        <v>46064</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34342-2021</t>
        </is>
      </c>
      <c r="B203" s="1" t="n">
        <v>44379</v>
      </c>
      <c r="C203" s="1" t="n">
        <v>46064</v>
      </c>
      <c r="D203" t="inlineStr">
        <is>
          <t>SKÅNE LÄN</t>
        </is>
      </c>
      <c r="E203" t="inlineStr">
        <is>
          <t>HÄSSLEHOLM</t>
        </is>
      </c>
      <c r="G203" t="n">
        <v>7</v>
      </c>
      <c r="H203" t="n">
        <v>0</v>
      </c>
      <c r="I203" t="n">
        <v>0</v>
      </c>
      <c r="J203" t="n">
        <v>0</v>
      </c>
      <c r="K203" t="n">
        <v>0</v>
      </c>
      <c r="L203" t="n">
        <v>0</v>
      </c>
      <c r="M203" t="n">
        <v>0</v>
      </c>
      <c r="N203" t="n">
        <v>0</v>
      </c>
      <c r="O203" t="n">
        <v>0</v>
      </c>
      <c r="P203" t="n">
        <v>0</v>
      </c>
      <c r="Q203" t="n">
        <v>0</v>
      </c>
      <c r="R203" s="2" t="inlineStr"/>
    </row>
    <row r="204" ht="15" customHeight="1">
      <c r="A204" t="inlineStr">
        <is>
          <t>A 1619-2022</t>
        </is>
      </c>
      <c r="B204" s="1" t="n">
        <v>44573</v>
      </c>
      <c r="C204" s="1" t="n">
        <v>46064</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46064</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1557-2023</t>
        </is>
      </c>
      <c r="B206" s="1" t="n">
        <v>44937</v>
      </c>
      <c r="C206" s="1" t="n">
        <v>46064</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55284-2023</t>
        </is>
      </c>
      <c r="B207" s="1" t="n">
        <v>45237.74259259259</v>
      </c>
      <c r="C207" s="1" t="n">
        <v>46064</v>
      </c>
      <c r="D207" t="inlineStr">
        <is>
          <t>SKÅNE LÄN</t>
        </is>
      </c>
      <c r="E207" t="inlineStr">
        <is>
          <t>HÄSSLEHOLM</t>
        </is>
      </c>
      <c r="G207" t="n">
        <v>1.4</v>
      </c>
      <c r="H207" t="n">
        <v>0</v>
      </c>
      <c r="I207" t="n">
        <v>0</v>
      </c>
      <c r="J207" t="n">
        <v>0</v>
      </c>
      <c r="K207" t="n">
        <v>0</v>
      </c>
      <c r="L207" t="n">
        <v>0</v>
      </c>
      <c r="M207" t="n">
        <v>0</v>
      </c>
      <c r="N207" t="n">
        <v>0</v>
      </c>
      <c r="O207" t="n">
        <v>0</v>
      </c>
      <c r="P207" t="n">
        <v>0</v>
      </c>
      <c r="Q207" t="n">
        <v>0</v>
      </c>
      <c r="R207" s="2" t="inlineStr"/>
    </row>
    <row r="208" ht="15" customHeight="1">
      <c r="A208" t="inlineStr">
        <is>
          <t>A 49219-2024</t>
        </is>
      </c>
      <c r="B208" s="1" t="n">
        <v>45595.40923611111</v>
      </c>
      <c r="C208" s="1" t="n">
        <v>46064</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9239-2025</t>
        </is>
      </c>
      <c r="B209" s="1" t="n">
        <v>45714</v>
      </c>
      <c r="C209" s="1" t="n">
        <v>46064</v>
      </c>
      <c r="D209" t="inlineStr">
        <is>
          <t>SKÅNE LÄN</t>
        </is>
      </c>
      <c r="E209" t="inlineStr">
        <is>
          <t>HÄSSLEHOLM</t>
        </is>
      </c>
      <c r="G209" t="n">
        <v>1.8</v>
      </c>
      <c r="H209" t="n">
        <v>0</v>
      </c>
      <c r="I209" t="n">
        <v>0</v>
      </c>
      <c r="J209" t="n">
        <v>0</v>
      </c>
      <c r="K209" t="n">
        <v>0</v>
      </c>
      <c r="L209" t="n">
        <v>0</v>
      </c>
      <c r="M209" t="n">
        <v>0</v>
      </c>
      <c r="N209" t="n">
        <v>0</v>
      </c>
      <c r="O209" t="n">
        <v>0</v>
      </c>
      <c r="P209" t="n">
        <v>0</v>
      </c>
      <c r="Q209" t="n">
        <v>0</v>
      </c>
      <c r="R209" s="2" t="inlineStr"/>
    </row>
    <row r="210" ht="15" customHeight="1">
      <c r="A210" t="inlineStr">
        <is>
          <t>A 7890-2024</t>
        </is>
      </c>
      <c r="B210" s="1" t="n">
        <v>45350.40780092592</v>
      </c>
      <c r="C210" s="1" t="n">
        <v>46064</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13646-2024</t>
        </is>
      </c>
      <c r="B211" s="1" t="n">
        <v>45387</v>
      </c>
      <c r="C211" s="1" t="n">
        <v>46064</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4750-2024</t>
        </is>
      </c>
      <c r="B212" s="1" t="n">
        <v>45328</v>
      </c>
      <c r="C212" s="1" t="n">
        <v>46064</v>
      </c>
      <c r="D212" t="inlineStr">
        <is>
          <t>SKÅNE LÄN</t>
        </is>
      </c>
      <c r="E212" t="inlineStr">
        <is>
          <t>HÄSSLEHOLM</t>
        </is>
      </c>
      <c r="G212" t="n">
        <v>0.3</v>
      </c>
      <c r="H212" t="n">
        <v>0</v>
      </c>
      <c r="I212" t="n">
        <v>0</v>
      </c>
      <c r="J212" t="n">
        <v>0</v>
      </c>
      <c r="K212" t="n">
        <v>0</v>
      </c>
      <c r="L212" t="n">
        <v>0</v>
      </c>
      <c r="M212" t="n">
        <v>0</v>
      </c>
      <c r="N212" t="n">
        <v>0</v>
      </c>
      <c r="O212" t="n">
        <v>0</v>
      </c>
      <c r="P212" t="n">
        <v>0</v>
      </c>
      <c r="Q212" t="n">
        <v>0</v>
      </c>
      <c r="R212" s="2" t="inlineStr"/>
    </row>
    <row r="213" ht="15" customHeight="1">
      <c r="A213" t="inlineStr">
        <is>
          <t>A 24241-2023</t>
        </is>
      </c>
      <c r="B213" s="1" t="n">
        <v>45079.61476851852</v>
      </c>
      <c r="C213" s="1" t="n">
        <v>46064</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58891-2022</t>
        </is>
      </c>
      <c r="B214" s="1" t="n">
        <v>44896</v>
      </c>
      <c r="C214" s="1" t="n">
        <v>46064</v>
      </c>
      <c r="D214" t="inlineStr">
        <is>
          <t>SKÅNE LÄN</t>
        </is>
      </c>
      <c r="E214" t="inlineStr">
        <is>
          <t>HÄSSLEHOLM</t>
        </is>
      </c>
      <c r="F214" t="inlineStr">
        <is>
          <t>Kyrkan</t>
        </is>
      </c>
      <c r="G214" t="n">
        <v>1.6</v>
      </c>
      <c r="H214" t="n">
        <v>0</v>
      </c>
      <c r="I214" t="n">
        <v>0</v>
      </c>
      <c r="J214" t="n">
        <v>0</v>
      </c>
      <c r="K214" t="n">
        <v>0</v>
      </c>
      <c r="L214" t="n">
        <v>0</v>
      </c>
      <c r="M214" t="n">
        <v>0</v>
      </c>
      <c r="N214" t="n">
        <v>0</v>
      </c>
      <c r="O214" t="n">
        <v>0</v>
      </c>
      <c r="P214" t="n">
        <v>0</v>
      </c>
      <c r="Q214" t="n">
        <v>0</v>
      </c>
      <c r="R214" s="2" t="inlineStr"/>
    </row>
    <row r="215" ht="15" customHeight="1">
      <c r="A215" t="inlineStr">
        <is>
          <t>A 21310-2022</t>
        </is>
      </c>
      <c r="B215" s="1" t="n">
        <v>44705</v>
      </c>
      <c r="C215" s="1" t="n">
        <v>46064</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3500-2024</t>
        </is>
      </c>
      <c r="B216" s="1" t="n">
        <v>45320</v>
      </c>
      <c r="C216" s="1" t="n">
        <v>46064</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58815-2023</t>
        </is>
      </c>
      <c r="B217" s="1" t="n">
        <v>45247</v>
      </c>
      <c r="C217" s="1" t="n">
        <v>46064</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36568-2024</t>
        </is>
      </c>
      <c r="B218" s="1" t="n">
        <v>45537</v>
      </c>
      <c r="C218" s="1" t="n">
        <v>46064</v>
      </c>
      <c r="D218" t="inlineStr">
        <is>
          <t>SKÅNE LÄN</t>
        </is>
      </c>
      <c r="E218" t="inlineStr">
        <is>
          <t>HÄSSLEHOLM</t>
        </is>
      </c>
      <c r="G218" t="n">
        <v>4.3</v>
      </c>
      <c r="H218" t="n">
        <v>0</v>
      </c>
      <c r="I218" t="n">
        <v>0</v>
      </c>
      <c r="J218" t="n">
        <v>0</v>
      </c>
      <c r="K218" t="n">
        <v>0</v>
      </c>
      <c r="L218" t="n">
        <v>0</v>
      </c>
      <c r="M218" t="n">
        <v>0</v>
      </c>
      <c r="N218" t="n">
        <v>0</v>
      </c>
      <c r="O218" t="n">
        <v>0</v>
      </c>
      <c r="P218" t="n">
        <v>0</v>
      </c>
      <c r="Q218" t="n">
        <v>0</v>
      </c>
      <c r="R218" s="2" t="inlineStr"/>
    </row>
    <row r="219" ht="15" customHeight="1">
      <c r="A219" t="inlineStr">
        <is>
          <t>A 33597-2023</t>
        </is>
      </c>
      <c r="B219" s="1" t="n">
        <v>45132</v>
      </c>
      <c r="C219" s="1" t="n">
        <v>46064</v>
      </c>
      <c r="D219" t="inlineStr">
        <is>
          <t>SKÅNE LÄN</t>
        </is>
      </c>
      <c r="E219" t="inlineStr">
        <is>
          <t>HÄSSLEHOLM</t>
        </is>
      </c>
      <c r="G219" t="n">
        <v>3.9</v>
      </c>
      <c r="H219" t="n">
        <v>0</v>
      </c>
      <c r="I219" t="n">
        <v>0</v>
      </c>
      <c r="J219" t="n">
        <v>0</v>
      </c>
      <c r="K219" t="n">
        <v>0</v>
      </c>
      <c r="L219" t="n">
        <v>0</v>
      </c>
      <c r="M219" t="n">
        <v>0</v>
      </c>
      <c r="N219" t="n">
        <v>0</v>
      </c>
      <c r="O219" t="n">
        <v>0</v>
      </c>
      <c r="P219" t="n">
        <v>0</v>
      </c>
      <c r="Q219" t="n">
        <v>0</v>
      </c>
      <c r="R219" s="2" t="inlineStr"/>
    </row>
    <row r="220" ht="15" customHeight="1">
      <c r="A220" t="inlineStr">
        <is>
          <t>A 33599-2023</t>
        </is>
      </c>
      <c r="B220" s="1" t="n">
        <v>45132</v>
      </c>
      <c r="C220" s="1" t="n">
        <v>46064</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27173-2024</t>
        </is>
      </c>
      <c r="B221" s="1" t="n">
        <v>45471.57048611111</v>
      </c>
      <c r="C221" s="1" t="n">
        <v>46064</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9323-2025</t>
        </is>
      </c>
      <c r="B222" s="1" t="n">
        <v>45714.73532407408</v>
      </c>
      <c r="C222" s="1" t="n">
        <v>46064</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19593-2023</t>
        </is>
      </c>
      <c r="B223" s="1" t="n">
        <v>45050.75895833333</v>
      </c>
      <c r="C223" s="1" t="n">
        <v>46064</v>
      </c>
      <c r="D223" t="inlineStr">
        <is>
          <t>SKÅNE LÄN</t>
        </is>
      </c>
      <c r="E223" t="inlineStr">
        <is>
          <t>HÄSSLEHOLM</t>
        </is>
      </c>
      <c r="G223" t="n">
        <v>11</v>
      </c>
      <c r="H223" t="n">
        <v>0</v>
      </c>
      <c r="I223" t="n">
        <v>0</v>
      </c>
      <c r="J223" t="n">
        <v>0</v>
      </c>
      <c r="K223" t="n">
        <v>0</v>
      </c>
      <c r="L223" t="n">
        <v>0</v>
      </c>
      <c r="M223" t="n">
        <v>0</v>
      </c>
      <c r="N223" t="n">
        <v>0</v>
      </c>
      <c r="O223" t="n">
        <v>0</v>
      </c>
      <c r="P223" t="n">
        <v>0</v>
      </c>
      <c r="Q223" t="n">
        <v>0</v>
      </c>
      <c r="R223" s="2" t="inlineStr"/>
    </row>
    <row r="224" ht="15" customHeight="1">
      <c r="A224" t="inlineStr">
        <is>
          <t>A 10020-2024</t>
        </is>
      </c>
      <c r="B224" s="1" t="n">
        <v>45363.96944444445</v>
      </c>
      <c r="C224" s="1" t="n">
        <v>46064</v>
      </c>
      <c r="D224" t="inlineStr">
        <is>
          <t>SKÅNE LÄN</t>
        </is>
      </c>
      <c r="E224" t="inlineStr">
        <is>
          <t>HÄSSLEHOLM</t>
        </is>
      </c>
      <c r="G224" t="n">
        <v>5.3</v>
      </c>
      <c r="H224" t="n">
        <v>0</v>
      </c>
      <c r="I224" t="n">
        <v>0</v>
      </c>
      <c r="J224" t="n">
        <v>0</v>
      </c>
      <c r="K224" t="n">
        <v>0</v>
      </c>
      <c r="L224" t="n">
        <v>0</v>
      </c>
      <c r="M224" t="n">
        <v>0</v>
      </c>
      <c r="N224" t="n">
        <v>0</v>
      </c>
      <c r="O224" t="n">
        <v>0</v>
      </c>
      <c r="P224" t="n">
        <v>0</v>
      </c>
      <c r="Q224" t="n">
        <v>0</v>
      </c>
      <c r="R224" s="2" t="inlineStr"/>
    </row>
    <row r="225" ht="15" customHeight="1">
      <c r="A225" t="inlineStr">
        <is>
          <t>A 26403-2024</t>
        </is>
      </c>
      <c r="B225" s="1" t="n">
        <v>45469.44505787037</v>
      </c>
      <c r="C225" s="1" t="n">
        <v>46064</v>
      </c>
      <c r="D225" t="inlineStr">
        <is>
          <t>SKÅNE LÄN</t>
        </is>
      </c>
      <c r="E225" t="inlineStr">
        <is>
          <t>HÄSSLEHOLM</t>
        </is>
      </c>
      <c r="G225" t="n">
        <v>2.6</v>
      </c>
      <c r="H225" t="n">
        <v>0</v>
      </c>
      <c r="I225" t="n">
        <v>0</v>
      </c>
      <c r="J225" t="n">
        <v>0</v>
      </c>
      <c r="K225" t="n">
        <v>0</v>
      </c>
      <c r="L225" t="n">
        <v>0</v>
      </c>
      <c r="M225" t="n">
        <v>0</v>
      </c>
      <c r="N225" t="n">
        <v>0</v>
      </c>
      <c r="O225" t="n">
        <v>0</v>
      </c>
      <c r="P225" t="n">
        <v>0</v>
      </c>
      <c r="Q225" t="n">
        <v>0</v>
      </c>
      <c r="R225" s="2" t="inlineStr"/>
    </row>
    <row r="226" ht="15" customHeight="1">
      <c r="A226" t="inlineStr">
        <is>
          <t>A 26403-2024</t>
        </is>
      </c>
      <c r="B226" s="1" t="n">
        <v>45469.44505787037</v>
      </c>
      <c r="C226" s="1" t="n">
        <v>46064</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9556-2025</t>
        </is>
      </c>
      <c r="B227" s="1" t="n">
        <v>45714</v>
      </c>
      <c r="C227" s="1" t="n">
        <v>46064</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70087-2021</t>
        </is>
      </c>
      <c r="B228" s="1" t="n">
        <v>44533</v>
      </c>
      <c r="C228" s="1" t="n">
        <v>46064</v>
      </c>
      <c r="D228" t="inlineStr">
        <is>
          <t>SKÅNE LÄN</t>
        </is>
      </c>
      <c r="E228" t="inlineStr">
        <is>
          <t>HÄSSLEHOLM</t>
        </is>
      </c>
      <c r="G228" t="n">
        <v>5</v>
      </c>
      <c r="H228" t="n">
        <v>0</v>
      </c>
      <c r="I228" t="n">
        <v>0</v>
      </c>
      <c r="J228" t="n">
        <v>0</v>
      </c>
      <c r="K228" t="n">
        <v>0</v>
      </c>
      <c r="L228" t="n">
        <v>0</v>
      </c>
      <c r="M228" t="n">
        <v>0</v>
      </c>
      <c r="N228" t="n">
        <v>0</v>
      </c>
      <c r="O228" t="n">
        <v>0</v>
      </c>
      <c r="P228" t="n">
        <v>0</v>
      </c>
      <c r="Q228" t="n">
        <v>0</v>
      </c>
      <c r="R228" s="2" t="inlineStr"/>
    </row>
    <row r="229" ht="15" customHeight="1">
      <c r="A229" t="inlineStr">
        <is>
          <t>A 16017-2023</t>
        </is>
      </c>
      <c r="B229" s="1" t="n">
        <v>45026</v>
      </c>
      <c r="C229" s="1" t="n">
        <v>46064</v>
      </c>
      <c r="D229" t="inlineStr">
        <is>
          <t>SKÅNE LÄN</t>
        </is>
      </c>
      <c r="E229" t="inlineStr">
        <is>
          <t>HÄSSLEHOLM</t>
        </is>
      </c>
      <c r="G229" t="n">
        <v>0.8</v>
      </c>
      <c r="H229" t="n">
        <v>0</v>
      </c>
      <c r="I229" t="n">
        <v>0</v>
      </c>
      <c r="J229" t="n">
        <v>0</v>
      </c>
      <c r="K229" t="n">
        <v>0</v>
      </c>
      <c r="L229" t="n">
        <v>0</v>
      </c>
      <c r="M229" t="n">
        <v>0</v>
      </c>
      <c r="N229" t="n">
        <v>0</v>
      </c>
      <c r="O229" t="n">
        <v>0</v>
      </c>
      <c r="P229" t="n">
        <v>0</v>
      </c>
      <c r="Q229" t="n">
        <v>0</v>
      </c>
      <c r="R229" s="2" t="inlineStr"/>
    </row>
    <row r="230" ht="15" customHeight="1">
      <c r="A230" t="inlineStr">
        <is>
          <t>A 21867-2023</t>
        </is>
      </c>
      <c r="B230" s="1" t="n">
        <v>45063</v>
      </c>
      <c r="C230" s="1" t="n">
        <v>46064</v>
      </c>
      <c r="D230" t="inlineStr">
        <is>
          <t>SKÅNE LÄN</t>
        </is>
      </c>
      <c r="E230" t="inlineStr">
        <is>
          <t>HÄSSLEHOLM</t>
        </is>
      </c>
      <c r="G230" t="n">
        <v>7.6</v>
      </c>
      <c r="H230" t="n">
        <v>0</v>
      </c>
      <c r="I230" t="n">
        <v>0</v>
      </c>
      <c r="J230" t="n">
        <v>0</v>
      </c>
      <c r="K230" t="n">
        <v>0</v>
      </c>
      <c r="L230" t="n">
        <v>0</v>
      </c>
      <c r="M230" t="n">
        <v>0</v>
      </c>
      <c r="N230" t="n">
        <v>0</v>
      </c>
      <c r="O230" t="n">
        <v>0</v>
      </c>
      <c r="P230" t="n">
        <v>0</v>
      </c>
      <c r="Q230" t="n">
        <v>0</v>
      </c>
      <c r="R230" s="2" t="inlineStr"/>
    </row>
    <row r="231" ht="15" customHeight="1">
      <c r="A231" t="inlineStr">
        <is>
          <t>A 16860-2025</t>
        </is>
      </c>
      <c r="B231" s="1" t="n">
        <v>45751</v>
      </c>
      <c r="C231" s="1" t="n">
        <v>46064</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5284-2023</t>
        </is>
      </c>
      <c r="B232" s="1" t="n">
        <v>44959.50608796296</v>
      </c>
      <c r="C232" s="1" t="n">
        <v>46064</v>
      </c>
      <c r="D232" t="inlineStr">
        <is>
          <t>SKÅNE LÄN</t>
        </is>
      </c>
      <c r="E232" t="inlineStr">
        <is>
          <t>HÄSSLEHOLM</t>
        </is>
      </c>
      <c r="G232" t="n">
        <v>0.4</v>
      </c>
      <c r="H232" t="n">
        <v>0</v>
      </c>
      <c r="I232" t="n">
        <v>0</v>
      </c>
      <c r="J232" t="n">
        <v>0</v>
      </c>
      <c r="K232" t="n">
        <v>0</v>
      </c>
      <c r="L232" t="n">
        <v>0</v>
      </c>
      <c r="M232" t="n">
        <v>0</v>
      </c>
      <c r="N232" t="n">
        <v>0</v>
      </c>
      <c r="O232" t="n">
        <v>0</v>
      </c>
      <c r="P232" t="n">
        <v>0</v>
      </c>
      <c r="Q232" t="n">
        <v>0</v>
      </c>
      <c r="R232" s="2" t="inlineStr"/>
    </row>
    <row r="233" ht="15" customHeight="1">
      <c r="A233" t="inlineStr">
        <is>
          <t>A 5285-2023</t>
        </is>
      </c>
      <c r="B233" s="1" t="n">
        <v>44959.50783564815</v>
      </c>
      <c r="C233" s="1" t="n">
        <v>46064</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524-2024</t>
        </is>
      </c>
      <c r="B234" s="1" t="n">
        <v>45299</v>
      </c>
      <c r="C234" s="1" t="n">
        <v>46064</v>
      </c>
      <c r="D234" t="inlineStr">
        <is>
          <t>SKÅNE LÄN</t>
        </is>
      </c>
      <c r="E234" t="inlineStr">
        <is>
          <t>HÄSSLEHOLM</t>
        </is>
      </c>
      <c r="G234" t="n">
        <v>29.4</v>
      </c>
      <c r="H234" t="n">
        <v>0</v>
      </c>
      <c r="I234" t="n">
        <v>0</v>
      </c>
      <c r="J234" t="n">
        <v>0</v>
      </c>
      <c r="K234" t="n">
        <v>0</v>
      </c>
      <c r="L234" t="n">
        <v>0</v>
      </c>
      <c r="M234" t="n">
        <v>0</v>
      </c>
      <c r="N234" t="n">
        <v>0</v>
      </c>
      <c r="O234" t="n">
        <v>0</v>
      </c>
      <c r="P234" t="n">
        <v>0</v>
      </c>
      <c r="Q234" t="n">
        <v>0</v>
      </c>
      <c r="R234" s="2" t="inlineStr"/>
    </row>
    <row r="235" ht="15" customHeight="1">
      <c r="A235" t="inlineStr">
        <is>
          <t>A 34888-2023</t>
        </is>
      </c>
      <c r="B235" s="1" t="n">
        <v>45142.388125</v>
      </c>
      <c r="C235" s="1" t="n">
        <v>46064</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54435-2024</t>
        </is>
      </c>
      <c r="B236" s="1" t="n">
        <v>45617.49494212963</v>
      </c>
      <c r="C236" s="1" t="n">
        <v>46064</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58886-2024</t>
        </is>
      </c>
      <c r="B237" s="1" t="n">
        <v>45636.45380787037</v>
      </c>
      <c r="C237" s="1" t="n">
        <v>46064</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13087-2023</t>
        </is>
      </c>
      <c r="B238" s="1" t="n">
        <v>45001</v>
      </c>
      <c r="C238" s="1" t="n">
        <v>46064</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9394-2025</t>
        </is>
      </c>
      <c r="B239" s="1" t="n">
        <v>45715.36387731481</v>
      </c>
      <c r="C239" s="1" t="n">
        <v>46064</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20666-2023</t>
        </is>
      </c>
      <c r="B240" s="1" t="n">
        <v>45058.35664351852</v>
      </c>
      <c r="C240" s="1" t="n">
        <v>46064</v>
      </c>
      <c r="D240" t="inlineStr">
        <is>
          <t>SKÅNE LÄN</t>
        </is>
      </c>
      <c r="E240" t="inlineStr">
        <is>
          <t>HÄSSLEHOLM</t>
        </is>
      </c>
      <c r="F240" t="inlineStr">
        <is>
          <t>Kyrkan</t>
        </is>
      </c>
      <c r="G240" t="n">
        <v>1.3</v>
      </c>
      <c r="H240" t="n">
        <v>0</v>
      </c>
      <c r="I240" t="n">
        <v>0</v>
      </c>
      <c r="J240" t="n">
        <v>0</v>
      </c>
      <c r="K240" t="n">
        <v>0</v>
      </c>
      <c r="L240" t="n">
        <v>0</v>
      </c>
      <c r="M240" t="n">
        <v>0</v>
      </c>
      <c r="N240" t="n">
        <v>0</v>
      </c>
      <c r="O240" t="n">
        <v>0</v>
      </c>
      <c r="P240" t="n">
        <v>0</v>
      </c>
      <c r="Q240" t="n">
        <v>0</v>
      </c>
      <c r="R240" s="2" t="inlineStr"/>
    </row>
    <row r="241" ht="15" customHeight="1">
      <c r="A241" t="inlineStr">
        <is>
          <t>A 59028-2023</t>
        </is>
      </c>
      <c r="B241" s="1" t="n">
        <v>45252.67900462963</v>
      </c>
      <c r="C241" s="1" t="n">
        <v>46064</v>
      </c>
      <c r="D241" t="inlineStr">
        <is>
          <t>SKÅNE LÄN</t>
        </is>
      </c>
      <c r="E241" t="inlineStr">
        <is>
          <t>HÄSSLEHOLM</t>
        </is>
      </c>
      <c r="G241" t="n">
        <v>2.5</v>
      </c>
      <c r="H241" t="n">
        <v>0</v>
      </c>
      <c r="I241" t="n">
        <v>0</v>
      </c>
      <c r="J241" t="n">
        <v>0</v>
      </c>
      <c r="K241" t="n">
        <v>0</v>
      </c>
      <c r="L241" t="n">
        <v>0</v>
      </c>
      <c r="M241" t="n">
        <v>0</v>
      </c>
      <c r="N241" t="n">
        <v>0</v>
      </c>
      <c r="O241" t="n">
        <v>0</v>
      </c>
      <c r="P241" t="n">
        <v>0</v>
      </c>
      <c r="Q241" t="n">
        <v>0</v>
      </c>
      <c r="R241" s="2" t="inlineStr"/>
    </row>
    <row r="242" ht="15" customHeight="1">
      <c r="A242" t="inlineStr">
        <is>
          <t>A 39223-2024</t>
        </is>
      </c>
      <c r="B242" s="1" t="n">
        <v>45550</v>
      </c>
      <c r="C242" s="1" t="n">
        <v>46064</v>
      </c>
      <c r="D242" t="inlineStr">
        <is>
          <t>SKÅNE LÄN</t>
        </is>
      </c>
      <c r="E242" t="inlineStr">
        <is>
          <t>HÄSSLEHOLM</t>
        </is>
      </c>
      <c r="G242" t="n">
        <v>3.1</v>
      </c>
      <c r="H242" t="n">
        <v>0</v>
      </c>
      <c r="I242" t="n">
        <v>0</v>
      </c>
      <c r="J242" t="n">
        <v>0</v>
      </c>
      <c r="K242" t="n">
        <v>0</v>
      </c>
      <c r="L242" t="n">
        <v>0</v>
      </c>
      <c r="M242" t="n">
        <v>0</v>
      </c>
      <c r="N242" t="n">
        <v>0</v>
      </c>
      <c r="O242" t="n">
        <v>0</v>
      </c>
      <c r="P242" t="n">
        <v>0</v>
      </c>
      <c r="Q242" t="n">
        <v>0</v>
      </c>
      <c r="R242" s="2" t="inlineStr"/>
    </row>
    <row r="243" ht="15" customHeight="1">
      <c r="A243" t="inlineStr">
        <is>
          <t>A 27304-2023</t>
        </is>
      </c>
      <c r="B243" s="1" t="n">
        <v>45096.65199074074</v>
      </c>
      <c r="C243" s="1" t="n">
        <v>46064</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22693-2022</t>
        </is>
      </c>
      <c r="B244" s="1" t="n">
        <v>44714.54729166667</v>
      </c>
      <c r="C244" s="1" t="n">
        <v>46064</v>
      </c>
      <c r="D244" t="inlineStr">
        <is>
          <t>SKÅNE LÄN</t>
        </is>
      </c>
      <c r="E244" t="inlineStr">
        <is>
          <t>HÄSSLEHOLM</t>
        </is>
      </c>
      <c r="G244" t="n">
        <v>2.8</v>
      </c>
      <c r="H244" t="n">
        <v>0</v>
      </c>
      <c r="I244" t="n">
        <v>0</v>
      </c>
      <c r="J244" t="n">
        <v>0</v>
      </c>
      <c r="K244" t="n">
        <v>0</v>
      </c>
      <c r="L244" t="n">
        <v>0</v>
      </c>
      <c r="M244" t="n">
        <v>0</v>
      </c>
      <c r="N244" t="n">
        <v>0</v>
      </c>
      <c r="O244" t="n">
        <v>0</v>
      </c>
      <c r="P244" t="n">
        <v>0</v>
      </c>
      <c r="Q244" t="n">
        <v>0</v>
      </c>
      <c r="R244" s="2" t="inlineStr"/>
    </row>
    <row r="245" ht="15" customHeight="1">
      <c r="A245" t="inlineStr">
        <is>
          <t>A 8250-2023</t>
        </is>
      </c>
      <c r="B245" s="1" t="n">
        <v>44974</v>
      </c>
      <c r="C245" s="1" t="n">
        <v>46064</v>
      </c>
      <c r="D245" t="inlineStr">
        <is>
          <t>SKÅNE LÄN</t>
        </is>
      </c>
      <c r="E245" t="inlineStr">
        <is>
          <t>HÄSSLEHOLM</t>
        </is>
      </c>
      <c r="G245" t="n">
        <v>3</v>
      </c>
      <c r="H245" t="n">
        <v>0</v>
      </c>
      <c r="I245" t="n">
        <v>0</v>
      </c>
      <c r="J245" t="n">
        <v>0</v>
      </c>
      <c r="K245" t="n">
        <v>0</v>
      </c>
      <c r="L245" t="n">
        <v>0</v>
      </c>
      <c r="M245" t="n">
        <v>0</v>
      </c>
      <c r="N245" t="n">
        <v>0</v>
      </c>
      <c r="O245" t="n">
        <v>0</v>
      </c>
      <c r="P245" t="n">
        <v>0</v>
      </c>
      <c r="Q245" t="n">
        <v>0</v>
      </c>
      <c r="R245" s="2" t="inlineStr"/>
    </row>
    <row r="246" ht="15" customHeight="1">
      <c r="A246" t="inlineStr">
        <is>
          <t>A 57079-2022</t>
        </is>
      </c>
      <c r="B246" s="1" t="n">
        <v>44895</v>
      </c>
      <c r="C246" s="1" t="n">
        <v>46064</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15698-2023</t>
        </is>
      </c>
      <c r="B247" s="1" t="n">
        <v>45021</v>
      </c>
      <c r="C247" s="1" t="n">
        <v>46064</v>
      </c>
      <c r="D247" t="inlineStr">
        <is>
          <t>SKÅNE LÄN</t>
        </is>
      </c>
      <c r="E247" t="inlineStr">
        <is>
          <t>HÄSSLEHOLM</t>
        </is>
      </c>
      <c r="F247" t="inlineStr">
        <is>
          <t>Kommuner</t>
        </is>
      </c>
      <c r="G247" t="n">
        <v>5.5</v>
      </c>
      <c r="H247" t="n">
        <v>0</v>
      </c>
      <c r="I247" t="n">
        <v>0</v>
      </c>
      <c r="J247" t="n">
        <v>0</v>
      </c>
      <c r="K247" t="n">
        <v>0</v>
      </c>
      <c r="L247" t="n">
        <v>0</v>
      </c>
      <c r="M247" t="n">
        <v>0</v>
      </c>
      <c r="N247" t="n">
        <v>0</v>
      </c>
      <c r="O247" t="n">
        <v>0</v>
      </c>
      <c r="P247" t="n">
        <v>0</v>
      </c>
      <c r="Q247" t="n">
        <v>0</v>
      </c>
      <c r="R247" s="2" t="inlineStr"/>
    </row>
    <row r="248" ht="15" customHeight="1">
      <c r="A248" t="inlineStr">
        <is>
          <t>A 20566-2023</t>
        </is>
      </c>
      <c r="B248" s="1" t="n">
        <v>45057</v>
      </c>
      <c r="C248" s="1" t="n">
        <v>46064</v>
      </c>
      <c r="D248" t="inlineStr">
        <is>
          <t>SKÅNE LÄN</t>
        </is>
      </c>
      <c r="E248" t="inlineStr">
        <is>
          <t>HÄSSLEHOLM</t>
        </is>
      </c>
      <c r="G248" t="n">
        <v>5.2</v>
      </c>
      <c r="H248" t="n">
        <v>0</v>
      </c>
      <c r="I248" t="n">
        <v>0</v>
      </c>
      <c r="J248" t="n">
        <v>0</v>
      </c>
      <c r="K248" t="n">
        <v>0</v>
      </c>
      <c r="L248" t="n">
        <v>0</v>
      </c>
      <c r="M248" t="n">
        <v>0</v>
      </c>
      <c r="N248" t="n">
        <v>0</v>
      </c>
      <c r="O248" t="n">
        <v>0</v>
      </c>
      <c r="P248" t="n">
        <v>0</v>
      </c>
      <c r="Q248" t="n">
        <v>0</v>
      </c>
      <c r="R248" s="2" t="inlineStr"/>
    </row>
    <row r="249" ht="15" customHeight="1">
      <c r="A249" t="inlineStr">
        <is>
          <t>A 15104-2023</t>
        </is>
      </c>
      <c r="B249" s="1" t="n">
        <v>45016.40576388889</v>
      </c>
      <c r="C249" s="1" t="n">
        <v>46064</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34886-2023</t>
        </is>
      </c>
      <c r="B250" s="1" t="n">
        <v>45142.38450231482</v>
      </c>
      <c r="C250" s="1" t="n">
        <v>46064</v>
      </c>
      <c r="D250" t="inlineStr">
        <is>
          <t>SKÅNE LÄN</t>
        </is>
      </c>
      <c r="E250" t="inlineStr">
        <is>
          <t>HÄSSLEHOLM</t>
        </is>
      </c>
      <c r="G250" t="n">
        <v>1.3</v>
      </c>
      <c r="H250" t="n">
        <v>0</v>
      </c>
      <c r="I250" t="n">
        <v>0</v>
      </c>
      <c r="J250" t="n">
        <v>0</v>
      </c>
      <c r="K250" t="n">
        <v>0</v>
      </c>
      <c r="L250" t="n">
        <v>0</v>
      </c>
      <c r="M250" t="n">
        <v>0</v>
      </c>
      <c r="N250" t="n">
        <v>0</v>
      </c>
      <c r="O250" t="n">
        <v>0</v>
      </c>
      <c r="P250" t="n">
        <v>0</v>
      </c>
      <c r="Q250" t="n">
        <v>0</v>
      </c>
      <c r="R250" s="2" t="inlineStr"/>
    </row>
    <row r="251" ht="15" customHeight="1">
      <c r="A251" t="inlineStr">
        <is>
          <t>A 2596-2024</t>
        </is>
      </c>
      <c r="B251" s="1" t="n">
        <v>45313.69969907407</v>
      </c>
      <c r="C251" s="1" t="n">
        <v>46064</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6842-2023</t>
        </is>
      </c>
      <c r="B252" s="1" t="n">
        <v>44967</v>
      </c>
      <c r="C252" s="1" t="n">
        <v>46064</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48747-2022</t>
        </is>
      </c>
      <c r="B253" s="1" t="n">
        <v>44859</v>
      </c>
      <c r="C253" s="1" t="n">
        <v>46064</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12507-2022</t>
        </is>
      </c>
      <c r="B254" s="1" t="n">
        <v>44638</v>
      </c>
      <c r="C254" s="1" t="n">
        <v>46064</v>
      </c>
      <c r="D254" t="inlineStr">
        <is>
          <t>SKÅNE LÄN</t>
        </is>
      </c>
      <c r="E254" t="inlineStr">
        <is>
          <t>HÄSSLEHOLM</t>
        </is>
      </c>
      <c r="G254" t="n">
        <v>2.7</v>
      </c>
      <c r="H254" t="n">
        <v>0</v>
      </c>
      <c r="I254" t="n">
        <v>0</v>
      </c>
      <c r="J254" t="n">
        <v>0</v>
      </c>
      <c r="K254" t="n">
        <v>0</v>
      </c>
      <c r="L254" t="n">
        <v>0</v>
      </c>
      <c r="M254" t="n">
        <v>0</v>
      </c>
      <c r="N254" t="n">
        <v>0</v>
      </c>
      <c r="O254" t="n">
        <v>0</v>
      </c>
      <c r="P254" t="n">
        <v>0</v>
      </c>
      <c r="Q254" t="n">
        <v>0</v>
      </c>
      <c r="R254" s="2" t="inlineStr"/>
    </row>
    <row r="255" ht="15" customHeight="1">
      <c r="A255" t="inlineStr">
        <is>
          <t>A 50899-2024</t>
        </is>
      </c>
      <c r="B255" s="1" t="n">
        <v>45602.68584490741</v>
      </c>
      <c r="C255" s="1" t="n">
        <v>46064</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2597-2024</t>
        </is>
      </c>
      <c r="B256" s="1" t="n">
        <v>45313</v>
      </c>
      <c r="C256" s="1" t="n">
        <v>46064</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13198-2025</t>
        </is>
      </c>
      <c r="B257" s="1" t="n">
        <v>45735</v>
      </c>
      <c r="C257" s="1" t="n">
        <v>46064</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1560-2023</t>
        </is>
      </c>
      <c r="B258" s="1" t="n">
        <v>44937</v>
      </c>
      <c r="C258" s="1" t="n">
        <v>46064</v>
      </c>
      <c r="D258" t="inlineStr">
        <is>
          <t>SKÅNE LÄN</t>
        </is>
      </c>
      <c r="E258" t="inlineStr">
        <is>
          <t>HÄSSLEHOLM</t>
        </is>
      </c>
      <c r="G258" t="n">
        <v>6.8</v>
      </c>
      <c r="H258" t="n">
        <v>0</v>
      </c>
      <c r="I258" t="n">
        <v>0</v>
      </c>
      <c r="J258" t="n">
        <v>0</v>
      </c>
      <c r="K258" t="n">
        <v>0</v>
      </c>
      <c r="L258" t="n">
        <v>0</v>
      </c>
      <c r="M258" t="n">
        <v>0</v>
      </c>
      <c r="N258" t="n">
        <v>0</v>
      </c>
      <c r="O258" t="n">
        <v>0</v>
      </c>
      <c r="P258" t="n">
        <v>0</v>
      </c>
      <c r="Q258" t="n">
        <v>0</v>
      </c>
      <c r="R258" s="2" t="inlineStr"/>
    </row>
    <row r="259" ht="15" customHeight="1">
      <c r="A259" t="inlineStr">
        <is>
          <t>A 3531-2023</t>
        </is>
      </c>
      <c r="B259" s="1" t="n">
        <v>44950</v>
      </c>
      <c r="C259" s="1" t="n">
        <v>46064</v>
      </c>
      <c r="D259" t="inlineStr">
        <is>
          <t>SKÅNE LÄN</t>
        </is>
      </c>
      <c r="E259" t="inlineStr">
        <is>
          <t>HÄSSLEHOLM</t>
        </is>
      </c>
      <c r="G259" t="n">
        <v>10.1</v>
      </c>
      <c r="H259" t="n">
        <v>0</v>
      </c>
      <c r="I259" t="n">
        <v>0</v>
      </c>
      <c r="J259" t="n">
        <v>0</v>
      </c>
      <c r="K259" t="n">
        <v>0</v>
      </c>
      <c r="L259" t="n">
        <v>0</v>
      </c>
      <c r="M259" t="n">
        <v>0</v>
      </c>
      <c r="N259" t="n">
        <v>0</v>
      </c>
      <c r="O259" t="n">
        <v>0</v>
      </c>
      <c r="P259" t="n">
        <v>0</v>
      </c>
      <c r="Q259" t="n">
        <v>0</v>
      </c>
      <c r="R259" s="2" t="inlineStr"/>
    </row>
    <row r="260" ht="15" customHeight="1">
      <c r="A260" t="inlineStr">
        <is>
          <t>A 15417-2022</t>
        </is>
      </c>
      <c r="B260" s="1" t="n">
        <v>44659</v>
      </c>
      <c r="C260" s="1" t="n">
        <v>46064</v>
      </c>
      <c r="D260" t="inlineStr">
        <is>
          <t>SKÅNE LÄN</t>
        </is>
      </c>
      <c r="E260" t="inlineStr">
        <is>
          <t>HÄSSLEHOLM</t>
        </is>
      </c>
      <c r="F260" t="inlineStr">
        <is>
          <t>Kyrkan</t>
        </is>
      </c>
      <c r="G260" t="n">
        <v>2.9</v>
      </c>
      <c r="H260" t="n">
        <v>0</v>
      </c>
      <c r="I260" t="n">
        <v>0</v>
      </c>
      <c r="J260" t="n">
        <v>0</v>
      </c>
      <c r="K260" t="n">
        <v>0</v>
      </c>
      <c r="L260" t="n">
        <v>0</v>
      </c>
      <c r="M260" t="n">
        <v>0</v>
      </c>
      <c r="N260" t="n">
        <v>0</v>
      </c>
      <c r="O260" t="n">
        <v>0</v>
      </c>
      <c r="P260" t="n">
        <v>0</v>
      </c>
      <c r="Q260" t="n">
        <v>0</v>
      </c>
      <c r="R260" s="2" t="inlineStr"/>
    </row>
    <row r="261" ht="15" customHeight="1">
      <c r="A261" t="inlineStr">
        <is>
          <t>A 44262-2021</t>
        </is>
      </c>
      <c r="B261" s="1" t="n">
        <v>44434</v>
      </c>
      <c r="C261" s="1" t="n">
        <v>46064</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50616-2023</t>
        </is>
      </c>
      <c r="B262" s="1" t="n">
        <v>45210</v>
      </c>
      <c r="C262" s="1" t="n">
        <v>46064</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45361-2023</t>
        </is>
      </c>
      <c r="B263" s="1" t="n">
        <v>45192.49068287037</v>
      </c>
      <c r="C263" s="1" t="n">
        <v>46064</v>
      </c>
      <c r="D263" t="inlineStr">
        <is>
          <t>SKÅNE LÄN</t>
        </is>
      </c>
      <c r="E263" t="inlineStr">
        <is>
          <t>HÄSSLEHOLM</t>
        </is>
      </c>
      <c r="G263" t="n">
        <v>1.9</v>
      </c>
      <c r="H263" t="n">
        <v>0</v>
      </c>
      <c r="I263" t="n">
        <v>0</v>
      </c>
      <c r="J263" t="n">
        <v>0</v>
      </c>
      <c r="K263" t="n">
        <v>0</v>
      </c>
      <c r="L263" t="n">
        <v>0</v>
      </c>
      <c r="M263" t="n">
        <v>0</v>
      </c>
      <c r="N263" t="n">
        <v>0</v>
      </c>
      <c r="O263" t="n">
        <v>0</v>
      </c>
      <c r="P263" t="n">
        <v>0</v>
      </c>
      <c r="Q263" t="n">
        <v>0</v>
      </c>
      <c r="R263" s="2" t="inlineStr"/>
    </row>
    <row r="264" ht="15" customHeight="1">
      <c r="A264" t="inlineStr">
        <is>
          <t>A 50659-2023</t>
        </is>
      </c>
      <c r="B264" s="1" t="n">
        <v>45217</v>
      </c>
      <c r="C264" s="1" t="n">
        <v>46064</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13808-2021</t>
        </is>
      </c>
      <c r="B265" s="1" t="n">
        <v>44276</v>
      </c>
      <c r="C265" s="1" t="n">
        <v>46064</v>
      </c>
      <c r="D265" t="inlineStr">
        <is>
          <t>SKÅNE LÄN</t>
        </is>
      </c>
      <c r="E265" t="inlineStr">
        <is>
          <t>HÄSSLEHOLM</t>
        </is>
      </c>
      <c r="G265" t="n">
        <v>10.3</v>
      </c>
      <c r="H265" t="n">
        <v>0</v>
      </c>
      <c r="I265" t="n">
        <v>0</v>
      </c>
      <c r="J265" t="n">
        <v>0</v>
      </c>
      <c r="K265" t="n">
        <v>0</v>
      </c>
      <c r="L265" t="n">
        <v>0</v>
      </c>
      <c r="M265" t="n">
        <v>0</v>
      </c>
      <c r="N265" t="n">
        <v>0</v>
      </c>
      <c r="O265" t="n">
        <v>0</v>
      </c>
      <c r="P265" t="n">
        <v>0</v>
      </c>
      <c r="Q265" t="n">
        <v>0</v>
      </c>
      <c r="R265" s="2" t="inlineStr"/>
    </row>
    <row r="266" ht="15" customHeight="1">
      <c r="A266" t="inlineStr">
        <is>
          <t>A 28599-2024</t>
        </is>
      </c>
      <c r="B266" s="1" t="n">
        <v>45478.4247800926</v>
      </c>
      <c r="C266" s="1" t="n">
        <v>46064</v>
      </c>
      <c r="D266" t="inlineStr">
        <is>
          <t>SKÅNE LÄN</t>
        </is>
      </c>
      <c r="E266" t="inlineStr">
        <is>
          <t>HÄSSLEHOLM</t>
        </is>
      </c>
      <c r="G266" t="n">
        <v>8.6</v>
      </c>
      <c r="H266" t="n">
        <v>0</v>
      </c>
      <c r="I266" t="n">
        <v>0</v>
      </c>
      <c r="J266" t="n">
        <v>0</v>
      </c>
      <c r="K266" t="n">
        <v>0</v>
      </c>
      <c r="L266" t="n">
        <v>0</v>
      </c>
      <c r="M266" t="n">
        <v>0</v>
      </c>
      <c r="N266" t="n">
        <v>0</v>
      </c>
      <c r="O266" t="n">
        <v>0</v>
      </c>
      <c r="P266" t="n">
        <v>0</v>
      </c>
      <c r="Q266" t="n">
        <v>0</v>
      </c>
      <c r="R266" s="2" t="inlineStr"/>
    </row>
    <row r="267" ht="15" customHeight="1">
      <c r="A267" t="inlineStr">
        <is>
          <t>A 67801-2021</t>
        </is>
      </c>
      <c r="B267" s="1" t="n">
        <v>44525</v>
      </c>
      <c r="C267" s="1" t="n">
        <v>46064</v>
      </c>
      <c r="D267" t="inlineStr">
        <is>
          <t>SKÅNE LÄN</t>
        </is>
      </c>
      <c r="E267" t="inlineStr">
        <is>
          <t>HÄSSLEHOLM</t>
        </is>
      </c>
      <c r="G267" t="n">
        <v>2.2</v>
      </c>
      <c r="H267" t="n">
        <v>0</v>
      </c>
      <c r="I267" t="n">
        <v>0</v>
      </c>
      <c r="J267" t="n">
        <v>0</v>
      </c>
      <c r="K267" t="n">
        <v>0</v>
      </c>
      <c r="L267" t="n">
        <v>0</v>
      </c>
      <c r="M267" t="n">
        <v>0</v>
      </c>
      <c r="N267" t="n">
        <v>0</v>
      </c>
      <c r="O267" t="n">
        <v>0</v>
      </c>
      <c r="P267" t="n">
        <v>0</v>
      </c>
      <c r="Q267" t="n">
        <v>0</v>
      </c>
      <c r="R267" s="2" t="inlineStr"/>
    </row>
    <row r="268" ht="15" customHeight="1">
      <c r="A268" t="inlineStr">
        <is>
          <t>A 2144-2023</t>
        </is>
      </c>
      <c r="B268" s="1" t="n">
        <v>44940.79054398148</v>
      </c>
      <c r="C268" s="1" t="n">
        <v>46064</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41400-2025</t>
        </is>
      </c>
      <c r="B269" s="1" t="n">
        <v>45901</v>
      </c>
      <c r="C269" s="1" t="n">
        <v>46064</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49107-2023</t>
        </is>
      </c>
      <c r="B270" s="1" t="n">
        <v>45210.44337962963</v>
      </c>
      <c r="C270" s="1" t="n">
        <v>46064</v>
      </c>
      <c r="D270" t="inlineStr">
        <is>
          <t>SKÅNE LÄN</t>
        </is>
      </c>
      <c r="E270" t="inlineStr">
        <is>
          <t>HÄSSLEHOLM</t>
        </is>
      </c>
      <c r="G270" t="n">
        <v>0.3</v>
      </c>
      <c r="H270" t="n">
        <v>0</v>
      </c>
      <c r="I270" t="n">
        <v>0</v>
      </c>
      <c r="J270" t="n">
        <v>0</v>
      </c>
      <c r="K270" t="n">
        <v>0</v>
      </c>
      <c r="L270" t="n">
        <v>0</v>
      </c>
      <c r="M270" t="n">
        <v>0</v>
      </c>
      <c r="N270" t="n">
        <v>0</v>
      </c>
      <c r="O270" t="n">
        <v>0</v>
      </c>
      <c r="P270" t="n">
        <v>0</v>
      </c>
      <c r="Q270" t="n">
        <v>0</v>
      </c>
      <c r="R270" s="2" t="inlineStr"/>
    </row>
    <row r="271" ht="15" customHeight="1">
      <c r="A271" t="inlineStr">
        <is>
          <t>A 39366-2025</t>
        </is>
      </c>
      <c r="B271" s="1" t="n">
        <v>45889</v>
      </c>
      <c r="C271" s="1" t="n">
        <v>46064</v>
      </c>
      <c r="D271" t="inlineStr">
        <is>
          <t>SKÅNE LÄN</t>
        </is>
      </c>
      <c r="E271" t="inlineStr">
        <is>
          <t>HÄSSLEHOLM</t>
        </is>
      </c>
      <c r="G271" t="n">
        <v>1</v>
      </c>
      <c r="H271" t="n">
        <v>0</v>
      </c>
      <c r="I271" t="n">
        <v>0</v>
      </c>
      <c r="J271" t="n">
        <v>0</v>
      </c>
      <c r="K271" t="n">
        <v>0</v>
      </c>
      <c r="L271" t="n">
        <v>0</v>
      </c>
      <c r="M271" t="n">
        <v>0</v>
      </c>
      <c r="N271" t="n">
        <v>0</v>
      </c>
      <c r="O271" t="n">
        <v>0</v>
      </c>
      <c r="P271" t="n">
        <v>0</v>
      </c>
      <c r="Q271" t="n">
        <v>0</v>
      </c>
      <c r="R271" s="2" t="inlineStr"/>
    </row>
    <row r="272" ht="15" customHeight="1">
      <c r="A272" t="inlineStr">
        <is>
          <t>A 37141-2021</t>
        </is>
      </c>
      <c r="B272" s="1" t="n">
        <v>44396</v>
      </c>
      <c r="C272" s="1" t="n">
        <v>46064</v>
      </c>
      <c r="D272" t="inlineStr">
        <is>
          <t>SKÅNE LÄN</t>
        </is>
      </c>
      <c r="E272" t="inlineStr">
        <is>
          <t>HÄSSLEHOLM</t>
        </is>
      </c>
      <c r="G272" t="n">
        <v>12.8</v>
      </c>
      <c r="H272" t="n">
        <v>0</v>
      </c>
      <c r="I272" t="n">
        <v>0</v>
      </c>
      <c r="J272" t="n">
        <v>0</v>
      </c>
      <c r="K272" t="n">
        <v>0</v>
      </c>
      <c r="L272" t="n">
        <v>0</v>
      </c>
      <c r="M272" t="n">
        <v>0</v>
      </c>
      <c r="N272" t="n">
        <v>0</v>
      </c>
      <c r="O272" t="n">
        <v>0</v>
      </c>
      <c r="P272" t="n">
        <v>0</v>
      </c>
      <c r="Q272" t="n">
        <v>0</v>
      </c>
      <c r="R272" s="2" t="inlineStr"/>
    </row>
    <row r="273" ht="15" customHeight="1">
      <c r="A273" t="inlineStr">
        <is>
          <t>A 16121-2025</t>
        </is>
      </c>
      <c r="B273" s="1" t="n">
        <v>45750.40384259259</v>
      </c>
      <c r="C273" s="1" t="n">
        <v>46064</v>
      </c>
      <c r="D273" t="inlineStr">
        <is>
          <t>SKÅNE LÄN</t>
        </is>
      </c>
      <c r="E273" t="inlineStr">
        <is>
          <t>HÄSSLEHOLM</t>
        </is>
      </c>
      <c r="G273" t="n">
        <v>1.6</v>
      </c>
      <c r="H273" t="n">
        <v>0</v>
      </c>
      <c r="I273" t="n">
        <v>0</v>
      </c>
      <c r="J273" t="n">
        <v>0</v>
      </c>
      <c r="K273" t="n">
        <v>0</v>
      </c>
      <c r="L273" t="n">
        <v>0</v>
      </c>
      <c r="M273" t="n">
        <v>0</v>
      </c>
      <c r="N273" t="n">
        <v>0</v>
      </c>
      <c r="O273" t="n">
        <v>0</v>
      </c>
      <c r="P273" t="n">
        <v>0</v>
      </c>
      <c r="Q273" t="n">
        <v>0</v>
      </c>
      <c r="R273" s="2" t="inlineStr"/>
    </row>
    <row r="274" ht="15" customHeight="1">
      <c r="A274" t="inlineStr">
        <is>
          <t>A 11446-2025</t>
        </is>
      </c>
      <c r="B274" s="1" t="n">
        <v>45726</v>
      </c>
      <c r="C274" s="1" t="n">
        <v>46064</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7202-2022</t>
        </is>
      </c>
      <c r="B275" s="1" t="n">
        <v>44606</v>
      </c>
      <c r="C275" s="1" t="n">
        <v>46064</v>
      </c>
      <c r="D275" t="inlineStr">
        <is>
          <t>SKÅNE LÄN</t>
        </is>
      </c>
      <c r="E275" t="inlineStr">
        <is>
          <t>HÄSSLEHOLM</t>
        </is>
      </c>
      <c r="G275" t="n">
        <v>4.7</v>
      </c>
      <c r="H275" t="n">
        <v>0</v>
      </c>
      <c r="I275" t="n">
        <v>0</v>
      </c>
      <c r="J275" t="n">
        <v>0</v>
      </c>
      <c r="K275" t="n">
        <v>0</v>
      </c>
      <c r="L275" t="n">
        <v>0</v>
      </c>
      <c r="M275" t="n">
        <v>0</v>
      </c>
      <c r="N275" t="n">
        <v>0</v>
      </c>
      <c r="O275" t="n">
        <v>0</v>
      </c>
      <c r="P275" t="n">
        <v>0</v>
      </c>
      <c r="Q275" t="n">
        <v>0</v>
      </c>
      <c r="R275" s="2" t="inlineStr"/>
    </row>
    <row r="276" ht="15" customHeight="1">
      <c r="A276" t="inlineStr">
        <is>
          <t>A 65235-2021</t>
        </is>
      </c>
      <c r="B276" s="1" t="n">
        <v>44515</v>
      </c>
      <c r="C276" s="1" t="n">
        <v>46064</v>
      </c>
      <c r="D276" t="inlineStr">
        <is>
          <t>SKÅNE LÄN</t>
        </is>
      </c>
      <c r="E276" t="inlineStr">
        <is>
          <t>HÄSSLEHOLM</t>
        </is>
      </c>
      <c r="G276" t="n">
        <v>2.5</v>
      </c>
      <c r="H276" t="n">
        <v>0</v>
      </c>
      <c r="I276" t="n">
        <v>0</v>
      </c>
      <c r="J276" t="n">
        <v>0</v>
      </c>
      <c r="K276" t="n">
        <v>0</v>
      </c>
      <c r="L276" t="n">
        <v>0</v>
      </c>
      <c r="M276" t="n">
        <v>0</v>
      </c>
      <c r="N276" t="n">
        <v>0</v>
      </c>
      <c r="O276" t="n">
        <v>0</v>
      </c>
      <c r="P276" t="n">
        <v>0</v>
      </c>
      <c r="Q276" t="n">
        <v>0</v>
      </c>
      <c r="R276" s="2" t="inlineStr"/>
    </row>
    <row r="277" ht="15" customHeight="1">
      <c r="A277" t="inlineStr">
        <is>
          <t>A 41401-2025</t>
        </is>
      </c>
      <c r="B277" s="1" t="n">
        <v>45901</v>
      </c>
      <c r="C277" s="1" t="n">
        <v>46064</v>
      </c>
      <c r="D277" t="inlineStr">
        <is>
          <t>SKÅNE LÄN</t>
        </is>
      </c>
      <c r="E277" t="inlineStr">
        <is>
          <t>HÄSSLEHOLM</t>
        </is>
      </c>
      <c r="G277" t="n">
        <v>0.4</v>
      </c>
      <c r="H277" t="n">
        <v>0</v>
      </c>
      <c r="I277" t="n">
        <v>0</v>
      </c>
      <c r="J277" t="n">
        <v>0</v>
      </c>
      <c r="K277" t="n">
        <v>0</v>
      </c>
      <c r="L277" t="n">
        <v>0</v>
      </c>
      <c r="M277" t="n">
        <v>0</v>
      </c>
      <c r="N277" t="n">
        <v>0</v>
      </c>
      <c r="O277" t="n">
        <v>0</v>
      </c>
      <c r="P277" t="n">
        <v>0</v>
      </c>
      <c r="Q277" t="n">
        <v>0</v>
      </c>
      <c r="R277" s="2" t="inlineStr"/>
    </row>
    <row r="278" ht="15" customHeight="1">
      <c r="A278" t="inlineStr">
        <is>
          <t>A 13549-2025</t>
        </is>
      </c>
      <c r="B278" s="1" t="n">
        <v>45736</v>
      </c>
      <c r="C278" s="1" t="n">
        <v>46064</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51245-2023</t>
        </is>
      </c>
      <c r="B279" s="1" t="n">
        <v>45212</v>
      </c>
      <c r="C279" s="1" t="n">
        <v>46064</v>
      </c>
      <c r="D279" t="inlineStr">
        <is>
          <t>SKÅNE LÄN</t>
        </is>
      </c>
      <c r="E279" t="inlineStr">
        <is>
          <t>HÄSSLEHOLM</t>
        </is>
      </c>
      <c r="G279" t="n">
        <v>2.1</v>
      </c>
      <c r="H279" t="n">
        <v>0</v>
      </c>
      <c r="I279" t="n">
        <v>0</v>
      </c>
      <c r="J279" t="n">
        <v>0</v>
      </c>
      <c r="K279" t="n">
        <v>0</v>
      </c>
      <c r="L279" t="n">
        <v>0</v>
      </c>
      <c r="M279" t="n">
        <v>0</v>
      </c>
      <c r="N279" t="n">
        <v>0</v>
      </c>
      <c r="O279" t="n">
        <v>0</v>
      </c>
      <c r="P279" t="n">
        <v>0</v>
      </c>
      <c r="Q279" t="n">
        <v>0</v>
      </c>
      <c r="R279" s="2" t="inlineStr"/>
    </row>
    <row r="280" ht="15" customHeight="1">
      <c r="A280" t="inlineStr">
        <is>
          <t>A 4734-2025</t>
        </is>
      </c>
      <c r="B280" s="1" t="n">
        <v>45688.44030092593</v>
      </c>
      <c r="C280" s="1" t="n">
        <v>46064</v>
      </c>
      <c r="D280" t="inlineStr">
        <is>
          <t>SKÅNE LÄN</t>
        </is>
      </c>
      <c r="E280" t="inlineStr">
        <is>
          <t>HÄSSLEHOLM</t>
        </is>
      </c>
      <c r="G280" t="n">
        <v>19.6</v>
      </c>
      <c r="H280" t="n">
        <v>0</v>
      </c>
      <c r="I280" t="n">
        <v>0</v>
      </c>
      <c r="J280" t="n">
        <v>0</v>
      </c>
      <c r="K280" t="n">
        <v>0</v>
      </c>
      <c r="L280" t="n">
        <v>0</v>
      </c>
      <c r="M280" t="n">
        <v>0</v>
      </c>
      <c r="N280" t="n">
        <v>0</v>
      </c>
      <c r="O280" t="n">
        <v>0</v>
      </c>
      <c r="P280" t="n">
        <v>0</v>
      </c>
      <c r="Q280" t="n">
        <v>0</v>
      </c>
      <c r="R280" s="2" t="inlineStr"/>
    </row>
    <row r="281" ht="15" customHeight="1">
      <c r="A281" t="inlineStr">
        <is>
          <t>A 21494-2023</t>
        </is>
      </c>
      <c r="B281" s="1" t="n">
        <v>45063</v>
      </c>
      <c r="C281" s="1" t="n">
        <v>46064</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21495-2023</t>
        </is>
      </c>
      <c r="B282" s="1" t="n">
        <v>45063</v>
      </c>
      <c r="C282" s="1" t="n">
        <v>46064</v>
      </c>
      <c r="D282" t="inlineStr">
        <is>
          <t>SKÅNE LÄN</t>
        </is>
      </c>
      <c r="E282" t="inlineStr">
        <is>
          <t>HÄSSLEHOLM</t>
        </is>
      </c>
      <c r="G282" t="n">
        <v>1.2</v>
      </c>
      <c r="H282" t="n">
        <v>0</v>
      </c>
      <c r="I282" t="n">
        <v>0</v>
      </c>
      <c r="J282" t="n">
        <v>0</v>
      </c>
      <c r="K282" t="n">
        <v>0</v>
      </c>
      <c r="L282" t="n">
        <v>0</v>
      </c>
      <c r="M282" t="n">
        <v>0</v>
      </c>
      <c r="N282" t="n">
        <v>0</v>
      </c>
      <c r="O282" t="n">
        <v>0</v>
      </c>
      <c r="P282" t="n">
        <v>0</v>
      </c>
      <c r="Q282" t="n">
        <v>0</v>
      </c>
      <c r="R282" s="2" t="inlineStr"/>
    </row>
    <row r="283" ht="15" customHeight="1">
      <c r="A283" t="inlineStr">
        <is>
          <t>A 24776-2025</t>
        </is>
      </c>
      <c r="B283" s="1" t="n">
        <v>45799.40640046296</v>
      </c>
      <c r="C283" s="1" t="n">
        <v>46064</v>
      </c>
      <c r="D283" t="inlineStr">
        <is>
          <t>SKÅNE LÄN</t>
        </is>
      </c>
      <c r="E283" t="inlineStr">
        <is>
          <t>HÄSSLEHOLM</t>
        </is>
      </c>
      <c r="G283" t="n">
        <v>5.4</v>
      </c>
      <c r="H283" t="n">
        <v>0</v>
      </c>
      <c r="I283" t="n">
        <v>0</v>
      </c>
      <c r="J283" t="n">
        <v>0</v>
      </c>
      <c r="K283" t="n">
        <v>0</v>
      </c>
      <c r="L283" t="n">
        <v>0</v>
      </c>
      <c r="M283" t="n">
        <v>0</v>
      </c>
      <c r="N283" t="n">
        <v>0</v>
      </c>
      <c r="O283" t="n">
        <v>0</v>
      </c>
      <c r="P283" t="n">
        <v>0</v>
      </c>
      <c r="Q283" t="n">
        <v>0</v>
      </c>
      <c r="R283" s="2" t="inlineStr"/>
    </row>
    <row r="284" ht="15" customHeight="1">
      <c r="A284" t="inlineStr">
        <is>
          <t>A 39453-2025</t>
        </is>
      </c>
      <c r="B284" s="1" t="n">
        <v>45889</v>
      </c>
      <c r="C284" s="1" t="n">
        <v>46064</v>
      </c>
      <c r="D284" t="inlineStr">
        <is>
          <t>SKÅNE LÄN</t>
        </is>
      </c>
      <c r="E284" t="inlineStr">
        <is>
          <t>HÄSSLEHOLM</t>
        </is>
      </c>
      <c r="G284" t="n">
        <v>2.5</v>
      </c>
      <c r="H284" t="n">
        <v>0</v>
      </c>
      <c r="I284" t="n">
        <v>0</v>
      </c>
      <c r="J284" t="n">
        <v>0</v>
      </c>
      <c r="K284" t="n">
        <v>0</v>
      </c>
      <c r="L284" t="n">
        <v>0</v>
      </c>
      <c r="M284" t="n">
        <v>0</v>
      </c>
      <c r="N284" t="n">
        <v>0</v>
      </c>
      <c r="O284" t="n">
        <v>0</v>
      </c>
      <c r="P284" t="n">
        <v>0</v>
      </c>
      <c r="Q284" t="n">
        <v>0</v>
      </c>
      <c r="R284" s="2" t="inlineStr"/>
    </row>
    <row r="285" ht="15" customHeight="1">
      <c r="A285" t="inlineStr">
        <is>
          <t>A 62167-2022</t>
        </is>
      </c>
      <c r="B285" s="1" t="n">
        <v>44915</v>
      </c>
      <c r="C285" s="1" t="n">
        <v>46064</v>
      </c>
      <c r="D285" t="inlineStr">
        <is>
          <t>SKÅNE LÄN</t>
        </is>
      </c>
      <c r="E285" t="inlineStr">
        <is>
          <t>HÄSSLEHOLM</t>
        </is>
      </c>
      <c r="F285" t="inlineStr">
        <is>
          <t>Kyrkan</t>
        </is>
      </c>
      <c r="G285" t="n">
        <v>3.1</v>
      </c>
      <c r="H285" t="n">
        <v>0</v>
      </c>
      <c r="I285" t="n">
        <v>0</v>
      </c>
      <c r="J285" t="n">
        <v>0</v>
      </c>
      <c r="K285" t="n">
        <v>0</v>
      </c>
      <c r="L285" t="n">
        <v>0</v>
      </c>
      <c r="M285" t="n">
        <v>0</v>
      </c>
      <c r="N285" t="n">
        <v>0</v>
      </c>
      <c r="O285" t="n">
        <v>0</v>
      </c>
      <c r="P285" t="n">
        <v>0</v>
      </c>
      <c r="Q285" t="n">
        <v>0</v>
      </c>
      <c r="R285" s="2" t="inlineStr"/>
    </row>
    <row r="286" ht="15" customHeight="1">
      <c r="A286" t="inlineStr">
        <is>
          <t>A 62234-2022</t>
        </is>
      </c>
      <c r="B286" s="1" t="n">
        <v>44922</v>
      </c>
      <c r="C286" s="1" t="n">
        <v>46064</v>
      </c>
      <c r="D286" t="inlineStr">
        <is>
          <t>SKÅNE LÄN</t>
        </is>
      </c>
      <c r="E286" t="inlineStr">
        <is>
          <t>HÄSSLEHOLM</t>
        </is>
      </c>
      <c r="G286" t="n">
        <v>1.3</v>
      </c>
      <c r="H286" t="n">
        <v>0</v>
      </c>
      <c r="I286" t="n">
        <v>0</v>
      </c>
      <c r="J286" t="n">
        <v>0</v>
      </c>
      <c r="K286" t="n">
        <v>0</v>
      </c>
      <c r="L286" t="n">
        <v>0</v>
      </c>
      <c r="M286" t="n">
        <v>0</v>
      </c>
      <c r="N286" t="n">
        <v>0</v>
      </c>
      <c r="O286" t="n">
        <v>0</v>
      </c>
      <c r="P286" t="n">
        <v>0</v>
      </c>
      <c r="Q286" t="n">
        <v>0</v>
      </c>
      <c r="R286" s="2" t="inlineStr"/>
    </row>
    <row r="287" ht="15" customHeight="1">
      <c r="A287" t="inlineStr">
        <is>
          <t>A 31934-2024</t>
        </is>
      </c>
      <c r="B287" s="1" t="n">
        <v>45510.41177083334</v>
      </c>
      <c r="C287" s="1" t="n">
        <v>46064</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34299-2024</t>
        </is>
      </c>
      <c r="B288" s="1" t="n">
        <v>45524</v>
      </c>
      <c r="C288" s="1" t="n">
        <v>46064</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39934-2025</t>
        </is>
      </c>
      <c r="B289" s="1" t="n">
        <v>45891.71465277778</v>
      </c>
      <c r="C289" s="1" t="n">
        <v>46064</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39457-2025</t>
        </is>
      </c>
      <c r="B290" s="1" t="n">
        <v>45889.76887731482</v>
      </c>
      <c r="C290" s="1" t="n">
        <v>46064</v>
      </c>
      <c r="D290" t="inlineStr">
        <is>
          <t>SKÅNE LÄN</t>
        </is>
      </c>
      <c r="E290" t="inlineStr">
        <is>
          <t>HÄSSLEHOLM</t>
        </is>
      </c>
      <c r="G290" t="n">
        <v>6.6</v>
      </c>
      <c r="H290" t="n">
        <v>0</v>
      </c>
      <c r="I290" t="n">
        <v>0</v>
      </c>
      <c r="J290" t="n">
        <v>0</v>
      </c>
      <c r="K290" t="n">
        <v>0</v>
      </c>
      <c r="L290" t="n">
        <v>0</v>
      </c>
      <c r="M290" t="n">
        <v>0</v>
      </c>
      <c r="N290" t="n">
        <v>0</v>
      </c>
      <c r="O290" t="n">
        <v>0</v>
      </c>
      <c r="P290" t="n">
        <v>0</v>
      </c>
      <c r="Q290" t="n">
        <v>0</v>
      </c>
      <c r="R290" s="2" t="inlineStr"/>
    </row>
    <row r="291" ht="15" customHeight="1">
      <c r="A291" t="inlineStr">
        <is>
          <t>A 59429-2023</t>
        </is>
      </c>
      <c r="B291" s="1" t="n">
        <v>45254.2875</v>
      </c>
      <c r="C291" s="1" t="n">
        <v>46064</v>
      </c>
      <c r="D291" t="inlineStr">
        <is>
          <t>SKÅNE LÄN</t>
        </is>
      </c>
      <c r="E291" t="inlineStr">
        <is>
          <t>HÄSSLEHOLM</t>
        </is>
      </c>
      <c r="G291" t="n">
        <v>0</v>
      </c>
      <c r="H291" t="n">
        <v>0</v>
      </c>
      <c r="I291" t="n">
        <v>0</v>
      </c>
      <c r="J291" t="n">
        <v>0</v>
      </c>
      <c r="K291" t="n">
        <v>0</v>
      </c>
      <c r="L291" t="n">
        <v>0</v>
      </c>
      <c r="M291" t="n">
        <v>0</v>
      </c>
      <c r="N291" t="n">
        <v>0</v>
      </c>
      <c r="O291" t="n">
        <v>0</v>
      </c>
      <c r="P291" t="n">
        <v>0</v>
      </c>
      <c r="Q291" t="n">
        <v>0</v>
      </c>
      <c r="R291" s="2" t="inlineStr"/>
    </row>
    <row r="292" ht="15" customHeight="1">
      <c r="A292" t="inlineStr">
        <is>
          <t>A 9697-2023</t>
        </is>
      </c>
      <c r="B292" s="1" t="n">
        <v>44984</v>
      </c>
      <c r="C292" s="1" t="n">
        <v>46064</v>
      </c>
      <c r="D292" t="inlineStr">
        <is>
          <t>SKÅNE LÄN</t>
        </is>
      </c>
      <c r="E292" t="inlineStr">
        <is>
          <t>HÄSSLEHOLM</t>
        </is>
      </c>
      <c r="G292" t="n">
        <v>0.3</v>
      </c>
      <c r="H292" t="n">
        <v>0</v>
      </c>
      <c r="I292" t="n">
        <v>0</v>
      </c>
      <c r="J292" t="n">
        <v>0</v>
      </c>
      <c r="K292" t="n">
        <v>0</v>
      </c>
      <c r="L292" t="n">
        <v>0</v>
      </c>
      <c r="M292" t="n">
        <v>0</v>
      </c>
      <c r="N292" t="n">
        <v>0</v>
      </c>
      <c r="O292" t="n">
        <v>0</v>
      </c>
      <c r="P292" t="n">
        <v>0</v>
      </c>
      <c r="Q292" t="n">
        <v>0</v>
      </c>
      <c r="R292" s="2" t="inlineStr"/>
    </row>
    <row r="293" ht="15" customHeight="1">
      <c r="A293" t="inlineStr">
        <is>
          <t>A 39937-2025</t>
        </is>
      </c>
      <c r="B293" s="1" t="n">
        <v>45891.73162037037</v>
      </c>
      <c r="C293" s="1" t="n">
        <v>46064</v>
      </c>
      <c r="D293" t="inlineStr">
        <is>
          <t>SKÅNE LÄN</t>
        </is>
      </c>
      <c r="E293" t="inlineStr">
        <is>
          <t>HÄSSLEHOLM</t>
        </is>
      </c>
      <c r="G293" t="n">
        <v>4.5</v>
      </c>
      <c r="H293" t="n">
        <v>0</v>
      </c>
      <c r="I293" t="n">
        <v>0</v>
      </c>
      <c r="J293" t="n">
        <v>0</v>
      </c>
      <c r="K293" t="n">
        <v>0</v>
      </c>
      <c r="L293" t="n">
        <v>0</v>
      </c>
      <c r="M293" t="n">
        <v>0</v>
      </c>
      <c r="N293" t="n">
        <v>0</v>
      </c>
      <c r="O293" t="n">
        <v>0</v>
      </c>
      <c r="P293" t="n">
        <v>0</v>
      </c>
      <c r="Q293" t="n">
        <v>0</v>
      </c>
      <c r="R293" s="2" t="inlineStr"/>
    </row>
    <row r="294" ht="15" customHeight="1">
      <c r="A294" t="inlineStr">
        <is>
          <t>A 42232-2022</t>
        </is>
      </c>
      <c r="B294" s="1" t="n">
        <v>44830.77591435185</v>
      </c>
      <c r="C294" s="1" t="n">
        <v>46064</v>
      </c>
      <c r="D294" t="inlineStr">
        <is>
          <t>SKÅNE LÄN</t>
        </is>
      </c>
      <c r="E294" t="inlineStr">
        <is>
          <t>HÄSSLEHOLM</t>
        </is>
      </c>
      <c r="G294" t="n">
        <v>1.3</v>
      </c>
      <c r="H294" t="n">
        <v>0</v>
      </c>
      <c r="I294" t="n">
        <v>0</v>
      </c>
      <c r="J294" t="n">
        <v>0</v>
      </c>
      <c r="K294" t="n">
        <v>0</v>
      </c>
      <c r="L294" t="n">
        <v>0</v>
      </c>
      <c r="M294" t="n">
        <v>0</v>
      </c>
      <c r="N294" t="n">
        <v>0</v>
      </c>
      <c r="O294" t="n">
        <v>0</v>
      </c>
      <c r="P294" t="n">
        <v>0</v>
      </c>
      <c r="Q294" t="n">
        <v>0</v>
      </c>
      <c r="R294" s="2" t="inlineStr"/>
    </row>
    <row r="295" ht="15" customHeight="1">
      <c r="A295" t="inlineStr">
        <is>
          <t>A 60959-2022</t>
        </is>
      </c>
      <c r="B295" s="1" t="n">
        <v>44914.64777777778</v>
      </c>
      <c r="C295" s="1" t="n">
        <v>46064</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37038-2022</t>
        </is>
      </c>
      <c r="B296" s="1" t="n">
        <v>44806.44232638889</v>
      </c>
      <c r="C296" s="1" t="n">
        <v>46064</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42906-2022</t>
        </is>
      </c>
      <c r="B297" s="1" t="n">
        <v>44833</v>
      </c>
      <c r="C297" s="1" t="n">
        <v>46064</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5894-2023</t>
        </is>
      </c>
      <c r="B298" s="1" t="n">
        <v>44963.65148148148</v>
      </c>
      <c r="C298" s="1" t="n">
        <v>46064</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9502-2023</t>
        </is>
      </c>
      <c r="B299" s="1" t="n">
        <v>44981.63278935185</v>
      </c>
      <c r="C299" s="1" t="n">
        <v>46064</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31931-2024</t>
        </is>
      </c>
      <c r="B300" s="1" t="n">
        <v>45510.40878472223</v>
      </c>
      <c r="C300" s="1" t="n">
        <v>46064</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48046-2023</t>
        </is>
      </c>
      <c r="B301" s="1" t="n">
        <v>45204.85201388889</v>
      </c>
      <c r="C301" s="1" t="n">
        <v>46064</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15133-2023</t>
        </is>
      </c>
      <c r="B302" s="1" t="n">
        <v>45016</v>
      </c>
      <c r="C302" s="1" t="n">
        <v>46064</v>
      </c>
      <c r="D302" t="inlineStr">
        <is>
          <t>SKÅNE LÄN</t>
        </is>
      </c>
      <c r="E302" t="inlineStr">
        <is>
          <t>HÄSSLEHOLM</t>
        </is>
      </c>
      <c r="G302" t="n">
        <v>7.8</v>
      </c>
      <c r="H302" t="n">
        <v>0</v>
      </c>
      <c r="I302" t="n">
        <v>0</v>
      </c>
      <c r="J302" t="n">
        <v>0</v>
      </c>
      <c r="K302" t="n">
        <v>0</v>
      </c>
      <c r="L302" t="n">
        <v>0</v>
      </c>
      <c r="M302" t="n">
        <v>0</v>
      </c>
      <c r="N302" t="n">
        <v>0</v>
      </c>
      <c r="O302" t="n">
        <v>0</v>
      </c>
      <c r="P302" t="n">
        <v>0</v>
      </c>
      <c r="Q302" t="n">
        <v>0</v>
      </c>
      <c r="R302" s="2" t="inlineStr"/>
    </row>
    <row r="303" ht="15" customHeight="1">
      <c r="A303" t="inlineStr">
        <is>
          <t>A 57749-2023</t>
        </is>
      </c>
      <c r="B303" s="1" t="n">
        <v>45246</v>
      </c>
      <c r="C303" s="1" t="n">
        <v>46064</v>
      </c>
      <c r="D303" t="inlineStr">
        <is>
          <t>SKÅNE LÄN</t>
        </is>
      </c>
      <c r="E303" t="inlineStr">
        <is>
          <t>HÄSSLEHOLM</t>
        </is>
      </c>
      <c r="G303" t="n">
        <v>2.7</v>
      </c>
      <c r="H303" t="n">
        <v>0</v>
      </c>
      <c r="I303" t="n">
        <v>0</v>
      </c>
      <c r="J303" t="n">
        <v>0</v>
      </c>
      <c r="K303" t="n">
        <v>0</v>
      </c>
      <c r="L303" t="n">
        <v>0</v>
      </c>
      <c r="M303" t="n">
        <v>0</v>
      </c>
      <c r="N303" t="n">
        <v>0</v>
      </c>
      <c r="O303" t="n">
        <v>0</v>
      </c>
      <c r="P303" t="n">
        <v>0</v>
      </c>
      <c r="Q303" t="n">
        <v>0</v>
      </c>
      <c r="R303" s="2" t="inlineStr"/>
    </row>
    <row r="304" ht="15" customHeight="1">
      <c r="A304" t="inlineStr">
        <is>
          <t>A 34883-2023</t>
        </is>
      </c>
      <c r="B304" s="1" t="n">
        <v>45142.37902777778</v>
      </c>
      <c r="C304" s="1" t="n">
        <v>46064</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1538-2024</t>
        </is>
      </c>
      <c r="B305" s="1" t="n">
        <v>45306</v>
      </c>
      <c r="C305" s="1" t="n">
        <v>46064</v>
      </c>
      <c r="D305" t="inlineStr">
        <is>
          <t>SKÅNE LÄN</t>
        </is>
      </c>
      <c r="E305" t="inlineStr">
        <is>
          <t>HÄSSLEHOLM</t>
        </is>
      </c>
      <c r="G305" t="n">
        <v>4.8</v>
      </c>
      <c r="H305" t="n">
        <v>0</v>
      </c>
      <c r="I305" t="n">
        <v>0</v>
      </c>
      <c r="J305" t="n">
        <v>0</v>
      </c>
      <c r="K305" t="n">
        <v>0</v>
      </c>
      <c r="L305" t="n">
        <v>0</v>
      </c>
      <c r="M305" t="n">
        <v>0</v>
      </c>
      <c r="N305" t="n">
        <v>0</v>
      </c>
      <c r="O305" t="n">
        <v>0</v>
      </c>
      <c r="P305" t="n">
        <v>0</v>
      </c>
      <c r="Q305" t="n">
        <v>0</v>
      </c>
      <c r="R305" s="2" t="inlineStr"/>
    </row>
    <row r="306" ht="15" customHeight="1">
      <c r="A306" t="inlineStr">
        <is>
          <t>A 3135-2023</t>
        </is>
      </c>
      <c r="B306" s="1" t="n">
        <v>44946.51672453704</v>
      </c>
      <c r="C306" s="1" t="n">
        <v>46064</v>
      </c>
      <c r="D306" t="inlineStr">
        <is>
          <t>SKÅNE LÄN</t>
        </is>
      </c>
      <c r="E306" t="inlineStr">
        <is>
          <t>HÄSSLEHOLM</t>
        </is>
      </c>
      <c r="G306" t="n">
        <v>7.2</v>
      </c>
      <c r="H306" t="n">
        <v>0</v>
      </c>
      <c r="I306" t="n">
        <v>0</v>
      </c>
      <c r="J306" t="n">
        <v>0</v>
      </c>
      <c r="K306" t="n">
        <v>0</v>
      </c>
      <c r="L306" t="n">
        <v>0</v>
      </c>
      <c r="M306" t="n">
        <v>0</v>
      </c>
      <c r="N306" t="n">
        <v>0</v>
      </c>
      <c r="O306" t="n">
        <v>0</v>
      </c>
      <c r="P306" t="n">
        <v>0</v>
      </c>
      <c r="Q306" t="n">
        <v>0</v>
      </c>
      <c r="R306" s="2" t="inlineStr"/>
    </row>
    <row r="307" ht="15" customHeight="1">
      <c r="A307" t="inlineStr">
        <is>
          <t>A 20187-2023</t>
        </is>
      </c>
      <c r="B307" s="1" t="n">
        <v>45055.57027777778</v>
      </c>
      <c r="C307" s="1" t="n">
        <v>46064</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34342-2021</t>
        </is>
      </c>
      <c r="B308" s="1" t="n">
        <v>44379</v>
      </c>
      <c r="C308" s="1" t="n">
        <v>46064</v>
      </c>
      <c r="D308" t="inlineStr">
        <is>
          <t>SKÅNE LÄN</t>
        </is>
      </c>
      <c r="E308" t="inlineStr">
        <is>
          <t>HÄSSLEHOLM</t>
        </is>
      </c>
      <c r="G308" t="n">
        <v>7</v>
      </c>
      <c r="H308" t="n">
        <v>0</v>
      </c>
      <c r="I308" t="n">
        <v>0</v>
      </c>
      <c r="J308" t="n">
        <v>0</v>
      </c>
      <c r="K308" t="n">
        <v>0</v>
      </c>
      <c r="L308" t="n">
        <v>0</v>
      </c>
      <c r="M308" t="n">
        <v>0</v>
      </c>
      <c r="N308" t="n">
        <v>0</v>
      </c>
      <c r="O308" t="n">
        <v>0</v>
      </c>
      <c r="P308" t="n">
        <v>0</v>
      </c>
      <c r="Q308" t="n">
        <v>0</v>
      </c>
      <c r="R308" s="2" t="inlineStr"/>
    </row>
    <row r="309" ht="15" customHeight="1">
      <c r="A309" t="inlineStr">
        <is>
          <t>A 3507-2024</t>
        </is>
      </c>
      <c r="B309" s="1" t="n">
        <v>45320.4906712963</v>
      </c>
      <c r="C309" s="1" t="n">
        <v>46064</v>
      </c>
      <c r="D309" t="inlineStr">
        <is>
          <t>SKÅNE LÄN</t>
        </is>
      </c>
      <c r="E309" t="inlineStr">
        <is>
          <t>HÄSSLEHOLM</t>
        </is>
      </c>
      <c r="G309" t="n">
        <v>6.4</v>
      </c>
      <c r="H309" t="n">
        <v>0</v>
      </c>
      <c r="I309" t="n">
        <v>0</v>
      </c>
      <c r="J309" t="n">
        <v>0</v>
      </c>
      <c r="K309" t="n">
        <v>0</v>
      </c>
      <c r="L309" t="n">
        <v>0</v>
      </c>
      <c r="M309" t="n">
        <v>0</v>
      </c>
      <c r="N309" t="n">
        <v>0</v>
      </c>
      <c r="O309" t="n">
        <v>0</v>
      </c>
      <c r="P309" t="n">
        <v>0</v>
      </c>
      <c r="Q309" t="n">
        <v>0</v>
      </c>
      <c r="R309" s="2" t="inlineStr"/>
    </row>
    <row r="310" ht="15" customHeight="1">
      <c r="A310" t="inlineStr">
        <is>
          <t>A 49111-2023</t>
        </is>
      </c>
      <c r="B310" s="1" t="n">
        <v>45210.44464120371</v>
      </c>
      <c r="C310" s="1" t="n">
        <v>46064</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61178-2022</t>
        </is>
      </c>
      <c r="B311" s="1" t="n">
        <v>44915</v>
      </c>
      <c r="C311" s="1" t="n">
        <v>46064</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61185-2022</t>
        </is>
      </c>
      <c r="B312" s="1" t="n">
        <v>44915</v>
      </c>
      <c r="C312" s="1" t="n">
        <v>46064</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58618-2024</t>
        </is>
      </c>
      <c r="B313" s="1" t="n">
        <v>45635.56150462963</v>
      </c>
      <c r="C313" s="1" t="n">
        <v>46064</v>
      </c>
      <c r="D313" t="inlineStr">
        <is>
          <t>SKÅNE LÄN</t>
        </is>
      </c>
      <c r="E313" t="inlineStr">
        <is>
          <t>HÄSSLEHOLM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58915-2023</t>
        </is>
      </c>
      <c r="B314" s="1" t="n">
        <v>45250</v>
      </c>
      <c r="C314" s="1" t="n">
        <v>46064</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15508-2023</t>
        </is>
      </c>
      <c r="B315" s="1" t="n">
        <v>45020.50045138889</v>
      </c>
      <c r="C315" s="1" t="n">
        <v>46064</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11266-2025</t>
        </is>
      </c>
      <c r="B316" s="1" t="n">
        <v>45726</v>
      </c>
      <c r="C316" s="1" t="n">
        <v>46064</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32794-2021</t>
        </is>
      </c>
      <c r="B317" s="1" t="n">
        <v>44375</v>
      </c>
      <c r="C317" s="1" t="n">
        <v>46064</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61934-2023</t>
        </is>
      </c>
      <c r="B318" s="1" t="n">
        <v>45266.54125</v>
      </c>
      <c r="C318" s="1" t="n">
        <v>46064</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12843-2023</t>
        </is>
      </c>
      <c r="B319" s="1" t="n">
        <v>45001.48423611111</v>
      </c>
      <c r="C319" s="1" t="n">
        <v>46064</v>
      </c>
      <c r="D319" t="inlineStr">
        <is>
          <t>SKÅNE LÄN</t>
        </is>
      </c>
      <c r="E319" t="inlineStr">
        <is>
          <t>HÄSSLEHOLM</t>
        </is>
      </c>
      <c r="G319" t="n">
        <v>3.9</v>
      </c>
      <c r="H319" t="n">
        <v>0</v>
      </c>
      <c r="I319" t="n">
        <v>0</v>
      </c>
      <c r="J319" t="n">
        <v>0</v>
      </c>
      <c r="K319" t="n">
        <v>0</v>
      </c>
      <c r="L319" t="n">
        <v>0</v>
      </c>
      <c r="M319" t="n">
        <v>0</v>
      </c>
      <c r="N319" t="n">
        <v>0</v>
      </c>
      <c r="O319" t="n">
        <v>0</v>
      </c>
      <c r="P319" t="n">
        <v>0</v>
      </c>
      <c r="Q319" t="n">
        <v>0</v>
      </c>
      <c r="R319" s="2" t="inlineStr"/>
    </row>
    <row r="320" ht="15" customHeight="1">
      <c r="A320" t="inlineStr">
        <is>
          <t>A 47647-2024</t>
        </is>
      </c>
      <c r="B320" s="1" t="n">
        <v>45588</v>
      </c>
      <c r="C320" s="1" t="n">
        <v>46064</v>
      </c>
      <c r="D320" t="inlineStr">
        <is>
          <t>SKÅNE LÄN</t>
        </is>
      </c>
      <c r="E320" t="inlineStr">
        <is>
          <t>HÄSSLEHOLM</t>
        </is>
      </c>
      <c r="G320" t="n">
        <v>6.5</v>
      </c>
      <c r="H320" t="n">
        <v>0</v>
      </c>
      <c r="I320" t="n">
        <v>0</v>
      </c>
      <c r="J320" t="n">
        <v>0</v>
      </c>
      <c r="K320" t="n">
        <v>0</v>
      </c>
      <c r="L320" t="n">
        <v>0</v>
      </c>
      <c r="M320" t="n">
        <v>0</v>
      </c>
      <c r="N320" t="n">
        <v>0</v>
      </c>
      <c r="O320" t="n">
        <v>0</v>
      </c>
      <c r="P320" t="n">
        <v>0</v>
      </c>
      <c r="Q320" t="n">
        <v>0</v>
      </c>
      <c r="R320" s="2" t="inlineStr"/>
    </row>
    <row r="321" ht="15" customHeight="1">
      <c r="A321" t="inlineStr">
        <is>
          <t>A 11715-2023</t>
        </is>
      </c>
      <c r="B321" s="1" t="n">
        <v>44992</v>
      </c>
      <c r="C321" s="1" t="n">
        <v>46064</v>
      </c>
      <c r="D321" t="inlineStr">
        <is>
          <t>SKÅNE LÄN</t>
        </is>
      </c>
      <c r="E321" t="inlineStr">
        <is>
          <t>HÄSSLEHOLM</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38888-2023</t>
        </is>
      </c>
      <c r="B322" s="1" t="n">
        <v>45161</v>
      </c>
      <c r="C322" s="1" t="n">
        <v>46064</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42520-2025</t>
        </is>
      </c>
      <c r="B323" s="1" t="n">
        <v>45905.54846064815</v>
      </c>
      <c r="C323" s="1" t="n">
        <v>46064</v>
      </c>
      <c r="D323" t="inlineStr">
        <is>
          <t>SKÅNE LÄN</t>
        </is>
      </c>
      <c r="E323" t="inlineStr">
        <is>
          <t>HÄSSLEHOLM</t>
        </is>
      </c>
      <c r="G323" t="n">
        <v>2.5</v>
      </c>
      <c r="H323" t="n">
        <v>0</v>
      </c>
      <c r="I323" t="n">
        <v>0</v>
      </c>
      <c r="J323" t="n">
        <v>0</v>
      </c>
      <c r="K323" t="n">
        <v>0</v>
      </c>
      <c r="L323" t="n">
        <v>0</v>
      </c>
      <c r="M323" t="n">
        <v>0</v>
      </c>
      <c r="N323" t="n">
        <v>0</v>
      </c>
      <c r="O323" t="n">
        <v>0</v>
      </c>
      <c r="P323" t="n">
        <v>0</v>
      </c>
      <c r="Q323" t="n">
        <v>0</v>
      </c>
      <c r="R323" s="2" t="inlineStr"/>
    </row>
    <row r="324" ht="15" customHeight="1">
      <c r="A324" t="inlineStr">
        <is>
          <t>A 2479-2024</t>
        </is>
      </c>
      <c r="B324" s="1" t="n">
        <v>45313.40148148148</v>
      </c>
      <c r="C324" s="1" t="n">
        <v>46064</v>
      </c>
      <c r="D324" t="inlineStr">
        <is>
          <t>SKÅNE LÄN</t>
        </is>
      </c>
      <c r="E324" t="inlineStr">
        <is>
          <t>HÄSSLEHOLM</t>
        </is>
      </c>
      <c r="G324" t="n">
        <v>1.2</v>
      </c>
      <c r="H324" t="n">
        <v>0</v>
      </c>
      <c r="I324" t="n">
        <v>0</v>
      </c>
      <c r="J324" t="n">
        <v>0</v>
      </c>
      <c r="K324" t="n">
        <v>0</v>
      </c>
      <c r="L324" t="n">
        <v>0</v>
      </c>
      <c r="M324" t="n">
        <v>0</v>
      </c>
      <c r="N324" t="n">
        <v>0</v>
      </c>
      <c r="O324" t="n">
        <v>0</v>
      </c>
      <c r="P324" t="n">
        <v>0</v>
      </c>
      <c r="Q324" t="n">
        <v>0</v>
      </c>
      <c r="R324" s="2" t="inlineStr"/>
    </row>
    <row r="325" ht="15" customHeight="1">
      <c r="A325" t="inlineStr">
        <is>
          <t>A 26397-2023</t>
        </is>
      </c>
      <c r="B325" s="1" t="n">
        <v>45087</v>
      </c>
      <c r="C325" s="1" t="n">
        <v>46064</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1119-2024</t>
        </is>
      </c>
      <c r="B326" s="1" t="n">
        <v>45302</v>
      </c>
      <c r="C326" s="1" t="n">
        <v>46064</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59030-2024</t>
        </is>
      </c>
      <c r="B327" s="1" t="n">
        <v>45636.68916666666</v>
      </c>
      <c r="C327" s="1" t="n">
        <v>46064</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58888-2024</t>
        </is>
      </c>
      <c r="B328" s="1" t="n">
        <v>45636.45962962963</v>
      </c>
      <c r="C328" s="1" t="n">
        <v>46064</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48663-2024</t>
        </is>
      </c>
      <c r="B329" s="1" t="n">
        <v>45593.48892361111</v>
      </c>
      <c r="C329" s="1" t="n">
        <v>46064</v>
      </c>
      <c r="D329" t="inlineStr">
        <is>
          <t>SKÅNE LÄN</t>
        </is>
      </c>
      <c r="E329" t="inlineStr">
        <is>
          <t>HÄSSLEHOLM</t>
        </is>
      </c>
      <c r="G329" t="n">
        <v>1.8</v>
      </c>
      <c r="H329" t="n">
        <v>0</v>
      </c>
      <c r="I329" t="n">
        <v>0</v>
      </c>
      <c r="J329" t="n">
        <v>0</v>
      </c>
      <c r="K329" t="n">
        <v>0</v>
      </c>
      <c r="L329" t="n">
        <v>0</v>
      </c>
      <c r="M329" t="n">
        <v>0</v>
      </c>
      <c r="N329" t="n">
        <v>0</v>
      </c>
      <c r="O329" t="n">
        <v>0</v>
      </c>
      <c r="P329" t="n">
        <v>0</v>
      </c>
      <c r="Q329" t="n">
        <v>0</v>
      </c>
      <c r="R329" s="2" t="inlineStr"/>
    </row>
    <row r="330" ht="15" customHeight="1">
      <c r="A330" t="inlineStr">
        <is>
          <t>A 16334-2024</t>
        </is>
      </c>
      <c r="B330" s="1" t="n">
        <v>45407.54856481482</v>
      </c>
      <c r="C330" s="1" t="n">
        <v>46064</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3663-2024</t>
        </is>
      </c>
      <c r="B331" s="1" t="n">
        <v>45321.34775462963</v>
      </c>
      <c r="C331" s="1" t="n">
        <v>46064</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7153-2025</t>
        </is>
      </c>
      <c r="B332" s="1" t="n">
        <v>45702.38512731482</v>
      </c>
      <c r="C332" s="1" t="n">
        <v>46064</v>
      </c>
      <c r="D332" t="inlineStr">
        <is>
          <t>SKÅNE LÄN</t>
        </is>
      </c>
      <c r="E332" t="inlineStr">
        <is>
          <t>HÄSSLEHOLM</t>
        </is>
      </c>
      <c r="G332" t="n">
        <v>2.7</v>
      </c>
      <c r="H332" t="n">
        <v>0</v>
      </c>
      <c r="I332" t="n">
        <v>0</v>
      </c>
      <c r="J332" t="n">
        <v>0</v>
      </c>
      <c r="K332" t="n">
        <v>0</v>
      </c>
      <c r="L332" t="n">
        <v>0</v>
      </c>
      <c r="M332" t="n">
        <v>0</v>
      </c>
      <c r="N332" t="n">
        <v>0</v>
      </c>
      <c r="O332" t="n">
        <v>0</v>
      </c>
      <c r="P332" t="n">
        <v>0</v>
      </c>
      <c r="Q332" t="n">
        <v>0</v>
      </c>
      <c r="R332" s="2" t="inlineStr"/>
    </row>
    <row r="333" ht="15" customHeight="1">
      <c r="A333" t="inlineStr">
        <is>
          <t>A 48771-2024</t>
        </is>
      </c>
      <c r="B333" s="1" t="n">
        <v>45593.61284722222</v>
      </c>
      <c r="C333" s="1" t="n">
        <v>46064</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12344-2023</t>
        </is>
      </c>
      <c r="B334" s="1" t="n">
        <v>44999</v>
      </c>
      <c r="C334" s="1" t="n">
        <v>46064</v>
      </c>
      <c r="D334" t="inlineStr">
        <is>
          <t>SKÅNE LÄN</t>
        </is>
      </c>
      <c r="E334" t="inlineStr">
        <is>
          <t>HÄSSLEHOLM</t>
        </is>
      </c>
      <c r="G334" t="n">
        <v>2.4</v>
      </c>
      <c r="H334" t="n">
        <v>0</v>
      </c>
      <c r="I334" t="n">
        <v>0</v>
      </c>
      <c r="J334" t="n">
        <v>0</v>
      </c>
      <c r="K334" t="n">
        <v>0</v>
      </c>
      <c r="L334" t="n">
        <v>0</v>
      </c>
      <c r="M334" t="n">
        <v>0</v>
      </c>
      <c r="N334" t="n">
        <v>0</v>
      </c>
      <c r="O334" t="n">
        <v>0</v>
      </c>
      <c r="P334" t="n">
        <v>0</v>
      </c>
      <c r="Q334" t="n">
        <v>0</v>
      </c>
      <c r="R334" s="2" t="inlineStr"/>
    </row>
    <row r="335" ht="15" customHeight="1">
      <c r="A335" t="inlineStr">
        <is>
          <t>A 9393-2025</t>
        </is>
      </c>
      <c r="B335" s="1" t="n">
        <v>45715.36230324074</v>
      </c>
      <c r="C335" s="1" t="n">
        <v>46064</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61197-2024</t>
        </is>
      </c>
      <c r="B336" s="1" t="n">
        <v>45645.63184027778</v>
      </c>
      <c r="C336" s="1" t="n">
        <v>46064</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15897-2025</t>
        </is>
      </c>
      <c r="B337" s="1" t="n">
        <v>45749.41598379629</v>
      </c>
      <c r="C337" s="1" t="n">
        <v>46064</v>
      </c>
      <c r="D337" t="inlineStr">
        <is>
          <t>SKÅNE LÄN</t>
        </is>
      </c>
      <c r="E337" t="inlineStr">
        <is>
          <t>HÄSSLEHOLM</t>
        </is>
      </c>
      <c r="G337" t="n">
        <v>0.8</v>
      </c>
      <c r="H337" t="n">
        <v>0</v>
      </c>
      <c r="I337" t="n">
        <v>0</v>
      </c>
      <c r="J337" t="n">
        <v>0</v>
      </c>
      <c r="K337" t="n">
        <v>0</v>
      </c>
      <c r="L337" t="n">
        <v>0</v>
      </c>
      <c r="M337" t="n">
        <v>0</v>
      </c>
      <c r="N337" t="n">
        <v>0</v>
      </c>
      <c r="O337" t="n">
        <v>0</v>
      </c>
      <c r="P337" t="n">
        <v>0</v>
      </c>
      <c r="Q337" t="n">
        <v>0</v>
      </c>
      <c r="R337" s="2" t="inlineStr"/>
    </row>
    <row r="338" ht="15" customHeight="1">
      <c r="A338" t="inlineStr">
        <is>
          <t>A 54982-2024</t>
        </is>
      </c>
      <c r="B338" s="1" t="n">
        <v>45620.7580787037</v>
      </c>
      <c r="C338" s="1" t="n">
        <v>46064</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6165-2023</t>
        </is>
      </c>
      <c r="B339" s="1" t="n">
        <v>44964.67114583333</v>
      </c>
      <c r="C339" s="1" t="n">
        <v>46064</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33938-2023</t>
        </is>
      </c>
      <c r="B340" s="1" t="n">
        <v>45124</v>
      </c>
      <c r="C340" s="1" t="n">
        <v>46064</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61533-2022</t>
        </is>
      </c>
      <c r="B341" s="1" t="n">
        <v>44910</v>
      </c>
      <c r="C341" s="1" t="n">
        <v>46064</v>
      </c>
      <c r="D341" t="inlineStr">
        <is>
          <t>SKÅNE LÄN</t>
        </is>
      </c>
      <c r="E341" t="inlineStr">
        <is>
          <t>HÄSSLEHOLM</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61182-2024</t>
        </is>
      </c>
      <c r="B342" s="1" t="n">
        <v>45645</v>
      </c>
      <c r="C342" s="1" t="n">
        <v>46064</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677-2024</t>
        </is>
      </c>
      <c r="B343" s="1" t="n">
        <v>45300</v>
      </c>
      <c r="C343" s="1" t="n">
        <v>46064</v>
      </c>
      <c r="D343" t="inlineStr">
        <is>
          <t>SKÅNE LÄN</t>
        </is>
      </c>
      <c r="E343" t="inlineStr">
        <is>
          <t>HÄSSLEHOLM</t>
        </is>
      </c>
      <c r="G343" t="n">
        <v>6.8</v>
      </c>
      <c r="H343" t="n">
        <v>0</v>
      </c>
      <c r="I343" t="n">
        <v>0</v>
      </c>
      <c r="J343" t="n">
        <v>0</v>
      </c>
      <c r="K343" t="n">
        <v>0</v>
      </c>
      <c r="L343" t="n">
        <v>0</v>
      </c>
      <c r="M343" t="n">
        <v>0</v>
      </c>
      <c r="N343" t="n">
        <v>0</v>
      </c>
      <c r="O343" t="n">
        <v>0</v>
      </c>
      <c r="P343" t="n">
        <v>0</v>
      </c>
      <c r="Q343" t="n">
        <v>0</v>
      </c>
      <c r="R343" s="2" t="inlineStr"/>
    </row>
    <row r="344" ht="15" customHeight="1">
      <c r="A344" t="inlineStr">
        <is>
          <t>A 20872-2025</t>
        </is>
      </c>
      <c r="B344" s="1" t="n">
        <v>45777.34688657407</v>
      </c>
      <c r="C344" s="1" t="n">
        <v>46064</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14255-2024</t>
        </is>
      </c>
      <c r="B345" s="1" t="n">
        <v>45393</v>
      </c>
      <c r="C345" s="1" t="n">
        <v>46064</v>
      </c>
      <c r="D345" t="inlineStr">
        <is>
          <t>SKÅNE LÄN</t>
        </is>
      </c>
      <c r="E345" t="inlineStr">
        <is>
          <t>HÄSSLEHOLM</t>
        </is>
      </c>
      <c r="G345" t="n">
        <v>11.9</v>
      </c>
      <c r="H345" t="n">
        <v>0</v>
      </c>
      <c r="I345" t="n">
        <v>0</v>
      </c>
      <c r="J345" t="n">
        <v>0</v>
      </c>
      <c r="K345" t="n">
        <v>0</v>
      </c>
      <c r="L345" t="n">
        <v>0</v>
      </c>
      <c r="M345" t="n">
        <v>0</v>
      </c>
      <c r="N345" t="n">
        <v>0</v>
      </c>
      <c r="O345" t="n">
        <v>0</v>
      </c>
      <c r="P345" t="n">
        <v>0</v>
      </c>
      <c r="Q345" t="n">
        <v>0</v>
      </c>
      <c r="R345" s="2" t="inlineStr"/>
    </row>
    <row r="346" ht="15" customHeight="1">
      <c r="A346" t="inlineStr">
        <is>
          <t>A 29994-2023</t>
        </is>
      </c>
      <c r="B346" s="1" t="n">
        <v>45109.60038194444</v>
      </c>
      <c r="C346" s="1" t="n">
        <v>46064</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21206-2025</t>
        </is>
      </c>
      <c r="B347" s="1" t="n">
        <v>45779.48318287037</v>
      </c>
      <c r="C347" s="1" t="n">
        <v>46064</v>
      </c>
      <c r="D347" t="inlineStr">
        <is>
          <t>SKÅNE LÄN</t>
        </is>
      </c>
      <c r="E347" t="inlineStr">
        <is>
          <t>HÄSSLEHOLM</t>
        </is>
      </c>
      <c r="G347" t="n">
        <v>2.2</v>
      </c>
      <c r="H347" t="n">
        <v>0</v>
      </c>
      <c r="I347" t="n">
        <v>0</v>
      </c>
      <c r="J347" t="n">
        <v>0</v>
      </c>
      <c r="K347" t="n">
        <v>0</v>
      </c>
      <c r="L347" t="n">
        <v>0</v>
      </c>
      <c r="M347" t="n">
        <v>0</v>
      </c>
      <c r="N347" t="n">
        <v>0</v>
      </c>
      <c r="O347" t="n">
        <v>0</v>
      </c>
      <c r="P347" t="n">
        <v>0</v>
      </c>
      <c r="Q347" t="n">
        <v>0</v>
      </c>
      <c r="R347" s="2" t="inlineStr"/>
    </row>
    <row r="348" ht="15" customHeight="1">
      <c r="A348" t="inlineStr">
        <is>
          <t>A 12338-2024</t>
        </is>
      </c>
      <c r="B348" s="1" t="n">
        <v>45378.72869212963</v>
      </c>
      <c r="C348" s="1" t="n">
        <v>46064</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21091-2025</t>
        </is>
      </c>
      <c r="B349" s="1" t="n">
        <v>45777</v>
      </c>
      <c r="C349" s="1" t="n">
        <v>46064</v>
      </c>
      <c r="D349" t="inlineStr">
        <is>
          <t>SKÅNE LÄN</t>
        </is>
      </c>
      <c r="E349" t="inlineStr">
        <is>
          <t>HÄSSLEHOLM</t>
        </is>
      </c>
      <c r="G349" t="n">
        <v>3.4</v>
      </c>
      <c r="H349" t="n">
        <v>0</v>
      </c>
      <c r="I349" t="n">
        <v>0</v>
      </c>
      <c r="J349" t="n">
        <v>0</v>
      </c>
      <c r="K349" t="n">
        <v>0</v>
      </c>
      <c r="L349" t="n">
        <v>0</v>
      </c>
      <c r="M349" t="n">
        <v>0</v>
      </c>
      <c r="N349" t="n">
        <v>0</v>
      </c>
      <c r="O349" t="n">
        <v>0</v>
      </c>
      <c r="P349" t="n">
        <v>0</v>
      </c>
      <c r="Q349" t="n">
        <v>0</v>
      </c>
      <c r="R349" s="2" t="inlineStr"/>
    </row>
    <row r="350" ht="15" customHeight="1">
      <c r="A350" t="inlineStr">
        <is>
          <t>A 317-2025</t>
        </is>
      </c>
      <c r="B350" s="1" t="n">
        <v>45660</v>
      </c>
      <c r="C350" s="1" t="n">
        <v>46064</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21638-2025</t>
        </is>
      </c>
      <c r="B351" s="1" t="n">
        <v>45783.43087962963</v>
      </c>
      <c r="C351" s="1" t="n">
        <v>46064</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15055-2023</t>
        </is>
      </c>
      <c r="B352" s="1" t="n">
        <v>45015</v>
      </c>
      <c r="C352" s="1" t="n">
        <v>46064</v>
      </c>
      <c r="D352" t="inlineStr">
        <is>
          <t>SKÅNE LÄN</t>
        </is>
      </c>
      <c r="E352" t="inlineStr">
        <is>
          <t>HÄSSLEHOLM</t>
        </is>
      </c>
      <c r="G352" t="n">
        <v>1.9</v>
      </c>
      <c r="H352" t="n">
        <v>0</v>
      </c>
      <c r="I352" t="n">
        <v>0</v>
      </c>
      <c r="J352" t="n">
        <v>0</v>
      </c>
      <c r="K352" t="n">
        <v>0</v>
      </c>
      <c r="L352" t="n">
        <v>0</v>
      </c>
      <c r="M352" t="n">
        <v>0</v>
      </c>
      <c r="N352" t="n">
        <v>0</v>
      </c>
      <c r="O352" t="n">
        <v>0</v>
      </c>
      <c r="P352" t="n">
        <v>0</v>
      </c>
      <c r="Q352" t="n">
        <v>0</v>
      </c>
      <c r="R352" s="2" t="inlineStr"/>
    </row>
    <row r="353" ht="15" customHeight="1">
      <c r="A353" t="inlineStr">
        <is>
          <t>A 34187-2023</t>
        </is>
      </c>
      <c r="B353" s="1" t="n">
        <v>45138</v>
      </c>
      <c r="C353" s="1" t="n">
        <v>46064</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39111-2023</t>
        </is>
      </c>
      <c r="B354" s="1" t="n">
        <v>45164.87140046297</v>
      </c>
      <c r="C354" s="1" t="n">
        <v>46064</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60851-2024</t>
        </is>
      </c>
      <c r="B355" s="1" t="n">
        <v>45644.66182870371</v>
      </c>
      <c r="C355" s="1" t="n">
        <v>46064</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21625-2025</t>
        </is>
      </c>
      <c r="B356" s="1" t="n">
        <v>45783.41252314814</v>
      </c>
      <c r="C356" s="1" t="n">
        <v>46064</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7818-2024</t>
        </is>
      </c>
      <c r="B357" s="1" t="n">
        <v>45349.68872685185</v>
      </c>
      <c r="C357" s="1" t="n">
        <v>46064</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31255-2024</t>
        </is>
      </c>
      <c r="B358" s="1" t="n">
        <v>45503.69114583333</v>
      </c>
      <c r="C358" s="1" t="n">
        <v>46064</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13149-2024</t>
        </is>
      </c>
      <c r="B359" s="1" t="n">
        <v>45386</v>
      </c>
      <c r="C359" s="1" t="n">
        <v>46064</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44697-2021</t>
        </is>
      </c>
      <c r="B360" s="1" t="n">
        <v>44438</v>
      </c>
      <c r="C360" s="1" t="n">
        <v>46064</v>
      </c>
      <c r="D360" t="inlineStr">
        <is>
          <t>SKÅNE LÄN</t>
        </is>
      </c>
      <c r="E360" t="inlineStr">
        <is>
          <t>HÄSSLEHOLM</t>
        </is>
      </c>
      <c r="G360" t="n">
        <v>4.8</v>
      </c>
      <c r="H360" t="n">
        <v>0</v>
      </c>
      <c r="I360" t="n">
        <v>0</v>
      </c>
      <c r="J360" t="n">
        <v>0</v>
      </c>
      <c r="K360" t="n">
        <v>0</v>
      </c>
      <c r="L360" t="n">
        <v>0</v>
      </c>
      <c r="M360" t="n">
        <v>0</v>
      </c>
      <c r="N360" t="n">
        <v>0</v>
      </c>
      <c r="O360" t="n">
        <v>0</v>
      </c>
      <c r="P360" t="n">
        <v>0</v>
      </c>
      <c r="Q360" t="n">
        <v>0</v>
      </c>
      <c r="R360" s="2" t="inlineStr"/>
    </row>
    <row r="361" ht="15" customHeight="1">
      <c r="A361" t="inlineStr">
        <is>
          <t>A 29845-2024</t>
        </is>
      </c>
      <c r="B361" s="1" t="n">
        <v>45485.6212037037</v>
      </c>
      <c r="C361" s="1" t="n">
        <v>46064</v>
      </c>
      <c r="D361" t="inlineStr">
        <is>
          <t>SKÅNE LÄN</t>
        </is>
      </c>
      <c r="E361" t="inlineStr">
        <is>
          <t>HÄSSLEHOLM</t>
        </is>
      </c>
      <c r="G361" t="n">
        <v>1.3</v>
      </c>
      <c r="H361" t="n">
        <v>0</v>
      </c>
      <c r="I361" t="n">
        <v>0</v>
      </c>
      <c r="J361" t="n">
        <v>0</v>
      </c>
      <c r="K361" t="n">
        <v>0</v>
      </c>
      <c r="L361" t="n">
        <v>0</v>
      </c>
      <c r="M361" t="n">
        <v>0</v>
      </c>
      <c r="N361" t="n">
        <v>0</v>
      </c>
      <c r="O361" t="n">
        <v>0</v>
      </c>
      <c r="P361" t="n">
        <v>0</v>
      </c>
      <c r="Q361" t="n">
        <v>0</v>
      </c>
      <c r="R361" s="2" t="inlineStr"/>
    </row>
    <row r="362" ht="15" customHeight="1">
      <c r="A362" t="inlineStr">
        <is>
          <t>A 8433-2024</t>
        </is>
      </c>
      <c r="B362" s="1" t="n">
        <v>45353.48434027778</v>
      </c>
      <c r="C362" s="1" t="n">
        <v>46064</v>
      </c>
      <c r="D362" t="inlineStr">
        <is>
          <t>SKÅNE LÄN</t>
        </is>
      </c>
      <c r="E362" t="inlineStr">
        <is>
          <t>HÄSSLEHOLM</t>
        </is>
      </c>
      <c r="G362" t="n">
        <v>1.9</v>
      </c>
      <c r="H362" t="n">
        <v>0</v>
      </c>
      <c r="I362" t="n">
        <v>0</v>
      </c>
      <c r="J362" t="n">
        <v>0</v>
      </c>
      <c r="K362" t="n">
        <v>0</v>
      </c>
      <c r="L362" t="n">
        <v>0</v>
      </c>
      <c r="M362" t="n">
        <v>0</v>
      </c>
      <c r="N362" t="n">
        <v>0</v>
      </c>
      <c r="O362" t="n">
        <v>0</v>
      </c>
      <c r="P362" t="n">
        <v>0</v>
      </c>
      <c r="Q362" t="n">
        <v>0</v>
      </c>
      <c r="R362" s="2" t="inlineStr"/>
    </row>
    <row r="363" ht="15" customHeight="1">
      <c r="A363" t="inlineStr">
        <is>
          <t>A 48807-2021</t>
        </is>
      </c>
      <c r="B363" s="1" t="n">
        <v>44452</v>
      </c>
      <c r="C363" s="1" t="n">
        <v>46064</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1703-2025</t>
        </is>
      </c>
      <c r="B364" s="1" t="n">
        <v>45670.80732638889</v>
      </c>
      <c r="C364" s="1" t="n">
        <v>46064</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28457-2024</t>
        </is>
      </c>
      <c r="B365" s="1" t="n">
        <v>45477.68884259259</v>
      </c>
      <c r="C365" s="1" t="n">
        <v>46064</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53466-2024</t>
        </is>
      </c>
      <c r="B366" s="1" t="n">
        <v>45614.55304398148</v>
      </c>
      <c r="C366" s="1" t="n">
        <v>46064</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61533-2024</t>
        </is>
      </c>
      <c r="B367" s="1" t="n">
        <v>45646</v>
      </c>
      <c r="C367" s="1" t="n">
        <v>46064</v>
      </c>
      <c r="D367" t="inlineStr">
        <is>
          <t>SKÅNE LÄN</t>
        </is>
      </c>
      <c r="E367" t="inlineStr">
        <is>
          <t>HÄSSLEHOLM</t>
        </is>
      </c>
      <c r="G367" t="n">
        <v>4.5</v>
      </c>
      <c r="H367" t="n">
        <v>0</v>
      </c>
      <c r="I367" t="n">
        <v>0</v>
      </c>
      <c r="J367" t="n">
        <v>0</v>
      </c>
      <c r="K367" t="n">
        <v>0</v>
      </c>
      <c r="L367" t="n">
        <v>0</v>
      </c>
      <c r="M367" t="n">
        <v>0</v>
      </c>
      <c r="N367" t="n">
        <v>0</v>
      </c>
      <c r="O367" t="n">
        <v>0</v>
      </c>
      <c r="P367" t="n">
        <v>0</v>
      </c>
      <c r="Q367" t="n">
        <v>0</v>
      </c>
      <c r="R367" s="2" t="inlineStr"/>
    </row>
    <row r="368" ht="15" customHeight="1">
      <c r="A368" t="inlineStr">
        <is>
          <t>A 19735-2023</t>
        </is>
      </c>
      <c r="B368" s="1" t="n">
        <v>45051.52199074074</v>
      </c>
      <c r="C368" s="1" t="n">
        <v>46064</v>
      </c>
      <c r="D368" t="inlineStr">
        <is>
          <t>SKÅNE LÄN</t>
        </is>
      </c>
      <c r="E368" t="inlineStr">
        <is>
          <t>HÄSSLEHOLM</t>
        </is>
      </c>
      <c r="G368" t="n">
        <v>4</v>
      </c>
      <c r="H368" t="n">
        <v>0</v>
      </c>
      <c r="I368" t="n">
        <v>0</v>
      </c>
      <c r="J368" t="n">
        <v>0</v>
      </c>
      <c r="K368" t="n">
        <v>0</v>
      </c>
      <c r="L368" t="n">
        <v>0</v>
      </c>
      <c r="M368" t="n">
        <v>0</v>
      </c>
      <c r="N368" t="n">
        <v>0</v>
      </c>
      <c r="O368" t="n">
        <v>0</v>
      </c>
      <c r="P368" t="n">
        <v>0</v>
      </c>
      <c r="Q368" t="n">
        <v>0</v>
      </c>
      <c r="R368" s="2" t="inlineStr"/>
    </row>
    <row r="369" ht="15" customHeight="1">
      <c r="A369" t="inlineStr">
        <is>
          <t>A 2490-2024</t>
        </is>
      </c>
      <c r="B369" s="1" t="n">
        <v>45313.43649305555</v>
      </c>
      <c r="C369" s="1" t="n">
        <v>46064</v>
      </c>
      <c r="D369" t="inlineStr">
        <is>
          <t>SKÅNE LÄN</t>
        </is>
      </c>
      <c r="E369" t="inlineStr">
        <is>
          <t>HÄSSLEHOLM</t>
        </is>
      </c>
      <c r="G369" t="n">
        <v>4</v>
      </c>
      <c r="H369" t="n">
        <v>0</v>
      </c>
      <c r="I369" t="n">
        <v>0</v>
      </c>
      <c r="J369" t="n">
        <v>0</v>
      </c>
      <c r="K369" t="n">
        <v>0</v>
      </c>
      <c r="L369" t="n">
        <v>0</v>
      </c>
      <c r="M369" t="n">
        <v>0</v>
      </c>
      <c r="N369" t="n">
        <v>0</v>
      </c>
      <c r="O369" t="n">
        <v>0</v>
      </c>
      <c r="P369" t="n">
        <v>0</v>
      </c>
      <c r="Q369" t="n">
        <v>0</v>
      </c>
      <c r="R369" s="2" t="inlineStr"/>
    </row>
    <row r="370" ht="15" customHeight="1">
      <c r="A370" t="inlineStr">
        <is>
          <t>A 61537-2024</t>
        </is>
      </c>
      <c r="B370" s="1" t="n">
        <v>45646</v>
      </c>
      <c r="C370" s="1" t="n">
        <v>46064</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13309-2025</t>
        </is>
      </c>
      <c r="B371" s="1" t="n">
        <v>45735.58512731481</v>
      </c>
      <c r="C371" s="1" t="n">
        <v>46064</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51752-2023</t>
        </is>
      </c>
      <c r="B372" s="1" t="n">
        <v>45222</v>
      </c>
      <c r="C372" s="1" t="n">
        <v>46064</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34890-2023</t>
        </is>
      </c>
      <c r="B373" s="1" t="n">
        <v>45142.39475694444</v>
      </c>
      <c r="C373" s="1" t="n">
        <v>46064</v>
      </c>
      <c r="D373" t="inlineStr">
        <is>
          <t>SKÅNE LÄN</t>
        </is>
      </c>
      <c r="E373" t="inlineStr">
        <is>
          <t>HÄSSLEHOLM</t>
        </is>
      </c>
      <c r="G373" t="n">
        <v>4</v>
      </c>
      <c r="H373" t="n">
        <v>0</v>
      </c>
      <c r="I373" t="n">
        <v>0</v>
      </c>
      <c r="J373" t="n">
        <v>0</v>
      </c>
      <c r="K373" t="n">
        <v>0</v>
      </c>
      <c r="L373" t="n">
        <v>0</v>
      </c>
      <c r="M373" t="n">
        <v>0</v>
      </c>
      <c r="N373" t="n">
        <v>0</v>
      </c>
      <c r="O373" t="n">
        <v>0</v>
      </c>
      <c r="P373" t="n">
        <v>0</v>
      </c>
      <c r="Q373" t="n">
        <v>0</v>
      </c>
      <c r="R373" s="2" t="inlineStr"/>
    </row>
    <row r="374" ht="15" customHeight="1">
      <c r="A374" t="inlineStr">
        <is>
          <t>A 22024-2025</t>
        </is>
      </c>
      <c r="B374" s="1" t="n">
        <v>45784.85322916666</v>
      </c>
      <c r="C374" s="1" t="n">
        <v>46064</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20006-2025</t>
        </is>
      </c>
      <c r="B375" s="1" t="n">
        <v>45772.05032407407</v>
      </c>
      <c r="C375" s="1" t="n">
        <v>46064</v>
      </c>
      <c r="D375" t="inlineStr">
        <is>
          <t>SKÅNE LÄN</t>
        </is>
      </c>
      <c r="E375" t="inlineStr">
        <is>
          <t>HÄSSLEHOLM</t>
        </is>
      </c>
      <c r="G375" t="n">
        <v>3.9</v>
      </c>
      <c r="H375" t="n">
        <v>0</v>
      </c>
      <c r="I375" t="n">
        <v>0</v>
      </c>
      <c r="J375" t="n">
        <v>0</v>
      </c>
      <c r="K375" t="n">
        <v>0</v>
      </c>
      <c r="L375" t="n">
        <v>0</v>
      </c>
      <c r="M375" t="n">
        <v>0</v>
      </c>
      <c r="N375" t="n">
        <v>0</v>
      </c>
      <c r="O375" t="n">
        <v>0</v>
      </c>
      <c r="P375" t="n">
        <v>0</v>
      </c>
      <c r="Q375" t="n">
        <v>0</v>
      </c>
      <c r="R375" s="2" t="inlineStr"/>
    </row>
    <row r="376" ht="15" customHeight="1">
      <c r="A376" t="inlineStr">
        <is>
          <t>A 32834-2024</t>
        </is>
      </c>
      <c r="B376" s="1" t="n">
        <v>45516.6025</v>
      </c>
      <c r="C376" s="1" t="n">
        <v>46064</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9397-2025</t>
        </is>
      </c>
      <c r="B377" s="1" t="n">
        <v>45715.37361111111</v>
      </c>
      <c r="C377" s="1" t="n">
        <v>46064</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56735-2024</t>
        </is>
      </c>
      <c r="B378" s="1" t="n">
        <v>45628.36234953703</v>
      </c>
      <c r="C378" s="1" t="n">
        <v>46064</v>
      </c>
      <c r="D378" t="inlineStr">
        <is>
          <t>SKÅNE LÄN</t>
        </is>
      </c>
      <c r="E378" t="inlineStr">
        <is>
          <t>HÄSSLEHOLM</t>
        </is>
      </c>
      <c r="G378" t="n">
        <v>0.7</v>
      </c>
      <c r="H378" t="n">
        <v>0</v>
      </c>
      <c r="I378" t="n">
        <v>0</v>
      </c>
      <c r="J378" t="n">
        <v>0</v>
      </c>
      <c r="K378" t="n">
        <v>0</v>
      </c>
      <c r="L378" t="n">
        <v>0</v>
      </c>
      <c r="M378" t="n">
        <v>0</v>
      </c>
      <c r="N378" t="n">
        <v>0</v>
      </c>
      <c r="O378" t="n">
        <v>0</v>
      </c>
      <c r="P378" t="n">
        <v>0</v>
      </c>
      <c r="Q378" t="n">
        <v>0</v>
      </c>
      <c r="R378" s="2" t="inlineStr"/>
    </row>
    <row r="379" ht="15" customHeight="1">
      <c r="A379" t="inlineStr">
        <is>
          <t>A 29844-2024</t>
        </is>
      </c>
      <c r="B379" s="1" t="n">
        <v>45485</v>
      </c>
      <c r="C379" s="1" t="n">
        <v>46064</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59109-2023</t>
        </is>
      </c>
      <c r="B380" s="1" t="n">
        <v>45253.30819444444</v>
      </c>
      <c r="C380" s="1" t="n">
        <v>46064</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49384-2021</t>
        </is>
      </c>
      <c r="B381" s="1" t="n">
        <v>44454</v>
      </c>
      <c r="C381" s="1" t="n">
        <v>46064</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54462-2022</t>
        </is>
      </c>
      <c r="B382" s="1" t="n">
        <v>44882</v>
      </c>
      <c r="C382" s="1" t="n">
        <v>46064</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25611-2024</t>
        </is>
      </c>
      <c r="B383" s="1" t="n">
        <v>45463</v>
      </c>
      <c r="C383" s="1" t="n">
        <v>46064</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7094-2023</t>
        </is>
      </c>
      <c r="B384" s="1" t="n">
        <v>44970.36958333333</v>
      </c>
      <c r="C384" s="1" t="n">
        <v>46064</v>
      </c>
      <c r="D384" t="inlineStr">
        <is>
          <t>SKÅNE LÄN</t>
        </is>
      </c>
      <c r="E384" t="inlineStr">
        <is>
          <t>HÄSSLEHOLM</t>
        </is>
      </c>
      <c r="G384" t="n">
        <v>3.6</v>
      </c>
      <c r="H384" t="n">
        <v>0</v>
      </c>
      <c r="I384" t="n">
        <v>0</v>
      </c>
      <c r="J384" t="n">
        <v>0</v>
      </c>
      <c r="K384" t="n">
        <v>0</v>
      </c>
      <c r="L384" t="n">
        <v>0</v>
      </c>
      <c r="M384" t="n">
        <v>0</v>
      </c>
      <c r="N384" t="n">
        <v>0</v>
      </c>
      <c r="O384" t="n">
        <v>0</v>
      </c>
      <c r="P384" t="n">
        <v>0</v>
      </c>
      <c r="Q384" t="n">
        <v>0</v>
      </c>
      <c r="R384" s="2" t="inlineStr"/>
    </row>
    <row r="385" ht="15" customHeight="1">
      <c r="A385" t="inlineStr">
        <is>
          <t>A 32100-2024</t>
        </is>
      </c>
      <c r="B385" s="1" t="n">
        <v>45511.41451388889</v>
      </c>
      <c r="C385" s="1" t="n">
        <v>46064</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43516-2025</t>
        </is>
      </c>
      <c r="B386" s="1" t="n">
        <v>45911</v>
      </c>
      <c r="C386" s="1" t="n">
        <v>46064</v>
      </c>
      <c r="D386" t="inlineStr">
        <is>
          <t>SKÅNE LÄN</t>
        </is>
      </c>
      <c r="E386" t="inlineStr">
        <is>
          <t>HÄSSLEHOLM</t>
        </is>
      </c>
      <c r="G386" t="n">
        <v>2.4</v>
      </c>
      <c r="H386" t="n">
        <v>0</v>
      </c>
      <c r="I386" t="n">
        <v>0</v>
      </c>
      <c r="J386" t="n">
        <v>0</v>
      </c>
      <c r="K386" t="n">
        <v>0</v>
      </c>
      <c r="L386" t="n">
        <v>0</v>
      </c>
      <c r="M386" t="n">
        <v>0</v>
      </c>
      <c r="N386" t="n">
        <v>0</v>
      </c>
      <c r="O386" t="n">
        <v>0</v>
      </c>
      <c r="P386" t="n">
        <v>0</v>
      </c>
      <c r="Q386" t="n">
        <v>0</v>
      </c>
      <c r="R386" s="2" t="inlineStr"/>
    </row>
    <row r="387" ht="15" customHeight="1">
      <c r="A387" t="inlineStr">
        <is>
          <t>A 10220-2023</t>
        </is>
      </c>
      <c r="B387" s="1" t="n">
        <v>44986.60916666667</v>
      </c>
      <c r="C387" s="1" t="n">
        <v>46064</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55662-2022</t>
        </is>
      </c>
      <c r="B388" s="1" t="n">
        <v>44883</v>
      </c>
      <c r="C388" s="1" t="n">
        <v>46064</v>
      </c>
      <c r="D388" t="inlineStr">
        <is>
          <t>SKÅNE LÄN</t>
        </is>
      </c>
      <c r="E388" t="inlineStr">
        <is>
          <t>HÄSSLEHOLM</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35810-2023</t>
        </is>
      </c>
      <c r="B389" s="1" t="n">
        <v>45148.44046296296</v>
      </c>
      <c r="C389" s="1" t="n">
        <v>46064</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11260-2021</t>
        </is>
      </c>
      <c r="B390" s="1" t="n">
        <v>44263</v>
      </c>
      <c r="C390" s="1" t="n">
        <v>46064</v>
      </c>
      <c r="D390" t="inlineStr">
        <is>
          <t>SKÅNE LÄN</t>
        </is>
      </c>
      <c r="E390" t="inlineStr">
        <is>
          <t>HÄSSLEHOLM</t>
        </is>
      </c>
      <c r="G390" t="n">
        <v>5.4</v>
      </c>
      <c r="H390" t="n">
        <v>0</v>
      </c>
      <c r="I390" t="n">
        <v>0</v>
      </c>
      <c r="J390" t="n">
        <v>0</v>
      </c>
      <c r="K390" t="n">
        <v>0</v>
      </c>
      <c r="L390" t="n">
        <v>0</v>
      </c>
      <c r="M390" t="n">
        <v>0</v>
      </c>
      <c r="N390" t="n">
        <v>0</v>
      </c>
      <c r="O390" t="n">
        <v>0</v>
      </c>
      <c r="P390" t="n">
        <v>0</v>
      </c>
      <c r="Q390" t="n">
        <v>0</v>
      </c>
      <c r="R390" s="2" t="inlineStr"/>
    </row>
    <row r="391" ht="15" customHeight="1">
      <c r="A391" t="inlineStr">
        <is>
          <t>A 35833-2023</t>
        </is>
      </c>
      <c r="B391" s="1" t="n">
        <v>45148</v>
      </c>
      <c r="C391" s="1" t="n">
        <v>46064</v>
      </c>
      <c r="D391" t="inlineStr">
        <is>
          <t>SKÅNE LÄN</t>
        </is>
      </c>
      <c r="E391" t="inlineStr">
        <is>
          <t>HÄSSLEHOLM</t>
        </is>
      </c>
      <c r="F391" t="inlineStr">
        <is>
          <t>Kommuner</t>
        </is>
      </c>
      <c r="G391" t="n">
        <v>2</v>
      </c>
      <c r="H391" t="n">
        <v>0</v>
      </c>
      <c r="I391" t="n">
        <v>0</v>
      </c>
      <c r="J391" t="n">
        <v>0</v>
      </c>
      <c r="K391" t="n">
        <v>0</v>
      </c>
      <c r="L391" t="n">
        <v>0</v>
      </c>
      <c r="M391" t="n">
        <v>0</v>
      </c>
      <c r="N391" t="n">
        <v>0</v>
      </c>
      <c r="O391" t="n">
        <v>0</v>
      </c>
      <c r="P391" t="n">
        <v>0</v>
      </c>
      <c r="Q391" t="n">
        <v>0</v>
      </c>
      <c r="R391" s="2" t="inlineStr"/>
    </row>
    <row r="392" ht="15" customHeight="1">
      <c r="A392" t="inlineStr">
        <is>
          <t>A 43332-2025</t>
        </is>
      </c>
      <c r="B392" s="1" t="n">
        <v>45910.70217592592</v>
      </c>
      <c r="C392" s="1" t="n">
        <v>46064</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3886-2024</t>
        </is>
      </c>
      <c r="B393" s="1" t="n">
        <v>45322.44539351852</v>
      </c>
      <c r="C393" s="1" t="n">
        <v>46064</v>
      </c>
      <c r="D393" t="inlineStr">
        <is>
          <t>SKÅNE LÄN</t>
        </is>
      </c>
      <c r="E393" t="inlineStr">
        <is>
          <t>HÄSSLEHOLM</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59556-2023</t>
        </is>
      </c>
      <c r="B394" s="1" t="n">
        <v>45254.56313657408</v>
      </c>
      <c r="C394" s="1" t="n">
        <v>46064</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9924-2025</t>
        </is>
      </c>
      <c r="B395" s="1" t="n">
        <v>45717.72505787037</v>
      </c>
      <c r="C395" s="1" t="n">
        <v>46064</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22587-2025</t>
        </is>
      </c>
      <c r="B396" s="1" t="n">
        <v>45789.39974537037</v>
      </c>
      <c r="C396" s="1" t="n">
        <v>46064</v>
      </c>
      <c r="D396" t="inlineStr">
        <is>
          <t>SKÅNE LÄN</t>
        </is>
      </c>
      <c r="E396" t="inlineStr">
        <is>
          <t>HÄSSLEHOLM</t>
        </is>
      </c>
      <c r="G396" t="n">
        <v>5.7</v>
      </c>
      <c r="H396" t="n">
        <v>0</v>
      </c>
      <c r="I396" t="n">
        <v>0</v>
      </c>
      <c r="J396" t="n">
        <v>0</v>
      </c>
      <c r="K396" t="n">
        <v>0</v>
      </c>
      <c r="L396" t="n">
        <v>0</v>
      </c>
      <c r="M396" t="n">
        <v>0</v>
      </c>
      <c r="N396" t="n">
        <v>0</v>
      </c>
      <c r="O396" t="n">
        <v>0</v>
      </c>
      <c r="P396" t="n">
        <v>0</v>
      </c>
      <c r="Q396" t="n">
        <v>0</v>
      </c>
      <c r="R396" s="2" t="inlineStr"/>
    </row>
    <row r="397" ht="15" customHeight="1">
      <c r="A397" t="inlineStr">
        <is>
          <t>A 53077-2022</t>
        </is>
      </c>
      <c r="B397" s="1" t="n">
        <v>44873</v>
      </c>
      <c r="C397" s="1" t="n">
        <v>46064</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60920-2024</t>
        </is>
      </c>
      <c r="B398" s="1" t="n">
        <v>45645.34442129629</v>
      </c>
      <c r="C398" s="1" t="n">
        <v>46064</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40536-2024</t>
        </is>
      </c>
      <c r="B399" s="1" t="n">
        <v>45555.61314814815</v>
      </c>
      <c r="C399" s="1" t="n">
        <v>46064</v>
      </c>
      <c r="D399" t="inlineStr">
        <is>
          <t>SKÅNE LÄN</t>
        </is>
      </c>
      <c r="E399" t="inlineStr">
        <is>
          <t>HÄSSLEHOLM</t>
        </is>
      </c>
      <c r="G399" t="n">
        <v>1</v>
      </c>
      <c r="H399" t="n">
        <v>0</v>
      </c>
      <c r="I399" t="n">
        <v>0</v>
      </c>
      <c r="J399" t="n">
        <v>0</v>
      </c>
      <c r="K399" t="n">
        <v>0</v>
      </c>
      <c r="L399" t="n">
        <v>0</v>
      </c>
      <c r="M399" t="n">
        <v>0</v>
      </c>
      <c r="N399" t="n">
        <v>0</v>
      </c>
      <c r="O399" t="n">
        <v>0</v>
      </c>
      <c r="P399" t="n">
        <v>0</v>
      </c>
      <c r="Q399" t="n">
        <v>0</v>
      </c>
      <c r="R399" s="2" t="inlineStr"/>
    </row>
    <row r="400" ht="15" customHeight="1">
      <c r="A400" t="inlineStr">
        <is>
          <t>A 56386-2023</t>
        </is>
      </c>
      <c r="B400" s="1" t="n">
        <v>45243</v>
      </c>
      <c r="C400" s="1" t="n">
        <v>46064</v>
      </c>
      <c r="D400" t="inlineStr">
        <is>
          <t>SKÅNE LÄN</t>
        </is>
      </c>
      <c r="E400" t="inlineStr">
        <is>
          <t>HÄSSLEHOLM</t>
        </is>
      </c>
      <c r="G400" t="n">
        <v>2</v>
      </c>
      <c r="H400" t="n">
        <v>0</v>
      </c>
      <c r="I400" t="n">
        <v>0</v>
      </c>
      <c r="J400" t="n">
        <v>0</v>
      </c>
      <c r="K400" t="n">
        <v>0</v>
      </c>
      <c r="L400" t="n">
        <v>0</v>
      </c>
      <c r="M400" t="n">
        <v>0</v>
      </c>
      <c r="N400" t="n">
        <v>0</v>
      </c>
      <c r="O400" t="n">
        <v>0</v>
      </c>
      <c r="P400" t="n">
        <v>0</v>
      </c>
      <c r="Q400" t="n">
        <v>0</v>
      </c>
      <c r="R400" s="2" t="inlineStr"/>
    </row>
    <row r="401" ht="15" customHeight="1">
      <c r="A401" t="inlineStr">
        <is>
          <t>A 29274-2023</t>
        </is>
      </c>
      <c r="B401" s="1" t="n">
        <v>45105</v>
      </c>
      <c r="C401" s="1" t="n">
        <v>46064</v>
      </c>
      <c r="D401" t="inlineStr">
        <is>
          <t>SKÅNE LÄN</t>
        </is>
      </c>
      <c r="E401" t="inlineStr">
        <is>
          <t>HÄSSLEHOLM</t>
        </is>
      </c>
      <c r="G401" t="n">
        <v>3.4</v>
      </c>
      <c r="H401" t="n">
        <v>0</v>
      </c>
      <c r="I401" t="n">
        <v>0</v>
      </c>
      <c r="J401" t="n">
        <v>0</v>
      </c>
      <c r="K401" t="n">
        <v>0</v>
      </c>
      <c r="L401" t="n">
        <v>0</v>
      </c>
      <c r="M401" t="n">
        <v>0</v>
      </c>
      <c r="N401" t="n">
        <v>0</v>
      </c>
      <c r="O401" t="n">
        <v>0</v>
      </c>
      <c r="P401" t="n">
        <v>0</v>
      </c>
      <c r="Q401" t="n">
        <v>0</v>
      </c>
      <c r="R401" s="2" t="inlineStr"/>
    </row>
    <row r="402" ht="15" customHeight="1">
      <c r="A402" t="inlineStr">
        <is>
          <t>A 61932-2023</t>
        </is>
      </c>
      <c r="B402" s="1" t="n">
        <v>45266.53761574074</v>
      </c>
      <c r="C402" s="1" t="n">
        <v>46064</v>
      </c>
      <c r="D402" t="inlineStr">
        <is>
          <t>SKÅNE LÄN</t>
        </is>
      </c>
      <c r="E402" t="inlineStr">
        <is>
          <t>HÄSSLEHOLM</t>
        </is>
      </c>
      <c r="G402" t="n">
        <v>0.9</v>
      </c>
      <c r="H402" t="n">
        <v>0</v>
      </c>
      <c r="I402" t="n">
        <v>0</v>
      </c>
      <c r="J402" t="n">
        <v>0</v>
      </c>
      <c r="K402" t="n">
        <v>0</v>
      </c>
      <c r="L402" t="n">
        <v>0</v>
      </c>
      <c r="M402" t="n">
        <v>0</v>
      </c>
      <c r="N402" t="n">
        <v>0</v>
      </c>
      <c r="O402" t="n">
        <v>0</v>
      </c>
      <c r="P402" t="n">
        <v>0</v>
      </c>
      <c r="Q402" t="n">
        <v>0</v>
      </c>
      <c r="R402" s="2" t="inlineStr"/>
    </row>
    <row r="403" ht="15" customHeight="1">
      <c r="A403" t="inlineStr">
        <is>
          <t>A 27606-2024</t>
        </is>
      </c>
      <c r="B403" s="1" t="n">
        <v>45474</v>
      </c>
      <c r="C403" s="1" t="n">
        <v>46064</v>
      </c>
      <c r="D403" t="inlineStr">
        <is>
          <t>SKÅNE LÄN</t>
        </is>
      </c>
      <c r="E403" t="inlineStr">
        <is>
          <t>HÄSSLEHOLM</t>
        </is>
      </c>
      <c r="G403" t="n">
        <v>3.6</v>
      </c>
      <c r="H403" t="n">
        <v>0</v>
      </c>
      <c r="I403" t="n">
        <v>0</v>
      </c>
      <c r="J403" t="n">
        <v>0</v>
      </c>
      <c r="K403" t="n">
        <v>0</v>
      </c>
      <c r="L403" t="n">
        <v>0</v>
      </c>
      <c r="M403" t="n">
        <v>0</v>
      </c>
      <c r="N403" t="n">
        <v>0</v>
      </c>
      <c r="O403" t="n">
        <v>0</v>
      </c>
      <c r="P403" t="n">
        <v>0</v>
      </c>
      <c r="Q403" t="n">
        <v>0</v>
      </c>
      <c r="R403" s="2" t="inlineStr"/>
    </row>
    <row r="404" ht="15" customHeight="1">
      <c r="A404" t="inlineStr">
        <is>
          <t>A 50244-2024</t>
        </is>
      </c>
      <c r="B404" s="1" t="n">
        <v>45600.56502314815</v>
      </c>
      <c r="C404" s="1" t="n">
        <v>46064</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7221-2025</t>
        </is>
      </c>
      <c r="B405" s="1" t="n">
        <v>45701</v>
      </c>
      <c r="C405" s="1" t="n">
        <v>46064</v>
      </c>
      <c r="D405" t="inlineStr">
        <is>
          <t>SKÅNE LÄN</t>
        </is>
      </c>
      <c r="E405" t="inlineStr">
        <is>
          <t>HÄSSLEHOLM</t>
        </is>
      </c>
      <c r="G405" t="n">
        <v>1.8</v>
      </c>
      <c r="H405" t="n">
        <v>0</v>
      </c>
      <c r="I405" t="n">
        <v>0</v>
      </c>
      <c r="J405" t="n">
        <v>0</v>
      </c>
      <c r="K405" t="n">
        <v>0</v>
      </c>
      <c r="L405" t="n">
        <v>0</v>
      </c>
      <c r="M405" t="n">
        <v>0</v>
      </c>
      <c r="N405" t="n">
        <v>0</v>
      </c>
      <c r="O405" t="n">
        <v>0</v>
      </c>
      <c r="P405" t="n">
        <v>0</v>
      </c>
      <c r="Q405" t="n">
        <v>0</v>
      </c>
      <c r="R405" s="2" t="inlineStr"/>
    </row>
    <row r="406" ht="15" customHeight="1">
      <c r="A406" t="inlineStr">
        <is>
          <t>A 5532-2025</t>
        </is>
      </c>
      <c r="B406" s="1" t="n">
        <v>45693</v>
      </c>
      <c r="C406" s="1" t="n">
        <v>46064</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46064</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10230-2025</t>
        </is>
      </c>
      <c r="B408" s="1" t="n">
        <v>45720</v>
      </c>
      <c r="C408" s="1" t="n">
        <v>46064</v>
      </c>
      <c r="D408" t="inlineStr">
        <is>
          <t>SKÅNE LÄN</t>
        </is>
      </c>
      <c r="E408" t="inlineStr">
        <is>
          <t>HÄSSLEHOLM</t>
        </is>
      </c>
      <c r="G408" t="n">
        <v>1.5</v>
      </c>
      <c r="H408" t="n">
        <v>0</v>
      </c>
      <c r="I408" t="n">
        <v>0</v>
      </c>
      <c r="J408" t="n">
        <v>0</v>
      </c>
      <c r="K408" t="n">
        <v>0</v>
      </c>
      <c r="L408" t="n">
        <v>0</v>
      </c>
      <c r="M408" t="n">
        <v>0</v>
      </c>
      <c r="N408" t="n">
        <v>0</v>
      </c>
      <c r="O408" t="n">
        <v>0</v>
      </c>
      <c r="P408" t="n">
        <v>0</v>
      </c>
      <c r="Q408" t="n">
        <v>0</v>
      </c>
      <c r="R408" s="2" t="inlineStr"/>
    </row>
    <row r="409" ht="15" customHeight="1">
      <c r="A409" t="inlineStr">
        <is>
          <t>A 33266-2024</t>
        </is>
      </c>
      <c r="B409" s="1" t="n">
        <v>45518</v>
      </c>
      <c r="C409" s="1" t="n">
        <v>46064</v>
      </c>
      <c r="D409" t="inlineStr">
        <is>
          <t>SKÅNE LÄN</t>
        </is>
      </c>
      <c r="E409" t="inlineStr">
        <is>
          <t>HÄSSLEHOLM</t>
        </is>
      </c>
      <c r="G409" t="n">
        <v>3.2</v>
      </c>
      <c r="H409" t="n">
        <v>0</v>
      </c>
      <c r="I409" t="n">
        <v>0</v>
      </c>
      <c r="J409" t="n">
        <v>0</v>
      </c>
      <c r="K409" t="n">
        <v>0</v>
      </c>
      <c r="L409" t="n">
        <v>0</v>
      </c>
      <c r="M409" t="n">
        <v>0</v>
      </c>
      <c r="N409" t="n">
        <v>0</v>
      </c>
      <c r="O409" t="n">
        <v>0</v>
      </c>
      <c r="P409" t="n">
        <v>0</v>
      </c>
      <c r="Q409" t="n">
        <v>0</v>
      </c>
      <c r="R409" s="2" t="inlineStr"/>
    </row>
    <row r="410" ht="15" customHeight="1">
      <c r="A410" t="inlineStr">
        <is>
          <t>A 19744-2023</t>
        </is>
      </c>
      <c r="B410" s="1" t="n">
        <v>45051</v>
      </c>
      <c r="C410" s="1" t="n">
        <v>46064</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14655-2025</t>
        </is>
      </c>
      <c r="B411" s="1" t="n">
        <v>45742.5072337963</v>
      </c>
      <c r="C411" s="1" t="n">
        <v>46064</v>
      </c>
      <c r="D411" t="inlineStr">
        <is>
          <t>SKÅNE LÄN</t>
        </is>
      </c>
      <c r="E411" t="inlineStr">
        <is>
          <t>HÄSSLEHOLM</t>
        </is>
      </c>
      <c r="G411" t="n">
        <v>4.5</v>
      </c>
      <c r="H411" t="n">
        <v>0</v>
      </c>
      <c r="I411" t="n">
        <v>0</v>
      </c>
      <c r="J411" t="n">
        <v>0</v>
      </c>
      <c r="K411" t="n">
        <v>0</v>
      </c>
      <c r="L411" t="n">
        <v>0</v>
      </c>
      <c r="M411" t="n">
        <v>0</v>
      </c>
      <c r="N411" t="n">
        <v>0</v>
      </c>
      <c r="O411" t="n">
        <v>0</v>
      </c>
      <c r="P411" t="n">
        <v>0</v>
      </c>
      <c r="Q411" t="n">
        <v>0</v>
      </c>
      <c r="R411" s="2" t="inlineStr"/>
    </row>
    <row r="412" ht="15" customHeight="1">
      <c r="A412" t="inlineStr">
        <is>
          <t>A 14926-2024</t>
        </is>
      </c>
      <c r="B412" s="1" t="n">
        <v>45398</v>
      </c>
      <c r="C412" s="1" t="n">
        <v>46064</v>
      </c>
      <c r="D412" t="inlineStr">
        <is>
          <t>SKÅNE LÄN</t>
        </is>
      </c>
      <c r="E412" t="inlineStr">
        <is>
          <t>HÄSSLEHOLM</t>
        </is>
      </c>
      <c r="G412" t="n">
        <v>3.4</v>
      </c>
      <c r="H412" t="n">
        <v>0</v>
      </c>
      <c r="I412" t="n">
        <v>0</v>
      </c>
      <c r="J412" t="n">
        <v>0</v>
      </c>
      <c r="K412" t="n">
        <v>0</v>
      </c>
      <c r="L412" t="n">
        <v>0</v>
      </c>
      <c r="M412" t="n">
        <v>0</v>
      </c>
      <c r="N412" t="n">
        <v>0</v>
      </c>
      <c r="O412" t="n">
        <v>0</v>
      </c>
      <c r="P412" t="n">
        <v>0</v>
      </c>
      <c r="Q412" t="n">
        <v>0</v>
      </c>
      <c r="R412" s="2" t="inlineStr"/>
    </row>
    <row r="413" ht="15" customHeight="1">
      <c r="A413" t="inlineStr">
        <is>
          <t>A 48797-2023</t>
        </is>
      </c>
      <c r="B413" s="1" t="n">
        <v>45209.24986111111</v>
      </c>
      <c r="C413" s="1" t="n">
        <v>46064</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60843-2022</t>
        </is>
      </c>
      <c r="B414" s="1" t="n">
        <v>44914</v>
      </c>
      <c r="C414" s="1" t="n">
        <v>46064</v>
      </c>
      <c r="D414" t="inlineStr">
        <is>
          <t>SKÅNE LÄN</t>
        </is>
      </c>
      <c r="E414" t="inlineStr">
        <is>
          <t>HÄSSLEHOLM</t>
        </is>
      </c>
      <c r="G414" t="n">
        <v>2.2</v>
      </c>
      <c r="H414" t="n">
        <v>0</v>
      </c>
      <c r="I414" t="n">
        <v>0</v>
      </c>
      <c r="J414" t="n">
        <v>0</v>
      </c>
      <c r="K414" t="n">
        <v>0</v>
      </c>
      <c r="L414" t="n">
        <v>0</v>
      </c>
      <c r="M414" t="n">
        <v>0</v>
      </c>
      <c r="N414" t="n">
        <v>0</v>
      </c>
      <c r="O414" t="n">
        <v>0</v>
      </c>
      <c r="P414" t="n">
        <v>0</v>
      </c>
      <c r="Q414" t="n">
        <v>0</v>
      </c>
      <c r="R414" s="2" t="inlineStr"/>
    </row>
    <row r="415" ht="15" customHeight="1">
      <c r="A415" t="inlineStr">
        <is>
          <t>A 22592-2025</t>
        </is>
      </c>
      <c r="B415" s="1" t="n">
        <v>45789.40502314815</v>
      </c>
      <c r="C415" s="1" t="n">
        <v>46064</v>
      </c>
      <c r="D415" t="inlineStr">
        <is>
          <t>SKÅNE LÄN</t>
        </is>
      </c>
      <c r="E415" t="inlineStr">
        <is>
          <t>HÄSSLEHOLM</t>
        </is>
      </c>
      <c r="G415" t="n">
        <v>7.1</v>
      </c>
      <c r="H415" t="n">
        <v>0</v>
      </c>
      <c r="I415" t="n">
        <v>0</v>
      </c>
      <c r="J415" t="n">
        <v>0</v>
      </c>
      <c r="K415" t="n">
        <v>0</v>
      </c>
      <c r="L415" t="n">
        <v>0</v>
      </c>
      <c r="M415" t="n">
        <v>0</v>
      </c>
      <c r="N415" t="n">
        <v>0</v>
      </c>
      <c r="O415" t="n">
        <v>0</v>
      </c>
      <c r="P415" t="n">
        <v>0</v>
      </c>
      <c r="Q415" t="n">
        <v>0</v>
      </c>
      <c r="R415" s="2" t="inlineStr"/>
    </row>
    <row r="416" ht="15" customHeight="1">
      <c r="A416" t="inlineStr">
        <is>
          <t>A 61504-2022</t>
        </is>
      </c>
      <c r="B416" s="1" t="n">
        <v>44910</v>
      </c>
      <c r="C416" s="1" t="n">
        <v>46064</v>
      </c>
      <c r="D416" t="inlineStr">
        <is>
          <t>SKÅNE LÄN</t>
        </is>
      </c>
      <c r="E416" t="inlineStr">
        <is>
          <t>HÄSSLEHOLM</t>
        </is>
      </c>
      <c r="F416" t="inlineStr">
        <is>
          <t>Kyrkan</t>
        </is>
      </c>
      <c r="G416" t="n">
        <v>2.9</v>
      </c>
      <c r="H416" t="n">
        <v>0</v>
      </c>
      <c r="I416" t="n">
        <v>0</v>
      </c>
      <c r="J416" t="n">
        <v>0</v>
      </c>
      <c r="K416" t="n">
        <v>0</v>
      </c>
      <c r="L416" t="n">
        <v>0</v>
      </c>
      <c r="M416" t="n">
        <v>0</v>
      </c>
      <c r="N416" t="n">
        <v>0</v>
      </c>
      <c r="O416" t="n">
        <v>0</v>
      </c>
      <c r="P416" t="n">
        <v>0</v>
      </c>
      <c r="Q416" t="n">
        <v>0</v>
      </c>
      <c r="R416" s="2" t="inlineStr"/>
    </row>
    <row r="417" ht="15" customHeight="1">
      <c r="A417" t="inlineStr">
        <is>
          <t>A 19739-2023</t>
        </is>
      </c>
      <c r="B417" s="1" t="n">
        <v>45051</v>
      </c>
      <c r="C417" s="1" t="n">
        <v>46064</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52968-2022</t>
        </is>
      </c>
      <c r="B418" s="1" t="n">
        <v>44875</v>
      </c>
      <c r="C418" s="1" t="n">
        <v>46064</v>
      </c>
      <c r="D418" t="inlineStr">
        <is>
          <t>SKÅNE LÄN</t>
        </is>
      </c>
      <c r="E418" t="inlineStr">
        <is>
          <t>HÄSSLEHOLM</t>
        </is>
      </c>
      <c r="G418" t="n">
        <v>2.6</v>
      </c>
      <c r="H418" t="n">
        <v>0</v>
      </c>
      <c r="I418" t="n">
        <v>0</v>
      </c>
      <c r="J418" t="n">
        <v>0</v>
      </c>
      <c r="K418" t="n">
        <v>0</v>
      </c>
      <c r="L418" t="n">
        <v>0</v>
      </c>
      <c r="M418" t="n">
        <v>0</v>
      </c>
      <c r="N418" t="n">
        <v>0</v>
      </c>
      <c r="O418" t="n">
        <v>0</v>
      </c>
      <c r="P418" t="n">
        <v>0</v>
      </c>
      <c r="Q418" t="n">
        <v>0</v>
      </c>
      <c r="R418" s="2" t="inlineStr"/>
    </row>
    <row r="419" ht="15" customHeight="1">
      <c r="A419" t="inlineStr">
        <is>
          <t>A 23007-2025</t>
        </is>
      </c>
      <c r="B419" s="1" t="n">
        <v>45790</v>
      </c>
      <c r="C419" s="1" t="n">
        <v>46064</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17171-2025</t>
        </is>
      </c>
      <c r="B420" s="1" t="n">
        <v>45755</v>
      </c>
      <c r="C420" s="1" t="n">
        <v>46064</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43869-2025</t>
        </is>
      </c>
      <c r="B421" s="1" t="n">
        <v>45912.66452546296</v>
      </c>
      <c r="C421" s="1" t="n">
        <v>46064</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16930-2024</t>
        </is>
      </c>
      <c r="B422" s="1" t="n">
        <v>45411</v>
      </c>
      <c r="C422" s="1" t="n">
        <v>46064</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27825-2024</t>
        </is>
      </c>
      <c r="B423" s="1" t="n">
        <v>45475</v>
      </c>
      <c r="C423" s="1" t="n">
        <v>46064</v>
      </c>
      <c r="D423" t="inlineStr">
        <is>
          <t>SKÅNE LÄN</t>
        </is>
      </c>
      <c r="E423" t="inlineStr">
        <is>
          <t>HÄSSLEHOLM</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31254-2024</t>
        </is>
      </c>
      <c r="B424" s="1" t="n">
        <v>45503</v>
      </c>
      <c r="C424" s="1" t="n">
        <v>46064</v>
      </c>
      <c r="D424" t="inlineStr">
        <is>
          <t>SKÅNE LÄN</t>
        </is>
      </c>
      <c r="E424" t="inlineStr">
        <is>
          <t>HÄSSLEHOLM</t>
        </is>
      </c>
      <c r="G424" t="n">
        <v>2.2</v>
      </c>
      <c r="H424" t="n">
        <v>0</v>
      </c>
      <c r="I424" t="n">
        <v>0</v>
      </c>
      <c r="J424" t="n">
        <v>0</v>
      </c>
      <c r="K424" t="n">
        <v>0</v>
      </c>
      <c r="L424" t="n">
        <v>0</v>
      </c>
      <c r="M424" t="n">
        <v>0</v>
      </c>
      <c r="N424" t="n">
        <v>0</v>
      </c>
      <c r="O424" t="n">
        <v>0</v>
      </c>
      <c r="P424" t="n">
        <v>0</v>
      </c>
      <c r="Q424" t="n">
        <v>0</v>
      </c>
      <c r="R424" s="2" t="inlineStr"/>
    </row>
    <row r="425" ht="15" customHeight="1">
      <c r="A425" t="inlineStr">
        <is>
          <t>A 37486-2024</t>
        </is>
      </c>
      <c r="B425" s="1" t="n">
        <v>45541</v>
      </c>
      <c r="C425" s="1" t="n">
        <v>46064</v>
      </c>
      <c r="D425" t="inlineStr">
        <is>
          <t>SKÅNE LÄN</t>
        </is>
      </c>
      <c r="E425" t="inlineStr">
        <is>
          <t>HÄSSLEHOLM</t>
        </is>
      </c>
      <c r="G425" t="n">
        <v>8.5</v>
      </c>
      <c r="H425" t="n">
        <v>0</v>
      </c>
      <c r="I425" t="n">
        <v>0</v>
      </c>
      <c r="J425" t="n">
        <v>0</v>
      </c>
      <c r="K425" t="n">
        <v>0</v>
      </c>
      <c r="L425" t="n">
        <v>0</v>
      </c>
      <c r="M425" t="n">
        <v>0</v>
      </c>
      <c r="N425" t="n">
        <v>0</v>
      </c>
      <c r="O425" t="n">
        <v>0</v>
      </c>
      <c r="P425" t="n">
        <v>0</v>
      </c>
      <c r="Q425" t="n">
        <v>0</v>
      </c>
      <c r="R425" s="2" t="inlineStr"/>
    </row>
    <row r="426" ht="15" customHeight="1">
      <c r="A426" t="inlineStr">
        <is>
          <t>A 44838-2023</t>
        </is>
      </c>
      <c r="B426" s="1" t="n">
        <v>45190</v>
      </c>
      <c r="C426" s="1" t="n">
        <v>46064</v>
      </c>
      <c r="D426" t="inlineStr">
        <is>
          <t>SKÅNE LÄN</t>
        </is>
      </c>
      <c r="E426" t="inlineStr">
        <is>
          <t>HÄSSLEHOLM</t>
        </is>
      </c>
      <c r="F426" t="inlineStr">
        <is>
          <t>Kommuner</t>
        </is>
      </c>
      <c r="G426" t="n">
        <v>2</v>
      </c>
      <c r="H426" t="n">
        <v>0</v>
      </c>
      <c r="I426" t="n">
        <v>0</v>
      </c>
      <c r="J426" t="n">
        <v>0</v>
      </c>
      <c r="K426" t="n">
        <v>0</v>
      </c>
      <c r="L426" t="n">
        <v>0</v>
      </c>
      <c r="M426" t="n">
        <v>0</v>
      </c>
      <c r="N426" t="n">
        <v>0</v>
      </c>
      <c r="O426" t="n">
        <v>0</v>
      </c>
      <c r="P426" t="n">
        <v>0</v>
      </c>
      <c r="Q426" t="n">
        <v>0</v>
      </c>
      <c r="R426" s="2" t="inlineStr"/>
    </row>
    <row r="427" ht="15" customHeight="1">
      <c r="A427" t="inlineStr">
        <is>
          <t>A 59763-2022</t>
        </is>
      </c>
      <c r="B427" s="1" t="n">
        <v>44900</v>
      </c>
      <c r="C427" s="1" t="n">
        <v>46064</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13954-2023</t>
        </is>
      </c>
      <c r="B428" s="1" t="n">
        <v>45008</v>
      </c>
      <c r="C428" s="1" t="n">
        <v>46064</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3364-2023</t>
        </is>
      </c>
      <c r="B429" s="1" t="n">
        <v>44949</v>
      </c>
      <c r="C429" s="1" t="n">
        <v>46064</v>
      </c>
      <c r="D429" t="inlineStr">
        <is>
          <t>SKÅNE LÄN</t>
        </is>
      </c>
      <c r="E429" t="inlineStr">
        <is>
          <t>HÄSSLEHOLM</t>
        </is>
      </c>
      <c r="G429" t="n">
        <v>5.1</v>
      </c>
      <c r="H429" t="n">
        <v>0</v>
      </c>
      <c r="I429" t="n">
        <v>0</v>
      </c>
      <c r="J429" t="n">
        <v>0</v>
      </c>
      <c r="K429" t="n">
        <v>0</v>
      </c>
      <c r="L429" t="n">
        <v>0</v>
      </c>
      <c r="M429" t="n">
        <v>0</v>
      </c>
      <c r="N429" t="n">
        <v>0</v>
      </c>
      <c r="O429" t="n">
        <v>0</v>
      </c>
      <c r="P429" t="n">
        <v>0</v>
      </c>
      <c r="Q429" t="n">
        <v>0</v>
      </c>
      <c r="R429" s="2" t="inlineStr"/>
    </row>
    <row r="430" ht="15" customHeight="1">
      <c r="A430" t="inlineStr">
        <is>
          <t>A 43741-2025</t>
        </is>
      </c>
      <c r="B430" s="1" t="n">
        <v>45912.45541666666</v>
      </c>
      <c r="C430" s="1" t="n">
        <v>46064</v>
      </c>
      <c r="D430" t="inlineStr">
        <is>
          <t>SKÅNE LÄN</t>
        </is>
      </c>
      <c r="E430" t="inlineStr">
        <is>
          <t>HÄSSLEHOLM</t>
        </is>
      </c>
      <c r="G430" t="n">
        <v>4.3</v>
      </c>
      <c r="H430" t="n">
        <v>0</v>
      </c>
      <c r="I430" t="n">
        <v>0</v>
      </c>
      <c r="J430" t="n">
        <v>0</v>
      </c>
      <c r="K430" t="n">
        <v>0</v>
      </c>
      <c r="L430" t="n">
        <v>0</v>
      </c>
      <c r="M430" t="n">
        <v>0</v>
      </c>
      <c r="N430" t="n">
        <v>0</v>
      </c>
      <c r="O430" t="n">
        <v>0</v>
      </c>
      <c r="P430" t="n">
        <v>0</v>
      </c>
      <c r="Q430" t="n">
        <v>0</v>
      </c>
      <c r="R430" s="2" t="inlineStr"/>
    </row>
    <row r="431" ht="15" customHeight="1">
      <c r="A431" t="inlineStr">
        <is>
          <t>A 52642-2021</t>
        </is>
      </c>
      <c r="B431" s="1" t="n">
        <v>44466.64298611111</v>
      </c>
      <c r="C431" s="1" t="n">
        <v>46064</v>
      </c>
      <c r="D431" t="inlineStr">
        <is>
          <t>SKÅNE LÄN</t>
        </is>
      </c>
      <c r="E431" t="inlineStr">
        <is>
          <t>HÄSSLEHOLM</t>
        </is>
      </c>
      <c r="G431" t="n">
        <v>3.7</v>
      </c>
      <c r="H431" t="n">
        <v>0</v>
      </c>
      <c r="I431" t="n">
        <v>0</v>
      </c>
      <c r="J431" t="n">
        <v>0</v>
      </c>
      <c r="K431" t="n">
        <v>0</v>
      </c>
      <c r="L431" t="n">
        <v>0</v>
      </c>
      <c r="M431" t="n">
        <v>0</v>
      </c>
      <c r="N431" t="n">
        <v>0</v>
      </c>
      <c r="O431" t="n">
        <v>0</v>
      </c>
      <c r="P431" t="n">
        <v>0</v>
      </c>
      <c r="Q431" t="n">
        <v>0</v>
      </c>
      <c r="R431" s="2" t="inlineStr"/>
    </row>
    <row r="432" ht="15" customHeight="1">
      <c r="A432" t="inlineStr">
        <is>
          <t>A 13007-2024</t>
        </is>
      </c>
      <c r="B432" s="1" t="n">
        <v>45385.57092592592</v>
      </c>
      <c r="C432" s="1" t="n">
        <v>46064</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15562-2024</t>
        </is>
      </c>
      <c r="B433" s="1" t="n">
        <v>45401.64975694445</v>
      </c>
      <c r="C433" s="1" t="n">
        <v>46064</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40152-2024</t>
        </is>
      </c>
      <c r="B434" s="1" t="n">
        <v>45554</v>
      </c>
      <c r="C434" s="1" t="n">
        <v>46064</v>
      </c>
      <c r="D434" t="inlineStr">
        <is>
          <t>SKÅNE LÄN</t>
        </is>
      </c>
      <c r="E434" t="inlineStr">
        <is>
          <t>HÄSSLEHOLM</t>
        </is>
      </c>
      <c r="G434" t="n">
        <v>1.1</v>
      </c>
      <c r="H434" t="n">
        <v>0</v>
      </c>
      <c r="I434" t="n">
        <v>0</v>
      </c>
      <c r="J434" t="n">
        <v>0</v>
      </c>
      <c r="K434" t="n">
        <v>0</v>
      </c>
      <c r="L434" t="n">
        <v>0</v>
      </c>
      <c r="M434" t="n">
        <v>0</v>
      </c>
      <c r="N434" t="n">
        <v>0</v>
      </c>
      <c r="O434" t="n">
        <v>0</v>
      </c>
      <c r="P434" t="n">
        <v>0</v>
      </c>
      <c r="Q434" t="n">
        <v>0</v>
      </c>
      <c r="R434" s="2" t="inlineStr"/>
    </row>
    <row r="435" ht="15" customHeight="1">
      <c r="A435" t="inlineStr">
        <is>
          <t>A 74030-2021</t>
        </is>
      </c>
      <c r="B435" s="1" t="n">
        <v>44553</v>
      </c>
      <c r="C435" s="1" t="n">
        <v>46064</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15072-2024</t>
        </is>
      </c>
      <c r="B436" s="1" t="n">
        <v>45399.5996875</v>
      </c>
      <c r="C436" s="1" t="n">
        <v>46064</v>
      </c>
      <c r="D436" t="inlineStr">
        <is>
          <t>SKÅNE LÄN</t>
        </is>
      </c>
      <c r="E436" t="inlineStr">
        <is>
          <t>HÄSSLEHOLM</t>
        </is>
      </c>
      <c r="G436" t="n">
        <v>1.4</v>
      </c>
      <c r="H436" t="n">
        <v>0</v>
      </c>
      <c r="I436" t="n">
        <v>0</v>
      </c>
      <c r="J436" t="n">
        <v>0</v>
      </c>
      <c r="K436" t="n">
        <v>0</v>
      </c>
      <c r="L436" t="n">
        <v>0</v>
      </c>
      <c r="M436" t="n">
        <v>0</v>
      </c>
      <c r="N436" t="n">
        <v>0</v>
      </c>
      <c r="O436" t="n">
        <v>0</v>
      </c>
      <c r="P436" t="n">
        <v>0</v>
      </c>
      <c r="Q436" t="n">
        <v>0</v>
      </c>
      <c r="R436" s="2" t="inlineStr"/>
    </row>
    <row r="437" ht="15" customHeight="1">
      <c r="A437" t="inlineStr">
        <is>
          <t>A 11262-2025</t>
        </is>
      </c>
      <c r="B437" s="1" t="n">
        <v>45726</v>
      </c>
      <c r="C437" s="1" t="n">
        <v>46064</v>
      </c>
      <c r="D437" t="inlineStr">
        <is>
          <t>SKÅNE LÄN</t>
        </is>
      </c>
      <c r="E437" t="inlineStr">
        <is>
          <t>HÄSSLEHOLM</t>
        </is>
      </c>
      <c r="G437" t="n">
        <v>1.9</v>
      </c>
      <c r="H437" t="n">
        <v>0</v>
      </c>
      <c r="I437" t="n">
        <v>0</v>
      </c>
      <c r="J437" t="n">
        <v>0</v>
      </c>
      <c r="K437" t="n">
        <v>0</v>
      </c>
      <c r="L437" t="n">
        <v>0</v>
      </c>
      <c r="M437" t="n">
        <v>0</v>
      </c>
      <c r="N437" t="n">
        <v>0</v>
      </c>
      <c r="O437" t="n">
        <v>0</v>
      </c>
      <c r="P437" t="n">
        <v>0</v>
      </c>
      <c r="Q437" t="n">
        <v>0</v>
      </c>
      <c r="R437" s="2" t="inlineStr"/>
    </row>
    <row r="438" ht="15" customHeight="1">
      <c r="A438" t="inlineStr">
        <is>
          <t>A 5395-2024</t>
        </is>
      </c>
      <c r="B438" s="1" t="n">
        <v>45331</v>
      </c>
      <c r="C438" s="1" t="n">
        <v>46064</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2621-2025</t>
        </is>
      </c>
      <c r="B439" s="1" t="n">
        <v>45675.60765046296</v>
      </c>
      <c r="C439" s="1" t="n">
        <v>46064</v>
      </c>
      <c r="D439" t="inlineStr">
        <is>
          <t>SKÅNE LÄN</t>
        </is>
      </c>
      <c r="E439" t="inlineStr">
        <is>
          <t>HÄSSLEHOLM</t>
        </is>
      </c>
      <c r="F439" t="inlineStr">
        <is>
          <t>Kommuner</t>
        </is>
      </c>
      <c r="G439" t="n">
        <v>3</v>
      </c>
      <c r="H439" t="n">
        <v>0</v>
      </c>
      <c r="I439" t="n">
        <v>0</v>
      </c>
      <c r="J439" t="n">
        <v>0</v>
      </c>
      <c r="K439" t="n">
        <v>0</v>
      </c>
      <c r="L439" t="n">
        <v>0</v>
      </c>
      <c r="M439" t="n">
        <v>0</v>
      </c>
      <c r="N439" t="n">
        <v>0</v>
      </c>
      <c r="O439" t="n">
        <v>0</v>
      </c>
      <c r="P439" t="n">
        <v>0</v>
      </c>
      <c r="Q439" t="n">
        <v>0</v>
      </c>
      <c r="R439" s="2" t="inlineStr"/>
    </row>
    <row r="440" ht="15" customHeight="1">
      <c r="A440" t="inlineStr">
        <is>
          <t>A 8737-2025</t>
        </is>
      </c>
      <c r="B440" s="1" t="n">
        <v>45712.54578703704</v>
      </c>
      <c r="C440" s="1" t="n">
        <v>46064</v>
      </c>
      <c r="D440" t="inlineStr">
        <is>
          <t>SKÅNE LÄN</t>
        </is>
      </c>
      <c r="E440" t="inlineStr">
        <is>
          <t>HÄSSLEHOLM</t>
        </is>
      </c>
      <c r="G440" t="n">
        <v>2.7</v>
      </c>
      <c r="H440" t="n">
        <v>0</v>
      </c>
      <c r="I440" t="n">
        <v>0</v>
      </c>
      <c r="J440" t="n">
        <v>0</v>
      </c>
      <c r="K440" t="n">
        <v>0</v>
      </c>
      <c r="L440" t="n">
        <v>0</v>
      </c>
      <c r="M440" t="n">
        <v>0</v>
      </c>
      <c r="N440" t="n">
        <v>0</v>
      </c>
      <c r="O440" t="n">
        <v>0</v>
      </c>
      <c r="P440" t="n">
        <v>0</v>
      </c>
      <c r="Q440" t="n">
        <v>0</v>
      </c>
      <c r="R440" s="2" t="inlineStr"/>
    </row>
    <row r="441" ht="15" customHeight="1">
      <c r="A441" t="inlineStr">
        <is>
          <t>A 37764-2022</t>
        </is>
      </c>
      <c r="B441" s="1" t="n">
        <v>44810</v>
      </c>
      <c r="C441" s="1" t="n">
        <v>46064</v>
      </c>
      <c r="D441" t="inlineStr">
        <is>
          <t>SKÅNE LÄN</t>
        </is>
      </c>
      <c r="E441" t="inlineStr">
        <is>
          <t>HÄSSLEHOLM</t>
        </is>
      </c>
      <c r="F441" t="inlineStr">
        <is>
          <t>Kyrkan</t>
        </is>
      </c>
      <c r="G441" t="n">
        <v>9.4</v>
      </c>
      <c r="H441" t="n">
        <v>0</v>
      </c>
      <c r="I441" t="n">
        <v>0</v>
      </c>
      <c r="J441" t="n">
        <v>0</v>
      </c>
      <c r="K441" t="n">
        <v>0</v>
      </c>
      <c r="L441" t="n">
        <v>0</v>
      </c>
      <c r="M441" t="n">
        <v>0</v>
      </c>
      <c r="N441" t="n">
        <v>0</v>
      </c>
      <c r="O441" t="n">
        <v>0</v>
      </c>
      <c r="P441" t="n">
        <v>0</v>
      </c>
      <c r="Q441" t="n">
        <v>0</v>
      </c>
      <c r="R441" s="2" t="inlineStr"/>
    </row>
    <row r="442" ht="15" customHeight="1">
      <c r="A442" t="inlineStr">
        <is>
          <t>A 51018-2023</t>
        </is>
      </c>
      <c r="B442" s="1" t="n">
        <v>45218</v>
      </c>
      <c r="C442" s="1" t="n">
        <v>46064</v>
      </c>
      <c r="D442" t="inlineStr">
        <is>
          <t>SKÅNE LÄN</t>
        </is>
      </c>
      <c r="E442" t="inlineStr">
        <is>
          <t>HÄSSLEHOLM</t>
        </is>
      </c>
      <c r="G442" t="n">
        <v>3.1</v>
      </c>
      <c r="H442" t="n">
        <v>0</v>
      </c>
      <c r="I442" t="n">
        <v>0</v>
      </c>
      <c r="J442" t="n">
        <v>0</v>
      </c>
      <c r="K442" t="n">
        <v>0</v>
      </c>
      <c r="L442" t="n">
        <v>0</v>
      </c>
      <c r="M442" t="n">
        <v>0</v>
      </c>
      <c r="N442" t="n">
        <v>0</v>
      </c>
      <c r="O442" t="n">
        <v>0</v>
      </c>
      <c r="P442" t="n">
        <v>0</v>
      </c>
      <c r="Q442" t="n">
        <v>0</v>
      </c>
      <c r="R442" s="2" t="inlineStr"/>
    </row>
    <row r="443" ht="15" customHeight="1">
      <c r="A443" t="inlineStr">
        <is>
          <t>A 23005-2025</t>
        </is>
      </c>
      <c r="B443" s="1" t="n">
        <v>45790</v>
      </c>
      <c r="C443" s="1" t="n">
        <v>46064</v>
      </c>
      <c r="D443" t="inlineStr">
        <is>
          <t>SKÅNE LÄN</t>
        </is>
      </c>
      <c r="E443" t="inlineStr">
        <is>
          <t>HÄSSLEHOLM</t>
        </is>
      </c>
      <c r="G443" t="n">
        <v>0.3</v>
      </c>
      <c r="H443" t="n">
        <v>0</v>
      </c>
      <c r="I443" t="n">
        <v>0</v>
      </c>
      <c r="J443" t="n">
        <v>0</v>
      </c>
      <c r="K443" t="n">
        <v>0</v>
      </c>
      <c r="L443" t="n">
        <v>0</v>
      </c>
      <c r="M443" t="n">
        <v>0</v>
      </c>
      <c r="N443" t="n">
        <v>0</v>
      </c>
      <c r="O443" t="n">
        <v>0</v>
      </c>
      <c r="P443" t="n">
        <v>0</v>
      </c>
      <c r="Q443" t="n">
        <v>0</v>
      </c>
      <c r="R443" s="2" t="inlineStr"/>
    </row>
    <row r="444" ht="15" customHeight="1">
      <c r="A444" t="inlineStr">
        <is>
          <t>A 60797-2024</t>
        </is>
      </c>
      <c r="B444" s="1" t="n">
        <v>45644</v>
      </c>
      <c r="C444" s="1" t="n">
        <v>46064</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56069-2024</t>
        </is>
      </c>
      <c r="B445" s="1" t="n">
        <v>45624.38006944444</v>
      </c>
      <c r="C445" s="1" t="n">
        <v>46064</v>
      </c>
      <c r="D445" t="inlineStr">
        <is>
          <t>SKÅNE LÄN</t>
        </is>
      </c>
      <c r="E445" t="inlineStr">
        <is>
          <t>HÄSSLEHOLM</t>
        </is>
      </c>
      <c r="F445" t="inlineStr">
        <is>
          <t>Övriga Aktiebolag</t>
        </is>
      </c>
      <c r="G445" t="n">
        <v>2.3</v>
      </c>
      <c r="H445" t="n">
        <v>0</v>
      </c>
      <c r="I445" t="n">
        <v>0</v>
      </c>
      <c r="J445" t="n">
        <v>0</v>
      </c>
      <c r="K445" t="n">
        <v>0</v>
      </c>
      <c r="L445" t="n">
        <v>0</v>
      </c>
      <c r="M445" t="n">
        <v>0</v>
      </c>
      <c r="N445" t="n">
        <v>0</v>
      </c>
      <c r="O445" t="n">
        <v>0</v>
      </c>
      <c r="P445" t="n">
        <v>0</v>
      </c>
      <c r="Q445" t="n">
        <v>0</v>
      </c>
      <c r="R445" s="2" t="inlineStr"/>
    </row>
    <row r="446" ht="15" customHeight="1">
      <c r="A446" t="inlineStr">
        <is>
          <t>A 43738-2025</t>
        </is>
      </c>
      <c r="B446" s="1" t="n">
        <v>45912.45037037037</v>
      </c>
      <c r="C446" s="1" t="n">
        <v>46064</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28071-2023</t>
        </is>
      </c>
      <c r="B447" s="1" t="n">
        <v>45099.37755787037</v>
      </c>
      <c r="C447" s="1" t="n">
        <v>46064</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44624-2025</t>
        </is>
      </c>
      <c r="B448" s="1" t="n">
        <v>45917.47152777778</v>
      </c>
      <c r="C448" s="1" t="n">
        <v>46064</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18648-2021</t>
        </is>
      </c>
      <c r="B449" s="1" t="n">
        <v>44306.70583333333</v>
      </c>
      <c r="C449" s="1" t="n">
        <v>46064</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23946-2023</t>
        </is>
      </c>
      <c r="B450" s="1" t="n">
        <v>45078.61601851852</v>
      </c>
      <c r="C450" s="1" t="n">
        <v>46064</v>
      </c>
      <c r="D450" t="inlineStr">
        <is>
          <t>SKÅNE LÄN</t>
        </is>
      </c>
      <c r="E450" t="inlineStr">
        <is>
          <t>HÄSSLEHOLM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41459-2022</t>
        </is>
      </c>
      <c r="B451" s="1" t="n">
        <v>44826.93372685185</v>
      </c>
      <c r="C451" s="1" t="n">
        <v>46064</v>
      </c>
      <c r="D451" t="inlineStr">
        <is>
          <t>SKÅNE LÄN</t>
        </is>
      </c>
      <c r="E451" t="inlineStr">
        <is>
          <t>HÄSSLEHOLM</t>
        </is>
      </c>
      <c r="G451" t="n">
        <v>2.3</v>
      </c>
      <c r="H451" t="n">
        <v>0</v>
      </c>
      <c r="I451" t="n">
        <v>0</v>
      </c>
      <c r="J451" t="n">
        <v>0</v>
      </c>
      <c r="K451" t="n">
        <v>0</v>
      </c>
      <c r="L451" t="n">
        <v>0</v>
      </c>
      <c r="M451" t="n">
        <v>0</v>
      </c>
      <c r="N451" t="n">
        <v>0</v>
      </c>
      <c r="O451" t="n">
        <v>0</v>
      </c>
      <c r="P451" t="n">
        <v>0</v>
      </c>
      <c r="Q451" t="n">
        <v>0</v>
      </c>
      <c r="R451" s="2" t="inlineStr"/>
    </row>
    <row r="452" ht="15" customHeight="1">
      <c r="A452" t="inlineStr">
        <is>
          <t>A 44611-2025</t>
        </is>
      </c>
      <c r="B452" s="1" t="n">
        <v>45917.45109953704</v>
      </c>
      <c r="C452" s="1" t="n">
        <v>46064</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44330-2025</t>
        </is>
      </c>
      <c r="B453" s="1" t="n">
        <v>45916.42120370371</v>
      </c>
      <c r="C453" s="1" t="n">
        <v>46064</v>
      </c>
      <c r="D453" t="inlineStr">
        <is>
          <t>SKÅNE LÄN</t>
        </is>
      </c>
      <c r="E453" t="inlineStr">
        <is>
          <t>HÄSSLEHOLM</t>
        </is>
      </c>
      <c r="G453" t="n">
        <v>2.7</v>
      </c>
      <c r="H453" t="n">
        <v>0</v>
      </c>
      <c r="I453" t="n">
        <v>0</v>
      </c>
      <c r="J453" t="n">
        <v>0</v>
      </c>
      <c r="K453" t="n">
        <v>0</v>
      </c>
      <c r="L453" t="n">
        <v>0</v>
      </c>
      <c r="M453" t="n">
        <v>0</v>
      </c>
      <c r="N453" t="n">
        <v>0</v>
      </c>
      <c r="O453" t="n">
        <v>0</v>
      </c>
      <c r="P453" t="n">
        <v>0</v>
      </c>
      <c r="Q453" t="n">
        <v>0</v>
      </c>
      <c r="R453" s="2" t="inlineStr"/>
    </row>
    <row r="454" ht="15" customHeight="1">
      <c r="A454" t="inlineStr">
        <is>
          <t>A 44523-2025</t>
        </is>
      </c>
      <c r="B454" s="1" t="n">
        <v>45916</v>
      </c>
      <c r="C454" s="1" t="n">
        <v>46064</v>
      </c>
      <c r="D454" t="inlineStr">
        <is>
          <t>SKÅNE LÄN</t>
        </is>
      </c>
      <c r="E454" t="inlineStr">
        <is>
          <t>HÄSSLEHOLM</t>
        </is>
      </c>
      <c r="G454" t="n">
        <v>1.6</v>
      </c>
      <c r="H454" t="n">
        <v>0</v>
      </c>
      <c r="I454" t="n">
        <v>0</v>
      </c>
      <c r="J454" t="n">
        <v>0</v>
      </c>
      <c r="K454" t="n">
        <v>0</v>
      </c>
      <c r="L454" t="n">
        <v>0</v>
      </c>
      <c r="M454" t="n">
        <v>0</v>
      </c>
      <c r="N454" t="n">
        <v>0</v>
      </c>
      <c r="O454" t="n">
        <v>0</v>
      </c>
      <c r="P454" t="n">
        <v>0</v>
      </c>
      <c r="Q454" t="n">
        <v>0</v>
      </c>
      <c r="R454" s="2" t="inlineStr"/>
    </row>
    <row r="455" ht="15" customHeight="1">
      <c r="A455" t="inlineStr">
        <is>
          <t>A 7681-2025</t>
        </is>
      </c>
      <c r="B455" s="1" t="n">
        <v>45706.36758101852</v>
      </c>
      <c r="C455" s="1" t="n">
        <v>46064</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29847-2024</t>
        </is>
      </c>
      <c r="B456" s="1" t="n">
        <v>45485.6278587963</v>
      </c>
      <c r="C456" s="1" t="n">
        <v>46064</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44515-2025</t>
        </is>
      </c>
      <c r="B457" s="1" t="n">
        <v>45916.7062037037</v>
      </c>
      <c r="C457" s="1" t="n">
        <v>46064</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24032-2025</t>
        </is>
      </c>
      <c r="B458" s="1" t="n">
        <v>45796.478125</v>
      </c>
      <c r="C458" s="1" t="n">
        <v>46064</v>
      </c>
      <c r="D458" t="inlineStr">
        <is>
          <t>SKÅNE LÄN</t>
        </is>
      </c>
      <c r="E458" t="inlineStr">
        <is>
          <t>HÄSSLEHOLM</t>
        </is>
      </c>
      <c r="G458" t="n">
        <v>2.2</v>
      </c>
      <c r="H458" t="n">
        <v>0</v>
      </c>
      <c r="I458" t="n">
        <v>0</v>
      </c>
      <c r="J458" t="n">
        <v>0</v>
      </c>
      <c r="K458" t="n">
        <v>0</v>
      </c>
      <c r="L458" t="n">
        <v>0</v>
      </c>
      <c r="M458" t="n">
        <v>0</v>
      </c>
      <c r="N458" t="n">
        <v>0</v>
      </c>
      <c r="O458" t="n">
        <v>0</v>
      </c>
      <c r="P458" t="n">
        <v>0</v>
      </c>
      <c r="Q458" t="n">
        <v>0</v>
      </c>
      <c r="R458" s="2" t="inlineStr"/>
    </row>
    <row r="459" ht="15" customHeight="1">
      <c r="A459" t="inlineStr">
        <is>
          <t>A 60789-2024</t>
        </is>
      </c>
      <c r="B459" s="1" t="n">
        <v>45644</v>
      </c>
      <c r="C459" s="1" t="n">
        <v>46064</v>
      </c>
      <c r="D459" t="inlineStr">
        <is>
          <t>SKÅNE LÄN</t>
        </is>
      </c>
      <c r="E459" t="inlineStr">
        <is>
          <t>HÄSSLEHOLM</t>
        </is>
      </c>
      <c r="G459" t="n">
        <v>3</v>
      </c>
      <c r="H459" t="n">
        <v>0</v>
      </c>
      <c r="I459" t="n">
        <v>0</v>
      </c>
      <c r="J459" t="n">
        <v>0</v>
      </c>
      <c r="K459" t="n">
        <v>0</v>
      </c>
      <c r="L459" t="n">
        <v>0</v>
      </c>
      <c r="M459" t="n">
        <v>0</v>
      </c>
      <c r="N459" t="n">
        <v>0</v>
      </c>
      <c r="O459" t="n">
        <v>0</v>
      </c>
      <c r="P459" t="n">
        <v>0</v>
      </c>
      <c r="Q459" t="n">
        <v>0</v>
      </c>
      <c r="R459" s="2" t="inlineStr"/>
    </row>
    <row r="460" ht="15" customHeight="1">
      <c r="A460" t="inlineStr">
        <is>
          <t>A 22384-2024</t>
        </is>
      </c>
      <c r="B460" s="1" t="n">
        <v>45446.65592592592</v>
      </c>
      <c r="C460" s="1" t="n">
        <v>46064</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5252-2025</t>
        </is>
      </c>
      <c r="B461" s="1" t="n">
        <v>45692.3449537037</v>
      </c>
      <c r="C461" s="1" t="n">
        <v>46064</v>
      </c>
      <c r="D461" t="inlineStr">
        <is>
          <t>SKÅNE LÄN</t>
        </is>
      </c>
      <c r="E461" t="inlineStr">
        <is>
          <t>HÄSSLEHOLM</t>
        </is>
      </c>
      <c r="G461" t="n">
        <v>2.1</v>
      </c>
      <c r="H461" t="n">
        <v>0</v>
      </c>
      <c r="I461" t="n">
        <v>0</v>
      </c>
      <c r="J461" t="n">
        <v>0</v>
      </c>
      <c r="K461" t="n">
        <v>0</v>
      </c>
      <c r="L461" t="n">
        <v>0</v>
      </c>
      <c r="M461" t="n">
        <v>0</v>
      </c>
      <c r="N461" t="n">
        <v>0</v>
      </c>
      <c r="O461" t="n">
        <v>0</v>
      </c>
      <c r="P461" t="n">
        <v>0</v>
      </c>
      <c r="Q461" t="n">
        <v>0</v>
      </c>
      <c r="R461" s="2" t="inlineStr"/>
    </row>
    <row r="462" ht="15" customHeight="1">
      <c r="A462" t="inlineStr">
        <is>
          <t>A 44616-2025</t>
        </is>
      </c>
      <c r="B462" s="1" t="n">
        <v>45917.45572916666</v>
      </c>
      <c r="C462" s="1" t="n">
        <v>46064</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5242-2025</t>
        </is>
      </c>
      <c r="B463" s="1" t="n">
        <v>45692.32883101852</v>
      </c>
      <c r="C463" s="1" t="n">
        <v>46064</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24034-2025</t>
        </is>
      </c>
      <c r="B464" s="1" t="n">
        <v>45796.48251157408</v>
      </c>
      <c r="C464" s="1" t="n">
        <v>46064</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44614-2025</t>
        </is>
      </c>
      <c r="B465" s="1" t="n">
        <v>45917.45422453704</v>
      </c>
      <c r="C465" s="1" t="n">
        <v>46064</v>
      </c>
      <c r="D465" t="inlineStr">
        <is>
          <t>SKÅNE LÄN</t>
        </is>
      </c>
      <c r="E465" t="inlineStr">
        <is>
          <t>HÄSSLEHOLM</t>
        </is>
      </c>
      <c r="G465" t="n">
        <v>5.4</v>
      </c>
      <c r="H465" t="n">
        <v>0</v>
      </c>
      <c r="I465" t="n">
        <v>0</v>
      </c>
      <c r="J465" t="n">
        <v>0</v>
      </c>
      <c r="K465" t="n">
        <v>0</v>
      </c>
      <c r="L465" t="n">
        <v>0</v>
      </c>
      <c r="M465" t="n">
        <v>0</v>
      </c>
      <c r="N465" t="n">
        <v>0</v>
      </c>
      <c r="O465" t="n">
        <v>0</v>
      </c>
      <c r="P465" t="n">
        <v>0</v>
      </c>
      <c r="Q465" t="n">
        <v>0</v>
      </c>
      <c r="R465" s="2" t="inlineStr"/>
    </row>
    <row r="466" ht="15" customHeight="1">
      <c r="A466" t="inlineStr">
        <is>
          <t>A 51571-2023</t>
        </is>
      </c>
      <c r="B466" s="1" t="n">
        <v>45222</v>
      </c>
      <c r="C466" s="1" t="n">
        <v>46064</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24250-2025</t>
        </is>
      </c>
      <c r="B467" s="1" t="n">
        <v>45797.40260416667</v>
      </c>
      <c r="C467" s="1" t="n">
        <v>46064</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49181-2024</t>
        </is>
      </c>
      <c r="B468" s="1" t="n">
        <v>45595</v>
      </c>
      <c r="C468" s="1" t="n">
        <v>46064</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24029-2025</t>
        </is>
      </c>
      <c r="B469" s="1" t="n">
        <v>45796.47552083333</v>
      </c>
      <c r="C469" s="1" t="n">
        <v>46064</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24039-2025</t>
        </is>
      </c>
      <c r="B470" s="1" t="n">
        <v>45796.48675925926</v>
      </c>
      <c r="C470" s="1" t="n">
        <v>46064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45176-2025</t>
        </is>
      </c>
      <c r="B471" s="1" t="n">
        <v>45919.52307870371</v>
      </c>
      <c r="C471" s="1" t="n">
        <v>46064</v>
      </c>
      <c r="D471" t="inlineStr">
        <is>
          <t>SKÅNE LÄN</t>
        </is>
      </c>
      <c r="E471" t="inlineStr">
        <is>
          <t>HÄSSLEHOLM</t>
        </is>
      </c>
      <c r="G471" t="n">
        <v>2.6</v>
      </c>
      <c r="H471" t="n">
        <v>0</v>
      </c>
      <c r="I471" t="n">
        <v>0</v>
      </c>
      <c r="J471" t="n">
        <v>0</v>
      </c>
      <c r="K471" t="n">
        <v>0</v>
      </c>
      <c r="L471" t="n">
        <v>0</v>
      </c>
      <c r="M471" t="n">
        <v>0</v>
      </c>
      <c r="N471" t="n">
        <v>0</v>
      </c>
      <c r="O471" t="n">
        <v>0</v>
      </c>
      <c r="P471" t="n">
        <v>0</v>
      </c>
      <c r="Q471" t="n">
        <v>0</v>
      </c>
      <c r="R471" s="2" t="inlineStr"/>
    </row>
    <row r="472" ht="15" customHeight="1">
      <c r="A472" t="inlineStr">
        <is>
          <t>A 32794-2023</t>
        </is>
      </c>
      <c r="B472" s="1" t="n">
        <v>45124.40446759259</v>
      </c>
      <c r="C472" s="1" t="n">
        <v>46064</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61436-2024</t>
        </is>
      </c>
      <c r="B473" s="1" t="n">
        <v>45646.46329861111</v>
      </c>
      <c r="C473" s="1" t="n">
        <v>46064</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24047-2025</t>
        </is>
      </c>
      <c r="B474" s="1" t="n">
        <v>45796.49528935185</v>
      </c>
      <c r="C474" s="1" t="n">
        <v>46064</v>
      </c>
      <c r="D474" t="inlineStr">
        <is>
          <t>SKÅNE LÄN</t>
        </is>
      </c>
      <c r="E474" t="inlineStr">
        <is>
          <t>HÄSSLEHOLM</t>
        </is>
      </c>
      <c r="G474" t="n">
        <v>1.1</v>
      </c>
      <c r="H474" t="n">
        <v>0</v>
      </c>
      <c r="I474" t="n">
        <v>0</v>
      </c>
      <c r="J474" t="n">
        <v>0</v>
      </c>
      <c r="K474" t="n">
        <v>0</v>
      </c>
      <c r="L474" t="n">
        <v>0</v>
      </c>
      <c r="M474" t="n">
        <v>0</v>
      </c>
      <c r="N474" t="n">
        <v>0</v>
      </c>
      <c r="O474" t="n">
        <v>0</v>
      </c>
      <c r="P474" t="n">
        <v>0</v>
      </c>
      <c r="Q474" t="n">
        <v>0</v>
      </c>
      <c r="R474" s="2" t="inlineStr"/>
    </row>
    <row r="475" ht="15" customHeight="1">
      <c r="A475" t="inlineStr">
        <is>
          <t>A 24675-2025</t>
        </is>
      </c>
      <c r="B475" s="1" t="n">
        <v>45798.653125</v>
      </c>
      <c r="C475" s="1" t="n">
        <v>46064</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37300-2023</t>
        </is>
      </c>
      <c r="B476" s="1" t="n">
        <v>45156</v>
      </c>
      <c r="C476" s="1" t="n">
        <v>46064</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45221-2025</t>
        </is>
      </c>
      <c r="B477" s="1" t="n">
        <v>45919.57760416667</v>
      </c>
      <c r="C477" s="1" t="n">
        <v>46064</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35644-2023</t>
        </is>
      </c>
      <c r="B478" s="1" t="n">
        <v>45147</v>
      </c>
      <c r="C478" s="1" t="n">
        <v>46064</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42735-2024</t>
        </is>
      </c>
      <c r="B479" s="1" t="n">
        <v>45566.47274305556</v>
      </c>
      <c r="C479" s="1" t="n">
        <v>46064</v>
      </c>
      <c r="D479" t="inlineStr">
        <is>
          <t>SKÅNE LÄN</t>
        </is>
      </c>
      <c r="E479" t="inlineStr">
        <is>
          <t>HÄSSLEHOLM</t>
        </is>
      </c>
      <c r="G479" t="n">
        <v>3.7</v>
      </c>
      <c r="H479" t="n">
        <v>0</v>
      </c>
      <c r="I479" t="n">
        <v>0</v>
      </c>
      <c r="J479" t="n">
        <v>0</v>
      </c>
      <c r="K479" t="n">
        <v>0</v>
      </c>
      <c r="L479" t="n">
        <v>0</v>
      </c>
      <c r="M479" t="n">
        <v>0</v>
      </c>
      <c r="N479" t="n">
        <v>0</v>
      </c>
      <c r="O479" t="n">
        <v>0</v>
      </c>
      <c r="P479" t="n">
        <v>0</v>
      </c>
      <c r="Q479" t="n">
        <v>0</v>
      </c>
      <c r="R479" s="2" t="inlineStr"/>
    </row>
    <row r="480" ht="15" customHeight="1">
      <c r="A480" t="inlineStr">
        <is>
          <t>A 55522-2024</t>
        </is>
      </c>
      <c r="B480" s="1" t="n">
        <v>45622</v>
      </c>
      <c r="C480" s="1" t="n">
        <v>46064</v>
      </c>
      <c r="D480" t="inlineStr">
        <is>
          <t>SKÅNE LÄN</t>
        </is>
      </c>
      <c r="E480" t="inlineStr">
        <is>
          <t>HÄSSLEHOLM</t>
        </is>
      </c>
      <c r="G480" t="n">
        <v>5.6</v>
      </c>
      <c r="H480" t="n">
        <v>0</v>
      </c>
      <c r="I480" t="n">
        <v>0</v>
      </c>
      <c r="J480" t="n">
        <v>0</v>
      </c>
      <c r="K480" t="n">
        <v>0</v>
      </c>
      <c r="L480" t="n">
        <v>0</v>
      </c>
      <c r="M480" t="n">
        <v>0</v>
      </c>
      <c r="N480" t="n">
        <v>0</v>
      </c>
      <c r="O480" t="n">
        <v>0</v>
      </c>
      <c r="P480" t="n">
        <v>0</v>
      </c>
      <c r="Q480" t="n">
        <v>0</v>
      </c>
      <c r="R480" s="2" t="inlineStr"/>
    </row>
    <row r="481" ht="15" customHeight="1">
      <c r="A481" t="inlineStr">
        <is>
          <t>A 32826-2024</t>
        </is>
      </c>
      <c r="B481" s="1" t="n">
        <v>45516.59056712963</v>
      </c>
      <c r="C481" s="1" t="n">
        <v>46064</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45273-2025</t>
        </is>
      </c>
      <c r="B482" s="1" t="n">
        <v>45919.70486111111</v>
      </c>
      <c r="C482" s="1" t="n">
        <v>46064</v>
      </c>
      <c r="D482" t="inlineStr">
        <is>
          <t>SKÅNE LÄN</t>
        </is>
      </c>
      <c r="E482" t="inlineStr">
        <is>
          <t>HÄSSLEHOLM</t>
        </is>
      </c>
      <c r="G482" t="n">
        <v>4.4</v>
      </c>
      <c r="H482" t="n">
        <v>0</v>
      </c>
      <c r="I482" t="n">
        <v>0</v>
      </c>
      <c r="J482" t="n">
        <v>0</v>
      </c>
      <c r="K482" t="n">
        <v>0</v>
      </c>
      <c r="L482" t="n">
        <v>0</v>
      </c>
      <c r="M482" t="n">
        <v>0</v>
      </c>
      <c r="N482" t="n">
        <v>0</v>
      </c>
      <c r="O482" t="n">
        <v>0</v>
      </c>
      <c r="P482" t="n">
        <v>0</v>
      </c>
      <c r="Q482" t="n">
        <v>0</v>
      </c>
      <c r="R482" s="2" t="inlineStr"/>
    </row>
    <row r="483" ht="15" customHeight="1">
      <c r="A483" t="inlineStr">
        <is>
          <t>A 45084-2025</t>
        </is>
      </c>
      <c r="B483" s="1" t="n">
        <v>45918</v>
      </c>
      <c r="C483" s="1" t="n">
        <v>46064</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32512-2024</t>
        </is>
      </c>
      <c r="B484" s="1" t="n">
        <v>45513.45613425926</v>
      </c>
      <c r="C484" s="1" t="n">
        <v>46064</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3123-2023</t>
        </is>
      </c>
      <c r="B485" s="1" t="n">
        <v>44946.4925</v>
      </c>
      <c r="C485" s="1" t="n">
        <v>46064</v>
      </c>
      <c r="D485" t="inlineStr">
        <is>
          <t>SKÅNE LÄN</t>
        </is>
      </c>
      <c r="E485" t="inlineStr">
        <is>
          <t>HÄSSLEHOLM</t>
        </is>
      </c>
      <c r="G485" t="n">
        <v>3.5</v>
      </c>
      <c r="H485" t="n">
        <v>0</v>
      </c>
      <c r="I485" t="n">
        <v>0</v>
      </c>
      <c r="J485" t="n">
        <v>0</v>
      </c>
      <c r="K485" t="n">
        <v>0</v>
      </c>
      <c r="L485" t="n">
        <v>0</v>
      </c>
      <c r="M485" t="n">
        <v>0</v>
      </c>
      <c r="N485" t="n">
        <v>0</v>
      </c>
      <c r="O485" t="n">
        <v>0</v>
      </c>
      <c r="P485" t="n">
        <v>0</v>
      </c>
      <c r="Q485" t="n">
        <v>0</v>
      </c>
      <c r="R485" s="2" t="inlineStr"/>
    </row>
    <row r="486" ht="15" customHeight="1">
      <c r="A486" t="inlineStr">
        <is>
          <t>A 3126-2023</t>
        </is>
      </c>
      <c r="B486" s="1" t="n">
        <v>44946.49570601852</v>
      </c>
      <c r="C486" s="1" t="n">
        <v>46064</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24985-2025</t>
        </is>
      </c>
      <c r="B487" s="1" t="n">
        <v>45799.60256944445</v>
      </c>
      <c r="C487" s="1" t="n">
        <v>46064</v>
      </c>
      <c r="D487" t="inlineStr">
        <is>
          <t>SKÅNE LÄN</t>
        </is>
      </c>
      <c r="E487" t="inlineStr">
        <is>
          <t>HÄSSLEHOLM</t>
        </is>
      </c>
      <c r="G487" t="n">
        <v>2.3</v>
      </c>
      <c r="H487" t="n">
        <v>0</v>
      </c>
      <c r="I487" t="n">
        <v>0</v>
      </c>
      <c r="J487" t="n">
        <v>0</v>
      </c>
      <c r="K487" t="n">
        <v>0</v>
      </c>
      <c r="L487" t="n">
        <v>0</v>
      </c>
      <c r="M487" t="n">
        <v>0</v>
      </c>
      <c r="N487" t="n">
        <v>0</v>
      </c>
      <c r="O487" t="n">
        <v>0</v>
      </c>
      <c r="P487" t="n">
        <v>0</v>
      </c>
      <c r="Q487" t="n">
        <v>0</v>
      </c>
      <c r="R487" s="2" t="inlineStr"/>
    </row>
    <row r="488" ht="15" customHeight="1">
      <c r="A488" t="inlineStr">
        <is>
          <t>A 10562-2025</t>
        </is>
      </c>
      <c r="B488" s="1" t="n">
        <v>45721.52913194444</v>
      </c>
      <c r="C488" s="1" t="n">
        <v>46064</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37318-2024</t>
        </is>
      </c>
      <c r="B489" s="1" t="n">
        <v>45540</v>
      </c>
      <c r="C489" s="1" t="n">
        <v>46064</v>
      </c>
      <c r="D489" t="inlineStr">
        <is>
          <t>SKÅNE LÄN</t>
        </is>
      </c>
      <c r="E489" t="inlineStr">
        <is>
          <t>HÄSSLEHOLM</t>
        </is>
      </c>
      <c r="G489" t="n">
        <v>3.9</v>
      </c>
      <c r="H489" t="n">
        <v>0</v>
      </c>
      <c r="I489" t="n">
        <v>0</v>
      </c>
      <c r="J489" t="n">
        <v>0</v>
      </c>
      <c r="K489" t="n">
        <v>0</v>
      </c>
      <c r="L489" t="n">
        <v>0</v>
      </c>
      <c r="M489" t="n">
        <v>0</v>
      </c>
      <c r="N489" t="n">
        <v>0</v>
      </c>
      <c r="O489" t="n">
        <v>0</v>
      </c>
      <c r="P489" t="n">
        <v>0</v>
      </c>
      <c r="Q489" t="n">
        <v>0</v>
      </c>
      <c r="R489" s="2" t="inlineStr"/>
    </row>
    <row r="490" ht="15" customHeight="1">
      <c r="A490" t="inlineStr">
        <is>
          <t>A 37324-2024</t>
        </is>
      </c>
      <c r="B490" s="1" t="n">
        <v>45540.50104166667</v>
      </c>
      <c r="C490" s="1" t="n">
        <v>46064</v>
      </c>
      <c r="D490" t="inlineStr">
        <is>
          <t>SKÅNE LÄN</t>
        </is>
      </c>
      <c r="E490" t="inlineStr">
        <is>
          <t>HÄSSLEHOLM</t>
        </is>
      </c>
      <c r="G490" t="n">
        <v>1.5</v>
      </c>
      <c r="H490" t="n">
        <v>0</v>
      </c>
      <c r="I490" t="n">
        <v>0</v>
      </c>
      <c r="J490" t="n">
        <v>0</v>
      </c>
      <c r="K490" t="n">
        <v>0</v>
      </c>
      <c r="L490" t="n">
        <v>0</v>
      </c>
      <c r="M490" t="n">
        <v>0</v>
      </c>
      <c r="N490" t="n">
        <v>0</v>
      </c>
      <c r="O490" t="n">
        <v>0</v>
      </c>
      <c r="P490" t="n">
        <v>0</v>
      </c>
      <c r="Q490" t="n">
        <v>0</v>
      </c>
      <c r="R490" s="2" t="inlineStr"/>
    </row>
    <row r="491" ht="15" customHeight="1">
      <c r="A491" t="inlineStr">
        <is>
          <t>A 57656-2022</t>
        </is>
      </c>
      <c r="B491" s="1" t="n">
        <v>44897.4325925926</v>
      </c>
      <c r="C491" s="1" t="n">
        <v>46064</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32881-2024</t>
        </is>
      </c>
      <c r="B492" s="1" t="n">
        <v>45516</v>
      </c>
      <c r="C492" s="1" t="n">
        <v>46064</v>
      </c>
      <c r="D492" t="inlineStr">
        <is>
          <t>SKÅNE LÄN</t>
        </is>
      </c>
      <c r="E492" t="inlineStr">
        <is>
          <t>HÄSSLEHOLM</t>
        </is>
      </c>
      <c r="G492" t="n">
        <v>6.3</v>
      </c>
      <c r="H492" t="n">
        <v>0</v>
      </c>
      <c r="I492" t="n">
        <v>0</v>
      </c>
      <c r="J492" t="n">
        <v>0</v>
      </c>
      <c r="K492" t="n">
        <v>0</v>
      </c>
      <c r="L492" t="n">
        <v>0</v>
      </c>
      <c r="M492" t="n">
        <v>0</v>
      </c>
      <c r="N492" t="n">
        <v>0</v>
      </c>
      <c r="O492" t="n">
        <v>0</v>
      </c>
      <c r="P492" t="n">
        <v>0</v>
      </c>
      <c r="Q492" t="n">
        <v>0</v>
      </c>
      <c r="R492" s="2" t="inlineStr"/>
    </row>
    <row r="493" ht="15" customHeight="1">
      <c r="A493" t="inlineStr">
        <is>
          <t>A 23860-2024</t>
        </is>
      </c>
      <c r="B493" s="1" t="n">
        <v>45455</v>
      </c>
      <c r="C493" s="1" t="n">
        <v>46064</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23864-2024</t>
        </is>
      </c>
      <c r="B494" s="1" t="n">
        <v>45455</v>
      </c>
      <c r="C494" s="1" t="n">
        <v>46064</v>
      </c>
      <c r="D494" t="inlineStr">
        <is>
          <t>SKÅNE LÄN</t>
        </is>
      </c>
      <c r="E494" t="inlineStr">
        <is>
          <t>HÄSSLEHOLM</t>
        </is>
      </c>
      <c r="G494" t="n">
        <v>6.2</v>
      </c>
      <c r="H494" t="n">
        <v>0</v>
      </c>
      <c r="I494" t="n">
        <v>0</v>
      </c>
      <c r="J494" t="n">
        <v>0</v>
      </c>
      <c r="K494" t="n">
        <v>0</v>
      </c>
      <c r="L494" t="n">
        <v>0</v>
      </c>
      <c r="M494" t="n">
        <v>0</v>
      </c>
      <c r="N494" t="n">
        <v>0</v>
      </c>
      <c r="O494" t="n">
        <v>0</v>
      </c>
      <c r="P494" t="n">
        <v>0</v>
      </c>
      <c r="Q494" t="n">
        <v>0</v>
      </c>
      <c r="R494" s="2" t="inlineStr"/>
    </row>
    <row r="495" ht="15" customHeight="1">
      <c r="A495" t="inlineStr">
        <is>
          <t>A 7192-2025</t>
        </is>
      </c>
      <c r="B495" s="1" t="n">
        <v>45702.44746527778</v>
      </c>
      <c r="C495" s="1" t="n">
        <v>46064</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24658-2025</t>
        </is>
      </c>
      <c r="B496" s="1" t="n">
        <v>45798.64134259259</v>
      </c>
      <c r="C496" s="1" t="n">
        <v>46064</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25372-2025</t>
        </is>
      </c>
      <c r="B497" s="1" t="n">
        <v>45799</v>
      </c>
      <c r="C497" s="1" t="n">
        <v>46064</v>
      </c>
      <c r="D497" t="inlineStr">
        <is>
          <t>SKÅNE LÄN</t>
        </is>
      </c>
      <c r="E497" t="inlineStr">
        <is>
          <t>HÄSSLEHOLM</t>
        </is>
      </c>
      <c r="G497" t="n">
        <v>3.1</v>
      </c>
      <c r="H497" t="n">
        <v>0</v>
      </c>
      <c r="I497" t="n">
        <v>0</v>
      </c>
      <c r="J497" t="n">
        <v>0</v>
      </c>
      <c r="K497" t="n">
        <v>0</v>
      </c>
      <c r="L497" t="n">
        <v>0</v>
      </c>
      <c r="M497" t="n">
        <v>0</v>
      </c>
      <c r="N497" t="n">
        <v>0</v>
      </c>
      <c r="O497" t="n">
        <v>0</v>
      </c>
      <c r="P497" t="n">
        <v>0</v>
      </c>
      <c r="Q497" t="n">
        <v>0</v>
      </c>
      <c r="R497" s="2" t="inlineStr"/>
    </row>
    <row r="498" ht="15" customHeight="1">
      <c r="A498" t="inlineStr">
        <is>
          <t>A 9399-2025</t>
        </is>
      </c>
      <c r="B498" s="1" t="n">
        <v>45715.37861111111</v>
      </c>
      <c r="C498" s="1" t="n">
        <v>46064</v>
      </c>
      <c r="D498" t="inlineStr">
        <is>
          <t>SKÅNE LÄN</t>
        </is>
      </c>
      <c r="E498" t="inlineStr">
        <is>
          <t>HÄSSLEHOLM</t>
        </is>
      </c>
      <c r="G498" t="n">
        <v>5.2</v>
      </c>
      <c r="H498" t="n">
        <v>0</v>
      </c>
      <c r="I498" t="n">
        <v>0</v>
      </c>
      <c r="J498" t="n">
        <v>0</v>
      </c>
      <c r="K498" t="n">
        <v>0</v>
      </c>
      <c r="L498" t="n">
        <v>0</v>
      </c>
      <c r="M498" t="n">
        <v>0</v>
      </c>
      <c r="N498" t="n">
        <v>0</v>
      </c>
      <c r="O498" t="n">
        <v>0</v>
      </c>
      <c r="P498" t="n">
        <v>0</v>
      </c>
      <c r="Q498" t="n">
        <v>0</v>
      </c>
      <c r="R498" s="2" t="inlineStr"/>
    </row>
    <row r="499" ht="15" customHeight="1">
      <c r="A499" t="inlineStr">
        <is>
          <t>A 11798-2022</t>
        </is>
      </c>
      <c r="B499" s="1" t="n">
        <v>44634.64900462963</v>
      </c>
      <c r="C499" s="1" t="n">
        <v>46064</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259-2024</t>
        </is>
      </c>
      <c r="B500" s="1" t="n">
        <v>45294</v>
      </c>
      <c r="C500" s="1" t="n">
        <v>46064</v>
      </c>
      <c r="D500" t="inlineStr">
        <is>
          <t>SKÅNE LÄN</t>
        </is>
      </c>
      <c r="E500" t="inlineStr">
        <is>
          <t>HÄSSLEHOLM</t>
        </is>
      </c>
      <c r="G500" t="n">
        <v>8</v>
      </c>
      <c r="H500" t="n">
        <v>0</v>
      </c>
      <c r="I500" t="n">
        <v>0</v>
      </c>
      <c r="J500" t="n">
        <v>0</v>
      </c>
      <c r="K500" t="n">
        <v>0</v>
      </c>
      <c r="L500" t="n">
        <v>0</v>
      </c>
      <c r="M500" t="n">
        <v>0</v>
      </c>
      <c r="N500" t="n">
        <v>0</v>
      </c>
      <c r="O500" t="n">
        <v>0</v>
      </c>
      <c r="P500" t="n">
        <v>0</v>
      </c>
      <c r="Q500" t="n">
        <v>0</v>
      </c>
      <c r="R500" s="2" t="inlineStr"/>
    </row>
    <row r="501" ht="15" customHeight="1">
      <c r="A501" t="inlineStr">
        <is>
          <t>A 29659-2024</t>
        </is>
      </c>
      <c r="B501" s="1" t="n">
        <v>45484.92587962963</v>
      </c>
      <c r="C501" s="1" t="n">
        <v>46064</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56881-2021</t>
        </is>
      </c>
      <c r="B502" s="1" t="n">
        <v>44481</v>
      </c>
      <c r="C502" s="1" t="n">
        <v>46064</v>
      </c>
      <c r="D502" t="inlineStr">
        <is>
          <t>SKÅNE LÄN</t>
        </is>
      </c>
      <c r="E502" t="inlineStr">
        <is>
          <t>HÄSSLEHOLM</t>
        </is>
      </c>
      <c r="G502" t="n">
        <v>0.4</v>
      </c>
      <c r="H502" t="n">
        <v>0</v>
      </c>
      <c r="I502" t="n">
        <v>0</v>
      </c>
      <c r="J502" t="n">
        <v>0</v>
      </c>
      <c r="K502" t="n">
        <v>0</v>
      </c>
      <c r="L502" t="n">
        <v>0</v>
      </c>
      <c r="M502" t="n">
        <v>0</v>
      </c>
      <c r="N502" t="n">
        <v>0</v>
      </c>
      <c r="O502" t="n">
        <v>0</v>
      </c>
      <c r="P502" t="n">
        <v>0</v>
      </c>
      <c r="Q502" t="n">
        <v>0</v>
      </c>
      <c r="R502" s="2" t="inlineStr"/>
    </row>
    <row r="503" ht="15" customHeight="1">
      <c r="A503" t="inlineStr">
        <is>
          <t>A 27837-2024</t>
        </is>
      </c>
      <c r="B503" s="1" t="n">
        <v>45475</v>
      </c>
      <c r="C503" s="1" t="n">
        <v>46064</v>
      </c>
      <c r="D503" t="inlineStr">
        <is>
          <t>SKÅNE LÄN</t>
        </is>
      </c>
      <c r="E503" t="inlineStr">
        <is>
          <t>HÄSSLEHOLM</t>
        </is>
      </c>
      <c r="F503" t="inlineStr">
        <is>
          <t>Kommuner</t>
        </is>
      </c>
      <c r="G503" t="n">
        <v>2.3</v>
      </c>
      <c r="H503" t="n">
        <v>0</v>
      </c>
      <c r="I503" t="n">
        <v>0</v>
      </c>
      <c r="J503" t="n">
        <v>0</v>
      </c>
      <c r="K503" t="n">
        <v>0</v>
      </c>
      <c r="L503" t="n">
        <v>0</v>
      </c>
      <c r="M503" t="n">
        <v>0</v>
      </c>
      <c r="N503" t="n">
        <v>0</v>
      </c>
      <c r="O503" t="n">
        <v>0</v>
      </c>
      <c r="P503" t="n">
        <v>0</v>
      </c>
      <c r="Q503" t="n">
        <v>0</v>
      </c>
      <c r="R503" s="2" t="inlineStr"/>
    </row>
    <row r="504" ht="15" customHeight="1">
      <c r="A504" t="inlineStr">
        <is>
          <t>A 1679-2022</t>
        </is>
      </c>
      <c r="B504" s="1" t="n">
        <v>44573</v>
      </c>
      <c r="C504" s="1" t="n">
        <v>46064</v>
      </c>
      <c r="D504" t="inlineStr">
        <is>
          <t>SKÅNE LÄN</t>
        </is>
      </c>
      <c r="E504" t="inlineStr">
        <is>
          <t>HÄSSLEHOLM</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13673-2023</t>
        </is>
      </c>
      <c r="B505" s="1" t="n">
        <v>45006.87957175926</v>
      </c>
      <c r="C505" s="1" t="n">
        <v>46064</v>
      </c>
      <c r="D505" t="inlineStr">
        <is>
          <t>SKÅNE LÄN</t>
        </is>
      </c>
      <c r="E505" t="inlineStr">
        <is>
          <t>HÄSSLEHOLM</t>
        </is>
      </c>
      <c r="G505" t="n">
        <v>3.2</v>
      </c>
      <c r="H505" t="n">
        <v>0</v>
      </c>
      <c r="I505" t="n">
        <v>0</v>
      </c>
      <c r="J505" t="n">
        <v>0</v>
      </c>
      <c r="K505" t="n">
        <v>0</v>
      </c>
      <c r="L505" t="n">
        <v>0</v>
      </c>
      <c r="M505" t="n">
        <v>0</v>
      </c>
      <c r="N505" t="n">
        <v>0</v>
      </c>
      <c r="O505" t="n">
        <v>0</v>
      </c>
      <c r="P505" t="n">
        <v>0</v>
      </c>
      <c r="Q505" t="n">
        <v>0</v>
      </c>
      <c r="R505" s="2" t="inlineStr"/>
    </row>
    <row r="506" ht="15" customHeight="1">
      <c r="A506" t="inlineStr">
        <is>
          <t>A 51565-2023</t>
        </is>
      </c>
      <c r="B506" s="1" t="n">
        <v>45222</v>
      </c>
      <c r="C506" s="1" t="n">
        <v>46064</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25615-2025</t>
        </is>
      </c>
      <c r="B507" s="1" t="n">
        <v>45803</v>
      </c>
      <c r="C507" s="1" t="n">
        <v>46064</v>
      </c>
      <c r="D507" t="inlineStr">
        <is>
          <t>SKÅNE LÄN</t>
        </is>
      </c>
      <c r="E507" t="inlineStr">
        <is>
          <t>HÄSSLEHOLM</t>
        </is>
      </c>
      <c r="G507" t="n">
        <v>2.6</v>
      </c>
      <c r="H507" t="n">
        <v>0</v>
      </c>
      <c r="I507" t="n">
        <v>0</v>
      </c>
      <c r="J507" t="n">
        <v>0</v>
      </c>
      <c r="K507" t="n">
        <v>0</v>
      </c>
      <c r="L507" t="n">
        <v>0</v>
      </c>
      <c r="M507" t="n">
        <v>0</v>
      </c>
      <c r="N507" t="n">
        <v>0</v>
      </c>
      <c r="O507" t="n">
        <v>0</v>
      </c>
      <c r="P507" t="n">
        <v>0</v>
      </c>
      <c r="Q507" t="n">
        <v>0</v>
      </c>
      <c r="R507" s="2" t="inlineStr"/>
    </row>
    <row r="508" ht="15" customHeight="1">
      <c r="A508" t="inlineStr">
        <is>
          <t>A 38306-2022</t>
        </is>
      </c>
      <c r="B508" s="1" t="n">
        <v>44812.57515046297</v>
      </c>
      <c r="C508" s="1" t="n">
        <v>46064</v>
      </c>
      <c r="D508" t="inlineStr">
        <is>
          <t>SKÅNE LÄN</t>
        </is>
      </c>
      <c r="E508" t="inlineStr">
        <is>
          <t>HÄSSLEHOLM</t>
        </is>
      </c>
      <c r="G508" t="n">
        <v>2.2</v>
      </c>
      <c r="H508" t="n">
        <v>0</v>
      </c>
      <c r="I508" t="n">
        <v>0</v>
      </c>
      <c r="J508" t="n">
        <v>0</v>
      </c>
      <c r="K508" t="n">
        <v>0</v>
      </c>
      <c r="L508" t="n">
        <v>0</v>
      </c>
      <c r="M508" t="n">
        <v>0</v>
      </c>
      <c r="N508" t="n">
        <v>0</v>
      </c>
      <c r="O508" t="n">
        <v>0</v>
      </c>
      <c r="P508" t="n">
        <v>0</v>
      </c>
      <c r="Q508" t="n">
        <v>0</v>
      </c>
      <c r="R508" s="2" t="inlineStr"/>
    </row>
    <row r="509" ht="15" customHeight="1">
      <c r="A509" t="inlineStr">
        <is>
          <t>A 45496-2025</t>
        </is>
      </c>
      <c r="B509" s="1" t="n">
        <v>45922</v>
      </c>
      <c r="C509" s="1" t="n">
        <v>46064</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11412-2025</t>
        </is>
      </c>
      <c r="B510" s="1" t="n">
        <v>45726</v>
      </c>
      <c r="C510" s="1" t="n">
        <v>46064</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25430-2025</t>
        </is>
      </c>
      <c r="B511" s="1" t="n">
        <v>45800.78212962963</v>
      </c>
      <c r="C511" s="1" t="n">
        <v>46064</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38712-2024</t>
        </is>
      </c>
      <c r="B512" s="1" t="n">
        <v>45547</v>
      </c>
      <c r="C512" s="1" t="n">
        <v>46064</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13310-2025</t>
        </is>
      </c>
      <c r="B513" s="1" t="n">
        <v>45735.58814814815</v>
      </c>
      <c r="C513" s="1" t="n">
        <v>46064</v>
      </c>
      <c r="D513" t="inlineStr">
        <is>
          <t>SKÅNE LÄN</t>
        </is>
      </c>
      <c r="E513" t="inlineStr">
        <is>
          <t>HÄSSLEHOLM</t>
        </is>
      </c>
      <c r="G513" t="n">
        <v>2</v>
      </c>
      <c r="H513" t="n">
        <v>0</v>
      </c>
      <c r="I513" t="n">
        <v>0</v>
      </c>
      <c r="J513" t="n">
        <v>0</v>
      </c>
      <c r="K513" t="n">
        <v>0</v>
      </c>
      <c r="L513" t="n">
        <v>0</v>
      </c>
      <c r="M513" t="n">
        <v>0</v>
      </c>
      <c r="N513" t="n">
        <v>0</v>
      </c>
      <c r="O513" t="n">
        <v>0</v>
      </c>
      <c r="P513" t="n">
        <v>0</v>
      </c>
      <c r="Q513" t="n">
        <v>0</v>
      </c>
      <c r="R513" s="2" t="inlineStr"/>
    </row>
    <row r="514" ht="15" customHeight="1">
      <c r="A514" t="inlineStr">
        <is>
          <t>A 11466-2025</t>
        </is>
      </c>
      <c r="B514" s="1" t="n">
        <v>45726</v>
      </c>
      <c r="C514" s="1" t="n">
        <v>46064</v>
      </c>
      <c r="D514" t="inlineStr">
        <is>
          <t>SKÅNE LÄN</t>
        </is>
      </c>
      <c r="E514" t="inlineStr">
        <is>
          <t>HÄSSLEHOLM</t>
        </is>
      </c>
      <c r="G514" t="n">
        <v>3.2</v>
      </c>
      <c r="H514" t="n">
        <v>0</v>
      </c>
      <c r="I514" t="n">
        <v>0</v>
      </c>
      <c r="J514" t="n">
        <v>0</v>
      </c>
      <c r="K514" t="n">
        <v>0</v>
      </c>
      <c r="L514" t="n">
        <v>0</v>
      </c>
      <c r="M514" t="n">
        <v>0</v>
      </c>
      <c r="N514" t="n">
        <v>0</v>
      </c>
      <c r="O514" t="n">
        <v>0</v>
      </c>
      <c r="P514" t="n">
        <v>0</v>
      </c>
      <c r="Q514" t="n">
        <v>0</v>
      </c>
      <c r="R514" s="2" t="inlineStr"/>
    </row>
    <row r="515" ht="15" customHeight="1">
      <c r="A515" t="inlineStr">
        <is>
          <t>A 25431-2025</t>
        </is>
      </c>
      <c r="B515" s="1" t="n">
        <v>45800.78340277778</v>
      </c>
      <c r="C515" s="1" t="n">
        <v>46064</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25432-2025</t>
        </is>
      </c>
      <c r="B516" s="1" t="n">
        <v>45800.7847800926</v>
      </c>
      <c r="C516" s="1" t="n">
        <v>46064</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45495-2025</t>
        </is>
      </c>
      <c r="B517" s="1" t="n">
        <v>45922.56369212963</v>
      </c>
      <c r="C517" s="1" t="n">
        <v>46064</v>
      </c>
      <c r="D517" t="inlineStr">
        <is>
          <t>SKÅNE LÄN</t>
        </is>
      </c>
      <c r="E517" t="inlineStr">
        <is>
          <t>HÄSSLEHOLM</t>
        </is>
      </c>
      <c r="G517" t="n">
        <v>1.8</v>
      </c>
      <c r="H517" t="n">
        <v>0</v>
      </c>
      <c r="I517" t="n">
        <v>0</v>
      </c>
      <c r="J517" t="n">
        <v>0</v>
      </c>
      <c r="K517" t="n">
        <v>0</v>
      </c>
      <c r="L517" t="n">
        <v>0</v>
      </c>
      <c r="M517" t="n">
        <v>0</v>
      </c>
      <c r="N517" t="n">
        <v>0</v>
      </c>
      <c r="O517" t="n">
        <v>0</v>
      </c>
      <c r="P517" t="n">
        <v>0</v>
      </c>
      <c r="Q517" t="n">
        <v>0</v>
      </c>
      <c r="R517" s="2" t="inlineStr"/>
    </row>
    <row r="518" ht="15" customHeight="1">
      <c r="A518" t="inlineStr">
        <is>
          <t>A 11470-2025</t>
        </is>
      </c>
      <c r="B518" s="1" t="n">
        <v>45726</v>
      </c>
      <c r="C518" s="1" t="n">
        <v>46064</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3746-2024</t>
        </is>
      </c>
      <c r="B519" s="1" t="n">
        <v>45321.50745370371</v>
      </c>
      <c r="C519" s="1" t="n">
        <v>46064</v>
      </c>
      <c r="D519" t="inlineStr">
        <is>
          <t>SKÅNE LÄN</t>
        </is>
      </c>
      <c r="E519" t="inlineStr">
        <is>
          <t>HÄSSLEHOLM</t>
        </is>
      </c>
      <c r="G519" t="n">
        <v>3.4</v>
      </c>
      <c r="H519" t="n">
        <v>0</v>
      </c>
      <c r="I519" t="n">
        <v>0</v>
      </c>
      <c r="J519" t="n">
        <v>0</v>
      </c>
      <c r="K519" t="n">
        <v>0</v>
      </c>
      <c r="L519" t="n">
        <v>0</v>
      </c>
      <c r="M519" t="n">
        <v>0</v>
      </c>
      <c r="N519" t="n">
        <v>0</v>
      </c>
      <c r="O519" t="n">
        <v>0</v>
      </c>
      <c r="P519" t="n">
        <v>0</v>
      </c>
      <c r="Q519" t="n">
        <v>0</v>
      </c>
      <c r="R519" s="2" t="inlineStr"/>
    </row>
    <row r="520" ht="15" customHeight="1">
      <c r="A520" t="inlineStr">
        <is>
          <t>A 57649-2022</t>
        </is>
      </c>
      <c r="B520" s="1" t="n">
        <v>44897.42755787037</v>
      </c>
      <c r="C520" s="1" t="n">
        <v>46064</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57665-2022</t>
        </is>
      </c>
      <c r="B521" s="1" t="n">
        <v>44897.4494212963</v>
      </c>
      <c r="C521" s="1" t="n">
        <v>46064</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57676-2022</t>
        </is>
      </c>
      <c r="B522" s="1" t="n">
        <v>44897</v>
      </c>
      <c r="C522" s="1" t="n">
        <v>46064</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14145-2023</t>
        </is>
      </c>
      <c r="B523" s="1" t="n">
        <v>45009</v>
      </c>
      <c r="C523" s="1" t="n">
        <v>46064</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8244-2023</t>
        </is>
      </c>
      <c r="B524" s="1" t="n">
        <v>44974</v>
      </c>
      <c r="C524" s="1" t="n">
        <v>46064</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8246-2023</t>
        </is>
      </c>
      <c r="B525" s="1" t="n">
        <v>44974</v>
      </c>
      <c r="C525" s="1" t="n">
        <v>46064</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45314-2025</t>
        </is>
      </c>
      <c r="B526" s="1" t="n">
        <v>45921.81738425926</v>
      </c>
      <c r="C526" s="1" t="n">
        <v>46064</v>
      </c>
      <c r="D526" t="inlineStr">
        <is>
          <t>SKÅNE LÄN</t>
        </is>
      </c>
      <c r="E526" t="inlineStr">
        <is>
          <t>HÄSSLEHOLM</t>
        </is>
      </c>
      <c r="G526" t="n">
        <v>2.4</v>
      </c>
      <c r="H526" t="n">
        <v>0</v>
      </c>
      <c r="I526" t="n">
        <v>0</v>
      </c>
      <c r="J526" t="n">
        <v>0</v>
      </c>
      <c r="K526" t="n">
        <v>0</v>
      </c>
      <c r="L526" t="n">
        <v>0</v>
      </c>
      <c r="M526" t="n">
        <v>0</v>
      </c>
      <c r="N526" t="n">
        <v>0</v>
      </c>
      <c r="O526" t="n">
        <v>0</v>
      </c>
      <c r="P526" t="n">
        <v>0</v>
      </c>
      <c r="Q526" t="n">
        <v>0</v>
      </c>
      <c r="R526" s="2" t="inlineStr"/>
    </row>
    <row r="527" ht="15" customHeight="1">
      <c r="A527" t="inlineStr">
        <is>
          <t>A 12584-2025</t>
        </is>
      </c>
      <c r="B527" s="1" t="n">
        <v>45732</v>
      </c>
      <c r="C527" s="1" t="n">
        <v>46064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45763-2025</t>
        </is>
      </c>
      <c r="B528" s="1" t="n">
        <v>45923.51778935185</v>
      </c>
      <c r="C528" s="1" t="n">
        <v>46064</v>
      </c>
      <c r="D528" t="inlineStr">
        <is>
          <t>SKÅNE LÄN</t>
        </is>
      </c>
      <c r="E528" t="inlineStr">
        <is>
          <t>HÄSSLEHOLM</t>
        </is>
      </c>
      <c r="G528" t="n">
        <v>4.8</v>
      </c>
      <c r="H528" t="n">
        <v>0</v>
      </c>
      <c r="I528" t="n">
        <v>0</v>
      </c>
      <c r="J528" t="n">
        <v>0</v>
      </c>
      <c r="K528" t="n">
        <v>0</v>
      </c>
      <c r="L528" t="n">
        <v>0</v>
      </c>
      <c r="M528" t="n">
        <v>0</v>
      </c>
      <c r="N528" t="n">
        <v>0</v>
      </c>
      <c r="O528" t="n">
        <v>0</v>
      </c>
      <c r="P528" t="n">
        <v>0</v>
      </c>
      <c r="Q528" t="n">
        <v>0</v>
      </c>
      <c r="R528" s="2" t="inlineStr"/>
    </row>
    <row r="529" ht="15" customHeight="1">
      <c r="A529" t="inlineStr">
        <is>
          <t>A 45764-2025</t>
        </is>
      </c>
      <c r="B529" s="1" t="n">
        <v>45923.52037037037</v>
      </c>
      <c r="C529" s="1" t="n">
        <v>46064</v>
      </c>
      <c r="D529" t="inlineStr">
        <is>
          <t>SKÅNE LÄN</t>
        </is>
      </c>
      <c r="E529" t="inlineStr">
        <is>
          <t>HÄSSLEHOLM</t>
        </is>
      </c>
      <c r="G529" t="n">
        <v>6.3</v>
      </c>
      <c r="H529" t="n">
        <v>0</v>
      </c>
      <c r="I529" t="n">
        <v>0</v>
      </c>
      <c r="J529" t="n">
        <v>0</v>
      </c>
      <c r="K529" t="n">
        <v>0</v>
      </c>
      <c r="L529" t="n">
        <v>0</v>
      </c>
      <c r="M529" t="n">
        <v>0</v>
      </c>
      <c r="N529" t="n">
        <v>0</v>
      </c>
      <c r="O529" t="n">
        <v>0</v>
      </c>
      <c r="P529" t="n">
        <v>0</v>
      </c>
      <c r="Q529" t="n">
        <v>0</v>
      </c>
      <c r="R529" s="2" t="inlineStr"/>
    </row>
    <row r="530" ht="15" customHeight="1">
      <c r="A530" t="inlineStr">
        <is>
          <t>A 25606-2024</t>
        </is>
      </c>
      <c r="B530" s="1" t="n">
        <v>45463.63179398148</v>
      </c>
      <c r="C530" s="1" t="n">
        <v>46064</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45443-2025</t>
        </is>
      </c>
      <c r="B531" s="1" t="n">
        <v>45920</v>
      </c>
      <c r="C531" s="1" t="n">
        <v>46064</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26232-2025</t>
        </is>
      </c>
      <c r="B532" s="1" t="n">
        <v>45805.56642361111</v>
      </c>
      <c r="C532" s="1" t="n">
        <v>46064</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45458-2025</t>
        </is>
      </c>
      <c r="B533" s="1" t="n">
        <v>45920</v>
      </c>
      <c r="C533" s="1" t="n">
        <v>46064</v>
      </c>
      <c r="D533" t="inlineStr">
        <is>
          <t>SKÅNE LÄN</t>
        </is>
      </c>
      <c r="E533" t="inlineStr">
        <is>
          <t>HÄSSLEHOLM</t>
        </is>
      </c>
      <c r="G533" t="n">
        <v>1</v>
      </c>
      <c r="H533" t="n">
        <v>0</v>
      </c>
      <c r="I533" t="n">
        <v>0</v>
      </c>
      <c r="J533" t="n">
        <v>0</v>
      </c>
      <c r="K533" t="n">
        <v>0</v>
      </c>
      <c r="L533" t="n">
        <v>0</v>
      </c>
      <c r="M533" t="n">
        <v>0</v>
      </c>
      <c r="N533" t="n">
        <v>0</v>
      </c>
      <c r="O533" t="n">
        <v>0</v>
      </c>
      <c r="P533" t="n">
        <v>0</v>
      </c>
      <c r="Q533" t="n">
        <v>0</v>
      </c>
      <c r="R533" s="2" t="inlineStr"/>
    </row>
    <row r="534" ht="15" customHeight="1">
      <c r="A534" t="inlineStr">
        <is>
          <t>A 45465-2025</t>
        </is>
      </c>
      <c r="B534" s="1" t="n">
        <v>45920</v>
      </c>
      <c r="C534" s="1" t="n">
        <v>46064</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45414-2025</t>
        </is>
      </c>
      <c r="B535" s="1" t="n">
        <v>45920</v>
      </c>
      <c r="C535" s="1" t="n">
        <v>46064</v>
      </c>
      <c r="D535" t="inlineStr">
        <is>
          <t>SKÅNE LÄN</t>
        </is>
      </c>
      <c r="E535" t="inlineStr">
        <is>
          <t>HÄSSLEHOLM</t>
        </is>
      </c>
      <c r="G535" t="n">
        <v>14.7</v>
      </c>
      <c r="H535" t="n">
        <v>0</v>
      </c>
      <c r="I535" t="n">
        <v>0</v>
      </c>
      <c r="J535" t="n">
        <v>0</v>
      </c>
      <c r="K535" t="n">
        <v>0</v>
      </c>
      <c r="L535" t="n">
        <v>0</v>
      </c>
      <c r="M535" t="n">
        <v>0</v>
      </c>
      <c r="N535" t="n">
        <v>0</v>
      </c>
      <c r="O535" t="n">
        <v>0</v>
      </c>
      <c r="P535" t="n">
        <v>0</v>
      </c>
      <c r="Q535" t="n">
        <v>0</v>
      </c>
      <c r="R535" s="2" t="inlineStr"/>
    </row>
    <row r="536" ht="15" customHeight="1">
      <c r="A536" t="inlineStr">
        <is>
          <t>A 45683-2025</t>
        </is>
      </c>
      <c r="B536" s="1" t="n">
        <v>45923.37590277778</v>
      </c>
      <c r="C536" s="1" t="n">
        <v>46064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45516-2025</t>
        </is>
      </c>
      <c r="B537" s="1" t="n">
        <v>45922</v>
      </c>
      <c r="C537" s="1" t="n">
        <v>46064</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26244-2025</t>
        </is>
      </c>
      <c r="B538" s="1" t="n">
        <v>45805.57364583333</v>
      </c>
      <c r="C538" s="1" t="n">
        <v>46064</v>
      </c>
      <c r="D538" t="inlineStr">
        <is>
          <t>SKÅNE LÄN</t>
        </is>
      </c>
      <c r="E538" t="inlineStr">
        <is>
          <t>HÄSSLEHOLM</t>
        </is>
      </c>
      <c r="G538" t="n">
        <v>1.4</v>
      </c>
      <c r="H538" t="n">
        <v>0</v>
      </c>
      <c r="I538" t="n">
        <v>0</v>
      </c>
      <c r="J538" t="n">
        <v>0</v>
      </c>
      <c r="K538" t="n">
        <v>0</v>
      </c>
      <c r="L538" t="n">
        <v>0</v>
      </c>
      <c r="M538" t="n">
        <v>0</v>
      </c>
      <c r="N538" t="n">
        <v>0</v>
      </c>
      <c r="O538" t="n">
        <v>0</v>
      </c>
      <c r="P538" t="n">
        <v>0</v>
      </c>
      <c r="Q538" t="n">
        <v>0</v>
      </c>
      <c r="R538" s="2" t="inlineStr"/>
    </row>
    <row r="539" ht="15" customHeight="1">
      <c r="A539" t="inlineStr">
        <is>
          <t>A 14939-2023</t>
        </is>
      </c>
      <c r="B539" s="1" t="n">
        <v>45014</v>
      </c>
      <c r="C539" s="1" t="n">
        <v>46064</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13345-2025</t>
        </is>
      </c>
      <c r="B540" s="1" t="n">
        <v>45735.63017361111</v>
      </c>
      <c r="C540" s="1" t="n">
        <v>46064</v>
      </c>
      <c r="D540" t="inlineStr">
        <is>
          <t>SKÅNE LÄN</t>
        </is>
      </c>
      <c r="E540" t="inlineStr">
        <is>
          <t>HÄSSLEHOLM</t>
        </is>
      </c>
      <c r="G540" t="n">
        <v>1.3</v>
      </c>
      <c r="H540" t="n">
        <v>0</v>
      </c>
      <c r="I540" t="n">
        <v>0</v>
      </c>
      <c r="J540" t="n">
        <v>0</v>
      </c>
      <c r="K540" t="n">
        <v>0</v>
      </c>
      <c r="L540" t="n">
        <v>0</v>
      </c>
      <c r="M540" t="n">
        <v>0</v>
      </c>
      <c r="N540" t="n">
        <v>0</v>
      </c>
      <c r="O540" t="n">
        <v>0</v>
      </c>
      <c r="P540" t="n">
        <v>0</v>
      </c>
      <c r="Q540" t="n">
        <v>0</v>
      </c>
      <c r="R540" s="2" t="inlineStr"/>
    </row>
    <row r="541" ht="15" customHeight="1">
      <c r="A541" t="inlineStr">
        <is>
          <t>A 4945-2022</t>
        </is>
      </c>
      <c r="B541" s="1" t="n">
        <v>44593</v>
      </c>
      <c r="C541" s="1" t="n">
        <v>46064</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45514-2025</t>
        </is>
      </c>
      <c r="B542" s="1" t="n">
        <v>45922</v>
      </c>
      <c r="C542" s="1" t="n">
        <v>46064</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11121-2023</t>
        </is>
      </c>
      <c r="B543" s="1" t="n">
        <v>44986</v>
      </c>
      <c r="C543" s="1" t="n">
        <v>46064</v>
      </c>
      <c r="D543" t="inlineStr">
        <is>
          <t>SKÅNE LÄN</t>
        </is>
      </c>
      <c r="E543" t="inlineStr">
        <is>
          <t>HÄSSLEHOLM</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11116-2023</t>
        </is>
      </c>
      <c r="B544" s="1" t="n">
        <v>44986</v>
      </c>
      <c r="C544" s="1" t="n">
        <v>46064</v>
      </c>
      <c r="D544" t="inlineStr">
        <is>
          <t>SKÅNE LÄN</t>
        </is>
      </c>
      <c r="E544" t="inlineStr">
        <is>
          <t>HÄSSLEHOLM</t>
        </is>
      </c>
      <c r="F544" t="inlineStr">
        <is>
          <t>Kommuner</t>
        </is>
      </c>
      <c r="G544" t="n">
        <v>15.1</v>
      </c>
      <c r="H544" t="n">
        <v>0</v>
      </c>
      <c r="I544" t="n">
        <v>0</v>
      </c>
      <c r="J544" t="n">
        <v>0</v>
      </c>
      <c r="K544" t="n">
        <v>0</v>
      </c>
      <c r="L544" t="n">
        <v>0</v>
      </c>
      <c r="M544" t="n">
        <v>0</v>
      </c>
      <c r="N544" t="n">
        <v>0</v>
      </c>
      <c r="O544" t="n">
        <v>0</v>
      </c>
      <c r="P544" t="n">
        <v>0</v>
      </c>
      <c r="Q544" t="n">
        <v>0</v>
      </c>
      <c r="R544" s="2" t="inlineStr"/>
    </row>
    <row r="545" ht="15" customHeight="1">
      <c r="A545" t="inlineStr">
        <is>
          <t>A 45762-2025</t>
        </is>
      </c>
      <c r="B545" s="1" t="n">
        <v>45923.51548611111</v>
      </c>
      <c r="C545" s="1" t="n">
        <v>46064</v>
      </c>
      <c r="D545" t="inlineStr">
        <is>
          <t>SKÅNE LÄN</t>
        </is>
      </c>
      <c r="E545" t="inlineStr">
        <is>
          <t>HÄSSLEHOLM</t>
        </is>
      </c>
      <c r="G545" t="n">
        <v>2.3</v>
      </c>
      <c r="H545" t="n">
        <v>0</v>
      </c>
      <c r="I545" t="n">
        <v>0</v>
      </c>
      <c r="J545" t="n">
        <v>0</v>
      </c>
      <c r="K545" t="n">
        <v>0</v>
      </c>
      <c r="L545" t="n">
        <v>0</v>
      </c>
      <c r="M545" t="n">
        <v>0</v>
      </c>
      <c r="N545" t="n">
        <v>0</v>
      </c>
      <c r="O545" t="n">
        <v>0</v>
      </c>
      <c r="P545" t="n">
        <v>0</v>
      </c>
      <c r="Q545" t="n">
        <v>0</v>
      </c>
      <c r="R545" s="2" t="inlineStr"/>
    </row>
    <row r="546" ht="15" customHeight="1">
      <c r="A546" t="inlineStr">
        <is>
          <t>A 12558-2023</t>
        </is>
      </c>
      <c r="B546" s="1" t="n">
        <v>45000.36103009259</v>
      </c>
      <c r="C546" s="1" t="n">
        <v>46064</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4119-2024</t>
        </is>
      </c>
      <c r="B547" s="1" t="n">
        <v>45323.67920138889</v>
      </c>
      <c r="C547" s="1" t="n">
        <v>46064</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6835-2023</t>
        </is>
      </c>
      <c r="B548" s="1" t="n">
        <v>44967</v>
      </c>
      <c r="C548" s="1" t="n">
        <v>46064</v>
      </c>
      <c r="D548" t="inlineStr">
        <is>
          <t>SKÅNE LÄN</t>
        </is>
      </c>
      <c r="E548" t="inlineStr">
        <is>
          <t>HÄSSLEHOLM</t>
        </is>
      </c>
      <c r="G548" t="n">
        <v>4.8</v>
      </c>
      <c r="H548" t="n">
        <v>0</v>
      </c>
      <c r="I548" t="n">
        <v>0</v>
      </c>
      <c r="J548" t="n">
        <v>0</v>
      </c>
      <c r="K548" t="n">
        <v>0</v>
      </c>
      <c r="L548" t="n">
        <v>0</v>
      </c>
      <c r="M548" t="n">
        <v>0</v>
      </c>
      <c r="N548" t="n">
        <v>0</v>
      </c>
      <c r="O548" t="n">
        <v>0</v>
      </c>
      <c r="P548" t="n">
        <v>0</v>
      </c>
      <c r="Q548" t="n">
        <v>0</v>
      </c>
      <c r="R548" s="2" t="inlineStr"/>
    </row>
    <row r="549" ht="15" customHeight="1">
      <c r="A549" t="inlineStr">
        <is>
          <t>A 47757-2024</t>
        </is>
      </c>
      <c r="B549" s="1" t="n">
        <v>45588.55075231481</v>
      </c>
      <c r="C549" s="1" t="n">
        <v>46064</v>
      </c>
      <c r="D549" t="inlineStr">
        <is>
          <t>SKÅNE LÄN</t>
        </is>
      </c>
      <c r="E549" t="inlineStr">
        <is>
          <t>HÄSSLEHOLM</t>
        </is>
      </c>
      <c r="G549" t="n">
        <v>5.5</v>
      </c>
      <c r="H549" t="n">
        <v>0</v>
      </c>
      <c r="I549" t="n">
        <v>0</v>
      </c>
      <c r="J549" t="n">
        <v>0</v>
      </c>
      <c r="K549" t="n">
        <v>0</v>
      </c>
      <c r="L549" t="n">
        <v>0</v>
      </c>
      <c r="M549" t="n">
        <v>0</v>
      </c>
      <c r="N549" t="n">
        <v>0</v>
      </c>
      <c r="O549" t="n">
        <v>0</v>
      </c>
      <c r="P549" t="n">
        <v>0</v>
      </c>
      <c r="Q549" t="n">
        <v>0</v>
      </c>
      <c r="R549" s="2" t="inlineStr"/>
    </row>
    <row r="550" ht="15" customHeight="1">
      <c r="A550" t="inlineStr">
        <is>
          <t>A 16550-2025</t>
        </is>
      </c>
      <c r="B550" s="1" t="n">
        <v>45751.69412037037</v>
      </c>
      <c r="C550" s="1" t="n">
        <v>46064</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38358-2024</t>
        </is>
      </c>
      <c r="B551" s="1" t="n">
        <v>45545.79068287037</v>
      </c>
      <c r="C551" s="1" t="n">
        <v>46064</v>
      </c>
      <c r="D551" t="inlineStr">
        <is>
          <t>SKÅNE LÄN</t>
        </is>
      </c>
      <c r="E551" t="inlineStr">
        <is>
          <t>HÄSSLEHOLM</t>
        </is>
      </c>
      <c r="G551" t="n">
        <v>9</v>
      </c>
      <c r="H551" t="n">
        <v>0</v>
      </c>
      <c r="I551" t="n">
        <v>0</v>
      </c>
      <c r="J551" t="n">
        <v>0</v>
      </c>
      <c r="K551" t="n">
        <v>0</v>
      </c>
      <c r="L551" t="n">
        <v>0</v>
      </c>
      <c r="M551" t="n">
        <v>0</v>
      </c>
      <c r="N551" t="n">
        <v>0</v>
      </c>
      <c r="O551" t="n">
        <v>0</v>
      </c>
      <c r="P551" t="n">
        <v>0</v>
      </c>
      <c r="Q551" t="n">
        <v>0</v>
      </c>
      <c r="R551" s="2" t="inlineStr"/>
    </row>
    <row r="552" ht="15" customHeight="1">
      <c r="A552" t="inlineStr">
        <is>
          <t>A 9668-2025</t>
        </is>
      </c>
      <c r="B552" s="1" t="n">
        <v>45716</v>
      </c>
      <c r="C552" s="1" t="n">
        <v>46064</v>
      </c>
      <c r="D552" t="inlineStr">
        <is>
          <t>SKÅNE LÄN</t>
        </is>
      </c>
      <c r="E552" t="inlineStr">
        <is>
          <t>HÄSSLEHOLM</t>
        </is>
      </c>
      <c r="G552" t="n">
        <v>1.2</v>
      </c>
      <c r="H552" t="n">
        <v>0</v>
      </c>
      <c r="I552" t="n">
        <v>0</v>
      </c>
      <c r="J552" t="n">
        <v>0</v>
      </c>
      <c r="K552" t="n">
        <v>0</v>
      </c>
      <c r="L552" t="n">
        <v>0</v>
      </c>
      <c r="M552" t="n">
        <v>0</v>
      </c>
      <c r="N552" t="n">
        <v>0</v>
      </c>
      <c r="O552" t="n">
        <v>0</v>
      </c>
      <c r="P552" t="n">
        <v>0</v>
      </c>
      <c r="Q552" t="n">
        <v>0</v>
      </c>
      <c r="R552" s="2" t="inlineStr"/>
    </row>
    <row r="553" ht="15" customHeight="1">
      <c r="A553" t="inlineStr">
        <is>
          <t>A 26536-2022</t>
        </is>
      </c>
      <c r="B553" s="1" t="n">
        <v>44739.45496527778</v>
      </c>
      <c r="C553" s="1" t="n">
        <v>46064</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27393-2025</t>
        </is>
      </c>
      <c r="B554" s="1" t="n">
        <v>45812.68295138889</v>
      </c>
      <c r="C554" s="1" t="n">
        <v>46064</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25057-2024</t>
        </is>
      </c>
      <c r="B555" s="1" t="n">
        <v>45462</v>
      </c>
      <c r="C555" s="1" t="n">
        <v>46064</v>
      </c>
      <c r="D555" t="inlineStr">
        <is>
          <t>SKÅNE LÄN</t>
        </is>
      </c>
      <c r="E555" t="inlineStr">
        <is>
          <t>HÄSSLEHOLM</t>
        </is>
      </c>
      <c r="G555" t="n">
        <v>4.3</v>
      </c>
      <c r="H555" t="n">
        <v>0</v>
      </c>
      <c r="I555" t="n">
        <v>0</v>
      </c>
      <c r="J555" t="n">
        <v>0</v>
      </c>
      <c r="K555" t="n">
        <v>0</v>
      </c>
      <c r="L555" t="n">
        <v>0</v>
      </c>
      <c r="M555" t="n">
        <v>0</v>
      </c>
      <c r="N555" t="n">
        <v>0</v>
      </c>
      <c r="O555" t="n">
        <v>0</v>
      </c>
      <c r="P555" t="n">
        <v>0</v>
      </c>
      <c r="Q555" t="n">
        <v>0</v>
      </c>
      <c r="R555" s="2" t="inlineStr"/>
    </row>
    <row r="556" ht="15" customHeight="1">
      <c r="A556" t="inlineStr">
        <is>
          <t>A 16368-2025</t>
        </is>
      </c>
      <c r="B556" s="1" t="n">
        <v>45751</v>
      </c>
      <c r="C556" s="1" t="n">
        <v>46064</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7494-2023</t>
        </is>
      </c>
      <c r="B557" s="1" t="n">
        <v>44971.70835648148</v>
      </c>
      <c r="C557" s="1" t="n">
        <v>46064</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10115-2024</t>
        </is>
      </c>
      <c r="B558" s="1" t="n">
        <v>45364.55339120371</v>
      </c>
      <c r="C558" s="1" t="n">
        <v>46064</v>
      </c>
      <c r="D558" t="inlineStr">
        <is>
          <t>SKÅNE LÄN</t>
        </is>
      </c>
      <c r="E558" t="inlineStr">
        <is>
          <t>HÄSSLEHOLM</t>
        </is>
      </c>
      <c r="G558" t="n">
        <v>7</v>
      </c>
      <c r="H558" t="n">
        <v>0</v>
      </c>
      <c r="I558" t="n">
        <v>0</v>
      </c>
      <c r="J558" t="n">
        <v>0</v>
      </c>
      <c r="K558" t="n">
        <v>0</v>
      </c>
      <c r="L558" t="n">
        <v>0</v>
      </c>
      <c r="M558" t="n">
        <v>0</v>
      </c>
      <c r="N558" t="n">
        <v>0</v>
      </c>
      <c r="O558" t="n">
        <v>0</v>
      </c>
      <c r="P558" t="n">
        <v>0</v>
      </c>
      <c r="Q558" t="n">
        <v>0</v>
      </c>
      <c r="R558" s="2" t="inlineStr"/>
    </row>
    <row r="559" ht="15" customHeight="1">
      <c r="A559" t="inlineStr">
        <is>
          <t>A 9678-2025</t>
        </is>
      </c>
      <c r="B559" s="1" t="n">
        <v>45716</v>
      </c>
      <c r="C559" s="1" t="n">
        <v>46064</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28240-2025</t>
        </is>
      </c>
      <c r="B560" s="1" t="n">
        <v>45817</v>
      </c>
      <c r="C560" s="1" t="n">
        <v>46064</v>
      </c>
      <c r="D560" t="inlineStr">
        <is>
          <t>SKÅNE LÄN</t>
        </is>
      </c>
      <c r="E560" t="inlineStr">
        <is>
          <t>HÄSSLEHOLM</t>
        </is>
      </c>
      <c r="G560" t="n">
        <v>7.7</v>
      </c>
      <c r="H560" t="n">
        <v>0</v>
      </c>
      <c r="I560" t="n">
        <v>0</v>
      </c>
      <c r="J560" t="n">
        <v>0</v>
      </c>
      <c r="K560" t="n">
        <v>0</v>
      </c>
      <c r="L560" t="n">
        <v>0</v>
      </c>
      <c r="M560" t="n">
        <v>0</v>
      </c>
      <c r="N560" t="n">
        <v>0</v>
      </c>
      <c r="O560" t="n">
        <v>0</v>
      </c>
      <c r="P560" t="n">
        <v>0</v>
      </c>
      <c r="Q560" t="n">
        <v>0</v>
      </c>
      <c r="R560" s="2" t="inlineStr"/>
    </row>
    <row r="561" ht="15" customHeight="1">
      <c r="A561" t="inlineStr">
        <is>
          <t>A 27940-2025</t>
        </is>
      </c>
      <c r="B561" s="1" t="n">
        <v>45817.50439814815</v>
      </c>
      <c r="C561" s="1" t="n">
        <v>46064</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21328-2023</t>
        </is>
      </c>
      <c r="B562" s="1" t="n">
        <v>45062</v>
      </c>
      <c r="C562" s="1" t="n">
        <v>46064</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27934-2025</t>
        </is>
      </c>
      <c r="B563" s="1" t="n">
        <v>45817.49761574074</v>
      </c>
      <c r="C563" s="1" t="n">
        <v>46064</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28251-2025</t>
        </is>
      </c>
      <c r="B564" s="1" t="n">
        <v>45817</v>
      </c>
      <c r="C564" s="1" t="n">
        <v>46064</v>
      </c>
      <c r="D564" t="inlineStr">
        <is>
          <t>SKÅNE LÄN</t>
        </is>
      </c>
      <c r="E564" t="inlineStr">
        <is>
          <t>HÄSSLEHOLM</t>
        </is>
      </c>
      <c r="G564" t="n">
        <v>7.2</v>
      </c>
      <c r="H564" t="n">
        <v>0</v>
      </c>
      <c r="I564" t="n">
        <v>0</v>
      </c>
      <c r="J564" t="n">
        <v>0</v>
      </c>
      <c r="K564" t="n">
        <v>0</v>
      </c>
      <c r="L564" t="n">
        <v>0</v>
      </c>
      <c r="M564" t="n">
        <v>0</v>
      </c>
      <c r="N564" t="n">
        <v>0</v>
      </c>
      <c r="O564" t="n">
        <v>0</v>
      </c>
      <c r="P564" t="n">
        <v>0</v>
      </c>
      <c r="Q564" t="n">
        <v>0</v>
      </c>
      <c r="R564" s="2" t="inlineStr"/>
    </row>
    <row r="565" ht="15" customHeight="1">
      <c r="A565" t="inlineStr">
        <is>
          <t>A 28122-2025</t>
        </is>
      </c>
      <c r="B565" s="1" t="n">
        <v>45817</v>
      </c>
      <c r="C565" s="1" t="n">
        <v>46064</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12570-2023</t>
        </is>
      </c>
      <c r="B566" s="1" t="n">
        <v>44999</v>
      </c>
      <c r="C566" s="1" t="n">
        <v>46064</v>
      </c>
      <c r="D566" t="inlineStr">
        <is>
          <t>SKÅNE LÄN</t>
        </is>
      </c>
      <c r="E566" t="inlineStr">
        <is>
          <t>HÄSSLEHOLM</t>
        </is>
      </c>
      <c r="G566" t="n">
        <v>3.4</v>
      </c>
      <c r="H566" t="n">
        <v>0</v>
      </c>
      <c r="I566" t="n">
        <v>0</v>
      </c>
      <c r="J566" t="n">
        <v>0</v>
      </c>
      <c r="K566" t="n">
        <v>0</v>
      </c>
      <c r="L566" t="n">
        <v>0</v>
      </c>
      <c r="M566" t="n">
        <v>0</v>
      </c>
      <c r="N566" t="n">
        <v>0</v>
      </c>
      <c r="O566" t="n">
        <v>0</v>
      </c>
      <c r="P566" t="n">
        <v>0</v>
      </c>
      <c r="Q566" t="n">
        <v>0</v>
      </c>
      <c r="R566" s="2" t="inlineStr"/>
    </row>
    <row r="567" ht="15" customHeight="1">
      <c r="A567" t="inlineStr">
        <is>
          <t>A 27887-2025</t>
        </is>
      </c>
      <c r="B567" s="1" t="n">
        <v>45817.45994212963</v>
      </c>
      <c r="C567" s="1" t="n">
        <v>46064</v>
      </c>
      <c r="D567" t="inlineStr">
        <is>
          <t>SKÅNE LÄN</t>
        </is>
      </c>
      <c r="E567" t="inlineStr">
        <is>
          <t>HÄSSLEHOLM</t>
        </is>
      </c>
      <c r="G567" t="n">
        <v>4.8</v>
      </c>
      <c r="H567" t="n">
        <v>0</v>
      </c>
      <c r="I567" t="n">
        <v>0</v>
      </c>
      <c r="J567" t="n">
        <v>0</v>
      </c>
      <c r="K567" t="n">
        <v>0</v>
      </c>
      <c r="L567" t="n">
        <v>0</v>
      </c>
      <c r="M567" t="n">
        <v>0</v>
      </c>
      <c r="N567" t="n">
        <v>0</v>
      </c>
      <c r="O567" t="n">
        <v>0</v>
      </c>
      <c r="P567" t="n">
        <v>0</v>
      </c>
      <c r="Q567" t="n">
        <v>0</v>
      </c>
      <c r="R567" s="2" t="inlineStr"/>
    </row>
    <row r="568" ht="15" customHeight="1">
      <c r="A568" t="inlineStr">
        <is>
          <t>A 20435-2021</t>
        </is>
      </c>
      <c r="B568" s="1" t="n">
        <v>44315.5793287037</v>
      </c>
      <c r="C568" s="1" t="n">
        <v>46064</v>
      </c>
      <c r="D568" t="inlineStr">
        <is>
          <t>SKÅNE LÄN</t>
        </is>
      </c>
      <c r="E568" t="inlineStr">
        <is>
          <t>HÄSSLEHOLM</t>
        </is>
      </c>
      <c r="G568" t="n">
        <v>4.8</v>
      </c>
      <c r="H568" t="n">
        <v>0</v>
      </c>
      <c r="I568" t="n">
        <v>0</v>
      </c>
      <c r="J568" t="n">
        <v>0</v>
      </c>
      <c r="K568" t="n">
        <v>0</v>
      </c>
      <c r="L568" t="n">
        <v>0</v>
      </c>
      <c r="M568" t="n">
        <v>0</v>
      </c>
      <c r="N568" t="n">
        <v>0</v>
      </c>
      <c r="O568" t="n">
        <v>0</v>
      </c>
      <c r="P568" t="n">
        <v>0</v>
      </c>
      <c r="Q568" t="n">
        <v>0</v>
      </c>
      <c r="R568" s="2" t="inlineStr"/>
    </row>
    <row r="569" ht="15" customHeight="1">
      <c r="A569" t="inlineStr">
        <is>
          <t>A 25219-2023</t>
        </is>
      </c>
      <c r="B569" s="1" t="n">
        <v>45086.60541666667</v>
      </c>
      <c r="C569" s="1" t="n">
        <v>46064</v>
      </c>
      <c r="D569" t="inlineStr">
        <is>
          <t>SKÅNE LÄN</t>
        </is>
      </c>
      <c r="E569" t="inlineStr">
        <is>
          <t>HÄSSLEHOLM</t>
        </is>
      </c>
      <c r="G569" t="n">
        <v>6.9</v>
      </c>
      <c r="H569" t="n">
        <v>0</v>
      </c>
      <c r="I569" t="n">
        <v>0</v>
      </c>
      <c r="J569" t="n">
        <v>0</v>
      </c>
      <c r="K569" t="n">
        <v>0</v>
      </c>
      <c r="L569" t="n">
        <v>0</v>
      </c>
      <c r="M569" t="n">
        <v>0</v>
      </c>
      <c r="N569" t="n">
        <v>0</v>
      </c>
      <c r="O569" t="n">
        <v>0</v>
      </c>
      <c r="P569" t="n">
        <v>0</v>
      </c>
      <c r="Q569" t="n">
        <v>0</v>
      </c>
      <c r="R569" s="2" t="inlineStr"/>
    </row>
    <row r="570" ht="15" customHeight="1">
      <c r="A570" t="inlineStr">
        <is>
          <t>A 28095-2025</t>
        </is>
      </c>
      <c r="B570" s="1" t="n">
        <v>45817</v>
      </c>
      <c r="C570" s="1" t="n">
        <v>46064</v>
      </c>
      <c r="D570" t="inlineStr">
        <is>
          <t>SKÅNE LÄN</t>
        </is>
      </c>
      <c r="E570" t="inlineStr">
        <is>
          <t>HÄSSLEHOLM</t>
        </is>
      </c>
      <c r="G570" t="n">
        <v>2.5</v>
      </c>
      <c r="H570" t="n">
        <v>0</v>
      </c>
      <c r="I570" t="n">
        <v>0</v>
      </c>
      <c r="J570" t="n">
        <v>0</v>
      </c>
      <c r="K570" t="n">
        <v>0</v>
      </c>
      <c r="L570" t="n">
        <v>0</v>
      </c>
      <c r="M570" t="n">
        <v>0</v>
      </c>
      <c r="N570" t="n">
        <v>0</v>
      </c>
      <c r="O570" t="n">
        <v>0</v>
      </c>
      <c r="P570" t="n">
        <v>0</v>
      </c>
      <c r="Q570" t="n">
        <v>0</v>
      </c>
      <c r="R570" s="2" t="inlineStr"/>
    </row>
    <row r="571" ht="15" customHeight="1">
      <c r="A571" t="inlineStr">
        <is>
          <t>A 7306-2025</t>
        </is>
      </c>
      <c r="B571" s="1" t="n">
        <v>45702</v>
      </c>
      <c r="C571" s="1" t="n">
        <v>46064</v>
      </c>
      <c r="D571" t="inlineStr">
        <is>
          <t>SKÅNE LÄN</t>
        </is>
      </c>
      <c r="E571" t="inlineStr">
        <is>
          <t>HÄSSLEHOLM</t>
        </is>
      </c>
      <c r="F571" t="inlineStr">
        <is>
          <t>Övriga Aktiebolag</t>
        </is>
      </c>
      <c r="G571" t="n">
        <v>3.3</v>
      </c>
      <c r="H571" t="n">
        <v>0</v>
      </c>
      <c r="I571" t="n">
        <v>0</v>
      </c>
      <c r="J571" t="n">
        <v>0</v>
      </c>
      <c r="K571" t="n">
        <v>0</v>
      </c>
      <c r="L571" t="n">
        <v>0</v>
      </c>
      <c r="M571" t="n">
        <v>0</v>
      </c>
      <c r="N571" t="n">
        <v>0</v>
      </c>
      <c r="O571" t="n">
        <v>0</v>
      </c>
      <c r="P571" t="n">
        <v>0</v>
      </c>
      <c r="Q571" t="n">
        <v>0</v>
      </c>
      <c r="R571" s="2" t="inlineStr"/>
    </row>
    <row r="572" ht="15" customHeight="1">
      <c r="A572" t="inlineStr">
        <is>
          <t>A 7308-2025</t>
        </is>
      </c>
      <c r="B572" s="1" t="n">
        <v>45702</v>
      </c>
      <c r="C572" s="1" t="n">
        <v>46064</v>
      </c>
      <c r="D572" t="inlineStr">
        <is>
          <t>SKÅNE LÄN</t>
        </is>
      </c>
      <c r="E572" t="inlineStr">
        <is>
          <t>HÄSSLEHOLM</t>
        </is>
      </c>
      <c r="F572" t="inlineStr">
        <is>
          <t>Övriga Aktiebolag</t>
        </is>
      </c>
      <c r="G572" t="n">
        <v>4.8</v>
      </c>
      <c r="H572" t="n">
        <v>0</v>
      </c>
      <c r="I572" t="n">
        <v>0</v>
      </c>
      <c r="J572" t="n">
        <v>0</v>
      </c>
      <c r="K572" t="n">
        <v>0</v>
      </c>
      <c r="L572" t="n">
        <v>0</v>
      </c>
      <c r="M572" t="n">
        <v>0</v>
      </c>
      <c r="N572" t="n">
        <v>0</v>
      </c>
      <c r="O572" t="n">
        <v>0</v>
      </c>
      <c r="P572" t="n">
        <v>0</v>
      </c>
      <c r="Q572" t="n">
        <v>0</v>
      </c>
      <c r="R572" s="2" t="inlineStr"/>
    </row>
    <row r="573" ht="15" customHeight="1">
      <c r="A573" t="inlineStr">
        <is>
          <t>A 58250-2024</t>
        </is>
      </c>
      <c r="B573" s="1" t="n">
        <v>45632.55643518519</v>
      </c>
      <c r="C573" s="1" t="n">
        <v>46064</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54671-2022</t>
        </is>
      </c>
      <c r="B574" s="1" t="n">
        <v>44883</v>
      </c>
      <c r="C574" s="1" t="n">
        <v>46064</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40739-2024</t>
        </is>
      </c>
      <c r="B575" s="1" t="n">
        <v>45558</v>
      </c>
      <c r="C575" s="1" t="n">
        <v>46064</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49827-2022</t>
        </is>
      </c>
      <c r="B576" s="1" t="n">
        <v>44859</v>
      </c>
      <c r="C576" s="1" t="n">
        <v>46064</v>
      </c>
      <c r="D576" t="inlineStr">
        <is>
          <t>SKÅNE LÄN</t>
        </is>
      </c>
      <c r="E576" t="inlineStr">
        <is>
          <t>HÄSSLEHOLM</t>
        </is>
      </c>
      <c r="G576" t="n">
        <v>6.1</v>
      </c>
      <c r="H576" t="n">
        <v>0</v>
      </c>
      <c r="I576" t="n">
        <v>0</v>
      </c>
      <c r="J576" t="n">
        <v>0</v>
      </c>
      <c r="K576" t="n">
        <v>0</v>
      </c>
      <c r="L576" t="n">
        <v>0</v>
      </c>
      <c r="M576" t="n">
        <v>0</v>
      </c>
      <c r="N576" t="n">
        <v>0</v>
      </c>
      <c r="O576" t="n">
        <v>0</v>
      </c>
      <c r="P576" t="n">
        <v>0</v>
      </c>
      <c r="Q576" t="n">
        <v>0</v>
      </c>
      <c r="R576" s="2" t="inlineStr"/>
    </row>
    <row r="577" ht="15" customHeight="1">
      <c r="A577" t="inlineStr">
        <is>
          <t>A 13932-2023</t>
        </is>
      </c>
      <c r="B577" s="1" t="n">
        <v>45008.43935185186</v>
      </c>
      <c r="C577" s="1" t="n">
        <v>46064</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35889-2023</t>
        </is>
      </c>
      <c r="B578" s="1" t="n">
        <v>45148</v>
      </c>
      <c r="C578" s="1" t="n">
        <v>46064</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35894-2023</t>
        </is>
      </c>
      <c r="B579" s="1" t="n">
        <v>45148</v>
      </c>
      <c r="C579" s="1" t="n">
        <v>46064</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46786-2025</t>
        </is>
      </c>
      <c r="B580" s="1" t="n">
        <v>45926.64484953704</v>
      </c>
      <c r="C580" s="1" t="n">
        <v>46064</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45299-2024</t>
        </is>
      </c>
      <c r="B581" s="1" t="n">
        <v>45576.40599537037</v>
      </c>
      <c r="C581" s="1" t="n">
        <v>46064</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25176-2024</t>
        </is>
      </c>
      <c r="B582" s="1" t="n">
        <v>45462.54582175926</v>
      </c>
      <c r="C582" s="1" t="n">
        <v>46064</v>
      </c>
      <c r="D582" t="inlineStr">
        <is>
          <t>SKÅNE LÄN</t>
        </is>
      </c>
      <c r="E582" t="inlineStr">
        <is>
          <t>HÄSSLEHOLM</t>
        </is>
      </c>
      <c r="G582" t="n">
        <v>3.8</v>
      </c>
      <c r="H582" t="n">
        <v>0</v>
      </c>
      <c r="I582" t="n">
        <v>0</v>
      </c>
      <c r="J582" t="n">
        <v>0</v>
      </c>
      <c r="K582" t="n">
        <v>0</v>
      </c>
      <c r="L582" t="n">
        <v>0</v>
      </c>
      <c r="M582" t="n">
        <v>0</v>
      </c>
      <c r="N582" t="n">
        <v>0</v>
      </c>
      <c r="O582" t="n">
        <v>0</v>
      </c>
      <c r="P582" t="n">
        <v>0</v>
      </c>
      <c r="Q582" t="n">
        <v>0</v>
      </c>
      <c r="R582" s="2" t="inlineStr"/>
    </row>
    <row r="583" ht="15" customHeight="1">
      <c r="A583" t="inlineStr">
        <is>
          <t>A 7771-2021</t>
        </is>
      </c>
      <c r="B583" s="1" t="n">
        <v>44242</v>
      </c>
      <c r="C583" s="1" t="n">
        <v>46064</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47126-2025</t>
        </is>
      </c>
      <c r="B584" s="1" t="n">
        <v>45929.685625</v>
      </c>
      <c r="C584" s="1" t="n">
        <v>46064</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47127-2025</t>
        </is>
      </c>
      <c r="B585" s="1" t="n">
        <v>45929.6893287037</v>
      </c>
      <c r="C585" s="1" t="n">
        <v>46064</v>
      </c>
      <c r="D585" t="inlineStr">
        <is>
          <t>SKÅNE LÄN</t>
        </is>
      </c>
      <c r="E585" t="inlineStr">
        <is>
          <t>HÄSSLEHOLM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29170-2025</t>
        </is>
      </c>
      <c r="B586" s="1" t="n">
        <v>45821.69766203704</v>
      </c>
      <c r="C586" s="1" t="n">
        <v>46064</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44741-2023</t>
        </is>
      </c>
      <c r="B587" s="1" t="n">
        <v>45190.38804398148</v>
      </c>
      <c r="C587" s="1" t="n">
        <v>46064</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7476-2025</t>
        </is>
      </c>
      <c r="B588" s="1" t="n">
        <v>45702</v>
      </c>
      <c r="C588" s="1" t="n">
        <v>46064</v>
      </c>
      <c r="D588" t="inlineStr">
        <is>
          <t>SKÅNE LÄN</t>
        </is>
      </c>
      <c r="E588" t="inlineStr">
        <is>
          <t>HÄSSLEHOLM</t>
        </is>
      </c>
      <c r="F588" t="inlineStr">
        <is>
          <t>Övriga Aktiebolag</t>
        </is>
      </c>
      <c r="G588" t="n">
        <v>2.1</v>
      </c>
      <c r="H588" t="n">
        <v>0</v>
      </c>
      <c r="I588" t="n">
        <v>0</v>
      </c>
      <c r="J588" t="n">
        <v>0</v>
      </c>
      <c r="K588" t="n">
        <v>0</v>
      </c>
      <c r="L588" t="n">
        <v>0</v>
      </c>
      <c r="M588" t="n">
        <v>0</v>
      </c>
      <c r="N588" t="n">
        <v>0</v>
      </c>
      <c r="O588" t="n">
        <v>0</v>
      </c>
      <c r="P588" t="n">
        <v>0</v>
      </c>
      <c r="Q588" t="n">
        <v>0</v>
      </c>
      <c r="R588" s="2" t="inlineStr"/>
    </row>
    <row r="589" ht="15" customHeight="1">
      <c r="A589" t="inlineStr">
        <is>
          <t>A 7513-2025</t>
        </is>
      </c>
      <c r="B589" s="1" t="n">
        <v>45702</v>
      </c>
      <c r="C589" s="1" t="n">
        <v>46064</v>
      </c>
      <c r="D589" t="inlineStr">
        <is>
          <t>SKÅNE LÄN</t>
        </is>
      </c>
      <c r="E589" t="inlineStr">
        <is>
          <t>HÄSSLEHOLM</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31161-2024</t>
        </is>
      </c>
      <c r="B590" s="1" t="n">
        <v>45503</v>
      </c>
      <c r="C590" s="1" t="n">
        <v>46064</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29171-2025</t>
        </is>
      </c>
      <c r="B591" s="1" t="n">
        <v>45821.69863425926</v>
      </c>
      <c r="C591" s="1" t="n">
        <v>46064</v>
      </c>
      <c r="D591" t="inlineStr">
        <is>
          <t>SKÅNE LÄN</t>
        </is>
      </c>
      <c r="E591" t="inlineStr">
        <is>
          <t>HÄSSLEHOLM</t>
        </is>
      </c>
      <c r="G591" t="n">
        <v>2.6</v>
      </c>
      <c r="H591" t="n">
        <v>0</v>
      </c>
      <c r="I591" t="n">
        <v>0</v>
      </c>
      <c r="J591" t="n">
        <v>0</v>
      </c>
      <c r="K591" t="n">
        <v>0</v>
      </c>
      <c r="L591" t="n">
        <v>0</v>
      </c>
      <c r="M591" t="n">
        <v>0</v>
      </c>
      <c r="N591" t="n">
        <v>0</v>
      </c>
      <c r="O591" t="n">
        <v>0</v>
      </c>
      <c r="P591" t="n">
        <v>0</v>
      </c>
      <c r="Q591" t="n">
        <v>0</v>
      </c>
      <c r="R591" s="2" t="inlineStr"/>
    </row>
    <row r="592" ht="15" customHeight="1">
      <c r="A592" t="inlineStr">
        <is>
          <t>A 22157-2024</t>
        </is>
      </c>
      <c r="B592" s="1" t="n">
        <v>45445.85290509259</v>
      </c>
      <c r="C592" s="1" t="n">
        <v>46064</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29168-2025</t>
        </is>
      </c>
      <c r="B593" s="1" t="n">
        <v>45821.69547453704</v>
      </c>
      <c r="C593" s="1" t="n">
        <v>46064</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13316-2023</t>
        </is>
      </c>
      <c r="B594" s="1" t="n">
        <v>45005.39013888889</v>
      </c>
      <c r="C594" s="1" t="n">
        <v>46064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13358-2023</t>
        </is>
      </c>
      <c r="B595" s="1" t="n">
        <v>45005</v>
      </c>
      <c r="C595" s="1" t="n">
        <v>46064</v>
      </c>
      <c r="D595" t="inlineStr">
        <is>
          <t>SKÅNE LÄN</t>
        </is>
      </c>
      <c r="E595" t="inlineStr">
        <is>
          <t>HÄSSLEHOLM</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44583.39136574074</v>
      </c>
      <c r="C596" s="1" t="n">
        <v>46064</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38228-2021</t>
        </is>
      </c>
      <c r="B597" s="1" t="n">
        <v>44405</v>
      </c>
      <c r="C597" s="1" t="n">
        <v>46064</v>
      </c>
      <c r="D597" t="inlineStr">
        <is>
          <t>SKÅNE LÄN</t>
        </is>
      </c>
      <c r="E597" t="inlineStr">
        <is>
          <t>HÄSSLEHOLM</t>
        </is>
      </c>
      <c r="G597" t="n">
        <v>2.8</v>
      </c>
      <c r="H597" t="n">
        <v>0</v>
      </c>
      <c r="I597" t="n">
        <v>0</v>
      </c>
      <c r="J597" t="n">
        <v>0</v>
      </c>
      <c r="K597" t="n">
        <v>0</v>
      </c>
      <c r="L597" t="n">
        <v>0</v>
      </c>
      <c r="M597" t="n">
        <v>0</v>
      </c>
      <c r="N597" t="n">
        <v>0</v>
      </c>
      <c r="O597" t="n">
        <v>0</v>
      </c>
      <c r="P597" t="n">
        <v>0</v>
      </c>
      <c r="Q597" t="n">
        <v>0</v>
      </c>
      <c r="R597" s="2" t="inlineStr"/>
    </row>
    <row r="598" ht="15" customHeight="1">
      <c r="A598" t="inlineStr">
        <is>
          <t>A 3248-2022</t>
        </is>
      </c>
      <c r="B598" s="1" t="n">
        <v>44583</v>
      </c>
      <c r="C598" s="1" t="n">
        <v>46064</v>
      </c>
      <c r="D598" t="inlineStr">
        <is>
          <t>SKÅNE LÄN</t>
        </is>
      </c>
      <c r="E598" t="inlineStr">
        <is>
          <t>HÄSSLEHOLM</t>
        </is>
      </c>
      <c r="G598" t="n">
        <v>3</v>
      </c>
      <c r="H598" t="n">
        <v>0</v>
      </c>
      <c r="I598" t="n">
        <v>0</v>
      </c>
      <c r="J598" t="n">
        <v>0</v>
      </c>
      <c r="K598" t="n">
        <v>0</v>
      </c>
      <c r="L598" t="n">
        <v>0</v>
      </c>
      <c r="M598" t="n">
        <v>0</v>
      </c>
      <c r="N598" t="n">
        <v>0</v>
      </c>
      <c r="O598" t="n">
        <v>0</v>
      </c>
      <c r="P598" t="n">
        <v>0</v>
      </c>
      <c r="Q598" t="n">
        <v>0</v>
      </c>
      <c r="R598" s="2" t="inlineStr"/>
    </row>
    <row r="599" ht="15" customHeight="1">
      <c r="A599" t="inlineStr">
        <is>
          <t>A 25538-2024</t>
        </is>
      </c>
      <c r="B599" s="1" t="n">
        <v>45463</v>
      </c>
      <c r="C599" s="1" t="n">
        <v>46064</v>
      </c>
      <c r="D599" t="inlineStr">
        <is>
          <t>SKÅNE LÄN</t>
        </is>
      </c>
      <c r="E599" t="inlineStr">
        <is>
          <t>HÄSSLEHOLM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46761-2025</t>
        </is>
      </c>
      <c r="B600" s="1" t="n">
        <v>45926.62289351852</v>
      </c>
      <c r="C600" s="1" t="n">
        <v>46064</v>
      </c>
      <c r="D600" t="inlineStr">
        <is>
          <t>SKÅNE LÄN</t>
        </is>
      </c>
      <c r="E600" t="inlineStr">
        <is>
          <t>HÄSSLEHOLM</t>
        </is>
      </c>
      <c r="G600" t="n">
        <v>1.6</v>
      </c>
      <c r="H600" t="n">
        <v>0</v>
      </c>
      <c r="I600" t="n">
        <v>0</v>
      </c>
      <c r="J600" t="n">
        <v>0</v>
      </c>
      <c r="K600" t="n">
        <v>0</v>
      </c>
      <c r="L600" t="n">
        <v>0</v>
      </c>
      <c r="M600" t="n">
        <v>0</v>
      </c>
      <c r="N600" t="n">
        <v>0</v>
      </c>
      <c r="O600" t="n">
        <v>0</v>
      </c>
      <c r="P600" t="n">
        <v>0</v>
      </c>
      <c r="Q600" t="n">
        <v>0</v>
      </c>
      <c r="R600" s="2" t="inlineStr"/>
    </row>
    <row r="601" ht="15" customHeight="1">
      <c r="A601" t="inlineStr">
        <is>
          <t>A 36733-2023</t>
        </is>
      </c>
      <c r="B601" s="1" t="n">
        <v>45153.69989583334</v>
      </c>
      <c r="C601" s="1" t="n">
        <v>46064</v>
      </c>
      <c r="D601" t="inlineStr">
        <is>
          <t>SKÅNE LÄN</t>
        </is>
      </c>
      <c r="E601" t="inlineStr">
        <is>
          <t>HÄSSLEHOLM</t>
        </is>
      </c>
      <c r="G601" t="n">
        <v>4.8</v>
      </c>
      <c r="H601" t="n">
        <v>0</v>
      </c>
      <c r="I601" t="n">
        <v>0</v>
      </c>
      <c r="J601" t="n">
        <v>0</v>
      </c>
      <c r="K601" t="n">
        <v>0</v>
      </c>
      <c r="L601" t="n">
        <v>0</v>
      </c>
      <c r="M601" t="n">
        <v>0</v>
      </c>
      <c r="N601" t="n">
        <v>0</v>
      </c>
      <c r="O601" t="n">
        <v>0</v>
      </c>
      <c r="P601" t="n">
        <v>0</v>
      </c>
      <c r="Q601" t="n">
        <v>0</v>
      </c>
      <c r="R601" s="2" t="inlineStr"/>
    </row>
    <row r="602" ht="15" customHeight="1">
      <c r="A602" t="inlineStr">
        <is>
          <t>A 46855-2025</t>
        </is>
      </c>
      <c r="B602" s="1" t="n">
        <v>45928.88497685185</v>
      </c>
      <c r="C602" s="1" t="n">
        <v>46064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46605-2025</t>
        </is>
      </c>
      <c r="B603" s="1" t="n">
        <v>45926.41214120371</v>
      </c>
      <c r="C603" s="1" t="n">
        <v>46064</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60509-2023</t>
        </is>
      </c>
      <c r="B604" s="1" t="n">
        <v>45259</v>
      </c>
      <c r="C604" s="1" t="n">
        <v>46064</v>
      </c>
      <c r="D604" t="inlineStr">
        <is>
          <t>SKÅNE LÄN</t>
        </is>
      </c>
      <c r="E604" t="inlineStr">
        <is>
          <t>HÄSSLEHOLM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1562-2023</t>
        </is>
      </c>
      <c r="B605" s="1" t="n">
        <v>44937.60450231482</v>
      </c>
      <c r="C605" s="1" t="n">
        <v>46064</v>
      </c>
      <c r="D605" t="inlineStr">
        <is>
          <t>SKÅNE LÄN</t>
        </is>
      </c>
      <c r="E605" t="inlineStr">
        <is>
          <t>HÄSSLEHOLM</t>
        </is>
      </c>
      <c r="G605" t="n">
        <v>2.7</v>
      </c>
      <c r="H605" t="n">
        <v>0</v>
      </c>
      <c r="I605" t="n">
        <v>0</v>
      </c>
      <c r="J605" t="n">
        <v>0</v>
      </c>
      <c r="K605" t="n">
        <v>0</v>
      </c>
      <c r="L605" t="n">
        <v>0</v>
      </c>
      <c r="M605" t="n">
        <v>0</v>
      </c>
      <c r="N605" t="n">
        <v>0</v>
      </c>
      <c r="O605" t="n">
        <v>0</v>
      </c>
      <c r="P605" t="n">
        <v>0</v>
      </c>
      <c r="Q605" t="n">
        <v>0</v>
      </c>
      <c r="R605" s="2" t="inlineStr"/>
    </row>
    <row r="606" ht="15" customHeight="1">
      <c r="A606" t="inlineStr">
        <is>
          <t>A 30010-2025</t>
        </is>
      </c>
      <c r="B606" s="1" t="n">
        <v>45826</v>
      </c>
      <c r="C606" s="1" t="n">
        <v>46064</v>
      </c>
      <c r="D606" t="inlineStr">
        <is>
          <t>SKÅNE LÄN</t>
        </is>
      </c>
      <c r="E606" t="inlineStr">
        <is>
          <t>HÄSSLEHOLM</t>
        </is>
      </c>
      <c r="G606" t="n">
        <v>4.5</v>
      </c>
      <c r="H606" t="n">
        <v>0</v>
      </c>
      <c r="I606" t="n">
        <v>0</v>
      </c>
      <c r="J606" t="n">
        <v>0</v>
      </c>
      <c r="K606" t="n">
        <v>0</v>
      </c>
      <c r="L606" t="n">
        <v>0</v>
      </c>
      <c r="M606" t="n">
        <v>0</v>
      </c>
      <c r="N606" t="n">
        <v>0</v>
      </c>
      <c r="O606" t="n">
        <v>0</v>
      </c>
      <c r="P606" t="n">
        <v>0</v>
      </c>
      <c r="Q606" t="n">
        <v>0</v>
      </c>
      <c r="R606" s="2" t="inlineStr"/>
    </row>
    <row r="607" ht="15" customHeight="1">
      <c r="A607" t="inlineStr">
        <is>
          <t>A 45220-2023</t>
        </is>
      </c>
      <c r="B607" s="1" t="n">
        <v>45191</v>
      </c>
      <c r="C607" s="1" t="n">
        <v>46064</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32967-2023</t>
        </is>
      </c>
      <c r="B608" s="1" t="n">
        <v>45125</v>
      </c>
      <c r="C608" s="1" t="n">
        <v>46064</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32968-2023</t>
        </is>
      </c>
      <c r="B609" s="1" t="n">
        <v>45125</v>
      </c>
      <c r="C609" s="1" t="n">
        <v>46064</v>
      </c>
      <c r="D609" t="inlineStr">
        <is>
          <t>SKÅNE LÄN</t>
        </is>
      </c>
      <c r="E609" t="inlineStr">
        <is>
          <t>HÄSSLEHOLM</t>
        </is>
      </c>
      <c r="G609" t="n">
        <v>1.7</v>
      </c>
      <c r="H609" t="n">
        <v>0</v>
      </c>
      <c r="I609" t="n">
        <v>0</v>
      </c>
      <c r="J609" t="n">
        <v>0</v>
      </c>
      <c r="K609" t="n">
        <v>0</v>
      </c>
      <c r="L609" t="n">
        <v>0</v>
      </c>
      <c r="M609" t="n">
        <v>0</v>
      </c>
      <c r="N609" t="n">
        <v>0</v>
      </c>
      <c r="O609" t="n">
        <v>0</v>
      </c>
      <c r="P609" t="n">
        <v>0</v>
      </c>
      <c r="Q609" t="n">
        <v>0</v>
      </c>
      <c r="R609" s="2" t="inlineStr"/>
    </row>
    <row r="610" ht="15" customHeight="1">
      <c r="A610" t="inlineStr">
        <is>
          <t>A 10277-2023</t>
        </is>
      </c>
      <c r="B610" s="1" t="n">
        <v>44986</v>
      </c>
      <c r="C610" s="1" t="n">
        <v>46064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10290-2023</t>
        </is>
      </c>
      <c r="B611" s="1" t="n">
        <v>44986</v>
      </c>
      <c r="C611" s="1" t="n">
        <v>46064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35237-2023</t>
        </is>
      </c>
      <c r="B612" s="1" t="n">
        <v>45145.74532407407</v>
      </c>
      <c r="C612" s="1" t="n">
        <v>46064</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31159-2025</t>
        </is>
      </c>
      <c r="B613" s="1" t="n">
        <v>45832.65322916667</v>
      </c>
      <c r="C613" s="1" t="n">
        <v>46064</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57967-2023</t>
        </is>
      </c>
      <c r="B614" s="1" t="n">
        <v>45247.57984953704</v>
      </c>
      <c r="C614" s="1" t="n">
        <v>46064</v>
      </c>
      <c r="D614" t="inlineStr">
        <is>
          <t>SKÅNE LÄN</t>
        </is>
      </c>
      <c r="E614" t="inlineStr">
        <is>
          <t>HÄSSLEHOLM</t>
        </is>
      </c>
      <c r="G614" t="n">
        <v>8.6</v>
      </c>
      <c r="H614" t="n">
        <v>0</v>
      </c>
      <c r="I614" t="n">
        <v>0</v>
      </c>
      <c r="J614" t="n">
        <v>0</v>
      </c>
      <c r="K614" t="n">
        <v>0</v>
      </c>
      <c r="L614" t="n">
        <v>0</v>
      </c>
      <c r="M614" t="n">
        <v>0</v>
      </c>
      <c r="N614" t="n">
        <v>0</v>
      </c>
      <c r="O614" t="n">
        <v>0</v>
      </c>
      <c r="P614" t="n">
        <v>0</v>
      </c>
      <c r="Q614" t="n">
        <v>0</v>
      </c>
      <c r="R614" s="2" t="inlineStr"/>
    </row>
    <row r="615" ht="15" customHeight="1">
      <c r="A615" t="inlineStr">
        <is>
          <t>A 25726-2025</t>
        </is>
      </c>
      <c r="B615" s="1" t="n">
        <v>45803</v>
      </c>
      <c r="C615" s="1" t="n">
        <v>46064</v>
      </c>
      <c r="D615" t="inlineStr">
        <is>
          <t>SKÅNE LÄN</t>
        </is>
      </c>
      <c r="E615" t="inlineStr">
        <is>
          <t>HÄSSLEHOLM</t>
        </is>
      </c>
      <c r="G615" t="n">
        <v>5.5</v>
      </c>
      <c r="H615" t="n">
        <v>0</v>
      </c>
      <c r="I615" t="n">
        <v>0</v>
      </c>
      <c r="J615" t="n">
        <v>0</v>
      </c>
      <c r="K615" t="n">
        <v>0</v>
      </c>
      <c r="L615" t="n">
        <v>0</v>
      </c>
      <c r="M615" t="n">
        <v>0</v>
      </c>
      <c r="N615" t="n">
        <v>0</v>
      </c>
      <c r="O615" t="n">
        <v>0</v>
      </c>
      <c r="P615" t="n">
        <v>0</v>
      </c>
      <c r="Q615" t="n">
        <v>0</v>
      </c>
      <c r="R615" s="2" t="inlineStr"/>
    </row>
    <row r="616" ht="15" customHeight="1">
      <c r="A616" t="inlineStr">
        <is>
          <t>A 62041-2022</t>
        </is>
      </c>
      <c r="B616" s="1" t="n">
        <v>44918.55743055556</v>
      </c>
      <c r="C616" s="1" t="n">
        <v>46064</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12468-2024</t>
        </is>
      </c>
      <c r="B617" s="1" t="n">
        <v>45379</v>
      </c>
      <c r="C617" s="1" t="n">
        <v>46064</v>
      </c>
      <c r="D617" t="inlineStr">
        <is>
          <t>SKÅNE LÄN</t>
        </is>
      </c>
      <c r="E617" t="inlineStr">
        <is>
          <t>HÄSSLEHOLM</t>
        </is>
      </c>
      <c r="G617" t="n">
        <v>15.5</v>
      </c>
      <c r="H617" t="n">
        <v>0</v>
      </c>
      <c r="I617" t="n">
        <v>0</v>
      </c>
      <c r="J617" t="n">
        <v>0</v>
      </c>
      <c r="K617" t="n">
        <v>0</v>
      </c>
      <c r="L617" t="n">
        <v>0</v>
      </c>
      <c r="M617" t="n">
        <v>0</v>
      </c>
      <c r="N617" t="n">
        <v>0</v>
      </c>
      <c r="O617" t="n">
        <v>0</v>
      </c>
      <c r="P617" t="n">
        <v>0</v>
      </c>
      <c r="Q617" t="n">
        <v>0</v>
      </c>
      <c r="R617" s="2" t="inlineStr"/>
    </row>
    <row r="618" ht="15" customHeight="1">
      <c r="A618" t="inlineStr">
        <is>
          <t>A 47259-2025</t>
        </is>
      </c>
      <c r="B618" s="1" t="n">
        <v>45930</v>
      </c>
      <c r="C618" s="1" t="n">
        <v>46064</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47473-2025</t>
        </is>
      </c>
      <c r="B619" s="1" t="n">
        <v>45930.67763888889</v>
      </c>
      <c r="C619" s="1" t="n">
        <v>46064</v>
      </c>
      <c r="D619" t="inlineStr">
        <is>
          <t>SKÅNE LÄN</t>
        </is>
      </c>
      <c r="E619" t="inlineStr">
        <is>
          <t>HÄSSLEHOLM</t>
        </is>
      </c>
      <c r="G619" t="n">
        <v>4.7</v>
      </c>
      <c r="H619" t="n">
        <v>0</v>
      </c>
      <c r="I619" t="n">
        <v>0</v>
      </c>
      <c r="J619" t="n">
        <v>0</v>
      </c>
      <c r="K619" t="n">
        <v>0</v>
      </c>
      <c r="L619" t="n">
        <v>0</v>
      </c>
      <c r="M619" t="n">
        <v>0</v>
      </c>
      <c r="N619" t="n">
        <v>0</v>
      </c>
      <c r="O619" t="n">
        <v>0</v>
      </c>
      <c r="P619" t="n">
        <v>0</v>
      </c>
      <c r="Q619" t="n">
        <v>0</v>
      </c>
      <c r="R619" s="2" t="inlineStr"/>
    </row>
    <row r="620" ht="15" customHeight="1">
      <c r="A620" t="inlineStr">
        <is>
          <t>A 47466-2025</t>
        </is>
      </c>
      <c r="B620" s="1" t="n">
        <v>45930.66677083333</v>
      </c>
      <c r="C620" s="1" t="n">
        <v>46064</v>
      </c>
      <c r="D620" t="inlineStr">
        <is>
          <t>SKÅNE LÄN</t>
        </is>
      </c>
      <c r="E620" t="inlineStr">
        <is>
          <t>HÄSSLEHOLM</t>
        </is>
      </c>
      <c r="G620" t="n">
        <v>1.8</v>
      </c>
      <c r="H620" t="n">
        <v>0</v>
      </c>
      <c r="I620" t="n">
        <v>0</v>
      </c>
      <c r="J620" t="n">
        <v>0</v>
      </c>
      <c r="K620" t="n">
        <v>0</v>
      </c>
      <c r="L620" t="n">
        <v>0</v>
      </c>
      <c r="M620" t="n">
        <v>0</v>
      </c>
      <c r="N620" t="n">
        <v>0</v>
      </c>
      <c r="O620" t="n">
        <v>0</v>
      </c>
      <c r="P620" t="n">
        <v>0</v>
      </c>
      <c r="Q620" t="n">
        <v>0</v>
      </c>
      <c r="R620" s="2" t="inlineStr"/>
    </row>
    <row r="621" ht="15" customHeight="1">
      <c r="A621" t="inlineStr">
        <is>
          <t>A 1553-2023</t>
        </is>
      </c>
      <c r="B621" s="1" t="n">
        <v>44937</v>
      </c>
      <c r="C621" s="1" t="n">
        <v>46064</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22690-2022</t>
        </is>
      </c>
      <c r="B622" s="1" t="n">
        <v>44714.5421875</v>
      </c>
      <c r="C622" s="1" t="n">
        <v>46064</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53897-2023</t>
        </is>
      </c>
      <c r="B623" s="1" t="n">
        <v>45231.53934027778</v>
      </c>
      <c r="C623" s="1" t="n">
        <v>46064</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1170-2025</t>
        </is>
      </c>
      <c r="B624" s="1" t="n">
        <v>45667.29226851852</v>
      </c>
      <c r="C624" s="1" t="n">
        <v>46064</v>
      </c>
      <c r="D624" t="inlineStr">
        <is>
          <t>SKÅNE LÄN</t>
        </is>
      </c>
      <c r="E624" t="inlineStr">
        <is>
          <t>HÄSSLEHOLM</t>
        </is>
      </c>
      <c r="G624" t="n">
        <v>4.3</v>
      </c>
      <c r="H624" t="n">
        <v>0</v>
      </c>
      <c r="I624" t="n">
        <v>0</v>
      </c>
      <c r="J624" t="n">
        <v>0</v>
      </c>
      <c r="K624" t="n">
        <v>0</v>
      </c>
      <c r="L624" t="n">
        <v>0</v>
      </c>
      <c r="M624" t="n">
        <v>0</v>
      </c>
      <c r="N624" t="n">
        <v>0</v>
      </c>
      <c r="O624" t="n">
        <v>0</v>
      </c>
      <c r="P624" t="n">
        <v>0</v>
      </c>
      <c r="Q624" t="n">
        <v>0</v>
      </c>
      <c r="R624" s="2" t="inlineStr"/>
    </row>
    <row r="625" ht="15" customHeight="1">
      <c r="A625" t="inlineStr">
        <is>
          <t>A 22132-2024</t>
        </is>
      </c>
      <c r="B625" s="1" t="n">
        <v>45444.37234953704</v>
      </c>
      <c r="C625" s="1" t="n">
        <v>46064</v>
      </c>
      <c r="D625" t="inlineStr">
        <is>
          <t>SKÅNE LÄN</t>
        </is>
      </c>
      <c r="E625" t="inlineStr">
        <is>
          <t>HÄSSLEHOLM</t>
        </is>
      </c>
      <c r="G625" t="n">
        <v>3.1</v>
      </c>
      <c r="H625" t="n">
        <v>0</v>
      </c>
      <c r="I625" t="n">
        <v>0</v>
      </c>
      <c r="J625" t="n">
        <v>0</v>
      </c>
      <c r="K625" t="n">
        <v>0</v>
      </c>
      <c r="L625" t="n">
        <v>0</v>
      </c>
      <c r="M625" t="n">
        <v>0</v>
      </c>
      <c r="N625" t="n">
        <v>0</v>
      </c>
      <c r="O625" t="n">
        <v>0</v>
      </c>
      <c r="P625" t="n">
        <v>0</v>
      </c>
      <c r="Q625" t="n">
        <v>0</v>
      </c>
      <c r="R625" s="2" t="inlineStr"/>
    </row>
    <row r="626" ht="15" customHeight="1">
      <c r="A626" t="inlineStr">
        <is>
          <t>A 48184-2025</t>
        </is>
      </c>
      <c r="B626" s="1" t="n">
        <v>45933.46131944445</v>
      </c>
      <c r="C626" s="1" t="n">
        <v>46064</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48185-2025</t>
        </is>
      </c>
      <c r="B627" s="1" t="n">
        <v>45933.46434027778</v>
      </c>
      <c r="C627" s="1" t="n">
        <v>46064</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32210-2024</t>
        </is>
      </c>
      <c r="B628" s="1" t="n">
        <v>45511.67777777778</v>
      </c>
      <c r="C628" s="1" t="n">
        <v>46064</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2743-2023</t>
        </is>
      </c>
      <c r="B629" s="1" t="n">
        <v>44944</v>
      </c>
      <c r="C629" s="1" t="n">
        <v>46064</v>
      </c>
      <c r="D629" t="inlineStr">
        <is>
          <t>SKÅNE LÄN</t>
        </is>
      </c>
      <c r="E629" t="inlineStr">
        <is>
          <t>HÄSSLEHOLM</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8749-2024</t>
        </is>
      </c>
      <c r="B630" s="1" t="n">
        <v>45356.50387731481</v>
      </c>
      <c r="C630" s="1" t="n">
        <v>46064</v>
      </c>
      <c r="D630" t="inlineStr">
        <is>
          <t>SKÅNE LÄN</t>
        </is>
      </c>
      <c r="E630" t="inlineStr">
        <is>
          <t>HÄSSLEHOLM</t>
        </is>
      </c>
      <c r="G630" t="n">
        <v>2.9</v>
      </c>
      <c r="H630" t="n">
        <v>0</v>
      </c>
      <c r="I630" t="n">
        <v>0</v>
      </c>
      <c r="J630" t="n">
        <v>0</v>
      </c>
      <c r="K630" t="n">
        <v>0</v>
      </c>
      <c r="L630" t="n">
        <v>0</v>
      </c>
      <c r="M630" t="n">
        <v>0</v>
      </c>
      <c r="N630" t="n">
        <v>0</v>
      </c>
      <c r="O630" t="n">
        <v>0</v>
      </c>
      <c r="P630" t="n">
        <v>0</v>
      </c>
      <c r="Q630" t="n">
        <v>0</v>
      </c>
      <c r="R630" s="2" t="inlineStr"/>
    </row>
    <row r="631" ht="15" customHeight="1">
      <c r="A631" t="inlineStr">
        <is>
          <t>A 8752-2024</t>
        </is>
      </c>
      <c r="B631" s="1" t="n">
        <v>45356</v>
      </c>
      <c r="C631" s="1" t="n">
        <v>46064</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8759-2024</t>
        </is>
      </c>
      <c r="B632" s="1" t="n">
        <v>45356.52271990741</v>
      </c>
      <c r="C632" s="1" t="n">
        <v>46064</v>
      </c>
      <c r="D632" t="inlineStr">
        <is>
          <t>SKÅNE LÄN</t>
        </is>
      </c>
      <c r="E632" t="inlineStr">
        <is>
          <t>HÄSSLEHOLM</t>
        </is>
      </c>
      <c r="G632" t="n">
        <v>5.7</v>
      </c>
      <c r="H632" t="n">
        <v>0</v>
      </c>
      <c r="I632" t="n">
        <v>0</v>
      </c>
      <c r="J632" t="n">
        <v>0</v>
      </c>
      <c r="K632" t="n">
        <v>0</v>
      </c>
      <c r="L632" t="n">
        <v>0</v>
      </c>
      <c r="M632" t="n">
        <v>0</v>
      </c>
      <c r="N632" t="n">
        <v>0</v>
      </c>
      <c r="O632" t="n">
        <v>0</v>
      </c>
      <c r="P632" t="n">
        <v>0</v>
      </c>
      <c r="Q632" t="n">
        <v>0</v>
      </c>
      <c r="R632" s="2" t="inlineStr"/>
    </row>
    <row r="633" ht="15" customHeight="1">
      <c r="A633" t="inlineStr">
        <is>
          <t>A 48624-2021</t>
        </is>
      </c>
      <c r="B633" s="1" t="n">
        <v>44452</v>
      </c>
      <c r="C633" s="1" t="n">
        <v>46064</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29649-2025</t>
        </is>
      </c>
      <c r="B634" s="1" t="n">
        <v>45825.47446759259</v>
      </c>
      <c r="C634" s="1" t="n">
        <v>46064</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59434-2023</t>
        </is>
      </c>
      <c r="B635" s="1" t="n">
        <v>45254.30440972222</v>
      </c>
      <c r="C635" s="1" t="n">
        <v>46064</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2290-2024</t>
        </is>
      </c>
      <c r="B636" s="1" t="n">
        <v>45310</v>
      </c>
      <c r="C636" s="1" t="n">
        <v>46064</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33067-2024</t>
        </is>
      </c>
      <c r="B637" s="1" t="n">
        <v>45517.6520949074</v>
      </c>
      <c r="C637" s="1" t="n">
        <v>46064</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32585-2025</t>
        </is>
      </c>
      <c r="B638" s="1" t="n">
        <v>45838.60021990741</v>
      </c>
      <c r="C638" s="1" t="n">
        <v>46064</v>
      </c>
      <c r="D638" t="inlineStr">
        <is>
          <t>SKÅNE LÄN</t>
        </is>
      </c>
      <c r="E638" t="inlineStr">
        <is>
          <t>HÄSSLEHOLM</t>
        </is>
      </c>
      <c r="G638" t="n">
        <v>2.1</v>
      </c>
      <c r="H638" t="n">
        <v>0</v>
      </c>
      <c r="I638" t="n">
        <v>0</v>
      </c>
      <c r="J638" t="n">
        <v>0</v>
      </c>
      <c r="K638" t="n">
        <v>0</v>
      </c>
      <c r="L638" t="n">
        <v>0</v>
      </c>
      <c r="M638" t="n">
        <v>0</v>
      </c>
      <c r="N638" t="n">
        <v>0</v>
      </c>
      <c r="O638" t="n">
        <v>0</v>
      </c>
      <c r="P638" t="n">
        <v>0</v>
      </c>
      <c r="Q638" t="n">
        <v>0</v>
      </c>
      <c r="R638" s="2" t="inlineStr"/>
    </row>
    <row r="639" ht="15" customHeight="1">
      <c r="A639" t="inlineStr">
        <is>
          <t>A 32592-2025</t>
        </is>
      </c>
      <c r="B639" s="1" t="n">
        <v>45838.61020833333</v>
      </c>
      <c r="C639" s="1" t="n">
        <v>46064</v>
      </c>
      <c r="D639" t="inlineStr">
        <is>
          <t>SKÅNE LÄN</t>
        </is>
      </c>
      <c r="E639" t="inlineStr">
        <is>
          <t>HÄSSLEHOLM</t>
        </is>
      </c>
      <c r="G639" t="n">
        <v>2.1</v>
      </c>
      <c r="H639" t="n">
        <v>0</v>
      </c>
      <c r="I639" t="n">
        <v>0</v>
      </c>
      <c r="J639" t="n">
        <v>0</v>
      </c>
      <c r="K639" t="n">
        <v>0</v>
      </c>
      <c r="L639" t="n">
        <v>0</v>
      </c>
      <c r="M639" t="n">
        <v>0</v>
      </c>
      <c r="N639" t="n">
        <v>0</v>
      </c>
      <c r="O639" t="n">
        <v>0</v>
      </c>
      <c r="P639" t="n">
        <v>0</v>
      </c>
      <c r="Q639" t="n">
        <v>0</v>
      </c>
      <c r="R639" s="2" t="inlineStr"/>
    </row>
    <row r="640" ht="15" customHeight="1">
      <c r="A640" t="inlineStr">
        <is>
          <t>A 28236-2022</t>
        </is>
      </c>
      <c r="B640" s="1" t="n">
        <v>44746</v>
      </c>
      <c r="C640" s="1" t="n">
        <v>46064</v>
      </c>
      <c r="D640" t="inlineStr">
        <is>
          <t>SKÅNE LÄN</t>
        </is>
      </c>
      <c r="E640" t="inlineStr">
        <is>
          <t>HÄSSLEHOLM</t>
        </is>
      </c>
      <c r="G640" t="n">
        <v>3.5</v>
      </c>
      <c r="H640" t="n">
        <v>0</v>
      </c>
      <c r="I640" t="n">
        <v>0</v>
      </c>
      <c r="J640" t="n">
        <v>0</v>
      </c>
      <c r="K640" t="n">
        <v>0</v>
      </c>
      <c r="L640" t="n">
        <v>0</v>
      </c>
      <c r="M640" t="n">
        <v>0</v>
      </c>
      <c r="N640" t="n">
        <v>0</v>
      </c>
      <c r="O640" t="n">
        <v>0</v>
      </c>
      <c r="P640" t="n">
        <v>0</v>
      </c>
      <c r="Q640" t="n">
        <v>0</v>
      </c>
      <c r="R640" s="2" t="inlineStr"/>
    </row>
    <row r="641" ht="15" customHeight="1">
      <c r="A641" t="inlineStr">
        <is>
          <t>A 61625-2022</t>
        </is>
      </c>
      <c r="B641" s="1" t="n">
        <v>44916</v>
      </c>
      <c r="C641" s="1" t="n">
        <v>46064</v>
      </c>
      <c r="D641" t="inlineStr">
        <is>
          <t>SKÅNE LÄN</t>
        </is>
      </c>
      <c r="E641" t="inlineStr">
        <is>
          <t>HÄSSLEHOLM</t>
        </is>
      </c>
      <c r="G641" t="n">
        <v>2.4</v>
      </c>
      <c r="H641" t="n">
        <v>0</v>
      </c>
      <c r="I641" t="n">
        <v>0</v>
      </c>
      <c r="J641" t="n">
        <v>0</v>
      </c>
      <c r="K641" t="n">
        <v>0</v>
      </c>
      <c r="L641" t="n">
        <v>0</v>
      </c>
      <c r="M641" t="n">
        <v>0</v>
      </c>
      <c r="N641" t="n">
        <v>0</v>
      </c>
      <c r="O641" t="n">
        <v>0</v>
      </c>
      <c r="P641" t="n">
        <v>0</v>
      </c>
      <c r="Q641" t="n">
        <v>0</v>
      </c>
      <c r="R641" s="2" t="inlineStr"/>
    </row>
    <row r="642" ht="15" customHeight="1">
      <c r="A642" t="inlineStr">
        <is>
          <t>A 38829-2024</t>
        </is>
      </c>
      <c r="B642" s="1" t="n">
        <v>45547.57247685185</v>
      </c>
      <c r="C642" s="1" t="n">
        <v>46064</v>
      </c>
      <c r="D642" t="inlineStr">
        <is>
          <t>SKÅNE LÄN</t>
        </is>
      </c>
      <c r="E642" t="inlineStr">
        <is>
          <t>HÄSSLEHOLM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33562-2025</t>
        </is>
      </c>
      <c r="B643" s="1" t="n">
        <v>45841.57803240741</v>
      </c>
      <c r="C643" s="1" t="n">
        <v>46064</v>
      </c>
      <c r="D643" t="inlineStr">
        <is>
          <t>SKÅNE LÄN</t>
        </is>
      </c>
      <c r="E643" t="inlineStr">
        <is>
          <t>HÄSSLEHOLM</t>
        </is>
      </c>
      <c r="G643" t="n">
        <v>2.8</v>
      </c>
      <c r="H643" t="n">
        <v>0</v>
      </c>
      <c r="I643" t="n">
        <v>0</v>
      </c>
      <c r="J643" t="n">
        <v>0</v>
      </c>
      <c r="K643" t="n">
        <v>0</v>
      </c>
      <c r="L643" t="n">
        <v>0</v>
      </c>
      <c r="M643" t="n">
        <v>0</v>
      </c>
      <c r="N643" t="n">
        <v>0</v>
      </c>
      <c r="O643" t="n">
        <v>0</v>
      </c>
      <c r="P643" t="n">
        <v>0</v>
      </c>
      <c r="Q643" t="n">
        <v>0</v>
      </c>
      <c r="R643" s="2" t="inlineStr"/>
    </row>
    <row r="644" ht="15" customHeight="1">
      <c r="A644" t="inlineStr">
        <is>
          <t>A 48722-2025</t>
        </is>
      </c>
      <c r="B644" s="1" t="n">
        <v>45935</v>
      </c>
      <c r="C644" s="1" t="n">
        <v>46064</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13890-2024</t>
        </is>
      </c>
      <c r="B645" s="1" t="n">
        <v>45391</v>
      </c>
      <c r="C645" s="1" t="n">
        <v>46064</v>
      </c>
      <c r="D645" t="inlineStr">
        <is>
          <t>SKÅNE LÄN</t>
        </is>
      </c>
      <c r="E645" t="inlineStr">
        <is>
          <t>HÄSSLEHOLM</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55218-2023</t>
        </is>
      </c>
      <c r="B646" s="1" t="n">
        <v>45237</v>
      </c>
      <c r="C646" s="1" t="n">
        <v>46064</v>
      </c>
      <c r="D646" t="inlineStr">
        <is>
          <t>SKÅNE LÄN</t>
        </is>
      </c>
      <c r="E646" t="inlineStr">
        <is>
          <t>HÄSSLEHOLM</t>
        </is>
      </c>
      <c r="G646" t="n">
        <v>2</v>
      </c>
      <c r="H646" t="n">
        <v>0</v>
      </c>
      <c r="I646" t="n">
        <v>0</v>
      </c>
      <c r="J646" t="n">
        <v>0</v>
      </c>
      <c r="K646" t="n">
        <v>0</v>
      </c>
      <c r="L646" t="n">
        <v>0</v>
      </c>
      <c r="M646" t="n">
        <v>0</v>
      </c>
      <c r="N646" t="n">
        <v>0</v>
      </c>
      <c r="O646" t="n">
        <v>0</v>
      </c>
      <c r="P646" t="n">
        <v>0</v>
      </c>
      <c r="Q646" t="n">
        <v>0</v>
      </c>
      <c r="R646" s="2" t="inlineStr"/>
    </row>
    <row r="647" ht="15" customHeight="1">
      <c r="A647" t="inlineStr">
        <is>
          <t>A 46288-2023</t>
        </is>
      </c>
      <c r="B647" s="1" t="n">
        <v>45197.30221064815</v>
      </c>
      <c r="C647" s="1" t="n">
        <v>46064</v>
      </c>
      <c r="D647" t="inlineStr">
        <is>
          <t>SKÅNE LÄN</t>
        </is>
      </c>
      <c r="E647" t="inlineStr">
        <is>
          <t>HÄSSLEHOLM</t>
        </is>
      </c>
      <c r="G647" t="n">
        <v>3</v>
      </c>
      <c r="H647" t="n">
        <v>0</v>
      </c>
      <c r="I647" t="n">
        <v>0</v>
      </c>
      <c r="J647" t="n">
        <v>0</v>
      </c>
      <c r="K647" t="n">
        <v>0</v>
      </c>
      <c r="L647" t="n">
        <v>0</v>
      </c>
      <c r="M647" t="n">
        <v>0</v>
      </c>
      <c r="N647" t="n">
        <v>0</v>
      </c>
      <c r="O647" t="n">
        <v>0</v>
      </c>
      <c r="P647" t="n">
        <v>0</v>
      </c>
      <c r="Q647" t="n">
        <v>0</v>
      </c>
      <c r="R647" s="2" t="inlineStr"/>
    </row>
    <row r="648" ht="15" customHeight="1">
      <c r="A648" t="inlineStr">
        <is>
          <t>A 49106-2023</t>
        </is>
      </c>
      <c r="B648" s="1" t="n">
        <v>45210</v>
      </c>
      <c r="C648" s="1" t="n">
        <v>46064</v>
      </c>
      <c r="D648" t="inlineStr">
        <is>
          <t>SKÅNE LÄN</t>
        </is>
      </c>
      <c r="E648" t="inlineStr">
        <is>
          <t>HÄSSLEHOLM</t>
        </is>
      </c>
      <c r="G648" t="n">
        <v>0.3</v>
      </c>
      <c r="H648" t="n">
        <v>0</v>
      </c>
      <c r="I648" t="n">
        <v>0</v>
      </c>
      <c r="J648" t="n">
        <v>0</v>
      </c>
      <c r="K648" t="n">
        <v>0</v>
      </c>
      <c r="L648" t="n">
        <v>0</v>
      </c>
      <c r="M648" t="n">
        <v>0</v>
      </c>
      <c r="N648" t="n">
        <v>0</v>
      </c>
      <c r="O648" t="n">
        <v>0</v>
      </c>
      <c r="P648" t="n">
        <v>0</v>
      </c>
      <c r="Q648" t="n">
        <v>0</v>
      </c>
      <c r="R648" s="2" t="inlineStr"/>
    </row>
    <row r="649" ht="15" customHeight="1">
      <c r="A649" t="inlineStr">
        <is>
          <t>A 10409-2024</t>
        </is>
      </c>
      <c r="B649" s="1" t="n">
        <v>45365.6978125</v>
      </c>
      <c r="C649" s="1" t="n">
        <v>46064</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47248-2023</t>
        </is>
      </c>
      <c r="B650" s="1" t="n">
        <v>45202</v>
      </c>
      <c r="C650" s="1" t="n">
        <v>46064</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20990-2023</t>
        </is>
      </c>
      <c r="B651" s="1" t="n">
        <v>45061.46186342592</v>
      </c>
      <c r="C651" s="1" t="n">
        <v>46064</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49135-2025</t>
        </is>
      </c>
      <c r="B652" s="1" t="n">
        <v>45938.00990740741</v>
      </c>
      <c r="C652" s="1" t="n">
        <v>46064</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49136-2025</t>
        </is>
      </c>
      <c r="B653" s="1" t="n">
        <v>45938.01277777777</v>
      </c>
      <c r="C653" s="1" t="n">
        <v>46064</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49137-2025</t>
        </is>
      </c>
      <c r="B654" s="1" t="n">
        <v>45938.05672453704</v>
      </c>
      <c r="C654" s="1" t="n">
        <v>46064</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54171-2022</t>
        </is>
      </c>
      <c r="B655" s="1" t="n">
        <v>44881</v>
      </c>
      <c r="C655" s="1" t="n">
        <v>46064</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33875-2025</t>
        </is>
      </c>
      <c r="B656" s="1" t="n">
        <v>45842.55300925926</v>
      </c>
      <c r="C656" s="1" t="n">
        <v>46064</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57277-2023</t>
        </is>
      </c>
      <c r="B657" s="1" t="n">
        <v>45245.59104166667</v>
      </c>
      <c r="C657" s="1" t="n">
        <v>46064</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33877-2025</t>
        </is>
      </c>
      <c r="B658" s="1" t="n">
        <v>45842.55564814815</v>
      </c>
      <c r="C658" s="1" t="n">
        <v>46064</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33879-2025</t>
        </is>
      </c>
      <c r="B659" s="1" t="n">
        <v>45842.55766203703</v>
      </c>
      <c r="C659" s="1" t="n">
        <v>46064</v>
      </c>
      <c r="D659" t="inlineStr">
        <is>
          <t>SKÅNE LÄN</t>
        </is>
      </c>
      <c r="E659" t="inlineStr">
        <is>
          <t>HÄSSLEHOLM</t>
        </is>
      </c>
      <c r="G659" t="n">
        <v>6.1</v>
      </c>
      <c r="H659" t="n">
        <v>0</v>
      </c>
      <c r="I659" t="n">
        <v>0</v>
      </c>
      <c r="J659" t="n">
        <v>0</v>
      </c>
      <c r="K659" t="n">
        <v>0</v>
      </c>
      <c r="L659" t="n">
        <v>0</v>
      </c>
      <c r="M659" t="n">
        <v>0</v>
      </c>
      <c r="N659" t="n">
        <v>0</v>
      </c>
      <c r="O659" t="n">
        <v>0</v>
      </c>
      <c r="P659" t="n">
        <v>0</v>
      </c>
      <c r="Q659" t="n">
        <v>0</v>
      </c>
      <c r="R659" s="2" t="inlineStr"/>
    </row>
    <row r="660" ht="15" customHeight="1">
      <c r="A660" t="inlineStr">
        <is>
          <t>A 33948-2025</t>
        </is>
      </c>
      <c r="B660" s="1" t="n">
        <v>45842.65945601852</v>
      </c>
      <c r="C660" s="1" t="n">
        <v>46064</v>
      </c>
      <c r="D660" t="inlineStr">
        <is>
          <t>SKÅNE LÄN</t>
        </is>
      </c>
      <c r="E660" t="inlineStr">
        <is>
          <t>HÄSSLEHOLM</t>
        </is>
      </c>
      <c r="G660" t="n">
        <v>8.5</v>
      </c>
      <c r="H660" t="n">
        <v>0</v>
      </c>
      <c r="I660" t="n">
        <v>0</v>
      </c>
      <c r="J660" t="n">
        <v>0</v>
      </c>
      <c r="K660" t="n">
        <v>0</v>
      </c>
      <c r="L660" t="n">
        <v>0</v>
      </c>
      <c r="M660" t="n">
        <v>0</v>
      </c>
      <c r="N660" t="n">
        <v>0</v>
      </c>
      <c r="O660" t="n">
        <v>0</v>
      </c>
      <c r="P660" t="n">
        <v>0</v>
      </c>
      <c r="Q660" t="n">
        <v>0</v>
      </c>
      <c r="R660" s="2" t="inlineStr"/>
    </row>
    <row r="661" ht="15" customHeight="1">
      <c r="A661" t="inlineStr">
        <is>
          <t>A 22678-2025</t>
        </is>
      </c>
      <c r="B661" s="1" t="n">
        <v>45789.49725694444</v>
      </c>
      <c r="C661" s="1" t="n">
        <v>46064</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32958-2023</t>
        </is>
      </c>
      <c r="B662" s="1" t="n">
        <v>45125.52142361111</v>
      </c>
      <c r="C662" s="1" t="n">
        <v>46064</v>
      </c>
      <c r="D662" t="inlineStr">
        <is>
          <t>SKÅNE LÄN</t>
        </is>
      </c>
      <c r="E662" t="inlineStr">
        <is>
          <t>HÄSSLEHOLM</t>
        </is>
      </c>
      <c r="G662" t="n">
        <v>7.9</v>
      </c>
      <c r="H662" t="n">
        <v>0</v>
      </c>
      <c r="I662" t="n">
        <v>0</v>
      </c>
      <c r="J662" t="n">
        <v>0</v>
      </c>
      <c r="K662" t="n">
        <v>0</v>
      </c>
      <c r="L662" t="n">
        <v>0</v>
      </c>
      <c r="M662" t="n">
        <v>0</v>
      </c>
      <c r="N662" t="n">
        <v>0</v>
      </c>
      <c r="O662" t="n">
        <v>0</v>
      </c>
      <c r="P662" t="n">
        <v>0</v>
      </c>
      <c r="Q662" t="n">
        <v>0</v>
      </c>
      <c r="R662" s="2" t="inlineStr"/>
    </row>
    <row r="663" ht="15" customHeight="1">
      <c r="A663" t="inlineStr">
        <is>
          <t>A 34174-2025</t>
        </is>
      </c>
      <c r="B663" s="1" t="n">
        <v>45844</v>
      </c>
      <c r="C663" s="1" t="n">
        <v>46064</v>
      </c>
      <c r="D663" t="inlineStr">
        <is>
          <t>SKÅNE LÄN</t>
        </is>
      </c>
      <c r="E663" t="inlineStr">
        <is>
          <t>HÄSSLEHOLM</t>
        </is>
      </c>
      <c r="G663" t="n">
        <v>4.7</v>
      </c>
      <c r="H663" t="n">
        <v>0</v>
      </c>
      <c r="I663" t="n">
        <v>0</v>
      </c>
      <c r="J663" t="n">
        <v>0</v>
      </c>
      <c r="K663" t="n">
        <v>0</v>
      </c>
      <c r="L663" t="n">
        <v>0</v>
      </c>
      <c r="M663" t="n">
        <v>0</v>
      </c>
      <c r="N663" t="n">
        <v>0</v>
      </c>
      <c r="O663" t="n">
        <v>0</v>
      </c>
      <c r="P663" t="n">
        <v>0</v>
      </c>
      <c r="Q663" t="n">
        <v>0</v>
      </c>
      <c r="R663" s="2" t="inlineStr"/>
    </row>
    <row r="664" ht="15" customHeight="1">
      <c r="A664" t="inlineStr">
        <is>
          <t>A 34177-2025</t>
        </is>
      </c>
      <c r="B664" s="1" t="n">
        <v>45844</v>
      </c>
      <c r="C664" s="1" t="n">
        <v>46064</v>
      </c>
      <c r="D664" t="inlineStr">
        <is>
          <t>SKÅNE LÄN</t>
        </is>
      </c>
      <c r="E664" t="inlineStr">
        <is>
          <t>HÄSSLEHOLM</t>
        </is>
      </c>
      <c r="G664" t="n">
        <v>3</v>
      </c>
      <c r="H664" t="n">
        <v>0</v>
      </c>
      <c r="I664" t="n">
        <v>0</v>
      </c>
      <c r="J664" t="n">
        <v>0</v>
      </c>
      <c r="K664" t="n">
        <v>0</v>
      </c>
      <c r="L664" t="n">
        <v>0</v>
      </c>
      <c r="M664" t="n">
        <v>0</v>
      </c>
      <c r="N664" t="n">
        <v>0</v>
      </c>
      <c r="O664" t="n">
        <v>0</v>
      </c>
      <c r="P664" t="n">
        <v>0</v>
      </c>
      <c r="Q664" t="n">
        <v>0</v>
      </c>
      <c r="R664" s="2" t="inlineStr"/>
    </row>
    <row r="665" ht="15" customHeight="1">
      <c r="A665" t="inlineStr">
        <is>
          <t>A 33950-2025</t>
        </is>
      </c>
      <c r="B665" s="1" t="n">
        <v>45842</v>
      </c>
      <c r="C665" s="1" t="n">
        <v>46064</v>
      </c>
      <c r="D665" t="inlineStr">
        <is>
          <t>SKÅNE LÄN</t>
        </is>
      </c>
      <c r="E665" t="inlineStr">
        <is>
          <t>HÄSSLEHOLM</t>
        </is>
      </c>
      <c r="G665" t="n">
        <v>5.7</v>
      </c>
      <c r="H665" t="n">
        <v>0</v>
      </c>
      <c r="I665" t="n">
        <v>0</v>
      </c>
      <c r="J665" t="n">
        <v>0</v>
      </c>
      <c r="K665" t="n">
        <v>0</v>
      </c>
      <c r="L665" t="n">
        <v>0</v>
      </c>
      <c r="M665" t="n">
        <v>0</v>
      </c>
      <c r="N665" t="n">
        <v>0</v>
      </c>
      <c r="O665" t="n">
        <v>0</v>
      </c>
      <c r="P665" t="n">
        <v>0</v>
      </c>
      <c r="Q665" t="n">
        <v>0</v>
      </c>
      <c r="R665" s="2" t="inlineStr"/>
    </row>
    <row r="666" ht="15" customHeight="1">
      <c r="A666" t="inlineStr">
        <is>
          <t>A 35150-2023</t>
        </is>
      </c>
      <c r="B666" s="1" t="n">
        <v>45145</v>
      </c>
      <c r="C666" s="1" t="n">
        <v>46064</v>
      </c>
      <c r="D666" t="inlineStr">
        <is>
          <t>SKÅNE LÄN</t>
        </is>
      </c>
      <c r="E666" t="inlineStr">
        <is>
          <t>HÄSSLEHOLM</t>
        </is>
      </c>
      <c r="G666" t="n">
        <v>4.9</v>
      </c>
      <c r="H666" t="n">
        <v>0</v>
      </c>
      <c r="I666" t="n">
        <v>0</v>
      </c>
      <c r="J666" t="n">
        <v>0</v>
      </c>
      <c r="K666" t="n">
        <v>0</v>
      </c>
      <c r="L666" t="n">
        <v>0</v>
      </c>
      <c r="M666" t="n">
        <v>0</v>
      </c>
      <c r="N666" t="n">
        <v>0</v>
      </c>
      <c r="O666" t="n">
        <v>0</v>
      </c>
      <c r="P666" t="n">
        <v>0</v>
      </c>
      <c r="Q666" t="n">
        <v>0</v>
      </c>
      <c r="R666" s="2" t="inlineStr"/>
    </row>
    <row r="667" ht="15" customHeight="1">
      <c r="A667" t="inlineStr">
        <is>
          <t>A 34869-2025</t>
        </is>
      </c>
      <c r="B667" s="1" t="n">
        <v>45849</v>
      </c>
      <c r="C667" s="1" t="n">
        <v>46064</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18041-2023</t>
        </is>
      </c>
      <c r="B668" s="1" t="n">
        <v>45040</v>
      </c>
      <c r="C668" s="1" t="n">
        <v>46064</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49250-2022</t>
        </is>
      </c>
      <c r="B669" s="1" t="n">
        <v>44858</v>
      </c>
      <c r="C669" s="1" t="n">
        <v>46064</v>
      </c>
      <c r="D669" t="inlineStr">
        <is>
          <t>SKÅNE LÄN</t>
        </is>
      </c>
      <c r="E669" t="inlineStr">
        <is>
          <t>HÄSSLEHOLM</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27197-2021</t>
        </is>
      </c>
      <c r="B670" s="1" t="n">
        <v>44350</v>
      </c>
      <c r="C670" s="1" t="n">
        <v>46064</v>
      </c>
      <c r="D670" t="inlineStr">
        <is>
          <t>SKÅNE LÄN</t>
        </is>
      </c>
      <c r="E670" t="inlineStr">
        <is>
          <t>HÄSSLEHOLM</t>
        </is>
      </c>
      <c r="G670" t="n">
        <v>1.8</v>
      </c>
      <c r="H670" t="n">
        <v>0</v>
      </c>
      <c r="I670" t="n">
        <v>0</v>
      </c>
      <c r="J670" t="n">
        <v>0</v>
      </c>
      <c r="K670" t="n">
        <v>0</v>
      </c>
      <c r="L670" t="n">
        <v>0</v>
      </c>
      <c r="M670" t="n">
        <v>0</v>
      </c>
      <c r="N670" t="n">
        <v>0</v>
      </c>
      <c r="O670" t="n">
        <v>0</v>
      </c>
      <c r="P670" t="n">
        <v>0</v>
      </c>
      <c r="Q670" t="n">
        <v>0</v>
      </c>
      <c r="R670" s="2" t="inlineStr"/>
    </row>
    <row r="671" ht="15" customHeight="1">
      <c r="A671" t="inlineStr">
        <is>
          <t>A 45222-2023</t>
        </is>
      </c>
      <c r="B671" s="1" t="n">
        <v>45191</v>
      </c>
      <c r="C671" s="1" t="n">
        <v>46064</v>
      </c>
      <c r="D671" t="inlineStr">
        <is>
          <t>SKÅNE LÄN</t>
        </is>
      </c>
      <c r="E671" t="inlineStr">
        <is>
          <t>HÄSSLEHOLM</t>
        </is>
      </c>
      <c r="G671" t="n">
        <v>1.5</v>
      </c>
      <c r="H671" t="n">
        <v>0</v>
      </c>
      <c r="I671" t="n">
        <v>0</v>
      </c>
      <c r="J671" t="n">
        <v>0</v>
      </c>
      <c r="K671" t="n">
        <v>0</v>
      </c>
      <c r="L671" t="n">
        <v>0</v>
      </c>
      <c r="M671" t="n">
        <v>0</v>
      </c>
      <c r="N671" t="n">
        <v>0</v>
      </c>
      <c r="O671" t="n">
        <v>0</v>
      </c>
      <c r="P671" t="n">
        <v>0</v>
      </c>
      <c r="Q671" t="n">
        <v>0</v>
      </c>
      <c r="R671" s="2" t="inlineStr"/>
    </row>
    <row r="672" ht="15" customHeight="1">
      <c r="A672" t="inlineStr">
        <is>
          <t>A 35890-2023</t>
        </is>
      </c>
      <c r="B672" s="1" t="n">
        <v>45148</v>
      </c>
      <c r="C672" s="1" t="n">
        <v>46064</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35895-2023</t>
        </is>
      </c>
      <c r="B673" s="1" t="n">
        <v>45148</v>
      </c>
      <c r="C673" s="1" t="n">
        <v>46064</v>
      </c>
      <c r="D673" t="inlineStr">
        <is>
          <t>SKÅNE LÄN</t>
        </is>
      </c>
      <c r="E673" t="inlineStr">
        <is>
          <t>HÄSSLEHOLM</t>
        </is>
      </c>
      <c r="G673" t="n">
        <v>0.4</v>
      </c>
      <c r="H673" t="n">
        <v>0</v>
      </c>
      <c r="I673" t="n">
        <v>0</v>
      </c>
      <c r="J673" t="n">
        <v>0</v>
      </c>
      <c r="K673" t="n">
        <v>0</v>
      </c>
      <c r="L673" t="n">
        <v>0</v>
      </c>
      <c r="M673" t="n">
        <v>0</v>
      </c>
      <c r="N673" t="n">
        <v>0</v>
      </c>
      <c r="O673" t="n">
        <v>0</v>
      </c>
      <c r="P673" t="n">
        <v>0</v>
      </c>
      <c r="Q673" t="n">
        <v>0</v>
      </c>
      <c r="R673" s="2" t="inlineStr"/>
    </row>
    <row r="674" ht="15" customHeight="1">
      <c r="A674" t="inlineStr">
        <is>
          <t>A 61569-2023</t>
        </is>
      </c>
      <c r="B674" s="1" t="n">
        <v>45265</v>
      </c>
      <c r="C674" s="1" t="n">
        <v>46064</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52235-2021</t>
        </is>
      </c>
      <c r="B675" s="1" t="n">
        <v>44463.60085648148</v>
      </c>
      <c r="C675" s="1" t="n">
        <v>46064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20970-2025</t>
        </is>
      </c>
      <c r="B676" s="1" t="n">
        <v>45777.45417824074</v>
      </c>
      <c r="C676" s="1" t="n">
        <v>46064</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35259-2025</t>
        </is>
      </c>
      <c r="B677" s="1" t="n">
        <v>45853.76912037037</v>
      </c>
      <c r="C677" s="1" t="n">
        <v>46064</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54471-2023</t>
        </is>
      </c>
      <c r="B678" s="1" t="n">
        <v>45233.4640162037</v>
      </c>
      <c r="C678" s="1" t="n">
        <v>46064</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17413-2025</t>
        </is>
      </c>
      <c r="B679" s="1" t="n">
        <v>45757.37480324074</v>
      </c>
      <c r="C679" s="1" t="n">
        <v>46064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50607-2023</t>
        </is>
      </c>
      <c r="B680" s="1" t="n">
        <v>45210</v>
      </c>
      <c r="C680" s="1" t="n">
        <v>46064</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46064</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31944-2023</t>
        </is>
      </c>
      <c r="B682" s="1" t="n">
        <v>45119.34895833334</v>
      </c>
      <c r="C682" s="1" t="n">
        <v>46064</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1706-2025</t>
        </is>
      </c>
      <c r="B683" s="1" t="n">
        <v>45670</v>
      </c>
      <c r="C683" s="1" t="n">
        <v>46064</v>
      </c>
      <c r="D683" t="inlineStr">
        <is>
          <t>SKÅNE LÄN</t>
        </is>
      </c>
      <c r="E683" t="inlineStr">
        <is>
          <t>HÄSSLEHOLM</t>
        </is>
      </c>
      <c r="G683" t="n">
        <v>5</v>
      </c>
      <c r="H683" t="n">
        <v>0</v>
      </c>
      <c r="I683" t="n">
        <v>0</v>
      </c>
      <c r="J683" t="n">
        <v>0</v>
      </c>
      <c r="K683" t="n">
        <v>0</v>
      </c>
      <c r="L683" t="n">
        <v>0</v>
      </c>
      <c r="M683" t="n">
        <v>0</v>
      </c>
      <c r="N683" t="n">
        <v>0</v>
      </c>
      <c r="O683" t="n">
        <v>0</v>
      </c>
      <c r="P683" t="n">
        <v>0</v>
      </c>
      <c r="Q683" t="n">
        <v>0</v>
      </c>
      <c r="R683" s="2" t="inlineStr"/>
    </row>
    <row r="684" ht="15" customHeight="1">
      <c r="A684" t="inlineStr">
        <is>
          <t>A 55056-2021</t>
        </is>
      </c>
      <c r="B684" s="1" t="n">
        <v>44474.62072916667</v>
      </c>
      <c r="C684" s="1" t="n">
        <v>46064</v>
      </c>
      <c r="D684" t="inlineStr">
        <is>
          <t>SKÅNE LÄN</t>
        </is>
      </c>
      <c r="E684" t="inlineStr">
        <is>
          <t>HÄSSLEHOLM</t>
        </is>
      </c>
      <c r="G684" t="n">
        <v>2.5</v>
      </c>
      <c r="H684" t="n">
        <v>0</v>
      </c>
      <c r="I684" t="n">
        <v>0</v>
      </c>
      <c r="J684" t="n">
        <v>0</v>
      </c>
      <c r="K684" t="n">
        <v>0</v>
      </c>
      <c r="L684" t="n">
        <v>0</v>
      </c>
      <c r="M684" t="n">
        <v>0</v>
      </c>
      <c r="N684" t="n">
        <v>0</v>
      </c>
      <c r="O684" t="n">
        <v>0</v>
      </c>
      <c r="P684" t="n">
        <v>0</v>
      </c>
      <c r="Q684" t="n">
        <v>0</v>
      </c>
      <c r="R684" s="2" t="inlineStr"/>
    </row>
    <row r="685" ht="15" customHeight="1">
      <c r="A685" t="inlineStr">
        <is>
          <t>A 13544-2025</t>
        </is>
      </c>
      <c r="B685" s="1" t="n">
        <v>45736</v>
      </c>
      <c r="C685" s="1" t="n">
        <v>46064</v>
      </c>
      <c r="D685" t="inlineStr">
        <is>
          <t>SKÅNE LÄN</t>
        </is>
      </c>
      <c r="E685" t="inlineStr">
        <is>
          <t>HÄSSLEHOLM</t>
        </is>
      </c>
      <c r="G685" t="n">
        <v>2.5</v>
      </c>
      <c r="H685" t="n">
        <v>0</v>
      </c>
      <c r="I685" t="n">
        <v>0</v>
      </c>
      <c r="J685" t="n">
        <v>0</v>
      </c>
      <c r="K685" t="n">
        <v>0</v>
      </c>
      <c r="L685" t="n">
        <v>0</v>
      </c>
      <c r="M685" t="n">
        <v>0</v>
      </c>
      <c r="N685" t="n">
        <v>0</v>
      </c>
      <c r="O685" t="n">
        <v>0</v>
      </c>
      <c r="P685" t="n">
        <v>0</v>
      </c>
      <c r="Q685" t="n">
        <v>0</v>
      </c>
      <c r="R685" s="2" t="inlineStr"/>
    </row>
    <row r="686" ht="15" customHeight="1">
      <c r="A686" t="inlineStr">
        <is>
          <t>A 49845-2025</t>
        </is>
      </c>
      <c r="B686" s="1" t="n">
        <v>45940.48015046296</v>
      </c>
      <c r="C686" s="1" t="n">
        <v>46064</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8755-2024</t>
        </is>
      </c>
      <c r="B687" s="1" t="n">
        <v>45356</v>
      </c>
      <c r="C687" s="1" t="n">
        <v>46064</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8760-2024</t>
        </is>
      </c>
      <c r="B688" s="1" t="n">
        <v>45356.53420138889</v>
      </c>
      <c r="C688" s="1" t="n">
        <v>46064</v>
      </c>
      <c r="D688" t="inlineStr">
        <is>
          <t>SKÅNE LÄN</t>
        </is>
      </c>
      <c r="E688" t="inlineStr">
        <is>
          <t>HÄSSLEHOLM</t>
        </is>
      </c>
      <c r="G688" t="n">
        <v>6.1</v>
      </c>
      <c r="H688" t="n">
        <v>0</v>
      </c>
      <c r="I688" t="n">
        <v>0</v>
      </c>
      <c r="J688" t="n">
        <v>0</v>
      </c>
      <c r="K688" t="n">
        <v>0</v>
      </c>
      <c r="L688" t="n">
        <v>0</v>
      </c>
      <c r="M688" t="n">
        <v>0</v>
      </c>
      <c r="N688" t="n">
        <v>0</v>
      </c>
      <c r="O688" t="n">
        <v>0</v>
      </c>
      <c r="P688" t="n">
        <v>0</v>
      </c>
      <c r="Q688" t="n">
        <v>0</v>
      </c>
      <c r="R688" s="2" t="inlineStr"/>
    </row>
    <row r="689" ht="15" customHeight="1">
      <c r="A689" t="inlineStr">
        <is>
          <t>A 36259-2025</t>
        </is>
      </c>
      <c r="B689" s="1" t="n">
        <v>45867.59799768519</v>
      </c>
      <c r="C689" s="1" t="n">
        <v>46064</v>
      </c>
      <c r="D689" t="inlineStr">
        <is>
          <t>SKÅNE LÄN</t>
        </is>
      </c>
      <c r="E689" t="inlineStr">
        <is>
          <t>HÄSSLEHOLM</t>
        </is>
      </c>
      <c r="G689" t="n">
        <v>1</v>
      </c>
      <c r="H689" t="n">
        <v>0</v>
      </c>
      <c r="I689" t="n">
        <v>0</v>
      </c>
      <c r="J689" t="n">
        <v>0</v>
      </c>
      <c r="K689" t="n">
        <v>0</v>
      </c>
      <c r="L689" t="n">
        <v>0</v>
      </c>
      <c r="M689" t="n">
        <v>0</v>
      </c>
      <c r="N689" t="n">
        <v>0</v>
      </c>
      <c r="O689" t="n">
        <v>0</v>
      </c>
      <c r="P689" t="n">
        <v>0</v>
      </c>
      <c r="Q689" t="n">
        <v>0</v>
      </c>
      <c r="R689" s="2" t="inlineStr"/>
    </row>
    <row r="690" ht="15" customHeight="1">
      <c r="A690" t="inlineStr">
        <is>
          <t>A 36130-2025</t>
        </is>
      </c>
      <c r="B690" s="1" t="n">
        <v>45866.62273148148</v>
      </c>
      <c r="C690" s="1" t="n">
        <v>46064</v>
      </c>
      <c r="D690" t="inlineStr">
        <is>
          <t>SKÅNE LÄN</t>
        </is>
      </c>
      <c r="E690" t="inlineStr">
        <is>
          <t>HÄSSLEHOLM</t>
        </is>
      </c>
      <c r="G690" t="n">
        <v>4.7</v>
      </c>
      <c r="H690" t="n">
        <v>0</v>
      </c>
      <c r="I690" t="n">
        <v>0</v>
      </c>
      <c r="J690" t="n">
        <v>0</v>
      </c>
      <c r="K690" t="n">
        <v>0</v>
      </c>
      <c r="L690" t="n">
        <v>0</v>
      </c>
      <c r="M690" t="n">
        <v>0</v>
      </c>
      <c r="N690" t="n">
        <v>0</v>
      </c>
      <c r="O690" t="n">
        <v>0</v>
      </c>
      <c r="P690" t="n">
        <v>0</v>
      </c>
      <c r="Q690" t="n">
        <v>0</v>
      </c>
      <c r="R690" s="2" t="inlineStr"/>
    </row>
    <row r="691" ht="15" customHeight="1">
      <c r="A691" t="inlineStr">
        <is>
          <t>A 33257-2024</t>
        </is>
      </c>
      <c r="B691" s="1" t="n">
        <v>45518</v>
      </c>
      <c r="C691" s="1" t="n">
        <v>46064</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19666-2025</t>
        </is>
      </c>
      <c r="B692" s="1" t="n">
        <v>45770.69326388889</v>
      </c>
      <c r="C692" s="1" t="n">
        <v>46064</v>
      </c>
      <c r="D692" t="inlineStr">
        <is>
          <t>SKÅNE LÄN</t>
        </is>
      </c>
      <c r="E692" t="inlineStr">
        <is>
          <t>HÄSSLEHOLM</t>
        </is>
      </c>
      <c r="G692" t="n">
        <v>2.4</v>
      </c>
      <c r="H692" t="n">
        <v>0</v>
      </c>
      <c r="I692" t="n">
        <v>0</v>
      </c>
      <c r="J692" t="n">
        <v>0</v>
      </c>
      <c r="K692" t="n">
        <v>0</v>
      </c>
      <c r="L692" t="n">
        <v>0</v>
      </c>
      <c r="M692" t="n">
        <v>0</v>
      </c>
      <c r="N692" t="n">
        <v>0</v>
      </c>
      <c r="O692" t="n">
        <v>0</v>
      </c>
      <c r="P692" t="n">
        <v>0</v>
      </c>
      <c r="Q692" t="n">
        <v>0</v>
      </c>
      <c r="R692" s="2" t="inlineStr"/>
    </row>
    <row r="693" ht="15" customHeight="1">
      <c r="A693" t="inlineStr">
        <is>
          <t>A 36359-2025</t>
        </is>
      </c>
      <c r="B693" s="1" t="n">
        <v>45867</v>
      </c>
      <c r="C693" s="1" t="n">
        <v>46064</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36361-2025</t>
        </is>
      </c>
      <c r="B694" s="1" t="n">
        <v>45867</v>
      </c>
      <c r="C694" s="1" t="n">
        <v>46064</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36085-2025</t>
        </is>
      </c>
      <c r="B695" s="1" t="n">
        <v>45866.46190972222</v>
      </c>
      <c r="C695" s="1" t="n">
        <v>46064</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1886-2025</t>
        </is>
      </c>
      <c r="B696" s="1" t="n">
        <v>45671</v>
      </c>
      <c r="C696" s="1" t="n">
        <v>46064</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15536-2025</t>
        </is>
      </c>
      <c r="B697" s="1" t="n">
        <v>45747</v>
      </c>
      <c r="C697" s="1" t="n">
        <v>46064</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36358-2025</t>
        </is>
      </c>
      <c r="B698" s="1" t="n">
        <v>45867</v>
      </c>
      <c r="C698" s="1" t="n">
        <v>46064</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24904-2025</t>
        </is>
      </c>
      <c r="B699" s="1" t="n">
        <v>45799</v>
      </c>
      <c r="C699" s="1" t="n">
        <v>46064</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24865-2024</t>
        </is>
      </c>
      <c r="B700" s="1" t="n">
        <v>45461.48974537037</v>
      </c>
      <c r="C700" s="1" t="n">
        <v>46064</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58272-2024</t>
        </is>
      </c>
      <c r="B701" s="1" t="n">
        <v>45632.57025462963</v>
      </c>
      <c r="C701" s="1" t="n">
        <v>46064</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18580-2023</t>
        </is>
      </c>
      <c r="B702" s="1" t="n">
        <v>45043.37037037037</v>
      </c>
      <c r="C702" s="1" t="n">
        <v>46064</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9611-2025</t>
        </is>
      </c>
      <c r="B703" s="1" t="n">
        <v>45715</v>
      </c>
      <c r="C703" s="1" t="n">
        <v>46064</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24906-2022</t>
        </is>
      </c>
      <c r="B704" s="1" t="n">
        <v>44728</v>
      </c>
      <c r="C704" s="1" t="n">
        <v>46064</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3890-2024</t>
        </is>
      </c>
      <c r="B705" s="1" t="n">
        <v>45322.45366898148</v>
      </c>
      <c r="C705" s="1" t="n">
        <v>46064</v>
      </c>
      <c r="D705" t="inlineStr">
        <is>
          <t>SKÅNE LÄN</t>
        </is>
      </c>
      <c r="E705" t="inlineStr">
        <is>
          <t>HÄSSLEHOLM</t>
        </is>
      </c>
      <c r="G705" t="n">
        <v>3</v>
      </c>
      <c r="H705" t="n">
        <v>0</v>
      </c>
      <c r="I705" t="n">
        <v>0</v>
      </c>
      <c r="J705" t="n">
        <v>0</v>
      </c>
      <c r="K705" t="n">
        <v>0</v>
      </c>
      <c r="L705" t="n">
        <v>0</v>
      </c>
      <c r="M705" t="n">
        <v>0</v>
      </c>
      <c r="N705" t="n">
        <v>0</v>
      </c>
      <c r="O705" t="n">
        <v>0</v>
      </c>
      <c r="P705" t="n">
        <v>0</v>
      </c>
      <c r="Q705" t="n">
        <v>0</v>
      </c>
      <c r="R705" s="2" t="inlineStr"/>
    </row>
    <row r="706" ht="15" customHeight="1">
      <c r="A706" t="inlineStr">
        <is>
          <t>A 15800-2025</t>
        </is>
      </c>
      <c r="B706" s="1" t="n">
        <v>45748.64831018518</v>
      </c>
      <c r="C706" s="1" t="n">
        <v>46064</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49824-2024</t>
        </is>
      </c>
      <c r="B707" s="1" t="n">
        <v>45597</v>
      </c>
      <c r="C707" s="1" t="n">
        <v>46064</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50676-2025</t>
        </is>
      </c>
      <c r="B708" s="1" t="n">
        <v>45945</v>
      </c>
      <c r="C708" s="1" t="n">
        <v>46064</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50678-2025</t>
        </is>
      </c>
      <c r="B709" s="1" t="n">
        <v>45945</v>
      </c>
      <c r="C709" s="1" t="n">
        <v>46064</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13897-2024</t>
        </is>
      </c>
      <c r="B710" s="1" t="n">
        <v>45391</v>
      </c>
      <c r="C710" s="1" t="n">
        <v>46064</v>
      </c>
      <c r="D710" t="inlineStr">
        <is>
          <t>SKÅNE LÄN</t>
        </is>
      </c>
      <c r="E710" t="inlineStr">
        <is>
          <t>HÄSSLEHOLM</t>
        </is>
      </c>
      <c r="F710" t="inlineStr">
        <is>
          <t>Kommuner</t>
        </is>
      </c>
      <c r="G710" t="n">
        <v>4</v>
      </c>
      <c r="H710" t="n">
        <v>0</v>
      </c>
      <c r="I710" t="n">
        <v>0</v>
      </c>
      <c r="J710" t="n">
        <v>0</v>
      </c>
      <c r="K710" t="n">
        <v>0</v>
      </c>
      <c r="L710" t="n">
        <v>0</v>
      </c>
      <c r="M710" t="n">
        <v>0</v>
      </c>
      <c r="N710" t="n">
        <v>0</v>
      </c>
      <c r="O710" t="n">
        <v>0</v>
      </c>
      <c r="P710" t="n">
        <v>0</v>
      </c>
      <c r="Q710" t="n">
        <v>0</v>
      </c>
      <c r="R710" s="2" t="inlineStr"/>
    </row>
    <row r="711" ht="15" customHeight="1">
      <c r="A711" t="inlineStr">
        <is>
          <t>A 50677-2025</t>
        </is>
      </c>
      <c r="B711" s="1" t="n">
        <v>45945</v>
      </c>
      <c r="C711" s="1" t="n">
        <v>46064</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56355-2023</t>
        </is>
      </c>
      <c r="B712" s="1" t="n">
        <v>45243.3702662037</v>
      </c>
      <c r="C712" s="1" t="n">
        <v>46064</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8209-2025</t>
        </is>
      </c>
      <c r="B713" s="1" t="n">
        <v>45708.44244212963</v>
      </c>
      <c r="C713" s="1" t="n">
        <v>46064</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50834-2025</t>
        </is>
      </c>
      <c r="B714" s="1" t="n">
        <v>45946.55746527778</v>
      </c>
      <c r="C714" s="1" t="n">
        <v>46064</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51024-2025</t>
        </is>
      </c>
      <c r="B715" s="1" t="n">
        <v>45947.395</v>
      </c>
      <c r="C715" s="1" t="n">
        <v>46064</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59246-2024</t>
        </is>
      </c>
      <c r="B716" s="1" t="n">
        <v>45636</v>
      </c>
      <c r="C716" s="1" t="n">
        <v>46064</v>
      </c>
      <c r="D716" t="inlineStr">
        <is>
          <t>SKÅNE LÄN</t>
        </is>
      </c>
      <c r="E716" t="inlineStr">
        <is>
          <t>HÄSSLEHOLM</t>
        </is>
      </c>
      <c r="G716" t="n">
        <v>2.6</v>
      </c>
      <c r="H716" t="n">
        <v>0</v>
      </c>
      <c r="I716" t="n">
        <v>0</v>
      </c>
      <c r="J716" t="n">
        <v>0</v>
      </c>
      <c r="K716" t="n">
        <v>0</v>
      </c>
      <c r="L716" t="n">
        <v>0</v>
      </c>
      <c r="M716" t="n">
        <v>0</v>
      </c>
      <c r="N716" t="n">
        <v>0</v>
      </c>
      <c r="O716" t="n">
        <v>0</v>
      </c>
      <c r="P716" t="n">
        <v>0</v>
      </c>
      <c r="Q716" t="n">
        <v>0</v>
      </c>
      <c r="R716" s="2" t="inlineStr"/>
    </row>
    <row r="717" ht="15" customHeight="1">
      <c r="A717" t="inlineStr">
        <is>
          <t>A 20800-2023</t>
        </is>
      </c>
      <c r="B717" s="1" t="n">
        <v>45058.61640046296</v>
      </c>
      <c r="C717" s="1" t="n">
        <v>46064</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11019-2025</t>
        </is>
      </c>
      <c r="B718" s="1" t="n">
        <v>45723</v>
      </c>
      <c r="C718" s="1" t="n">
        <v>46064</v>
      </c>
      <c r="D718" t="inlineStr">
        <is>
          <t>SKÅNE LÄN</t>
        </is>
      </c>
      <c r="E718" t="inlineStr">
        <is>
          <t>HÄSSLEHOLM</t>
        </is>
      </c>
      <c r="G718" t="n">
        <v>3.2</v>
      </c>
      <c r="H718" t="n">
        <v>0</v>
      </c>
      <c r="I718" t="n">
        <v>0</v>
      </c>
      <c r="J718" t="n">
        <v>0</v>
      </c>
      <c r="K718" t="n">
        <v>0</v>
      </c>
      <c r="L718" t="n">
        <v>0</v>
      </c>
      <c r="M718" t="n">
        <v>0</v>
      </c>
      <c r="N718" t="n">
        <v>0</v>
      </c>
      <c r="O718" t="n">
        <v>0</v>
      </c>
      <c r="P718" t="n">
        <v>0</v>
      </c>
      <c r="Q718" t="n">
        <v>0</v>
      </c>
      <c r="R718" s="2" t="inlineStr"/>
    </row>
    <row r="719" ht="15" customHeight="1">
      <c r="A719" t="inlineStr">
        <is>
          <t>A 36938-2025</t>
        </is>
      </c>
      <c r="B719" s="1" t="n">
        <v>45874.58476851852</v>
      </c>
      <c r="C719" s="1" t="n">
        <v>46064</v>
      </c>
      <c r="D719" t="inlineStr">
        <is>
          <t>SKÅNE LÄN</t>
        </is>
      </c>
      <c r="E719" t="inlineStr">
        <is>
          <t>HÄSSLEHOLM</t>
        </is>
      </c>
      <c r="G719" t="n">
        <v>3.7</v>
      </c>
      <c r="H719" t="n">
        <v>0</v>
      </c>
      <c r="I719" t="n">
        <v>0</v>
      </c>
      <c r="J719" t="n">
        <v>0</v>
      </c>
      <c r="K719" t="n">
        <v>0</v>
      </c>
      <c r="L719" t="n">
        <v>0</v>
      </c>
      <c r="M719" t="n">
        <v>0</v>
      </c>
      <c r="N719" t="n">
        <v>0</v>
      </c>
      <c r="O719" t="n">
        <v>0</v>
      </c>
      <c r="P719" t="n">
        <v>0</v>
      </c>
      <c r="Q719" t="n">
        <v>0</v>
      </c>
      <c r="R719" s="2" t="inlineStr"/>
    </row>
    <row r="720" ht="15" customHeight="1">
      <c r="A720" t="inlineStr">
        <is>
          <t>A 11681-2023</t>
        </is>
      </c>
      <c r="B720" s="1" t="n">
        <v>44992</v>
      </c>
      <c r="C720" s="1" t="n">
        <v>46064</v>
      </c>
      <c r="D720" t="inlineStr">
        <is>
          <t>SKÅNE LÄN</t>
        </is>
      </c>
      <c r="E720" t="inlineStr">
        <is>
          <t>HÄSSLEHOLM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33927-2021</t>
        </is>
      </c>
      <c r="B721" s="1" t="n">
        <v>44378</v>
      </c>
      <c r="C721" s="1" t="n">
        <v>46064</v>
      </c>
      <c r="D721" t="inlineStr">
        <is>
          <t>SKÅNE LÄN</t>
        </is>
      </c>
      <c r="E721" t="inlineStr">
        <is>
          <t>HÄSSLEHOLM</t>
        </is>
      </c>
      <c r="G721" t="n">
        <v>16.7</v>
      </c>
      <c r="H721" t="n">
        <v>0</v>
      </c>
      <c r="I721" t="n">
        <v>0</v>
      </c>
      <c r="J721" t="n">
        <v>0</v>
      </c>
      <c r="K721" t="n">
        <v>0</v>
      </c>
      <c r="L721" t="n">
        <v>0</v>
      </c>
      <c r="M721" t="n">
        <v>0</v>
      </c>
      <c r="N721" t="n">
        <v>0</v>
      </c>
      <c r="O721" t="n">
        <v>0</v>
      </c>
      <c r="P721" t="n">
        <v>0</v>
      </c>
      <c r="Q721" t="n">
        <v>0</v>
      </c>
      <c r="R721" s="2" t="inlineStr"/>
    </row>
    <row r="722" ht="15" customHeight="1">
      <c r="A722" t="inlineStr">
        <is>
          <t>A 7305-2025</t>
        </is>
      </c>
      <c r="B722" s="1" t="n">
        <v>45702</v>
      </c>
      <c r="C722" s="1" t="n">
        <v>46064</v>
      </c>
      <c r="D722" t="inlineStr">
        <is>
          <t>SKÅNE LÄN</t>
        </is>
      </c>
      <c r="E722" t="inlineStr">
        <is>
          <t>HÄSSLEHOLM</t>
        </is>
      </c>
      <c r="F722" t="inlineStr">
        <is>
          <t>Övriga Aktiebolag</t>
        </is>
      </c>
      <c r="G722" t="n">
        <v>2.2</v>
      </c>
      <c r="H722" t="n">
        <v>0</v>
      </c>
      <c r="I722" t="n">
        <v>0</v>
      </c>
      <c r="J722" t="n">
        <v>0</v>
      </c>
      <c r="K722" t="n">
        <v>0</v>
      </c>
      <c r="L722" t="n">
        <v>0</v>
      </c>
      <c r="M722" t="n">
        <v>0</v>
      </c>
      <c r="N722" t="n">
        <v>0</v>
      </c>
      <c r="O722" t="n">
        <v>0</v>
      </c>
      <c r="P722" t="n">
        <v>0</v>
      </c>
      <c r="Q722" t="n">
        <v>0</v>
      </c>
      <c r="R722" s="2" t="inlineStr"/>
    </row>
    <row r="723" ht="15" customHeight="1">
      <c r="A723" t="inlineStr">
        <is>
          <t>A 5116-2023</t>
        </is>
      </c>
      <c r="B723" s="1" t="n">
        <v>44958.67546296296</v>
      </c>
      <c r="C723" s="1" t="n">
        <v>46064</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50839-2025</t>
        </is>
      </c>
      <c r="B724" s="1" t="n">
        <v>45946</v>
      </c>
      <c r="C724" s="1" t="n">
        <v>46064</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42364-2023</t>
        </is>
      </c>
      <c r="B725" s="1" t="n">
        <v>45180.54754629629</v>
      </c>
      <c r="C725" s="1" t="n">
        <v>46064</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50829-2025</t>
        </is>
      </c>
      <c r="B726" s="1" t="n">
        <v>45946.55309027778</v>
      </c>
      <c r="C726" s="1" t="n">
        <v>46064</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37286-2025</t>
        </is>
      </c>
      <c r="B727" s="1" t="n">
        <v>45876.50116898148</v>
      </c>
      <c r="C727" s="1" t="n">
        <v>46064</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54408-2024</t>
        </is>
      </c>
      <c r="B728" s="1" t="n">
        <v>45617.47263888889</v>
      </c>
      <c r="C728" s="1" t="n">
        <v>46064</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37271-2025</t>
        </is>
      </c>
      <c r="B729" s="1" t="n">
        <v>45876.47828703704</v>
      </c>
      <c r="C729" s="1" t="n">
        <v>46064</v>
      </c>
      <c r="D729" t="inlineStr">
        <is>
          <t>SKÅNE LÄN</t>
        </is>
      </c>
      <c r="E729" t="inlineStr">
        <is>
          <t>HÄSSLEHOLM</t>
        </is>
      </c>
      <c r="G729" t="n">
        <v>4.1</v>
      </c>
      <c r="H729" t="n">
        <v>0</v>
      </c>
      <c r="I729" t="n">
        <v>0</v>
      </c>
      <c r="J729" t="n">
        <v>0</v>
      </c>
      <c r="K729" t="n">
        <v>0</v>
      </c>
      <c r="L729" t="n">
        <v>0</v>
      </c>
      <c r="M729" t="n">
        <v>0</v>
      </c>
      <c r="N729" t="n">
        <v>0</v>
      </c>
      <c r="O729" t="n">
        <v>0</v>
      </c>
      <c r="P729" t="n">
        <v>0</v>
      </c>
      <c r="Q729" t="n">
        <v>0</v>
      </c>
      <c r="R729" s="2" t="inlineStr"/>
    </row>
    <row r="730" ht="15" customHeight="1">
      <c r="A730" t="inlineStr">
        <is>
          <t>A 5780-2024</t>
        </is>
      </c>
      <c r="B730" s="1" t="n">
        <v>45335.41983796296</v>
      </c>
      <c r="C730" s="1" t="n">
        <v>46064</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32981-2025</t>
        </is>
      </c>
      <c r="B731" s="1" t="n">
        <v>45839.86820601852</v>
      </c>
      <c r="C731" s="1" t="n">
        <v>46064</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51097-2025</t>
        </is>
      </c>
      <c r="B732" s="1" t="n">
        <v>45947.48018518519</v>
      </c>
      <c r="C732" s="1" t="n">
        <v>46064</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7481-2023</t>
        </is>
      </c>
      <c r="B733" s="1" t="n">
        <v>44971</v>
      </c>
      <c r="C733" s="1" t="n">
        <v>46064</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16862-2025</t>
        </is>
      </c>
      <c r="B734" s="1" t="n">
        <v>45751</v>
      </c>
      <c r="C734" s="1" t="n">
        <v>46064</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18109-2025</t>
        </is>
      </c>
      <c r="B735" s="1" t="n">
        <v>45761</v>
      </c>
      <c r="C735" s="1" t="n">
        <v>46064</v>
      </c>
      <c r="D735" t="inlineStr">
        <is>
          <t>SKÅNE LÄN</t>
        </is>
      </c>
      <c r="E735" t="inlineStr">
        <is>
          <t>HÄSSLEHOLM</t>
        </is>
      </c>
      <c r="G735" t="n">
        <v>1.4</v>
      </c>
      <c r="H735" t="n">
        <v>0</v>
      </c>
      <c r="I735" t="n">
        <v>0</v>
      </c>
      <c r="J735" t="n">
        <v>0</v>
      </c>
      <c r="K735" t="n">
        <v>0</v>
      </c>
      <c r="L735" t="n">
        <v>0</v>
      </c>
      <c r="M735" t="n">
        <v>0</v>
      </c>
      <c r="N735" t="n">
        <v>0</v>
      </c>
      <c r="O735" t="n">
        <v>0</v>
      </c>
      <c r="P735" t="n">
        <v>0</v>
      </c>
      <c r="Q735" t="n">
        <v>0</v>
      </c>
      <c r="R735" s="2" t="inlineStr"/>
    </row>
    <row r="736" ht="15" customHeight="1">
      <c r="A736" t="inlineStr">
        <is>
          <t>A 59728-2022</t>
        </is>
      </c>
      <c r="B736" s="1" t="n">
        <v>44900</v>
      </c>
      <c r="C736" s="1" t="n">
        <v>46064</v>
      </c>
      <c r="D736" t="inlineStr">
        <is>
          <t>SKÅNE LÄN</t>
        </is>
      </c>
      <c r="E736" t="inlineStr">
        <is>
          <t>HÄSSLEHOLM</t>
        </is>
      </c>
      <c r="G736" t="n">
        <v>0.3</v>
      </c>
      <c r="H736" t="n">
        <v>0</v>
      </c>
      <c r="I736" t="n">
        <v>0</v>
      </c>
      <c r="J736" t="n">
        <v>0</v>
      </c>
      <c r="K736" t="n">
        <v>0</v>
      </c>
      <c r="L736" t="n">
        <v>0</v>
      </c>
      <c r="M736" t="n">
        <v>0</v>
      </c>
      <c r="N736" t="n">
        <v>0</v>
      </c>
      <c r="O736" t="n">
        <v>0</v>
      </c>
      <c r="P736" t="n">
        <v>0</v>
      </c>
      <c r="Q736" t="n">
        <v>0</v>
      </c>
      <c r="R736" s="2" t="inlineStr"/>
    </row>
    <row r="737" ht="15" customHeight="1">
      <c r="A737" t="inlineStr">
        <is>
          <t>A 23683-2023</t>
        </is>
      </c>
      <c r="B737" s="1" t="n">
        <v>45077</v>
      </c>
      <c r="C737" s="1" t="n">
        <v>46064</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51597-2025</t>
        </is>
      </c>
      <c r="B738" s="1" t="n">
        <v>45951.37163194444</v>
      </c>
      <c r="C738" s="1" t="n">
        <v>46064</v>
      </c>
      <c r="D738" t="inlineStr">
        <is>
          <t>SKÅNE LÄN</t>
        </is>
      </c>
      <c r="E738" t="inlineStr">
        <is>
          <t>HÄSSLEHOLM</t>
        </is>
      </c>
      <c r="G738" t="n">
        <v>3.5</v>
      </c>
      <c r="H738" t="n">
        <v>0</v>
      </c>
      <c r="I738" t="n">
        <v>0</v>
      </c>
      <c r="J738" t="n">
        <v>0</v>
      </c>
      <c r="K738" t="n">
        <v>0</v>
      </c>
      <c r="L738" t="n">
        <v>0</v>
      </c>
      <c r="M738" t="n">
        <v>0</v>
      </c>
      <c r="N738" t="n">
        <v>0</v>
      </c>
      <c r="O738" t="n">
        <v>0</v>
      </c>
      <c r="P738" t="n">
        <v>0</v>
      </c>
      <c r="Q738" t="n">
        <v>0</v>
      </c>
      <c r="R738" s="2" t="inlineStr"/>
    </row>
    <row r="739" ht="15" customHeight="1">
      <c r="A739" t="inlineStr">
        <is>
          <t>A 2663-2023</t>
        </is>
      </c>
      <c r="B739" s="1" t="n">
        <v>44942</v>
      </c>
      <c r="C739" s="1" t="n">
        <v>46064</v>
      </c>
      <c r="D739" t="inlineStr">
        <is>
          <t>SKÅNE LÄN</t>
        </is>
      </c>
      <c r="E739" t="inlineStr">
        <is>
          <t>HÄSSLEHOLM</t>
        </is>
      </c>
      <c r="F739" t="inlineStr">
        <is>
          <t>Kyrkan</t>
        </is>
      </c>
      <c r="G739" t="n">
        <v>0.8</v>
      </c>
      <c r="H739" t="n">
        <v>0</v>
      </c>
      <c r="I739" t="n">
        <v>0</v>
      </c>
      <c r="J739" t="n">
        <v>0</v>
      </c>
      <c r="K739" t="n">
        <v>0</v>
      </c>
      <c r="L739" t="n">
        <v>0</v>
      </c>
      <c r="M739" t="n">
        <v>0</v>
      </c>
      <c r="N739" t="n">
        <v>0</v>
      </c>
      <c r="O739" t="n">
        <v>0</v>
      </c>
      <c r="P739" t="n">
        <v>0</v>
      </c>
      <c r="Q739" t="n">
        <v>0</v>
      </c>
      <c r="R739" s="2" t="inlineStr"/>
    </row>
    <row r="740" ht="15" customHeight="1">
      <c r="A740" t="inlineStr">
        <is>
          <t>A 23172-2022</t>
        </is>
      </c>
      <c r="B740" s="1" t="n">
        <v>44719</v>
      </c>
      <c r="C740" s="1" t="n">
        <v>46064</v>
      </c>
      <c r="D740" t="inlineStr">
        <is>
          <t>SKÅNE LÄN</t>
        </is>
      </c>
      <c r="E740" t="inlineStr">
        <is>
          <t>HÄSSLEHOLM</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23173-2022</t>
        </is>
      </c>
      <c r="B741" s="1" t="n">
        <v>44719.72155092593</v>
      </c>
      <c r="C741" s="1" t="n">
        <v>46064</v>
      </c>
      <c r="D741" t="inlineStr">
        <is>
          <t>SKÅNE LÄN</t>
        </is>
      </c>
      <c r="E741" t="inlineStr">
        <is>
          <t>HÄSSLEHOLM</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51795-2025</t>
        </is>
      </c>
      <c r="B742" s="1" t="n">
        <v>45951</v>
      </c>
      <c r="C742" s="1" t="n">
        <v>46064</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51796-2025</t>
        </is>
      </c>
      <c r="B743" s="1" t="n">
        <v>45951.74546296296</v>
      </c>
      <c r="C743" s="1" t="n">
        <v>46064</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51640-2025</t>
        </is>
      </c>
      <c r="B744" s="1" t="n">
        <v>45951.44361111111</v>
      </c>
      <c r="C744" s="1" t="n">
        <v>46064</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17492-2025</t>
        </is>
      </c>
      <c r="B745" s="1" t="n">
        <v>45747</v>
      </c>
      <c r="C745" s="1" t="n">
        <v>46064</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50664-2023</t>
        </is>
      </c>
      <c r="B746" s="1" t="n">
        <v>45217</v>
      </c>
      <c r="C746" s="1" t="n">
        <v>46064</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42428-2022</t>
        </is>
      </c>
      <c r="B747" s="1" t="n">
        <v>44831</v>
      </c>
      <c r="C747" s="1" t="n">
        <v>46064</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62171-2022</t>
        </is>
      </c>
      <c r="B748" s="1" t="n">
        <v>44915</v>
      </c>
      <c r="C748" s="1" t="n">
        <v>46064</v>
      </c>
      <c r="D748" t="inlineStr">
        <is>
          <t>SKÅNE LÄN</t>
        </is>
      </c>
      <c r="E748" t="inlineStr">
        <is>
          <t>HÄSSLEHOLM</t>
        </is>
      </c>
      <c r="F748" t="inlineStr">
        <is>
          <t>Kyrkan</t>
        </is>
      </c>
      <c r="G748" t="n">
        <v>9</v>
      </c>
      <c r="H748" t="n">
        <v>0</v>
      </c>
      <c r="I748" t="n">
        <v>0</v>
      </c>
      <c r="J748" t="n">
        <v>0</v>
      </c>
      <c r="K748" t="n">
        <v>0</v>
      </c>
      <c r="L748" t="n">
        <v>0</v>
      </c>
      <c r="M748" t="n">
        <v>0</v>
      </c>
      <c r="N748" t="n">
        <v>0</v>
      </c>
      <c r="O748" t="n">
        <v>0</v>
      </c>
      <c r="P748" t="n">
        <v>0</v>
      </c>
      <c r="Q748" t="n">
        <v>0</v>
      </c>
      <c r="R748" s="2" t="inlineStr"/>
    </row>
    <row r="749" ht="15" customHeight="1">
      <c r="A749" t="inlineStr">
        <is>
          <t>A 52126-2025</t>
        </is>
      </c>
      <c r="B749" s="1" t="n">
        <v>45952.72109953704</v>
      </c>
      <c r="C749" s="1" t="n">
        <v>46064</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56956-2024</t>
        </is>
      </c>
      <c r="B750" s="1" t="n">
        <v>45626</v>
      </c>
      <c r="C750" s="1" t="n">
        <v>46064</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9885-2021</t>
        </is>
      </c>
      <c r="B751" s="1" t="n">
        <v>44253</v>
      </c>
      <c r="C751" s="1" t="n">
        <v>46064</v>
      </c>
      <c r="D751" t="inlineStr">
        <is>
          <t>SKÅNE LÄN</t>
        </is>
      </c>
      <c r="E751" t="inlineStr">
        <is>
          <t>HÄSSLEHOLM</t>
        </is>
      </c>
      <c r="G751" t="n">
        <v>2.4</v>
      </c>
      <c r="H751" t="n">
        <v>0</v>
      </c>
      <c r="I751" t="n">
        <v>0</v>
      </c>
      <c r="J751" t="n">
        <v>0</v>
      </c>
      <c r="K751" t="n">
        <v>0</v>
      </c>
      <c r="L751" t="n">
        <v>0</v>
      </c>
      <c r="M751" t="n">
        <v>0</v>
      </c>
      <c r="N751" t="n">
        <v>0</v>
      </c>
      <c r="O751" t="n">
        <v>0</v>
      </c>
      <c r="P751" t="n">
        <v>0</v>
      </c>
      <c r="Q751" t="n">
        <v>0</v>
      </c>
      <c r="R751" s="2" t="inlineStr"/>
    </row>
    <row r="752" ht="15" customHeight="1">
      <c r="A752" t="inlineStr">
        <is>
          <t>A 35711-2024</t>
        </is>
      </c>
      <c r="B752" s="1" t="n">
        <v>45532</v>
      </c>
      <c r="C752" s="1" t="n">
        <v>46064</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56490-2021</t>
        </is>
      </c>
      <c r="B753" s="1" t="n">
        <v>44480</v>
      </c>
      <c r="C753" s="1" t="n">
        <v>46064</v>
      </c>
      <c r="D753" t="inlineStr">
        <is>
          <t>SKÅNE LÄN</t>
        </is>
      </c>
      <c r="E753" t="inlineStr">
        <is>
          <t>HÄSSLEHOLM</t>
        </is>
      </c>
      <c r="F753" t="inlineStr">
        <is>
          <t>Kyrkan</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61680-2022</t>
        </is>
      </c>
      <c r="B754" s="1" t="n">
        <v>44917.36372685185</v>
      </c>
      <c r="C754" s="1" t="n">
        <v>46064</v>
      </c>
      <c r="D754" t="inlineStr">
        <is>
          <t>SKÅNE LÄN</t>
        </is>
      </c>
      <c r="E754" t="inlineStr">
        <is>
          <t>HÄSSLEHOLM</t>
        </is>
      </c>
      <c r="G754" t="n">
        <v>2.4</v>
      </c>
      <c r="H754" t="n">
        <v>0</v>
      </c>
      <c r="I754" t="n">
        <v>0</v>
      </c>
      <c r="J754" t="n">
        <v>0</v>
      </c>
      <c r="K754" t="n">
        <v>0</v>
      </c>
      <c r="L754" t="n">
        <v>0</v>
      </c>
      <c r="M754" t="n">
        <v>0</v>
      </c>
      <c r="N754" t="n">
        <v>0</v>
      </c>
      <c r="O754" t="n">
        <v>0</v>
      </c>
      <c r="P754" t="n">
        <v>0</v>
      </c>
      <c r="Q754" t="n">
        <v>0</v>
      </c>
      <c r="R754" s="2" t="inlineStr"/>
    </row>
    <row r="755" ht="15" customHeight="1">
      <c r="A755" t="inlineStr">
        <is>
          <t>A 61489-2024</t>
        </is>
      </c>
      <c r="B755" s="1" t="n">
        <v>45646.54875</v>
      </c>
      <c r="C755" s="1" t="n">
        <v>46064</v>
      </c>
      <c r="D755" t="inlineStr">
        <is>
          <t>SKÅNE LÄN</t>
        </is>
      </c>
      <c r="E755" t="inlineStr">
        <is>
          <t>HÄSSLEHOLM</t>
        </is>
      </c>
      <c r="G755" t="n">
        <v>1.9</v>
      </c>
      <c r="H755" t="n">
        <v>0</v>
      </c>
      <c r="I755" t="n">
        <v>0</v>
      </c>
      <c r="J755" t="n">
        <v>0</v>
      </c>
      <c r="K755" t="n">
        <v>0</v>
      </c>
      <c r="L755" t="n">
        <v>0</v>
      </c>
      <c r="M755" t="n">
        <v>0</v>
      </c>
      <c r="N755" t="n">
        <v>0</v>
      </c>
      <c r="O755" t="n">
        <v>0</v>
      </c>
      <c r="P755" t="n">
        <v>0</v>
      </c>
      <c r="Q755" t="n">
        <v>0</v>
      </c>
      <c r="R755" s="2" t="inlineStr"/>
    </row>
    <row r="756" ht="15" customHeight="1">
      <c r="A756" t="inlineStr">
        <is>
          <t>A 17699-2024</t>
        </is>
      </c>
      <c r="B756" s="1" t="n">
        <v>45418.46094907408</v>
      </c>
      <c r="C756" s="1" t="n">
        <v>46064</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17702-2024</t>
        </is>
      </c>
      <c r="B757" s="1" t="n">
        <v>45418.46534722222</v>
      </c>
      <c r="C757" s="1" t="n">
        <v>46064</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6101-2022</t>
        </is>
      </c>
      <c r="B758" s="1" t="n">
        <v>44599.63016203704</v>
      </c>
      <c r="C758" s="1" t="n">
        <v>46064</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16951-2025</t>
        </is>
      </c>
      <c r="B759" s="1" t="n">
        <v>45755</v>
      </c>
      <c r="C759" s="1" t="n">
        <v>46064</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16614-2025</t>
        </is>
      </c>
      <c r="B760" s="1" t="n">
        <v>45754.283125</v>
      </c>
      <c r="C760" s="1" t="n">
        <v>46064</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3888-2024</t>
        </is>
      </c>
      <c r="B761" s="1" t="n">
        <v>45322.45089120371</v>
      </c>
      <c r="C761" s="1" t="n">
        <v>46064</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3889-2024</t>
        </is>
      </c>
      <c r="B762" s="1" t="n">
        <v>45322.45234953704</v>
      </c>
      <c r="C762" s="1" t="n">
        <v>46064</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3294-2025</t>
        </is>
      </c>
      <c r="B763" s="1" t="n">
        <v>45679.64125</v>
      </c>
      <c r="C763" s="1" t="n">
        <v>46064</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9669-2025</t>
        </is>
      </c>
      <c r="B764" s="1" t="n">
        <v>45716.32921296296</v>
      </c>
      <c r="C764" s="1" t="n">
        <v>46064</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31995-2023</t>
        </is>
      </c>
      <c r="B765" s="1" t="n">
        <v>45107</v>
      </c>
      <c r="C765" s="1" t="n">
        <v>46064</v>
      </c>
      <c r="D765" t="inlineStr">
        <is>
          <t>SKÅNE LÄN</t>
        </is>
      </c>
      <c r="E765" t="inlineStr">
        <is>
          <t>HÄSSLEHOLM</t>
        </is>
      </c>
      <c r="G765" t="n">
        <v>7.3</v>
      </c>
      <c r="H765" t="n">
        <v>0</v>
      </c>
      <c r="I765" t="n">
        <v>0</v>
      </c>
      <c r="J765" t="n">
        <v>0</v>
      </c>
      <c r="K765" t="n">
        <v>0</v>
      </c>
      <c r="L765" t="n">
        <v>0</v>
      </c>
      <c r="M765" t="n">
        <v>0</v>
      </c>
      <c r="N765" t="n">
        <v>0</v>
      </c>
      <c r="O765" t="n">
        <v>0</v>
      </c>
      <c r="P765" t="n">
        <v>0</v>
      </c>
      <c r="Q765" t="n">
        <v>0</v>
      </c>
      <c r="R765" s="2" t="inlineStr"/>
    </row>
    <row r="766" ht="15" customHeight="1">
      <c r="A766" t="inlineStr">
        <is>
          <t>A 31998-2023</t>
        </is>
      </c>
      <c r="B766" s="1" t="n">
        <v>45119</v>
      </c>
      <c r="C766" s="1" t="n">
        <v>46064</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7150-2025</t>
        </is>
      </c>
      <c r="B767" s="1" t="n">
        <v>45702.38239583333</v>
      </c>
      <c r="C767" s="1" t="n">
        <v>46064</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53020-2025</t>
        </is>
      </c>
      <c r="B768" s="1" t="n">
        <v>45957.90707175926</v>
      </c>
      <c r="C768" s="1" t="n">
        <v>46064</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20185-2023</t>
        </is>
      </c>
      <c r="B769" s="1" t="n">
        <v>45055.56795138889</v>
      </c>
      <c r="C769" s="1" t="n">
        <v>46064</v>
      </c>
      <c r="D769" t="inlineStr">
        <is>
          <t>SKÅNE LÄN</t>
        </is>
      </c>
      <c r="E769" t="inlineStr">
        <is>
          <t>HÄSSLEHOLM</t>
        </is>
      </c>
      <c r="G769" t="n">
        <v>3.5</v>
      </c>
      <c r="H769" t="n">
        <v>0</v>
      </c>
      <c r="I769" t="n">
        <v>0</v>
      </c>
      <c r="J769" t="n">
        <v>0</v>
      </c>
      <c r="K769" t="n">
        <v>0</v>
      </c>
      <c r="L769" t="n">
        <v>0</v>
      </c>
      <c r="M769" t="n">
        <v>0</v>
      </c>
      <c r="N769" t="n">
        <v>0</v>
      </c>
      <c r="O769" t="n">
        <v>0</v>
      </c>
      <c r="P769" t="n">
        <v>0</v>
      </c>
      <c r="Q769" t="n">
        <v>0</v>
      </c>
      <c r="R769" s="2" t="inlineStr"/>
    </row>
    <row r="770" ht="15" customHeight="1">
      <c r="A770" t="inlineStr">
        <is>
          <t>A 53424-2025</t>
        </is>
      </c>
      <c r="B770" s="1" t="n">
        <v>45959</v>
      </c>
      <c r="C770" s="1" t="n">
        <v>46064</v>
      </c>
      <c r="D770" t="inlineStr">
        <is>
          <t>SKÅNE LÄN</t>
        </is>
      </c>
      <c r="E770" t="inlineStr">
        <is>
          <t>HÄSSLEHOLM</t>
        </is>
      </c>
      <c r="G770" t="n">
        <v>3.4</v>
      </c>
      <c r="H770" t="n">
        <v>0</v>
      </c>
      <c r="I770" t="n">
        <v>0</v>
      </c>
      <c r="J770" t="n">
        <v>0</v>
      </c>
      <c r="K770" t="n">
        <v>0</v>
      </c>
      <c r="L770" t="n">
        <v>0</v>
      </c>
      <c r="M770" t="n">
        <v>0</v>
      </c>
      <c r="N770" t="n">
        <v>0</v>
      </c>
      <c r="O770" t="n">
        <v>0</v>
      </c>
      <c r="P770" t="n">
        <v>0</v>
      </c>
      <c r="Q770" t="n">
        <v>0</v>
      </c>
      <c r="R770" s="2" t="inlineStr"/>
    </row>
    <row r="771" ht="15" customHeight="1">
      <c r="A771" t="inlineStr">
        <is>
          <t>A 53018-2025</t>
        </is>
      </c>
      <c r="B771" s="1" t="n">
        <v>45957.90064814815</v>
      </c>
      <c r="C771" s="1" t="n">
        <v>46064</v>
      </c>
      <c r="D771" t="inlineStr">
        <is>
          <t>SKÅNE LÄN</t>
        </is>
      </c>
      <c r="E771" t="inlineStr">
        <is>
          <t>HÄSSLEHOLM</t>
        </is>
      </c>
      <c r="G771" t="n">
        <v>2.2</v>
      </c>
      <c r="H771" t="n">
        <v>0</v>
      </c>
      <c r="I771" t="n">
        <v>0</v>
      </c>
      <c r="J771" t="n">
        <v>0</v>
      </c>
      <c r="K771" t="n">
        <v>0</v>
      </c>
      <c r="L771" t="n">
        <v>0</v>
      </c>
      <c r="M771" t="n">
        <v>0</v>
      </c>
      <c r="N771" t="n">
        <v>0</v>
      </c>
      <c r="O771" t="n">
        <v>0</v>
      </c>
      <c r="P771" t="n">
        <v>0</v>
      </c>
      <c r="Q771" t="n">
        <v>0</v>
      </c>
      <c r="R771" s="2" t="inlineStr"/>
    </row>
    <row r="772" ht="15" customHeight="1">
      <c r="A772" t="inlineStr">
        <is>
          <t>A 61170-2022</t>
        </is>
      </c>
      <c r="B772" s="1" t="n">
        <v>44915.48543981482</v>
      </c>
      <c r="C772" s="1" t="n">
        <v>46064</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53056-2025</t>
        </is>
      </c>
      <c r="B773" s="1" t="n">
        <v>45958.36518518518</v>
      </c>
      <c r="C773" s="1" t="n">
        <v>46064</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43629-2023</t>
        </is>
      </c>
      <c r="B774" s="1" t="n">
        <v>45184</v>
      </c>
      <c r="C774" s="1" t="n">
        <v>46064</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13990-2022</t>
        </is>
      </c>
      <c r="B775" s="1" t="n">
        <v>44650</v>
      </c>
      <c r="C775" s="1" t="n">
        <v>46064</v>
      </c>
      <c r="D775" t="inlineStr">
        <is>
          <t>SKÅNE LÄN</t>
        </is>
      </c>
      <c r="E775" t="inlineStr">
        <is>
          <t>HÄSSLEHOLM</t>
        </is>
      </c>
      <c r="G775" t="n">
        <v>3.6</v>
      </c>
      <c r="H775" t="n">
        <v>0</v>
      </c>
      <c r="I775" t="n">
        <v>0</v>
      </c>
      <c r="J775" t="n">
        <v>0</v>
      </c>
      <c r="K775" t="n">
        <v>0</v>
      </c>
      <c r="L775" t="n">
        <v>0</v>
      </c>
      <c r="M775" t="n">
        <v>0</v>
      </c>
      <c r="N775" t="n">
        <v>0</v>
      </c>
      <c r="O775" t="n">
        <v>0</v>
      </c>
      <c r="P775" t="n">
        <v>0</v>
      </c>
      <c r="Q775" t="n">
        <v>0</v>
      </c>
      <c r="R775" s="2" t="inlineStr"/>
    </row>
    <row r="776" ht="15" customHeight="1">
      <c r="A776" t="inlineStr">
        <is>
          <t>A 50564-2023</t>
        </is>
      </c>
      <c r="B776" s="1" t="n">
        <v>45217.37957175926</v>
      </c>
      <c r="C776" s="1" t="n">
        <v>46064</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43061-2024</t>
        </is>
      </c>
      <c r="B777" s="1" t="n">
        <v>45567</v>
      </c>
      <c r="C777" s="1" t="n">
        <v>46064</v>
      </c>
      <c r="D777" t="inlineStr">
        <is>
          <t>SKÅNE LÄN</t>
        </is>
      </c>
      <c r="E777" t="inlineStr">
        <is>
          <t>HÄSSLEHOLM</t>
        </is>
      </c>
      <c r="G777" t="n">
        <v>4.5</v>
      </c>
      <c r="H777" t="n">
        <v>0</v>
      </c>
      <c r="I777" t="n">
        <v>0</v>
      </c>
      <c r="J777" t="n">
        <v>0</v>
      </c>
      <c r="K777" t="n">
        <v>0</v>
      </c>
      <c r="L777" t="n">
        <v>0</v>
      </c>
      <c r="M777" t="n">
        <v>0</v>
      </c>
      <c r="N777" t="n">
        <v>0</v>
      </c>
      <c r="O777" t="n">
        <v>0</v>
      </c>
      <c r="P777" t="n">
        <v>0</v>
      </c>
      <c r="Q777" t="n">
        <v>0</v>
      </c>
      <c r="R777" s="2" t="inlineStr"/>
    </row>
    <row r="778" ht="15" customHeight="1">
      <c r="A778" t="inlineStr">
        <is>
          <t>A 47161-2025</t>
        </is>
      </c>
      <c r="B778" s="1" t="n">
        <v>45929</v>
      </c>
      <c r="C778" s="1" t="n">
        <v>46064</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54171-2021</t>
        </is>
      </c>
      <c r="B779" s="1" t="n">
        <v>44470</v>
      </c>
      <c r="C779" s="1" t="n">
        <v>46064</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24640-2023</t>
        </is>
      </c>
      <c r="B780" s="1" t="n">
        <v>45084.43181712963</v>
      </c>
      <c r="C780" s="1" t="n">
        <v>46064</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51618-2024</t>
        </is>
      </c>
      <c r="B781" s="1" t="n">
        <v>45604.82615740741</v>
      </c>
      <c r="C781" s="1" t="n">
        <v>46064</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54771-2025</t>
        </is>
      </c>
      <c r="B782" s="1" t="n">
        <v>45966.60829861111</v>
      </c>
      <c r="C782" s="1" t="n">
        <v>46064</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54664-2025</t>
        </is>
      </c>
      <c r="B783" s="1" t="n">
        <v>45966.40738425926</v>
      </c>
      <c r="C783" s="1" t="n">
        <v>46064</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54763-2025</t>
        </is>
      </c>
      <c r="B784" s="1" t="n">
        <v>45966.60167824074</v>
      </c>
      <c r="C784" s="1" t="n">
        <v>46064</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8249-2023</t>
        </is>
      </c>
      <c r="B785" s="1" t="n">
        <v>44974</v>
      </c>
      <c r="C785" s="1" t="n">
        <v>46064</v>
      </c>
      <c r="D785" t="inlineStr">
        <is>
          <t>SKÅNE LÄN</t>
        </is>
      </c>
      <c r="E785" t="inlineStr">
        <is>
          <t>HÄSSLEHOLM</t>
        </is>
      </c>
      <c r="G785" t="n">
        <v>5.8</v>
      </c>
      <c r="H785" t="n">
        <v>0</v>
      </c>
      <c r="I785" t="n">
        <v>0</v>
      </c>
      <c r="J785" t="n">
        <v>0</v>
      </c>
      <c r="K785" t="n">
        <v>0</v>
      </c>
      <c r="L785" t="n">
        <v>0</v>
      </c>
      <c r="M785" t="n">
        <v>0</v>
      </c>
      <c r="N785" t="n">
        <v>0</v>
      </c>
      <c r="O785" t="n">
        <v>0</v>
      </c>
      <c r="P785" t="n">
        <v>0</v>
      </c>
      <c r="Q785" t="n">
        <v>0</v>
      </c>
      <c r="R785" s="2" t="inlineStr"/>
    </row>
    <row r="786" ht="15" customHeight="1">
      <c r="A786" t="inlineStr">
        <is>
          <t>A 27297-2023</t>
        </is>
      </c>
      <c r="B786" s="1" t="n">
        <v>45096</v>
      </c>
      <c r="C786" s="1" t="n">
        <v>46064</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54668-2025</t>
        </is>
      </c>
      <c r="B787" s="1" t="n">
        <v>45966.40803240741</v>
      </c>
      <c r="C787" s="1" t="n">
        <v>46064</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9747-2024</t>
        </is>
      </c>
      <c r="B788" s="1" t="n">
        <v>45362</v>
      </c>
      <c r="C788" s="1" t="n">
        <v>46064</v>
      </c>
      <c r="D788" t="inlineStr">
        <is>
          <t>SKÅNE LÄN</t>
        </is>
      </c>
      <c r="E788" t="inlineStr">
        <is>
          <t>HÄSSLEHOLM</t>
        </is>
      </c>
      <c r="G788" t="n">
        <v>1.8</v>
      </c>
      <c r="H788" t="n">
        <v>0</v>
      </c>
      <c r="I788" t="n">
        <v>0</v>
      </c>
      <c r="J788" t="n">
        <v>0</v>
      </c>
      <c r="K788" t="n">
        <v>0</v>
      </c>
      <c r="L788" t="n">
        <v>0</v>
      </c>
      <c r="M788" t="n">
        <v>0</v>
      </c>
      <c r="N788" t="n">
        <v>0</v>
      </c>
      <c r="O788" t="n">
        <v>0</v>
      </c>
      <c r="P788" t="n">
        <v>0</v>
      </c>
      <c r="Q788" t="n">
        <v>0</v>
      </c>
      <c r="R788" s="2" t="inlineStr"/>
    </row>
    <row r="789" ht="15" customHeight="1">
      <c r="A789" t="inlineStr">
        <is>
          <t>A 55268-2025</t>
        </is>
      </c>
      <c r="B789" s="1" t="n">
        <v>45968.6715625</v>
      </c>
      <c r="C789" s="1" t="n">
        <v>46064</v>
      </c>
      <c r="D789" t="inlineStr">
        <is>
          <t>SKÅNE LÄN</t>
        </is>
      </c>
      <c r="E789" t="inlineStr">
        <is>
          <t>HÄSSLEHOLM</t>
        </is>
      </c>
      <c r="G789" t="n">
        <v>2.8</v>
      </c>
      <c r="H789" t="n">
        <v>0</v>
      </c>
      <c r="I789" t="n">
        <v>0</v>
      </c>
      <c r="J789" t="n">
        <v>0</v>
      </c>
      <c r="K789" t="n">
        <v>0</v>
      </c>
      <c r="L789" t="n">
        <v>0</v>
      </c>
      <c r="M789" t="n">
        <v>0</v>
      </c>
      <c r="N789" t="n">
        <v>0</v>
      </c>
      <c r="O789" t="n">
        <v>0</v>
      </c>
      <c r="P789" t="n">
        <v>0</v>
      </c>
      <c r="Q789" t="n">
        <v>0</v>
      </c>
      <c r="R789" s="2" t="inlineStr"/>
    </row>
    <row r="790" ht="15" customHeight="1">
      <c r="A790" t="inlineStr">
        <is>
          <t>A 55549-2025</t>
        </is>
      </c>
      <c r="B790" s="1" t="n">
        <v>45971.63805555556</v>
      </c>
      <c r="C790" s="1" t="n">
        <v>46064</v>
      </c>
      <c r="D790" t="inlineStr">
        <is>
          <t>SKÅNE LÄN</t>
        </is>
      </c>
      <c r="E790" t="inlineStr">
        <is>
          <t>HÄSSLEHOLM</t>
        </is>
      </c>
      <c r="G790" t="n">
        <v>2.6</v>
      </c>
      <c r="H790" t="n">
        <v>0</v>
      </c>
      <c r="I790" t="n">
        <v>0</v>
      </c>
      <c r="J790" t="n">
        <v>0</v>
      </c>
      <c r="K790" t="n">
        <v>0</v>
      </c>
      <c r="L790" t="n">
        <v>0</v>
      </c>
      <c r="M790" t="n">
        <v>0</v>
      </c>
      <c r="N790" t="n">
        <v>0</v>
      </c>
      <c r="O790" t="n">
        <v>0</v>
      </c>
      <c r="P790" t="n">
        <v>0</v>
      </c>
      <c r="Q790" t="n">
        <v>0</v>
      </c>
      <c r="R790" s="2" t="inlineStr"/>
    </row>
    <row r="791" ht="15" customHeight="1">
      <c r="A791" t="inlineStr">
        <is>
          <t>A 55458-2025</t>
        </is>
      </c>
      <c r="B791" s="1" t="n">
        <v>45971</v>
      </c>
      <c r="C791" s="1" t="n">
        <v>46064</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47840-2023</t>
        </is>
      </c>
      <c r="B792" s="1" t="n">
        <v>45204</v>
      </c>
      <c r="C792" s="1" t="n">
        <v>46064</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62277-2023</t>
        </is>
      </c>
      <c r="B793" s="1" t="n">
        <v>45266</v>
      </c>
      <c r="C793" s="1" t="n">
        <v>46064</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55455-2025</t>
        </is>
      </c>
      <c r="B794" s="1" t="n">
        <v>45971</v>
      </c>
      <c r="C794" s="1" t="n">
        <v>46064</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34369-2023</t>
        </is>
      </c>
      <c r="B795" s="1" t="n">
        <v>45139.47817129629</v>
      </c>
      <c r="C795" s="1" t="n">
        <v>46064</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34834-2023</t>
        </is>
      </c>
      <c r="B796" s="1" t="n">
        <v>45141.7199537037</v>
      </c>
      <c r="C796" s="1" t="n">
        <v>46064</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56667-2025</t>
        </is>
      </c>
      <c r="B797" s="1" t="n">
        <v>45975.68508101852</v>
      </c>
      <c r="C797" s="1" t="n">
        <v>46064</v>
      </c>
      <c r="D797" t="inlineStr">
        <is>
          <t>SKÅNE LÄN</t>
        </is>
      </c>
      <c r="E797" t="inlineStr">
        <is>
          <t>HÄSSLEHOLM</t>
        </is>
      </c>
      <c r="G797" t="n">
        <v>4.4</v>
      </c>
      <c r="H797" t="n">
        <v>0</v>
      </c>
      <c r="I797" t="n">
        <v>0</v>
      </c>
      <c r="J797" t="n">
        <v>0</v>
      </c>
      <c r="K797" t="n">
        <v>0</v>
      </c>
      <c r="L797" t="n">
        <v>0</v>
      </c>
      <c r="M797" t="n">
        <v>0</v>
      </c>
      <c r="N797" t="n">
        <v>0</v>
      </c>
      <c r="O797" t="n">
        <v>0</v>
      </c>
      <c r="P797" t="n">
        <v>0</v>
      </c>
      <c r="Q797" t="n">
        <v>0</v>
      </c>
      <c r="R797" s="2" t="inlineStr"/>
    </row>
    <row r="798" ht="15" customHeight="1">
      <c r="A798" t="inlineStr">
        <is>
          <t>A 48627-2023</t>
        </is>
      </c>
      <c r="B798" s="1" t="n">
        <v>45208.57371527778</v>
      </c>
      <c r="C798" s="1" t="n">
        <v>46064</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11607-2025</t>
        </is>
      </c>
      <c r="B799" s="1" t="n">
        <v>45727</v>
      </c>
      <c r="C799" s="1" t="n">
        <v>46064</v>
      </c>
      <c r="D799" t="inlineStr">
        <is>
          <t>SKÅNE LÄN</t>
        </is>
      </c>
      <c r="E799" t="inlineStr">
        <is>
          <t>HÄSSLEHOLM</t>
        </is>
      </c>
      <c r="G799" t="n">
        <v>4.1</v>
      </c>
      <c r="H799" t="n">
        <v>0</v>
      </c>
      <c r="I799" t="n">
        <v>0</v>
      </c>
      <c r="J799" t="n">
        <v>0</v>
      </c>
      <c r="K799" t="n">
        <v>0</v>
      </c>
      <c r="L799" t="n">
        <v>0</v>
      </c>
      <c r="M799" t="n">
        <v>0</v>
      </c>
      <c r="N799" t="n">
        <v>0</v>
      </c>
      <c r="O799" t="n">
        <v>0</v>
      </c>
      <c r="P799" t="n">
        <v>0</v>
      </c>
      <c r="Q799" t="n">
        <v>0</v>
      </c>
      <c r="R799" s="2" t="inlineStr"/>
    </row>
    <row r="800" ht="15" customHeight="1">
      <c r="A800" t="inlineStr">
        <is>
          <t>A 56797-2025</t>
        </is>
      </c>
      <c r="B800" s="1" t="n">
        <v>45978.43273148148</v>
      </c>
      <c r="C800" s="1" t="n">
        <v>46064</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56798-2025</t>
        </is>
      </c>
      <c r="B801" s="1" t="n">
        <v>45978.43378472222</v>
      </c>
      <c r="C801" s="1" t="n">
        <v>46064</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720-2025</t>
        </is>
      </c>
      <c r="B802" s="1" t="n">
        <v>45665.3744212963</v>
      </c>
      <c r="C802" s="1" t="n">
        <v>46064</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12182-2025</t>
        </is>
      </c>
      <c r="B803" s="1" t="n">
        <v>45729</v>
      </c>
      <c r="C803" s="1" t="n">
        <v>46064</v>
      </c>
      <c r="D803" t="inlineStr">
        <is>
          <t>SKÅNE LÄN</t>
        </is>
      </c>
      <c r="E803" t="inlineStr">
        <is>
          <t>HÄSSLEHOLM</t>
        </is>
      </c>
      <c r="G803" t="n">
        <v>1.8</v>
      </c>
      <c r="H803" t="n">
        <v>0</v>
      </c>
      <c r="I803" t="n">
        <v>0</v>
      </c>
      <c r="J803" t="n">
        <v>0</v>
      </c>
      <c r="K803" t="n">
        <v>0</v>
      </c>
      <c r="L803" t="n">
        <v>0</v>
      </c>
      <c r="M803" t="n">
        <v>0</v>
      </c>
      <c r="N803" t="n">
        <v>0</v>
      </c>
      <c r="O803" t="n">
        <v>0</v>
      </c>
      <c r="P803" t="n">
        <v>0</v>
      </c>
      <c r="Q803" t="n">
        <v>0</v>
      </c>
      <c r="R803" s="2" t="inlineStr"/>
    </row>
    <row r="804" ht="15" customHeight="1">
      <c r="A804" t="inlineStr">
        <is>
          <t>A 56767-2025</t>
        </is>
      </c>
      <c r="B804" s="1" t="n">
        <v>45978.38178240741</v>
      </c>
      <c r="C804" s="1" t="n">
        <v>46064</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56769-2025</t>
        </is>
      </c>
      <c r="B805" s="1" t="n">
        <v>45978.38429398148</v>
      </c>
      <c r="C805" s="1" t="n">
        <v>46064</v>
      </c>
      <c r="D805" t="inlineStr">
        <is>
          <t>SKÅNE LÄN</t>
        </is>
      </c>
      <c r="E805" t="inlineStr">
        <is>
          <t>HÄSSLEHOLM</t>
        </is>
      </c>
      <c r="G805" t="n">
        <v>1.1</v>
      </c>
      <c r="H805" t="n">
        <v>0</v>
      </c>
      <c r="I805" t="n">
        <v>0</v>
      </c>
      <c r="J805" t="n">
        <v>0</v>
      </c>
      <c r="K805" t="n">
        <v>0</v>
      </c>
      <c r="L805" t="n">
        <v>0</v>
      </c>
      <c r="M805" t="n">
        <v>0</v>
      </c>
      <c r="N805" t="n">
        <v>0</v>
      </c>
      <c r="O805" t="n">
        <v>0</v>
      </c>
      <c r="P805" t="n">
        <v>0</v>
      </c>
      <c r="Q805" t="n">
        <v>0</v>
      </c>
      <c r="R805" s="2" t="inlineStr"/>
    </row>
    <row r="806" ht="15" customHeight="1">
      <c r="A806" t="inlineStr">
        <is>
          <t>A 56794-2025</t>
        </is>
      </c>
      <c r="B806" s="1" t="n">
        <v>45978.43039351852</v>
      </c>
      <c r="C806" s="1" t="n">
        <v>46064</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60848-2022</t>
        </is>
      </c>
      <c r="B807" s="1" t="n">
        <v>44914</v>
      </c>
      <c r="C807" s="1" t="n">
        <v>46064</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6164-2023</t>
        </is>
      </c>
      <c r="B808" s="1" t="n">
        <v>44964.66871527778</v>
      </c>
      <c r="C808" s="1" t="n">
        <v>46064</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55569-2025</t>
        </is>
      </c>
      <c r="B809" s="1" t="n">
        <v>45971</v>
      </c>
      <c r="C809" s="1" t="n">
        <v>46064</v>
      </c>
      <c r="D809" t="inlineStr">
        <is>
          <t>SKÅNE LÄN</t>
        </is>
      </c>
      <c r="E809" t="inlineStr">
        <is>
          <t>HÄSSLEHOLM</t>
        </is>
      </c>
      <c r="G809" t="n">
        <v>4.2</v>
      </c>
      <c r="H809" t="n">
        <v>0</v>
      </c>
      <c r="I809" t="n">
        <v>0</v>
      </c>
      <c r="J809" t="n">
        <v>0</v>
      </c>
      <c r="K809" t="n">
        <v>0</v>
      </c>
      <c r="L809" t="n">
        <v>0</v>
      </c>
      <c r="M809" t="n">
        <v>0</v>
      </c>
      <c r="N809" t="n">
        <v>0</v>
      </c>
      <c r="O809" t="n">
        <v>0</v>
      </c>
      <c r="P809" t="n">
        <v>0</v>
      </c>
      <c r="Q809" t="n">
        <v>0</v>
      </c>
      <c r="R809" s="2" t="inlineStr"/>
    </row>
    <row r="810" ht="15" customHeight="1">
      <c r="A810" t="inlineStr">
        <is>
          <t>A 57817-2025</t>
        </is>
      </c>
      <c r="B810" s="1" t="n">
        <v>45981.59475694445</v>
      </c>
      <c r="C810" s="1" t="n">
        <v>46064</v>
      </c>
      <c r="D810" t="inlineStr">
        <is>
          <t>SKÅNE LÄN</t>
        </is>
      </c>
      <c r="E810" t="inlineStr">
        <is>
          <t>HÄSSLEHOLM</t>
        </is>
      </c>
      <c r="G810" t="n">
        <v>3.8</v>
      </c>
      <c r="H810" t="n">
        <v>0</v>
      </c>
      <c r="I810" t="n">
        <v>0</v>
      </c>
      <c r="J810" t="n">
        <v>0</v>
      </c>
      <c r="K810" t="n">
        <v>0</v>
      </c>
      <c r="L810" t="n">
        <v>0</v>
      </c>
      <c r="M810" t="n">
        <v>0</v>
      </c>
      <c r="N810" t="n">
        <v>0</v>
      </c>
      <c r="O810" t="n">
        <v>0</v>
      </c>
      <c r="P810" t="n">
        <v>0</v>
      </c>
      <c r="Q810" t="n">
        <v>0</v>
      </c>
      <c r="R810" s="2" t="inlineStr"/>
    </row>
    <row r="811" ht="15" customHeight="1">
      <c r="A811" t="inlineStr">
        <is>
          <t>A 30092-2025</t>
        </is>
      </c>
      <c r="B811" s="1" t="n">
        <v>45826</v>
      </c>
      <c r="C811" s="1" t="n">
        <v>46064</v>
      </c>
      <c r="D811" t="inlineStr">
        <is>
          <t>SKÅNE LÄN</t>
        </is>
      </c>
      <c r="E811" t="inlineStr">
        <is>
          <t>HÄSSLEHOLM</t>
        </is>
      </c>
      <c r="G811" t="n">
        <v>1.4</v>
      </c>
      <c r="H811" t="n">
        <v>0</v>
      </c>
      <c r="I811" t="n">
        <v>0</v>
      </c>
      <c r="J811" t="n">
        <v>0</v>
      </c>
      <c r="K811" t="n">
        <v>0</v>
      </c>
      <c r="L811" t="n">
        <v>0</v>
      </c>
      <c r="M811" t="n">
        <v>0</v>
      </c>
      <c r="N811" t="n">
        <v>0</v>
      </c>
      <c r="O811" t="n">
        <v>0</v>
      </c>
      <c r="P811" t="n">
        <v>0</v>
      </c>
      <c r="Q811" t="n">
        <v>0</v>
      </c>
      <c r="R811" s="2" t="inlineStr"/>
    </row>
    <row r="812" ht="15" customHeight="1">
      <c r="A812" t="inlineStr">
        <is>
          <t>A 30109-2025</t>
        </is>
      </c>
      <c r="B812" s="1" t="n">
        <v>45826</v>
      </c>
      <c r="C812" s="1" t="n">
        <v>46064</v>
      </c>
      <c r="D812" t="inlineStr">
        <is>
          <t>SKÅNE LÄN</t>
        </is>
      </c>
      <c r="E812" t="inlineStr">
        <is>
          <t>HÄSSLEHOLM</t>
        </is>
      </c>
      <c r="G812" t="n">
        <v>2.4</v>
      </c>
      <c r="H812" t="n">
        <v>0</v>
      </c>
      <c r="I812" t="n">
        <v>0</v>
      </c>
      <c r="J812" t="n">
        <v>0</v>
      </c>
      <c r="K812" t="n">
        <v>0</v>
      </c>
      <c r="L812" t="n">
        <v>0</v>
      </c>
      <c r="M812" t="n">
        <v>0</v>
      </c>
      <c r="N812" t="n">
        <v>0</v>
      </c>
      <c r="O812" t="n">
        <v>0</v>
      </c>
      <c r="P812" t="n">
        <v>0</v>
      </c>
      <c r="Q812" t="n">
        <v>0</v>
      </c>
      <c r="R812" s="2" t="inlineStr"/>
    </row>
    <row r="813" ht="15" customHeight="1">
      <c r="A813" t="inlineStr">
        <is>
          <t>A 45392-2024</t>
        </is>
      </c>
      <c r="B813" s="1" t="n">
        <v>45576.55008101852</v>
      </c>
      <c r="C813" s="1" t="n">
        <v>46064</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16454-2023</t>
        </is>
      </c>
      <c r="B814" s="1" t="n">
        <v>45029.48425925926</v>
      </c>
      <c r="C814" s="1" t="n">
        <v>46064</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17335-2024</t>
        </is>
      </c>
      <c r="B815" s="1" t="n">
        <v>45414.5687962963</v>
      </c>
      <c r="C815" s="1" t="n">
        <v>46064</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24246-2023</t>
        </is>
      </c>
      <c r="B816" s="1" t="n">
        <v>45079</v>
      </c>
      <c r="C816" s="1" t="n">
        <v>46064</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24249-2023</t>
        </is>
      </c>
      <c r="B817" s="1" t="n">
        <v>45079.62466435185</v>
      </c>
      <c r="C817" s="1" t="n">
        <v>46064</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31989-2024</t>
        </is>
      </c>
      <c r="B818" s="1" t="n">
        <v>45510.58085648148</v>
      </c>
      <c r="C818" s="1" t="n">
        <v>46064</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1120-2024</t>
        </is>
      </c>
      <c r="B819" s="1" t="n">
        <v>45302.4452662037</v>
      </c>
      <c r="C819" s="1" t="n">
        <v>46064</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58241-2025</t>
        </is>
      </c>
      <c r="B820" s="1" t="n">
        <v>45985.38797453704</v>
      </c>
      <c r="C820" s="1" t="n">
        <v>46064</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60973-2024</t>
        </is>
      </c>
      <c r="B821" s="1" t="n">
        <v>45644</v>
      </c>
      <c r="C821" s="1" t="n">
        <v>46064</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27478-2023</t>
        </is>
      </c>
      <c r="B822" s="1" t="n">
        <v>45092</v>
      </c>
      <c r="C822" s="1" t="n">
        <v>46064</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37898-2021</t>
        </is>
      </c>
      <c r="B823" s="1" t="n">
        <v>44403</v>
      </c>
      <c r="C823" s="1" t="n">
        <v>46064</v>
      </c>
      <c r="D823" t="inlineStr">
        <is>
          <t>SKÅNE LÄN</t>
        </is>
      </c>
      <c r="E823" t="inlineStr">
        <is>
          <t>HÄSSLEHOLM</t>
        </is>
      </c>
      <c r="F823" t="inlineStr">
        <is>
          <t>Kommuner</t>
        </is>
      </c>
      <c r="G823" t="n">
        <v>8.4</v>
      </c>
      <c r="H823" t="n">
        <v>0</v>
      </c>
      <c r="I823" t="n">
        <v>0</v>
      </c>
      <c r="J823" t="n">
        <v>0</v>
      </c>
      <c r="K823" t="n">
        <v>0</v>
      </c>
      <c r="L823" t="n">
        <v>0</v>
      </c>
      <c r="M823" t="n">
        <v>0</v>
      </c>
      <c r="N823" t="n">
        <v>0</v>
      </c>
      <c r="O823" t="n">
        <v>0</v>
      </c>
      <c r="P823" t="n">
        <v>0</v>
      </c>
      <c r="Q823" t="n">
        <v>0</v>
      </c>
      <c r="R823" s="2" t="inlineStr"/>
    </row>
    <row r="824" ht="15" customHeight="1">
      <c r="A824" t="inlineStr">
        <is>
          <t>A 26641-2023</t>
        </is>
      </c>
      <c r="B824" s="1" t="n">
        <v>45092.89619212963</v>
      </c>
      <c r="C824" s="1" t="n">
        <v>46064</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16397-2022</t>
        </is>
      </c>
      <c r="B825" s="1" t="n">
        <v>44671</v>
      </c>
      <c r="C825" s="1" t="n">
        <v>46064</v>
      </c>
      <c r="D825" t="inlineStr">
        <is>
          <t>SKÅNE LÄN</t>
        </is>
      </c>
      <c r="E825" t="inlineStr">
        <is>
          <t>HÄSSLEHOLM</t>
        </is>
      </c>
      <c r="G825" t="n">
        <v>2.7</v>
      </c>
      <c r="H825" t="n">
        <v>0</v>
      </c>
      <c r="I825" t="n">
        <v>0</v>
      </c>
      <c r="J825" t="n">
        <v>0</v>
      </c>
      <c r="K825" t="n">
        <v>0</v>
      </c>
      <c r="L825" t="n">
        <v>0</v>
      </c>
      <c r="M825" t="n">
        <v>0</v>
      </c>
      <c r="N825" t="n">
        <v>0</v>
      </c>
      <c r="O825" t="n">
        <v>0</v>
      </c>
      <c r="P825" t="n">
        <v>0</v>
      </c>
      <c r="Q825" t="n">
        <v>0</v>
      </c>
      <c r="R825" s="2" t="inlineStr"/>
    </row>
    <row r="826" ht="15" customHeight="1">
      <c r="A826" t="inlineStr">
        <is>
          <t>A 16398-2022</t>
        </is>
      </c>
      <c r="B826" s="1" t="n">
        <v>44671</v>
      </c>
      <c r="C826" s="1" t="n">
        <v>46064</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11753-2025</t>
        </is>
      </c>
      <c r="B827" s="1" t="n">
        <v>45727</v>
      </c>
      <c r="C827" s="1" t="n">
        <v>46064</v>
      </c>
      <c r="D827" t="inlineStr">
        <is>
          <t>SKÅNE LÄN</t>
        </is>
      </c>
      <c r="E827" t="inlineStr">
        <is>
          <t>HÄSSLEHOLM</t>
        </is>
      </c>
      <c r="G827" t="n">
        <v>2.7</v>
      </c>
      <c r="H827" t="n">
        <v>0</v>
      </c>
      <c r="I827" t="n">
        <v>0</v>
      </c>
      <c r="J827" t="n">
        <v>0</v>
      </c>
      <c r="K827" t="n">
        <v>0</v>
      </c>
      <c r="L827" t="n">
        <v>0</v>
      </c>
      <c r="M827" t="n">
        <v>0</v>
      </c>
      <c r="N827" t="n">
        <v>0</v>
      </c>
      <c r="O827" t="n">
        <v>0</v>
      </c>
      <c r="P827" t="n">
        <v>0</v>
      </c>
      <c r="Q827" t="n">
        <v>0</v>
      </c>
      <c r="R827" s="2" t="inlineStr"/>
    </row>
    <row r="828" ht="15" customHeight="1">
      <c r="A828" t="inlineStr">
        <is>
          <t>A 58933-2025</t>
        </is>
      </c>
      <c r="B828" s="1" t="n">
        <v>45987.56107638889</v>
      </c>
      <c r="C828" s="1" t="n">
        <v>46064</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4512-2024</t>
        </is>
      </c>
      <c r="B829" s="1" t="n">
        <v>45327.6312962963</v>
      </c>
      <c r="C829" s="1" t="n">
        <v>46064</v>
      </c>
      <c r="D829" t="inlineStr">
        <is>
          <t>SKÅNE LÄN</t>
        </is>
      </c>
      <c r="E829" t="inlineStr">
        <is>
          <t>HÄSSLEHOLM</t>
        </is>
      </c>
      <c r="G829" t="n">
        <v>2</v>
      </c>
      <c r="H829" t="n">
        <v>0</v>
      </c>
      <c r="I829" t="n">
        <v>0</v>
      </c>
      <c r="J829" t="n">
        <v>0</v>
      </c>
      <c r="K829" t="n">
        <v>0</v>
      </c>
      <c r="L829" t="n">
        <v>0</v>
      </c>
      <c r="M829" t="n">
        <v>0</v>
      </c>
      <c r="N829" t="n">
        <v>0</v>
      </c>
      <c r="O829" t="n">
        <v>0</v>
      </c>
      <c r="P829" t="n">
        <v>0</v>
      </c>
      <c r="Q829" t="n">
        <v>0</v>
      </c>
      <c r="R829" s="2" t="inlineStr"/>
    </row>
    <row r="830" ht="15" customHeight="1">
      <c r="A830" t="inlineStr">
        <is>
          <t>A 15512-2025</t>
        </is>
      </c>
      <c r="B830" s="1" t="n">
        <v>45747</v>
      </c>
      <c r="C830" s="1" t="n">
        <v>46064</v>
      </c>
      <c r="D830" t="inlineStr">
        <is>
          <t>SKÅNE LÄN</t>
        </is>
      </c>
      <c r="E830" t="inlineStr">
        <is>
          <t>HÄSSLEHOLM</t>
        </is>
      </c>
      <c r="G830" t="n">
        <v>3.5</v>
      </c>
      <c r="H830" t="n">
        <v>0</v>
      </c>
      <c r="I830" t="n">
        <v>0</v>
      </c>
      <c r="J830" t="n">
        <v>0</v>
      </c>
      <c r="K830" t="n">
        <v>0</v>
      </c>
      <c r="L830" t="n">
        <v>0</v>
      </c>
      <c r="M830" t="n">
        <v>0</v>
      </c>
      <c r="N830" t="n">
        <v>0</v>
      </c>
      <c r="O830" t="n">
        <v>0</v>
      </c>
      <c r="P830" t="n">
        <v>0</v>
      </c>
      <c r="Q830" t="n">
        <v>0</v>
      </c>
      <c r="R830" s="2" t="inlineStr"/>
    </row>
    <row r="831" ht="15" customHeight="1">
      <c r="A831" t="inlineStr">
        <is>
          <t>A 39044-2024</t>
        </is>
      </c>
      <c r="B831" s="1" t="n">
        <v>45548.47707175926</v>
      </c>
      <c r="C831" s="1" t="n">
        <v>46064</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19020-2024</t>
        </is>
      </c>
      <c r="B832" s="1" t="n">
        <v>45427.66167824074</v>
      </c>
      <c r="C832" s="1" t="n">
        <v>46064</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40734-2024</t>
        </is>
      </c>
      <c r="B833" s="1" t="n">
        <v>45558</v>
      </c>
      <c r="C833" s="1" t="n">
        <v>46064</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40738-2024</t>
        </is>
      </c>
      <c r="B834" s="1" t="n">
        <v>45558</v>
      </c>
      <c r="C834" s="1" t="n">
        <v>46064</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49199-2024</t>
        </is>
      </c>
      <c r="B835" s="1" t="n">
        <v>45595</v>
      </c>
      <c r="C835" s="1" t="n">
        <v>46064</v>
      </c>
      <c r="D835" t="inlineStr">
        <is>
          <t>SKÅNE LÄN</t>
        </is>
      </c>
      <c r="E835" t="inlineStr">
        <is>
          <t>HÄSSLEHOLM</t>
        </is>
      </c>
      <c r="G835" t="n">
        <v>5.2</v>
      </c>
      <c r="H835" t="n">
        <v>0</v>
      </c>
      <c r="I835" t="n">
        <v>0</v>
      </c>
      <c r="J835" t="n">
        <v>0</v>
      </c>
      <c r="K835" t="n">
        <v>0</v>
      </c>
      <c r="L835" t="n">
        <v>0</v>
      </c>
      <c r="M835" t="n">
        <v>0</v>
      </c>
      <c r="N835" t="n">
        <v>0</v>
      </c>
      <c r="O835" t="n">
        <v>0</v>
      </c>
      <c r="P835" t="n">
        <v>0</v>
      </c>
      <c r="Q835" t="n">
        <v>0</v>
      </c>
      <c r="R835" s="2" t="inlineStr"/>
    </row>
    <row r="836" ht="15" customHeight="1">
      <c r="A836" t="inlineStr">
        <is>
          <t>A 2712-2024</t>
        </is>
      </c>
      <c r="B836" s="1" t="n">
        <v>45314</v>
      </c>
      <c r="C836" s="1" t="n">
        <v>46064</v>
      </c>
      <c r="D836" t="inlineStr">
        <is>
          <t>SKÅNE LÄN</t>
        </is>
      </c>
      <c r="E836" t="inlineStr">
        <is>
          <t>HÄSSLEHOLM</t>
        </is>
      </c>
      <c r="G836" t="n">
        <v>11.3</v>
      </c>
      <c r="H836" t="n">
        <v>0</v>
      </c>
      <c r="I836" t="n">
        <v>0</v>
      </c>
      <c r="J836" t="n">
        <v>0</v>
      </c>
      <c r="K836" t="n">
        <v>0</v>
      </c>
      <c r="L836" t="n">
        <v>0</v>
      </c>
      <c r="M836" t="n">
        <v>0</v>
      </c>
      <c r="N836" t="n">
        <v>0</v>
      </c>
      <c r="O836" t="n">
        <v>0</v>
      </c>
      <c r="P836" t="n">
        <v>0</v>
      </c>
      <c r="Q836" t="n">
        <v>0</v>
      </c>
      <c r="R836" s="2" t="inlineStr"/>
    </row>
    <row r="837" ht="15" customHeight="1">
      <c r="A837" t="inlineStr">
        <is>
          <t>A 56986-2024</t>
        </is>
      </c>
      <c r="B837" s="1" t="n">
        <v>45626</v>
      </c>
      <c r="C837" s="1" t="n">
        <v>46064</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46222-2022</t>
        </is>
      </c>
      <c r="B838" s="1" t="n">
        <v>44847.58725694445</v>
      </c>
      <c r="C838" s="1" t="n">
        <v>46064</v>
      </c>
      <c r="D838" t="inlineStr">
        <is>
          <t>SKÅNE LÄN</t>
        </is>
      </c>
      <c r="E838" t="inlineStr">
        <is>
          <t>HÄSSLEHOLM</t>
        </is>
      </c>
      <c r="G838" t="n">
        <v>6.3</v>
      </c>
      <c r="H838" t="n">
        <v>0</v>
      </c>
      <c r="I838" t="n">
        <v>0</v>
      </c>
      <c r="J838" t="n">
        <v>0</v>
      </c>
      <c r="K838" t="n">
        <v>0</v>
      </c>
      <c r="L838" t="n">
        <v>0</v>
      </c>
      <c r="M838" t="n">
        <v>0</v>
      </c>
      <c r="N838" t="n">
        <v>0</v>
      </c>
      <c r="O838" t="n">
        <v>0</v>
      </c>
      <c r="P838" t="n">
        <v>0</v>
      </c>
      <c r="Q838" t="n">
        <v>0</v>
      </c>
      <c r="R838" s="2" t="inlineStr"/>
    </row>
    <row r="839" ht="15" customHeight="1">
      <c r="A839" t="inlineStr">
        <is>
          <t>A 2567-2024</t>
        </is>
      </c>
      <c r="B839" s="1" t="n">
        <v>45313.62460648148</v>
      </c>
      <c r="C839" s="1" t="n">
        <v>46064</v>
      </c>
      <c r="D839" t="inlineStr">
        <is>
          <t>SKÅNE LÄN</t>
        </is>
      </c>
      <c r="E839" t="inlineStr">
        <is>
          <t>HÄSSLEHOLM</t>
        </is>
      </c>
      <c r="G839" t="n">
        <v>1.1</v>
      </c>
      <c r="H839" t="n">
        <v>0</v>
      </c>
      <c r="I839" t="n">
        <v>0</v>
      </c>
      <c r="J839" t="n">
        <v>0</v>
      </c>
      <c r="K839" t="n">
        <v>0</v>
      </c>
      <c r="L839" t="n">
        <v>0</v>
      </c>
      <c r="M839" t="n">
        <v>0</v>
      </c>
      <c r="N839" t="n">
        <v>0</v>
      </c>
      <c r="O839" t="n">
        <v>0</v>
      </c>
      <c r="P839" t="n">
        <v>0</v>
      </c>
      <c r="Q839" t="n">
        <v>0</v>
      </c>
      <c r="R839" s="2" t="inlineStr"/>
    </row>
    <row r="840" ht="15" customHeight="1">
      <c r="A840" t="inlineStr">
        <is>
          <t>A 28632-2024</t>
        </is>
      </c>
      <c r="B840" s="1" t="n">
        <v>45478</v>
      </c>
      <c r="C840" s="1" t="n">
        <v>46064</v>
      </c>
      <c r="D840" t="inlineStr">
        <is>
          <t>SKÅNE LÄN</t>
        </is>
      </c>
      <c r="E840" t="inlineStr">
        <is>
          <t>HÄSSLEHOLM</t>
        </is>
      </c>
      <c r="G840" t="n">
        <v>4</v>
      </c>
      <c r="H840" t="n">
        <v>0</v>
      </c>
      <c r="I840" t="n">
        <v>0</v>
      </c>
      <c r="J840" t="n">
        <v>0</v>
      </c>
      <c r="K840" t="n">
        <v>0</v>
      </c>
      <c r="L840" t="n">
        <v>0</v>
      </c>
      <c r="M840" t="n">
        <v>0</v>
      </c>
      <c r="N840" t="n">
        <v>0</v>
      </c>
      <c r="O840" t="n">
        <v>0</v>
      </c>
      <c r="P840" t="n">
        <v>0</v>
      </c>
      <c r="Q840" t="n">
        <v>0</v>
      </c>
      <c r="R840" s="2" t="inlineStr"/>
    </row>
    <row r="841" ht="15" customHeight="1">
      <c r="A841" t="inlineStr">
        <is>
          <t>A 11708-2025</t>
        </is>
      </c>
      <c r="B841" s="1" t="n">
        <v>45727.58626157408</v>
      </c>
      <c r="C841" s="1" t="n">
        <v>46064</v>
      </c>
      <c r="D841" t="inlineStr">
        <is>
          <t>SKÅNE LÄN</t>
        </is>
      </c>
      <c r="E841" t="inlineStr">
        <is>
          <t>HÄSSLEHOLM</t>
        </is>
      </c>
      <c r="G841" t="n">
        <v>1.3</v>
      </c>
      <c r="H841" t="n">
        <v>0</v>
      </c>
      <c r="I841" t="n">
        <v>0</v>
      </c>
      <c r="J841" t="n">
        <v>0</v>
      </c>
      <c r="K841" t="n">
        <v>0</v>
      </c>
      <c r="L841" t="n">
        <v>0</v>
      </c>
      <c r="M841" t="n">
        <v>0</v>
      </c>
      <c r="N841" t="n">
        <v>0</v>
      </c>
      <c r="O841" t="n">
        <v>0</v>
      </c>
      <c r="P841" t="n">
        <v>0</v>
      </c>
      <c r="Q841" t="n">
        <v>0</v>
      </c>
      <c r="R841" s="2" t="inlineStr"/>
    </row>
    <row r="842" ht="15" customHeight="1">
      <c r="A842" t="inlineStr">
        <is>
          <t>A 931-2026</t>
        </is>
      </c>
      <c r="B842" s="1" t="n">
        <v>46030.51495370371</v>
      </c>
      <c r="C842" s="1" t="n">
        <v>46064</v>
      </c>
      <c r="D842" t="inlineStr">
        <is>
          <t>SKÅNE LÄN</t>
        </is>
      </c>
      <c r="E842" t="inlineStr">
        <is>
          <t>HÄSSLEHOLM</t>
        </is>
      </c>
      <c r="F842" t="inlineStr">
        <is>
          <t>Övriga Aktiebolag</t>
        </is>
      </c>
      <c r="G842" t="n">
        <v>2.3</v>
      </c>
      <c r="H842" t="n">
        <v>0</v>
      </c>
      <c r="I842" t="n">
        <v>0</v>
      </c>
      <c r="J842" t="n">
        <v>0</v>
      </c>
      <c r="K842" t="n">
        <v>0</v>
      </c>
      <c r="L842" t="n">
        <v>0</v>
      </c>
      <c r="M842" t="n">
        <v>0</v>
      </c>
      <c r="N842" t="n">
        <v>0</v>
      </c>
      <c r="O842" t="n">
        <v>0</v>
      </c>
      <c r="P842" t="n">
        <v>0</v>
      </c>
      <c r="Q842" t="n">
        <v>0</v>
      </c>
      <c r="R842" s="2" t="inlineStr"/>
    </row>
    <row r="843" ht="15" customHeight="1">
      <c r="A843" t="inlineStr">
        <is>
          <t>A 706-2026</t>
        </is>
      </c>
      <c r="B843" s="1" t="n">
        <v>46029.61739583333</v>
      </c>
      <c r="C843" s="1" t="n">
        <v>46064</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21028-2021</t>
        </is>
      </c>
      <c r="B844" s="1" t="n">
        <v>44319</v>
      </c>
      <c r="C844" s="1" t="n">
        <v>46064</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69357-2021</t>
        </is>
      </c>
      <c r="B845" s="1" t="n">
        <v>44531</v>
      </c>
      <c r="C845" s="1" t="n">
        <v>46064</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3855-2023</t>
        </is>
      </c>
      <c r="B846" s="1" t="n">
        <v>44951.69708333333</v>
      </c>
      <c r="C846" s="1" t="n">
        <v>46064</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33481-2024</t>
        </is>
      </c>
      <c r="B847" s="1" t="n">
        <v>45519</v>
      </c>
      <c r="C847" s="1" t="n">
        <v>46064</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1289-2024</t>
        </is>
      </c>
      <c r="B848" s="1" t="n">
        <v>45303.32234953704</v>
      </c>
      <c r="C848" s="1" t="n">
        <v>46064</v>
      </c>
      <c r="D848" t="inlineStr">
        <is>
          <t>SKÅNE LÄN</t>
        </is>
      </c>
      <c r="E848" t="inlineStr">
        <is>
          <t>HÄSSLEHOLM</t>
        </is>
      </c>
      <c r="G848" t="n">
        <v>4.6</v>
      </c>
      <c r="H848" t="n">
        <v>0</v>
      </c>
      <c r="I848" t="n">
        <v>0</v>
      </c>
      <c r="J848" t="n">
        <v>0</v>
      </c>
      <c r="K848" t="n">
        <v>0</v>
      </c>
      <c r="L848" t="n">
        <v>0</v>
      </c>
      <c r="M848" t="n">
        <v>0</v>
      </c>
      <c r="N848" t="n">
        <v>0</v>
      </c>
      <c r="O848" t="n">
        <v>0</v>
      </c>
      <c r="P848" t="n">
        <v>0</v>
      </c>
      <c r="Q848" t="n">
        <v>0</v>
      </c>
      <c r="R848" s="2" t="inlineStr"/>
    </row>
    <row r="849" ht="15" customHeight="1">
      <c r="A849" t="inlineStr">
        <is>
          <t>A 59722-2025</t>
        </is>
      </c>
      <c r="B849" s="1" t="n">
        <v>45992.5474537037</v>
      </c>
      <c r="C849" s="1" t="n">
        <v>46064</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1616-2025</t>
        </is>
      </c>
      <c r="B850" s="1" t="n">
        <v>45670</v>
      </c>
      <c r="C850" s="1" t="n">
        <v>46064</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53055-2021</t>
        </is>
      </c>
      <c r="B851" s="1" t="n">
        <v>44467</v>
      </c>
      <c r="C851" s="1" t="n">
        <v>46064</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54176-2022</t>
        </is>
      </c>
      <c r="B852" s="1" t="n">
        <v>44881</v>
      </c>
      <c r="C852" s="1" t="n">
        <v>46064</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7152-2025</t>
        </is>
      </c>
      <c r="B853" s="1" t="n">
        <v>45702.3837037037</v>
      </c>
      <c r="C853" s="1" t="n">
        <v>46064</v>
      </c>
      <c r="D853" t="inlineStr">
        <is>
          <t>SKÅNE LÄN</t>
        </is>
      </c>
      <c r="E853" t="inlineStr">
        <is>
          <t>HÄSSLEHOLM</t>
        </is>
      </c>
      <c r="G853" t="n">
        <v>1.3</v>
      </c>
      <c r="H853" t="n">
        <v>0</v>
      </c>
      <c r="I853" t="n">
        <v>0</v>
      </c>
      <c r="J853" t="n">
        <v>0</v>
      </c>
      <c r="K853" t="n">
        <v>0</v>
      </c>
      <c r="L853" t="n">
        <v>0</v>
      </c>
      <c r="M853" t="n">
        <v>0</v>
      </c>
      <c r="N853" t="n">
        <v>0</v>
      </c>
      <c r="O853" t="n">
        <v>0</v>
      </c>
      <c r="P853" t="n">
        <v>0</v>
      </c>
      <c r="Q853" t="n">
        <v>0</v>
      </c>
      <c r="R853" s="2" t="inlineStr"/>
    </row>
    <row r="854" ht="15" customHeight="1">
      <c r="A854" t="inlineStr">
        <is>
          <t>A 7160-2025</t>
        </is>
      </c>
      <c r="B854" s="1" t="n">
        <v>45702.3875462963</v>
      </c>
      <c r="C854" s="1" t="n">
        <v>46064</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27291-2023</t>
        </is>
      </c>
      <c r="B855" s="1" t="n">
        <v>45096</v>
      </c>
      <c r="C855" s="1" t="n">
        <v>46064</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1640-2026</t>
        </is>
      </c>
      <c r="B856" s="1" t="n">
        <v>46034.4961574074</v>
      </c>
      <c r="C856" s="1" t="n">
        <v>46064</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32154-2024</t>
        </is>
      </c>
      <c r="B857" s="1" t="n">
        <v>45511</v>
      </c>
      <c r="C857" s="1" t="n">
        <v>46064</v>
      </c>
      <c r="D857" t="inlineStr">
        <is>
          <t>SKÅNE LÄN</t>
        </is>
      </c>
      <c r="E857" t="inlineStr">
        <is>
          <t>HÄSSLEHOLM</t>
        </is>
      </c>
      <c r="G857" t="n">
        <v>6.4</v>
      </c>
      <c r="H857" t="n">
        <v>0</v>
      </c>
      <c r="I857" t="n">
        <v>0</v>
      </c>
      <c r="J857" t="n">
        <v>0</v>
      </c>
      <c r="K857" t="n">
        <v>0</v>
      </c>
      <c r="L857" t="n">
        <v>0</v>
      </c>
      <c r="M857" t="n">
        <v>0</v>
      </c>
      <c r="N857" t="n">
        <v>0</v>
      </c>
      <c r="O857" t="n">
        <v>0</v>
      </c>
      <c r="P857" t="n">
        <v>0</v>
      </c>
      <c r="Q857" t="n">
        <v>0</v>
      </c>
      <c r="R857" s="2" t="inlineStr"/>
    </row>
    <row r="858" ht="15" customHeight="1">
      <c r="A858" t="inlineStr">
        <is>
          <t>A 441-2022</t>
        </is>
      </c>
      <c r="B858" s="1" t="n">
        <v>44565.97125</v>
      </c>
      <c r="C858" s="1" t="n">
        <v>46064</v>
      </c>
      <c r="D858" t="inlineStr">
        <is>
          <t>SKÅNE LÄN</t>
        </is>
      </c>
      <c r="E858" t="inlineStr">
        <is>
          <t>HÄSSLEHOLM</t>
        </is>
      </c>
      <c r="G858" t="n">
        <v>2.1</v>
      </c>
      <c r="H858" t="n">
        <v>0</v>
      </c>
      <c r="I858" t="n">
        <v>0</v>
      </c>
      <c r="J858" t="n">
        <v>0</v>
      </c>
      <c r="K858" t="n">
        <v>0</v>
      </c>
      <c r="L858" t="n">
        <v>0</v>
      </c>
      <c r="M858" t="n">
        <v>0</v>
      </c>
      <c r="N858" t="n">
        <v>0</v>
      </c>
      <c r="O858" t="n">
        <v>0</v>
      </c>
      <c r="P858" t="n">
        <v>0</v>
      </c>
      <c r="Q858" t="n">
        <v>0</v>
      </c>
      <c r="R858" s="2" t="inlineStr"/>
    </row>
    <row r="859" ht="15" customHeight="1">
      <c r="A859" t="inlineStr">
        <is>
          <t>A 1645-2026</t>
        </is>
      </c>
      <c r="B859" s="1" t="n">
        <v>46034.5069212963</v>
      </c>
      <c r="C859" s="1" t="n">
        <v>46064</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5887-2025</t>
        </is>
      </c>
      <c r="B860" s="1" t="n">
        <v>45695.37925925926</v>
      </c>
      <c r="C860" s="1" t="n">
        <v>46064</v>
      </c>
      <c r="D860" t="inlineStr">
        <is>
          <t>SKÅNE LÄN</t>
        </is>
      </c>
      <c r="E860" t="inlineStr">
        <is>
          <t>HÄSSLEHOLM</t>
        </is>
      </c>
      <c r="G860" t="n">
        <v>4.8</v>
      </c>
      <c r="H860" t="n">
        <v>0</v>
      </c>
      <c r="I860" t="n">
        <v>0</v>
      </c>
      <c r="J860" t="n">
        <v>0</v>
      </c>
      <c r="K860" t="n">
        <v>0</v>
      </c>
      <c r="L860" t="n">
        <v>0</v>
      </c>
      <c r="M860" t="n">
        <v>0</v>
      </c>
      <c r="N860" t="n">
        <v>0</v>
      </c>
      <c r="O860" t="n">
        <v>0</v>
      </c>
      <c r="P860" t="n">
        <v>0</v>
      </c>
      <c r="Q860" t="n">
        <v>0</v>
      </c>
      <c r="R860" s="2" t="inlineStr"/>
    </row>
    <row r="861" ht="15" customHeight="1">
      <c r="A861" t="inlineStr">
        <is>
          <t>A 1656-2026</t>
        </is>
      </c>
      <c r="B861" s="1" t="n">
        <v>46034.54035879629</v>
      </c>
      <c r="C861" s="1" t="n">
        <v>46064</v>
      </c>
      <c r="D861" t="inlineStr">
        <is>
          <t>SKÅNE LÄN</t>
        </is>
      </c>
      <c r="E861" t="inlineStr">
        <is>
          <t>HÄSSLEHOLM</t>
        </is>
      </c>
      <c r="G861" t="n">
        <v>1.7</v>
      </c>
      <c r="H861" t="n">
        <v>0</v>
      </c>
      <c r="I861" t="n">
        <v>0</v>
      </c>
      <c r="J861" t="n">
        <v>0</v>
      </c>
      <c r="K861" t="n">
        <v>0</v>
      </c>
      <c r="L861" t="n">
        <v>0</v>
      </c>
      <c r="M861" t="n">
        <v>0</v>
      </c>
      <c r="N861" t="n">
        <v>0</v>
      </c>
      <c r="O861" t="n">
        <v>0</v>
      </c>
      <c r="P861" t="n">
        <v>0</v>
      </c>
      <c r="Q861" t="n">
        <v>0</v>
      </c>
      <c r="R861" s="2" t="inlineStr"/>
    </row>
    <row r="862" ht="15" customHeight="1">
      <c r="A862" t="inlineStr">
        <is>
          <t>A 1659-2026</t>
        </is>
      </c>
      <c r="B862" s="1" t="n">
        <v>46034.55335648148</v>
      </c>
      <c r="C862" s="1" t="n">
        <v>46064</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1658-2026</t>
        </is>
      </c>
      <c r="B863" s="1" t="n">
        <v>46034.55091435185</v>
      </c>
      <c r="C863" s="1" t="n">
        <v>46064</v>
      </c>
      <c r="D863" t="inlineStr">
        <is>
          <t>SKÅNE LÄN</t>
        </is>
      </c>
      <c r="E863" t="inlineStr">
        <is>
          <t>HÄSSLEHOLM</t>
        </is>
      </c>
      <c r="G863" t="n">
        <v>2</v>
      </c>
      <c r="H863" t="n">
        <v>0</v>
      </c>
      <c r="I863" t="n">
        <v>0</v>
      </c>
      <c r="J863" t="n">
        <v>0</v>
      </c>
      <c r="K863" t="n">
        <v>0</v>
      </c>
      <c r="L863" t="n">
        <v>0</v>
      </c>
      <c r="M863" t="n">
        <v>0</v>
      </c>
      <c r="N863" t="n">
        <v>0</v>
      </c>
      <c r="O863" t="n">
        <v>0</v>
      </c>
      <c r="P863" t="n">
        <v>0</v>
      </c>
      <c r="Q863" t="n">
        <v>0</v>
      </c>
      <c r="R863" s="2" t="inlineStr"/>
    </row>
    <row r="864" ht="15" customHeight="1">
      <c r="A864" t="inlineStr">
        <is>
          <t>A 2618-2026</t>
        </is>
      </c>
      <c r="B864" s="1" t="n">
        <v>46035</v>
      </c>
      <c r="C864" s="1" t="n">
        <v>46064</v>
      </c>
      <c r="D864" t="inlineStr">
        <is>
          <t>SKÅNE LÄN</t>
        </is>
      </c>
      <c r="E864" t="inlineStr">
        <is>
          <t>HÄSSLEHOLM</t>
        </is>
      </c>
      <c r="F864" t="inlineStr">
        <is>
          <t>Kyrkan</t>
        </is>
      </c>
      <c r="G864" t="n">
        <v>4.8</v>
      </c>
      <c r="H864" t="n">
        <v>0</v>
      </c>
      <c r="I864" t="n">
        <v>0</v>
      </c>
      <c r="J864" t="n">
        <v>0</v>
      </c>
      <c r="K864" t="n">
        <v>0</v>
      </c>
      <c r="L864" t="n">
        <v>0</v>
      </c>
      <c r="M864" t="n">
        <v>0</v>
      </c>
      <c r="N864" t="n">
        <v>0</v>
      </c>
      <c r="O864" t="n">
        <v>0</v>
      </c>
      <c r="P864" t="n">
        <v>0</v>
      </c>
      <c r="Q864" t="n">
        <v>0</v>
      </c>
      <c r="R864" s="2" t="inlineStr"/>
    </row>
    <row r="865" ht="15" customHeight="1">
      <c r="A865" t="inlineStr">
        <is>
          <t>A 14157-2021</t>
        </is>
      </c>
      <c r="B865" s="1" t="n">
        <v>44278.43246527778</v>
      </c>
      <c r="C865" s="1" t="n">
        <v>46064</v>
      </c>
      <c r="D865" t="inlineStr">
        <is>
          <t>SKÅNE LÄN</t>
        </is>
      </c>
      <c r="E865" t="inlineStr">
        <is>
          <t>HÄSSLEHOLM</t>
        </is>
      </c>
      <c r="G865" t="n">
        <v>10.5</v>
      </c>
      <c r="H865" t="n">
        <v>0</v>
      </c>
      <c r="I865" t="n">
        <v>0</v>
      </c>
      <c r="J865" t="n">
        <v>0</v>
      </c>
      <c r="K865" t="n">
        <v>0</v>
      </c>
      <c r="L865" t="n">
        <v>0</v>
      </c>
      <c r="M865" t="n">
        <v>0</v>
      </c>
      <c r="N865" t="n">
        <v>0</v>
      </c>
      <c r="O865" t="n">
        <v>0</v>
      </c>
      <c r="P865" t="n">
        <v>0</v>
      </c>
      <c r="Q865" t="n">
        <v>0</v>
      </c>
      <c r="R865" s="2" t="inlineStr"/>
    </row>
    <row r="866" ht="15" customHeight="1">
      <c r="A866" t="inlineStr">
        <is>
          <t>A 2306-2026</t>
        </is>
      </c>
      <c r="B866" s="1" t="n">
        <v>46034</v>
      </c>
      <c r="C866" s="1" t="n">
        <v>46064</v>
      </c>
      <c r="D866" t="inlineStr">
        <is>
          <t>SKÅNE LÄN</t>
        </is>
      </c>
      <c r="E866" t="inlineStr">
        <is>
          <t>HÄSSLEHOLM</t>
        </is>
      </c>
      <c r="G866" t="n">
        <v>3.4</v>
      </c>
      <c r="H866" t="n">
        <v>0</v>
      </c>
      <c r="I866" t="n">
        <v>0</v>
      </c>
      <c r="J866" t="n">
        <v>0</v>
      </c>
      <c r="K866" t="n">
        <v>0</v>
      </c>
      <c r="L866" t="n">
        <v>0</v>
      </c>
      <c r="M866" t="n">
        <v>0</v>
      </c>
      <c r="N866" t="n">
        <v>0</v>
      </c>
      <c r="O866" t="n">
        <v>0</v>
      </c>
      <c r="P866" t="n">
        <v>0</v>
      </c>
      <c r="Q866" t="n">
        <v>0</v>
      </c>
      <c r="R866" s="2" t="inlineStr"/>
    </row>
    <row r="867" ht="15" customHeight="1">
      <c r="A867" t="inlineStr">
        <is>
          <t>A 54874-2022</t>
        </is>
      </c>
      <c r="B867" s="1" t="n">
        <v>44881</v>
      </c>
      <c r="C867" s="1" t="n">
        <v>46064</v>
      </c>
      <c r="D867" t="inlineStr">
        <is>
          <t>SKÅNE LÄN</t>
        </is>
      </c>
      <c r="E867" t="inlineStr">
        <is>
          <t>HÄSSLEHOLM</t>
        </is>
      </c>
      <c r="G867" t="n">
        <v>8.1</v>
      </c>
      <c r="H867" t="n">
        <v>0</v>
      </c>
      <c r="I867" t="n">
        <v>0</v>
      </c>
      <c r="J867" t="n">
        <v>0</v>
      </c>
      <c r="K867" t="n">
        <v>0</v>
      </c>
      <c r="L867" t="n">
        <v>0</v>
      </c>
      <c r="M867" t="n">
        <v>0</v>
      </c>
      <c r="N867" t="n">
        <v>0</v>
      </c>
      <c r="O867" t="n">
        <v>0</v>
      </c>
      <c r="P867" t="n">
        <v>0</v>
      </c>
      <c r="Q867" t="n">
        <v>0</v>
      </c>
      <c r="R867" s="2" t="inlineStr"/>
    </row>
    <row r="868" ht="15" customHeight="1">
      <c r="A868" t="inlineStr">
        <is>
          <t>A 17152-2025</t>
        </is>
      </c>
      <c r="B868" s="1" t="n">
        <v>45756.33318287037</v>
      </c>
      <c r="C868" s="1" t="n">
        <v>46064</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34301-2024</t>
        </is>
      </c>
      <c r="B869" s="1" t="n">
        <v>45524</v>
      </c>
      <c r="C869" s="1" t="n">
        <v>46064</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27242-2022</t>
        </is>
      </c>
      <c r="B870" s="1" t="n">
        <v>44741</v>
      </c>
      <c r="C870" s="1" t="n">
        <v>46064</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61158-2022</t>
        </is>
      </c>
      <c r="B871" s="1" t="n">
        <v>44915.47112268519</v>
      </c>
      <c r="C871" s="1" t="n">
        <v>46064</v>
      </c>
      <c r="D871" t="inlineStr">
        <is>
          <t>SKÅNE LÄN</t>
        </is>
      </c>
      <c r="E871" t="inlineStr">
        <is>
          <t>HÄSSLEHOLM</t>
        </is>
      </c>
      <c r="G871" t="n">
        <v>8.4</v>
      </c>
      <c r="H871" t="n">
        <v>0</v>
      </c>
      <c r="I871" t="n">
        <v>0</v>
      </c>
      <c r="J871" t="n">
        <v>0</v>
      </c>
      <c r="K871" t="n">
        <v>0</v>
      </c>
      <c r="L871" t="n">
        <v>0</v>
      </c>
      <c r="M871" t="n">
        <v>0</v>
      </c>
      <c r="N871" t="n">
        <v>0</v>
      </c>
      <c r="O871" t="n">
        <v>0</v>
      </c>
      <c r="P871" t="n">
        <v>0</v>
      </c>
      <c r="Q871" t="n">
        <v>0</v>
      </c>
      <c r="R871" s="2" t="inlineStr"/>
    </row>
    <row r="872" ht="15" customHeight="1">
      <c r="A872" t="inlineStr">
        <is>
          <t>A 61186-2022</t>
        </is>
      </c>
      <c r="B872" s="1" t="n">
        <v>44915.50745370371</v>
      </c>
      <c r="C872" s="1" t="n">
        <v>46064</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62055-2023</t>
        </is>
      </c>
      <c r="B873" s="1" t="n">
        <v>45266.70287037037</v>
      </c>
      <c r="C873" s="1" t="n">
        <v>46064</v>
      </c>
      <c r="D873" t="inlineStr">
        <is>
          <t>SKÅNE LÄN</t>
        </is>
      </c>
      <c r="E873" t="inlineStr">
        <is>
          <t>HÄSSLEHOLM</t>
        </is>
      </c>
      <c r="G873" t="n">
        <v>5.2</v>
      </c>
      <c r="H873" t="n">
        <v>0</v>
      </c>
      <c r="I873" t="n">
        <v>0</v>
      </c>
      <c r="J873" t="n">
        <v>0</v>
      </c>
      <c r="K873" t="n">
        <v>0</v>
      </c>
      <c r="L873" t="n">
        <v>0</v>
      </c>
      <c r="M873" t="n">
        <v>0</v>
      </c>
      <c r="N873" t="n">
        <v>0</v>
      </c>
      <c r="O873" t="n">
        <v>0</v>
      </c>
      <c r="P873" t="n">
        <v>0</v>
      </c>
      <c r="Q873" t="n">
        <v>0</v>
      </c>
      <c r="R873" s="2" t="inlineStr"/>
    </row>
    <row r="874" ht="15" customHeight="1">
      <c r="A874" t="inlineStr">
        <is>
          <t>A 2617-2026</t>
        </is>
      </c>
      <c r="B874" s="1" t="n">
        <v>46035</v>
      </c>
      <c r="C874" s="1" t="n">
        <v>46064</v>
      </c>
      <c r="D874" t="inlineStr">
        <is>
          <t>SKÅNE LÄN</t>
        </is>
      </c>
      <c r="E874" t="inlineStr">
        <is>
          <t>HÄSSLEHOLM</t>
        </is>
      </c>
      <c r="F874" t="inlineStr">
        <is>
          <t>Kyrkan</t>
        </is>
      </c>
      <c r="G874" t="n">
        <v>5.5</v>
      </c>
      <c r="H874" t="n">
        <v>0</v>
      </c>
      <c r="I874" t="n">
        <v>0</v>
      </c>
      <c r="J874" t="n">
        <v>0</v>
      </c>
      <c r="K874" t="n">
        <v>0</v>
      </c>
      <c r="L874" t="n">
        <v>0</v>
      </c>
      <c r="M874" t="n">
        <v>0</v>
      </c>
      <c r="N874" t="n">
        <v>0</v>
      </c>
      <c r="O874" t="n">
        <v>0</v>
      </c>
      <c r="P874" t="n">
        <v>0</v>
      </c>
      <c r="Q874" t="n">
        <v>0</v>
      </c>
      <c r="R874" s="2" t="inlineStr"/>
    </row>
    <row r="875" ht="15" customHeight="1">
      <c r="A875" t="inlineStr">
        <is>
          <t>A 33465-2024</t>
        </is>
      </c>
      <c r="B875" s="1" t="n">
        <v>45519.59619212963</v>
      </c>
      <c r="C875" s="1" t="n">
        <v>46064</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26642-2023</t>
        </is>
      </c>
      <c r="B876" s="1" t="n">
        <v>45092.8975</v>
      </c>
      <c r="C876" s="1" t="n">
        <v>46064</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66321-2021</t>
        </is>
      </c>
      <c r="B877" s="1" t="n">
        <v>44518</v>
      </c>
      <c r="C877" s="1" t="n">
        <v>46064</v>
      </c>
      <c r="D877" t="inlineStr">
        <is>
          <t>SKÅNE LÄN</t>
        </is>
      </c>
      <c r="E877" t="inlineStr">
        <is>
          <t>HÄSSLEHOLM</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16668-2025</t>
        </is>
      </c>
      <c r="B878" s="1" t="n">
        <v>45754.43009259259</v>
      </c>
      <c r="C878" s="1" t="n">
        <v>46064</v>
      </c>
      <c r="D878" t="inlineStr">
        <is>
          <t>SKÅNE LÄN</t>
        </is>
      </c>
      <c r="E878" t="inlineStr">
        <is>
          <t>HÄSSLEHOLM</t>
        </is>
      </c>
      <c r="G878" t="n">
        <v>4</v>
      </c>
      <c r="H878" t="n">
        <v>0</v>
      </c>
      <c r="I878" t="n">
        <v>0</v>
      </c>
      <c r="J878" t="n">
        <v>0</v>
      </c>
      <c r="K878" t="n">
        <v>0</v>
      </c>
      <c r="L878" t="n">
        <v>0</v>
      </c>
      <c r="M878" t="n">
        <v>0</v>
      </c>
      <c r="N878" t="n">
        <v>0</v>
      </c>
      <c r="O878" t="n">
        <v>0</v>
      </c>
      <c r="P878" t="n">
        <v>0</v>
      </c>
      <c r="Q878" t="n">
        <v>0</v>
      </c>
      <c r="R878" s="2" t="inlineStr"/>
    </row>
    <row r="879" ht="15" customHeight="1">
      <c r="A879" t="inlineStr">
        <is>
          <t>A 23857-2024</t>
        </is>
      </c>
      <c r="B879" s="1" t="n">
        <v>45455</v>
      </c>
      <c r="C879" s="1" t="n">
        <v>46064</v>
      </c>
      <c r="D879" t="inlineStr">
        <is>
          <t>SKÅNE LÄN</t>
        </is>
      </c>
      <c r="E879" t="inlineStr">
        <is>
          <t>HÄSSLEHOLM</t>
        </is>
      </c>
      <c r="G879" t="n">
        <v>3</v>
      </c>
      <c r="H879" t="n">
        <v>0</v>
      </c>
      <c r="I879" t="n">
        <v>0</v>
      </c>
      <c r="J879" t="n">
        <v>0</v>
      </c>
      <c r="K879" t="n">
        <v>0</v>
      </c>
      <c r="L879" t="n">
        <v>0</v>
      </c>
      <c r="M879" t="n">
        <v>0</v>
      </c>
      <c r="N879" t="n">
        <v>0</v>
      </c>
      <c r="O879" t="n">
        <v>0</v>
      </c>
      <c r="P879" t="n">
        <v>0</v>
      </c>
      <c r="Q879" t="n">
        <v>0</v>
      </c>
      <c r="R879" s="2" t="inlineStr"/>
    </row>
    <row r="880" ht="15" customHeight="1">
      <c r="A880" t="inlineStr">
        <is>
          <t>A 31268-2024</t>
        </is>
      </c>
      <c r="B880" s="1" t="n">
        <v>45504</v>
      </c>
      <c r="C880" s="1" t="n">
        <v>46064</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51287-2022</t>
        </is>
      </c>
      <c r="B881" s="1" t="n">
        <v>44868.83146990741</v>
      </c>
      <c r="C881" s="1" t="n">
        <v>46064</v>
      </c>
      <c r="D881" t="inlineStr">
        <is>
          <t>SKÅNE LÄN</t>
        </is>
      </c>
      <c r="E881" t="inlineStr">
        <is>
          <t>HÄSSLEHOLM</t>
        </is>
      </c>
      <c r="G881" t="n">
        <v>2.2</v>
      </c>
      <c r="H881" t="n">
        <v>0</v>
      </c>
      <c r="I881" t="n">
        <v>0</v>
      </c>
      <c r="J881" t="n">
        <v>0</v>
      </c>
      <c r="K881" t="n">
        <v>0</v>
      </c>
      <c r="L881" t="n">
        <v>0</v>
      </c>
      <c r="M881" t="n">
        <v>0</v>
      </c>
      <c r="N881" t="n">
        <v>0</v>
      </c>
      <c r="O881" t="n">
        <v>0</v>
      </c>
      <c r="P881" t="n">
        <v>0</v>
      </c>
      <c r="Q881" t="n">
        <v>0</v>
      </c>
      <c r="R881" s="2" t="inlineStr"/>
    </row>
    <row r="882" ht="15" customHeight="1">
      <c r="A882" t="inlineStr">
        <is>
          <t>A 20494-2024</t>
        </is>
      </c>
      <c r="B882" s="1" t="n">
        <v>45435</v>
      </c>
      <c r="C882" s="1" t="n">
        <v>46064</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55454-2021</t>
        </is>
      </c>
      <c r="B883" s="1" t="n">
        <v>44475</v>
      </c>
      <c r="C883" s="1" t="n">
        <v>46064</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3298-2026</t>
        </is>
      </c>
      <c r="B884" s="1" t="n">
        <v>46041</v>
      </c>
      <c r="C884" s="1" t="n">
        <v>46064</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31572-2022</t>
        </is>
      </c>
      <c r="B885" s="1" t="n">
        <v>44775</v>
      </c>
      <c r="C885" s="1" t="n">
        <v>46064</v>
      </c>
      <c r="D885" t="inlineStr">
        <is>
          <t>SKÅNE LÄN</t>
        </is>
      </c>
      <c r="E885" t="inlineStr">
        <is>
          <t>HÄSSLEHOLM</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4356-2024</t>
        </is>
      </c>
      <c r="B886" s="1" t="n">
        <v>45325.36195601852</v>
      </c>
      <c r="C886" s="1" t="n">
        <v>46064</v>
      </c>
      <c r="D886" t="inlineStr">
        <is>
          <t>SKÅNE LÄN</t>
        </is>
      </c>
      <c r="E886" t="inlineStr">
        <is>
          <t>HÄSSLEHOLM</t>
        </is>
      </c>
      <c r="G886" t="n">
        <v>3.2</v>
      </c>
      <c r="H886" t="n">
        <v>0</v>
      </c>
      <c r="I886" t="n">
        <v>0</v>
      </c>
      <c r="J886" t="n">
        <v>0</v>
      </c>
      <c r="K886" t="n">
        <v>0</v>
      </c>
      <c r="L886" t="n">
        <v>0</v>
      </c>
      <c r="M886" t="n">
        <v>0</v>
      </c>
      <c r="N886" t="n">
        <v>0</v>
      </c>
      <c r="O886" t="n">
        <v>0</v>
      </c>
      <c r="P886" t="n">
        <v>0</v>
      </c>
      <c r="Q886" t="n">
        <v>0</v>
      </c>
      <c r="R886" s="2" t="inlineStr"/>
    </row>
    <row r="887" ht="15" customHeight="1">
      <c r="A887" t="inlineStr">
        <is>
          <t>A 3480-2024</t>
        </is>
      </c>
      <c r="B887" s="1" t="n">
        <v>45320.43998842593</v>
      </c>
      <c r="C887" s="1" t="n">
        <v>46064</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5980-2024</t>
        </is>
      </c>
      <c r="B888" s="1" t="n">
        <v>45335</v>
      </c>
      <c r="C888" s="1" t="n">
        <v>46064</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10802-2024</t>
        </is>
      </c>
      <c r="B889" s="1" t="n">
        <v>45369</v>
      </c>
      <c r="C889" s="1" t="n">
        <v>46064</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45653-2024</t>
        </is>
      </c>
      <c r="B890" s="1" t="n">
        <v>45579.48872685185</v>
      </c>
      <c r="C890" s="1" t="n">
        <v>46064</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9322-2025</t>
        </is>
      </c>
      <c r="B891" s="1" t="n">
        <v>45714.72241898148</v>
      </c>
      <c r="C891" s="1" t="n">
        <v>46064</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3715-2026</t>
        </is>
      </c>
      <c r="B892" s="1" t="n">
        <v>46043.48746527778</v>
      </c>
      <c r="C892" s="1" t="n">
        <v>46064</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61322-2025</t>
        </is>
      </c>
      <c r="B893" s="1" t="n">
        <v>46000</v>
      </c>
      <c r="C893" s="1" t="n">
        <v>46064</v>
      </c>
      <c r="D893" t="inlineStr">
        <is>
          <t>SKÅNE LÄN</t>
        </is>
      </c>
      <c r="E893" t="inlineStr">
        <is>
          <t>HÄSSLEHOLM</t>
        </is>
      </c>
      <c r="G893" t="n">
        <v>2.2</v>
      </c>
      <c r="H893" t="n">
        <v>0</v>
      </c>
      <c r="I893" t="n">
        <v>0</v>
      </c>
      <c r="J893" t="n">
        <v>0</v>
      </c>
      <c r="K893" t="n">
        <v>0</v>
      </c>
      <c r="L893" t="n">
        <v>0</v>
      </c>
      <c r="M893" t="n">
        <v>0</v>
      </c>
      <c r="N893" t="n">
        <v>0</v>
      </c>
      <c r="O893" t="n">
        <v>0</v>
      </c>
      <c r="P893" t="n">
        <v>0</v>
      </c>
      <c r="Q893" t="n">
        <v>0</v>
      </c>
      <c r="R893" s="2" t="inlineStr"/>
    </row>
    <row r="894" ht="15" customHeight="1">
      <c r="A894" t="inlineStr">
        <is>
          <t>A 260-2024</t>
        </is>
      </c>
      <c r="B894" s="1" t="n">
        <v>45294</v>
      </c>
      <c r="C894" s="1" t="n">
        <v>46064</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58632-2025</t>
        </is>
      </c>
      <c r="B895" s="1" t="n">
        <v>45986</v>
      </c>
      <c r="C895" s="1" t="n">
        <v>46064</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40780-2022</t>
        </is>
      </c>
      <c r="B896" s="1" t="n">
        <v>44820</v>
      </c>
      <c r="C896" s="1" t="n">
        <v>46064</v>
      </c>
      <c r="D896" t="inlineStr">
        <is>
          <t>SKÅNE LÄN</t>
        </is>
      </c>
      <c r="E896" t="inlineStr">
        <is>
          <t>HÄSSLEHOLM</t>
        </is>
      </c>
      <c r="G896" t="n">
        <v>7.4</v>
      </c>
      <c r="H896" t="n">
        <v>0</v>
      </c>
      <c r="I896" t="n">
        <v>0</v>
      </c>
      <c r="J896" t="n">
        <v>0</v>
      </c>
      <c r="K896" t="n">
        <v>0</v>
      </c>
      <c r="L896" t="n">
        <v>0</v>
      </c>
      <c r="M896" t="n">
        <v>0</v>
      </c>
      <c r="N896" t="n">
        <v>0</v>
      </c>
      <c r="O896" t="n">
        <v>0</v>
      </c>
      <c r="P896" t="n">
        <v>0</v>
      </c>
      <c r="Q896" t="n">
        <v>0</v>
      </c>
      <c r="R896" s="2" t="inlineStr"/>
    </row>
    <row r="897" ht="15" customHeight="1">
      <c r="A897" t="inlineStr">
        <is>
          <t>A 3862-2026</t>
        </is>
      </c>
      <c r="B897" s="1" t="n">
        <v>46043.62646990741</v>
      </c>
      <c r="C897" s="1" t="n">
        <v>46064</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3904-2026</t>
        </is>
      </c>
      <c r="B898" s="1" t="n">
        <v>46043.69711805556</v>
      </c>
      <c r="C898" s="1" t="n">
        <v>46064</v>
      </c>
      <c r="D898" t="inlineStr">
        <is>
          <t>SKÅNE LÄN</t>
        </is>
      </c>
      <c r="E898" t="inlineStr">
        <is>
          <t>HÄSSLEHOLM</t>
        </is>
      </c>
      <c r="G898" t="n">
        <v>1.3</v>
      </c>
      <c r="H898" t="n">
        <v>0</v>
      </c>
      <c r="I898" t="n">
        <v>0</v>
      </c>
      <c r="J898" t="n">
        <v>0</v>
      </c>
      <c r="K898" t="n">
        <v>0</v>
      </c>
      <c r="L898" t="n">
        <v>0</v>
      </c>
      <c r="M898" t="n">
        <v>0</v>
      </c>
      <c r="N898" t="n">
        <v>0</v>
      </c>
      <c r="O898" t="n">
        <v>0</v>
      </c>
      <c r="P898" t="n">
        <v>0</v>
      </c>
      <c r="Q898" t="n">
        <v>0</v>
      </c>
      <c r="R898" s="2" t="inlineStr"/>
    </row>
    <row r="899" ht="15" customHeight="1">
      <c r="A899" t="inlineStr">
        <is>
          <t>A 5316-2023</t>
        </is>
      </c>
      <c r="B899" s="1" t="n">
        <v>44959</v>
      </c>
      <c r="C899" s="1" t="n">
        <v>46064</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61474-2025</t>
        </is>
      </c>
      <c r="B900" s="1" t="n">
        <v>46001.61886574074</v>
      </c>
      <c r="C900" s="1" t="n">
        <v>46064</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64884-2023</t>
        </is>
      </c>
      <c r="B901" s="1" t="n">
        <v>45282.57809027778</v>
      </c>
      <c r="C901" s="1" t="n">
        <v>46064</v>
      </c>
      <c r="D901" t="inlineStr">
        <is>
          <t>SKÅNE LÄN</t>
        </is>
      </c>
      <c r="E901" t="inlineStr">
        <is>
          <t>HÄSSLEHOLM</t>
        </is>
      </c>
      <c r="G901" t="n">
        <v>4.6</v>
      </c>
      <c r="H901" t="n">
        <v>0</v>
      </c>
      <c r="I901" t="n">
        <v>0</v>
      </c>
      <c r="J901" t="n">
        <v>0</v>
      </c>
      <c r="K901" t="n">
        <v>0</v>
      </c>
      <c r="L901" t="n">
        <v>0</v>
      </c>
      <c r="M901" t="n">
        <v>0</v>
      </c>
      <c r="N901" t="n">
        <v>0</v>
      </c>
      <c r="O901" t="n">
        <v>0</v>
      </c>
      <c r="P901" t="n">
        <v>0</v>
      </c>
      <c r="Q901" t="n">
        <v>0</v>
      </c>
      <c r="R901" s="2" t="inlineStr"/>
    </row>
    <row r="902" ht="15" customHeight="1">
      <c r="A902" t="inlineStr">
        <is>
          <t>A 48112-2024</t>
        </is>
      </c>
      <c r="B902" s="1" t="n">
        <v>45589.6295949074</v>
      </c>
      <c r="C902" s="1" t="n">
        <v>46064</v>
      </c>
      <c r="D902" t="inlineStr">
        <is>
          <t>SKÅNE LÄN</t>
        </is>
      </c>
      <c r="E902" t="inlineStr">
        <is>
          <t>HÄSSLEHOLM</t>
        </is>
      </c>
      <c r="G902" t="n">
        <v>1.1</v>
      </c>
      <c r="H902" t="n">
        <v>0</v>
      </c>
      <c r="I902" t="n">
        <v>0</v>
      </c>
      <c r="J902" t="n">
        <v>0</v>
      </c>
      <c r="K902" t="n">
        <v>0</v>
      </c>
      <c r="L902" t="n">
        <v>0</v>
      </c>
      <c r="M902" t="n">
        <v>0</v>
      </c>
      <c r="N902" t="n">
        <v>0</v>
      </c>
      <c r="O902" t="n">
        <v>0</v>
      </c>
      <c r="P902" t="n">
        <v>0</v>
      </c>
      <c r="Q902" t="n">
        <v>0</v>
      </c>
      <c r="R902" s="2" t="inlineStr"/>
    </row>
    <row r="903" ht="15" customHeight="1">
      <c r="A903" t="inlineStr">
        <is>
          <t>A 6310-2025</t>
        </is>
      </c>
      <c r="B903" s="1" t="n">
        <v>45698</v>
      </c>
      <c r="C903" s="1" t="n">
        <v>46064</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32008-2024</t>
        </is>
      </c>
      <c r="B904" s="1" t="n">
        <v>45510</v>
      </c>
      <c r="C904" s="1" t="n">
        <v>46064</v>
      </c>
      <c r="D904" t="inlineStr">
        <is>
          <t>SKÅNE LÄN</t>
        </is>
      </c>
      <c r="E904" t="inlineStr">
        <is>
          <t>HÄSSLEHOLM</t>
        </is>
      </c>
      <c r="G904" t="n">
        <v>5.1</v>
      </c>
      <c r="H904" t="n">
        <v>0</v>
      </c>
      <c r="I904" t="n">
        <v>0</v>
      </c>
      <c r="J904" t="n">
        <v>0</v>
      </c>
      <c r="K904" t="n">
        <v>0</v>
      </c>
      <c r="L904" t="n">
        <v>0</v>
      </c>
      <c r="M904" t="n">
        <v>0</v>
      </c>
      <c r="N904" t="n">
        <v>0</v>
      </c>
      <c r="O904" t="n">
        <v>0</v>
      </c>
      <c r="P904" t="n">
        <v>0</v>
      </c>
      <c r="Q904" t="n">
        <v>0</v>
      </c>
      <c r="R904" s="2" t="inlineStr"/>
    </row>
    <row r="905" ht="15" customHeight="1">
      <c r="A905" t="inlineStr">
        <is>
          <t>A 16474-2025</t>
        </is>
      </c>
      <c r="B905" s="1" t="n">
        <v>45751.56834490741</v>
      </c>
      <c r="C905" s="1" t="n">
        <v>46064</v>
      </c>
      <c r="D905" t="inlineStr">
        <is>
          <t>SKÅNE LÄN</t>
        </is>
      </c>
      <c r="E905" t="inlineStr">
        <is>
          <t>HÄSSLEHOLM</t>
        </is>
      </c>
      <c r="G905" t="n">
        <v>5.9</v>
      </c>
      <c r="H905" t="n">
        <v>0</v>
      </c>
      <c r="I905" t="n">
        <v>0</v>
      </c>
      <c r="J905" t="n">
        <v>0</v>
      </c>
      <c r="K905" t="n">
        <v>0</v>
      </c>
      <c r="L905" t="n">
        <v>0</v>
      </c>
      <c r="M905" t="n">
        <v>0</v>
      </c>
      <c r="N905" t="n">
        <v>0</v>
      </c>
      <c r="O905" t="n">
        <v>0</v>
      </c>
      <c r="P905" t="n">
        <v>0</v>
      </c>
      <c r="Q905" t="n">
        <v>0</v>
      </c>
      <c r="R905" s="2" t="inlineStr"/>
    </row>
    <row r="906" ht="15" customHeight="1">
      <c r="A906" t="inlineStr">
        <is>
          <t>A 48097-2024</t>
        </is>
      </c>
      <c r="B906" s="1" t="n">
        <v>45589.61413194444</v>
      </c>
      <c r="C906" s="1" t="n">
        <v>46064</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60846-2022</t>
        </is>
      </c>
      <c r="B907" s="1" t="n">
        <v>44914</v>
      </c>
      <c r="C907" s="1" t="n">
        <v>46064</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42776-2021</t>
        </is>
      </c>
      <c r="B908" s="1" t="n">
        <v>44428</v>
      </c>
      <c r="C908" s="1" t="n">
        <v>46064</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45014.38376157408</v>
      </c>
      <c r="C909" s="1" t="n">
        <v>46064</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4981-2026</t>
        </is>
      </c>
      <c r="B910" s="1" t="n">
        <v>46049.37100694444</v>
      </c>
      <c r="C910" s="1" t="n">
        <v>46064</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39915-2023</t>
        </is>
      </c>
      <c r="B911" s="1" t="n">
        <v>45168.4684375</v>
      </c>
      <c r="C911" s="1" t="n">
        <v>46064</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62376-2025</t>
        </is>
      </c>
      <c r="B912" s="1" t="n">
        <v>46006</v>
      </c>
      <c r="C912" s="1" t="n">
        <v>46064</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62271-2025</t>
        </is>
      </c>
      <c r="B913" s="1" t="n">
        <v>46006.62256944444</v>
      </c>
      <c r="C913" s="1" t="n">
        <v>46064</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20058-2023</t>
        </is>
      </c>
      <c r="B914" s="1" t="n">
        <v>45054.68476851852</v>
      </c>
      <c r="C914" s="1" t="n">
        <v>46064</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8619-2023</t>
        </is>
      </c>
      <c r="B915" s="1" t="n">
        <v>44977.81979166667</v>
      </c>
      <c r="C915" s="1" t="n">
        <v>46064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9543-2025</t>
        </is>
      </c>
      <c r="B916" s="1" t="n">
        <v>45715</v>
      </c>
      <c r="C916" s="1" t="n">
        <v>46064</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62264-2025</t>
        </is>
      </c>
      <c r="B917" s="1" t="n">
        <v>46006.61644675926</v>
      </c>
      <c r="C917" s="1" t="n">
        <v>46064</v>
      </c>
      <c r="D917" t="inlineStr">
        <is>
          <t>SKÅNE LÄN</t>
        </is>
      </c>
      <c r="E917" t="inlineStr">
        <is>
          <t>HÄSSLEHOLM</t>
        </is>
      </c>
      <c r="G917" t="n">
        <v>7.5</v>
      </c>
      <c r="H917" t="n">
        <v>0</v>
      </c>
      <c r="I917" t="n">
        <v>0</v>
      </c>
      <c r="J917" t="n">
        <v>0</v>
      </c>
      <c r="K917" t="n">
        <v>0</v>
      </c>
      <c r="L917" t="n">
        <v>0</v>
      </c>
      <c r="M917" t="n">
        <v>0</v>
      </c>
      <c r="N917" t="n">
        <v>0</v>
      </c>
      <c r="O917" t="n">
        <v>0</v>
      </c>
      <c r="P917" t="n">
        <v>0</v>
      </c>
      <c r="Q917" t="n">
        <v>0</v>
      </c>
      <c r="R917" s="2" t="inlineStr"/>
    </row>
    <row r="918" ht="15" customHeight="1">
      <c r="A918" t="inlineStr">
        <is>
          <t>A 53067-2022</t>
        </is>
      </c>
      <c r="B918" s="1" t="n">
        <v>44873</v>
      </c>
      <c r="C918" s="1" t="n">
        <v>46064</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3349-2023</t>
        </is>
      </c>
      <c r="B919" s="1" t="n">
        <v>44949</v>
      </c>
      <c r="C919" s="1" t="n">
        <v>46064</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46813-2024</t>
        </is>
      </c>
      <c r="B920" s="1" t="n">
        <v>45583</v>
      </c>
      <c r="C920" s="1" t="n">
        <v>46064</v>
      </c>
      <c r="D920" t="inlineStr">
        <is>
          <t>SKÅNE LÄN</t>
        </is>
      </c>
      <c r="E920" t="inlineStr">
        <is>
          <t>HÄSSLEHOLM</t>
        </is>
      </c>
      <c r="G920" t="n">
        <v>14.9</v>
      </c>
      <c r="H920" t="n">
        <v>0</v>
      </c>
      <c r="I920" t="n">
        <v>0</v>
      </c>
      <c r="J920" t="n">
        <v>0</v>
      </c>
      <c r="K920" t="n">
        <v>0</v>
      </c>
      <c r="L920" t="n">
        <v>0</v>
      </c>
      <c r="M920" t="n">
        <v>0</v>
      </c>
      <c r="N920" t="n">
        <v>0</v>
      </c>
      <c r="O920" t="n">
        <v>0</v>
      </c>
      <c r="P920" t="n">
        <v>0</v>
      </c>
      <c r="Q920" t="n">
        <v>0</v>
      </c>
      <c r="R920" s="2" t="inlineStr"/>
    </row>
    <row r="921" ht="15" customHeight="1">
      <c r="A921" t="inlineStr">
        <is>
          <t>A 46185-2022</t>
        </is>
      </c>
      <c r="B921" s="1" t="n">
        <v>44847</v>
      </c>
      <c r="C921" s="1" t="n">
        <v>46064</v>
      </c>
      <c r="D921" t="inlineStr">
        <is>
          <t>SKÅNE LÄN</t>
        </is>
      </c>
      <c r="E921" t="inlineStr">
        <is>
          <t>HÄSSLEHOLM</t>
        </is>
      </c>
      <c r="G921" t="n">
        <v>16.8</v>
      </c>
      <c r="H921" t="n">
        <v>0</v>
      </c>
      <c r="I921" t="n">
        <v>0</v>
      </c>
      <c r="J921" t="n">
        <v>0</v>
      </c>
      <c r="K921" t="n">
        <v>0</v>
      </c>
      <c r="L921" t="n">
        <v>0</v>
      </c>
      <c r="M921" t="n">
        <v>0</v>
      </c>
      <c r="N921" t="n">
        <v>0</v>
      </c>
      <c r="O921" t="n">
        <v>0</v>
      </c>
      <c r="P921" t="n">
        <v>0</v>
      </c>
      <c r="Q921" t="n">
        <v>0</v>
      </c>
      <c r="R921" s="2" t="inlineStr"/>
    </row>
    <row r="922" ht="15" customHeight="1">
      <c r="A922" t="inlineStr">
        <is>
          <t>A 18623-2023</t>
        </is>
      </c>
      <c r="B922" s="1" t="n">
        <v>45043</v>
      </c>
      <c r="C922" s="1" t="n">
        <v>46064</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33873-2021</t>
        </is>
      </c>
      <c r="B923" s="1" t="n">
        <v>44378</v>
      </c>
      <c r="C923" s="1" t="n">
        <v>46064</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46064</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9302-2025</t>
        </is>
      </c>
      <c r="B925" s="1" t="n">
        <v>45714.67233796296</v>
      </c>
      <c r="C925" s="1" t="n">
        <v>46064</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5759-2026</t>
        </is>
      </c>
      <c r="B926" s="1" t="n">
        <v>46051.61814814815</v>
      </c>
      <c r="C926" s="1" t="n">
        <v>46064</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47907-2021</t>
        </is>
      </c>
      <c r="B927" s="1" t="n">
        <v>44448</v>
      </c>
      <c r="C927" s="1" t="n">
        <v>46064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1197-2024</t>
        </is>
      </c>
      <c r="B928" s="1" t="n">
        <v>45302</v>
      </c>
      <c r="C928" s="1" t="n">
        <v>46064</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13712-2025</t>
        </is>
      </c>
      <c r="B929" s="1" t="n">
        <v>45737</v>
      </c>
      <c r="C929" s="1" t="n">
        <v>46064</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49950-2023</t>
        </is>
      </c>
      <c r="B930" s="1" t="n">
        <v>45215</v>
      </c>
      <c r="C930" s="1" t="n">
        <v>46064</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41694-2024</t>
        </is>
      </c>
      <c r="B931" s="1" t="n">
        <v>45560.68341435185</v>
      </c>
      <c r="C931" s="1" t="n">
        <v>46064</v>
      </c>
      <c r="D931" t="inlineStr">
        <is>
          <t>SKÅNE LÄN</t>
        </is>
      </c>
      <c r="E931" t="inlineStr">
        <is>
          <t>HÄSSLEHOLM</t>
        </is>
      </c>
      <c r="G931" t="n">
        <v>0.4</v>
      </c>
      <c r="H931" t="n">
        <v>0</v>
      </c>
      <c r="I931" t="n">
        <v>0</v>
      </c>
      <c r="J931" t="n">
        <v>0</v>
      </c>
      <c r="K931" t="n">
        <v>0</v>
      </c>
      <c r="L931" t="n">
        <v>0</v>
      </c>
      <c r="M931" t="n">
        <v>0</v>
      </c>
      <c r="N931" t="n">
        <v>0</v>
      </c>
      <c r="O931" t="n">
        <v>0</v>
      </c>
      <c r="P931" t="n">
        <v>0</v>
      </c>
      <c r="Q931" t="n">
        <v>0</v>
      </c>
      <c r="R931" s="2" t="inlineStr"/>
    </row>
    <row r="932" ht="15" customHeight="1">
      <c r="A932" t="inlineStr">
        <is>
          <t>A 5497-2026</t>
        </is>
      </c>
      <c r="B932" s="1" t="n">
        <v>46050.61875</v>
      </c>
      <c r="C932" s="1" t="n">
        <v>46064</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36795-2023</t>
        </is>
      </c>
      <c r="B933" s="1" t="n">
        <v>45154.38245370371</v>
      </c>
      <c r="C933" s="1" t="n">
        <v>46064</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46942-2024</t>
        </is>
      </c>
      <c r="B934" s="1" t="n">
        <v>45585.6684375</v>
      </c>
      <c r="C934" s="1" t="n">
        <v>46064</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54807-2025</t>
        </is>
      </c>
      <c r="B935" s="1" t="n">
        <v>45966</v>
      </c>
      <c r="C935" s="1" t="n">
        <v>46064</v>
      </c>
      <c r="D935" t="inlineStr">
        <is>
          <t>SKÅNE LÄN</t>
        </is>
      </c>
      <c r="E935" t="inlineStr">
        <is>
          <t>HÄSSLEHOLM</t>
        </is>
      </c>
      <c r="G935" t="n">
        <v>1.3</v>
      </c>
      <c r="H935" t="n">
        <v>0</v>
      </c>
      <c r="I935" t="n">
        <v>0</v>
      </c>
      <c r="J935" t="n">
        <v>0</v>
      </c>
      <c r="K935" t="n">
        <v>0</v>
      </c>
      <c r="L935" t="n">
        <v>0</v>
      </c>
      <c r="M935" t="n">
        <v>0</v>
      </c>
      <c r="N935" t="n">
        <v>0</v>
      </c>
      <c r="O935" t="n">
        <v>0</v>
      </c>
      <c r="P935" t="n">
        <v>0</v>
      </c>
      <c r="Q935" t="n">
        <v>0</v>
      </c>
      <c r="R935" s="2" t="inlineStr"/>
    </row>
    <row r="936" ht="15" customHeight="1">
      <c r="A936" t="inlineStr">
        <is>
          <t>A 54798-2025</t>
        </is>
      </c>
      <c r="B936" s="1" t="n">
        <v>45966</v>
      </c>
      <c r="C936" s="1" t="n">
        <v>46064</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4994-2026</t>
        </is>
      </c>
      <c r="B937" s="1" t="n">
        <v>46049</v>
      </c>
      <c r="C937" s="1" t="n">
        <v>46064</v>
      </c>
      <c r="D937" t="inlineStr">
        <is>
          <t>SKÅNE LÄN</t>
        </is>
      </c>
      <c r="E937" t="inlineStr">
        <is>
          <t>HÄSSLEHOLM</t>
        </is>
      </c>
      <c r="G937" t="n">
        <v>2.4</v>
      </c>
      <c r="H937" t="n">
        <v>0</v>
      </c>
      <c r="I937" t="n">
        <v>0</v>
      </c>
      <c r="J937" t="n">
        <v>0</v>
      </c>
      <c r="K937" t="n">
        <v>0</v>
      </c>
      <c r="L937" t="n">
        <v>0</v>
      </c>
      <c r="M937" t="n">
        <v>0</v>
      </c>
      <c r="N937" t="n">
        <v>0</v>
      </c>
      <c r="O937" t="n">
        <v>0</v>
      </c>
      <c r="P937" t="n">
        <v>0</v>
      </c>
      <c r="Q937" t="n">
        <v>0</v>
      </c>
      <c r="R937" s="2" t="inlineStr"/>
    </row>
    <row r="938" ht="15" customHeight="1">
      <c r="A938" t="inlineStr">
        <is>
          <t>A 43696-2024</t>
        </is>
      </c>
      <c r="B938" s="1" t="n">
        <v>45569.58855324074</v>
      </c>
      <c r="C938" s="1" t="n">
        <v>46064</v>
      </c>
      <c r="D938" t="inlineStr">
        <is>
          <t>SKÅNE LÄN</t>
        </is>
      </c>
      <c r="E938" t="inlineStr">
        <is>
          <t>HÄSSLEHOLM</t>
        </is>
      </c>
      <c r="G938" t="n">
        <v>2.9</v>
      </c>
      <c r="H938" t="n">
        <v>0</v>
      </c>
      <c r="I938" t="n">
        <v>0</v>
      </c>
      <c r="J938" t="n">
        <v>0</v>
      </c>
      <c r="K938" t="n">
        <v>0</v>
      </c>
      <c r="L938" t="n">
        <v>0</v>
      </c>
      <c r="M938" t="n">
        <v>0</v>
      </c>
      <c r="N938" t="n">
        <v>0</v>
      </c>
      <c r="O938" t="n">
        <v>0</v>
      </c>
      <c r="P938" t="n">
        <v>0</v>
      </c>
      <c r="Q938" t="n">
        <v>0</v>
      </c>
      <c r="R938" s="2" t="inlineStr"/>
    </row>
    <row r="939" ht="15" customHeight="1">
      <c r="A939" t="inlineStr">
        <is>
          <t>A 36706-2022</t>
        </is>
      </c>
      <c r="B939" s="1" t="n">
        <v>44805.32891203704</v>
      </c>
      <c r="C939" s="1" t="n">
        <v>46064</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22594-2024</t>
        </is>
      </c>
      <c r="B940" s="1" t="n">
        <v>45447.60892361111</v>
      </c>
      <c r="C940" s="1" t="n">
        <v>46064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5757-2026</t>
        </is>
      </c>
      <c r="B941" s="1" t="n">
        <v>46051.61309027778</v>
      </c>
      <c r="C941" s="1" t="n">
        <v>46064</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5103-2026</t>
        </is>
      </c>
      <c r="B942" s="1" t="n">
        <v>46049.56725694444</v>
      </c>
      <c r="C942" s="1" t="n">
        <v>46064</v>
      </c>
      <c r="D942" t="inlineStr">
        <is>
          <t>SKÅNE LÄN</t>
        </is>
      </c>
      <c r="E942" t="inlineStr">
        <is>
          <t>HÄSSLEHOLM</t>
        </is>
      </c>
      <c r="G942" t="n">
        <v>5.4</v>
      </c>
      <c r="H942" t="n">
        <v>0</v>
      </c>
      <c r="I942" t="n">
        <v>0</v>
      </c>
      <c r="J942" t="n">
        <v>0</v>
      </c>
      <c r="K942" t="n">
        <v>0</v>
      </c>
      <c r="L942" t="n">
        <v>0</v>
      </c>
      <c r="M942" t="n">
        <v>0</v>
      </c>
      <c r="N942" t="n">
        <v>0</v>
      </c>
      <c r="O942" t="n">
        <v>0</v>
      </c>
      <c r="P942" t="n">
        <v>0</v>
      </c>
      <c r="Q942" t="n">
        <v>0</v>
      </c>
      <c r="R942" s="2" t="inlineStr"/>
    </row>
    <row r="943" ht="15" customHeight="1">
      <c r="A943" t="inlineStr">
        <is>
          <t>A 25213-2023</t>
        </is>
      </c>
      <c r="B943" s="1" t="n">
        <v>45086.60010416667</v>
      </c>
      <c r="C943" s="1" t="n">
        <v>46064</v>
      </c>
      <c r="D943" t="inlineStr">
        <is>
          <t>SKÅNE LÄN</t>
        </is>
      </c>
      <c r="E943" t="inlineStr">
        <is>
          <t>HÄSSLEHOLM</t>
        </is>
      </c>
      <c r="G943" t="n">
        <v>7.2</v>
      </c>
      <c r="H943" t="n">
        <v>0</v>
      </c>
      <c r="I943" t="n">
        <v>0</v>
      </c>
      <c r="J943" t="n">
        <v>0</v>
      </c>
      <c r="K943" t="n">
        <v>0</v>
      </c>
      <c r="L943" t="n">
        <v>0</v>
      </c>
      <c r="M943" t="n">
        <v>0</v>
      </c>
      <c r="N943" t="n">
        <v>0</v>
      </c>
      <c r="O943" t="n">
        <v>0</v>
      </c>
      <c r="P943" t="n">
        <v>0</v>
      </c>
      <c r="Q943" t="n">
        <v>0</v>
      </c>
      <c r="R943" s="2" t="inlineStr"/>
    </row>
    <row r="944" ht="15" customHeight="1">
      <c r="A944" t="inlineStr">
        <is>
          <t>A 18063-2023</t>
        </is>
      </c>
      <c r="B944" s="1" t="n">
        <v>45040.62850694444</v>
      </c>
      <c r="C944" s="1" t="n">
        <v>46064</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61524-2022</t>
        </is>
      </c>
      <c r="B945" s="1" t="n">
        <v>44910</v>
      </c>
      <c r="C945" s="1" t="n">
        <v>46064</v>
      </c>
      <c r="D945" t="inlineStr">
        <is>
          <t>SKÅNE LÄN</t>
        </is>
      </c>
      <c r="E945" t="inlineStr">
        <is>
          <t>HÄSSLEHOLM</t>
        </is>
      </c>
      <c r="F945" t="inlineStr">
        <is>
          <t>Kyrkan</t>
        </is>
      </c>
      <c r="G945" t="n">
        <v>2.1</v>
      </c>
      <c r="H945" t="n">
        <v>0</v>
      </c>
      <c r="I945" t="n">
        <v>0</v>
      </c>
      <c r="J945" t="n">
        <v>0</v>
      </c>
      <c r="K945" t="n">
        <v>0</v>
      </c>
      <c r="L945" t="n">
        <v>0</v>
      </c>
      <c r="M945" t="n">
        <v>0</v>
      </c>
      <c r="N945" t="n">
        <v>0</v>
      </c>
      <c r="O945" t="n">
        <v>0</v>
      </c>
      <c r="P945" t="n">
        <v>0</v>
      </c>
      <c r="Q945" t="n">
        <v>0</v>
      </c>
      <c r="R945" s="2" t="inlineStr"/>
    </row>
    <row r="946" ht="15" customHeight="1">
      <c r="A946" t="inlineStr">
        <is>
          <t>A 61578-2023</t>
        </is>
      </c>
      <c r="B946" s="1" t="n">
        <v>45265.47399305556</v>
      </c>
      <c r="C946" s="1" t="n">
        <v>46064</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5503-2026</t>
        </is>
      </c>
      <c r="B947" s="1" t="n">
        <v>46050.62509259259</v>
      </c>
      <c r="C947" s="1" t="n">
        <v>46064</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5516-2026</t>
        </is>
      </c>
      <c r="B948" s="1" t="n">
        <v>46050.64197916666</v>
      </c>
      <c r="C948" s="1" t="n">
        <v>46064</v>
      </c>
      <c r="D948" t="inlineStr">
        <is>
          <t>SKÅNE LÄN</t>
        </is>
      </c>
      <c r="E948" t="inlineStr">
        <is>
          <t>HÄSSLEHOLM</t>
        </is>
      </c>
      <c r="G948" t="n">
        <v>1.9</v>
      </c>
      <c r="H948" t="n">
        <v>0</v>
      </c>
      <c r="I948" t="n">
        <v>0</v>
      </c>
      <c r="J948" t="n">
        <v>0</v>
      </c>
      <c r="K948" t="n">
        <v>0</v>
      </c>
      <c r="L948" t="n">
        <v>0</v>
      </c>
      <c r="M948" t="n">
        <v>0</v>
      </c>
      <c r="N948" t="n">
        <v>0</v>
      </c>
      <c r="O948" t="n">
        <v>0</v>
      </c>
      <c r="P948" t="n">
        <v>0</v>
      </c>
      <c r="Q948" t="n">
        <v>0</v>
      </c>
      <c r="R948" s="2" t="inlineStr"/>
    </row>
    <row r="949" ht="15" customHeight="1">
      <c r="A949" t="inlineStr">
        <is>
          <t>A 25542-2024</t>
        </is>
      </c>
      <c r="B949" s="1" t="n">
        <v>45463</v>
      </c>
      <c r="C949" s="1" t="n">
        <v>46064</v>
      </c>
      <c r="D949" t="inlineStr">
        <is>
          <t>SKÅNE LÄN</t>
        </is>
      </c>
      <c r="E949" t="inlineStr">
        <is>
          <t>HÄSSLEHOLM</t>
        </is>
      </c>
      <c r="G949" t="n">
        <v>6.9</v>
      </c>
      <c r="H949" t="n">
        <v>0</v>
      </c>
      <c r="I949" t="n">
        <v>0</v>
      </c>
      <c r="J949" t="n">
        <v>0</v>
      </c>
      <c r="K949" t="n">
        <v>0</v>
      </c>
      <c r="L949" t="n">
        <v>0</v>
      </c>
      <c r="M949" t="n">
        <v>0</v>
      </c>
      <c r="N949" t="n">
        <v>0</v>
      </c>
      <c r="O949" t="n">
        <v>0</v>
      </c>
      <c r="P949" t="n">
        <v>0</v>
      </c>
      <c r="Q949" t="n">
        <v>0</v>
      </c>
      <c r="R949" s="2" t="inlineStr"/>
    </row>
    <row r="950" ht="15" customHeight="1">
      <c r="A950" t="inlineStr">
        <is>
          <t>A 62417-2025</t>
        </is>
      </c>
      <c r="B950" s="1" t="n">
        <v>46007</v>
      </c>
      <c r="C950" s="1" t="n">
        <v>46064</v>
      </c>
      <c r="D950" t="inlineStr">
        <is>
          <t>SKÅNE LÄN</t>
        </is>
      </c>
      <c r="E950" t="inlineStr">
        <is>
          <t>HÄSSLEHOLM</t>
        </is>
      </c>
      <c r="G950" t="n">
        <v>2</v>
      </c>
      <c r="H950" t="n">
        <v>0</v>
      </c>
      <c r="I950" t="n">
        <v>0</v>
      </c>
      <c r="J950" t="n">
        <v>0</v>
      </c>
      <c r="K950" t="n">
        <v>0</v>
      </c>
      <c r="L950" t="n">
        <v>0</v>
      </c>
      <c r="M950" t="n">
        <v>0</v>
      </c>
      <c r="N950" t="n">
        <v>0</v>
      </c>
      <c r="O950" t="n">
        <v>0</v>
      </c>
      <c r="P950" t="n">
        <v>0</v>
      </c>
      <c r="Q950" t="n">
        <v>0</v>
      </c>
      <c r="R950" s="2" t="inlineStr"/>
    </row>
    <row r="951" ht="15" customHeight="1">
      <c r="A951" t="inlineStr">
        <is>
          <t>A 42370-2023</t>
        </is>
      </c>
      <c r="B951" s="1" t="n">
        <v>45180</v>
      </c>
      <c r="C951" s="1" t="n">
        <v>46064</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11422-2025</t>
        </is>
      </c>
      <c r="B952" s="1" t="n">
        <v>45726</v>
      </c>
      <c r="C952" s="1" t="n">
        <v>46064</v>
      </c>
      <c r="D952" t="inlineStr">
        <is>
          <t>SKÅNE LÄN</t>
        </is>
      </c>
      <c r="E952" t="inlineStr">
        <is>
          <t>HÄSSLEHOLM</t>
        </is>
      </c>
      <c r="G952" t="n">
        <v>14.9</v>
      </c>
      <c r="H952" t="n">
        <v>0</v>
      </c>
      <c r="I952" t="n">
        <v>0</v>
      </c>
      <c r="J952" t="n">
        <v>0</v>
      </c>
      <c r="K952" t="n">
        <v>0</v>
      </c>
      <c r="L952" t="n">
        <v>0</v>
      </c>
      <c r="M952" t="n">
        <v>0</v>
      </c>
      <c r="N952" t="n">
        <v>0</v>
      </c>
      <c r="O952" t="n">
        <v>0</v>
      </c>
      <c r="P952" t="n">
        <v>0</v>
      </c>
      <c r="Q952" t="n">
        <v>0</v>
      </c>
      <c r="R952" s="2" t="inlineStr"/>
    </row>
    <row r="953" ht="15" customHeight="1">
      <c r="A953" t="inlineStr">
        <is>
          <t>A 7604-2024</t>
        </is>
      </c>
      <c r="B953" s="1" t="n">
        <v>45348</v>
      </c>
      <c r="C953" s="1" t="n">
        <v>46064</v>
      </c>
      <c r="D953" t="inlineStr">
        <is>
          <t>SKÅNE LÄN</t>
        </is>
      </c>
      <c r="E953" t="inlineStr">
        <is>
          <t>HÄSSLEHOLM</t>
        </is>
      </c>
      <c r="G953" t="n">
        <v>11.1</v>
      </c>
      <c r="H953" t="n">
        <v>0</v>
      </c>
      <c r="I953" t="n">
        <v>0</v>
      </c>
      <c r="J953" t="n">
        <v>0</v>
      </c>
      <c r="K953" t="n">
        <v>0</v>
      </c>
      <c r="L953" t="n">
        <v>0</v>
      </c>
      <c r="M953" t="n">
        <v>0</v>
      </c>
      <c r="N953" t="n">
        <v>0</v>
      </c>
      <c r="O953" t="n">
        <v>0</v>
      </c>
      <c r="P953" t="n">
        <v>0</v>
      </c>
      <c r="Q953" t="n">
        <v>0</v>
      </c>
      <c r="R953" s="2" t="inlineStr"/>
    </row>
    <row r="954" ht="15" customHeight="1">
      <c r="A954" t="inlineStr">
        <is>
          <t>A 29853-2024</t>
        </is>
      </c>
      <c r="B954" s="1" t="n">
        <v>45485.65844907407</v>
      </c>
      <c r="C954" s="1" t="n">
        <v>46064</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29287-2023</t>
        </is>
      </c>
      <c r="B955" s="1" t="n">
        <v>45098</v>
      </c>
      <c r="C955" s="1" t="n">
        <v>46064</v>
      </c>
      <c r="D955" t="inlineStr">
        <is>
          <t>SKÅNE LÄN</t>
        </is>
      </c>
      <c r="E955" t="inlineStr">
        <is>
          <t>HÄSSLEHOLM</t>
        </is>
      </c>
      <c r="G955" t="n">
        <v>5.7</v>
      </c>
      <c r="H955" t="n">
        <v>0</v>
      </c>
      <c r="I955" t="n">
        <v>0</v>
      </c>
      <c r="J955" t="n">
        <v>0</v>
      </c>
      <c r="K955" t="n">
        <v>0</v>
      </c>
      <c r="L955" t="n">
        <v>0</v>
      </c>
      <c r="M955" t="n">
        <v>0</v>
      </c>
      <c r="N955" t="n">
        <v>0</v>
      </c>
      <c r="O955" t="n">
        <v>0</v>
      </c>
      <c r="P955" t="n">
        <v>0</v>
      </c>
      <c r="Q955" t="n">
        <v>0</v>
      </c>
      <c r="R955" s="2" t="inlineStr"/>
    </row>
    <row r="956" ht="15" customHeight="1">
      <c r="A956" t="inlineStr">
        <is>
          <t>A 5992-2022</t>
        </is>
      </c>
      <c r="B956" s="1" t="n">
        <v>44599</v>
      </c>
      <c r="C956" s="1" t="n">
        <v>46064</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6299-2026</t>
        </is>
      </c>
      <c r="B957" s="1" t="n">
        <v>46055.56623842593</v>
      </c>
      <c r="C957" s="1" t="n">
        <v>46064</v>
      </c>
      <c r="D957" t="inlineStr">
        <is>
          <t>SKÅNE LÄN</t>
        </is>
      </c>
      <c r="E957" t="inlineStr">
        <is>
          <t>HÄSSLEHOLM</t>
        </is>
      </c>
      <c r="G957" t="n">
        <v>5.2</v>
      </c>
      <c r="H957" t="n">
        <v>0</v>
      </c>
      <c r="I957" t="n">
        <v>0</v>
      </c>
      <c r="J957" t="n">
        <v>0</v>
      </c>
      <c r="K957" t="n">
        <v>0</v>
      </c>
      <c r="L957" t="n">
        <v>0</v>
      </c>
      <c r="M957" t="n">
        <v>0</v>
      </c>
      <c r="N957" t="n">
        <v>0</v>
      </c>
      <c r="O957" t="n">
        <v>0</v>
      </c>
      <c r="P957" t="n">
        <v>0</v>
      </c>
      <c r="Q957" t="n">
        <v>0</v>
      </c>
      <c r="R957" s="2" t="inlineStr"/>
    </row>
    <row r="958" ht="15" customHeight="1">
      <c r="A958" t="inlineStr">
        <is>
          <t>A 25324-2024</t>
        </is>
      </c>
      <c r="B958" s="1" t="n">
        <v>45462.804375</v>
      </c>
      <c r="C958" s="1" t="n">
        <v>46064</v>
      </c>
      <c r="D958" t="inlineStr">
        <is>
          <t>SKÅNE LÄN</t>
        </is>
      </c>
      <c r="E958" t="inlineStr">
        <is>
          <t>HÄSSLEHOLM</t>
        </is>
      </c>
      <c r="G958" t="n">
        <v>0.2</v>
      </c>
      <c r="H958" t="n">
        <v>0</v>
      </c>
      <c r="I958" t="n">
        <v>0</v>
      </c>
      <c r="J958" t="n">
        <v>0</v>
      </c>
      <c r="K958" t="n">
        <v>0</v>
      </c>
      <c r="L958" t="n">
        <v>0</v>
      </c>
      <c r="M958" t="n">
        <v>0</v>
      </c>
      <c r="N958" t="n">
        <v>0</v>
      </c>
      <c r="O958" t="n">
        <v>0</v>
      </c>
      <c r="P958" t="n">
        <v>0</v>
      </c>
      <c r="Q958" t="n">
        <v>0</v>
      </c>
      <c r="R958" s="2" t="inlineStr"/>
    </row>
    <row r="959" ht="15" customHeight="1">
      <c r="A959" t="inlineStr">
        <is>
          <t>A 8803-2023</t>
        </is>
      </c>
      <c r="B959" s="1" t="n">
        <v>44978.61712962963</v>
      </c>
      <c r="C959" s="1" t="n">
        <v>46064</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4809-2025</t>
        </is>
      </c>
      <c r="B960" s="1" t="n">
        <v>45688.60148148148</v>
      </c>
      <c r="C960" s="1" t="n">
        <v>46064</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12780-2024</t>
        </is>
      </c>
      <c r="B961" s="1" t="n">
        <v>45384.59726851852</v>
      </c>
      <c r="C961" s="1" t="n">
        <v>46064</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9375-2023</t>
        </is>
      </c>
      <c r="B962" s="1" t="n">
        <v>44981</v>
      </c>
      <c r="C962" s="1" t="n">
        <v>46064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26857-2025</t>
        </is>
      </c>
      <c r="B963" s="1" t="n">
        <v>45810</v>
      </c>
      <c r="C963" s="1" t="n">
        <v>46064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27349-2025</t>
        </is>
      </c>
      <c r="B964" s="1" t="n">
        <v>45812</v>
      </c>
      <c r="C964" s="1" t="n">
        <v>46064</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30006-2023</t>
        </is>
      </c>
      <c r="B965" s="1" t="n">
        <v>45109.79962962963</v>
      </c>
      <c r="C965" s="1" t="n">
        <v>46064</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49167-2022</t>
        </is>
      </c>
      <c r="B966" s="1" t="n">
        <v>44860</v>
      </c>
      <c r="C966" s="1" t="n">
        <v>46064</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63415-2025</t>
        </is>
      </c>
      <c r="B967" s="1" t="n">
        <v>46013.32163194445</v>
      </c>
      <c r="C967" s="1" t="n">
        <v>46064</v>
      </c>
      <c r="D967" t="inlineStr">
        <is>
          <t>SKÅNE LÄN</t>
        </is>
      </c>
      <c r="E967" t="inlineStr">
        <is>
          <t>HÄSSLEHOLM</t>
        </is>
      </c>
      <c r="G967" t="n">
        <v>1.3</v>
      </c>
      <c r="H967" t="n">
        <v>0</v>
      </c>
      <c r="I967" t="n">
        <v>0</v>
      </c>
      <c r="J967" t="n">
        <v>0</v>
      </c>
      <c r="K967" t="n">
        <v>0</v>
      </c>
      <c r="L967" t="n">
        <v>0</v>
      </c>
      <c r="M967" t="n">
        <v>0</v>
      </c>
      <c r="N967" t="n">
        <v>0</v>
      </c>
      <c r="O967" t="n">
        <v>0</v>
      </c>
      <c r="P967" t="n">
        <v>0</v>
      </c>
      <c r="Q967" t="n">
        <v>0</v>
      </c>
      <c r="R967" s="2" t="inlineStr"/>
    </row>
    <row r="968" ht="15" customHeight="1">
      <c r="A968" t="inlineStr">
        <is>
          <t>A 63416-2025</t>
        </is>
      </c>
      <c r="B968" s="1" t="n">
        <v>46013.3232175926</v>
      </c>
      <c r="C968" s="1" t="n">
        <v>46064</v>
      </c>
      <c r="D968" t="inlineStr">
        <is>
          <t>SKÅNE LÄN</t>
        </is>
      </c>
      <c r="E968" t="inlineStr">
        <is>
          <t>HÄSSLEHOLM</t>
        </is>
      </c>
      <c r="G968" t="n">
        <v>1.9</v>
      </c>
      <c r="H968" t="n">
        <v>0</v>
      </c>
      <c r="I968" t="n">
        <v>0</v>
      </c>
      <c r="J968" t="n">
        <v>0</v>
      </c>
      <c r="K968" t="n">
        <v>0</v>
      </c>
      <c r="L968" t="n">
        <v>0</v>
      </c>
      <c r="M968" t="n">
        <v>0</v>
      </c>
      <c r="N968" t="n">
        <v>0</v>
      </c>
      <c r="O968" t="n">
        <v>0</v>
      </c>
      <c r="P968" t="n">
        <v>0</v>
      </c>
      <c r="Q968" t="n">
        <v>0</v>
      </c>
      <c r="R968" s="2" t="inlineStr"/>
    </row>
    <row r="969" ht="15" customHeight="1">
      <c r="A969" t="inlineStr">
        <is>
          <t>A 63510-2025</t>
        </is>
      </c>
      <c r="B969" s="1" t="n">
        <v>46013.49172453704</v>
      </c>
      <c r="C969" s="1" t="n">
        <v>46064</v>
      </c>
      <c r="D969" t="inlineStr">
        <is>
          <t>SKÅNE LÄN</t>
        </is>
      </c>
      <c r="E969" t="inlineStr">
        <is>
          <t>HÄSSLEHOLM</t>
        </is>
      </c>
      <c r="F969" t="inlineStr">
        <is>
          <t>Kommuner</t>
        </is>
      </c>
      <c r="G969" t="n">
        <v>2</v>
      </c>
      <c r="H969" t="n">
        <v>0</v>
      </c>
      <c r="I969" t="n">
        <v>0</v>
      </c>
      <c r="J969" t="n">
        <v>0</v>
      </c>
      <c r="K969" t="n">
        <v>0</v>
      </c>
      <c r="L969" t="n">
        <v>0</v>
      </c>
      <c r="M969" t="n">
        <v>0</v>
      </c>
      <c r="N969" t="n">
        <v>0</v>
      </c>
      <c r="O969" t="n">
        <v>0</v>
      </c>
      <c r="P969" t="n">
        <v>0</v>
      </c>
      <c r="Q969" t="n">
        <v>0</v>
      </c>
      <c r="R969" s="2" t="inlineStr"/>
    </row>
    <row r="970" ht="15" customHeight="1">
      <c r="A970" t="inlineStr">
        <is>
          <t>A 57963-2023</t>
        </is>
      </c>
      <c r="B970" s="1" t="n">
        <v>45247.57732638889</v>
      </c>
      <c r="C970" s="1" t="n">
        <v>46064</v>
      </c>
      <c r="D970" t="inlineStr">
        <is>
          <t>SKÅNE LÄN</t>
        </is>
      </c>
      <c r="E970" t="inlineStr">
        <is>
          <t>HÄSSLEHOLM</t>
        </is>
      </c>
      <c r="G970" t="n">
        <v>4.6</v>
      </c>
      <c r="H970" t="n">
        <v>0</v>
      </c>
      <c r="I970" t="n">
        <v>0</v>
      </c>
      <c r="J970" t="n">
        <v>0</v>
      </c>
      <c r="K970" t="n">
        <v>0</v>
      </c>
      <c r="L970" t="n">
        <v>0</v>
      </c>
      <c r="M970" t="n">
        <v>0</v>
      </c>
      <c r="N970" t="n">
        <v>0</v>
      </c>
      <c r="O970" t="n">
        <v>0</v>
      </c>
      <c r="P970" t="n">
        <v>0</v>
      </c>
      <c r="Q970" t="n">
        <v>0</v>
      </c>
      <c r="R970" s="2" t="inlineStr"/>
    </row>
    <row r="971" ht="15" customHeight="1">
      <c r="A971" t="inlineStr">
        <is>
          <t>A 6295-2026</t>
        </is>
      </c>
      <c r="B971" s="1" t="n">
        <v>46055.56115740741</v>
      </c>
      <c r="C971" s="1" t="n">
        <v>46064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6309-2026</t>
        </is>
      </c>
      <c r="B972" s="1" t="n">
        <v>46055.57369212963</v>
      </c>
      <c r="C972" s="1" t="n">
        <v>46064</v>
      </c>
      <c r="D972" t="inlineStr">
        <is>
          <t>SKÅNE LÄN</t>
        </is>
      </c>
      <c r="E972" t="inlineStr">
        <is>
          <t>HÄSSLEHOLM</t>
        </is>
      </c>
      <c r="G972" t="n">
        <v>3.5</v>
      </c>
      <c r="H972" t="n">
        <v>0</v>
      </c>
      <c r="I972" t="n">
        <v>0</v>
      </c>
      <c r="J972" t="n">
        <v>0</v>
      </c>
      <c r="K972" t="n">
        <v>0</v>
      </c>
      <c r="L972" t="n">
        <v>0</v>
      </c>
      <c r="M972" t="n">
        <v>0</v>
      </c>
      <c r="N972" t="n">
        <v>0</v>
      </c>
      <c r="O972" t="n">
        <v>0</v>
      </c>
      <c r="P972" t="n">
        <v>0</v>
      </c>
      <c r="Q972" t="n">
        <v>0</v>
      </c>
      <c r="R972" s="2" t="inlineStr"/>
    </row>
    <row r="973" ht="15" customHeight="1">
      <c r="A973" t="inlineStr">
        <is>
          <t>A 6363-2026</t>
        </is>
      </c>
      <c r="B973" s="1" t="n">
        <v>46055.62319444444</v>
      </c>
      <c r="C973" s="1" t="n">
        <v>46064</v>
      </c>
      <c r="D973" t="inlineStr">
        <is>
          <t>SKÅNE LÄN</t>
        </is>
      </c>
      <c r="E973" t="inlineStr">
        <is>
          <t>HÄSSLEHOLM</t>
        </is>
      </c>
      <c r="G973" t="n">
        <v>4.4</v>
      </c>
      <c r="H973" t="n">
        <v>0</v>
      </c>
      <c r="I973" t="n">
        <v>0</v>
      </c>
      <c r="J973" t="n">
        <v>0</v>
      </c>
      <c r="K973" t="n">
        <v>0</v>
      </c>
      <c r="L973" t="n">
        <v>0</v>
      </c>
      <c r="M973" t="n">
        <v>0</v>
      </c>
      <c r="N973" t="n">
        <v>0</v>
      </c>
      <c r="O973" t="n">
        <v>0</v>
      </c>
      <c r="P973" t="n">
        <v>0</v>
      </c>
      <c r="Q973" t="n">
        <v>0</v>
      </c>
      <c r="R973" s="2" t="inlineStr"/>
    </row>
    <row r="974" ht="15" customHeight="1">
      <c r="A974" t="inlineStr">
        <is>
          <t>A 57033-2022</t>
        </is>
      </c>
      <c r="B974" s="1" t="n">
        <v>44895.31270833333</v>
      </c>
      <c r="C974" s="1" t="n">
        <v>46064</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35845-2022</t>
        </is>
      </c>
      <c r="B975" s="1" t="n">
        <v>44802</v>
      </c>
      <c r="C975" s="1" t="n">
        <v>46064</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22140-2023</t>
        </is>
      </c>
      <c r="B976" s="1" t="n">
        <v>45065</v>
      </c>
      <c r="C976" s="1" t="n">
        <v>46064</v>
      </c>
      <c r="D976" t="inlineStr">
        <is>
          <t>SKÅNE LÄN</t>
        </is>
      </c>
      <c r="E976" t="inlineStr">
        <is>
          <t>HÄSSLEHOLM</t>
        </is>
      </c>
      <c r="G976" t="n">
        <v>6.7</v>
      </c>
      <c r="H976" t="n">
        <v>0</v>
      </c>
      <c r="I976" t="n">
        <v>0</v>
      </c>
      <c r="J976" t="n">
        <v>0</v>
      </c>
      <c r="K976" t="n">
        <v>0</v>
      </c>
      <c r="L976" t="n">
        <v>0</v>
      </c>
      <c r="M976" t="n">
        <v>0</v>
      </c>
      <c r="N976" t="n">
        <v>0</v>
      </c>
      <c r="O976" t="n">
        <v>0</v>
      </c>
      <c r="P976" t="n">
        <v>0</v>
      </c>
      <c r="Q976" t="n">
        <v>0</v>
      </c>
      <c r="R976" s="2" t="inlineStr"/>
    </row>
    <row r="977" ht="15" customHeight="1">
      <c r="A977" t="inlineStr">
        <is>
          <t>A 63354-2025</t>
        </is>
      </c>
      <c r="B977" s="1" t="n">
        <v>46010.66957175926</v>
      </c>
      <c r="C977" s="1" t="n">
        <v>46064</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7653-2024</t>
        </is>
      </c>
      <c r="B978" s="1" t="n">
        <v>45348.69043981482</v>
      </c>
      <c r="C978" s="1" t="n">
        <v>46064</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54426-2025</t>
        </is>
      </c>
      <c r="B979" s="1" t="n">
        <v>45965</v>
      </c>
      <c r="C979" s="1" t="n">
        <v>46064</v>
      </c>
      <c r="D979" t="inlineStr">
        <is>
          <t>SKÅNE LÄN</t>
        </is>
      </c>
      <c r="E979" t="inlineStr">
        <is>
          <t>HÄSSLEHOLM</t>
        </is>
      </c>
      <c r="G979" t="n">
        <v>3.7</v>
      </c>
      <c r="H979" t="n">
        <v>0</v>
      </c>
      <c r="I979" t="n">
        <v>0</v>
      </c>
      <c r="J979" t="n">
        <v>0</v>
      </c>
      <c r="K979" t="n">
        <v>0</v>
      </c>
      <c r="L979" t="n">
        <v>0</v>
      </c>
      <c r="M979" t="n">
        <v>0</v>
      </c>
      <c r="N979" t="n">
        <v>0</v>
      </c>
      <c r="O979" t="n">
        <v>0</v>
      </c>
      <c r="P979" t="n">
        <v>0</v>
      </c>
      <c r="Q979" t="n">
        <v>0</v>
      </c>
      <c r="R979" s="2" t="inlineStr"/>
    </row>
    <row r="980" ht="15" customHeight="1">
      <c r="A980" t="inlineStr">
        <is>
          <t>A 63473-2025</t>
        </is>
      </c>
      <c r="B980" s="1" t="n">
        <v>46013.44364583334</v>
      </c>
      <c r="C980" s="1" t="n">
        <v>46064</v>
      </c>
      <c r="D980" t="inlineStr">
        <is>
          <t>SKÅNE LÄN</t>
        </is>
      </c>
      <c r="E980" t="inlineStr">
        <is>
          <t>HÄSSLEHOLM</t>
        </is>
      </c>
      <c r="F980" t="inlineStr">
        <is>
          <t>Kommuner</t>
        </is>
      </c>
      <c r="G980" t="n">
        <v>5.9</v>
      </c>
      <c r="H980" t="n">
        <v>0</v>
      </c>
      <c r="I980" t="n">
        <v>0</v>
      </c>
      <c r="J980" t="n">
        <v>0</v>
      </c>
      <c r="K980" t="n">
        <v>0</v>
      </c>
      <c r="L980" t="n">
        <v>0</v>
      </c>
      <c r="M980" t="n">
        <v>0</v>
      </c>
      <c r="N980" t="n">
        <v>0</v>
      </c>
      <c r="O980" t="n">
        <v>0</v>
      </c>
      <c r="P980" t="n">
        <v>0</v>
      </c>
      <c r="Q980" t="n">
        <v>0</v>
      </c>
      <c r="R980" s="2" t="inlineStr"/>
    </row>
    <row r="981" ht="15" customHeight="1">
      <c r="A981" t="inlineStr">
        <is>
          <t>A 63487-2025</t>
        </is>
      </c>
      <c r="B981" s="1" t="n">
        <v>46013.46878472222</v>
      </c>
      <c r="C981" s="1" t="n">
        <v>46064</v>
      </c>
      <c r="D981" t="inlineStr">
        <is>
          <t>SKÅNE LÄN</t>
        </is>
      </c>
      <c r="E981" t="inlineStr">
        <is>
          <t>HÄSSLEHOLM</t>
        </is>
      </c>
      <c r="F981" t="inlineStr">
        <is>
          <t>Kommuner</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24679-2023</t>
        </is>
      </c>
      <c r="B982" s="1" t="n">
        <v>45084</v>
      </c>
      <c r="C982" s="1" t="n">
        <v>46064</v>
      </c>
      <c r="D982" t="inlineStr">
        <is>
          <t>SKÅNE LÄN</t>
        </is>
      </c>
      <c r="E982" t="inlineStr">
        <is>
          <t>HÄSSLEHOLM</t>
        </is>
      </c>
      <c r="G982" t="n">
        <v>7.1</v>
      </c>
      <c r="H982" t="n">
        <v>0</v>
      </c>
      <c r="I982" t="n">
        <v>0</v>
      </c>
      <c r="J982" t="n">
        <v>0</v>
      </c>
      <c r="K982" t="n">
        <v>0</v>
      </c>
      <c r="L982" t="n">
        <v>0</v>
      </c>
      <c r="M982" t="n">
        <v>0</v>
      </c>
      <c r="N982" t="n">
        <v>0</v>
      </c>
      <c r="O982" t="n">
        <v>0</v>
      </c>
      <c r="P982" t="n">
        <v>0</v>
      </c>
      <c r="Q982" t="n">
        <v>0</v>
      </c>
      <c r="R982" s="2" t="inlineStr"/>
    </row>
    <row r="983" ht="15" customHeight="1">
      <c r="A983" t="inlineStr">
        <is>
          <t>A 63414-2025</t>
        </is>
      </c>
      <c r="B983" s="1" t="n">
        <v>46013.32008101852</v>
      </c>
      <c r="C983" s="1" t="n">
        <v>46064</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63476-2025</t>
        </is>
      </c>
      <c r="B984" s="1" t="n">
        <v>46013.44621527778</v>
      </c>
      <c r="C984" s="1" t="n">
        <v>46064</v>
      </c>
      <c r="D984" t="inlineStr">
        <is>
          <t>SKÅNE LÄN</t>
        </is>
      </c>
      <c r="E984" t="inlineStr">
        <is>
          <t>HÄSSLEHOLM</t>
        </is>
      </c>
      <c r="F984" t="inlineStr">
        <is>
          <t>Kommuner</t>
        </is>
      </c>
      <c r="G984" t="n">
        <v>0.6</v>
      </c>
      <c r="H984" t="n">
        <v>0</v>
      </c>
      <c r="I984" t="n">
        <v>0</v>
      </c>
      <c r="J984" t="n">
        <v>0</v>
      </c>
      <c r="K984" t="n">
        <v>0</v>
      </c>
      <c r="L984" t="n">
        <v>0</v>
      </c>
      <c r="M984" t="n">
        <v>0</v>
      </c>
      <c r="N984" t="n">
        <v>0</v>
      </c>
      <c r="O984" t="n">
        <v>0</v>
      </c>
      <c r="P984" t="n">
        <v>0</v>
      </c>
      <c r="Q984" t="n">
        <v>0</v>
      </c>
      <c r="R984" s="2" t="inlineStr"/>
    </row>
    <row r="985" ht="15" customHeight="1">
      <c r="A985" t="inlineStr">
        <is>
          <t>A 63284-2025</t>
        </is>
      </c>
      <c r="B985" s="1" t="n">
        <v>46010</v>
      </c>
      <c r="C985" s="1" t="n">
        <v>46064</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49219-2021</t>
        </is>
      </c>
      <c r="B986" s="1" t="n">
        <v>44454</v>
      </c>
      <c r="C986" s="1" t="n">
        <v>46064</v>
      </c>
      <c r="D986" t="inlineStr">
        <is>
          <t>SKÅNE LÄN</t>
        </is>
      </c>
      <c r="E986" t="inlineStr">
        <is>
          <t>HÄSSLEHOLM</t>
        </is>
      </c>
      <c r="G986" t="n">
        <v>7.8</v>
      </c>
      <c r="H986" t="n">
        <v>0</v>
      </c>
      <c r="I986" t="n">
        <v>0</v>
      </c>
      <c r="J986" t="n">
        <v>0</v>
      </c>
      <c r="K986" t="n">
        <v>0</v>
      </c>
      <c r="L986" t="n">
        <v>0</v>
      </c>
      <c r="M986" t="n">
        <v>0</v>
      </c>
      <c r="N986" t="n">
        <v>0</v>
      </c>
      <c r="O986" t="n">
        <v>0</v>
      </c>
      <c r="P986" t="n">
        <v>0</v>
      </c>
      <c r="Q986" t="n">
        <v>0</v>
      </c>
      <c r="R986" s="2" t="inlineStr"/>
    </row>
    <row r="987" ht="15" customHeight="1">
      <c r="A987" t="inlineStr">
        <is>
          <t>A 5890-2023</t>
        </is>
      </c>
      <c r="B987" s="1" t="n">
        <v>44963.64527777778</v>
      </c>
      <c r="C987" s="1" t="n">
        <v>46064</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12936-2025</t>
        </is>
      </c>
      <c r="B988" s="1" t="n">
        <v>45734</v>
      </c>
      <c r="C988" s="1" t="n">
        <v>46064</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56062-2024</t>
        </is>
      </c>
      <c r="B989" s="1" t="n">
        <v>45624.37105324074</v>
      </c>
      <c r="C989" s="1" t="n">
        <v>46064</v>
      </c>
      <c r="D989" t="inlineStr">
        <is>
          <t>SKÅNE LÄN</t>
        </is>
      </c>
      <c r="E989" t="inlineStr">
        <is>
          <t>HÄSSLEHOLM</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41209-2023</t>
        </is>
      </c>
      <c r="B990" s="1" t="n">
        <v>45174.43481481481</v>
      </c>
      <c r="C990" s="1" t="n">
        <v>46064</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57275-2023</t>
        </is>
      </c>
      <c r="B991" s="1" t="n">
        <v>45245.58886574074</v>
      </c>
      <c r="C991" s="1" t="n">
        <v>46064</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6449-2026</t>
        </is>
      </c>
      <c r="B992" s="1" t="n">
        <v>46055.87239583334</v>
      </c>
      <c r="C992" s="1" t="n">
        <v>46064</v>
      </c>
      <c r="D992" t="inlineStr">
        <is>
          <t>SKÅNE LÄN</t>
        </is>
      </c>
      <c r="E992" t="inlineStr">
        <is>
          <t>HÄSSLEHOLM</t>
        </is>
      </c>
      <c r="G992" t="n">
        <v>1.8</v>
      </c>
      <c r="H992" t="n">
        <v>0</v>
      </c>
      <c r="I992" t="n">
        <v>0</v>
      </c>
      <c r="J992" t="n">
        <v>0</v>
      </c>
      <c r="K992" t="n">
        <v>0</v>
      </c>
      <c r="L992" t="n">
        <v>0</v>
      </c>
      <c r="M992" t="n">
        <v>0</v>
      </c>
      <c r="N992" t="n">
        <v>0</v>
      </c>
      <c r="O992" t="n">
        <v>0</v>
      </c>
      <c r="P992" t="n">
        <v>0</v>
      </c>
      <c r="Q992" t="n">
        <v>0</v>
      </c>
      <c r="R992" s="2" t="inlineStr"/>
    </row>
    <row r="993" ht="15" customHeight="1">
      <c r="A993" t="inlineStr">
        <is>
          <t>A 47422-2025</t>
        </is>
      </c>
      <c r="B993" s="1" t="n">
        <v>45930</v>
      </c>
      <c r="C993" s="1" t="n">
        <v>46064</v>
      </c>
      <c r="D993" t="inlineStr">
        <is>
          <t>SKÅNE LÄN</t>
        </is>
      </c>
      <c r="E993" t="inlineStr">
        <is>
          <t>HÄSSLEHOLM</t>
        </is>
      </c>
      <c r="G993" t="n">
        <v>3.5</v>
      </c>
      <c r="H993" t="n">
        <v>0</v>
      </c>
      <c r="I993" t="n">
        <v>0</v>
      </c>
      <c r="J993" t="n">
        <v>0</v>
      </c>
      <c r="K993" t="n">
        <v>0</v>
      </c>
      <c r="L993" t="n">
        <v>0</v>
      </c>
      <c r="M993" t="n">
        <v>0</v>
      </c>
      <c r="N993" t="n">
        <v>0</v>
      </c>
      <c r="O993" t="n">
        <v>0</v>
      </c>
      <c r="P993" t="n">
        <v>0</v>
      </c>
      <c r="Q993" t="n">
        <v>0</v>
      </c>
      <c r="R993" s="2" t="inlineStr"/>
    </row>
    <row r="994" ht="15" customHeight="1">
      <c r="A994" t="inlineStr">
        <is>
          <t>A 53302-2022</t>
        </is>
      </c>
      <c r="B994" s="1" t="n">
        <v>44877</v>
      </c>
      <c r="C994" s="1" t="n">
        <v>46064</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27991-2024</t>
        </is>
      </c>
      <c r="B995" s="1" t="n">
        <v>45476</v>
      </c>
      <c r="C995" s="1" t="n">
        <v>46064</v>
      </c>
      <c r="D995" t="inlineStr">
        <is>
          <t>SKÅNE LÄN</t>
        </is>
      </c>
      <c r="E995" t="inlineStr">
        <is>
          <t>HÄSSLEHOLM</t>
        </is>
      </c>
      <c r="G995" t="n">
        <v>5.8</v>
      </c>
      <c r="H995" t="n">
        <v>0</v>
      </c>
      <c r="I995" t="n">
        <v>0</v>
      </c>
      <c r="J995" t="n">
        <v>0</v>
      </c>
      <c r="K995" t="n">
        <v>0</v>
      </c>
      <c r="L995" t="n">
        <v>0</v>
      </c>
      <c r="M995" t="n">
        <v>0</v>
      </c>
      <c r="N995" t="n">
        <v>0</v>
      </c>
      <c r="O995" t="n">
        <v>0</v>
      </c>
      <c r="P995" t="n">
        <v>0</v>
      </c>
      <c r="Q995" t="n">
        <v>0</v>
      </c>
      <c r="R995" s="2" t="inlineStr"/>
    </row>
    <row r="996" ht="15" customHeight="1">
      <c r="A996" t="inlineStr">
        <is>
          <t>A 31946-2023</t>
        </is>
      </c>
      <c r="B996" s="1" t="n">
        <v>45119.35158564815</v>
      </c>
      <c r="C996" s="1" t="n">
        <v>46064</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47432-2025</t>
        </is>
      </c>
      <c r="B997" s="1" t="n">
        <v>45930</v>
      </c>
      <c r="C997" s="1" t="n">
        <v>46064</v>
      </c>
      <c r="D997" t="inlineStr">
        <is>
          <t>SKÅNE LÄN</t>
        </is>
      </c>
      <c r="E997" t="inlineStr">
        <is>
          <t>HÄSSLEHOLM</t>
        </is>
      </c>
      <c r="G997" t="n">
        <v>3.1</v>
      </c>
      <c r="H997" t="n">
        <v>0</v>
      </c>
      <c r="I997" t="n">
        <v>0</v>
      </c>
      <c r="J997" t="n">
        <v>0</v>
      </c>
      <c r="K997" t="n">
        <v>0</v>
      </c>
      <c r="L997" t="n">
        <v>0</v>
      </c>
      <c r="M997" t="n">
        <v>0</v>
      </c>
      <c r="N997" t="n">
        <v>0</v>
      </c>
      <c r="O997" t="n">
        <v>0</v>
      </c>
      <c r="P997" t="n">
        <v>0</v>
      </c>
      <c r="Q997" t="n">
        <v>0</v>
      </c>
      <c r="R997" s="2" t="inlineStr"/>
    </row>
    <row r="998" ht="15" customHeight="1">
      <c r="A998" t="inlineStr">
        <is>
          <t>A 47450-2025</t>
        </is>
      </c>
      <c r="B998" s="1" t="n">
        <v>45930</v>
      </c>
      <c r="C998" s="1" t="n">
        <v>46064</v>
      </c>
      <c r="D998" t="inlineStr">
        <is>
          <t>SKÅNE LÄN</t>
        </is>
      </c>
      <c r="E998" t="inlineStr">
        <is>
          <t>HÄSSLEHOLM</t>
        </is>
      </c>
      <c r="G998" t="n">
        <v>3.2</v>
      </c>
      <c r="H998" t="n">
        <v>0</v>
      </c>
      <c r="I998" t="n">
        <v>0</v>
      </c>
      <c r="J998" t="n">
        <v>0</v>
      </c>
      <c r="K998" t="n">
        <v>0</v>
      </c>
      <c r="L998" t="n">
        <v>0</v>
      </c>
      <c r="M998" t="n">
        <v>0</v>
      </c>
      <c r="N998" t="n">
        <v>0</v>
      </c>
      <c r="O998" t="n">
        <v>0</v>
      </c>
      <c r="P998" t="n">
        <v>0</v>
      </c>
      <c r="Q998" t="n">
        <v>0</v>
      </c>
      <c r="R998" s="2" t="inlineStr"/>
    </row>
    <row r="999" ht="15" customHeight="1">
      <c r="A999" t="inlineStr">
        <is>
          <t>A 47352-2025</t>
        </is>
      </c>
      <c r="B999" s="1" t="n">
        <v>45930</v>
      </c>
      <c r="C999" s="1" t="n">
        <v>46064</v>
      </c>
      <c r="D999" t="inlineStr">
        <is>
          <t>SKÅNE LÄN</t>
        </is>
      </c>
      <c r="E999" t="inlineStr">
        <is>
          <t>HÄSSLEHOLM</t>
        </is>
      </c>
      <c r="G999" t="n">
        <v>16.6</v>
      </c>
      <c r="H999" t="n">
        <v>0</v>
      </c>
      <c r="I999" t="n">
        <v>0</v>
      </c>
      <c r="J999" t="n">
        <v>0</v>
      </c>
      <c r="K999" t="n">
        <v>0</v>
      </c>
      <c r="L999" t="n">
        <v>0</v>
      </c>
      <c r="M999" t="n">
        <v>0</v>
      </c>
      <c r="N999" t="n">
        <v>0</v>
      </c>
      <c r="O999" t="n">
        <v>0</v>
      </c>
      <c r="P999" t="n">
        <v>0</v>
      </c>
      <c r="Q999" t="n">
        <v>0</v>
      </c>
      <c r="R999" s="2" t="inlineStr"/>
    </row>
    <row r="1000" ht="15" customHeight="1">
      <c r="A1000" t="inlineStr">
        <is>
          <t>A 6877-2026</t>
        </is>
      </c>
      <c r="B1000" s="1" t="n">
        <v>46057.45768518518</v>
      </c>
      <c r="C1000" s="1" t="n">
        <v>46064</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63710-2025</t>
        </is>
      </c>
      <c r="B1001" s="1" t="n">
        <v>46014.62143518519</v>
      </c>
      <c r="C1001" s="1" t="n">
        <v>46064</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48798-2023</t>
        </is>
      </c>
      <c r="B1002" s="1" t="n">
        <v>45209.25318287037</v>
      </c>
      <c r="C1002" s="1" t="n">
        <v>46064</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48844-2023</t>
        </is>
      </c>
      <c r="B1003" s="1" t="n">
        <v>45209</v>
      </c>
      <c r="C1003" s="1" t="n">
        <v>46064</v>
      </c>
      <c r="D1003" t="inlineStr">
        <is>
          <t>SKÅNE LÄN</t>
        </is>
      </c>
      <c r="E1003" t="inlineStr">
        <is>
          <t>HÄSSLEHOLM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48877-2024</t>
        </is>
      </c>
      <c r="B1004" s="1" t="n">
        <v>45594.31729166667</v>
      </c>
      <c r="C1004" s="1" t="n">
        <v>46064</v>
      </c>
      <c r="D1004" t="inlineStr">
        <is>
          <t>SKÅNE LÄN</t>
        </is>
      </c>
      <c r="E1004" t="inlineStr">
        <is>
          <t>HÄSSLEHOLM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45984-2021</t>
        </is>
      </c>
      <c r="B1005" s="1" t="n">
        <v>44441</v>
      </c>
      <c r="C1005" s="1" t="n">
        <v>46064</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8378-2023</t>
        </is>
      </c>
      <c r="B1006" s="1" t="n">
        <v>44971</v>
      </c>
      <c r="C1006" s="1" t="n">
        <v>46064</v>
      </c>
      <c r="D1006" t="inlineStr">
        <is>
          <t>SKÅNE LÄN</t>
        </is>
      </c>
      <c r="E1006" t="inlineStr">
        <is>
          <t>HÄSSLEHOLM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63712-2025</t>
        </is>
      </c>
      <c r="B1007" s="1" t="n">
        <v>46014.63092592593</v>
      </c>
      <c r="C1007" s="1" t="n">
        <v>46064</v>
      </c>
      <c r="D1007" t="inlineStr">
        <is>
          <t>SKÅNE LÄN</t>
        </is>
      </c>
      <c r="E1007" t="inlineStr">
        <is>
          <t>HÄSSLEHOLM</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63709-2025</t>
        </is>
      </c>
      <c r="B1008" s="1" t="n">
        <v>46014.61700231482</v>
      </c>
      <c r="C1008" s="1" t="n">
        <v>46064</v>
      </c>
      <c r="D1008" t="inlineStr">
        <is>
          <t>SKÅNE LÄN</t>
        </is>
      </c>
      <c r="E1008" t="inlineStr">
        <is>
          <t>HÄSSLEHOLM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47394-2025</t>
        </is>
      </c>
      <c r="B1009" s="1" t="n">
        <v>45930</v>
      </c>
      <c r="C1009" s="1" t="n">
        <v>46064</v>
      </c>
      <c r="D1009" t="inlineStr">
        <is>
          <t>SKÅNE LÄN</t>
        </is>
      </c>
      <c r="E1009" t="inlineStr">
        <is>
          <t>HÄSSLEHOLM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8160-2024</t>
        </is>
      </c>
      <c r="B1010" s="1" t="n">
        <v>45351</v>
      </c>
      <c r="C1010" s="1" t="n">
        <v>46064</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45398-2024</t>
        </is>
      </c>
      <c r="B1011" s="1" t="n">
        <v>45576.56260416667</v>
      </c>
      <c r="C1011" s="1" t="n">
        <v>46064</v>
      </c>
      <c r="D1011" t="inlineStr">
        <is>
          <t>SKÅNE LÄN</t>
        </is>
      </c>
      <c r="E1011" t="inlineStr">
        <is>
          <t>HÄSSLEHOLM</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4140-2023</t>
        </is>
      </c>
      <c r="B1012" s="1" t="n">
        <v>44953</v>
      </c>
      <c r="C1012" s="1" t="n">
        <v>46064</v>
      </c>
      <c r="D1012" t="inlineStr">
        <is>
          <t>SKÅNE LÄN</t>
        </is>
      </c>
      <c r="E1012" t="inlineStr">
        <is>
          <t>HÄSSLEHOLM</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41680-2024</t>
        </is>
      </c>
      <c r="B1013" s="1" t="n">
        <v>45560</v>
      </c>
      <c r="C1013" s="1" t="n">
        <v>46064</v>
      </c>
      <c r="D1013" t="inlineStr">
        <is>
          <t>SKÅNE LÄN</t>
        </is>
      </c>
      <c r="E1013" t="inlineStr">
        <is>
          <t>HÄSSLEHOLM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50000-2023</t>
        </is>
      </c>
      <c r="B1014" s="1" t="n">
        <v>45215.4434837963</v>
      </c>
      <c r="C1014" s="1" t="n">
        <v>46064</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7244-2026</t>
        </is>
      </c>
      <c r="B1015" s="1" t="n">
        <v>46058.58646990741</v>
      </c>
      <c r="C1015" s="1" t="n">
        <v>46064</v>
      </c>
      <c r="D1015" t="inlineStr">
        <is>
          <t>SKÅNE LÄN</t>
        </is>
      </c>
      <c r="E1015" t="inlineStr">
        <is>
          <t>HÄSSLEHOLM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417-2022</t>
        </is>
      </c>
      <c r="B1016" s="1" t="n">
        <v>44565.84615740741</v>
      </c>
      <c r="C1016" s="1" t="n">
        <v>46064</v>
      </c>
      <c r="D1016" t="inlineStr">
        <is>
          <t>SKÅNE LÄN</t>
        </is>
      </c>
      <c r="E1016" t="inlineStr">
        <is>
          <t>HÄSSLEHOLM</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51040-2024</t>
        </is>
      </c>
      <c r="B1017" s="1" t="n">
        <v>45603.43222222223</v>
      </c>
      <c r="C1017" s="1" t="n">
        <v>46064</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50249-2024</t>
        </is>
      </c>
      <c r="B1018" s="1" t="n">
        <v>45600.56866898148</v>
      </c>
      <c r="C1018" s="1" t="n">
        <v>46064</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54326-2022</t>
        </is>
      </c>
      <c r="B1019" s="1" t="n">
        <v>44882.42965277778</v>
      </c>
      <c r="C1019" s="1" t="n">
        <v>46064</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20510-2021</t>
        </is>
      </c>
      <c r="B1020" s="1" t="n">
        <v>44315</v>
      </c>
      <c r="C1020" s="1" t="n">
        <v>46064</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54174-2022</t>
        </is>
      </c>
      <c r="B1021" s="1" t="n">
        <v>44881</v>
      </c>
      <c r="C1021" s="1" t="n">
        <v>46064</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38376-2022</t>
        </is>
      </c>
      <c r="B1022" s="1" t="n">
        <v>44812</v>
      </c>
      <c r="C1022" s="1" t="n">
        <v>46064</v>
      </c>
      <c r="D1022" t="inlineStr">
        <is>
          <t>SKÅNE LÄN</t>
        </is>
      </c>
      <c r="E1022" t="inlineStr">
        <is>
          <t>HÄSSLEHOLM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6316-2026</t>
        </is>
      </c>
      <c r="B1023" s="1" t="n">
        <v>46055</v>
      </c>
      <c r="C1023" s="1" t="n">
        <v>46064</v>
      </c>
      <c r="D1023" t="inlineStr">
        <is>
          <t>SKÅNE LÄN</t>
        </is>
      </c>
      <c r="E1023" t="inlineStr">
        <is>
          <t>HÄSSLEHOLM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6328-2026</t>
        </is>
      </c>
      <c r="B1024" s="1" t="n">
        <v>46055</v>
      </c>
      <c r="C1024" s="1" t="n">
        <v>46064</v>
      </c>
      <c r="D1024" t="inlineStr">
        <is>
          <t>SKÅNE LÄN</t>
        </is>
      </c>
      <c r="E1024" t="inlineStr">
        <is>
          <t>HÄSSLEHOLM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54659-2023</t>
        </is>
      </c>
      <c r="B1025" s="1" t="n">
        <v>45235</v>
      </c>
      <c r="C1025" s="1" t="n">
        <v>46064</v>
      </c>
      <c r="D1025" t="inlineStr">
        <is>
          <t>SKÅNE LÄN</t>
        </is>
      </c>
      <c r="E1025" t="inlineStr">
        <is>
          <t>HÄSSLEHOLM</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15036-2024</t>
        </is>
      </c>
      <c r="B1026" s="1" t="n">
        <v>45399.48100694444</v>
      </c>
      <c r="C1026" s="1" t="n">
        <v>46064</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9709-2023</t>
        </is>
      </c>
      <c r="B1027" s="1" t="n">
        <v>44984.48376157408</v>
      </c>
      <c r="C1027" s="1" t="n">
        <v>46064</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9615-2025</t>
        </is>
      </c>
      <c r="B1028" s="1" t="n">
        <v>45715</v>
      </c>
      <c r="C1028" s="1" t="n">
        <v>46064</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8524-2024</t>
        </is>
      </c>
      <c r="B1029" s="1" t="n">
        <v>45355.48570601852</v>
      </c>
      <c r="C1029" s="1" t="n">
        <v>46064</v>
      </c>
      <c r="D1029" t="inlineStr">
        <is>
          <t>SKÅNE LÄN</t>
        </is>
      </c>
      <c r="E1029" t="inlineStr">
        <is>
          <t>HÄSSLEHOLM</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56065-2025</t>
        </is>
      </c>
      <c r="B1030" s="1" t="n">
        <v>45973</v>
      </c>
      <c r="C1030" s="1" t="n">
        <v>46064</v>
      </c>
      <c r="D1030" t="inlineStr">
        <is>
          <t>SKÅNE LÄN</t>
        </is>
      </c>
      <c r="E1030" t="inlineStr">
        <is>
          <t>HÄSSLEHOLM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58689-2025</t>
        </is>
      </c>
      <c r="B1031" s="1" t="n">
        <v>45986</v>
      </c>
      <c r="C1031" s="1" t="n">
        <v>46064</v>
      </c>
      <c r="D1031" t="inlineStr">
        <is>
          <t>SKÅNE LÄN</t>
        </is>
      </c>
      <c r="E1031" t="inlineStr">
        <is>
          <t>HÄSSLEHOLM</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23987-2024</t>
        </is>
      </c>
      <c r="B1032" s="1" t="n">
        <v>45456</v>
      </c>
      <c r="C1032" s="1" t="n">
        <v>46064</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4042-2023</t>
        </is>
      </c>
      <c r="B1033" s="1" t="n">
        <v>44952.59950231481</v>
      </c>
      <c r="C1033" s="1" t="n">
        <v>46064</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7721-2026</t>
        </is>
      </c>
      <c r="B1034" s="1" t="n">
        <v>46059</v>
      </c>
      <c r="C1034" s="1" t="n">
        <v>46064</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31160-2024</t>
        </is>
      </c>
      <c r="B1035" s="1" t="n">
        <v>45503</v>
      </c>
      <c r="C1035" s="1" t="n">
        <v>46064</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5054-2022</t>
        </is>
      </c>
      <c r="B1036" s="1" t="n">
        <v>44593.69065972222</v>
      </c>
      <c r="C1036" s="1" t="n">
        <v>46064</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31391-2023</t>
        </is>
      </c>
      <c r="B1037" s="1" t="n">
        <v>45114.56143518518</v>
      </c>
      <c r="C1037" s="1" t="n">
        <v>46064</v>
      </c>
      <c r="D1037" t="inlineStr">
        <is>
          <t>SKÅNE LÄN</t>
        </is>
      </c>
      <c r="E1037" t="inlineStr">
        <is>
          <t>HÄSSLEHOLM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23723-2023</t>
        </is>
      </c>
      <c r="B1038" s="1" t="n">
        <v>45077</v>
      </c>
      <c r="C1038" s="1" t="n">
        <v>46064</v>
      </c>
      <c r="D1038" t="inlineStr">
        <is>
          <t>SKÅNE LÄN</t>
        </is>
      </c>
      <c r="E1038" t="inlineStr">
        <is>
          <t>HÄSSLEHOLM</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31933-2024</t>
        </is>
      </c>
      <c r="B1039" s="1" t="n">
        <v>45510.41123842593</v>
      </c>
      <c r="C1039" s="1" t="n">
        <v>46064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31581-2023</t>
        </is>
      </c>
      <c r="B1040" s="1" t="n">
        <v>45117.45165509259</v>
      </c>
      <c r="C1040" s="1" t="n">
        <v>46064</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55303-2024</t>
        </is>
      </c>
      <c r="B1041" s="1" t="n">
        <v>45621.6434837963</v>
      </c>
      <c r="C1041" s="1" t="n">
        <v>46064</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40202-2022</t>
        </is>
      </c>
      <c r="B1042" s="1" t="n">
        <v>44820.60614583334</v>
      </c>
      <c r="C1042" s="1" t="n">
        <v>46064</v>
      </c>
      <c r="D1042" t="inlineStr">
        <is>
          <t>SKÅNE LÄN</t>
        </is>
      </c>
      <c r="E1042" t="inlineStr">
        <is>
          <t>HÄSSLEHOLM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7785-2026</t>
        </is>
      </c>
      <c r="B1043" s="1" t="n">
        <v>46062.58422453704</v>
      </c>
      <c r="C1043" s="1" t="n">
        <v>46064</v>
      </c>
      <c r="D1043" t="inlineStr">
        <is>
          <t>SKÅNE LÄN</t>
        </is>
      </c>
      <c r="E1043" t="inlineStr">
        <is>
          <t>HÄSSLEHOLM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4382-2023</t>
        </is>
      </c>
      <c r="B1044" s="1" t="n">
        <v>44955.61152777778</v>
      </c>
      <c r="C1044" s="1" t="n">
        <v>46064</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52608-2023</t>
        </is>
      </c>
      <c r="B1045" s="1" t="n">
        <v>45219</v>
      </c>
      <c r="C1045" s="1" t="n">
        <v>46064</v>
      </c>
      <c r="D1045" t="inlineStr">
        <is>
          <t>SKÅNE LÄN</t>
        </is>
      </c>
      <c r="E1045" t="inlineStr">
        <is>
          <t>HÄSSLEHOLM</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27954-2022</t>
        </is>
      </c>
      <c r="B1046" s="1" t="n">
        <v>44743</v>
      </c>
      <c r="C1046" s="1" t="n">
        <v>46064</v>
      </c>
      <c r="D1046" t="inlineStr">
        <is>
          <t>SKÅNE LÄN</t>
        </is>
      </c>
      <c r="E1046" t="inlineStr">
        <is>
          <t>HÄSSLEHOLM</t>
        </is>
      </c>
      <c r="G1046" t="n">
        <v>9.4</v>
      </c>
      <c r="H1046" t="n">
        <v>0</v>
      </c>
      <c r="I1046" t="n">
        <v>0</v>
      </c>
      <c r="J1046" t="n">
        <v>0</v>
      </c>
      <c r="K1046" t="n">
        <v>0</v>
      </c>
      <c r="L1046" t="n">
        <v>0</v>
      </c>
      <c r="M1046" t="n">
        <v>0</v>
      </c>
      <c r="N1046" t="n">
        <v>0</v>
      </c>
      <c r="O1046" t="n">
        <v>0</v>
      </c>
      <c r="P1046" t="n">
        <v>0</v>
      </c>
      <c r="Q1046" t="n">
        <v>0</v>
      </c>
      <c r="R1046" s="2" t="inlineStr"/>
    </row>
    <row r="1047" ht="15" customHeight="1">
      <c r="A1047" t="inlineStr">
        <is>
          <t>A 20493-2024</t>
        </is>
      </c>
      <c r="B1047" s="1" t="n">
        <v>45435</v>
      </c>
      <c r="C1047" s="1" t="n">
        <v>46064</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41873-2023</t>
        </is>
      </c>
      <c r="B1048" s="1" t="n">
        <v>45176</v>
      </c>
      <c r="C1048" s="1" t="n">
        <v>46064</v>
      </c>
      <c r="D1048" t="inlineStr">
        <is>
          <t>SKÅNE LÄN</t>
        </is>
      </c>
      <c r="E1048" t="inlineStr">
        <is>
          <t>HÄSSLEHOLM</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41998-2021</t>
        </is>
      </c>
      <c r="B1049" s="1" t="n">
        <v>44425</v>
      </c>
      <c r="C1049" s="1" t="n">
        <v>46064</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35712-2024</t>
        </is>
      </c>
      <c r="B1050" s="1" t="n">
        <v>45532</v>
      </c>
      <c r="C1050" s="1" t="n">
        <v>46064</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61691-2021</t>
        </is>
      </c>
      <c r="B1051" s="1" t="n">
        <v>44501</v>
      </c>
      <c r="C1051" s="1" t="n">
        <v>46064</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57647-2024</t>
        </is>
      </c>
      <c r="B1052" s="1" t="n">
        <v>45630</v>
      </c>
      <c r="C1052" s="1" t="n">
        <v>46064</v>
      </c>
      <c r="D1052" t="inlineStr">
        <is>
          <t>SKÅNE LÄN</t>
        </is>
      </c>
      <c r="E1052" t="inlineStr">
        <is>
          <t>HÄSSLEHOLM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20564-2023</t>
        </is>
      </c>
      <c r="B1053" s="1" t="n">
        <v>45057</v>
      </c>
      <c r="C1053" s="1" t="n">
        <v>46064</v>
      </c>
      <c r="D1053" t="inlineStr">
        <is>
          <t>SKÅNE LÄN</t>
        </is>
      </c>
      <c r="E1053" t="inlineStr">
        <is>
          <t>HÄSSLEHOLM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46641-2023</t>
        </is>
      </c>
      <c r="B1054" s="1" t="n">
        <v>45198.44523148148</v>
      </c>
      <c r="C1054" s="1" t="n">
        <v>46064</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8239-2025</t>
        </is>
      </c>
      <c r="B1055" s="1" t="n">
        <v>45708.47984953703</v>
      </c>
      <c r="C1055" s="1" t="n">
        <v>46064</v>
      </c>
      <c r="D1055" t="inlineStr">
        <is>
          <t>SKÅNE LÄN</t>
        </is>
      </c>
      <c r="E1055" t="inlineStr">
        <is>
          <t>HÄSSLEHOLM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46645-2023</t>
        </is>
      </c>
      <c r="B1056" s="1" t="n">
        <v>45198.44686342592</v>
      </c>
      <c r="C1056" s="1" t="n">
        <v>46064</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31986-2023</t>
        </is>
      </c>
      <c r="B1057" s="1" t="n">
        <v>45119</v>
      </c>
      <c r="C1057" s="1" t="n">
        <v>46064</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62044-2022</t>
        </is>
      </c>
      <c r="B1058" s="1" t="n">
        <v>44918.55976851852</v>
      </c>
      <c r="C1058" s="1" t="n">
        <v>46064</v>
      </c>
      <c r="D1058" t="inlineStr">
        <is>
          <t>SKÅNE LÄN</t>
        </is>
      </c>
      <c r="E1058" t="inlineStr">
        <is>
          <t>HÄSSLEHOLM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6619-2024</t>
        </is>
      </c>
      <c r="B1059" s="1" t="n">
        <v>45341.6021412037</v>
      </c>
      <c r="C1059" s="1" t="n">
        <v>46064</v>
      </c>
      <c r="D1059" t="inlineStr">
        <is>
          <t>SKÅNE LÄN</t>
        </is>
      </c>
      <c r="E1059" t="inlineStr">
        <is>
          <t>HÄSSLEHOLM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52341-2023</t>
        </is>
      </c>
      <c r="B1060" s="1" t="n">
        <v>45224.67006944444</v>
      </c>
      <c r="C1060" s="1" t="n">
        <v>46064</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27464-2022</t>
        </is>
      </c>
      <c r="B1061" s="1" t="n">
        <v>44742.58704861111</v>
      </c>
      <c r="C1061" s="1" t="n">
        <v>46064</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6798-2025</t>
        </is>
      </c>
      <c r="B1062" s="1" t="n">
        <v>45700.668125</v>
      </c>
      <c r="C1062" s="1" t="n">
        <v>46064</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10752-2025</t>
        </is>
      </c>
      <c r="B1063" s="1" t="n">
        <v>45722</v>
      </c>
      <c r="C1063" s="1" t="n">
        <v>46064</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14008-2023</t>
        </is>
      </c>
      <c r="B1064" s="1" t="n">
        <v>45008.56725694444</v>
      </c>
      <c r="C1064" s="1" t="n">
        <v>46064</v>
      </c>
      <c r="D1064" t="inlineStr">
        <is>
          <t>SKÅNE LÄN</t>
        </is>
      </c>
      <c r="E1064" t="inlineStr">
        <is>
          <t>HÄSSLEHOLM</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315-2022</t>
        </is>
      </c>
      <c r="B1065" s="1" t="n">
        <v>44565.55630787037</v>
      </c>
      <c r="C1065" s="1" t="n">
        <v>46064</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42372-2024</t>
        </is>
      </c>
      <c r="B1066" s="1" t="n">
        <v>45564.5127199074</v>
      </c>
      <c r="C1066" s="1" t="n">
        <v>46064</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17138-2025</t>
        </is>
      </c>
      <c r="B1067" s="1" t="n">
        <v>45755.80378472222</v>
      </c>
      <c r="C1067" s="1" t="n">
        <v>46064</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57695-2023</t>
        </is>
      </c>
      <c r="B1068" s="1" t="n">
        <v>45246</v>
      </c>
      <c r="C1068" s="1" t="n">
        <v>46064</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12162-2023</t>
        </is>
      </c>
      <c r="B1069" s="1" t="n">
        <v>44998.49619212963</v>
      </c>
      <c r="C1069" s="1" t="n">
        <v>46064</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13347-2025</t>
        </is>
      </c>
      <c r="B1070" s="1" t="n">
        <v>45735.63175925926</v>
      </c>
      <c r="C1070" s="1" t="n">
        <v>46064</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4916-2024</t>
        </is>
      </c>
      <c r="B1071" s="1" t="n">
        <v>45329</v>
      </c>
      <c r="C1071" s="1" t="n">
        <v>46064</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27175-2024</t>
        </is>
      </c>
      <c r="B1072" s="1" t="n">
        <v>45471.57111111111</v>
      </c>
      <c r="C1072" s="1" t="n">
        <v>46064</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54658-2023</t>
        </is>
      </c>
      <c r="B1073" s="1" t="n">
        <v>45235</v>
      </c>
      <c r="C1073" s="1" t="n">
        <v>46064</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23666-2023</t>
        </is>
      </c>
      <c r="B1074" s="1" t="n">
        <v>45077</v>
      </c>
      <c r="C1074" s="1" t="n">
        <v>46064</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3726-2024</t>
        </is>
      </c>
      <c r="B1075" s="1" t="n">
        <v>45321</v>
      </c>
      <c r="C1075" s="1" t="n">
        <v>46064</v>
      </c>
      <c r="D1075" t="inlineStr">
        <is>
          <t>SKÅNE LÄN</t>
        </is>
      </c>
      <c r="E1075" t="inlineStr">
        <is>
          <t>HÄSSLEHOLM</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53085-2022</t>
        </is>
      </c>
      <c r="B1076" s="1" t="n">
        <v>44873</v>
      </c>
      <c r="C1076" s="1" t="n">
        <v>46064</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28211-2022</t>
        </is>
      </c>
      <c r="B1077" s="1" t="n">
        <v>44746</v>
      </c>
      <c r="C1077" s="1" t="n">
        <v>46064</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15990-2023</t>
        </is>
      </c>
      <c r="B1078" s="1" t="n">
        <v>45023.39584490741</v>
      </c>
      <c r="C1078" s="1" t="n">
        <v>46064</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26207-2021</t>
        </is>
      </c>
      <c r="B1079" s="1" t="n">
        <v>44347</v>
      </c>
      <c r="C1079" s="1" t="n">
        <v>46064</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62199-2022</t>
        </is>
      </c>
      <c r="B1080" s="1" t="n">
        <v>44915</v>
      </c>
      <c r="C1080" s="1" t="n">
        <v>46064</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9098-2022</t>
        </is>
      </c>
      <c r="B1081" s="1" t="n">
        <v>44615</v>
      </c>
      <c r="C1081" s="1" t="n">
        <v>46064</v>
      </c>
      <c r="D1081" t="inlineStr">
        <is>
          <t>SKÅNE LÄN</t>
        </is>
      </c>
      <c r="E1081" t="inlineStr">
        <is>
          <t>HÄSSLEHOLM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19151-2023</t>
        </is>
      </c>
      <c r="B1082" s="1" t="n">
        <v>45044</v>
      </c>
      <c r="C1082" s="1" t="n">
        <v>46064</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2688-2024</t>
        </is>
      </c>
      <c r="B1083" s="1" t="n">
        <v>45314</v>
      </c>
      <c r="C1083" s="1" t="n">
        <v>46064</v>
      </c>
      <c r="D1083" t="inlineStr">
        <is>
          <t>SKÅNE LÄN</t>
        </is>
      </c>
      <c r="E1083" t="inlineStr">
        <is>
          <t>HÄSSLEHOLM</t>
        </is>
      </c>
      <c r="F1083" t="inlineStr">
        <is>
          <t>Övriga Aktiebolag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29850-2024</t>
        </is>
      </c>
      <c r="B1084" s="1" t="n">
        <v>45485.64620370371</v>
      </c>
      <c r="C1084" s="1" t="n">
        <v>46064</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30007-2023</t>
        </is>
      </c>
      <c r="B1085" s="1" t="n">
        <v>45109.80349537037</v>
      </c>
      <c r="C1085" s="1" t="n">
        <v>46064</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4187-2023</t>
        </is>
      </c>
      <c r="B1086" s="1" t="n">
        <v>44953</v>
      </c>
      <c r="C1086" s="1" t="n">
        <v>46064</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42231-2022</t>
        </is>
      </c>
      <c r="B1087" s="1" t="n">
        <v>44830.77003472222</v>
      </c>
      <c r="C1087" s="1" t="n">
        <v>46064</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59390-2021</t>
        </is>
      </c>
      <c r="B1088" s="1" t="n">
        <v>44490</v>
      </c>
      <c r="C1088" s="1" t="n">
        <v>46064</v>
      </c>
      <c r="D1088" t="inlineStr">
        <is>
          <t>SKÅNE LÄN</t>
        </is>
      </c>
      <c r="E1088" t="inlineStr">
        <is>
          <t>HÄSSLEHOLM</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3452-2023</t>
        </is>
      </c>
      <c r="B1089" s="1" t="n">
        <v>44949</v>
      </c>
      <c r="C1089" s="1" t="n">
        <v>46064</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50525-2024</t>
        </is>
      </c>
      <c r="B1090" s="1" t="n">
        <v>45601</v>
      </c>
      <c r="C1090" s="1" t="n">
        <v>46064</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260-2024</t>
        </is>
      </c>
      <c r="B1091" s="1" t="n">
        <v>45294</v>
      </c>
      <c r="C1091" s="1" t="n">
        <v>46064</v>
      </c>
      <c r="D1091" t="inlineStr">
        <is>
          <t>SKÅNE LÄN</t>
        </is>
      </c>
      <c r="E1091" t="inlineStr">
        <is>
          <t>HÄSSLEHOLM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5016-2024</t>
        </is>
      </c>
      <c r="B1092" s="1" t="n">
        <v>45329</v>
      </c>
      <c r="C1092" s="1" t="n">
        <v>46064</v>
      </c>
      <c r="D1092" t="inlineStr">
        <is>
          <t>SKÅNE LÄN</t>
        </is>
      </c>
      <c r="E1092" t="inlineStr">
        <is>
          <t>HÄSSLEHOLM</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11603-2025</t>
        </is>
      </c>
      <c r="B1093" s="1" t="n">
        <v>45727</v>
      </c>
      <c r="C1093" s="1" t="n">
        <v>46064</v>
      </c>
      <c r="D1093" t="inlineStr">
        <is>
          <t>SKÅNE LÄN</t>
        </is>
      </c>
      <c r="E1093" t="inlineStr">
        <is>
          <t>HÄSSLEHOLM</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25206-2023</t>
        </is>
      </c>
      <c r="B1094" s="1" t="n">
        <v>45086.59318287037</v>
      </c>
      <c r="C1094" s="1" t="n">
        <v>46064</v>
      </c>
      <c r="D1094" t="inlineStr">
        <is>
          <t>SKÅNE LÄN</t>
        </is>
      </c>
      <c r="E1094" t="inlineStr">
        <is>
          <t>HÄSSLEHOLM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25221-2023</t>
        </is>
      </c>
      <c r="B1095" s="1" t="n">
        <v>45086.60842592592</v>
      </c>
      <c r="C1095" s="1" t="n">
        <v>46064</v>
      </c>
      <c r="D1095" t="inlineStr">
        <is>
          <t>SKÅNE LÄN</t>
        </is>
      </c>
      <c r="E1095" t="inlineStr">
        <is>
          <t>HÄSSLEHOLM</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57272-2023</t>
        </is>
      </c>
      <c r="B1096" s="1" t="n">
        <v>45245</v>
      </c>
      <c r="C1096" s="1" t="n">
        <v>46064</v>
      </c>
      <c r="D1096" t="inlineStr">
        <is>
          <t>SKÅNE LÄN</t>
        </is>
      </c>
      <c r="E1096" t="inlineStr">
        <is>
          <t>HÄSSLEHOLM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13856-2025</t>
        </is>
      </c>
      <c r="B1097" s="1" t="n">
        <v>45737.57289351852</v>
      </c>
      <c r="C1097" s="1" t="n">
        <v>46064</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48889-2024</t>
        </is>
      </c>
      <c r="B1098" s="1" t="n">
        <v>45594.33754629629</v>
      </c>
      <c r="C1098" s="1" t="n">
        <v>46064</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8263-2025</t>
        </is>
      </c>
      <c r="B1099" s="1" t="n">
        <v>45708.50398148148</v>
      </c>
      <c r="C1099" s="1" t="n">
        <v>46064</v>
      </c>
      <c r="D1099" t="inlineStr">
        <is>
          <t>SKÅNE LÄN</t>
        </is>
      </c>
      <c r="E1099" t="inlineStr">
        <is>
          <t>HÄSSLEHOLM</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29275-2023</t>
        </is>
      </c>
      <c r="B1100" s="1" t="n">
        <v>45105</v>
      </c>
      <c r="C1100" s="1" t="n">
        <v>46064</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13018-2024</t>
        </is>
      </c>
      <c r="B1101" s="1" t="n">
        <v>45385.58274305556</v>
      </c>
      <c r="C1101" s="1" t="n">
        <v>46064</v>
      </c>
      <c r="D1101" t="inlineStr">
        <is>
          <t>SKÅNE LÄN</t>
        </is>
      </c>
      <c r="E1101" t="inlineStr">
        <is>
          <t>HÄSSLEHOLM</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22595-2024</t>
        </is>
      </c>
      <c r="B1102" s="1" t="n">
        <v>45447.61053240741</v>
      </c>
      <c r="C1102" s="1" t="n">
        <v>46064</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60704-2023</t>
        </is>
      </c>
      <c r="B1103" s="1" t="n">
        <v>45260.51340277777</v>
      </c>
      <c r="C1103" s="1" t="n">
        <v>46064</v>
      </c>
      <c r="D1103" t="inlineStr">
        <is>
          <t>SKÅNE LÄN</t>
        </is>
      </c>
      <c r="E1103" t="inlineStr">
        <is>
          <t>HÄSSLEHOLM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20279-2025</t>
        </is>
      </c>
      <c r="B1104" s="1" t="n">
        <v>45774.38643518519</v>
      </c>
      <c r="C1104" s="1" t="n">
        <v>46064</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59431-2023</t>
        </is>
      </c>
      <c r="B1105" s="1" t="n">
        <v>45254.29207175926</v>
      </c>
      <c r="C1105" s="1" t="n">
        <v>46064</v>
      </c>
      <c r="D1105" t="inlineStr">
        <is>
          <t>SKÅNE LÄN</t>
        </is>
      </c>
      <c r="E1105" t="inlineStr">
        <is>
          <t>HÄSSLEHOLM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59433-2023</t>
        </is>
      </c>
      <c r="B1106" s="1" t="n">
        <v>45254.29768518519</v>
      </c>
      <c r="C1106" s="1" t="n">
        <v>46064</v>
      </c>
      <c r="D1106" t="inlineStr">
        <is>
          <t>SKÅNE LÄN</t>
        </is>
      </c>
      <c r="E1106" t="inlineStr">
        <is>
          <t>HÄSSLEHOLM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55416-2021</t>
        </is>
      </c>
      <c r="B1107" s="1" t="n">
        <v>44475</v>
      </c>
      <c r="C1107" s="1" t="n">
        <v>46064</v>
      </c>
      <c r="D1107" t="inlineStr">
        <is>
          <t>SKÅNE LÄN</t>
        </is>
      </c>
      <c r="E1107" t="inlineStr">
        <is>
          <t>HÄSSLEHOLM</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4579-2025</t>
        </is>
      </c>
      <c r="B1108" s="1" t="n">
        <v>45687.5009375</v>
      </c>
      <c r="C1108" s="1" t="n">
        <v>46064</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21141-2024</t>
        </is>
      </c>
      <c r="B1109" s="1" t="n">
        <v>45440.39012731481</v>
      </c>
      <c r="C1109" s="1" t="n">
        <v>46064</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49379-2021</t>
        </is>
      </c>
      <c r="B1110" s="1" t="n">
        <v>44454</v>
      </c>
      <c r="C1110" s="1" t="n">
        <v>46064</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36240-2023</t>
        </is>
      </c>
      <c r="B1111" s="1" t="n">
        <v>45150.89295138889</v>
      </c>
      <c r="C1111" s="1" t="n">
        <v>46064</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13851-2025</t>
        </is>
      </c>
      <c r="B1112" s="1" t="n">
        <v>45737.56777777777</v>
      </c>
      <c r="C1112" s="1" t="n">
        <v>46064</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12469-2023</t>
        </is>
      </c>
      <c r="B1113" s="1" t="n">
        <v>44999.62109953703</v>
      </c>
      <c r="C1113" s="1" t="n">
        <v>46064</v>
      </c>
      <c r="D1113" t="inlineStr">
        <is>
          <t>SKÅNE LÄN</t>
        </is>
      </c>
      <c r="E1113" t="inlineStr">
        <is>
          <t>HÄSSLEHOLM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45400-2022</t>
        </is>
      </c>
      <c r="B1114" s="1" t="n">
        <v>44844.713125</v>
      </c>
      <c r="C1114" s="1" t="n">
        <v>46064</v>
      </c>
      <c r="D1114" t="inlineStr">
        <is>
          <t>SKÅNE LÄN</t>
        </is>
      </c>
      <c r="E1114" t="inlineStr">
        <is>
          <t>HÄSSLEHOLM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13961-2023</t>
        </is>
      </c>
      <c r="B1115" s="1" t="n">
        <v>45008</v>
      </c>
      <c r="C1115" s="1" t="n">
        <v>46064</v>
      </c>
      <c r="D1115" t="inlineStr">
        <is>
          <t>SKÅNE LÄN</t>
        </is>
      </c>
      <c r="E1115" t="inlineStr">
        <is>
          <t>HÄSSLEHOLM</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7581-2023</t>
        </is>
      </c>
      <c r="B1116" s="1" t="n">
        <v>44972.39556712963</v>
      </c>
      <c r="C1116" s="1" t="n">
        <v>46064</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48191-2021</t>
        </is>
      </c>
      <c r="B1117" s="1" t="n">
        <v>44449</v>
      </c>
      <c r="C1117" s="1" t="n">
        <v>46064</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5282-2023</t>
        </is>
      </c>
      <c r="B1118" s="1" t="n">
        <v>44959.50471064815</v>
      </c>
      <c r="C1118" s="1" t="n">
        <v>46064</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52548-2023</t>
        </is>
      </c>
      <c r="B1119" s="1" t="n">
        <v>45218</v>
      </c>
      <c r="C1119" s="1" t="n">
        <v>46064</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12503-2022</t>
        </is>
      </c>
      <c r="B1120" s="1" t="n">
        <v>44638</v>
      </c>
      <c r="C1120" s="1" t="n">
        <v>46064</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9485-2023</t>
        </is>
      </c>
      <c r="B1121" s="1" t="n">
        <v>44981.60901620371</v>
      </c>
      <c r="C1121" s="1" t="n">
        <v>46064</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54777-2022</t>
        </is>
      </c>
      <c r="B1122" s="1" t="n">
        <v>44883</v>
      </c>
      <c r="C1122" s="1" t="n">
        <v>46064</v>
      </c>
      <c r="D1122" t="inlineStr">
        <is>
          <t>SKÅNE LÄN</t>
        </is>
      </c>
      <c r="E1122" t="inlineStr">
        <is>
          <t>HÄSSLEHOLM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61929-2023</t>
        </is>
      </c>
      <c r="B1123" s="1" t="n">
        <v>45266</v>
      </c>
      <c r="C1123" s="1" t="n">
        <v>46064</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13555-2025</t>
        </is>
      </c>
      <c r="B1124" s="1" t="n">
        <v>45736</v>
      </c>
      <c r="C1124" s="1" t="n">
        <v>46064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44940-2023</t>
        </is>
      </c>
      <c r="B1125" s="1" t="n">
        <v>45190.68653935185</v>
      </c>
      <c r="C1125" s="1" t="n">
        <v>46064</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25533-2024</t>
        </is>
      </c>
      <c r="B1126" s="1" t="n">
        <v>45463</v>
      </c>
      <c r="C1126" s="1" t="n">
        <v>46064</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61498-2022</t>
        </is>
      </c>
      <c r="B1127" s="1" t="n">
        <v>44910</v>
      </c>
      <c r="C1127" s="1" t="n">
        <v>46064</v>
      </c>
      <c r="D1127" t="inlineStr">
        <is>
          <t>SKÅNE LÄN</t>
        </is>
      </c>
      <c r="E1127" t="inlineStr">
        <is>
          <t>HÄSSLEHOLM</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22696-2023</t>
        </is>
      </c>
      <c r="B1128" s="1" t="n">
        <v>45071.69464120371</v>
      </c>
      <c r="C1128" s="1" t="n">
        <v>46064</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52337-2023</t>
        </is>
      </c>
      <c r="B1129" s="1" t="n">
        <v>45224.66359953704</v>
      </c>
      <c r="C1129" s="1" t="n">
        <v>46064</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23955-2023</t>
        </is>
      </c>
      <c r="B1130" s="1" t="n">
        <v>45078.62217592593</v>
      </c>
      <c r="C1130" s="1" t="n">
        <v>46064</v>
      </c>
      <c r="D1130" t="inlineStr">
        <is>
          <t>SKÅNE LÄN</t>
        </is>
      </c>
      <c r="E1130" t="inlineStr">
        <is>
          <t>HÄSSLEHOLM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10897-2023</t>
        </is>
      </c>
      <c r="B1131" s="1" t="n">
        <v>44985</v>
      </c>
      <c r="C1131" s="1" t="n">
        <v>46064</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50571-2023</t>
        </is>
      </c>
      <c r="B1132" s="1" t="n">
        <v>45217.38359953704</v>
      </c>
      <c r="C1132" s="1" t="n">
        <v>46064</v>
      </c>
      <c r="D1132" t="inlineStr">
        <is>
          <t>SKÅNE LÄN</t>
        </is>
      </c>
      <c r="E1132" t="inlineStr">
        <is>
          <t>HÄSSLEHOLM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18908-2023</t>
        </is>
      </c>
      <c r="B1133" s="1" t="n">
        <v>45044</v>
      </c>
      <c r="C1133" s="1" t="n">
        <v>46064</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10028-2024</t>
        </is>
      </c>
      <c r="B1134" s="1" t="n">
        <v>45363.97292824074</v>
      </c>
      <c r="C1134" s="1" t="n">
        <v>46064</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13084-2025</t>
        </is>
      </c>
      <c r="B1135" s="1" t="n">
        <v>45734</v>
      </c>
      <c r="C1135" s="1" t="n">
        <v>46064</v>
      </c>
      <c r="D1135" t="inlineStr">
        <is>
          <t>SKÅNE LÄN</t>
        </is>
      </c>
      <c r="E1135" t="inlineStr">
        <is>
          <t>HÄSSLEHOLM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16285-2025</t>
        </is>
      </c>
      <c r="B1136" s="1" t="n">
        <v>45751.30045138889</v>
      </c>
      <c r="C1136" s="1" t="n">
        <v>46064</v>
      </c>
      <c r="D1136" t="inlineStr">
        <is>
          <t>SKÅNE LÄN</t>
        </is>
      </c>
      <c r="E1136" t="inlineStr">
        <is>
          <t>HÄSSLEHOLM</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46000-2021</t>
        </is>
      </c>
      <c r="B1137" s="1" t="n">
        <v>44441</v>
      </c>
      <c r="C1137" s="1" t="n">
        <v>46064</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4009-2024</t>
        </is>
      </c>
      <c r="B1138" s="1" t="n">
        <v>45323</v>
      </c>
      <c r="C1138" s="1" t="n">
        <v>46064</v>
      </c>
      <c r="D1138" t="inlineStr">
        <is>
          <t>SKÅNE LÄN</t>
        </is>
      </c>
      <c r="E1138" t="inlineStr">
        <is>
          <t>HÄSSLEHOLM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10928-2024</t>
        </is>
      </c>
      <c r="B1139" s="1" t="n">
        <v>45370</v>
      </c>
      <c r="C1139" s="1" t="n">
        <v>46064</v>
      </c>
      <c r="D1139" t="inlineStr">
        <is>
          <t>SKÅNE LÄN</t>
        </is>
      </c>
      <c r="E1139" t="inlineStr">
        <is>
          <t>HÄSSLEHOLM</t>
        </is>
      </c>
      <c r="F1139" t="inlineStr">
        <is>
          <t>Övriga Aktiebolag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10944-2024</t>
        </is>
      </c>
      <c r="B1140" s="1" t="n">
        <v>45370</v>
      </c>
      <c r="C1140" s="1" t="n">
        <v>46064</v>
      </c>
      <c r="D1140" t="inlineStr">
        <is>
          <t>SKÅNE LÄN</t>
        </is>
      </c>
      <c r="E1140" t="inlineStr">
        <is>
          <t>HÄSSLEHOLM</t>
        </is>
      </c>
      <c r="F1140" t="inlineStr">
        <is>
          <t>Övriga Aktiebolag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6087-2025</t>
        </is>
      </c>
      <c r="B1141" s="1" t="n">
        <v>45697.69782407407</v>
      </c>
      <c r="C1141" s="1" t="n">
        <v>46064</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33466-2024</t>
        </is>
      </c>
      <c r="B1142" s="1" t="n">
        <v>45519</v>
      </c>
      <c r="C1142" s="1" t="n">
        <v>46064</v>
      </c>
      <c r="D1142" t="inlineStr">
        <is>
          <t>SKÅNE LÄN</t>
        </is>
      </c>
      <c r="E1142" t="inlineStr">
        <is>
          <t>HÄSSLEHOLM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6612-2024</t>
        </is>
      </c>
      <c r="B1143" s="1" t="n">
        <v>45341.58859953703</v>
      </c>
      <c r="C1143" s="1" t="n">
        <v>46064</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26879-2024</t>
        </is>
      </c>
      <c r="B1144" s="1" t="n">
        <v>45470</v>
      </c>
      <c r="C1144" s="1" t="n">
        <v>46064</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54473-2023</t>
        </is>
      </c>
      <c r="B1145" s="1" t="n">
        <v>45233</v>
      </c>
      <c r="C1145" s="1" t="n">
        <v>46064</v>
      </c>
      <c r="D1145" t="inlineStr">
        <is>
          <t>SKÅNE LÄN</t>
        </is>
      </c>
      <c r="E1145" t="inlineStr">
        <is>
          <t>HÄSSLEHOLM</t>
        </is>
      </c>
      <c r="G1145" t="n">
        <v>24.5</v>
      </c>
      <c r="H1145" t="n">
        <v>0</v>
      </c>
      <c r="I1145" t="n">
        <v>0</v>
      </c>
      <c r="J1145" t="n">
        <v>0</v>
      </c>
      <c r="K1145" t="n">
        <v>0</v>
      </c>
      <c r="L1145" t="n">
        <v>0</v>
      </c>
      <c r="M1145" t="n">
        <v>0</v>
      </c>
      <c r="N1145" t="n">
        <v>0</v>
      </c>
      <c r="O1145" t="n">
        <v>0</v>
      </c>
      <c r="P1145" t="n">
        <v>0</v>
      </c>
      <c r="Q1145" t="n">
        <v>0</v>
      </c>
      <c r="R1145" s="2" t="inlineStr"/>
    </row>
    <row r="1146" ht="15" customHeight="1">
      <c r="A1146" t="inlineStr">
        <is>
          <t>A 11240-2023</t>
        </is>
      </c>
      <c r="B1146" s="1" t="n">
        <v>44992</v>
      </c>
      <c r="C1146" s="1" t="n">
        <v>46064</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16108-2025</t>
        </is>
      </c>
      <c r="B1147" s="1" t="n">
        <v>45750.34667824074</v>
      </c>
      <c r="C1147" s="1" t="n">
        <v>46064</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48326-2023</t>
        </is>
      </c>
      <c r="B1148" s="1" t="n">
        <v>45205</v>
      </c>
      <c r="C1148" s="1" t="n">
        <v>46064</v>
      </c>
      <c r="D1148" t="inlineStr">
        <is>
          <t>SKÅNE LÄN</t>
        </is>
      </c>
      <c r="E1148" t="inlineStr">
        <is>
          <t>HÄSSLEHOLM</t>
        </is>
      </c>
      <c r="G1148" t="n">
        <v>12.7</v>
      </c>
      <c r="H1148" t="n">
        <v>0</v>
      </c>
      <c r="I1148" t="n">
        <v>0</v>
      </c>
      <c r="J1148" t="n">
        <v>0</v>
      </c>
      <c r="K1148" t="n">
        <v>0</v>
      </c>
      <c r="L1148" t="n">
        <v>0</v>
      </c>
      <c r="M1148" t="n">
        <v>0</v>
      </c>
      <c r="N1148" t="n">
        <v>0</v>
      </c>
      <c r="O1148" t="n">
        <v>0</v>
      </c>
      <c r="P1148" t="n">
        <v>0</v>
      </c>
      <c r="Q1148" t="n">
        <v>0</v>
      </c>
      <c r="R1148" s="2" t="inlineStr"/>
    </row>
    <row r="1149" ht="15" customHeight="1">
      <c r="A1149" t="inlineStr">
        <is>
          <t>A 54518-2022</t>
        </is>
      </c>
      <c r="B1149" s="1" t="n">
        <v>44882</v>
      </c>
      <c r="C1149" s="1" t="n">
        <v>46064</v>
      </c>
      <c r="D1149" t="inlineStr">
        <is>
          <t>SKÅNE LÄN</t>
        </is>
      </c>
      <c r="E1149" t="inlineStr">
        <is>
          <t>HÄSSLEHOLM</t>
        </is>
      </c>
      <c r="F1149" t="inlineStr">
        <is>
          <t>Övriga Aktiebolag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57491-2024</t>
        </is>
      </c>
      <c r="B1150" s="1" t="n">
        <v>45629</v>
      </c>
      <c r="C1150" s="1" t="n">
        <v>46064</v>
      </c>
      <c r="D1150" t="inlineStr">
        <is>
          <t>SKÅNE LÄN</t>
        </is>
      </c>
      <c r="E1150" t="inlineStr">
        <is>
          <t>HÄSSLEHOLM</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52912-2022</t>
        </is>
      </c>
      <c r="B1151" s="1" t="n">
        <v>44872</v>
      </c>
      <c r="C1151" s="1" t="n">
        <v>46064</v>
      </c>
      <c r="D1151" t="inlineStr">
        <is>
          <t>SKÅNE LÄN</t>
        </is>
      </c>
      <c r="E1151" t="inlineStr">
        <is>
          <t>HÄSSLEHOLM</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16950-2025</t>
        </is>
      </c>
      <c r="B1152" s="1" t="n">
        <v>45755</v>
      </c>
      <c r="C1152" s="1" t="n">
        <v>46064</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27502-2023</t>
        </is>
      </c>
      <c r="B1153" s="1" t="n">
        <v>45092</v>
      </c>
      <c r="C1153" s="1" t="n">
        <v>46064</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6836-2023</t>
        </is>
      </c>
      <c r="B1154" s="1" t="n">
        <v>44967</v>
      </c>
      <c r="C1154" s="1" t="n">
        <v>46064</v>
      </c>
      <c r="D1154" t="inlineStr">
        <is>
          <t>SKÅNE LÄN</t>
        </is>
      </c>
      <c r="E1154" t="inlineStr">
        <is>
          <t>HÄSSLEHOLM</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6845-2023</t>
        </is>
      </c>
      <c r="B1155" s="1" t="n">
        <v>44967</v>
      </c>
      <c r="C1155" s="1" t="n">
        <v>46064</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53887-2023</t>
        </is>
      </c>
      <c r="B1156" s="1" t="n">
        <v>45231.52675925926</v>
      </c>
      <c r="C1156" s="1" t="n">
        <v>46064</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21329-2023</t>
        </is>
      </c>
      <c r="B1157" s="1" t="n">
        <v>45062</v>
      </c>
      <c r="C1157" s="1" t="n">
        <v>46064</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1543-2024</t>
        </is>
      </c>
      <c r="B1158" s="1" t="n">
        <v>45306</v>
      </c>
      <c r="C1158" s="1" t="n">
        <v>46064</v>
      </c>
      <c r="D1158" t="inlineStr">
        <is>
          <t>SKÅNE LÄN</t>
        </is>
      </c>
      <c r="E1158" t="inlineStr">
        <is>
          <t>HÄSSLEHOLM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18800-2023</t>
        </is>
      </c>
      <c r="B1159" s="1" t="n">
        <v>45044</v>
      </c>
      <c r="C1159" s="1" t="n">
        <v>46064</v>
      </c>
      <c r="D1159" t="inlineStr">
        <is>
          <t>SKÅNE LÄN</t>
        </is>
      </c>
      <c r="E1159" t="inlineStr">
        <is>
          <t>HÄSSLEHOLM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25077-2024</t>
        </is>
      </c>
      <c r="B1160" s="1" t="n">
        <v>45462</v>
      </c>
      <c r="C1160" s="1" t="n">
        <v>46064</v>
      </c>
      <c r="D1160" t="inlineStr">
        <is>
          <t>SKÅNE LÄN</t>
        </is>
      </c>
      <c r="E1160" t="inlineStr">
        <is>
          <t>HÄSSLEHOLM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22535-2024</t>
        </is>
      </c>
      <c r="B1161" s="1" t="n">
        <v>45447</v>
      </c>
      <c r="C1161" s="1" t="n">
        <v>46064</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15060-2023</t>
        </is>
      </c>
      <c r="B1162" s="1" t="n">
        <v>45015.69832175926</v>
      </c>
      <c r="C1162" s="1" t="n">
        <v>46064</v>
      </c>
      <c r="D1162" t="inlineStr">
        <is>
          <t>SKÅNE LÄN</t>
        </is>
      </c>
      <c r="E1162" t="inlineStr">
        <is>
          <t>HÄSSLEHOLM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4787-2023</t>
        </is>
      </c>
      <c r="B1163" s="1" t="n">
        <v>44957.60079861111</v>
      </c>
      <c r="C1163" s="1" t="n">
        <v>46064</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4788-2023</t>
        </is>
      </c>
      <c r="B1164" s="1" t="n">
        <v>44957.60130787037</v>
      </c>
      <c r="C1164" s="1" t="n">
        <v>46064</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34348-2022</t>
        </is>
      </c>
      <c r="B1165" s="1" t="n">
        <v>44792</v>
      </c>
      <c r="C1165" s="1" t="n">
        <v>46064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45399-2022</t>
        </is>
      </c>
      <c r="B1166" s="1" t="n">
        <v>44844.70513888889</v>
      </c>
      <c r="C1166" s="1" t="n">
        <v>46064</v>
      </c>
      <c r="D1166" t="inlineStr">
        <is>
          <t>SKÅNE LÄN</t>
        </is>
      </c>
      <c r="E1166" t="inlineStr">
        <is>
          <t>HÄSSLEHOLM</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35640-2023</t>
        </is>
      </c>
      <c r="B1167" s="1" t="n">
        <v>45147</v>
      </c>
      <c r="C1167" s="1" t="n">
        <v>46064</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2681-2024</t>
        </is>
      </c>
      <c r="B1168" s="1" t="n">
        <v>45314</v>
      </c>
      <c r="C1168" s="1" t="n">
        <v>46064</v>
      </c>
      <c r="D1168" t="inlineStr">
        <is>
          <t>SKÅNE LÄN</t>
        </is>
      </c>
      <c r="E1168" t="inlineStr">
        <is>
          <t>HÄSSLEHOLM</t>
        </is>
      </c>
      <c r="F1168" t="inlineStr">
        <is>
          <t>Övriga Aktiebolag</t>
        </is>
      </c>
      <c r="G1168" t="n">
        <v>1.4</v>
      </c>
      <c r="H1168" t="n">
        <v>0</v>
      </c>
      <c r="I1168" t="n">
        <v>0</v>
      </c>
      <c r="J1168" t="n">
        <v>0</v>
      </c>
      <c r="K1168" t="n">
        <v>0</v>
      </c>
      <c r="L1168" t="n">
        <v>0</v>
      </c>
      <c r="M1168" t="n">
        <v>0</v>
      </c>
      <c r="N1168" t="n">
        <v>0</v>
      </c>
      <c r="O1168" t="n">
        <v>0</v>
      </c>
      <c r="P1168" t="n">
        <v>0</v>
      </c>
      <c r="Q1168" t="n">
        <v>0</v>
      </c>
      <c r="R1168" s="2" t="inlineStr"/>
    </row>
    <row r="1169">
      <c r="A1169" t="inlineStr">
        <is>
          <t>A 27177-2024</t>
        </is>
      </c>
      <c r="B1169" s="1" t="n">
        <v>45471.57201388889</v>
      </c>
      <c r="C1169" s="1" t="n">
        <v>46064</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2026-02-11T10:59:28Z</dcterms:created>
  <dcterms:modified xmlns:dcterms="http://purl.org/dc/terms/" xmlns:xsi="http://www.w3.org/2001/XMLSchema-instance" xsi:type="dcterms:W3CDTF">2026-02-11T10:59:29Z</dcterms:modified>
</cp:coreProperties>
</file>